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A33A8369-55F4-409D-9647-BFD5062A1246}" xr6:coauthVersionLast="47" xr6:coauthVersionMax="47" xr10:uidLastSave="{00000000-0000-0000-0000-000000000000}"/>
  <bookViews>
    <workbookView xWindow="-110" yWindow="-110" windowWidth="19420" windowHeight="10420" tabRatio="797" xr2:uid="{00000000-000D-0000-FFFF-FFFF00000000}"/>
  </bookViews>
  <sheets>
    <sheet name="Índice" sheetId="1" r:id="rId1"/>
    <sheet name="Campeche_EdoUsa" sheetId="2" r:id="rId2"/>
    <sheet name="Campeche_Cons" sheetId="15" r:id="rId3"/>
    <sheet name="CampecheXCons" sheetId="16" r:id="rId4"/>
    <sheet name="Campeche_EdoMun" sheetId="5" r:id="rId5"/>
    <sheet name="Campeche_USAMuni" sheetId="6" r:id="rId6"/>
    <sheet name="Campeche_MUNICIPIO" sheetId="7" r:id="rId7"/>
    <sheet name="Campeche_educ_gral" sheetId="8" r:id="rId8"/>
    <sheet name="Campeche_NivelE_Cons" sheetId="9" r:id="rId9"/>
    <sheet name="Campeche_EducCons" sheetId="10" r:id="rId10"/>
    <sheet name="Campeche_GenGral" sheetId="11" r:id="rId11"/>
    <sheet name="Campeche_GENERO" sheetId="12" r:id="rId12"/>
    <sheet name="Campeche_GENERO_EUA" sheetId="17" r:id="rId13"/>
    <sheet name="Campeche_Gen_Edad" sheetId="13" r:id="rId14"/>
    <sheet name="Campeche_ocup_gral" sheetId="14" r:id="rId15"/>
  </sheets>
  <definedNames>
    <definedName name="_xlnm._FilterDatabase" localSheetId="2" hidden="1">Campeche_Cons!$B$11:$D$11</definedName>
    <definedName name="_xlnm._FilterDatabase" localSheetId="4" hidden="1">Campeche_EdoMun!$B$11:$D$11</definedName>
    <definedName name="_xlnm._FilterDatabase" localSheetId="1" hidden="1">Campeche_EdoUsa!$B$11:$D$11</definedName>
    <definedName name="_xlnm._FilterDatabase" localSheetId="7" hidden="1">Campeche_educ_gral!$B$11:$D$11</definedName>
    <definedName name="_xlnm._FilterDatabase" localSheetId="9" hidden="1">Campeche_EducCons!$B$9:$E$9</definedName>
    <definedName name="_xlnm._FilterDatabase" localSheetId="11" hidden="1">Campeche_GENERO!$B$12:$E$12</definedName>
    <definedName name="_xlnm._FilterDatabase" localSheetId="12" hidden="1">Campeche_GENERO_EUA!$B$12:$E$12</definedName>
    <definedName name="_xlnm._FilterDatabase" localSheetId="10" hidden="1">Campeche_GenGral!$B$11:$D$11</definedName>
    <definedName name="_xlnm._FilterDatabase" localSheetId="6" hidden="1">Campeche_MUNICIPIO!$B$9:$E$9</definedName>
    <definedName name="_xlnm._FilterDatabase" localSheetId="8" hidden="1">Campeche_NivelE_Cons!$B$9:$E$9</definedName>
    <definedName name="_xlnm._FilterDatabase" localSheetId="14" hidden="1">Campeche_ocup_gral!$B$11:$D$11</definedName>
    <definedName name="_xlnm._FilterDatabase" localSheetId="5" hidden="1">Campeche_USAMuni!$B$9:$E$9</definedName>
    <definedName name="_xlnm._FilterDatabase" localSheetId="3" hidden="1">CampecheXCons!$B$11:$D$11</definedName>
    <definedName name="_xlnm.Print_Area" localSheetId="4">Campeche_EdoMun!$A$1:$F$30</definedName>
    <definedName name="_xlnm.Print_Area" localSheetId="7">Campeche_educ_gral!$A$1:$F$40</definedName>
    <definedName name="_xlnm.Print_Area" localSheetId="9">Campeche_EducCons!$A$1:$E$445</definedName>
    <definedName name="_xlnm.Print_Area" localSheetId="6">Campeche_MUNICIPIO!$A$1:$E$317</definedName>
    <definedName name="_xlnm.Print_Area" localSheetId="8">Campeche_NivelE_Cons!$A$1:$E$358</definedName>
    <definedName name="_xlnm.Print_Area" localSheetId="5">Campeche_USAMuni!$A$1:$E$284</definedName>
    <definedName name="_xlnm.Print_Titles" localSheetId="2">Campeche_Cons!$1:$11</definedName>
    <definedName name="_xlnm.Print_Titles" localSheetId="4">Campeche_EdoMun!$1:$11</definedName>
    <definedName name="_xlnm.Print_Titles" localSheetId="1">Campeche_EdoUsa!$1:$11</definedName>
    <definedName name="_xlnm.Print_Titles" localSheetId="7">Campeche_educ_gral!$1:$11</definedName>
    <definedName name="_xlnm.Print_Titles" localSheetId="9">Campeche_EducCons!$1:$9</definedName>
    <definedName name="_xlnm.Print_Titles" localSheetId="13">Campeche_Gen_Edad!$1:$12</definedName>
    <definedName name="_xlnm.Print_Titles" localSheetId="11">Campeche_GENERO!$1:$12</definedName>
    <definedName name="_xlnm.Print_Titles" localSheetId="12">Campeche_GENERO_EUA!$1:$12</definedName>
    <definedName name="_xlnm.Print_Titles" localSheetId="10">Campeche_GenGral!$1:$11</definedName>
    <definedName name="_xlnm.Print_Titles" localSheetId="6">Campeche_MUNICIPIO!$1:$9</definedName>
    <definedName name="_xlnm.Print_Titles" localSheetId="8">Campeche_NivelE_Cons!$1:$9</definedName>
    <definedName name="_xlnm.Print_Titles" localSheetId="14">Campeche_ocup_gral!$1:$11</definedName>
    <definedName name="_xlnm.Print_Titles" localSheetId="5">Campeche_USAMuni!$1:$9</definedName>
    <definedName name="_xlnm.Print_Titles" localSheetId="3">CampecheXCons!$1:$11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6" l="1"/>
  <c r="D22" i="16"/>
  <c r="C22" i="16"/>
  <c r="D21" i="16" s="1"/>
  <c r="D12" i="16" l="1"/>
  <c r="D13" i="16"/>
  <c r="D14" i="16"/>
  <c r="D15" i="16"/>
  <c r="D16" i="16"/>
  <c r="D17" i="16"/>
  <c r="D18" i="16"/>
  <c r="D20" i="16"/>
</calcChain>
</file>

<file path=xl/sharedStrings.xml><?xml version="1.0" encoding="utf-8"?>
<sst xmlns="http://schemas.openxmlformats.org/spreadsheetml/2006/main" count="2181" uniqueCount="218">
  <si>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</si>
  <si>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</si>
  <si>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</si>
  <si>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</si>
  <si>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</si>
  <si>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</si>
  <si>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</si>
  <si>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</si>
  <si>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</si>
  <si>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</si>
  <si>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</si>
  <si>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</si>
  <si>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</si>
  <si>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</si>
  <si>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</si>
  <si>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</si>
  <si>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</si>
  <si>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</si>
  <si>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</si>
  <si>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</si>
  <si>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</si>
  <si>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</si>
  <si>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</si>
  <si>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</si>
  <si>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</si>
  <si>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</si>
  <si>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</si>
  <si>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</si>
  <si>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</si>
  <si>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</si>
  <si>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</si>
  <si>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</si>
  <si>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</si>
  <si>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</si>
  <si>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</si>
  <si>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MATRÍCULAS CONSULARES DE ALTA SEGURIDAD EXPEDIDAS A ORIGINARIOS DE CAMPECHE EN LOS CONSULADOS DE MÉXICO EN EE.UU.</t>
  </si>
  <si>
    <t xml:space="preserve">MATRÍCULAS CONSULARES EXPEDIDAS A ORIGINARIOS DE CAMPECHE POR GÉNERO EN EE.UU </t>
  </si>
  <si>
    <t>MATRÍCULAS CONSULARES EXPEDIDAS EN EE.UU. A ORIGINARIOS DE CAMPECHE POR NIVEL DE EDUCACIÓN</t>
  </si>
  <si>
    <t xml:space="preserve"> </t>
  </si>
  <si>
    <t>MATRÍCULAS CONSULARES DE ALTA SEGURIDAD EXPEDIDAS POR MUNICIPIO A ORIGINARIOS DEL ESTADO DE CAMPECHE EN LOS CONSULADOS DE MÉXICO EN EE.UU.</t>
  </si>
  <si>
    <t>MATRÍCULAS CONSULARES DE ALTA SEGURIDAD EXPEDIDAS A ORIGINARIOS DE CAMPECHE POR ESTADO DE LA UNIÓN AMERICANA.</t>
  </si>
  <si>
    <t>MATRÍCULAS CONSULARES EXPEDIDAS A ORIGINARIOS DE CAMPECHE POR GÉNERO Y CONSULADO</t>
  </si>
  <si>
    <t>5.3 Por Estado de la Unión Americana</t>
  </si>
  <si>
    <t>MATRÍCULAS CONSULARES EXPEDIDAS A ORIGINARIOS DE CAMPECHE POR GÉNERO Y POR ESTADO DE LA UNIÓN AMERICANA</t>
  </si>
  <si>
    <t>LOS 10 CONSULADOS  DE MÉXICO EN EE.UU., CON MAYOR NÚMERO DE EXPEDICIÓN DE  MATRÍCULAS CONSULARES DE ALTA SEGURIDAD A ORIGINARIOS DE CAMPECHE</t>
  </si>
  <si>
    <t>TOTAL TOP 10</t>
  </si>
  <si>
    <t xml:space="preserve">TOTAL GENERAL </t>
  </si>
  <si>
    <t>ATLANTA</t>
  </si>
  <si>
    <t>OMAHA</t>
  </si>
  <si>
    <t>RALEIGH</t>
  </si>
  <si>
    <t>DALLAS</t>
  </si>
  <si>
    <t>ORLANDO</t>
  </si>
  <si>
    <t>CHICAGO</t>
  </si>
  <si>
    <t>HOUSTON</t>
  </si>
  <si>
    <t>LOS ANGELES</t>
  </si>
  <si>
    <t>SACRAMENTO</t>
  </si>
  <si>
    <t>AUSTIN</t>
  </si>
  <si>
    <t>LITTLE ROCK</t>
  </si>
  <si>
    <t>SAN JOSE</t>
  </si>
  <si>
    <t>SAN ANTONIO</t>
  </si>
  <si>
    <t>KANSAS CITY</t>
  </si>
  <si>
    <t>MCALLEN</t>
  </si>
  <si>
    <t>DENVER</t>
  </si>
  <si>
    <t>MIAMI</t>
  </si>
  <si>
    <t>INDIANAPOLIS</t>
  </si>
  <si>
    <t>SAN FRANCISCO</t>
  </si>
  <si>
    <t>LAS VEGAS</t>
  </si>
  <si>
    <t>NUEVA ORLEANS</t>
  </si>
  <si>
    <t>DETROIT</t>
  </si>
  <si>
    <t>SAINT PAUL</t>
  </si>
  <si>
    <t>OKLAHOMA CITY</t>
  </si>
  <si>
    <t>WASHINGTON</t>
  </si>
  <si>
    <t>FRESNO</t>
  </si>
  <si>
    <t>PHOENIX</t>
  </si>
  <si>
    <t>SAN BERNARDINO</t>
  </si>
  <si>
    <t>SANTA ANA</t>
  </si>
  <si>
    <t>NUEVA YORK</t>
  </si>
  <si>
    <t>OXNARD</t>
  </si>
  <si>
    <t>LAREDO</t>
  </si>
  <si>
    <t>BROWNSVILLE</t>
  </si>
  <si>
    <t>FILADELFIA</t>
  </si>
  <si>
    <t>MILWAUKEE</t>
  </si>
  <si>
    <t>BOISE</t>
  </si>
  <si>
    <t>PORTLAND</t>
  </si>
  <si>
    <t>SEATTLE</t>
  </si>
  <si>
    <t>BOSTON</t>
  </si>
  <si>
    <t>SAN DIEGO</t>
  </si>
  <si>
    <t>ALBUQUERQUE</t>
  </si>
  <si>
    <t>EL PASO</t>
  </si>
  <si>
    <t>SALT LAKE CITY</t>
  </si>
  <si>
    <t>PRESIDIO</t>
  </si>
  <si>
    <t>ALABAMA</t>
  </si>
  <si>
    <t>ARIZONA</t>
  </si>
  <si>
    <t>ARKANSAS</t>
  </si>
  <si>
    <t>CALIFORNIA</t>
  </si>
  <si>
    <t>COLORADO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</si>
  <si>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</si>
  <si>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</si>
  <si>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</si>
  <si>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</si>
  <si>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</si>
  <si>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</si>
  <si>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</si>
  <si>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</si>
  <si>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</si>
  <si>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</si>
  <si>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</si>
  <si>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</si>
  <si>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</si>
  <si>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</si>
  <si>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</si>
  <si>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</si>
  <si>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</si>
  <si>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</si>
  <si>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</si>
  <si>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</si>
  <si>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</si>
  <si>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</si>
  <si>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</si>
  <si>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</si>
  <si>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</si>
  <si>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</si>
  <si>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</si>
  <si>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</si>
  <si>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</si>
  <si>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</si>
  <si>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</si>
  <si>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</si>
  <si>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</si>
  <si>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</si>
  <si>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</si>
  <si>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</si>
  <si>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</si>
  <si>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</si>
  <si>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</si>
  <si>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CALAKMUL</t>
  </si>
  <si>
    <t>CALKINÍ</t>
  </si>
  <si>
    <t>CAMPECHE</t>
  </si>
  <si>
    <t>CANDELARIA</t>
  </si>
  <si>
    <t>CARMEN</t>
  </si>
  <si>
    <t>CHAMPOTÓN</t>
  </si>
  <si>
    <t>ESCÁRCEGA</t>
  </si>
  <si>
    <t>HECELCHAKÁN</t>
  </si>
  <si>
    <t>HOPELCHÉN</t>
  </si>
  <si>
    <t>PALIZADA</t>
  </si>
  <si>
    <t>TENABO</t>
  </si>
  <si>
    <t>NO SE REGISTRÓ EL MUNICIPIO/CONDADO/ALCALDÍA DE NACIMIENTO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</si>
  <si>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</si>
  <si>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</si>
  <si>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</si>
  <si>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</si>
  <si>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</si>
  <si>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</si>
  <si>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</si>
  <si>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</si>
  <si>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</si>
  <si>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</si>
  <si>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</si>
  <si>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</si>
  <si>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</si>
  <si>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</si>
  <si>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</si>
  <si>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</si>
  <si>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</si>
  <si>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</si>
  <si>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</si>
  <si>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</si>
  <si>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</si>
  <si>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</si>
  <si>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</si>
  <si>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</si>
  <si>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</si>
  <si>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</si>
  <si>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</si>
  <si>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</si>
  <si>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ENTRE 11 Y 17 AÑOS</t>
  </si>
  <si>
    <t>EMPLEADO(A)</t>
  </si>
  <si>
    <t>HOGAR</t>
  </si>
  <si>
    <t>CONSTRUCCIÓN, TRAB. DE LA IND. DE LA</t>
  </si>
  <si>
    <t>OBRERO(A)</t>
  </si>
  <si>
    <t>ALIMENTOS Y BEBIDAS, ESP. EN PREPARACIÓN DE</t>
  </si>
  <si>
    <t>JARDINERO(A)</t>
  </si>
  <si>
    <t>ESTUDIANTE</t>
  </si>
  <si>
    <t>PINTOR(A)</t>
  </si>
  <si>
    <t>AGROPECUARIA, TRAB. DE LA INDUSTRIA</t>
  </si>
  <si>
    <t>LIMPIEZA, EMPLEADO DE</t>
  </si>
  <si>
    <t>CARPINTERO/TAPICERO</t>
  </si>
  <si>
    <t>PROFESIONISTA</t>
  </si>
  <si>
    <t>DESEMPLEADO</t>
  </si>
  <si>
    <t>MECÁNICO(A)</t>
  </si>
  <si>
    <t>MESERO(A)</t>
  </si>
  <si>
    <t>TÉCNICO(A) EN MANTENIMIENTO</t>
  </si>
  <si>
    <t>CAJERO(A)/COBRADOR(A)</t>
  </si>
  <si>
    <t>CHOFER</t>
  </si>
  <si>
    <t>EMPRESARIO(A)</t>
  </si>
  <si>
    <t>OPERARIO(A)</t>
  </si>
  <si>
    <t>SIN ESPECIFICAR</t>
  </si>
  <si>
    <t>SOLDADOR</t>
  </si>
  <si>
    <t>VENDEDOR(A)</t>
  </si>
  <si>
    <t>ARTESANO(A)</t>
  </si>
  <si>
    <t>ARTISTA INTERPRETATIVO(A)</t>
  </si>
  <si>
    <t>BELLEZA, PROFESIONAL DE SERVICIOS DE</t>
  </si>
  <si>
    <t>CARNICERO(A)</t>
  </si>
  <si>
    <t>GERENTE/DIRECTOR(A)</t>
  </si>
  <si>
    <t>HOJALATERO</t>
  </si>
  <si>
    <t>INGENIERO(A)</t>
  </si>
  <si>
    <t>JUBILADO(A)/PENSIONADO(A)</t>
  </si>
  <si>
    <t>MARINERO</t>
  </si>
  <si>
    <t>POLICÍA/ SERV. SEGURIDAD Y PROTECCIÓN</t>
  </si>
  <si>
    <t>PROFESIONAL TÉCNICO</t>
  </si>
  <si>
    <t>PROFESOR(A)</t>
  </si>
  <si>
    <t>RECICLAJE, TRAB. DE LA INDUSTRIA DEL</t>
  </si>
  <si>
    <t>Matrículas consulares expedidas a originarios de Campeche en el 2023</t>
  </si>
  <si>
    <t>Tamaño de la muestra: 789,030</t>
  </si>
  <si>
    <t>Elaborado por: Análisis de Información, Instituto de Mexicanas y Mexicanos en el Exterior</t>
  </si>
  <si>
    <t>Noviembre de 2024</t>
  </si>
  <si>
    <t>MATRÍCULAS CONSULARES EXPEDIDAS A ORIGINARIOS DE CAMPECHE POR GÉNERO Y 
EDAD EN EE.UU.</t>
  </si>
  <si>
    <t>MATRÍCULAS CONSULARES EXPEDIDAS EN EE.UU.  ORIGINARIOS DE CAMPECHE POR PERFIL OCUPACIONAL.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</si>
</sst>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499984740745262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/>
    <xf numFmtId="0" fontId="16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3" fontId="26" fillId="7" borderId="9" xfId="0" applyNumberFormat="1" applyFont="1" applyFill="1" applyBorder="1" applyAlignment="1">
      <alignment horizontal="right" vertical="center" wrapText="1"/>
    </xf>
    <xf numFmtId="164" fontId="26" fillId="7" borderId="9" xfId="0" applyNumberFormat="1" applyFont="1" applyFill="1" applyBorder="1" applyAlignment="1">
      <alignment horizontal="right" vertical="center" wrapText="1"/>
    </xf>
    <xf numFmtId="49" fontId="26" fillId="8" borderId="12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26" fillId="6" borderId="10" xfId="3" applyFont="1" applyFill="1" applyBorder="1" applyAlignment="1">
      <alignment horizontal="center" vertical="center" wrapText="1"/>
    </xf>
    <xf numFmtId="165" fontId="6" fillId="4" borderId="9" xfId="0" applyNumberFormat="1" applyFont="1" applyFill="1" applyBorder="1" applyAlignment="1">
      <alignment horizontal="right" vertical="top" wrapText="1"/>
    </xf>
    <xf numFmtId="164" fontId="6" fillId="4" borderId="9" xfId="0" applyNumberFormat="1" applyFont="1" applyFill="1" applyBorder="1" applyAlignment="1">
      <alignment horizontal="right" vertical="top" wrapText="1"/>
    </xf>
    <xf numFmtId="49" fontId="26" fillId="10" borderId="9" xfId="0" applyNumberFormat="1" applyFont="1" applyFill="1" applyBorder="1" applyAlignment="1">
      <alignment vertical="center" wrapText="1"/>
    </xf>
    <xf numFmtId="3" fontId="26" fillId="10" borderId="9" xfId="0" applyNumberFormat="1" applyFont="1" applyFill="1" applyBorder="1" applyAlignment="1">
      <alignment horizontal="right" vertical="center" wrapText="1"/>
    </xf>
    <xf numFmtId="164" fontId="26" fillId="10" borderId="9" xfId="0" applyNumberFormat="1" applyFont="1" applyFill="1" applyBorder="1" applyAlignment="1">
      <alignment horizontal="right" vertical="center" wrapText="1"/>
    </xf>
    <xf numFmtId="3" fontId="26" fillId="11" borderId="9" xfId="0" applyNumberFormat="1" applyFont="1" applyFill="1" applyBorder="1" applyAlignment="1">
      <alignment horizontal="right" vertical="center" wrapText="1"/>
    </xf>
    <xf numFmtId="164" fontId="26" fillId="11" borderId="9" xfId="0" applyNumberFormat="1" applyFont="1" applyFill="1" applyBorder="1" applyAlignment="1">
      <alignment horizontal="right" vertical="center" wrapText="1"/>
    </xf>
    <xf numFmtId="49" fontId="15" fillId="3" borderId="9" xfId="0" applyNumberFormat="1" applyFont="1" applyFill="1" applyBorder="1" applyAlignment="1">
      <alignment vertical="top" wrapText="1"/>
    </xf>
    <xf numFmtId="165" fontId="15" fillId="3" borderId="9" xfId="0" applyNumberFormat="1" applyFont="1" applyFill="1" applyBorder="1" applyAlignment="1">
      <alignment horizontal="right" vertical="top" wrapText="1"/>
    </xf>
    <xf numFmtId="164" fontId="15" fillId="3" borderId="9" xfId="0" applyNumberFormat="1" applyFont="1" applyFill="1" applyBorder="1" applyAlignment="1">
      <alignment horizontal="right" vertical="top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49" fontId="15" fillId="3" borderId="9" xfId="0" applyNumberFormat="1" applyFont="1" applyFill="1" applyBorder="1" applyAlignment="1">
      <alignment horizontal="center" vertical="center" wrapText="1"/>
    </xf>
    <xf numFmtId="49" fontId="6" fillId="9" borderId="9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49" fontId="26" fillId="11" borderId="9" xfId="0" applyNumberFormat="1" applyFont="1" applyFill="1" applyBorder="1" applyAlignment="1">
      <alignment horizontal="center" vertical="center" wrapText="1"/>
    </xf>
    <xf numFmtId="49" fontId="26" fillId="7" borderId="13" xfId="0" applyNumberFormat="1" applyFont="1" applyFill="1" applyBorder="1" applyAlignment="1">
      <alignment horizontal="center" vertical="center" wrapText="1"/>
    </xf>
    <xf numFmtId="49" fontId="26" fillId="7" borderId="12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top" wrapText="1"/>
    </xf>
    <xf numFmtId="49" fontId="6" fillId="4" borderId="12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365841</xdr:colOff>
      <xdr:row>1</xdr:row>
      <xdr:rowOff>209242</xdr:rowOff>
    </xdr:from>
    <xdr:to>
      <xdr:col>3</xdr:col>
      <xdr:colOff>877938</xdr:colOff>
      <xdr:row>2</xdr:row>
      <xdr:rowOff>209242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51991" y="7426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182219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685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891071</xdr:colOff>
      <xdr:row>1</xdr:row>
      <xdr:rowOff>135835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68549" y="32909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76200</xdr:rowOff>
    </xdr:from>
    <xdr:to>
      <xdr:col>5</xdr:col>
      <xdr:colOff>16797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552950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0</xdr:rowOff>
    </xdr:from>
    <xdr:to>
      <xdr:col>1</xdr:col>
      <xdr:colOff>391084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57CBB1-3074-40EA-852F-A98428728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0</xdr:row>
      <xdr:rowOff>171450</xdr:rowOff>
    </xdr:from>
    <xdr:to>
      <xdr:col>1</xdr:col>
      <xdr:colOff>448234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5A17148-C44E-46A4-976A-57FCFC809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180975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314700" y="1524000"/>
          <a:ext cx="67627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171450</xdr:rowOff>
    </xdr:from>
    <xdr:to>
      <xdr:col>1</xdr:col>
      <xdr:colOff>381559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B079570-1615-4899-A8F0-811BE240B4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85725</xdr:rowOff>
    </xdr:from>
    <xdr:to>
      <xdr:col>5</xdr:col>
      <xdr:colOff>169197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324225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145677</xdr:colOff>
      <xdr:row>1</xdr:row>
      <xdr:rowOff>11206</xdr:rowOff>
    </xdr:from>
    <xdr:to>
      <xdr:col>1</xdr:col>
      <xdr:colOff>453837</xdr:colOff>
      <xdr:row>3</xdr:row>
      <xdr:rowOff>344580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C69B795-0CFE-4664-A1BB-516EE93C7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677" y="201706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CAMPECHE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504498</xdr:colOff>
      <xdr:row>7</xdr:row>
      <xdr:rowOff>58597</xdr:rowOff>
    </xdr:from>
    <xdr:to>
      <xdr:col>4</xdr:col>
      <xdr:colOff>1068306</xdr:colOff>
      <xdr:row>7</xdr:row>
      <xdr:rowOff>238474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352910" y="1806715"/>
          <a:ext cx="563808" cy="17987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123825</xdr:rowOff>
    </xdr:from>
    <xdr:to>
      <xdr:col>1</xdr:col>
      <xdr:colOff>962584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9B37AF7-851D-4279-A47A-1C792E7F8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CAMPECHE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476623</xdr:colOff>
      <xdr:row>7</xdr:row>
      <xdr:rowOff>109070</xdr:rowOff>
    </xdr:from>
    <xdr:to>
      <xdr:col>4</xdr:col>
      <xdr:colOff>1037652</xdr:colOff>
      <xdr:row>7</xdr:row>
      <xdr:rowOff>294901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325035" y="1857188"/>
          <a:ext cx="561029" cy="18583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133350</xdr:rowOff>
    </xdr:from>
    <xdr:to>
      <xdr:col>1</xdr:col>
      <xdr:colOff>981634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7ED2022-7E1F-4A4A-9DF4-570C5C1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8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145677</xdr:colOff>
      <xdr:row>0</xdr:row>
      <xdr:rowOff>156883</xdr:rowOff>
    </xdr:from>
    <xdr:to>
      <xdr:col>1</xdr:col>
      <xdr:colOff>453837</xdr:colOff>
      <xdr:row>3</xdr:row>
      <xdr:rowOff>299757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AC4A49F-686B-484A-9353-5CA9DA142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677" y="156883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CAMPECHE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493058</xdr:colOff>
      <xdr:row>7</xdr:row>
      <xdr:rowOff>89647</xdr:rowOff>
    </xdr:from>
    <xdr:to>
      <xdr:col>4</xdr:col>
      <xdr:colOff>1005155</xdr:colOff>
      <xdr:row>7</xdr:row>
      <xdr:rowOff>280147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341470" y="183776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953059</xdr:colOff>
      <xdr:row>3</xdr:row>
      <xdr:rowOff>276224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784E2E6-EDFA-4896-AFD6-922C50BA7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9525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CAMPECHE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557122</xdr:colOff>
      <xdr:row>7</xdr:row>
      <xdr:rowOff>152758</xdr:rowOff>
    </xdr:from>
    <xdr:to>
      <xdr:col>4</xdr:col>
      <xdr:colOff>1069219</xdr:colOff>
      <xdr:row>7</xdr:row>
      <xdr:rowOff>341461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91622" y="1486258"/>
          <a:ext cx="512097" cy="363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142875</xdr:rowOff>
    </xdr:from>
    <xdr:to>
      <xdr:col>1</xdr:col>
      <xdr:colOff>1000684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F54F087-C05A-479B-B3F5-237B59FFB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152400</xdr:rowOff>
    </xdr:from>
    <xdr:to>
      <xdr:col>5</xdr:col>
      <xdr:colOff>26322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18135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47625</xdr:colOff>
      <xdr:row>0</xdr:row>
      <xdr:rowOff>161925</xdr:rowOff>
    </xdr:from>
    <xdr:to>
      <xdr:col>1</xdr:col>
      <xdr:colOff>352984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B986254-0C5B-4F1F-98DB-4D8DB0E58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26957</xdr:colOff>
      <xdr:row>7</xdr:row>
      <xdr:rowOff>161746</xdr:rowOff>
    </xdr:from>
    <xdr:to>
      <xdr:col>6</xdr:col>
      <xdr:colOff>161649</xdr:colOff>
      <xdr:row>8</xdr:row>
      <xdr:rowOff>161746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3836957" y="1495246"/>
          <a:ext cx="89669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114300</xdr:rowOff>
    </xdr:from>
    <xdr:to>
      <xdr:col>1</xdr:col>
      <xdr:colOff>953059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962A0AF-85A1-4512-BD1D-B301262C4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909607</xdr:colOff>
      <xdr:row>8</xdr:row>
      <xdr:rowOff>187146</xdr:rowOff>
    </xdr:from>
    <xdr:to>
      <xdr:col>5</xdr:col>
      <xdr:colOff>383899</xdr:colOff>
      <xdr:row>9</xdr:row>
      <xdr:rowOff>187146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284757" y="1711146"/>
          <a:ext cx="53474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114300</xdr:rowOff>
    </xdr:from>
    <xdr:to>
      <xdr:col>1</xdr:col>
      <xdr:colOff>1010209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B44A3D8-04CB-4746-8E13-A18E0CE5A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856020</xdr:colOff>
      <xdr:row>8</xdr:row>
      <xdr:rowOff>190296</xdr:rowOff>
    </xdr:from>
    <xdr:to>
      <xdr:col>6</xdr:col>
      <xdr:colOff>235290</xdr:colOff>
      <xdr:row>9</xdr:row>
      <xdr:rowOff>190296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72620" y="1714296"/>
          <a:ext cx="534970" cy="190500"/>
        </a:xfrm>
        <a:prstGeom prst="roundRect">
          <a:avLst>
            <a:gd name="adj" fmla="val 0"/>
          </a:avLst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40968</xdr:colOff>
      <xdr:row>0</xdr:row>
      <xdr:rowOff>81936</xdr:rowOff>
    </xdr:from>
    <xdr:to>
      <xdr:col>1</xdr:col>
      <xdr:colOff>965452</xdr:colOff>
      <xdr:row>3</xdr:row>
      <xdr:rowOff>263729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6BCC951-1E2F-42F3-8F97-637397D82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920" y="81936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187739</xdr:colOff>
      <xdr:row>8</xdr:row>
      <xdr:rowOff>22087</xdr:rowOff>
    </xdr:from>
    <xdr:to>
      <xdr:col>5</xdr:col>
      <xdr:colOff>53792</xdr:colOff>
      <xdr:row>8</xdr:row>
      <xdr:rowOff>212587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068956" y="175591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0</xdr:row>
      <xdr:rowOff>180975</xdr:rowOff>
    </xdr:from>
    <xdr:to>
      <xdr:col>1</xdr:col>
      <xdr:colOff>429184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8E60075-6ABF-4EE3-BECF-A30E15E2E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8097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tabSelected="1" view="pageBreakPreview" zoomScaleNormal="100" zoomScaleSheetLayoutView="100" workbookViewId="0">
      <selection activeCell="D5" sqref="D5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9" t="s">
        <v>212</v>
      </c>
      <c r="B1" s="80"/>
      <c r="C1" s="80"/>
      <c r="D1" s="81"/>
    </row>
    <row r="2" spans="1:4">
      <c r="A2" s="2"/>
      <c r="B2" s="3"/>
      <c r="C2" s="3"/>
      <c r="D2" s="4"/>
    </row>
    <row r="3" spans="1:4">
      <c r="A3" s="82" t="s">
        <v>0</v>
      </c>
      <c r="B3" s="83"/>
      <c r="C3" s="83"/>
      <c r="D3" s="84"/>
    </row>
    <row r="4" spans="1:4">
      <c r="A4" s="82"/>
      <c r="B4" s="83"/>
      <c r="C4" s="83"/>
      <c r="D4" s="84"/>
    </row>
    <row r="5" spans="1:4">
      <c r="A5" s="5"/>
      <c r="B5" s="6"/>
      <c r="C5" s="6"/>
      <c r="D5" s="7"/>
    </row>
    <row r="6" spans="1:4" ht="18.5">
      <c r="A6" s="76" t="s">
        <v>1</v>
      </c>
      <c r="B6" s="77"/>
      <c r="C6" s="77"/>
      <c r="D6" s="78"/>
    </row>
    <row r="7" spans="1:4">
      <c r="A7" s="8"/>
      <c r="D7" s="9"/>
    </row>
    <row r="8" spans="1:4" ht="18.5">
      <c r="A8" s="76" t="s">
        <v>2</v>
      </c>
      <c r="B8" s="77"/>
      <c r="C8" s="77"/>
      <c r="D8" s="78"/>
    </row>
    <row r="9" spans="1:4" ht="18.5">
      <c r="A9" s="8"/>
      <c r="B9" s="76" t="s">
        <v>3</v>
      </c>
      <c r="C9" s="77"/>
      <c r="D9" s="77"/>
    </row>
    <row r="10" spans="1:4">
      <c r="A10" s="8"/>
      <c r="D10" s="9"/>
    </row>
    <row r="11" spans="1:4">
      <c r="A11" s="8" t="s">
        <v>4</v>
      </c>
      <c r="D11" s="9"/>
    </row>
    <row r="12" spans="1:4" ht="18.5">
      <c r="A12" s="8"/>
      <c r="B12" s="76" t="s">
        <v>5</v>
      </c>
      <c r="C12" s="77"/>
      <c r="D12" s="77"/>
    </row>
    <row r="13" spans="1:4" ht="18.5">
      <c r="A13" s="8"/>
      <c r="B13" s="76" t="s">
        <v>6</v>
      </c>
      <c r="C13" s="77"/>
      <c r="D13" s="77"/>
    </row>
    <row r="14" spans="1:4" ht="18.5">
      <c r="A14" s="8"/>
      <c r="B14" s="76" t="s">
        <v>7</v>
      </c>
      <c r="C14" s="77"/>
      <c r="D14" s="77"/>
    </row>
    <row r="15" spans="1:4">
      <c r="A15" s="8"/>
      <c r="D15" s="9"/>
    </row>
    <row r="16" spans="1:4">
      <c r="A16" s="8" t="s">
        <v>8</v>
      </c>
      <c r="D16" s="9"/>
    </row>
    <row r="17" spans="1:4" ht="18.5">
      <c r="A17" s="8"/>
      <c r="B17" s="76" t="s">
        <v>9</v>
      </c>
      <c r="C17" s="77"/>
      <c r="D17" s="77"/>
    </row>
    <row r="18" spans="1:4" ht="18.5">
      <c r="A18" s="8"/>
      <c r="B18" s="76" t="s">
        <v>10</v>
      </c>
      <c r="C18" s="77"/>
      <c r="D18" s="77"/>
    </row>
    <row r="19" spans="1:4" ht="18.5">
      <c r="A19" s="8"/>
      <c r="B19" s="76" t="s">
        <v>11</v>
      </c>
      <c r="C19" s="77"/>
      <c r="D19" s="77"/>
    </row>
    <row r="20" spans="1:4">
      <c r="A20" s="8"/>
      <c r="D20" s="9"/>
    </row>
    <row r="21" spans="1:4">
      <c r="A21" s="8" t="s">
        <v>12</v>
      </c>
      <c r="D21" s="9"/>
    </row>
    <row r="22" spans="1:4" ht="18.5">
      <c r="A22" s="8"/>
      <c r="B22" s="76" t="s">
        <v>13</v>
      </c>
      <c r="C22" s="77"/>
      <c r="D22" s="77"/>
    </row>
    <row r="23" spans="1:4" ht="18.5">
      <c r="A23" s="8"/>
      <c r="B23" s="76" t="s">
        <v>34</v>
      </c>
      <c r="C23" s="77"/>
      <c r="D23" s="77"/>
    </row>
    <row r="24" spans="1:4" ht="18.5">
      <c r="A24" s="8"/>
      <c r="B24" s="76" t="s">
        <v>42</v>
      </c>
      <c r="C24" s="77"/>
      <c r="D24" s="77"/>
    </row>
    <row r="25" spans="1:4">
      <c r="A25" s="8"/>
      <c r="D25" s="9"/>
    </row>
    <row r="26" spans="1:4" ht="18.5">
      <c r="A26" s="76" t="s">
        <v>14</v>
      </c>
      <c r="B26" s="77"/>
      <c r="C26" s="77"/>
      <c r="D26" s="78"/>
    </row>
    <row r="27" spans="1:4">
      <c r="A27" s="8"/>
      <c r="D27" s="9"/>
    </row>
    <row r="28" spans="1:4" ht="18.5">
      <c r="A28" s="76" t="s">
        <v>15</v>
      </c>
      <c r="B28" s="77"/>
      <c r="C28" s="77"/>
      <c r="D28" s="78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ampeche_USAMuni!A1" display="3.2 Por Estado de USA" xr:uid="{00000000-0004-0000-0000-00000D000000}"/>
    <hyperlink ref="A8:D8" location="Campeche_Cons!A1" display="2. Por Circunscripción Consular" xr:uid="{00000000-0004-0000-0000-00000E000000}"/>
    <hyperlink ref="B9:D9" location="CampecheXCons!A1" display="2.1 Top ten por circunscripción consular" xr:uid="{00000000-0004-0000-0000-00000F000000}"/>
    <hyperlink ref="A6:D6" location="Campeche_EdoUsa!A1" display="1. Por Estados de USA" xr:uid="{00000000-0004-0000-0000-000010000000}"/>
    <hyperlink ref="B12:D12" location="Campeche_EdoMun!A1" display="3.1 Municipio general" xr:uid="{00000000-0004-0000-0000-000011000000}"/>
    <hyperlink ref="B14:D14" location="Campeche_MUNICIPIO!A1" display="3.3 Por Circunscripción Consular" xr:uid="{00000000-0004-0000-0000-000012000000}"/>
    <hyperlink ref="B17:D17" location="Campeche_educ_gral!A1" display="4.1 Educación general" xr:uid="{00000000-0004-0000-0000-000013000000}"/>
    <hyperlink ref="B18:D18" location="Campeche_NivelE_Cons!A1" display="4.2 Por Estado de USA" xr:uid="{00000000-0004-0000-0000-000014000000}"/>
    <hyperlink ref="B19:D19" location="Campeche_EducCons!A1" display="4.3 Por Circunscripción Consular" xr:uid="{00000000-0004-0000-0000-000015000000}"/>
    <hyperlink ref="B22:D22" location="Campeche_GenGral!A1" display="5.1 Género General" xr:uid="{00000000-0004-0000-0000-000016000000}"/>
    <hyperlink ref="B23:D23" location="Campeche_GENERO!A1" display="5.2 Por Circunscripción Consular" xr:uid="{00000000-0004-0000-0000-000017000000}"/>
    <hyperlink ref="A26:D26" location="Campeche_Gen_Edad!A1" display="6. Por estructura de Edad" xr:uid="{00000000-0004-0000-0000-000018000000}"/>
    <hyperlink ref="A28:D28" location="Campeche_ocup_gral!A1" display="7. Por Ocupación" xr:uid="{00000000-0004-0000-0000-000019000000}"/>
    <hyperlink ref="B24" location="Campeche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tilla_PorMunicipio1">
    <tabColor rgb="FFFF0000"/>
  </sheetPr>
  <dimension ref="B1:D61"/>
  <sheetViews>
    <sheetView showGridLines="0" view="pageBreakPreview" topLeftCell="A48" zoomScale="115" zoomScaleNormal="100" zoomScaleSheetLayoutView="115" workbookViewId="0">
      <selection activeCell="G11" sqref="G11"/>
    </sheetView>
  </sheetViews>
  <sheetFormatPr baseColWidth="10" defaultColWidth="11.453125" defaultRowHeight="14.5"/>
  <cols>
    <col min="1" max="1" width="9.26953125" style="13" customWidth="1"/>
    <col min="2" max="2" width="25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40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0" customHeight="1">
      <c r="B11" s="28" t="s">
        <v>20</v>
      </c>
      <c r="C11" s="27" t="s">
        <v>19</v>
      </c>
      <c r="D11" s="26" t="s">
        <v>18</v>
      </c>
    </row>
    <row r="12" spans="2:4">
      <c r="B12" s="23" t="s">
        <v>91</v>
      </c>
      <c r="C12" s="22">
        <v>71</v>
      </c>
      <c r="D12" s="21">
        <v>4.1496201052015999E-2</v>
      </c>
    </row>
    <row r="13" spans="2:4">
      <c r="B13" s="23" t="s">
        <v>92</v>
      </c>
      <c r="C13" s="22">
        <v>23</v>
      </c>
      <c r="D13" s="21">
        <v>1.3442431326710001E-2</v>
      </c>
    </row>
    <row r="14" spans="2:4">
      <c r="B14" s="23" t="s">
        <v>93</v>
      </c>
      <c r="C14" s="22">
        <v>33</v>
      </c>
      <c r="D14" s="21">
        <v>1.9286966686147999E-2</v>
      </c>
    </row>
    <row r="15" spans="2:4">
      <c r="B15" s="23" t="s">
        <v>94</v>
      </c>
      <c r="C15" s="22">
        <v>308</v>
      </c>
      <c r="D15" s="21">
        <v>0.18001168907071899</v>
      </c>
    </row>
    <row r="16" spans="2:4">
      <c r="B16" s="23" t="s">
        <v>95</v>
      </c>
      <c r="C16" s="22">
        <v>45</v>
      </c>
      <c r="D16" s="21">
        <v>2.6300409117474999E-2</v>
      </c>
    </row>
    <row r="17" spans="2:4">
      <c r="B17" s="23" t="s">
        <v>96</v>
      </c>
      <c r="C17" s="22">
        <v>1</v>
      </c>
      <c r="D17" s="21">
        <v>5.8445353594399998E-4</v>
      </c>
    </row>
    <row r="18" spans="2:4">
      <c r="B18" s="23" t="s">
        <v>97</v>
      </c>
      <c r="C18" s="22">
        <v>130</v>
      </c>
      <c r="D18" s="21">
        <v>7.5978959672706001E-2</v>
      </c>
    </row>
    <row r="19" spans="2:4">
      <c r="B19" s="23" t="s">
        <v>98</v>
      </c>
      <c r="C19" s="22">
        <v>59</v>
      </c>
      <c r="D19" s="21">
        <v>3.4482758620690002E-2</v>
      </c>
    </row>
    <row r="20" spans="2:4">
      <c r="B20" s="23" t="s">
        <v>99</v>
      </c>
      <c r="C20" s="22">
        <v>2</v>
      </c>
      <c r="D20" s="21">
        <v>1.168907071888E-3</v>
      </c>
    </row>
    <row r="21" spans="2:4">
      <c r="B21" s="23" t="s">
        <v>100</v>
      </c>
      <c r="C21" s="22">
        <v>8</v>
      </c>
      <c r="D21" s="21">
        <v>4.6756282875509998E-3</v>
      </c>
    </row>
    <row r="22" spans="2:4">
      <c r="B22" s="23" t="s">
        <v>101</v>
      </c>
      <c r="C22" s="22">
        <v>47</v>
      </c>
      <c r="D22" s="21">
        <v>2.7469316189363002E-2</v>
      </c>
    </row>
    <row r="23" spans="2:4">
      <c r="B23" s="23" t="s">
        <v>102</v>
      </c>
      <c r="C23" s="22">
        <v>44</v>
      </c>
      <c r="D23" s="21">
        <v>2.5715955581530999E-2</v>
      </c>
    </row>
    <row r="24" spans="2:4">
      <c r="B24" s="23" t="s">
        <v>103</v>
      </c>
      <c r="C24" s="22">
        <v>16</v>
      </c>
      <c r="D24" s="21">
        <v>9.3512565751019995E-3</v>
      </c>
    </row>
    <row r="25" spans="2:4">
      <c r="B25" s="23" t="s">
        <v>104</v>
      </c>
      <c r="C25" s="22">
        <v>33</v>
      </c>
      <c r="D25" s="21">
        <v>1.9286966686147999E-2</v>
      </c>
    </row>
    <row r="26" spans="2:4">
      <c r="B26" s="23" t="s">
        <v>105</v>
      </c>
      <c r="C26" s="22">
        <v>11</v>
      </c>
      <c r="D26" s="21">
        <v>6.4289888953829996E-3</v>
      </c>
    </row>
    <row r="27" spans="2:4">
      <c r="B27" s="23" t="s">
        <v>106</v>
      </c>
      <c r="C27" s="22">
        <v>10</v>
      </c>
      <c r="D27" s="21">
        <v>5.8445353594389999E-3</v>
      </c>
    </row>
    <row r="28" spans="2:4">
      <c r="B28" s="23" t="s">
        <v>107</v>
      </c>
      <c r="C28" s="22">
        <v>9</v>
      </c>
      <c r="D28" s="21">
        <v>5.2600818234950003E-3</v>
      </c>
    </row>
    <row r="29" spans="2:4">
      <c r="B29" s="23" t="s">
        <v>108</v>
      </c>
      <c r="C29" s="22">
        <v>2</v>
      </c>
      <c r="D29" s="21">
        <v>1.168907071888E-3</v>
      </c>
    </row>
    <row r="30" spans="2:4">
      <c r="B30" s="23" t="s">
        <v>109</v>
      </c>
      <c r="C30" s="22">
        <v>12</v>
      </c>
      <c r="D30" s="21">
        <v>7.0134424313270001E-3</v>
      </c>
    </row>
    <row r="31" spans="2:4">
      <c r="B31" s="23" t="s">
        <v>110</v>
      </c>
      <c r="C31" s="22">
        <v>25</v>
      </c>
      <c r="D31" s="21">
        <v>1.4611338398597001E-2</v>
      </c>
    </row>
    <row r="32" spans="2:4">
      <c r="B32" s="23" t="s">
        <v>111</v>
      </c>
      <c r="C32" s="22">
        <v>23</v>
      </c>
      <c r="D32" s="21">
        <v>1.3442431326710001E-2</v>
      </c>
    </row>
    <row r="33" spans="2:4">
      <c r="B33" s="23" t="s">
        <v>112</v>
      </c>
      <c r="C33" s="22">
        <v>21</v>
      </c>
      <c r="D33" s="21">
        <v>1.2273524254822E-2</v>
      </c>
    </row>
    <row r="34" spans="2:4">
      <c r="B34" s="23" t="s">
        <v>113</v>
      </c>
      <c r="C34" s="22">
        <v>1</v>
      </c>
      <c r="D34" s="21">
        <v>5.8445353594399998E-4</v>
      </c>
    </row>
    <row r="35" spans="2:4">
      <c r="B35" s="23" t="s">
        <v>114</v>
      </c>
      <c r="C35" s="22">
        <v>90</v>
      </c>
      <c r="D35" s="21">
        <v>5.2600818234949998E-2</v>
      </c>
    </row>
    <row r="36" spans="2:4">
      <c r="B36" s="23" t="s">
        <v>115</v>
      </c>
      <c r="C36" s="22">
        <v>41</v>
      </c>
      <c r="D36" s="21">
        <v>2.3962594973699999E-2</v>
      </c>
    </row>
    <row r="37" spans="2:4">
      <c r="B37" s="23" t="s">
        <v>116</v>
      </c>
      <c r="C37" s="22">
        <v>8</v>
      </c>
      <c r="D37" s="21">
        <v>4.6756282875509998E-3</v>
      </c>
    </row>
    <row r="38" spans="2:4">
      <c r="B38" s="23" t="s">
        <v>117</v>
      </c>
      <c r="C38" s="22">
        <v>3</v>
      </c>
      <c r="D38" s="21">
        <v>1.753360607832E-3</v>
      </c>
    </row>
    <row r="39" spans="2:4">
      <c r="B39" s="23" t="s">
        <v>118</v>
      </c>
      <c r="C39" s="22">
        <v>12</v>
      </c>
      <c r="D39" s="21">
        <v>7.0134424313270001E-3</v>
      </c>
    </row>
    <row r="40" spans="2:4">
      <c r="B40" s="23" t="s">
        <v>119</v>
      </c>
      <c r="C40" s="22">
        <v>59</v>
      </c>
      <c r="D40" s="21">
        <v>3.4482758620690002E-2</v>
      </c>
    </row>
    <row r="41" spans="2:4">
      <c r="B41" s="23" t="s">
        <v>120</v>
      </c>
      <c r="C41" s="22">
        <v>35</v>
      </c>
      <c r="D41" s="21">
        <v>2.0455873758036001E-2</v>
      </c>
    </row>
    <row r="42" spans="2:4">
      <c r="B42" s="23" t="s">
        <v>121</v>
      </c>
      <c r="C42" s="22">
        <v>36</v>
      </c>
      <c r="D42" s="21">
        <v>2.1040327293980001E-2</v>
      </c>
    </row>
    <row r="43" spans="2:4">
      <c r="B43" s="23" t="s">
        <v>122</v>
      </c>
      <c r="C43" s="22">
        <v>5</v>
      </c>
      <c r="D43" s="21">
        <v>2.9222676797189999E-3</v>
      </c>
    </row>
    <row r="44" spans="2:4">
      <c r="B44" s="23" t="s">
        <v>123</v>
      </c>
      <c r="C44" s="22">
        <v>7</v>
      </c>
      <c r="D44" s="21">
        <v>4.0911747516070001E-3</v>
      </c>
    </row>
    <row r="45" spans="2:4">
      <c r="B45" s="23" t="s">
        <v>124</v>
      </c>
      <c r="C45" s="22">
        <v>1</v>
      </c>
      <c r="D45" s="21">
        <v>5.8445353594399998E-4</v>
      </c>
    </row>
    <row r="46" spans="2:4">
      <c r="B46" s="23" t="s">
        <v>125</v>
      </c>
      <c r="C46" s="22">
        <v>30</v>
      </c>
      <c r="D46" s="21">
        <v>1.7533606078316999E-2</v>
      </c>
    </row>
    <row r="47" spans="2:4">
      <c r="B47" s="23" t="s">
        <v>126</v>
      </c>
      <c r="C47" s="22">
        <v>3</v>
      </c>
      <c r="D47" s="21">
        <v>1.753360607832E-3</v>
      </c>
    </row>
    <row r="48" spans="2:4">
      <c r="B48" s="23" t="s">
        <v>127</v>
      </c>
      <c r="C48" s="22">
        <v>36</v>
      </c>
      <c r="D48" s="21">
        <v>2.1040327293980001E-2</v>
      </c>
    </row>
    <row r="49" spans="2:4">
      <c r="B49" s="23" t="s">
        <v>128</v>
      </c>
      <c r="C49" s="22">
        <v>358</v>
      </c>
      <c r="D49" s="21">
        <v>0.209234365867914</v>
      </c>
    </row>
    <row r="50" spans="2:4">
      <c r="B50" s="23" t="s">
        <v>129</v>
      </c>
      <c r="C50" s="22">
        <v>2</v>
      </c>
      <c r="D50" s="21">
        <v>1.168907071888E-3</v>
      </c>
    </row>
    <row r="51" spans="2:4">
      <c r="B51" s="23" t="s">
        <v>130</v>
      </c>
      <c r="C51" s="22">
        <v>22</v>
      </c>
      <c r="D51" s="21">
        <v>1.2857977790765999E-2</v>
      </c>
    </row>
    <row r="52" spans="2:4">
      <c r="B52" s="23" t="s">
        <v>71</v>
      </c>
      <c r="C52" s="22">
        <v>12</v>
      </c>
      <c r="D52" s="21">
        <v>7.0134424313270001E-3</v>
      </c>
    </row>
    <row r="53" spans="2:4">
      <c r="B53" s="23" t="s">
        <v>131</v>
      </c>
      <c r="C53" s="22">
        <v>15</v>
      </c>
      <c r="D53" s="21">
        <v>8.7668030391579999E-3</v>
      </c>
    </row>
    <row r="54" spans="2:4">
      <c r="B54" s="23" t="s">
        <v>132</v>
      </c>
      <c r="C54" s="22">
        <v>2</v>
      </c>
      <c r="D54" s="21">
        <v>1.168907071888E-3</v>
      </c>
    </row>
    <row r="55" spans="2:4">
      <c r="B55" s="20" t="s">
        <v>28</v>
      </c>
      <c r="C55" s="19">
        <v>1711</v>
      </c>
      <c r="D55" s="18">
        <v>1</v>
      </c>
    </row>
    <row r="57" spans="2:4">
      <c r="B57" s="15" t="s">
        <v>213</v>
      </c>
    </row>
    <row r="58" spans="2:4">
      <c r="B58" s="17" t="s">
        <v>17</v>
      </c>
    </row>
    <row r="59" spans="2:4">
      <c r="B59" s="16" t="s">
        <v>214</v>
      </c>
    </row>
    <row r="60" spans="2:4">
      <c r="B60" s="15" t="s">
        <v>16</v>
      </c>
    </row>
    <row r="61" spans="2:4">
      <c r="B61" s="15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2"/>
  <sheetViews>
    <sheetView showGridLines="0" view="pageBreakPreview" topLeftCell="A45" zoomScale="115" zoomScaleNormal="100" zoomScaleSheetLayoutView="115" workbookViewId="0">
      <selection activeCell="G12" sqref="G1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35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>
      <c r="B12" s="23" t="s">
        <v>47</v>
      </c>
      <c r="C12" s="22">
        <v>137</v>
      </c>
      <c r="D12" s="21">
        <v>8.0070134424313003E-2</v>
      </c>
    </row>
    <row r="13" spans="2:4">
      <c r="B13" s="23" t="s">
        <v>48</v>
      </c>
      <c r="C13" s="22">
        <v>106</v>
      </c>
      <c r="D13" s="21">
        <v>6.1952074810053E-2</v>
      </c>
    </row>
    <row r="14" spans="2:4">
      <c r="B14" s="23" t="s">
        <v>49</v>
      </c>
      <c r="C14" s="22">
        <v>100</v>
      </c>
      <c r="D14" s="21">
        <v>5.8445353594389002E-2</v>
      </c>
    </row>
    <row r="15" spans="2:4">
      <c r="B15" s="23" t="s">
        <v>50</v>
      </c>
      <c r="C15" s="22">
        <v>97</v>
      </c>
      <c r="D15" s="21">
        <v>5.6691992986557999E-2</v>
      </c>
    </row>
    <row r="16" spans="2:4">
      <c r="B16" s="23" t="s">
        <v>51</v>
      </c>
      <c r="C16" s="22">
        <v>84</v>
      </c>
      <c r="D16" s="21">
        <v>4.9094097019286999E-2</v>
      </c>
    </row>
    <row r="17" spans="2:4">
      <c r="B17" s="23" t="s">
        <v>52</v>
      </c>
      <c r="C17" s="22">
        <v>76</v>
      </c>
      <c r="D17" s="21">
        <v>4.4418468731736001E-2</v>
      </c>
    </row>
    <row r="18" spans="2:4">
      <c r="B18" s="23" t="s">
        <v>53</v>
      </c>
      <c r="C18" s="22">
        <v>75</v>
      </c>
      <c r="D18" s="21">
        <v>4.3834015195791998E-2</v>
      </c>
    </row>
    <row r="19" spans="2:4">
      <c r="B19" s="23" t="s">
        <v>54</v>
      </c>
      <c r="C19" s="22">
        <v>68</v>
      </c>
      <c r="D19" s="21">
        <v>3.9742840444185003E-2</v>
      </c>
    </row>
    <row r="20" spans="2:4">
      <c r="B20" s="23" t="s">
        <v>55</v>
      </c>
      <c r="C20" s="22">
        <v>68</v>
      </c>
      <c r="D20" s="21">
        <v>3.9742840444185003E-2</v>
      </c>
    </row>
    <row r="21" spans="2:4">
      <c r="B21" s="23" t="s">
        <v>56</v>
      </c>
      <c r="C21" s="22">
        <v>60</v>
      </c>
      <c r="D21" s="21">
        <v>3.5067212156633998E-2</v>
      </c>
    </row>
    <row r="22" spans="2:4">
      <c r="B22" s="23" t="s">
        <v>57</v>
      </c>
      <c r="C22" s="22">
        <v>60</v>
      </c>
      <c r="D22" s="21">
        <v>3.5067212156633998E-2</v>
      </c>
    </row>
    <row r="23" spans="2:4">
      <c r="B23" s="23" t="s">
        <v>58</v>
      </c>
      <c r="C23" s="22">
        <v>59</v>
      </c>
      <c r="D23" s="21">
        <v>3.4482758620690002E-2</v>
      </c>
    </row>
    <row r="24" spans="2:4">
      <c r="B24" s="23" t="s">
        <v>59</v>
      </c>
      <c r="C24" s="22">
        <v>51</v>
      </c>
      <c r="D24" s="21">
        <v>2.9807130333139E-2</v>
      </c>
    </row>
    <row r="25" spans="2:4">
      <c r="B25" s="23" t="s">
        <v>60</v>
      </c>
      <c r="C25" s="22">
        <v>50</v>
      </c>
      <c r="D25" s="21">
        <v>2.9222676797195E-2</v>
      </c>
    </row>
    <row r="26" spans="2:4">
      <c r="B26" s="23" t="s">
        <v>61</v>
      </c>
      <c r="C26" s="22">
        <v>50</v>
      </c>
      <c r="D26" s="21">
        <v>2.9222676797195E-2</v>
      </c>
    </row>
    <row r="27" spans="2:4">
      <c r="B27" s="23" t="s">
        <v>62</v>
      </c>
      <c r="C27" s="22">
        <v>48</v>
      </c>
      <c r="D27" s="21">
        <v>2.8053769725307001E-2</v>
      </c>
    </row>
    <row r="28" spans="2:4">
      <c r="B28" s="23" t="s">
        <v>63</v>
      </c>
      <c r="C28" s="22">
        <v>47</v>
      </c>
      <c r="D28" s="21">
        <v>2.7469316189363002E-2</v>
      </c>
    </row>
    <row r="29" spans="2:4">
      <c r="B29" s="23" t="s">
        <v>64</v>
      </c>
      <c r="C29" s="22">
        <v>40</v>
      </c>
      <c r="D29" s="21">
        <v>2.3378141437756E-2</v>
      </c>
    </row>
    <row r="30" spans="2:4">
      <c r="B30" s="23" t="s">
        <v>65</v>
      </c>
      <c r="C30" s="22">
        <v>40</v>
      </c>
      <c r="D30" s="21">
        <v>2.3378141437756E-2</v>
      </c>
    </row>
    <row r="31" spans="2:4">
      <c r="B31" s="23" t="s">
        <v>66</v>
      </c>
      <c r="C31" s="22">
        <v>38</v>
      </c>
      <c r="D31" s="21">
        <v>2.2209234365868E-2</v>
      </c>
    </row>
    <row r="32" spans="2:4">
      <c r="B32" s="23" t="s">
        <v>67</v>
      </c>
      <c r="C32" s="22">
        <v>38</v>
      </c>
      <c r="D32" s="21">
        <v>2.2209234365868E-2</v>
      </c>
    </row>
    <row r="33" spans="2:4">
      <c r="B33" s="23" t="s">
        <v>68</v>
      </c>
      <c r="C33" s="22">
        <v>32</v>
      </c>
      <c r="D33" s="21">
        <v>1.8702513150205002E-2</v>
      </c>
    </row>
    <row r="34" spans="2:4">
      <c r="B34" s="23" t="s">
        <v>69</v>
      </c>
      <c r="C34" s="22">
        <v>30</v>
      </c>
      <c r="D34" s="21">
        <v>1.7533606078316999E-2</v>
      </c>
    </row>
    <row r="35" spans="2:4">
      <c r="B35" s="23" t="s">
        <v>70</v>
      </c>
      <c r="C35" s="22">
        <v>29</v>
      </c>
      <c r="D35" s="21">
        <v>1.6949152542372999E-2</v>
      </c>
    </row>
    <row r="36" spans="2:4">
      <c r="B36" s="23" t="s">
        <v>71</v>
      </c>
      <c r="C36" s="22">
        <v>29</v>
      </c>
      <c r="D36" s="21">
        <v>1.6949152542372999E-2</v>
      </c>
    </row>
    <row r="37" spans="2:4">
      <c r="B37" s="23" t="s">
        <v>72</v>
      </c>
      <c r="C37" s="22">
        <v>25</v>
      </c>
      <c r="D37" s="21">
        <v>1.4611338398597001E-2</v>
      </c>
    </row>
    <row r="38" spans="2:4">
      <c r="B38" s="23" t="s">
        <v>73</v>
      </c>
      <c r="C38" s="22">
        <v>23</v>
      </c>
      <c r="D38" s="21">
        <v>1.3442431326710001E-2</v>
      </c>
    </row>
    <row r="39" spans="2:4">
      <c r="B39" s="23" t="s">
        <v>74</v>
      </c>
      <c r="C39" s="22">
        <v>18</v>
      </c>
      <c r="D39" s="21">
        <v>1.0520163646990001E-2</v>
      </c>
    </row>
    <row r="40" spans="2:4">
      <c r="B40" s="23" t="s">
        <v>75</v>
      </c>
      <c r="C40" s="22">
        <v>17</v>
      </c>
      <c r="D40" s="21">
        <v>9.9357101110459992E-3</v>
      </c>
    </row>
    <row r="41" spans="2:4">
      <c r="B41" s="23" t="s">
        <v>76</v>
      </c>
      <c r="C41" s="22">
        <v>16</v>
      </c>
      <c r="D41" s="21">
        <v>9.3512565751019995E-3</v>
      </c>
    </row>
    <row r="42" spans="2:4">
      <c r="B42" s="23" t="s">
        <v>77</v>
      </c>
      <c r="C42" s="22">
        <v>14</v>
      </c>
      <c r="D42" s="21">
        <v>8.1823495032140002E-3</v>
      </c>
    </row>
    <row r="43" spans="2:4">
      <c r="B43" s="23" t="s">
        <v>78</v>
      </c>
      <c r="C43" s="22">
        <v>13</v>
      </c>
      <c r="D43" s="21">
        <v>7.5978959672709998E-3</v>
      </c>
    </row>
    <row r="44" spans="2:4">
      <c r="B44" s="23" t="s">
        <v>79</v>
      </c>
      <c r="C44" s="22">
        <v>12</v>
      </c>
      <c r="D44" s="21">
        <v>7.0134424313270001E-3</v>
      </c>
    </row>
    <row r="45" spans="2:4">
      <c r="B45" s="23" t="s">
        <v>80</v>
      </c>
      <c r="C45" s="22">
        <v>11</v>
      </c>
      <c r="D45" s="21">
        <v>6.4289888953829996E-3</v>
      </c>
    </row>
    <row r="46" spans="2:4">
      <c r="B46" s="23" t="s">
        <v>81</v>
      </c>
      <c r="C46" s="22">
        <v>11</v>
      </c>
      <c r="D46" s="21">
        <v>6.4289888953829996E-3</v>
      </c>
    </row>
    <row r="47" spans="2:4">
      <c r="B47" s="23" t="s">
        <v>82</v>
      </c>
      <c r="C47" s="22">
        <v>10</v>
      </c>
      <c r="D47" s="21">
        <v>5.8445353594389999E-3</v>
      </c>
    </row>
    <row r="48" spans="2:4">
      <c r="B48" s="23" t="s">
        <v>83</v>
      </c>
      <c r="C48" s="22">
        <v>9</v>
      </c>
      <c r="D48" s="21">
        <v>5.2600818234950003E-3</v>
      </c>
    </row>
    <row r="49" spans="2:4">
      <c r="B49" s="23" t="s">
        <v>84</v>
      </c>
      <c r="C49" s="22">
        <v>7</v>
      </c>
      <c r="D49" s="21">
        <v>4.0911747516070001E-3</v>
      </c>
    </row>
    <row r="50" spans="2:4">
      <c r="B50" s="23" t="s">
        <v>85</v>
      </c>
      <c r="C50" s="22">
        <v>3</v>
      </c>
      <c r="D50" s="21">
        <v>1.753360607832E-3</v>
      </c>
    </row>
    <row r="51" spans="2:4">
      <c r="B51" s="23" t="s">
        <v>86</v>
      </c>
      <c r="C51" s="22">
        <v>3</v>
      </c>
      <c r="D51" s="21">
        <v>1.753360607832E-3</v>
      </c>
    </row>
    <row r="52" spans="2:4">
      <c r="B52" s="23" t="s">
        <v>87</v>
      </c>
      <c r="C52" s="22">
        <v>2</v>
      </c>
      <c r="D52" s="21">
        <v>1.168907071888E-3</v>
      </c>
    </row>
    <row r="53" spans="2:4">
      <c r="B53" s="23" t="s">
        <v>88</v>
      </c>
      <c r="C53" s="22">
        <v>2</v>
      </c>
      <c r="D53" s="21">
        <v>1.168907071888E-3</v>
      </c>
    </row>
    <row r="54" spans="2:4">
      <c r="B54" s="23" t="s">
        <v>89</v>
      </c>
      <c r="C54" s="22">
        <v>2</v>
      </c>
      <c r="D54" s="21">
        <v>1.168907071888E-3</v>
      </c>
    </row>
    <row r="55" spans="2:4">
      <c r="B55" s="23" t="s">
        <v>90</v>
      </c>
      <c r="C55" s="22">
        <v>1</v>
      </c>
      <c r="D55" s="21">
        <v>5.8445353594399998E-4</v>
      </c>
    </row>
    <row r="56" spans="2:4">
      <c r="B56" s="20" t="s">
        <v>28</v>
      </c>
      <c r="C56" s="19">
        <v>1711</v>
      </c>
      <c r="D56" s="18">
        <v>1</v>
      </c>
    </row>
    <row r="58" spans="2:4">
      <c r="B58" s="15" t="s">
        <v>213</v>
      </c>
    </row>
    <row r="59" spans="2:4">
      <c r="B59" s="17" t="s">
        <v>17</v>
      </c>
    </row>
    <row r="60" spans="2:4">
      <c r="B60" s="16" t="s">
        <v>214</v>
      </c>
    </row>
    <row r="61" spans="2:4">
      <c r="B61" s="15" t="s">
        <v>16</v>
      </c>
    </row>
    <row r="62" spans="2:4">
      <c r="B62" s="15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29"/>
  <sheetViews>
    <sheetView showGridLines="0" view="pageBreakPreview" topLeftCell="A8" zoomScale="115" zoomScaleNormal="100" zoomScaleSheetLayoutView="115" workbookViewId="0">
      <selection activeCell="D20" sqref="D20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44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>
      <c r="B12" s="23" t="s">
        <v>47</v>
      </c>
      <c r="C12" s="22">
        <v>137</v>
      </c>
      <c r="D12" s="21">
        <f t="shared" ref="D12:D21" si="0">C12/$C$22</f>
        <v>0.15729047072330654</v>
      </c>
    </row>
    <row r="13" spans="2:4">
      <c r="B13" s="23" t="s">
        <v>48</v>
      </c>
      <c r="C13" s="22">
        <v>106</v>
      </c>
      <c r="D13" s="21">
        <f t="shared" si="0"/>
        <v>0.12169919632606199</v>
      </c>
    </row>
    <row r="14" spans="2:4">
      <c r="B14" s="23" t="s">
        <v>49</v>
      </c>
      <c r="C14" s="22">
        <v>100</v>
      </c>
      <c r="D14" s="21">
        <f t="shared" si="0"/>
        <v>0.11481056257175661</v>
      </c>
    </row>
    <row r="15" spans="2:4">
      <c r="B15" s="23" t="s">
        <v>50</v>
      </c>
      <c r="C15" s="22">
        <v>97</v>
      </c>
      <c r="D15" s="21">
        <f t="shared" si="0"/>
        <v>0.1113662456946039</v>
      </c>
    </row>
    <row r="16" spans="2:4">
      <c r="B16" s="23" t="s">
        <v>51</v>
      </c>
      <c r="C16" s="22">
        <v>84</v>
      </c>
      <c r="D16" s="21">
        <f t="shared" si="0"/>
        <v>9.6440872560275545E-2</v>
      </c>
    </row>
    <row r="17" spans="2:4">
      <c r="B17" s="23" t="s">
        <v>52</v>
      </c>
      <c r="C17" s="22">
        <v>76</v>
      </c>
      <c r="D17" s="21">
        <f t="shared" si="0"/>
        <v>8.7256027554535015E-2</v>
      </c>
    </row>
    <row r="18" spans="2:4">
      <c r="B18" s="23" t="s">
        <v>53</v>
      </c>
      <c r="C18" s="22">
        <v>75</v>
      </c>
      <c r="D18" s="21">
        <f t="shared" si="0"/>
        <v>8.6107921928817457E-2</v>
      </c>
    </row>
    <row r="19" spans="2:4">
      <c r="B19" s="23" t="s">
        <v>54</v>
      </c>
      <c r="C19" s="22">
        <v>68</v>
      </c>
      <c r="D19" s="21">
        <f>C19/$C$22</f>
        <v>7.8071182548794485E-2</v>
      </c>
    </row>
    <row r="20" spans="2:4">
      <c r="B20" s="23" t="s">
        <v>55</v>
      </c>
      <c r="C20" s="22">
        <v>68</v>
      </c>
      <c r="D20" s="21">
        <f t="shared" si="0"/>
        <v>7.8071182548794485E-2</v>
      </c>
    </row>
    <row r="21" spans="2:4">
      <c r="B21" s="23" t="s">
        <v>56</v>
      </c>
      <c r="C21" s="22">
        <v>60</v>
      </c>
      <c r="D21" s="21">
        <f t="shared" si="0"/>
        <v>6.8886337543053955E-2</v>
      </c>
    </row>
    <row r="22" spans="2:4">
      <c r="B22" s="20" t="s">
        <v>45</v>
      </c>
      <c r="C22" s="19">
        <f>SUM(C12:C21)</f>
        <v>871</v>
      </c>
      <c r="D22" s="18">
        <f>C22/$C$22</f>
        <v>1</v>
      </c>
    </row>
    <row r="23" spans="2:4">
      <c r="B23" s="20" t="s">
        <v>46</v>
      </c>
      <c r="C23" s="19">
        <v>1711</v>
      </c>
    </row>
    <row r="24" spans="2:4">
      <c r="B24" s="15"/>
      <c r="C24" s="13"/>
    </row>
    <row r="25" spans="2:4">
      <c r="B25" s="15" t="s">
        <v>213</v>
      </c>
      <c r="C25" s="13"/>
    </row>
    <row r="26" spans="2:4">
      <c r="B26" s="17" t="s">
        <v>17</v>
      </c>
      <c r="C26" s="13"/>
    </row>
    <row r="27" spans="2:4">
      <c r="B27" s="16" t="s">
        <v>214</v>
      </c>
      <c r="C27" s="13"/>
    </row>
    <row r="28" spans="2:4">
      <c r="B28" s="15" t="s">
        <v>16</v>
      </c>
      <c r="C28" s="13"/>
    </row>
    <row r="29" spans="2:4">
      <c r="B29" s="15" t="s">
        <v>215</v>
      </c>
      <c r="C29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B1:D32"/>
  <sheetViews>
    <sheetView showGridLines="0" view="pageBreakPreview" topLeftCell="A17" zoomScale="115" zoomScaleNormal="85" zoomScaleSheetLayoutView="115" workbookViewId="0">
      <selection activeCell="B26" sqref="B26"/>
    </sheetView>
  </sheetViews>
  <sheetFormatPr baseColWidth="10" defaultColWidth="11.453125" defaultRowHeight="14.5"/>
  <cols>
    <col min="1" max="1" width="9.26953125" style="13" customWidth="1"/>
    <col min="2" max="2" width="29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39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19</v>
      </c>
      <c r="D11" s="26" t="s">
        <v>18</v>
      </c>
    </row>
    <row r="12" spans="2:4">
      <c r="B12" s="23" t="s">
        <v>139</v>
      </c>
      <c r="C12" s="22">
        <v>487</v>
      </c>
      <c r="D12" s="21">
        <v>0.28462887200467601</v>
      </c>
    </row>
    <row r="13" spans="2:4">
      <c r="B13" s="23" t="s">
        <v>140</v>
      </c>
      <c r="C13" s="22">
        <v>377</v>
      </c>
      <c r="D13" s="21">
        <v>0.22033898305084701</v>
      </c>
    </row>
    <row r="14" spans="2:4">
      <c r="B14" s="23" t="s">
        <v>137</v>
      </c>
      <c r="C14" s="22">
        <v>359</v>
      </c>
      <c r="D14" s="21">
        <v>0.20981881940385699</v>
      </c>
    </row>
    <row r="15" spans="2:4">
      <c r="B15" s="23" t="s">
        <v>141</v>
      </c>
      <c r="C15" s="22">
        <v>245</v>
      </c>
      <c r="D15" s="21">
        <v>0.143191116306254</v>
      </c>
    </row>
    <row r="16" spans="2:4">
      <c r="B16" s="23" t="s">
        <v>138</v>
      </c>
      <c r="C16" s="22">
        <v>74</v>
      </c>
      <c r="D16" s="21">
        <v>4.3249561659848001E-2</v>
      </c>
    </row>
    <row r="17" spans="2:4">
      <c r="B17" s="23" t="s">
        <v>143</v>
      </c>
      <c r="C17" s="22">
        <v>55</v>
      </c>
      <c r="D17" s="21">
        <v>3.2144944476914003E-2</v>
      </c>
    </row>
    <row r="18" spans="2:4">
      <c r="B18" s="23" t="s">
        <v>135</v>
      </c>
      <c r="C18" s="22">
        <v>46</v>
      </c>
      <c r="D18" s="21">
        <v>2.6884862653418998E-2</v>
      </c>
    </row>
    <row r="19" spans="2:4">
      <c r="B19" s="23" t="s">
        <v>142</v>
      </c>
      <c r="C19" s="22">
        <v>33</v>
      </c>
      <c r="D19" s="21">
        <v>1.9286966686147999E-2</v>
      </c>
    </row>
    <row r="20" spans="2:4">
      <c r="B20" s="23" t="s">
        <v>136</v>
      </c>
      <c r="C20" s="22">
        <v>22</v>
      </c>
      <c r="D20" s="21">
        <v>1.2857977790765999E-2</v>
      </c>
    </row>
    <row r="21" spans="2:4">
      <c r="B21" s="23" t="s">
        <v>144</v>
      </c>
      <c r="C21" s="22">
        <v>10</v>
      </c>
      <c r="D21" s="21">
        <v>5.8445353594389999E-3</v>
      </c>
    </row>
    <row r="22" spans="2:4">
      <c r="B22" s="23" t="s">
        <v>145</v>
      </c>
      <c r="C22" s="22">
        <v>2</v>
      </c>
      <c r="D22" s="21">
        <v>1.168907071888E-3</v>
      </c>
    </row>
    <row r="23" spans="2:4" ht="42">
      <c r="B23" s="23" t="s">
        <v>146</v>
      </c>
      <c r="C23" s="22">
        <v>1</v>
      </c>
      <c r="D23" s="21">
        <v>5.8445353594399998E-4</v>
      </c>
    </row>
    <row r="24" spans="2:4">
      <c r="B24" s="20" t="s">
        <v>28</v>
      </c>
      <c r="C24" s="19">
        <v>1711</v>
      </c>
      <c r="D24" s="18">
        <v>1</v>
      </c>
    </row>
    <row r="26" spans="2:4">
      <c r="B26" s="15" t="s">
        <v>213</v>
      </c>
    </row>
    <row r="27" spans="2:4">
      <c r="B27" s="17" t="s">
        <v>17</v>
      </c>
    </row>
    <row r="28" spans="2:4">
      <c r="B28" s="16" t="s">
        <v>214</v>
      </c>
    </row>
    <row r="29" spans="2:4">
      <c r="B29" s="15" t="s">
        <v>16</v>
      </c>
    </row>
    <row r="30" spans="2:4">
      <c r="B30" s="15" t="s">
        <v>215</v>
      </c>
    </row>
    <row r="31" spans="2:4">
      <c r="C31" s="13"/>
    </row>
    <row r="32" spans="2:4">
      <c r="C3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7">
    <tabColor rgb="FFFFFF00"/>
  </sheetPr>
  <dimension ref="A1:F284"/>
  <sheetViews>
    <sheetView showGridLines="0" view="pageBreakPreview" zoomScale="85" zoomScaleNormal="100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6" s="41" customFormat="1" ht="12" customHeight="1">
      <c r="B1" s="43"/>
      <c r="C1" s="37"/>
      <c r="D1" s="37"/>
      <c r="E1" s="37"/>
    </row>
    <row r="2" spans="1:6" s="41" customFormat="1" ht="15" customHeight="1">
      <c r="C2" s="45"/>
    </row>
    <row r="3" spans="1:6" s="41" customFormat="1" ht="15" customHeight="1">
      <c r="C3" s="45"/>
    </row>
    <row r="4" spans="1:6" s="41" customFormat="1" ht="30" customHeight="1">
      <c r="C4" s="45"/>
      <c r="D4" s="44"/>
    </row>
    <row r="5" spans="1:6" s="41" customFormat="1" ht="15" customHeight="1">
      <c r="C5" s="45"/>
      <c r="D5" s="44"/>
    </row>
    <row r="6" spans="1:6" s="41" customFormat="1" ht="24" customHeight="1">
      <c r="B6" s="43"/>
      <c r="C6" s="37"/>
      <c r="D6" s="37"/>
      <c r="E6" s="37"/>
    </row>
    <row r="7" spans="1:6" s="41" customFormat="1" ht="26.25" customHeight="1">
      <c r="A7" s="42"/>
      <c r="B7" s="89"/>
      <c r="C7" s="89"/>
      <c r="D7" s="89"/>
      <c r="E7" s="89"/>
      <c r="F7" s="41" t="s">
        <v>38</v>
      </c>
    </row>
    <row r="8" spans="1:6" s="41" customFormat="1" ht="33" customHeight="1">
      <c r="A8" s="42"/>
      <c r="B8" s="89"/>
      <c r="C8" s="89"/>
      <c r="D8" s="89"/>
      <c r="E8" s="89"/>
    </row>
    <row r="9" spans="1:6" s="25" customFormat="1" ht="40.5" customHeight="1">
      <c r="B9" s="38" t="s">
        <v>24</v>
      </c>
      <c r="C9" s="40" t="s">
        <v>23</v>
      </c>
      <c r="D9" s="39" t="s">
        <v>19</v>
      </c>
      <c r="E9" s="38" t="s">
        <v>18</v>
      </c>
    </row>
    <row r="10" spans="1:6" ht="15" customHeight="1">
      <c r="B10" s="86" t="s">
        <v>91</v>
      </c>
      <c r="C10" s="62" t="s">
        <v>135</v>
      </c>
      <c r="D10" s="63">
        <v>14</v>
      </c>
      <c r="E10" s="64">
        <v>8.1823495032140002E-3</v>
      </c>
    </row>
    <row r="11" spans="1:6" ht="15" customHeight="1">
      <c r="B11" s="88"/>
      <c r="C11" s="62" t="s">
        <v>136</v>
      </c>
      <c r="D11" s="63">
        <v>2</v>
      </c>
      <c r="E11" s="64">
        <v>1.168907071888E-3</v>
      </c>
    </row>
    <row r="12" spans="1:6" ht="15" customHeight="1">
      <c r="B12" s="88"/>
      <c r="C12" s="62" t="s">
        <v>137</v>
      </c>
      <c r="D12" s="63">
        <v>7</v>
      </c>
      <c r="E12" s="64">
        <v>4.0911747516070001E-3</v>
      </c>
    </row>
    <row r="13" spans="1:6" ht="15" customHeight="1">
      <c r="B13" s="88"/>
      <c r="C13" s="62" t="s">
        <v>138</v>
      </c>
      <c r="D13" s="63">
        <v>1</v>
      </c>
      <c r="E13" s="64">
        <v>5.8445353594399998E-4</v>
      </c>
    </row>
    <row r="14" spans="1:6" ht="15" customHeight="1">
      <c r="B14" s="88"/>
      <c r="C14" s="62" t="s">
        <v>139</v>
      </c>
      <c r="D14" s="63">
        <v>18</v>
      </c>
      <c r="E14" s="64">
        <v>1.0520163646990001E-2</v>
      </c>
    </row>
    <row r="15" spans="1:6" ht="15" customHeight="1">
      <c r="B15" s="88"/>
      <c r="C15" s="62" t="s">
        <v>140</v>
      </c>
      <c r="D15" s="63">
        <v>9</v>
      </c>
      <c r="E15" s="64">
        <v>5.2600818234950003E-3</v>
      </c>
    </row>
    <row r="16" spans="1:6" ht="15" customHeight="1">
      <c r="B16" s="88"/>
      <c r="C16" s="62" t="s">
        <v>141</v>
      </c>
      <c r="D16" s="63">
        <v>4</v>
      </c>
      <c r="E16" s="64">
        <v>2.3378141437759999E-3</v>
      </c>
    </row>
    <row r="17" spans="2:5" ht="15" customHeight="1">
      <c r="B17" s="88"/>
      <c r="C17" s="62" t="s">
        <v>142</v>
      </c>
      <c r="D17" s="63">
        <v>1</v>
      </c>
      <c r="E17" s="64">
        <v>5.8445353594399998E-4</v>
      </c>
    </row>
    <row r="18" spans="2:5" ht="15" customHeight="1">
      <c r="B18" s="88"/>
      <c r="C18" s="62" t="s">
        <v>143</v>
      </c>
      <c r="D18" s="63">
        <v>15</v>
      </c>
      <c r="E18" s="64">
        <v>8.7668030391579999E-3</v>
      </c>
    </row>
    <row r="19" spans="2:5" ht="15" customHeight="1">
      <c r="B19" s="87"/>
      <c r="C19" s="36" t="s">
        <v>28</v>
      </c>
      <c r="D19" s="35">
        <v>71</v>
      </c>
      <c r="E19" s="34">
        <v>4.1496201052015999E-2</v>
      </c>
    </row>
    <row r="20" spans="2:5" ht="15" customHeight="1">
      <c r="B20" s="86" t="s">
        <v>92</v>
      </c>
      <c r="C20" s="62" t="s">
        <v>135</v>
      </c>
      <c r="D20" s="63">
        <v>1</v>
      </c>
      <c r="E20" s="64">
        <v>5.8445353594399998E-4</v>
      </c>
    </row>
    <row r="21" spans="2:5" ht="15" customHeight="1">
      <c r="B21" s="88"/>
      <c r="C21" s="62" t="s">
        <v>138</v>
      </c>
      <c r="D21" s="63">
        <v>3</v>
      </c>
      <c r="E21" s="64">
        <v>1.753360607832E-3</v>
      </c>
    </row>
    <row r="22" spans="2:5" ht="15" customHeight="1">
      <c r="B22" s="88"/>
      <c r="C22" s="62" t="s">
        <v>139</v>
      </c>
      <c r="D22" s="63">
        <v>10</v>
      </c>
      <c r="E22" s="64">
        <v>5.8445353594389999E-3</v>
      </c>
    </row>
    <row r="23" spans="2:5" ht="15" customHeight="1">
      <c r="B23" s="88"/>
      <c r="C23" s="62" t="s">
        <v>140</v>
      </c>
      <c r="D23" s="63">
        <v>4</v>
      </c>
      <c r="E23" s="64">
        <v>2.3378141437759999E-3</v>
      </c>
    </row>
    <row r="24" spans="2:5" ht="15" customHeight="1">
      <c r="B24" s="88"/>
      <c r="C24" s="62" t="s">
        <v>141</v>
      </c>
      <c r="D24" s="63">
        <v>3</v>
      </c>
      <c r="E24" s="64">
        <v>1.753360607832E-3</v>
      </c>
    </row>
    <row r="25" spans="2:5" ht="15" customHeight="1">
      <c r="B25" s="88"/>
      <c r="C25" s="62" t="s">
        <v>143</v>
      </c>
      <c r="D25" s="63">
        <v>2</v>
      </c>
      <c r="E25" s="64">
        <v>1.168907071888E-3</v>
      </c>
    </row>
    <row r="26" spans="2:5" ht="15" customHeight="1">
      <c r="B26" s="87"/>
      <c r="C26" s="36" t="s">
        <v>28</v>
      </c>
      <c r="D26" s="35">
        <v>23</v>
      </c>
      <c r="E26" s="34">
        <v>1.3442431326710001E-2</v>
      </c>
    </row>
    <row r="27" spans="2:5" ht="15" customHeight="1">
      <c r="B27" s="86" t="s">
        <v>93</v>
      </c>
      <c r="C27" s="62" t="s">
        <v>135</v>
      </c>
      <c r="D27" s="63">
        <v>1</v>
      </c>
      <c r="E27" s="64">
        <v>5.8445353594399998E-4</v>
      </c>
    </row>
    <row r="28" spans="2:5" ht="15" customHeight="1">
      <c r="B28" s="88"/>
      <c r="C28" s="62" t="s">
        <v>137</v>
      </c>
      <c r="D28" s="63">
        <v>7</v>
      </c>
      <c r="E28" s="64">
        <v>4.0911747516070001E-3</v>
      </c>
    </row>
    <row r="29" spans="2:5" ht="15" customHeight="1">
      <c r="B29" s="88"/>
      <c r="C29" s="62" t="s">
        <v>139</v>
      </c>
      <c r="D29" s="63">
        <v>10</v>
      </c>
      <c r="E29" s="64">
        <v>5.8445353594389999E-3</v>
      </c>
    </row>
    <row r="30" spans="2:5" ht="15" customHeight="1">
      <c r="B30" s="88"/>
      <c r="C30" s="62" t="s">
        <v>140</v>
      </c>
      <c r="D30" s="63">
        <v>5</v>
      </c>
      <c r="E30" s="64">
        <v>2.9222676797189999E-3</v>
      </c>
    </row>
    <row r="31" spans="2:5" ht="15" customHeight="1">
      <c r="B31" s="88"/>
      <c r="C31" s="62" t="s">
        <v>141</v>
      </c>
      <c r="D31" s="63">
        <v>8</v>
      </c>
      <c r="E31" s="64">
        <v>4.6756282875509998E-3</v>
      </c>
    </row>
    <row r="32" spans="2:5" ht="15" customHeight="1">
      <c r="B32" s="88"/>
      <c r="C32" s="62" t="s">
        <v>143</v>
      </c>
      <c r="D32" s="63">
        <v>1</v>
      </c>
      <c r="E32" s="64">
        <v>5.8445353594399998E-4</v>
      </c>
    </row>
    <row r="33" spans="2:5" ht="15" customHeight="1">
      <c r="B33" s="88"/>
      <c r="C33" s="62" t="s">
        <v>144</v>
      </c>
      <c r="D33" s="63">
        <v>1</v>
      </c>
      <c r="E33" s="64">
        <v>5.8445353594399998E-4</v>
      </c>
    </row>
    <row r="34" spans="2:5" ht="15" customHeight="1">
      <c r="B34" s="87"/>
      <c r="C34" s="36" t="s">
        <v>28</v>
      </c>
      <c r="D34" s="35">
        <v>33</v>
      </c>
      <c r="E34" s="34">
        <v>1.9286966686147999E-2</v>
      </c>
    </row>
    <row r="35" spans="2:5" ht="15" customHeight="1">
      <c r="B35" s="86" t="s">
        <v>94</v>
      </c>
      <c r="C35" s="62" t="s">
        <v>135</v>
      </c>
      <c r="D35" s="63">
        <v>5</v>
      </c>
      <c r="E35" s="64">
        <v>2.9222676797189999E-3</v>
      </c>
    </row>
    <row r="36" spans="2:5" ht="15" customHeight="1">
      <c r="B36" s="88"/>
      <c r="C36" s="62" t="s">
        <v>136</v>
      </c>
      <c r="D36" s="63">
        <v>9</v>
      </c>
      <c r="E36" s="64">
        <v>5.2600818234950003E-3</v>
      </c>
    </row>
    <row r="37" spans="2:5" ht="15" customHeight="1">
      <c r="B37" s="88"/>
      <c r="C37" s="62" t="s">
        <v>137</v>
      </c>
      <c r="D37" s="63">
        <v>86</v>
      </c>
      <c r="E37" s="64">
        <v>5.0263004091174998E-2</v>
      </c>
    </row>
    <row r="38" spans="2:5" ht="15" customHeight="1">
      <c r="B38" s="88"/>
      <c r="C38" s="62" t="s">
        <v>138</v>
      </c>
      <c r="D38" s="63">
        <v>7</v>
      </c>
      <c r="E38" s="64">
        <v>4.0911747516070001E-3</v>
      </c>
    </row>
    <row r="39" spans="2:5" ht="15" customHeight="1">
      <c r="B39" s="88"/>
      <c r="C39" s="62" t="s">
        <v>139</v>
      </c>
      <c r="D39" s="63">
        <v>63</v>
      </c>
      <c r="E39" s="64">
        <v>3.6820572764465001E-2</v>
      </c>
    </row>
    <row r="40" spans="2:5" ht="15" customHeight="1">
      <c r="B40" s="88"/>
      <c r="C40" s="62" t="s">
        <v>140</v>
      </c>
      <c r="D40" s="63">
        <v>74</v>
      </c>
      <c r="E40" s="64">
        <v>4.3249561659848001E-2</v>
      </c>
    </row>
    <row r="41" spans="2:5" ht="15" customHeight="1">
      <c r="B41" s="88"/>
      <c r="C41" s="62" t="s">
        <v>141</v>
      </c>
      <c r="D41" s="63">
        <v>44</v>
      </c>
      <c r="E41" s="64">
        <v>2.5715955581530999E-2</v>
      </c>
    </row>
    <row r="42" spans="2:5" ht="15" customHeight="1">
      <c r="B42" s="88"/>
      <c r="C42" s="62" t="s">
        <v>142</v>
      </c>
      <c r="D42" s="63">
        <v>14</v>
      </c>
      <c r="E42" s="64">
        <v>8.1823495032140002E-3</v>
      </c>
    </row>
    <row r="43" spans="2:5" ht="15" customHeight="1">
      <c r="B43" s="88"/>
      <c r="C43" s="62" t="s">
        <v>143</v>
      </c>
      <c r="D43" s="63">
        <v>6</v>
      </c>
      <c r="E43" s="64">
        <v>3.506721215663E-3</v>
      </c>
    </row>
    <row r="44" spans="2:5" ht="15" customHeight="1">
      <c r="B44" s="87"/>
      <c r="C44" s="36" t="s">
        <v>28</v>
      </c>
      <c r="D44" s="35">
        <v>308</v>
      </c>
      <c r="E44" s="34">
        <v>0.18001168907071899</v>
      </c>
    </row>
    <row r="45" spans="2:5" ht="15" customHeight="1">
      <c r="B45" s="86" t="s">
        <v>95</v>
      </c>
      <c r="C45" s="62" t="s">
        <v>135</v>
      </c>
      <c r="D45" s="63">
        <v>2</v>
      </c>
      <c r="E45" s="64">
        <v>1.168907071888E-3</v>
      </c>
    </row>
    <row r="46" spans="2:5" ht="15" customHeight="1">
      <c r="B46" s="88"/>
      <c r="C46" s="62" t="s">
        <v>137</v>
      </c>
      <c r="D46" s="63">
        <v>10</v>
      </c>
      <c r="E46" s="64">
        <v>5.8445353594389999E-3</v>
      </c>
    </row>
    <row r="47" spans="2:5" ht="15" customHeight="1">
      <c r="B47" s="88"/>
      <c r="C47" s="62" t="s">
        <v>138</v>
      </c>
      <c r="D47" s="63">
        <v>4</v>
      </c>
      <c r="E47" s="64">
        <v>2.3378141437759999E-3</v>
      </c>
    </row>
    <row r="48" spans="2:5" ht="15" customHeight="1">
      <c r="B48" s="88"/>
      <c r="C48" s="62" t="s">
        <v>139</v>
      </c>
      <c r="D48" s="63">
        <v>21</v>
      </c>
      <c r="E48" s="64">
        <v>1.2273524254822E-2</v>
      </c>
    </row>
    <row r="49" spans="2:5" ht="15" customHeight="1">
      <c r="B49" s="88"/>
      <c r="C49" s="62" t="s">
        <v>140</v>
      </c>
      <c r="D49" s="63">
        <v>4</v>
      </c>
      <c r="E49" s="64">
        <v>2.3378141437759999E-3</v>
      </c>
    </row>
    <row r="50" spans="2:5" ht="15" customHeight="1">
      <c r="B50" s="88"/>
      <c r="C50" s="62" t="s">
        <v>141</v>
      </c>
      <c r="D50" s="63">
        <v>3</v>
      </c>
      <c r="E50" s="64">
        <v>1.753360607832E-3</v>
      </c>
    </row>
    <row r="51" spans="2:5" ht="15" customHeight="1">
      <c r="B51" s="88"/>
      <c r="C51" s="62" t="s">
        <v>143</v>
      </c>
      <c r="D51" s="63">
        <v>1</v>
      </c>
      <c r="E51" s="64">
        <v>5.8445353594399998E-4</v>
      </c>
    </row>
    <row r="52" spans="2:5" ht="15" customHeight="1">
      <c r="B52" s="87"/>
      <c r="C52" s="36" t="s">
        <v>28</v>
      </c>
      <c r="D52" s="35">
        <v>45</v>
      </c>
      <c r="E52" s="34">
        <v>2.6300409117474999E-2</v>
      </c>
    </row>
    <row r="53" spans="2:5" ht="15" customHeight="1">
      <c r="B53" s="86" t="s">
        <v>96</v>
      </c>
      <c r="C53" s="62" t="s">
        <v>139</v>
      </c>
      <c r="D53" s="63">
        <v>1</v>
      </c>
      <c r="E53" s="64">
        <v>5.8445353594399998E-4</v>
      </c>
    </row>
    <row r="54" spans="2:5" ht="15" customHeight="1">
      <c r="B54" s="87"/>
      <c r="C54" s="36" t="s">
        <v>28</v>
      </c>
      <c r="D54" s="35">
        <v>1</v>
      </c>
      <c r="E54" s="34">
        <v>5.8445353594399998E-4</v>
      </c>
    </row>
    <row r="55" spans="2:5" ht="15" customHeight="1">
      <c r="B55" s="86" t="s">
        <v>97</v>
      </c>
      <c r="C55" s="62" t="s">
        <v>136</v>
      </c>
      <c r="D55" s="63">
        <v>1</v>
      </c>
      <c r="E55" s="64">
        <v>5.8445353594399998E-4</v>
      </c>
    </row>
    <row r="56" spans="2:5" ht="15" customHeight="1">
      <c r="B56" s="88"/>
      <c r="C56" s="62" t="s">
        <v>137</v>
      </c>
      <c r="D56" s="63">
        <v>15</v>
      </c>
      <c r="E56" s="64">
        <v>8.7668030391579999E-3</v>
      </c>
    </row>
    <row r="57" spans="2:5" ht="15" customHeight="1">
      <c r="B57" s="88"/>
      <c r="C57" s="62" t="s">
        <v>138</v>
      </c>
      <c r="D57" s="63">
        <v>7</v>
      </c>
      <c r="E57" s="64">
        <v>4.0911747516070001E-3</v>
      </c>
    </row>
    <row r="58" spans="2:5" ht="15" customHeight="1">
      <c r="B58" s="88"/>
      <c r="C58" s="62" t="s">
        <v>139</v>
      </c>
      <c r="D58" s="63">
        <v>40</v>
      </c>
      <c r="E58" s="64">
        <v>2.3378141437756E-2</v>
      </c>
    </row>
    <row r="59" spans="2:5" ht="15" customHeight="1">
      <c r="B59" s="88"/>
      <c r="C59" s="62" t="s">
        <v>140</v>
      </c>
      <c r="D59" s="63">
        <v>42</v>
      </c>
      <c r="E59" s="64">
        <v>2.4547048509643E-2</v>
      </c>
    </row>
    <row r="60" spans="2:5" ht="15" customHeight="1">
      <c r="B60" s="88"/>
      <c r="C60" s="62" t="s">
        <v>141</v>
      </c>
      <c r="D60" s="63">
        <v>19</v>
      </c>
      <c r="E60" s="64">
        <v>1.1104617182934E-2</v>
      </c>
    </row>
    <row r="61" spans="2:5" ht="15" customHeight="1">
      <c r="B61" s="88"/>
      <c r="C61" s="62" t="s">
        <v>142</v>
      </c>
      <c r="D61" s="63">
        <v>3</v>
      </c>
      <c r="E61" s="64">
        <v>1.753360607832E-3</v>
      </c>
    </row>
    <row r="62" spans="2:5" ht="15" customHeight="1">
      <c r="B62" s="88"/>
      <c r="C62" s="62" t="s">
        <v>143</v>
      </c>
      <c r="D62" s="63">
        <v>3</v>
      </c>
      <c r="E62" s="64">
        <v>1.753360607832E-3</v>
      </c>
    </row>
    <row r="63" spans="2:5" ht="15" customHeight="1">
      <c r="B63" s="87"/>
      <c r="C63" s="36" t="s">
        <v>28</v>
      </c>
      <c r="D63" s="35">
        <v>130</v>
      </c>
      <c r="E63" s="34">
        <v>7.5978959672706001E-2</v>
      </c>
    </row>
    <row r="64" spans="2:5" ht="15" customHeight="1">
      <c r="B64" s="86" t="s">
        <v>98</v>
      </c>
      <c r="C64" s="62" t="s">
        <v>137</v>
      </c>
      <c r="D64" s="63">
        <v>11</v>
      </c>
      <c r="E64" s="64">
        <v>6.4289888953829996E-3</v>
      </c>
    </row>
    <row r="65" spans="2:5" ht="15" customHeight="1">
      <c r="B65" s="88"/>
      <c r="C65" s="62" t="s">
        <v>138</v>
      </c>
      <c r="D65" s="63">
        <v>2</v>
      </c>
      <c r="E65" s="64">
        <v>1.168907071888E-3</v>
      </c>
    </row>
    <row r="66" spans="2:5" ht="15" customHeight="1">
      <c r="B66" s="88"/>
      <c r="C66" s="62" t="s">
        <v>139</v>
      </c>
      <c r="D66" s="63">
        <v>13</v>
      </c>
      <c r="E66" s="64">
        <v>7.5978959672709998E-3</v>
      </c>
    </row>
    <row r="67" spans="2:5" ht="15" customHeight="1">
      <c r="B67" s="88"/>
      <c r="C67" s="62" t="s">
        <v>140</v>
      </c>
      <c r="D67" s="63">
        <v>28</v>
      </c>
      <c r="E67" s="64">
        <v>1.6364699006429E-2</v>
      </c>
    </row>
    <row r="68" spans="2:5" ht="15" customHeight="1">
      <c r="B68" s="88"/>
      <c r="C68" s="62" t="s">
        <v>141</v>
      </c>
      <c r="D68" s="63">
        <v>3</v>
      </c>
      <c r="E68" s="64">
        <v>1.753360607832E-3</v>
      </c>
    </row>
    <row r="69" spans="2:5" ht="15" customHeight="1">
      <c r="B69" s="88"/>
      <c r="C69" s="62" t="s">
        <v>144</v>
      </c>
      <c r="D69" s="63">
        <v>1</v>
      </c>
      <c r="E69" s="64">
        <v>5.8445353594399998E-4</v>
      </c>
    </row>
    <row r="70" spans="2:5" ht="15" customHeight="1">
      <c r="B70" s="88"/>
      <c r="C70" s="62" t="s">
        <v>145</v>
      </c>
      <c r="D70" s="63">
        <v>1</v>
      </c>
      <c r="E70" s="64">
        <v>5.8445353594399998E-4</v>
      </c>
    </row>
    <row r="71" spans="2:5" ht="15" customHeight="1">
      <c r="B71" s="87"/>
      <c r="C71" s="36" t="s">
        <v>28</v>
      </c>
      <c r="D71" s="35">
        <v>59</v>
      </c>
      <c r="E71" s="34">
        <v>3.4482758620690002E-2</v>
      </c>
    </row>
    <row r="72" spans="2:5" ht="15" customHeight="1">
      <c r="B72" s="86" t="s">
        <v>99</v>
      </c>
      <c r="C72" s="62" t="s">
        <v>140</v>
      </c>
      <c r="D72" s="63">
        <v>2</v>
      </c>
      <c r="E72" s="64">
        <v>1.168907071888E-3</v>
      </c>
    </row>
    <row r="73" spans="2:5" ht="15" customHeight="1">
      <c r="B73" s="87"/>
      <c r="C73" s="36" t="s">
        <v>28</v>
      </c>
      <c r="D73" s="35">
        <v>2</v>
      </c>
      <c r="E73" s="34">
        <v>1.168907071888E-3</v>
      </c>
    </row>
    <row r="74" spans="2:5" ht="15" customHeight="1">
      <c r="B74" s="86" t="s">
        <v>100</v>
      </c>
      <c r="C74" s="62" t="s">
        <v>138</v>
      </c>
      <c r="D74" s="63">
        <v>1</v>
      </c>
      <c r="E74" s="64">
        <v>5.8445353594399998E-4</v>
      </c>
    </row>
    <row r="75" spans="2:5" ht="15" customHeight="1">
      <c r="B75" s="88"/>
      <c r="C75" s="62" t="s">
        <v>139</v>
      </c>
      <c r="D75" s="63">
        <v>7</v>
      </c>
      <c r="E75" s="64">
        <v>4.0911747516070001E-3</v>
      </c>
    </row>
    <row r="76" spans="2:5" ht="15" customHeight="1">
      <c r="B76" s="87"/>
      <c r="C76" s="36" t="s">
        <v>28</v>
      </c>
      <c r="D76" s="35">
        <v>8</v>
      </c>
      <c r="E76" s="34">
        <v>4.6756282875509998E-3</v>
      </c>
    </row>
    <row r="77" spans="2:5" ht="15" customHeight="1">
      <c r="B77" s="86" t="s">
        <v>101</v>
      </c>
      <c r="C77" s="62" t="s">
        <v>136</v>
      </c>
      <c r="D77" s="63">
        <v>1</v>
      </c>
      <c r="E77" s="64">
        <v>5.8445353594399998E-4</v>
      </c>
    </row>
    <row r="78" spans="2:5" ht="15" customHeight="1">
      <c r="B78" s="88"/>
      <c r="C78" s="62" t="s">
        <v>137</v>
      </c>
      <c r="D78" s="63">
        <v>12</v>
      </c>
      <c r="E78" s="64">
        <v>7.0134424313270001E-3</v>
      </c>
    </row>
    <row r="79" spans="2:5" ht="15" customHeight="1">
      <c r="B79" s="88"/>
      <c r="C79" s="62" t="s">
        <v>139</v>
      </c>
      <c r="D79" s="63">
        <v>8</v>
      </c>
      <c r="E79" s="64">
        <v>4.6756282875509998E-3</v>
      </c>
    </row>
    <row r="80" spans="2:5" ht="15" customHeight="1">
      <c r="B80" s="88"/>
      <c r="C80" s="62" t="s">
        <v>140</v>
      </c>
      <c r="D80" s="63">
        <v>17</v>
      </c>
      <c r="E80" s="64">
        <v>9.9357101110459992E-3</v>
      </c>
    </row>
    <row r="81" spans="2:5" ht="15" customHeight="1">
      <c r="B81" s="88"/>
      <c r="C81" s="62" t="s">
        <v>141</v>
      </c>
      <c r="D81" s="63">
        <v>8</v>
      </c>
      <c r="E81" s="64">
        <v>4.6756282875509998E-3</v>
      </c>
    </row>
    <row r="82" spans="2:5" ht="15" customHeight="1">
      <c r="B82" s="88"/>
      <c r="C82" s="62" t="s">
        <v>142</v>
      </c>
      <c r="D82" s="63">
        <v>1</v>
      </c>
      <c r="E82" s="64">
        <v>5.8445353594399998E-4</v>
      </c>
    </row>
    <row r="83" spans="2:5" ht="15" customHeight="1">
      <c r="B83" s="87"/>
      <c r="C83" s="36" t="s">
        <v>28</v>
      </c>
      <c r="D83" s="35">
        <v>47</v>
      </c>
      <c r="E83" s="34">
        <v>2.7469316189363002E-2</v>
      </c>
    </row>
    <row r="84" spans="2:5" ht="15" customHeight="1">
      <c r="B84" s="86" t="s">
        <v>102</v>
      </c>
      <c r="C84" s="62" t="s">
        <v>135</v>
      </c>
      <c r="D84" s="63">
        <v>1</v>
      </c>
      <c r="E84" s="64">
        <v>5.8445353594399998E-4</v>
      </c>
    </row>
    <row r="85" spans="2:5" ht="15" customHeight="1">
      <c r="B85" s="88"/>
      <c r="C85" s="62" t="s">
        <v>137</v>
      </c>
      <c r="D85" s="63">
        <v>7</v>
      </c>
      <c r="E85" s="64">
        <v>4.0911747516070001E-3</v>
      </c>
    </row>
    <row r="86" spans="2:5" ht="15" customHeight="1">
      <c r="B86" s="88"/>
      <c r="C86" s="62" t="s">
        <v>138</v>
      </c>
      <c r="D86" s="63">
        <v>1</v>
      </c>
      <c r="E86" s="64">
        <v>5.8445353594399998E-4</v>
      </c>
    </row>
    <row r="87" spans="2:5" ht="15" customHeight="1">
      <c r="B87" s="88"/>
      <c r="C87" s="62" t="s">
        <v>139</v>
      </c>
      <c r="D87" s="63">
        <v>18</v>
      </c>
      <c r="E87" s="64">
        <v>1.0520163646990001E-2</v>
      </c>
    </row>
    <row r="88" spans="2:5" ht="15" customHeight="1">
      <c r="B88" s="88"/>
      <c r="C88" s="62" t="s">
        <v>140</v>
      </c>
      <c r="D88" s="63">
        <v>9</v>
      </c>
      <c r="E88" s="64">
        <v>5.2600818234950003E-3</v>
      </c>
    </row>
    <row r="89" spans="2:5" ht="15" customHeight="1">
      <c r="B89" s="88"/>
      <c r="C89" s="62" t="s">
        <v>141</v>
      </c>
      <c r="D89" s="63">
        <v>6</v>
      </c>
      <c r="E89" s="64">
        <v>3.506721215663E-3</v>
      </c>
    </row>
    <row r="90" spans="2:5" ht="15" customHeight="1">
      <c r="B90" s="88"/>
      <c r="C90" s="62" t="s">
        <v>143</v>
      </c>
      <c r="D90" s="63">
        <v>1</v>
      </c>
      <c r="E90" s="64">
        <v>5.8445353594399998E-4</v>
      </c>
    </row>
    <row r="91" spans="2:5" ht="15" customHeight="1">
      <c r="B91" s="88"/>
      <c r="C91" s="62" t="s">
        <v>144</v>
      </c>
      <c r="D91" s="63">
        <v>1</v>
      </c>
      <c r="E91" s="64">
        <v>5.8445353594399998E-4</v>
      </c>
    </row>
    <row r="92" spans="2:5" ht="15" customHeight="1">
      <c r="B92" s="87"/>
      <c r="C92" s="36" t="s">
        <v>28</v>
      </c>
      <c r="D92" s="35">
        <v>44</v>
      </c>
      <c r="E92" s="34">
        <v>2.5715955581530999E-2</v>
      </c>
    </row>
    <row r="93" spans="2:5" ht="15" customHeight="1">
      <c r="B93" s="86" t="s">
        <v>103</v>
      </c>
      <c r="C93" s="62" t="s">
        <v>135</v>
      </c>
      <c r="D93" s="63">
        <v>1</v>
      </c>
      <c r="E93" s="64">
        <v>5.8445353594399998E-4</v>
      </c>
    </row>
    <row r="94" spans="2:5" ht="15" customHeight="1">
      <c r="B94" s="88"/>
      <c r="C94" s="62" t="s">
        <v>137</v>
      </c>
      <c r="D94" s="63">
        <v>2</v>
      </c>
      <c r="E94" s="64">
        <v>1.168907071888E-3</v>
      </c>
    </row>
    <row r="95" spans="2:5" ht="15" customHeight="1">
      <c r="B95" s="88"/>
      <c r="C95" s="62" t="s">
        <v>139</v>
      </c>
      <c r="D95" s="63">
        <v>6</v>
      </c>
      <c r="E95" s="64">
        <v>3.506721215663E-3</v>
      </c>
    </row>
    <row r="96" spans="2:5" ht="15" customHeight="1">
      <c r="B96" s="88"/>
      <c r="C96" s="62" t="s">
        <v>140</v>
      </c>
      <c r="D96" s="63">
        <v>4</v>
      </c>
      <c r="E96" s="64">
        <v>2.3378141437759999E-3</v>
      </c>
    </row>
    <row r="97" spans="2:5" ht="15" customHeight="1">
      <c r="B97" s="88"/>
      <c r="C97" s="62" t="s">
        <v>141</v>
      </c>
      <c r="D97" s="63">
        <v>3</v>
      </c>
      <c r="E97" s="64">
        <v>1.753360607832E-3</v>
      </c>
    </row>
    <row r="98" spans="2:5" ht="15" customHeight="1">
      <c r="B98" s="87"/>
      <c r="C98" s="36" t="s">
        <v>28</v>
      </c>
      <c r="D98" s="35">
        <v>16</v>
      </c>
      <c r="E98" s="34">
        <v>9.3512565751019995E-3</v>
      </c>
    </row>
    <row r="99" spans="2:5" ht="15" customHeight="1">
      <c r="B99" s="86" t="s">
        <v>104</v>
      </c>
      <c r="C99" s="62" t="s">
        <v>135</v>
      </c>
      <c r="D99" s="63">
        <v>1</v>
      </c>
      <c r="E99" s="64">
        <v>5.8445353594399998E-4</v>
      </c>
    </row>
    <row r="100" spans="2:5" ht="15" customHeight="1">
      <c r="B100" s="88"/>
      <c r="C100" s="62" t="s">
        <v>137</v>
      </c>
      <c r="D100" s="63">
        <v>2</v>
      </c>
      <c r="E100" s="64">
        <v>1.168907071888E-3</v>
      </c>
    </row>
    <row r="101" spans="2:5" ht="15" customHeight="1">
      <c r="B101" s="88"/>
      <c r="C101" s="62" t="s">
        <v>139</v>
      </c>
      <c r="D101" s="63">
        <v>15</v>
      </c>
      <c r="E101" s="64">
        <v>8.7668030391579999E-3</v>
      </c>
    </row>
    <row r="102" spans="2:5" ht="15" customHeight="1">
      <c r="B102" s="88"/>
      <c r="C102" s="62" t="s">
        <v>140</v>
      </c>
      <c r="D102" s="63">
        <v>9</v>
      </c>
      <c r="E102" s="64">
        <v>5.2600818234950003E-3</v>
      </c>
    </row>
    <row r="103" spans="2:5" ht="15" customHeight="1">
      <c r="B103" s="88"/>
      <c r="C103" s="62" t="s">
        <v>141</v>
      </c>
      <c r="D103" s="63">
        <v>4</v>
      </c>
      <c r="E103" s="64">
        <v>2.3378141437759999E-3</v>
      </c>
    </row>
    <row r="104" spans="2:5" ht="15" customHeight="1">
      <c r="B104" s="88"/>
      <c r="C104" s="62" t="s">
        <v>142</v>
      </c>
      <c r="D104" s="63">
        <v>1</v>
      </c>
      <c r="E104" s="64">
        <v>5.8445353594399998E-4</v>
      </c>
    </row>
    <row r="105" spans="2:5" ht="15" customHeight="1">
      <c r="B105" s="88"/>
      <c r="C105" s="62" t="s">
        <v>143</v>
      </c>
      <c r="D105" s="63">
        <v>1</v>
      </c>
      <c r="E105" s="64">
        <v>5.8445353594399998E-4</v>
      </c>
    </row>
    <row r="106" spans="2:5" ht="15" customHeight="1">
      <c r="B106" s="87"/>
      <c r="C106" s="36" t="s">
        <v>28</v>
      </c>
      <c r="D106" s="35">
        <v>33</v>
      </c>
      <c r="E106" s="34">
        <v>1.9286966686147999E-2</v>
      </c>
    </row>
    <row r="107" spans="2:5" ht="15" customHeight="1">
      <c r="B107" s="86" t="s">
        <v>105</v>
      </c>
      <c r="C107" s="62" t="s">
        <v>136</v>
      </c>
      <c r="D107" s="63">
        <v>1</v>
      </c>
      <c r="E107" s="64">
        <v>5.8445353594399998E-4</v>
      </c>
    </row>
    <row r="108" spans="2:5" ht="15" customHeight="1">
      <c r="B108" s="88"/>
      <c r="C108" s="62" t="s">
        <v>137</v>
      </c>
      <c r="D108" s="63">
        <v>3</v>
      </c>
      <c r="E108" s="64">
        <v>1.753360607832E-3</v>
      </c>
    </row>
    <row r="109" spans="2:5" ht="15" customHeight="1">
      <c r="B109" s="88"/>
      <c r="C109" s="62" t="s">
        <v>138</v>
      </c>
      <c r="D109" s="63">
        <v>1</v>
      </c>
      <c r="E109" s="64">
        <v>5.8445353594399998E-4</v>
      </c>
    </row>
    <row r="110" spans="2:5" ht="15" customHeight="1">
      <c r="B110" s="88"/>
      <c r="C110" s="62" t="s">
        <v>139</v>
      </c>
      <c r="D110" s="63">
        <v>2</v>
      </c>
      <c r="E110" s="64">
        <v>1.168907071888E-3</v>
      </c>
    </row>
    <row r="111" spans="2:5" ht="15" customHeight="1">
      <c r="B111" s="88"/>
      <c r="C111" s="62" t="s">
        <v>140</v>
      </c>
      <c r="D111" s="63">
        <v>3</v>
      </c>
      <c r="E111" s="64">
        <v>1.753360607832E-3</v>
      </c>
    </row>
    <row r="112" spans="2:5" ht="15" customHeight="1">
      <c r="B112" s="88"/>
      <c r="C112" s="62" t="s">
        <v>141</v>
      </c>
      <c r="D112" s="63">
        <v>1</v>
      </c>
      <c r="E112" s="64">
        <v>5.8445353594399998E-4</v>
      </c>
    </row>
    <row r="113" spans="2:5" ht="15" customHeight="1">
      <c r="B113" s="87"/>
      <c r="C113" s="36" t="s">
        <v>28</v>
      </c>
      <c r="D113" s="35">
        <v>11</v>
      </c>
      <c r="E113" s="34">
        <v>6.4289888953829996E-3</v>
      </c>
    </row>
    <row r="114" spans="2:5" ht="15" customHeight="1">
      <c r="B114" s="86" t="s">
        <v>106</v>
      </c>
      <c r="C114" s="62" t="s">
        <v>137</v>
      </c>
      <c r="D114" s="63">
        <v>1</v>
      </c>
      <c r="E114" s="64">
        <v>5.8445353594399998E-4</v>
      </c>
    </row>
    <row r="115" spans="2:5" ht="15" customHeight="1">
      <c r="B115" s="88"/>
      <c r="C115" s="62" t="s">
        <v>139</v>
      </c>
      <c r="D115" s="63">
        <v>5</v>
      </c>
      <c r="E115" s="64">
        <v>2.9222676797189999E-3</v>
      </c>
    </row>
    <row r="116" spans="2:5" ht="15" customHeight="1">
      <c r="B116" s="88"/>
      <c r="C116" s="62" t="s">
        <v>140</v>
      </c>
      <c r="D116" s="63">
        <v>1</v>
      </c>
      <c r="E116" s="64">
        <v>5.8445353594399998E-4</v>
      </c>
    </row>
    <row r="117" spans="2:5" ht="15" customHeight="1">
      <c r="B117" s="88"/>
      <c r="C117" s="62" t="s">
        <v>141</v>
      </c>
      <c r="D117" s="63">
        <v>1</v>
      </c>
      <c r="E117" s="64">
        <v>5.8445353594399998E-4</v>
      </c>
    </row>
    <row r="118" spans="2:5" ht="15" customHeight="1">
      <c r="B118" s="88"/>
      <c r="C118" s="62" t="s">
        <v>142</v>
      </c>
      <c r="D118" s="63">
        <v>1</v>
      </c>
      <c r="E118" s="64">
        <v>5.8445353594399998E-4</v>
      </c>
    </row>
    <row r="119" spans="2:5" ht="15" customHeight="1">
      <c r="B119" s="88"/>
      <c r="C119" s="62" t="s">
        <v>143</v>
      </c>
      <c r="D119" s="63">
        <v>1</v>
      </c>
      <c r="E119" s="64">
        <v>5.8445353594399998E-4</v>
      </c>
    </row>
    <row r="120" spans="2:5" ht="15" customHeight="1">
      <c r="B120" s="87"/>
      <c r="C120" s="36" t="s">
        <v>28</v>
      </c>
      <c r="D120" s="35">
        <v>10</v>
      </c>
      <c r="E120" s="34">
        <v>5.8445353594389999E-3</v>
      </c>
    </row>
    <row r="121" spans="2:5" ht="15" customHeight="1">
      <c r="B121" s="86" t="s">
        <v>107</v>
      </c>
      <c r="C121" s="62" t="s">
        <v>137</v>
      </c>
      <c r="D121" s="63">
        <v>2</v>
      </c>
      <c r="E121" s="64">
        <v>1.168907071888E-3</v>
      </c>
    </row>
    <row r="122" spans="2:5" ht="15" customHeight="1">
      <c r="B122" s="88"/>
      <c r="C122" s="62" t="s">
        <v>139</v>
      </c>
      <c r="D122" s="63">
        <v>4</v>
      </c>
      <c r="E122" s="64">
        <v>2.3378141437759999E-3</v>
      </c>
    </row>
    <row r="123" spans="2:5" ht="15" customHeight="1">
      <c r="B123" s="88"/>
      <c r="C123" s="62" t="s">
        <v>140</v>
      </c>
      <c r="D123" s="63">
        <v>1</v>
      </c>
      <c r="E123" s="64">
        <v>5.8445353594399998E-4</v>
      </c>
    </row>
    <row r="124" spans="2:5" ht="15" customHeight="1">
      <c r="B124" s="88"/>
      <c r="C124" s="62" t="s">
        <v>141</v>
      </c>
      <c r="D124" s="63">
        <v>1</v>
      </c>
      <c r="E124" s="64">
        <v>5.8445353594399998E-4</v>
      </c>
    </row>
    <row r="125" spans="2:5" ht="15" customHeight="1">
      <c r="B125" s="88"/>
      <c r="C125" s="62" t="s">
        <v>143</v>
      </c>
      <c r="D125" s="63">
        <v>1</v>
      </c>
      <c r="E125" s="64">
        <v>5.8445353594399998E-4</v>
      </c>
    </row>
    <row r="126" spans="2:5" ht="15" customHeight="1">
      <c r="B126" s="87"/>
      <c r="C126" s="36" t="s">
        <v>28</v>
      </c>
      <c r="D126" s="35">
        <v>9</v>
      </c>
      <c r="E126" s="34">
        <v>5.2600818234950003E-3</v>
      </c>
    </row>
    <row r="127" spans="2:5" ht="15" customHeight="1">
      <c r="B127" s="86" t="s">
        <v>108</v>
      </c>
      <c r="C127" s="62" t="s">
        <v>136</v>
      </c>
      <c r="D127" s="63">
        <v>1</v>
      </c>
      <c r="E127" s="64">
        <v>5.8445353594399998E-4</v>
      </c>
    </row>
    <row r="128" spans="2:5" ht="15" customHeight="1">
      <c r="B128" s="88"/>
      <c r="C128" s="62" t="s">
        <v>141</v>
      </c>
      <c r="D128" s="63">
        <v>1</v>
      </c>
      <c r="E128" s="64">
        <v>5.8445353594399998E-4</v>
      </c>
    </row>
    <row r="129" spans="2:5" ht="15" customHeight="1">
      <c r="B129" s="87"/>
      <c r="C129" s="36" t="s">
        <v>28</v>
      </c>
      <c r="D129" s="35">
        <v>2</v>
      </c>
      <c r="E129" s="34">
        <v>1.168907071888E-3</v>
      </c>
    </row>
    <row r="130" spans="2:5" ht="15" customHeight="1">
      <c r="B130" s="86" t="s">
        <v>109</v>
      </c>
      <c r="C130" s="62" t="s">
        <v>137</v>
      </c>
      <c r="D130" s="63">
        <v>2</v>
      </c>
      <c r="E130" s="64">
        <v>1.168907071888E-3</v>
      </c>
    </row>
    <row r="131" spans="2:5" ht="15" customHeight="1">
      <c r="B131" s="88"/>
      <c r="C131" s="62" t="s">
        <v>139</v>
      </c>
      <c r="D131" s="63">
        <v>4</v>
      </c>
      <c r="E131" s="64">
        <v>2.3378141437759999E-3</v>
      </c>
    </row>
    <row r="132" spans="2:5" ht="15" customHeight="1">
      <c r="B132" s="88"/>
      <c r="C132" s="62" t="s">
        <v>140</v>
      </c>
      <c r="D132" s="63">
        <v>3</v>
      </c>
      <c r="E132" s="64">
        <v>1.753360607832E-3</v>
      </c>
    </row>
    <row r="133" spans="2:5" ht="15" customHeight="1">
      <c r="B133" s="88"/>
      <c r="C133" s="62" t="s">
        <v>141</v>
      </c>
      <c r="D133" s="63">
        <v>3</v>
      </c>
      <c r="E133" s="64">
        <v>1.753360607832E-3</v>
      </c>
    </row>
    <row r="134" spans="2:5" ht="15" customHeight="1">
      <c r="B134" s="87"/>
      <c r="C134" s="36" t="s">
        <v>28</v>
      </c>
      <c r="D134" s="35">
        <v>12</v>
      </c>
      <c r="E134" s="34">
        <v>7.0134424313270001E-3</v>
      </c>
    </row>
    <row r="135" spans="2:5" ht="15" customHeight="1">
      <c r="B135" s="86" t="s">
        <v>110</v>
      </c>
      <c r="C135" s="62" t="s">
        <v>135</v>
      </c>
      <c r="D135" s="63">
        <v>2</v>
      </c>
      <c r="E135" s="64">
        <v>1.168907071888E-3</v>
      </c>
    </row>
    <row r="136" spans="2:5" ht="15" customHeight="1">
      <c r="B136" s="88"/>
      <c r="C136" s="62" t="s">
        <v>137</v>
      </c>
      <c r="D136" s="63">
        <v>6</v>
      </c>
      <c r="E136" s="64">
        <v>3.506721215663E-3</v>
      </c>
    </row>
    <row r="137" spans="2:5" ht="15" customHeight="1">
      <c r="B137" s="88"/>
      <c r="C137" s="62" t="s">
        <v>139</v>
      </c>
      <c r="D137" s="63">
        <v>6</v>
      </c>
      <c r="E137" s="64">
        <v>3.506721215663E-3</v>
      </c>
    </row>
    <row r="138" spans="2:5" ht="15" customHeight="1">
      <c r="B138" s="88"/>
      <c r="C138" s="62" t="s">
        <v>140</v>
      </c>
      <c r="D138" s="63">
        <v>6</v>
      </c>
      <c r="E138" s="64">
        <v>3.506721215663E-3</v>
      </c>
    </row>
    <row r="139" spans="2:5" ht="15" customHeight="1">
      <c r="B139" s="88"/>
      <c r="C139" s="62" t="s">
        <v>141</v>
      </c>
      <c r="D139" s="63">
        <v>4</v>
      </c>
      <c r="E139" s="64">
        <v>2.3378141437759999E-3</v>
      </c>
    </row>
    <row r="140" spans="2:5" ht="15" customHeight="1">
      <c r="B140" s="88"/>
      <c r="C140" s="62" t="s">
        <v>143</v>
      </c>
      <c r="D140" s="63">
        <v>1</v>
      </c>
      <c r="E140" s="64">
        <v>5.8445353594399998E-4</v>
      </c>
    </row>
    <row r="141" spans="2:5" ht="15" customHeight="1">
      <c r="B141" s="87"/>
      <c r="C141" s="36" t="s">
        <v>28</v>
      </c>
      <c r="D141" s="35">
        <v>25</v>
      </c>
      <c r="E141" s="34">
        <v>1.4611338398597001E-2</v>
      </c>
    </row>
    <row r="142" spans="2:5" ht="15" customHeight="1">
      <c r="B142" s="86" t="s">
        <v>111</v>
      </c>
      <c r="C142" s="62" t="s">
        <v>137</v>
      </c>
      <c r="D142" s="63">
        <v>7</v>
      </c>
      <c r="E142" s="64">
        <v>4.0911747516070001E-3</v>
      </c>
    </row>
    <row r="143" spans="2:5" ht="15" customHeight="1">
      <c r="B143" s="88"/>
      <c r="C143" s="62" t="s">
        <v>139</v>
      </c>
      <c r="D143" s="63">
        <v>6</v>
      </c>
      <c r="E143" s="64">
        <v>3.506721215663E-3</v>
      </c>
    </row>
    <row r="144" spans="2:5" ht="15" customHeight="1">
      <c r="B144" s="88"/>
      <c r="C144" s="62" t="s">
        <v>140</v>
      </c>
      <c r="D144" s="63">
        <v>7</v>
      </c>
      <c r="E144" s="64">
        <v>4.0911747516070001E-3</v>
      </c>
    </row>
    <row r="145" spans="2:5" ht="15" customHeight="1">
      <c r="B145" s="88"/>
      <c r="C145" s="62" t="s">
        <v>141</v>
      </c>
      <c r="D145" s="63">
        <v>1</v>
      </c>
      <c r="E145" s="64">
        <v>5.8445353594399998E-4</v>
      </c>
    </row>
    <row r="146" spans="2:5" ht="15" customHeight="1">
      <c r="B146" s="88"/>
      <c r="C146" s="62" t="s">
        <v>143</v>
      </c>
      <c r="D146" s="63">
        <v>2</v>
      </c>
      <c r="E146" s="64">
        <v>1.168907071888E-3</v>
      </c>
    </row>
    <row r="147" spans="2:5" ht="15" customHeight="1">
      <c r="B147" s="87"/>
      <c r="C147" s="36" t="s">
        <v>28</v>
      </c>
      <c r="D147" s="35">
        <v>23</v>
      </c>
      <c r="E147" s="34">
        <v>1.3442431326710001E-2</v>
      </c>
    </row>
    <row r="148" spans="2:5" ht="15" customHeight="1">
      <c r="B148" s="86" t="s">
        <v>112</v>
      </c>
      <c r="C148" s="62" t="s">
        <v>135</v>
      </c>
      <c r="D148" s="63">
        <v>1</v>
      </c>
      <c r="E148" s="64">
        <v>5.8445353594399998E-4</v>
      </c>
    </row>
    <row r="149" spans="2:5" ht="15" customHeight="1">
      <c r="B149" s="88"/>
      <c r="C149" s="62" t="s">
        <v>137</v>
      </c>
      <c r="D149" s="63">
        <v>4</v>
      </c>
      <c r="E149" s="64">
        <v>2.3378141437759999E-3</v>
      </c>
    </row>
    <row r="150" spans="2:5" ht="15" customHeight="1">
      <c r="B150" s="88"/>
      <c r="C150" s="62" t="s">
        <v>138</v>
      </c>
      <c r="D150" s="63">
        <v>2</v>
      </c>
      <c r="E150" s="64">
        <v>1.168907071888E-3</v>
      </c>
    </row>
    <row r="151" spans="2:5" ht="15" customHeight="1">
      <c r="B151" s="88"/>
      <c r="C151" s="62" t="s">
        <v>139</v>
      </c>
      <c r="D151" s="63">
        <v>5</v>
      </c>
      <c r="E151" s="64">
        <v>2.9222676797189999E-3</v>
      </c>
    </row>
    <row r="152" spans="2:5" ht="15" customHeight="1">
      <c r="B152" s="88"/>
      <c r="C152" s="62" t="s">
        <v>140</v>
      </c>
      <c r="D152" s="63">
        <v>2</v>
      </c>
      <c r="E152" s="64">
        <v>1.168907071888E-3</v>
      </c>
    </row>
    <row r="153" spans="2:5" ht="15" customHeight="1">
      <c r="B153" s="88"/>
      <c r="C153" s="62" t="s">
        <v>141</v>
      </c>
      <c r="D153" s="63">
        <v>5</v>
      </c>
      <c r="E153" s="64">
        <v>2.9222676797189999E-3</v>
      </c>
    </row>
    <row r="154" spans="2:5" ht="15" customHeight="1">
      <c r="B154" s="88"/>
      <c r="C154" s="62" t="s">
        <v>142</v>
      </c>
      <c r="D154" s="63">
        <v>2</v>
      </c>
      <c r="E154" s="64">
        <v>1.168907071888E-3</v>
      </c>
    </row>
    <row r="155" spans="2:5" ht="15" customHeight="1">
      <c r="B155" s="87"/>
      <c r="C155" s="36" t="s">
        <v>28</v>
      </c>
      <c r="D155" s="35">
        <v>21</v>
      </c>
      <c r="E155" s="34">
        <v>1.2273524254822E-2</v>
      </c>
    </row>
    <row r="156" spans="2:5" ht="15" customHeight="1">
      <c r="B156" s="86" t="s">
        <v>113</v>
      </c>
      <c r="C156" s="62" t="s">
        <v>141</v>
      </c>
      <c r="D156" s="63">
        <v>1</v>
      </c>
      <c r="E156" s="64">
        <v>5.8445353594399998E-4</v>
      </c>
    </row>
    <row r="157" spans="2:5" ht="15" customHeight="1">
      <c r="B157" s="87"/>
      <c r="C157" s="36" t="s">
        <v>28</v>
      </c>
      <c r="D157" s="35">
        <v>1</v>
      </c>
      <c r="E157" s="34">
        <v>5.8445353594399998E-4</v>
      </c>
    </row>
    <row r="158" spans="2:5" ht="15" customHeight="1">
      <c r="B158" s="86" t="s">
        <v>114</v>
      </c>
      <c r="C158" s="62" t="s">
        <v>135</v>
      </c>
      <c r="D158" s="63">
        <v>1</v>
      </c>
      <c r="E158" s="64">
        <v>5.8445353594399998E-4</v>
      </c>
    </row>
    <row r="159" spans="2:5" ht="15" customHeight="1">
      <c r="B159" s="88"/>
      <c r="C159" s="62" t="s">
        <v>137</v>
      </c>
      <c r="D159" s="63">
        <v>6</v>
      </c>
      <c r="E159" s="64">
        <v>3.506721215663E-3</v>
      </c>
    </row>
    <row r="160" spans="2:5" ht="15" customHeight="1">
      <c r="B160" s="88"/>
      <c r="C160" s="62" t="s">
        <v>138</v>
      </c>
      <c r="D160" s="63">
        <v>2</v>
      </c>
      <c r="E160" s="64">
        <v>1.168907071888E-3</v>
      </c>
    </row>
    <row r="161" spans="2:5" ht="15" customHeight="1">
      <c r="B161" s="88"/>
      <c r="C161" s="62" t="s">
        <v>139</v>
      </c>
      <c r="D161" s="63">
        <v>13</v>
      </c>
      <c r="E161" s="64">
        <v>7.5978959672709998E-3</v>
      </c>
    </row>
    <row r="162" spans="2:5" ht="15" customHeight="1">
      <c r="B162" s="88"/>
      <c r="C162" s="62" t="s">
        <v>140</v>
      </c>
      <c r="D162" s="63">
        <v>14</v>
      </c>
      <c r="E162" s="64">
        <v>8.1823495032140002E-3</v>
      </c>
    </row>
    <row r="163" spans="2:5" ht="15" customHeight="1">
      <c r="B163" s="88"/>
      <c r="C163" s="62" t="s">
        <v>141</v>
      </c>
      <c r="D163" s="63">
        <v>50</v>
      </c>
      <c r="E163" s="64">
        <v>2.9222676797195E-2</v>
      </c>
    </row>
    <row r="164" spans="2:5" ht="15" customHeight="1">
      <c r="B164" s="88"/>
      <c r="C164" s="62" t="s">
        <v>142</v>
      </c>
      <c r="D164" s="63">
        <v>1</v>
      </c>
      <c r="E164" s="64">
        <v>5.8445353594399998E-4</v>
      </c>
    </row>
    <row r="165" spans="2:5" ht="15" customHeight="1">
      <c r="B165" s="88"/>
      <c r="C165" s="62" t="s">
        <v>143</v>
      </c>
      <c r="D165" s="63">
        <v>3</v>
      </c>
      <c r="E165" s="64">
        <v>1.753360607832E-3</v>
      </c>
    </row>
    <row r="166" spans="2:5" ht="15" customHeight="1">
      <c r="B166" s="87"/>
      <c r="C166" s="36" t="s">
        <v>28</v>
      </c>
      <c r="D166" s="35">
        <v>90</v>
      </c>
      <c r="E166" s="34">
        <v>5.2600818234949998E-2</v>
      </c>
    </row>
    <row r="167" spans="2:5" ht="15" customHeight="1">
      <c r="B167" s="86" t="s">
        <v>115</v>
      </c>
      <c r="C167" s="62" t="s">
        <v>136</v>
      </c>
      <c r="D167" s="63">
        <v>1</v>
      </c>
      <c r="E167" s="64">
        <v>5.8445353594399998E-4</v>
      </c>
    </row>
    <row r="168" spans="2:5" ht="15" customHeight="1">
      <c r="B168" s="88"/>
      <c r="C168" s="62" t="s">
        <v>137</v>
      </c>
      <c r="D168" s="63">
        <v>28</v>
      </c>
      <c r="E168" s="64">
        <v>1.6364699006429E-2</v>
      </c>
    </row>
    <row r="169" spans="2:5" ht="15" customHeight="1">
      <c r="B169" s="88"/>
      <c r="C169" s="62" t="s">
        <v>139</v>
      </c>
      <c r="D169" s="63">
        <v>5</v>
      </c>
      <c r="E169" s="64">
        <v>2.9222676797189999E-3</v>
      </c>
    </row>
    <row r="170" spans="2:5" ht="15" customHeight="1">
      <c r="B170" s="88"/>
      <c r="C170" s="62" t="s">
        <v>140</v>
      </c>
      <c r="D170" s="63">
        <v>4</v>
      </c>
      <c r="E170" s="64">
        <v>2.3378141437759999E-3</v>
      </c>
    </row>
    <row r="171" spans="2:5" ht="15" customHeight="1">
      <c r="B171" s="88"/>
      <c r="C171" s="62" t="s">
        <v>142</v>
      </c>
      <c r="D171" s="63">
        <v>2</v>
      </c>
      <c r="E171" s="64">
        <v>1.168907071888E-3</v>
      </c>
    </row>
    <row r="172" spans="2:5" ht="15" customHeight="1">
      <c r="B172" s="88"/>
      <c r="C172" s="62" t="s">
        <v>143</v>
      </c>
      <c r="D172" s="63">
        <v>1</v>
      </c>
      <c r="E172" s="64">
        <v>5.8445353594399998E-4</v>
      </c>
    </row>
    <row r="173" spans="2:5" ht="15" customHeight="1">
      <c r="B173" s="87"/>
      <c r="C173" s="36" t="s">
        <v>28</v>
      </c>
      <c r="D173" s="35">
        <v>41</v>
      </c>
      <c r="E173" s="34">
        <v>2.3962594973699999E-2</v>
      </c>
    </row>
    <row r="174" spans="2:5" ht="15" customHeight="1">
      <c r="B174" s="86" t="s">
        <v>116</v>
      </c>
      <c r="C174" s="62" t="s">
        <v>135</v>
      </c>
      <c r="D174" s="63">
        <v>1</v>
      </c>
      <c r="E174" s="64">
        <v>5.8445353594399998E-4</v>
      </c>
    </row>
    <row r="175" spans="2:5" ht="15" customHeight="1">
      <c r="B175" s="88"/>
      <c r="C175" s="62" t="s">
        <v>139</v>
      </c>
      <c r="D175" s="63">
        <v>1</v>
      </c>
      <c r="E175" s="64">
        <v>5.8445353594399998E-4</v>
      </c>
    </row>
    <row r="176" spans="2:5" ht="15" customHeight="1">
      <c r="B176" s="88"/>
      <c r="C176" s="62" t="s">
        <v>140</v>
      </c>
      <c r="D176" s="63">
        <v>4</v>
      </c>
      <c r="E176" s="64">
        <v>2.3378141437759999E-3</v>
      </c>
    </row>
    <row r="177" spans="2:5" ht="15" customHeight="1">
      <c r="B177" s="88"/>
      <c r="C177" s="62" t="s">
        <v>141</v>
      </c>
      <c r="D177" s="63">
        <v>1</v>
      </c>
      <c r="E177" s="64">
        <v>5.8445353594399998E-4</v>
      </c>
    </row>
    <row r="178" spans="2:5" ht="15" customHeight="1">
      <c r="B178" s="88"/>
      <c r="C178" s="62" t="s">
        <v>146</v>
      </c>
      <c r="D178" s="63">
        <v>1</v>
      </c>
      <c r="E178" s="64">
        <v>5.8445353594399998E-4</v>
      </c>
    </row>
    <row r="179" spans="2:5" ht="15" customHeight="1">
      <c r="B179" s="87"/>
      <c r="C179" s="36" t="s">
        <v>28</v>
      </c>
      <c r="D179" s="35">
        <v>8</v>
      </c>
      <c r="E179" s="34">
        <v>4.6756282875509998E-3</v>
      </c>
    </row>
    <row r="180" spans="2:5" ht="15" customHeight="1">
      <c r="B180" s="86" t="s">
        <v>117</v>
      </c>
      <c r="C180" s="62" t="s">
        <v>137</v>
      </c>
      <c r="D180" s="63">
        <v>2</v>
      </c>
      <c r="E180" s="64">
        <v>1.168907071888E-3</v>
      </c>
    </row>
    <row r="181" spans="2:5" ht="15" customHeight="1">
      <c r="B181" s="88"/>
      <c r="C181" s="62" t="s">
        <v>139</v>
      </c>
      <c r="D181" s="63">
        <v>1</v>
      </c>
      <c r="E181" s="64">
        <v>5.8445353594399998E-4</v>
      </c>
    </row>
    <row r="182" spans="2:5" ht="15" customHeight="1">
      <c r="B182" s="87"/>
      <c r="C182" s="36" t="s">
        <v>28</v>
      </c>
      <c r="D182" s="35">
        <v>3</v>
      </c>
      <c r="E182" s="34">
        <v>1.753360607832E-3</v>
      </c>
    </row>
    <row r="183" spans="2:5" ht="15" customHeight="1">
      <c r="B183" s="86" t="s">
        <v>118</v>
      </c>
      <c r="C183" s="62" t="s">
        <v>137</v>
      </c>
      <c r="D183" s="63">
        <v>2</v>
      </c>
      <c r="E183" s="64">
        <v>1.168907071888E-3</v>
      </c>
    </row>
    <row r="184" spans="2:5" ht="15" customHeight="1">
      <c r="B184" s="88"/>
      <c r="C184" s="62" t="s">
        <v>139</v>
      </c>
      <c r="D184" s="63">
        <v>2</v>
      </c>
      <c r="E184" s="64">
        <v>1.168907071888E-3</v>
      </c>
    </row>
    <row r="185" spans="2:5" ht="15" customHeight="1">
      <c r="B185" s="88"/>
      <c r="C185" s="62" t="s">
        <v>140</v>
      </c>
      <c r="D185" s="63">
        <v>6</v>
      </c>
      <c r="E185" s="64">
        <v>3.506721215663E-3</v>
      </c>
    </row>
    <row r="186" spans="2:5" ht="15" customHeight="1">
      <c r="B186" s="88"/>
      <c r="C186" s="62" t="s">
        <v>141</v>
      </c>
      <c r="D186" s="63">
        <v>2</v>
      </c>
      <c r="E186" s="64">
        <v>1.168907071888E-3</v>
      </c>
    </row>
    <row r="187" spans="2:5" ht="15" customHeight="1">
      <c r="B187" s="87"/>
      <c r="C187" s="36" t="s">
        <v>28</v>
      </c>
      <c r="D187" s="35">
        <v>12</v>
      </c>
      <c r="E187" s="34">
        <v>7.0134424313270001E-3</v>
      </c>
    </row>
    <row r="188" spans="2:5" ht="15" customHeight="1">
      <c r="B188" s="86" t="s">
        <v>119</v>
      </c>
      <c r="C188" s="62" t="s">
        <v>135</v>
      </c>
      <c r="D188" s="63">
        <v>4</v>
      </c>
      <c r="E188" s="64">
        <v>2.3378141437759999E-3</v>
      </c>
    </row>
    <row r="189" spans="2:5" ht="15" customHeight="1">
      <c r="B189" s="88"/>
      <c r="C189" s="62" t="s">
        <v>137</v>
      </c>
      <c r="D189" s="63">
        <v>5</v>
      </c>
      <c r="E189" s="64">
        <v>2.9222676797189999E-3</v>
      </c>
    </row>
    <row r="190" spans="2:5" ht="15" customHeight="1">
      <c r="B190" s="88"/>
      <c r="C190" s="62" t="s">
        <v>138</v>
      </c>
      <c r="D190" s="63">
        <v>3</v>
      </c>
      <c r="E190" s="64">
        <v>1.753360607832E-3</v>
      </c>
    </row>
    <row r="191" spans="2:5" ht="15" customHeight="1">
      <c r="B191" s="88"/>
      <c r="C191" s="62" t="s">
        <v>139</v>
      </c>
      <c r="D191" s="63">
        <v>23</v>
      </c>
      <c r="E191" s="64">
        <v>1.3442431326710001E-2</v>
      </c>
    </row>
    <row r="192" spans="2:5" ht="15" customHeight="1">
      <c r="B192" s="88"/>
      <c r="C192" s="62" t="s">
        <v>140</v>
      </c>
      <c r="D192" s="63">
        <v>18</v>
      </c>
      <c r="E192" s="64">
        <v>1.0520163646990001E-2</v>
      </c>
    </row>
    <row r="193" spans="2:5" ht="15" customHeight="1">
      <c r="B193" s="88"/>
      <c r="C193" s="62" t="s">
        <v>141</v>
      </c>
      <c r="D193" s="63">
        <v>5</v>
      </c>
      <c r="E193" s="64">
        <v>2.9222676797189999E-3</v>
      </c>
    </row>
    <row r="194" spans="2:5" ht="15" customHeight="1">
      <c r="B194" s="88"/>
      <c r="C194" s="62" t="s">
        <v>143</v>
      </c>
      <c r="D194" s="63">
        <v>1</v>
      </c>
      <c r="E194" s="64">
        <v>5.8445353594399998E-4</v>
      </c>
    </row>
    <row r="195" spans="2:5" ht="15" customHeight="1">
      <c r="B195" s="87"/>
      <c r="C195" s="36" t="s">
        <v>28</v>
      </c>
      <c r="D195" s="35">
        <v>59</v>
      </c>
      <c r="E195" s="34">
        <v>3.4482758620690002E-2</v>
      </c>
    </row>
    <row r="196" spans="2:5" ht="15" customHeight="1">
      <c r="B196" s="86" t="s">
        <v>120</v>
      </c>
      <c r="C196" s="62" t="s">
        <v>135</v>
      </c>
      <c r="D196" s="63">
        <v>3</v>
      </c>
      <c r="E196" s="64">
        <v>1.753360607832E-3</v>
      </c>
    </row>
    <row r="197" spans="2:5" ht="15" customHeight="1">
      <c r="B197" s="88"/>
      <c r="C197" s="62" t="s">
        <v>136</v>
      </c>
      <c r="D197" s="63">
        <v>1</v>
      </c>
      <c r="E197" s="64">
        <v>5.8445353594399998E-4</v>
      </c>
    </row>
    <row r="198" spans="2:5" ht="15" customHeight="1">
      <c r="B198" s="88"/>
      <c r="C198" s="62" t="s">
        <v>137</v>
      </c>
      <c r="D198" s="63">
        <v>5</v>
      </c>
      <c r="E198" s="64">
        <v>2.9222676797189999E-3</v>
      </c>
    </row>
    <row r="199" spans="2:5" ht="15" customHeight="1">
      <c r="B199" s="88"/>
      <c r="C199" s="62" t="s">
        <v>138</v>
      </c>
      <c r="D199" s="63">
        <v>2</v>
      </c>
      <c r="E199" s="64">
        <v>1.168907071888E-3</v>
      </c>
    </row>
    <row r="200" spans="2:5" ht="15" customHeight="1">
      <c r="B200" s="88"/>
      <c r="C200" s="62" t="s">
        <v>139</v>
      </c>
      <c r="D200" s="63">
        <v>8</v>
      </c>
      <c r="E200" s="64">
        <v>4.6756282875509998E-3</v>
      </c>
    </row>
    <row r="201" spans="2:5" ht="15" customHeight="1">
      <c r="B201" s="88"/>
      <c r="C201" s="62" t="s">
        <v>140</v>
      </c>
      <c r="D201" s="63">
        <v>12</v>
      </c>
      <c r="E201" s="64">
        <v>7.0134424313270001E-3</v>
      </c>
    </row>
    <row r="202" spans="2:5" ht="15" customHeight="1">
      <c r="B202" s="88"/>
      <c r="C202" s="62" t="s">
        <v>141</v>
      </c>
      <c r="D202" s="63">
        <v>1</v>
      </c>
      <c r="E202" s="64">
        <v>5.8445353594399998E-4</v>
      </c>
    </row>
    <row r="203" spans="2:5" ht="15" customHeight="1">
      <c r="B203" s="88"/>
      <c r="C203" s="62" t="s">
        <v>142</v>
      </c>
      <c r="D203" s="63">
        <v>1</v>
      </c>
      <c r="E203" s="64">
        <v>5.8445353594399998E-4</v>
      </c>
    </row>
    <row r="204" spans="2:5" ht="15" customHeight="1">
      <c r="B204" s="88"/>
      <c r="C204" s="62" t="s">
        <v>143</v>
      </c>
      <c r="D204" s="63">
        <v>2</v>
      </c>
      <c r="E204" s="64">
        <v>1.168907071888E-3</v>
      </c>
    </row>
    <row r="205" spans="2:5" ht="15" customHeight="1">
      <c r="B205" s="87"/>
      <c r="C205" s="36" t="s">
        <v>28</v>
      </c>
      <c r="D205" s="35">
        <v>35</v>
      </c>
      <c r="E205" s="34">
        <v>2.0455873758036001E-2</v>
      </c>
    </row>
    <row r="206" spans="2:5" ht="15" customHeight="1">
      <c r="B206" s="86" t="s">
        <v>121</v>
      </c>
      <c r="C206" s="62" t="s">
        <v>137</v>
      </c>
      <c r="D206" s="63">
        <v>5</v>
      </c>
      <c r="E206" s="64">
        <v>2.9222676797189999E-3</v>
      </c>
    </row>
    <row r="207" spans="2:5" ht="15" customHeight="1">
      <c r="B207" s="88"/>
      <c r="C207" s="62" t="s">
        <v>138</v>
      </c>
      <c r="D207" s="63">
        <v>4</v>
      </c>
      <c r="E207" s="64">
        <v>2.3378141437759999E-3</v>
      </c>
    </row>
    <row r="208" spans="2:5" ht="15" customHeight="1">
      <c r="B208" s="88"/>
      <c r="C208" s="62" t="s">
        <v>139</v>
      </c>
      <c r="D208" s="63">
        <v>13</v>
      </c>
      <c r="E208" s="64">
        <v>7.5978959672709998E-3</v>
      </c>
    </row>
    <row r="209" spans="2:5" ht="15" customHeight="1">
      <c r="B209" s="88"/>
      <c r="C209" s="62" t="s">
        <v>140</v>
      </c>
      <c r="D209" s="63">
        <v>5</v>
      </c>
      <c r="E209" s="64">
        <v>2.9222676797189999E-3</v>
      </c>
    </row>
    <row r="210" spans="2:5" ht="15" customHeight="1">
      <c r="B210" s="88"/>
      <c r="C210" s="62" t="s">
        <v>141</v>
      </c>
      <c r="D210" s="63">
        <v>9</v>
      </c>
      <c r="E210" s="64">
        <v>5.2600818234950003E-3</v>
      </c>
    </row>
    <row r="211" spans="2:5" ht="15" customHeight="1">
      <c r="B211" s="87"/>
      <c r="C211" s="36" t="s">
        <v>28</v>
      </c>
      <c r="D211" s="35">
        <v>36</v>
      </c>
      <c r="E211" s="34">
        <v>2.1040327293980001E-2</v>
      </c>
    </row>
    <row r="212" spans="2:5" ht="15" customHeight="1">
      <c r="B212" s="86" t="s">
        <v>122</v>
      </c>
      <c r="C212" s="62" t="s">
        <v>137</v>
      </c>
      <c r="D212" s="63">
        <v>1</v>
      </c>
      <c r="E212" s="64">
        <v>5.8445353594399998E-4</v>
      </c>
    </row>
    <row r="213" spans="2:5" ht="15" customHeight="1">
      <c r="B213" s="88"/>
      <c r="C213" s="62" t="s">
        <v>139</v>
      </c>
      <c r="D213" s="63">
        <v>2</v>
      </c>
      <c r="E213" s="64">
        <v>1.168907071888E-3</v>
      </c>
    </row>
    <row r="214" spans="2:5" ht="15" customHeight="1">
      <c r="B214" s="88"/>
      <c r="C214" s="62" t="s">
        <v>140</v>
      </c>
      <c r="D214" s="63">
        <v>1</v>
      </c>
      <c r="E214" s="64">
        <v>5.8445353594399998E-4</v>
      </c>
    </row>
    <row r="215" spans="2:5" ht="15" customHeight="1">
      <c r="B215" s="88"/>
      <c r="C215" s="62" t="s">
        <v>143</v>
      </c>
      <c r="D215" s="63">
        <v>1</v>
      </c>
      <c r="E215" s="64">
        <v>5.8445353594399998E-4</v>
      </c>
    </row>
    <row r="216" spans="2:5" ht="15" customHeight="1">
      <c r="B216" s="87"/>
      <c r="C216" s="36" t="s">
        <v>28</v>
      </c>
      <c r="D216" s="35">
        <v>5</v>
      </c>
      <c r="E216" s="34">
        <v>2.9222676797189999E-3</v>
      </c>
    </row>
    <row r="217" spans="2:5" ht="15" customHeight="1">
      <c r="B217" s="86" t="s">
        <v>123</v>
      </c>
      <c r="C217" s="62" t="s">
        <v>139</v>
      </c>
      <c r="D217" s="63">
        <v>3</v>
      </c>
      <c r="E217" s="64">
        <v>1.753360607832E-3</v>
      </c>
    </row>
    <row r="218" spans="2:5" ht="15" customHeight="1">
      <c r="B218" s="88"/>
      <c r="C218" s="62" t="s">
        <v>140</v>
      </c>
      <c r="D218" s="63">
        <v>2</v>
      </c>
      <c r="E218" s="64">
        <v>1.168907071888E-3</v>
      </c>
    </row>
    <row r="219" spans="2:5" ht="15" customHeight="1">
      <c r="B219" s="88"/>
      <c r="C219" s="62" t="s">
        <v>141</v>
      </c>
      <c r="D219" s="63">
        <v>2</v>
      </c>
      <c r="E219" s="64">
        <v>1.168907071888E-3</v>
      </c>
    </row>
    <row r="220" spans="2:5" ht="15" customHeight="1">
      <c r="B220" s="87"/>
      <c r="C220" s="36" t="s">
        <v>28</v>
      </c>
      <c r="D220" s="35">
        <v>7</v>
      </c>
      <c r="E220" s="34">
        <v>4.0911747516070001E-3</v>
      </c>
    </row>
    <row r="221" spans="2:5" ht="15" customHeight="1">
      <c r="B221" s="86" t="s">
        <v>124</v>
      </c>
      <c r="C221" s="62" t="s">
        <v>140</v>
      </c>
      <c r="D221" s="63">
        <v>1</v>
      </c>
      <c r="E221" s="64">
        <v>5.8445353594399998E-4</v>
      </c>
    </row>
    <row r="222" spans="2:5" ht="15" customHeight="1">
      <c r="B222" s="87"/>
      <c r="C222" s="36" t="s">
        <v>28</v>
      </c>
      <c r="D222" s="35">
        <v>1</v>
      </c>
      <c r="E222" s="34">
        <v>5.8445353594399998E-4</v>
      </c>
    </row>
    <row r="223" spans="2:5" ht="15" customHeight="1">
      <c r="B223" s="86" t="s">
        <v>125</v>
      </c>
      <c r="C223" s="62" t="s">
        <v>135</v>
      </c>
      <c r="D223" s="63">
        <v>1</v>
      </c>
      <c r="E223" s="64">
        <v>5.8445353594399998E-4</v>
      </c>
    </row>
    <row r="224" spans="2:5" ht="15" customHeight="1">
      <c r="B224" s="88"/>
      <c r="C224" s="62" t="s">
        <v>137</v>
      </c>
      <c r="D224" s="63">
        <v>2</v>
      </c>
      <c r="E224" s="64">
        <v>1.168907071888E-3</v>
      </c>
    </row>
    <row r="225" spans="2:5" ht="15" customHeight="1">
      <c r="B225" s="88"/>
      <c r="C225" s="62" t="s">
        <v>138</v>
      </c>
      <c r="D225" s="63">
        <v>3</v>
      </c>
      <c r="E225" s="64">
        <v>1.753360607832E-3</v>
      </c>
    </row>
    <row r="226" spans="2:5" ht="15" customHeight="1">
      <c r="B226" s="88"/>
      <c r="C226" s="62" t="s">
        <v>139</v>
      </c>
      <c r="D226" s="63">
        <v>10</v>
      </c>
      <c r="E226" s="64">
        <v>5.8445353594389999E-3</v>
      </c>
    </row>
    <row r="227" spans="2:5" ht="15" customHeight="1">
      <c r="B227" s="88"/>
      <c r="C227" s="62" t="s">
        <v>140</v>
      </c>
      <c r="D227" s="63">
        <v>5</v>
      </c>
      <c r="E227" s="64">
        <v>2.9222676797189999E-3</v>
      </c>
    </row>
    <row r="228" spans="2:5" ht="15" customHeight="1">
      <c r="B228" s="88"/>
      <c r="C228" s="62" t="s">
        <v>141</v>
      </c>
      <c r="D228" s="63">
        <v>5</v>
      </c>
      <c r="E228" s="64">
        <v>2.9222676797189999E-3</v>
      </c>
    </row>
    <row r="229" spans="2:5" ht="15" customHeight="1">
      <c r="B229" s="88"/>
      <c r="C229" s="62" t="s">
        <v>144</v>
      </c>
      <c r="D229" s="63">
        <v>3</v>
      </c>
      <c r="E229" s="64">
        <v>1.753360607832E-3</v>
      </c>
    </row>
    <row r="230" spans="2:5" ht="15" customHeight="1">
      <c r="B230" s="88"/>
      <c r="C230" s="62" t="s">
        <v>145</v>
      </c>
      <c r="D230" s="63">
        <v>1</v>
      </c>
      <c r="E230" s="64">
        <v>5.8445353594399998E-4</v>
      </c>
    </row>
    <row r="231" spans="2:5" ht="15" customHeight="1">
      <c r="B231" s="87"/>
      <c r="C231" s="36" t="s">
        <v>28</v>
      </c>
      <c r="D231" s="35">
        <v>30</v>
      </c>
      <c r="E231" s="34">
        <v>1.7533606078316999E-2</v>
      </c>
    </row>
    <row r="232" spans="2:5" ht="15" customHeight="1">
      <c r="B232" s="86" t="s">
        <v>126</v>
      </c>
      <c r="C232" s="62" t="s">
        <v>139</v>
      </c>
      <c r="D232" s="63">
        <v>1</v>
      </c>
      <c r="E232" s="64">
        <v>5.8445353594399998E-4</v>
      </c>
    </row>
    <row r="233" spans="2:5" ht="15" customHeight="1">
      <c r="B233" s="88"/>
      <c r="C233" s="62" t="s">
        <v>140</v>
      </c>
      <c r="D233" s="63">
        <v>2</v>
      </c>
      <c r="E233" s="64">
        <v>1.168907071888E-3</v>
      </c>
    </row>
    <row r="234" spans="2:5" ht="15" customHeight="1">
      <c r="B234" s="87"/>
      <c r="C234" s="36" t="s">
        <v>28</v>
      </c>
      <c r="D234" s="35">
        <v>3</v>
      </c>
      <c r="E234" s="34">
        <v>1.753360607832E-3</v>
      </c>
    </row>
    <row r="235" spans="2:5" ht="15" customHeight="1">
      <c r="B235" s="86" t="s">
        <v>127</v>
      </c>
      <c r="C235" s="62" t="s">
        <v>135</v>
      </c>
      <c r="D235" s="63">
        <v>2</v>
      </c>
      <c r="E235" s="64">
        <v>1.168907071888E-3</v>
      </c>
    </row>
    <row r="236" spans="2:5" ht="15" customHeight="1">
      <c r="B236" s="88"/>
      <c r="C236" s="62" t="s">
        <v>137</v>
      </c>
      <c r="D236" s="63">
        <v>3</v>
      </c>
      <c r="E236" s="64">
        <v>1.753360607832E-3</v>
      </c>
    </row>
    <row r="237" spans="2:5" ht="15" customHeight="1">
      <c r="B237" s="88"/>
      <c r="C237" s="62" t="s">
        <v>138</v>
      </c>
      <c r="D237" s="63">
        <v>3</v>
      </c>
      <c r="E237" s="64">
        <v>1.753360607832E-3</v>
      </c>
    </row>
    <row r="238" spans="2:5" ht="15" customHeight="1">
      <c r="B238" s="88"/>
      <c r="C238" s="62" t="s">
        <v>139</v>
      </c>
      <c r="D238" s="63">
        <v>8</v>
      </c>
      <c r="E238" s="64">
        <v>4.6756282875509998E-3</v>
      </c>
    </row>
    <row r="239" spans="2:5" ht="15" customHeight="1">
      <c r="B239" s="88"/>
      <c r="C239" s="62" t="s">
        <v>140</v>
      </c>
      <c r="D239" s="63">
        <v>16</v>
      </c>
      <c r="E239" s="64">
        <v>9.3512565751019995E-3</v>
      </c>
    </row>
    <row r="240" spans="2:5" ht="15" customHeight="1">
      <c r="B240" s="88"/>
      <c r="C240" s="62" t="s">
        <v>141</v>
      </c>
      <c r="D240" s="63">
        <v>3</v>
      </c>
      <c r="E240" s="64">
        <v>1.753360607832E-3</v>
      </c>
    </row>
    <row r="241" spans="2:5" ht="15" customHeight="1">
      <c r="B241" s="88"/>
      <c r="C241" s="62" t="s">
        <v>143</v>
      </c>
      <c r="D241" s="63">
        <v>1</v>
      </c>
      <c r="E241" s="64">
        <v>5.8445353594399998E-4</v>
      </c>
    </row>
    <row r="242" spans="2:5" ht="15" customHeight="1">
      <c r="B242" s="87"/>
      <c r="C242" s="36" t="s">
        <v>28</v>
      </c>
      <c r="D242" s="35">
        <v>36</v>
      </c>
      <c r="E242" s="34">
        <v>2.1040327293980001E-2</v>
      </c>
    </row>
    <row r="243" spans="2:5" ht="15" customHeight="1">
      <c r="B243" s="86" t="s">
        <v>128</v>
      </c>
      <c r="C243" s="62" t="s">
        <v>135</v>
      </c>
      <c r="D243" s="63">
        <v>4</v>
      </c>
      <c r="E243" s="64">
        <v>2.3378141437759999E-3</v>
      </c>
    </row>
    <row r="244" spans="2:5" ht="15" customHeight="1">
      <c r="B244" s="88"/>
      <c r="C244" s="62" t="s">
        <v>136</v>
      </c>
      <c r="D244" s="63">
        <v>5</v>
      </c>
      <c r="E244" s="64">
        <v>2.9222676797189999E-3</v>
      </c>
    </row>
    <row r="245" spans="2:5" ht="15" customHeight="1">
      <c r="B245" s="88"/>
      <c r="C245" s="62" t="s">
        <v>137</v>
      </c>
      <c r="D245" s="63">
        <v>105</v>
      </c>
      <c r="E245" s="64">
        <v>6.1367621274108997E-2</v>
      </c>
    </row>
    <row r="246" spans="2:5" ht="15" customHeight="1">
      <c r="B246" s="88"/>
      <c r="C246" s="62" t="s">
        <v>138</v>
      </c>
      <c r="D246" s="63">
        <v>25</v>
      </c>
      <c r="E246" s="64">
        <v>1.4611338398597001E-2</v>
      </c>
    </row>
    <row r="247" spans="2:5" ht="15" customHeight="1">
      <c r="B247" s="88"/>
      <c r="C247" s="62" t="s">
        <v>139</v>
      </c>
      <c r="D247" s="63">
        <v>123</v>
      </c>
      <c r="E247" s="64">
        <v>7.1887784921098999E-2</v>
      </c>
    </row>
    <row r="248" spans="2:5" ht="15" customHeight="1">
      <c r="B248" s="88"/>
      <c r="C248" s="62" t="s">
        <v>140</v>
      </c>
      <c r="D248" s="63">
        <v>41</v>
      </c>
      <c r="E248" s="64">
        <v>2.3962594973699999E-2</v>
      </c>
    </row>
    <row r="249" spans="2:5" ht="15" customHeight="1">
      <c r="B249" s="88"/>
      <c r="C249" s="62" t="s">
        <v>141</v>
      </c>
      <c r="D249" s="63">
        <v>36</v>
      </c>
      <c r="E249" s="64">
        <v>2.1040327293980001E-2</v>
      </c>
    </row>
    <row r="250" spans="2:5" ht="15" customHeight="1">
      <c r="B250" s="88"/>
      <c r="C250" s="62" t="s">
        <v>142</v>
      </c>
      <c r="D250" s="63">
        <v>5</v>
      </c>
      <c r="E250" s="64">
        <v>2.9222676797189999E-3</v>
      </c>
    </row>
    <row r="251" spans="2:5" ht="15" customHeight="1">
      <c r="B251" s="88"/>
      <c r="C251" s="62" t="s">
        <v>143</v>
      </c>
      <c r="D251" s="63">
        <v>10</v>
      </c>
      <c r="E251" s="64">
        <v>5.8445353594389999E-3</v>
      </c>
    </row>
    <row r="252" spans="2:5" ht="15" customHeight="1">
      <c r="B252" s="88"/>
      <c r="C252" s="62" t="s">
        <v>144</v>
      </c>
      <c r="D252" s="63">
        <v>4</v>
      </c>
      <c r="E252" s="64">
        <v>2.3378141437759999E-3</v>
      </c>
    </row>
    <row r="253" spans="2:5" ht="15" customHeight="1">
      <c r="B253" s="87"/>
      <c r="C253" s="36" t="s">
        <v>28</v>
      </c>
      <c r="D253" s="35">
        <v>358</v>
      </c>
      <c r="E253" s="34">
        <v>0.209234365867914</v>
      </c>
    </row>
    <row r="254" spans="2:5" ht="15" customHeight="1">
      <c r="B254" s="86" t="s">
        <v>129</v>
      </c>
      <c r="C254" s="62" t="s">
        <v>139</v>
      </c>
      <c r="D254" s="63">
        <v>1</v>
      </c>
      <c r="E254" s="64">
        <v>5.8445353594399998E-4</v>
      </c>
    </row>
    <row r="255" spans="2:5" ht="15" customHeight="1">
      <c r="B255" s="88"/>
      <c r="C255" s="62" t="s">
        <v>143</v>
      </c>
      <c r="D255" s="63">
        <v>1</v>
      </c>
      <c r="E255" s="64">
        <v>5.8445353594399998E-4</v>
      </c>
    </row>
    <row r="256" spans="2:5" ht="15" customHeight="1">
      <c r="B256" s="87"/>
      <c r="C256" s="36" t="s">
        <v>28</v>
      </c>
      <c r="D256" s="35">
        <v>2</v>
      </c>
      <c r="E256" s="34">
        <v>1.168907071888E-3</v>
      </c>
    </row>
    <row r="257" spans="2:5" ht="15" customHeight="1">
      <c r="B257" s="86" t="s">
        <v>130</v>
      </c>
      <c r="C257" s="62" t="s">
        <v>137</v>
      </c>
      <c r="D257" s="63">
        <v>4</v>
      </c>
      <c r="E257" s="64">
        <v>2.3378141437759999E-3</v>
      </c>
    </row>
    <row r="258" spans="2:5" ht="15" customHeight="1">
      <c r="B258" s="88"/>
      <c r="C258" s="62" t="s">
        <v>138</v>
      </c>
      <c r="D258" s="63">
        <v>1</v>
      </c>
      <c r="E258" s="64">
        <v>5.8445353594399998E-4</v>
      </c>
    </row>
    <row r="259" spans="2:5" ht="15" customHeight="1">
      <c r="B259" s="88"/>
      <c r="C259" s="62" t="s">
        <v>139</v>
      </c>
      <c r="D259" s="63">
        <v>6</v>
      </c>
      <c r="E259" s="64">
        <v>3.506721215663E-3</v>
      </c>
    </row>
    <row r="260" spans="2:5" ht="15" customHeight="1">
      <c r="B260" s="88"/>
      <c r="C260" s="62" t="s">
        <v>140</v>
      </c>
      <c r="D260" s="63">
        <v>7</v>
      </c>
      <c r="E260" s="64">
        <v>4.0911747516070001E-3</v>
      </c>
    </row>
    <row r="261" spans="2:5" ht="15" customHeight="1">
      <c r="B261" s="88"/>
      <c r="C261" s="62" t="s">
        <v>141</v>
      </c>
      <c r="D261" s="63">
        <v>4</v>
      </c>
      <c r="E261" s="64">
        <v>2.3378141437759999E-3</v>
      </c>
    </row>
    <row r="262" spans="2:5" ht="15" customHeight="1">
      <c r="B262" s="87"/>
      <c r="C262" s="36" t="s">
        <v>28</v>
      </c>
      <c r="D262" s="35">
        <v>22</v>
      </c>
      <c r="E262" s="34">
        <v>1.2857977790765999E-2</v>
      </c>
    </row>
    <row r="263" spans="2:5" ht="15" customHeight="1">
      <c r="B263" s="86" t="s">
        <v>71</v>
      </c>
      <c r="C263" s="62" t="s">
        <v>135</v>
      </c>
      <c r="D263" s="63">
        <v>1</v>
      </c>
      <c r="E263" s="64">
        <v>5.8445353594399998E-4</v>
      </c>
    </row>
    <row r="264" spans="2:5" ht="15" customHeight="1">
      <c r="B264" s="88"/>
      <c r="C264" s="62" t="s">
        <v>137</v>
      </c>
      <c r="D264" s="63">
        <v>4</v>
      </c>
      <c r="E264" s="64">
        <v>2.3378141437759999E-3</v>
      </c>
    </row>
    <row r="265" spans="2:5" ht="15" customHeight="1">
      <c r="B265" s="88"/>
      <c r="C265" s="62" t="s">
        <v>139</v>
      </c>
      <c r="D265" s="63">
        <v>2</v>
      </c>
      <c r="E265" s="64">
        <v>1.168907071888E-3</v>
      </c>
    </row>
    <row r="266" spans="2:5" ht="15" customHeight="1">
      <c r="B266" s="88"/>
      <c r="C266" s="62" t="s">
        <v>140</v>
      </c>
      <c r="D266" s="63">
        <v>4</v>
      </c>
      <c r="E266" s="64">
        <v>2.3378141437759999E-3</v>
      </c>
    </row>
    <row r="267" spans="2:5" ht="15" customHeight="1">
      <c r="B267" s="88"/>
      <c r="C267" s="62" t="s">
        <v>142</v>
      </c>
      <c r="D267" s="63">
        <v>1</v>
      </c>
      <c r="E267" s="64">
        <v>5.8445353594399998E-4</v>
      </c>
    </row>
    <row r="268" spans="2:5" ht="15" customHeight="1">
      <c r="B268" s="87"/>
      <c r="C268" s="36" t="s">
        <v>28</v>
      </c>
      <c r="D268" s="35">
        <v>12</v>
      </c>
      <c r="E268" s="34">
        <v>7.0134424313270001E-3</v>
      </c>
    </row>
    <row r="269" spans="2:5" ht="15" customHeight="1">
      <c r="B269" s="86" t="s">
        <v>131</v>
      </c>
      <c r="C269" s="62" t="s">
        <v>137</v>
      </c>
      <c r="D269" s="63">
        <v>2</v>
      </c>
      <c r="E269" s="64">
        <v>1.168907071888E-3</v>
      </c>
    </row>
    <row r="270" spans="2:5" ht="15" customHeight="1">
      <c r="B270" s="88"/>
      <c r="C270" s="62" t="s">
        <v>138</v>
      </c>
      <c r="D270" s="63">
        <v>2</v>
      </c>
      <c r="E270" s="64">
        <v>1.168907071888E-3</v>
      </c>
    </row>
    <row r="271" spans="2:5" ht="15" customHeight="1">
      <c r="B271" s="88"/>
      <c r="C271" s="62" t="s">
        <v>139</v>
      </c>
      <c r="D271" s="63">
        <v>3</v>
      </c>
      <c r="E271" s="64">
        <v>1.753360607832E-3</v>
      </c>
    </row>
    <row r="272" spans="2:5" ht="15" customHeight="1">
      <c r="B272" s="88"/>
      <c r="C272" s="62" t="s">
        <v>140</v>
      </c>
      <c r="D272" s="63">
        <v>5</v>
      </c>
      <c r="E272" s="64">
        <v>2.9222676797189999E-3</v>
      </c>
    </row>
    <row r="273" spans="2:5" ht="15" customHeight="1">
      <c r="B273" s="88"/>
      <c r="C273" s="62" t="s">
        <v>141</v>
      </c>
      <c r="D273" s="63">
        <v>3</v>
      </c>
      <c r="E273" s="64">
        <v>1.753360607832E-3</v>
      </c>
    </row>
    <row r="274" spans="2:5" ht="15" customHeight="1">
      <c r="B274" s="87"/>
      <c r="C274" s="36" t="s">
        <v>28</v>
      </c>
      <c r="D274" s="35">
        <v>15</v>
      </c>
      <c r="E274" s="34">
        <v>8.7668030391579999E-3</v>
      </c>
    </row>
    <row r="275" spans="2:5" ht="15" customHeight="1">
      <c r="B275" s="86" t="s">
        <v>132</v>
      </c>
      <c r="C275" s="62" t="s">
        <v>137</v>
      </c>
      <c r="D275" s="63">
        <v>1</v>
      </c>
      <c r="E275" s="64">
        <v>5.8445353594399998E-4</v>
      </c>
    </row>
    <row r="276" spans="2:5" ht="15" customHeight="1">
      <c r="B276" s="88"/>
      <c r="C276" s="62" t="s">
        <v>141</v>
      </c>
      <c r="D276" s="63">
        <v>1</v>
      </c>
      <c r="E276" s="64">
        <v>5.8445353594399998E-4</v>
      </c>
    </row>
    <row r="277" spans="2:5" ht="15" customHeight="1">
      <c r="B277" s="87"/>
      <c r="C277" s="36" t="s">
        <v>28</v>
      </c>
      <c r="D277" s="35">
        <v>2</v>
      </c>
      <c r="E277" s="34">
        <v>1.168907071888E-3</v>
      </c>
    </row>
    <row r="278" spans="2:5" ht="15" customHeight="1">
      <c r="B278" s="90" t="s">
        <v>28</v>
      </c>
      <c r="C278" s="91"/>
      <c r="D278" s="60">
        <v>1711</v>
      </c>
      <c r="E278" s="61">
        <v>1</v>
      </c>
    </row>
    <row r="280" spans="2:5" ht="15" customHeight="1">
      <c r="B280" s="15" t="s">
        <v>213</v>
      </c>
    </row>
    <row r="281" spans="2:5" ht="15" customHeight="1">
      <c r="B281" s="17" t="s">
        <v>17</v>
      </c>
    </row>
    <row r="282" spans="2:5" ht="15" customHeight="1">
      <c r="B282" s="16" t="s">
        <v>214</v>
      </c>
    </row>
    <row r="283" spans="2:5" ht="15" customHeight="1">
      <c r="B283" s="15" t="s">
        <v>16</v>
      </c>
    </row>
    <row r="284" spans="2:5" ht="15" customHeight="1">
      <c r="B284" s="15" t="s">
        <v>215</v>
      </c>
    </row>
  </sheetData>
  <mergeCells count="45">
    <mergeCell ref="B257:B262"/>
    <mergeCell ref="B263:B268"/>
    <mergeCell ref="B269:B274"/>
    <mergeCell ref="B275:B277"/>
    <mergeCell ref="B278:C278"/>
    <mergeCell ref="B223:B231"/>
    <mergeCell ref="B232:B234"/>
    <mergeCell ref="B235:B242"/>
    <mergeCell ref="B243:B253"/>
    <mergeCell ref="B254:B256"/>
    <mergeCell ref="B7:E8"/>
    <mergeCell ref="B99:B106"/>
    <mergeCell ref="B107:B113"/>
    <mergeCell ref="B114:B120"/>
    <mergeCell ref="B121:B126"/>
    <mergeCell ref="B74:B76"/>
    <mergeCell ref="B77:B83"/>
    <mergeCell ref="B84:B92"/>
    <mergeCell ref="B93:B98"/>
    <mergeCell ref="B10:B19"/>
    <mergeCell ref="B20:B26"/>
    <mergeCell ref="B27:B34"/>
    <mergeCell ref="B35:B44"/>
    <mergeCell ref="B45:B52"/>
    <mergeCell ref="B217:B220"/>
    <mergeCell ref="B53:B54"/>
    <mergeCell ref="B55:B63"/>
    <mergeCell ref="B64:B71"/>
    <mergeCell ref="B72:B73"/>
    <mergeCell ref="B221:B222"/>
    <mergeCell ref="B127:B129"/>
    <mergeCell ref="B130:B134"/>
    <mergeCell ref="B135:B141"/>
    <mergeCell ref="B142:B147"/>
    <mergeCell ref="B148:B155"/>
    <mergeCell ref="B156:B157"/>
    <mergeCell ref="B158:B166"/>
    <mergeCell ref="B167:B173"/>
    <mergeCell ref="B174:B179"/>
    <mergeCell ref="B180:B182"/>
    <mergeCell ref="B183:B187"/>
    <mergeCell ref="B188:B195"/>
    <mergeCell ref="B196:B205"/>
    <mergeCell ref="B206:B211"/>
    <mergeCell ref="B212:B21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317"/>
  <sheetViews>
    <sheetView showGridLines="0" view="pageBreakPreview" topLeftCell="A49" zoomScale="85" zoomScaleNormal="100" zoomScaleSheetLayoutView="85" workbookViewId="0">
      <selection activeCell="C60" sqref="C6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21</v>
      </c>
      <c r="C9" s="40" t="s">
        <v>23</v>
      </c>
      <c r="D9" s="39" t="s">
        <v>19</v>
      </c>
      <c r="E9" s="38" t="s">
        <v>18</v>
      </c>
    </row>
    <row r="10" spans="1:5" ht="15" customHeight="1">
      <c r="B10" s="92" t="s">
        <v>87</v>
      </c>
      <c r="C10" s="73" t="s">
        <v>139</v>
      </c>
      <c r="D10" s="74">
        <v>1</v>
      </c>
      <c r="E10" s="75">
        <v>5.8445353594399998E-4</v>
      </c>
    </row>
    <row r="11" spans="1:5" ht="15" customHeight="1">
      <c r="B11" s="92"/>
      <c r="C11" s="73" t="s">
        <v>140</v>
      </c>
      <c r="D11" s="74">
        <v>1</v>
      </c>
      <c r="E11" s="75">
        <v>5.8445353594399998E-4</v>
      </c>
    </row>
    <row r="12" spans="1:5" ht="15" customHeight="1">
      <c r="B12" s="92"/>
      <c r="C12" s="36" t="s">
        <v>28</v>
      </c>
      <c r="D12" s="35">
        <v>2</v>
      </c>
      <c r="E12" s="34">
        <v>1.168907071888E-3</v>
      </c>
    </row>
    <row r="13" spans="1:5" ht="15" customHeight="1">
      <c r="B13" s="92" t="s">
        <v>47</v>
      </c>
      <c r="C13" s="73" t="s">
        <v>135</v>
      </c>
      <c r="D13" s="74">
        <v>16</v>
      </c>
      <c r="E13" s="75">
        <v>9.3512565751019995E-3</v>
      </c>
    </row>
    <row r="14" spans="1:5" ht="15" customHeight="1">
      <c r="B14" s="92"/>
      <c r="C14" s="73" t="s">
        <v>136</v>
      </c>
      <c r="D14" s="74">
        <v>2</v>
      </c>
      <c r="E14" s="75">
        <v>1.168907071888E-3</v>
      </c>
    </row>
    <row r="15" spans="1:5" ht="15" customHeight="1">
      <c r="B15" s="92"/>
      <c r="C15" s="73" t="s">
        <v>137</v>
      </c>
      <c r="D15" s="74">
        <v>17</v>
      </c>
      <c r="E15" s="75">
        <v>9.9357101110459992E-3</v>
      </c>
    </row>
    <row r="16" spans="1:5" ht="15" customHeight="1">
      <c r="B16" s="92"/>
      <c r="C16" s="73" t="s">
        <v>138</v>
      </c>
      <c r="D16" s="74">
        <v>5</v>
      </c>
      <c r="E16" s="75">
        <v>2.9222676797189999E-3</v>
      </c>
    </row>
    <row r="17" spans="2:5" ht="15" customHeight="1">
      <c r="B17" s="92"/>
      <c r="C17" s="73" t="s">
        <v>139</v>
      </c>
      <c r="D17" s="74">
        <v>30</v>
      </c>
      <c r="E17" s="75">
        <v>1.7533606078316999E-2</v>
      </c>
    </row>
    <row r="18" spans="2:5" ht="15" customHeight="1">
      <c r="B18" s="92"/>
      <c r="C18" s="73" t="s">
        <v>140</v>
      </c>
      <c r="D18" s="74">
        <v>44</v>
      </c>
      <c r="E18" s="75">
        <v>2.5715955581530999E-2</v>
      </c>
    </row>
    <row r="19" spans="2:5" ht="15" customHeight="1">
      <c r="B19" s="92"/>
      <c r="C19" s="73" t="s">
        <v>141</v>
      </c>
      <c r="D19" s="74">
        <v>4</v>
      </c>
      <c r="E19" s="75">
        <v>2.3378141437759999E-3</v>
      </c>
    </row>
    <row r="20" spans="2:5" ht="15" customHeight="1">
      <c r="B20" s="92"/>
      <c r="C20" s="73" t="s">
        <v>142</v>
      </c>
      <c r="D20" s="74">
        <v>1</v>
      </c>
      <c r="E20" s="75">
        <v>5.8445353594399998E-4</v>
      </c>
    </row>
    <row r="21" spans="2:5" ht="15" customHeight="1">
      <c r="B21" s="92"/>
      <c r="C21" s="73" t="s">
        <v>143</v>
      </c>
      <c r="D21" s="74">
        <v>16</v>
      </c>
      <c r="E21" s="75">
        <v>9.3512565751019995E-3</v>
      </c>
    </row>
    <row r="22" spans="2:5" ht="15" customHeight="1">
      <c r="B22" s="92"/>
      <c r="C22" s="73" t="s">
        <v>144</v>
      </c>
      <c r="D22" s="74">
        <v>1</v>
      </c>
      <c r="E22" s="75">
        <v>5.8445353594399998E-4</v>
      </c>
    </row>
    <row r="23" spans="2:5" ht="15" customHeight="1">
      <c r="B23" s="92"/>
      <c r="C23" s="73" t="s">
        <v>145</v>
      </c>
      <c r="D23" s="74">
        <v>1</v>
      </c>
      <c r="E23" s="75">
        <v>5.8445353594399998E-4</v>
      </c>
    </row>
    <row r="24" spans="2:5" ht="15" customHeight="1">
      <c r="B24" s="92"/>
      <c r="C24" s="36" t="s">
        <v>28</v>
      </c>
      <c r="D24" s="35">
        <v>137</v>
      </c>
      <c r="E24" s="34">
        <v>8.0070134424313003E-2</v>
      </c>
    </row>
    <row r="25" spans="2:5" ht="15" customHeight="1">
      <c r="B25" s="92" t="s">
        <v>56</v>
      </c>
      <c r="C25" s="73" t="s">
        <v>137</v>
      </c>
      <c r="D25" s="74">
        <v>8</v>
      </c>
      <c r="E25" s="75">
        <v>4.6756282875509998E-3</v>
      </c>
    </row>
    <row r="26" spans="2:5" ht="15" customHeight="1">
      <c r="B26" s="92"/>
      <c r="C26" s="73" t="s">
        <v>138</v>
      </c>
      <c r="D26" s="74">
        <v>6</v>
      </c>
      <c r="E26" s="75">
        <v>3.506721215663E-3</v>
      </c>
    </row>
    <row r="27" spans="2:5" ht="15" customHeight="1">
      <c r="B27" s="92"/>
      <c r="C27" s="73" t="s">
        <v>139</v>
      </c>
      <c r="D27" s="74">
        <v>37</v>
      </c>
      <c r="E27" s="75">
        <v>2.1624780829924001E-2</v>
      </c>
    </row>
    <row r="28" spans="2:5" ht="15" customHeight="1">
      <c r="B28" s="92"/>
      <c r="C28" s="73" t="s">
        <v>140</v>
      </c>
      <c r="D28" s="74">
        <v>4</v>
      </c>
      <c r="E28" s="75">
        <v>2.3378141437759999E-3</v>
      </c>
    </row>
    <row r="29" spans="2:5" ht="15" customHeight="1">
      <c r="B29" s="92"/>
      <c r="C29" s="73" t="s">
        <v>141</v>
      </c>
      <c r="D29" s="74">
        <v>2</v>
      </c>
      <c r="E29" s="75">
        <v>1.168907071888E-3</v>
      </c>
    </row>
    <row r="30" spans="2:5" ht="15" customHeight="1">
      <c r="B30" s="92"/>
      <c r="C30" s="73" t="s">
        <v>142</v>
      </c>
      <c r="D30" s="74">
        <v>1</v>
      </c>
      <c r="E30" s="75">
        <v>5.8445353594399998E-4</v>
      </c>
    </row>
    <row r="31" spans="2:5" ht="15" customHeight="1">
      <c r="B31" s="92"/>
      <c r="C31" s="73" t="s">
        <v>143</v>
      </c>
      <c r="D31" s="74">
        <v>1</v>
      </c>
      <c r="E31" s="75">
        <v>5.8445353594399998E-4</v>
      </c>
    </row>
    <row r="32" spans="2:5" ht="15" customHeight="1">
      <c r="B32" s="92"/>
      <c r="C32" s="73" t="s">
        <v>144</v>
      </c>
      <c r="D32" s="74">
        <v>1</v>
      </c>
      <c r="E32" s="75">
        <v>5.8445353594399998E-4</v>
      </c>
    </row>
    <row r="33" spans="2:5" ht="15" customHeight="1">
      <c r="B33" s="92"/>
      <c r="C33" s="36" t="s">
        <v>28</v>
      </c>
      <c r="D33" s="35">
        <v>60</v>
      </c>
      <c r="E33" s="34">
        <v>3.5067212156633998E-2</v>
      </c>
    </row>
    <row r="34" spans="2:5" ht="15" customHeight="1">
      <c r="B34" s="92" t="s">
        <v>82</v>
      </c>
      <c r="C34" s="73" t="s">
        <v>137</v>
      </c>
      <c r="D34" s="74">
        <v>1</v>
      </c>
      <c r="E34" s="75">
        <v>5.8445353594399998E-4</v>
      </c>
    </row>
    <row r="35" spans="2:5" ht="15" customHeight="1">
      <c r="B35" s="92"/>
      <c r="C35" s="73" t="s">
        <v>138</v>
      </c>
      <c r="D35" s="74">
        <v>1</v>
      </c>
      <c r="E35" s="75">
        <v>5.8445353594399998E-4</v>
      </c>
    </row>
    <row r="36" spans="2:5" ht="15" customHeight="1">
      <c r="B36" s="92"/>
      <c r="C36" s="73" t="s">
        <v>139</v>
      </c>
      <c r="D36" s="74">
        <v>7</v>
      </c>
      <c r="E36" s="75">
        <v>4.0911747516070001E-3</v>
      </c>
    </row>
    <row r="37" spans="2:5" ht="15" customHeight="1">
      <c r="B37" s="92"/>
      <c r="C37" s="73" t="s">
        <v>141</v>
      </c>
      <c r="D37" s="74">
        <v>1</v>
      </c>
      <c r="E37" s="75">
        <v>5.8445353594399998E-4</v>
      </c>
    </row>
    <row r="38" spans="2:5" ht="15" customHeight="1">
      <c r="B38" s="92"/>
      <c r="C38" s="36" t="s">
        <v>28</v>
      </c>
      <c r="D38" s="35">
        <v>10</v>
      </c>
      <c r="E38" s="34">
        <v>5.8445353594389999E-3</v>
      </c>
    </row>
    <row r="39" spans="2:5" ht="15" customHeight="1">
      <c r="B39" s="92" t="s">
        <v>85</v>
      </c>
      <c r="C39" s="73" t="s">
        <v>136</v>
      </c>
      <c r="D39" s="74">
        <v>1</v>
      </c>
      <c r="E39" s="75">
        <v>5.8445353594399998E-4</v>
      </c>
    </row>
    <row r="40" spans="2:5" ht="15" customHeight="1">
      <c r="B40" s="92"/>
      <c r="C40" s="73" t="s">
        <v>140</v>
      </c>
      <c r="D40" s="74">
        <v>1</v>
      </c>
      <c r="E40" s="75">
        <v>5.8445353594399998E-4</v>
      </c>
    </row>
    <row r="41" spans="2:5" ht="15" customHeight="1">
      <c r="B41" s="92"/>
      <c r="C41" s="73" t="s">
        <v>141</v>
      </c>
      <c r="D41" s="74">
        <v>1</v>
      </c>
      <c r="E41" s="75">
        <v>5.8445353594399998E-4</v>
      </c>
    </row>
    <row r="42" spans="2:5" ht="15" customHeight="1">
      <c r="B42" s="92"/>
      <c r="C42" s="36" t="s">
        <v>28</v>
      </c>
      <c r="D42" s="35">
        <v>3</v>
      </c>
      <c r="E42" s="34">
        <v>1.753360607832E-3</v>
      </c>
    </row>
    <row r="43" spans="2:5" ht="15" customHeight="1">
      <c r="B43" s="92" t="s">
        <v>79</v>
      </c>
      <c r="C43" s="73" t="s">
        <v>136</v>
      </c>
      <c r="D43" s="74">
        <v>1</v>
      </c>
      <c r="E43" s="75">
        <v>5.8445353594399998E-4</v>
      </c>
    </row>
    <row r="44" spans="2:5" ht="15" customHeight="1">
      <c r="B44" s="92"/>
      <c r="C44" s="73" t="s">
        <v>137</v>
      </c>
      <c r="D44" s="74">
        <v>2</v>
      </c>
      <c r="E44" s="75">
        <v>1.168907071888E-3</v>
      </c>
    </row>
    <row r="45" spans="2:5" ht="15" customHeight="1">
      <c r="B45" s="92"/>
      <c r="C45" s="73" t="s">
        <v>139</v>
      </c>
      <c r="D45" s="74">
        <v>7</v>
      </c>
      <c r="E45" s="75">
        <v>4.0911747516070001E-3</v>
      </c>
    </row>
    <row r="46" spans="2:5" ht="15" customHeight="1">
      <c r="B46" s="92"/>
      <c r="C46" s="73" t="s">
        <v>140</v>
      </c>
      <c r="D46" s="74">
        <v>1</v>
      </c>
      <c r="E46" s="75">
        <v>5.8445353594399998E-4</v>
      </c>
    </row>
    <row r="47" spans="2:5" ht="15" customHeight="1">
      <c r="B47" s="92"/>
      <c r="C47" s="73" t="s">
        <v>141</v>
      </c>
      <c r="D47" s="74">
        <v>1</v>
      </c>
      <c r="E47" s="75">
        <v>5.8445353594399998E-4</v>
      </c>
    </row>
    <row r="48" spans="2:5" ht="15" customHeight="1">
      <c r="B48" s="92"/>
      <c r="C48" s="36" t="s">
        <v>28</v>
      </c>
      <c r="D48" s="35">
        <v>12</v>
      </c>
      <c r="E48" s="34">
        <v>7.0134424313270001E-3</v>
      </c>
    </row>
    <row r="49" spans="2:5" ht="15" customHeight="1">
      <c r="B49" s="92" t="s">
        <v>52</v>
      </c>
      <c r="C49" s="73" t="s">
        <v>136</v>
      </c>
      <c r="D49" s="74">
        <v>1</v>
      </c>
      <c r="E49" s="75">
        <v>5.8445353594399998E-4</v>
      </c>
    </row>
    <row r="50" spans="2:5" ht="15" customHeight="1">
      <c r="B50" s="92"/>
      <c r="C50" s="73" t="s">
        <v>137</v>
      </c>
      <c r="D50" s="74">
        <v>20</v>
      </c>
      <c r="E50" s="75">
        <v>1.1689070718878E-2</v>
      </c>
    </row>
    <row r="51" spans="2:5" ht="15" customHeight="1">
      <c r="B51" s="92"/>
      <c r="C51" s="73" t="s">
        <v>138</v>
      </c>
      <c r="D51" s="74">
        <v>1</v>
      </c>
      <c r="E51" s="75">
        <v>5.8445353594399998E-4</v>
      </c>
    </row>
    <row r="52" spans="2:5" ht="15" customHeight="1">
      <c r="B52" s="92"/>
      <c r="C52" s="73" t="s">
        <v>139</v>
      </c>
      <c r="D52" s="74">
        <v>16</v>
      </c>
      <c r="E52" s="75">
        <v>9.3512565751019995E-3</v>
      </c>
    </row>
    <row r="53" spans="2:5" ht="15" customHeight="1">
      <c r="B53" s="92"/>
      <c r="C53" s="73" t="s">
        <v>140</v>
      </c>
      <c r="D53" s="74">
        <v>26</v>
      </c>
      <c r="E53" s="75">
        <v>1.5195791934541E-2</v>
      </c>
    </row>
    <row r="54" spans="2:5" ht="15" customHeight="1">
      <c r="B54" s="92"/>
      <c r="C54" s="73" t="s">
        <v>141</v>
      </c>
      <c r="D54" s="74">
        <v>9</v>
      </c>
      <c r="E54" s="75">
        <v>5.2600818234950003E-3</v>
      </c>
    </row>
    <row r="55" spans="2:5" ht="15" customHeight="1">
      <c r="B55" s="92"/>
      <c r="C55" s="73" t="s">
        <v>142</v>
      </c>
      <c r="D55" s="74">
        <v>2</v>
      </c>
      <c r="E55" s="75">
        <v>1.168907071888E-3</v>
      </c>
    </row>
    <row r="56" spans="2:5" ht="15" customHeight="1">
      <c r="B56" s="92"/>
      <c r="C56" s="73" t="s">
        <v>143</v>
      </c>
      <c r="D56" s="74">
        <v>1</v>
      </c>
      <c r="E56" s="75">
        <v>5.8445353594399998E-4</v>
      </c>
    </row>
    <row r="57" spans="2:5" ht="15" customHeight="1">
      <c r="B57" s="92"/>
      <c r="C57" s="36" t="s">
        <v>28</v>
      </c>
      <c r="D57" s="35">
        <v>76</v>
      </c>
      <c r="E57" s="34">
        <v>4.4418468731736001E-2</v>
      </c>
    </row>
    <row r="58" spans="2:5" ht="15" customHeight="1">
      <c r="B58" s="92" t="s">
        <v>50</v>
      </c>
      <c r="C58" s="73" t="s">
        <v>135</v>
      </c>
      <c r="D58" s="74">
        <v>4</v>
      </c>
      <c r="E58" s="75">
        <v>2.3378141437759999E-3</v>
      </c>
    </row>
    <row r="59" spans="2:5" ht="15" customHeight="1">
      <c r="B59" s="92"/>
      <c r="C59" s="73" t="s">
        <v>137</v>
      </c>
      <c r="D59" s="74">
        <v>31</v>
      </c>
      <c r="E59" s="75">
        <v>1.8118059614260999E-2</v>
      </c>
    </row>
    <row r="60" spans="2:5" ht="15" customHeight="1">
      <c r="B60" s="92"/>
      <c r="C60" s="73" t="s">
        <v>138</v>
      </c>
      <c r="D60" s="74">
        <v>8</v>
      </c>
      <c r="E60" s="75">
        <v>4.6756282875509998E-3</v>
      </c>
    </row>
    <row r="61" spans="2:5" ht="15" customHeight="1">
      <c r="B61" s="92"/>
      <c r="C61" s="73" t="s">
        <v>139</v>
      </c>
      <c r="D61" s="74">
        <v>25</v>
      </c>
      <c r="E61" s="75">
        <v>1.4611338398597001E-2</v>
      </c>
    </row>
    <row r="62" spans="2:5" ht="15" customHeight="1">
      <c r="B62" s="92"/>
      <c r="C62" s="73" t="s">
        <v>140</v>
      </c>
      <c r="D62" s="74">
        <v>9</v>
      </c>
      <c r="E62" s="75">
        <v>5.2600818234950003E-3</v>
      </c>
    </row>
    <row r="63" spans="2:5" ht="15" customHeight="1">
      <c r="B63" s="92"/>
      <c r="C63" s="73" t="s">
        <v>141</v>
      </c>
      <c r="D63" s="74">
        <v>14</v>
      </c>
      <c r="E63" s="75">
        <v>8.1823495032140002E-3</v>
      </c>
    </row>
    <row r="64" spans="2:5" ht="15" customHeight="1">
      <c r="B64" s="92"/>
      <c r="C64" s="73" t="s">
        <v>143</v>
      </c>
      <c r="D64" s="74">
        <v>5</v>
      </c>
      <c r="E64" s="75">
        <v>2.9222676797189999E-3</v>
      </c>
    </row>
    <row r="65" spans="2:5" ht="15" customHeight="1">
      <c r="B65" s="92"/>
      <c r="C65" s="73" t="s">
        <v>144</v>
      </c>
      <c r="D65" s="74">
        <v>1</v>
      </c>
      <c r="E65" s="75">
        <v>5.8445353594399998E-4</v>
      </c>
    </row>
    <row r="66" spans="2:5" ht="15" customHeight="1">
      <c r="B66" s="92"/>
      <c r="C66" s="36" t="s">
        <v>28</v>
      </c>
      <c r="D66" s="35">
        <v>97</v>
      </c>
      <c r="E66" s="34">
        <v>5.6691992986557999E-2</v>
      </c>
    </row>
    <row r="67" spans="2:5" ht="15" customHeight="1">
      <c r="B67" s="92" t="s">
        <v>62</v>
      </c>
      <c r="C67" s="73" t="s">
        <v>135</v>
      </c>
      <c r="D67" s="74">
        <v>2</v>
      </c>
      <c r="E67" s="75">
        <v>1.168907071888E-3</v>
      </c>
    </row>
    <row r="68" spans="2:5" ht="15" customHeight="1">
      <c r="B68" s="92"/>
      <c r="C68" s="73" t="s">
        <v>137</v>
      </c>
      <c r="D68" s="74">
        <v>12</v>
      </c>
      <c r="E68" s="75">
        <v>7.0134424313270001E-3</v>
      </c>
    </row>
    <row r="69" spans="2:5" ht="15" customHeight="1">
      <c r="B69" s="92"/>
      <c r="C69" s="73" t="s">
        <v>138</v>
      </c>
      <c r="D69" s="74">
        <v>4</v>
      </c>
      <c r="E69" s="75">
        <v>2.3378141437759999E-3</v>
      </c>
    </row>
    <row r="70" spans="2:5" ht="15" customHeight="1">
      <c r="B70" s="92"/>
      <c r="C70" s="73" t="s">
        <v>139</v>
      </c>
      <c r="D70" s="74">
        <v>21</v>
      </c>
      <c r="E70" s="75">
        <v>1.2273524254822E-2</v>
      </c>
    </row>
    <row r="71" spans="2:5" ht="15" customHeight="1">
      <c r="B71" s="92"/>
      <c r="C71" s="73" t="s">
        <v>140</v>
      </c>
      <c r="D71" s="74">
        <v>4</v>
      </c>
      <c r="E71" s="75">
        <v>2.3378141437759999E-3</v>
      </c>
    </row>
    <row r="72" spans="2:5" ht="15" customHeight="1">
      <c r="B72" s="92"/>
      <c r="C72" s="73" t="s">
        <v>141</v>
      </c>
      <c r="D72" s="74">
        <v>4</v>
      </c>
      <c r="E72" s="75">
        <v>2.3378141437759999E-3</v>
      </c>
    </row>
    <row r="73" spans="2:5" ht="15" customHeight="1">
      <c r="B73" s="92"/>
      <c r="C73" s="73" t="s">
        <v>143</v>
      </c>
      <c r="D73" s="74">
        <v>1</v>
      </c>
      <c r="E73" s="75">
        <v>5.8445353594399998E-4</v>
      </c>
    </row>
    <row r="74" spans="2:5" ht="15" customHeight="1">
      <c r="B74" s="92"/>
      <c r="C74" s="36" t="s">
        <v>28</v>
      </c>
      <c r="D74" s="35">
        <v>48</v>
      </c>
      <c r="E74" s="34">
        <v>2.8053769725307001E-2</v>
      </c>
    </row>
    <row r="75" spans="2:5" ht="15" customHeight="1">
      <c r="B75" s="92" t="s">
        <v>68</v>
      </c>
      <c r="C75" s="73" t="s">
        <v>135</v>
      </c>
      <c r="D75" s="74">
        <v>3</v>
      </c>
      <c r="E75" s="75">
        <v>1.753360607832E-3</v>
      </c>
    </row>
    <row r="76" spans="2:5" ht="15" customHeight="1">
      <c r="B76" s="92"/>
      <c r="C76" s="73" t="s">
        <v>136</v>
      </c>
      <c r="D76" s="74">
        <v>1</v>
      </c>
      <c r="E76" s="75">
        <v>5.8445353594399998E-4</v>
      </c>
    </row>
    <row r="77" spans="2:5" ht="15" customHeight="1">
      <c r="B77" s="92"/>
      <c r="C77" s="73" t="s">
        <v>137</v>
      </c>
      <c r="D77" s="74">
        <v>7</v>
      </c>
      <c r="E77" s="75">
        <v>4.0911747516070001E-3</v>
      </c>
    </row>
    <row r="78" spans="2:5" ht="15" customHeight="1">
      <c r="B78" s="92"/>
      <c r="C78" s="73" t="s">
        <v>138</v>
      </c>
      <c r="D78" s="74">
        <v>1</v>
      </c>
      <c r="E78" s="75">
        <v>5.8445353594399998E-4</v>
      </c>
    </row>
    <row r="79" spans="2:5" ht="15" customHeight="1">
      <c r="B79" s="92"/>
      <c r="C79" s="73" t="s">
        <v>139</v>
      </c>
      <c r="D79" s="74">
        <v>5</v>
      </c>
      <c r="E79" s="75">
        <v>2.9222676797189999E-3</v>
      </c>
    </row>
    <row r="80" spans="2:5" ht="15" customHeight="1">
      <c r="B80" s="92"/>
      <c r="C80" s="73" t="s">
        <v>140</v>
      </c>
      <c r="D80" s="74">
        <v>9</v>
      </c>
      <c r="E80" s="75">
        <v>5.2600818234950003E-3</v>
      </c>
    </row>
    <row r="81" spans="2:5" ht="15" customHeight="1">
      <c r="B81" s="92"/>
      <c r="C81" s="73" t="s">
        <v>141</v>
      </c>
      <c r="D81" s="74">
        <v>5</v>
      </c>
      <c r="E81" s="75">
        <v>2.9222676797189999E-3</v>
      </c>
    </row>
    <row r="82" spans="2:5" ht="15" customHeight="1">
      <c r="B82" s="92"/>
      <c r="C82" s="73" t="s">
        <v>143</v>
      </c>
      <c r="D82" s="74">
        <v>1</v>
      </c>
      <c r="E82" s="75">
        <v>5.8445353594399998E-4</v>
      </c>
    </row>
    <row r="83" spans="2:5" ht="15" customHeight="1">
      <c r="B83" s="92"/>
      <c r="C83" s="36" t="s">
        <v>28</v>
      </c>
      <c r="D83" s="35">
        <v>32</v>
      </c>
      <c r="E83" s="34">
        <v>1.8702513150205002E-2</v>
      </c>
    </row>
    <row r="84" spans="2:5" ht="15" customHeight="1">
      <c r="B84" s="92" t="s">
        <v>88</v>
      </c>
      <c r="C84" s="73" t="s">
        <v>137</v>
      </c>
      <c r="D84" s="74">
        <v>2</v>
      </c>
      <c r="E84" s="75">
        <v>1.168907071888E-3</v>
      </c>
    </row>
    <row r="85" spans="2:5" ht="15" customHeight="1">
      <c r="B85" s="92"/>
      <c r="C85" s="36" t="s">
        <v>28</v>
      </c>
      <c r="D85" s="35">
        <v>2</v>
      </c>
      <c r="E85" s="34">
        <v>1.168907071888E-3</v>
      </c>
    </row>
    <row r="86" spans="2:5" ht="15" customHeight="1">
      <c r="B86" s="92" t="s">
        <v>80</v>
      </c>
      <c r="C86" s="73" t="s">
        <v>139</v>
      </c>
      <c r="D86" s="74">
        <v>4</v>
      </c>
      <c r="E86" s="75">
        <v>2.3378141437759999E-3</v>
      </c>
    </row>
    <row r="87" spans="2:5" ht="15" customHeight="1">
      <c r="B87" s="92"/>
      <c r="C87" s="73" t="s">
        <v>140</v>
      </c>
      <c r="D87" s="74">
        <v>3</v>
      </c>
      <c r="E87" s="75">
        <v>1.753360607832E-3</v>
      </c>
    </row>
    <row r="88" spans="2:5" ht="15" customHeight="1">
      <c r="B88" s="92"/>
      <c r="C88" s="73" t="s">
        <v>141</v>
      </c>
      <c r="D88" s="74">
        <v>3</v>
      </c>
      <c r="E88" s="75">
        <v>1.753360607832E-3</v>
      </c>
    </row>
    <row r="89" spans="2:5" ht="15" customHeight="1">
      <c r="B89" s="92"/>
      <c r="C89" s="73" t="s">
        <v>146</v>
      </c>
      <c r="D89" s="74">
        <v>1</v>
      </c>
      <c r="E89" s="75">
        <v>5.8445353594399998E-4</v>
      </c>
    </row>
    <row r="90" spans="2:5" ht="15" customHeight="1">
      <c r="B90" s="92"/>
      <c r="C90" s="36" t="s">
        <v>28</v>
      </c>
      <c r="D90" s="35">
        <v>11</v>
      </c>
      <c r="E90" s="34">
        <v>6.4289888953829996E-3</v>
      </c>
    </row>
    <row r="91" spans="2:5" ht="15" customHeight="1">
      <c r="B91" s="92" t="s">
        <v>72</v>
      </c>
      <c r="C91" s="73" t="s">
        <v>135</v>
      </c>
      <c r="D91" s="74">
        <v>3</v>
      </c>
      <c r="E91" s="75">
        <v>1.753360607832E-3</v>
      </c>
    </row>
    <row r="92" spans="2:5" ht="15" customHeight="1">
      <c r="B92" s="92"/>
      <c r="C92" s="73" t="s">
        <v>137</v>
      </c>
      <c r="D92" s="74">
        <v>6</v>
      </c>
      <c r="E92" s="75">
        <v>3.506721215663E-3</v>
      </c>
    </row>
    <row r="93" spans="2:5" ht="15" customHeight="1">
      <c r="B93" s="92"/>
      <c r="C93" s="73" t="s">
        <v>138</v>
      </c>
      <c r="D93" s="74">
        <v>1</v>
      </c>
      <c r="E93" s="75">
        <v>5.8445353594399998E-4</v>
      </c>
    </row>
    <row r="94" spans="2:5" ht="15" customHeight="1">
      <c r="B94" s="92"/>
      <c r="C94" s="73" t="s">
        <v>139</v>
      </c>
      <c r="D94" s="74">
        <v>6</v>
      </c>
      <c r="E94" s="75">
        <v>3.506721215663E-3</v>
      </c>
    </row>
    <row r="95" spans="2:5" ht="15" customHeight="1">
      <c r="B95" s="92"/>
      <c r="C95" s="73" t="s">
        <v>140</v>
      </c>
      <c r="D95" s="74">
        <v>7</v>
      </c>
      <c r="E95" s="75">
        <v>4.0911747516070001E-3</v>
      </c>
    </row>
    <row r="96" spans="2:5" ht="15" customHeight="1">
      <c r="B96" s="92"/>
      <c r="C96" s="73" t="s">
        <v>141</v>
      </c>
      <c r="D96" s="74">
        <v>1</v>
      </c>
      <c r="E96" s="75">
        <v>5.8445353594399998E-4</v>
      </c>
    </row>
    <row r="97" spans="2:5" ht="15" customHeight="1">
      <c r="B97" s="92"/>
      <c r="C97" s="73" t="s">
        <v>142</v>
      </c>
      <c r="D97" s="74">
        <v>1</v>
      </c>
      <c r="E97" s="75">
        <v>5.8445353594399998E-4</v>
      </c>
    </row>
    <row r="98" spans="2:5" ht="15" customHeight="1">
      <c r="B98" s="92"/>
      <c r="C98" s="36" t="s">
        <v>28</v>
      </c>
      <c r="D98" s="35">
        <v>25</v>
      </c>
      <c r="E98" s="34">
        <v>1.4611338398597001E-2</v>
      </c>
    </row>
    <row r="99" spans="2:5" ht="15" customHeight="1">
      <c r="B99" s="92" t="s">
        <v>53</v>
      </c>
      <c r="C99" s="73" t="s">
        <v>136</v>
      </c>
      <c r="D99" s="74">
        <v>2</v>
      </c>
      <c r="E99" s="75">
        <v>1.168907071888E-3</v>
      </c>
    </row>
    <row r="100" spans="2:5" ht="15" customHeight="1">
      <c r="B100" s="92"/>
      <c r="C100" s="73" t="s">
        <v>137</v>
      </c>
      <c r="D100" s="74">
        <v>20</v>
      </c>
      <c r="E100" s="75">
        <v>1.1689070718878E-2</v>
      </c>
    </row>
    <row r="101" spans="2:5" ht="15" customHeight="1">
      <c r="B101" s="92"/>
      <c r="C101" s="73" t="s">
        <v>138</v>
      </c>
      <c r="D101" s="74">
        <v>6</v>
      </c>
      <c r="E101" s="75">
        <v>3.506721215663E-3</v>
      </c>
    </row>
    <row r="102" spans="2:5" ht="15" customHeight="1">
      <c r="B102" s="92"/>
      <c r="C102" s="73" t="s">
        <v>139</v>
      </c>
      <c r="D102" s="74">
        <v>24</v>
      </c>
      <c r="E102" s="75">
        <v>1.4026884862652999E-2</v>
      </c>
    </row>
    <row r="103" spans="2:5" ht="15" customHeight="1">
      <c r="B103" s="92"/>
      <c r="C103" s="73" t="s">
        <v>140</v>
      </c>
      <c r="D103" s="74">
        <v>11</v>
      </c>
      <c r="E103" s="75">
        <v>6.4289888953829996E-3</v>
      </c>
    </row>
    <row r="104" spans="2:5" ht="15" customHeight="1">
      <c r="B104" s="92"/>
      <c r="C104" s="73" t="s">
        <v>141</v>
      </c>
      <c r="D104" s="74">
        <v>8</v>
      </c>
      <c r="E104" s="75">
        <v>4.6756282875509998E-3</v>
      </c>
    </row>
    <row r="105" spans="2:5" ht="15" customHeight="1">
      <c r="B105" s="92"/>
      <c r="C105" s="73" t="s">
        <v>142</v>
      </c>
      <c r="D105" s="74">
        <v>2</v>
      </c>
      <c r="E105" s="75">
        <v>1.168907071888E-3</v>
      </c>
    </row>
    <row r="106" spans="2:5" ht="15" customHeight="1">
      <c r="B106" s="92"/>
      <c r="C106" s="73" t="s">
        <v>143</v>
      </c>
      <c r="D106" s="74">
        <v>1</v>
      </c>
      <c r="E106" s="75">
        <v>5.8445353594399998E-4</v>
      </c>
    </row>
    <row r="107" spans="2:5" ht="15" customHeight="1">
      <c r="B107" s="92"/>
      <c r="C107" s="73" t="s">
        <v>144</v>
      </c>
      <c r="D107" s="74">
        <v>1</v>
      </c>
      <c r="E107" s="75">
        <v>5.8445353594399998E-4</v>
      </c>
    </row>
    <row r="108" spans="2:5" ht="15" customHeight="1">
      <c r="B108" s="92"/>
      <c r="C108" s="36" t="s">
        <v>28</v>
      </c>
      <c r="D108" s="35">
        <v>75</v>
      </c>
      <c r="E108" s="34">
        <v>4.3834015195791998E-2</v>
      </c>
    </row>
    <row r="109" spans="2:5" ht="15" customHeight="1">
      <c r="B109" s="92" t="s">
        <v>64</v>
      </c>
      <c r="C109" s="73" t="s">
        <v>135</v>
      </c>
      <c r="D109" s="74">
        <v>1</v>
      </c>
      <c r="E109" s="75">
        <v>5.8445353594399998E-4</v>
      </c>
    </row>
    <row r="110" spans="2:5" ht="15" customHeight="1">
      <c r="B110" s="92"/>
      <c r="C110" s="73" t="s">
        <v>136</v>
      </c>
      <c r="D110" s="74">
        <v>1</v>
      </c>
      <c r="E110" s="75">
        <v>5.8445353594399998E-4</v>
      </c>
    </row>
    <row r="111" spans="2:5" ht="15" customHeight="1">
      <c r="B111" s="92"/>
      <c r="C111" s="73" t="s">
        <v>137</v>
      </c>
      <c r="D111" s="74">
        <v>3</v>
      </c>
      <c r="E111" s="75">
        <v>1.753360607832E-3</v>
      </c>
    </row>
    <row r="112" spans="2:5" ht="15" customHeight="1">
      <c r="B112" s="92"/>
      <c r="C112" s="73" t="s">
        <v>138</v>
      </c>
      <c r="D112" s="74">
        <v>2</v>
      </c>
      <c r="E112" s="75">
        <v>1.168907071888E-3</v>
      </c>
    </row>
    <row r="113" spans="2:5" ht="15" customHeight="1">
      <c r="B113" s="92"/>
      <c r="C113" s="73" t="s">
        <v>139</v>
      </c>
      <c r="D113" s="74">
        <v>19</v>
      </c>
      <c r="E113" s="75">
        <v>1.1104617182934E-2</v>
      </c>
    </row>
    <row r="114" spans="2:5" ht="15" customHeight="1">
      <c r="B114" s="92"/>
      <c r="C114" s="73" t="s">
        <v>140</v>
      </c>
      <c r="D114" s="74">
        <v>7</v>
      </c>
      <c r="E114" s="75">
        <v>4.0911747516070001E-3</v>
      </c>
    </row>
    <row r="115" spans="2:5" ht="15" customHeight="1">
      <c r="B115" s="92"/>
      <c r="C115" s="73" t="s">
        <v>141</v>
      </c>
      <c r="D115" s="74">
        <v>5</v>
      </c>
      <c r="E115" s="75">
        <v>2.9222676797189999E-3</v>
      </c>
    </row>
    <row r="116" spans="2:5" ht="15" customHeight="1">
      <c r="B116" s="92"/>
      <c r="C116" s="73" t="s">
        <v>143</v>
      </c>
      <c r="D116" s="74">
        <v>1</v>
      </c>
      <c r="E116" s="75">
        <v>5.8445353594399998E-4</v>
      </c>
    </row>
    <row r="117" spans="2:5" ht="15" customHeight="1">
      <c r="B117" s="92"/>
      <c r="C117" s="73" t="s">
        <v>144</v>
      </c>
      <c r="D117" s="74">
        <v>1</v>
      </c>
      <c r="E117" s="75">
        <v>5.8445353594399998E-4</v>
      </c>
    </row>
    <row r="118" spans="2:5" ht="15" customHeight="1">
      <c r="B118" s="92"/>
      <c r="C118" s="36" t="s">
        <v>28</v>
      </c>
      <c r="D118" s="35">
        <v>40</v>
      </c>
      <c r="E118" s="34">
        <v>2.3378141437756E-2</v>
      </c>
    </row>
    <row r="119" spans="2:5" ht="15" customHeight="1">
      <c r="B119" s="92" t="s">
        <v>60</v>
      </c>
      <c r="C119" s="73" t="s">
        <v>135</v>
      </c>
      <c r="D119" s="74">
        <v>2</v>
      </c>
      <c r="E119" s="75">
        <v>1.168907071888E-3</v>
      </c>
    </row>
    <row r="120" spans="2:5" ht="15" customHeight="1">
      <c r="B120" s="92"/>
      <c r="C120" s="73" t="s">
        <v>137</v>
      </c>
      <c r="D120" s="74">
        <v>4</v>
      </c>
      <c r="E120" s="75">
        <v>2.3378141437759999E-3</v>
      </c>
    </row>
    <row r="121" spans="2:5" ht="15" customHeight="1">
      <c r="B121" s="92"/>
      <c r="C121" s="73" t="s">
        <v>138</v>
      </c>
      <c r="D121" s="74">
        <v>2</v>
      </c>
      <c r="E121" s="75">
        <v>1.168907071888E-3</v>
      </c>
    </row>
    <row r="122" spans="2:5" ht="15" customHeight="1">
      <c r="B122" s="92"/>
      <c r="C122" s="73" t="s">
        <v>139</v>
      </c>
      <c r="D122" s="74">
        <v>19</v>
      </c>
      <c r="E122" s="75">
        <v>1.1104617182934E-2</v>
      </c>
    </row>
    <row r="123" spans="2:5" ht="15" customHeight="1">
      <c r="B123" s="92"/>
      <c r="C123" s="73" t="s">
        <v>140</v>
      </c>
      <c r="D123" s="74">
        <v>10</v>
      </c>
      <c r="E123" s="75">
        <v>5.8445353594389999E-3</v>
      </c>
    </row>
    <row r="124" spans="2:5" ht="15" customHeight="1">
      <c r="B124" s="92"/>
      <c r="C124" s="73" t="s">
        <v>141</v>
      </c>
      <c r="D124" s="74">
        <v>9</v>
      </c>
      <c r="E124" s="75">
        <v>5.2600818234950003E-3</v>
      </c>
    </row>
    <row r="125" spans="2:5" ht="15" customHeight="1">
      <c r="B125" s="92"/>
      <c r="C125" s="73" t="s">
        <v>142</v>
      </c>
      <c r="D125" s="74">
        <v>3</v>
      </c>
      <c r="E125" s="75">
        <v>1.753360607832E-3</v>
      </c>
    </row>
    <row r="126" spans="2:5" ht="15" customHeight="1">
      <c r="B126" s="92"/>
      <c r="C126" s="73" t="s">
        <v>143</v>
      </c>
      <c r="D126" s="74">
        <v>1</v>
      </c>
      <c r="E126" s="75">
        <v>5.8445353594399998E-4</v>
      </c>
    </row>
    <row r="127" spans="2:5" ht="15" customHeight="1">
      <c r="B127" s="92"/>
      <c r="C127" s="36" t="s">
        <v>28</v>
      </c>
      <c r="D127" s="35">
        <v>50</v>
      </c>
      <c r="E127" s="34">
        <v>2.9222676797195E-2</v>
      </c>
    </row>
    <row r="128" spans="2:5" ht="15" customHeight="1">
      <c r="B128" s="92" t="s">
        <v>78</v>
      </c>
      <c r="C128" s="73" t="s">
        <v>136</v>
      </c>
      <c r="D128" s="74">
        <v>2</v>
      </c>
      <c r="E128" s="75">
        <v>1.168907071888E-3</v>
      </c>
    </row>
    <row r="129" spans="2:5" ht="15" customHeight="1">
      <c r="B129" s="92"/>
      <c r="C129" s="73" t="s">
        <v>139</v>
      </c>
      <c r="D129" s="74">
        <v>5</v>
      </c>
      <c r="E129" s="75">
        <v>2.9222676797189999E-3</v>
      </c>
    </row>
    <row r="130" spans="2:5" ht="15" customHeight="1">
      <c r="B130" s="92"/>
      <c r="C130" s="73" t="s">
        <v>140</v>
      </c>
      <c r="D130" s="74">
        <v>3</v>
      </c>
      <c r="E130" s="75">
        <v>1.753360607832E-3</v>
      </c>
    </row>
    <row r="131" spans="2:5" ht="15" customHeight="1">
      <c r="B131" s="92"/>
      <c r="C131" s="73" t="s">
        <v>141</v>
      </c>
      <c r="D131" s="74">
        <v>3</v>
      </c>
      <c r="E131" s="75">
        <v>1.753360607832E-3</v>
      </c>
    </row>
    <row r="132" spans="2:5" ht="15" customHeight="1">
      <c r="B132" s="92"/>
      <c r="C132" s="36" t="s">
        <v>28</v>
      </c>
      <c r="D132" s="35">
        <v>13</v>
      </c>
      <c r="E132" s="34">
        <v>7.5978959672709998E-3</v>
      </c>
    </row>
    <row r="133" spans="2:5" ht="15" customHeight="1">
      <c r="B133" s="92" t="s">
        <v>66</v>
      </c>
      <c r="C133" s="73" t="s">
        <v>136</v>
      </c>
      <c r="D133" s="74">
        <v>1</v>
      </c>
      <c r="E133" s="75">
        <v>5.8445353594399998E-4</v>
      </c>
    </row>
    <row r="134" spans="2:5" ht="15" customHeight="1">
      <c r="B134" s="92"/>
      <c r="C134" s="73" t="s">
        <v>137</v>
      </c>
      <c r="D134" s="74">
        <v>27</v>
      </c>
      <c r="E134" s="75">
        <v>1.5780245470485E-2</v>
      </c>
    </row>
    <row r="135" spans="2:5" ht="15" customHeight="1">
      <c r="B135" s="92"/>
      <c r="C135" s="73" t="s">
        <v>139</v>
      </c>
      <c r="D135" s="74">
        <v>5</v>
      </c>
      <c r="E135" s="75">
        <v>2.9222676797189999E-3</v>
      </c>
    </row>
    <row r="136" spans="2:5" ht="15" customHeight="1">
      <c r="B136" s="92"/>
      <c r="C136" s="73" t="s">
        <v>140</v>
      </c>
      <c r="D136" s="74">
        <v>3</v>
      </c>
      <c r="E136" s="75">
        <v>1.753360607832E-3</v>
      </c>
    </row>
    <row r="137" spans="2:5" ht="15" customHeight="1">
      <c r="B137" s="92"/>
      <c r="C137" s="73" t="s">
        <v>142</v>
      </c>
      <c r="D137" s="74">
        <v>1</v>
      </c>
      <c r="E137" s="75">
        <v>5.8445353594399998E-4</v>
      </c>
    </row>
    <row r="138" spans="2:5" ht="15" customHeight="1">
      <c r="B138" s="92"/>
      <c r="C138" s="73" t="s">
        <v>143</v>
      </c>
      <c r="D138" s="74">
        <v>1</v>
      </c>
      <c r="E138" s="75">
        <v>5.8445353594399998E-4</v>
      </c>
    </row>
    <row r="139" spans="2:5" ht="15" customHeight="1">
      <c r="B139" s="92"/>
      <c r="C139" s="36" t="s">
        <v>28</v>
      </c>
      <c r="D139" s="35">
        <v>38</v>
      </c>
      <c r="E139" s="34">
        <v>2.2209234365868E-2</v>
      </c>
    </row>
    <row r="140" spans="2:5" ht="15" customHeight="1">
      <c r="B140" s="92" t="s">
        <v>57</v>
      </c>
      <c r="C140" s="73" t="s">
        <v>135</v>
      </c>
      <c r="D140" s="74">
        <v>1</v>
      </c>
      <c r="E140" s="75">
        <v>5.8445353594399998E-4</v>
      </c>
    </row>
    <row r="141" spans="2:5" ht="15" customHeight="1">
      <c r="B141" s="92"/>
      <c r="C141" s="73" t="s">
        <v>137</v>
      </c>
      <c r="D141" s="74">
        <v>9</v>
      </c>
      <c r="E141" s="75">
        <v>5.2600818234950003E-3</v>
      </c>
    </row>
    <row r="142" spans="2:5" ht="15" customHeight="1">
      <c r="B142" s="92"/>
      <c r="C142" s="73" t="s">
        <v>138</v>
      </c>
      <c r="D142" s="74">
        <v>3</v>
      </c>
      <c r="E142" s="75">
        <v>1.753360607832E-3</v>
      </c>
    </row>
    <row r="143" spans="2:5" ht="15" customHeight="1">
      <c r="B143" s="92"/>
      <c r="C143" s="73" t="s">
        <v>139</v>
      </c>
      <c r="D143" s="74">
        <v>21</v>
      </c>
      <c r="E143" s="75">
        <v>1.2273524254822E-2</v>
      </c>
    </row>
    <row r="144" spans="2:5" ht="15" customHeight="1">
      <c r="B144" s="92"/>
      <c r="C144" s="73" t="s">
        <v>140</v>
      </c>
      <c r="D144" s="74">
        <v>13</v>
      </c>
      <c r="E144" s="75">
        <v>7.5978959672709998E-3</v>
      </c>
    </row>
    <row r="145" spans="2:5" ht="15" customHeight="1">
      <c r="B145" s="92"/>
      <c r="C145" s="73" t="s">
        <v>141</v>
      </c>
      <c r="D145" s="74">
        <v>11</v>
      </c>
      <c r="E145" s="75">
        <v>6.4289888953829996E-3</v>
      </c>
    </row>
    <row r="146" spans="2:5" ht="15" customHeight="1">
      <c r="B146" s="92"/>
      <c r="C146" s="73" t="s">
        <v>143</v>
      </c>
      <c r="D146" s="74">
        <v>1</v>
      </c>
      <c r="E146" s="75">
        <v>5.8445353594399998E-4</v>
      </c>
    </row>
    <row r="147" spans="2:5" ht="15" customHeight="1">
      <c r="B147" s="92"/>
      <c r="C147" s="73" t="s">
        <v>144</v>
      </c>
      <c r="D147" s="74">
        <v>1</v>
      </c>
      <c r="E147" s="75">
        <v>5.8445353594399998E-4</v>
      </c>
    </row>
    <row r="148" spans="2:5" ht="15" customHeight="1">
      <c r="B148" s="92"/>
      <c r="C148" s="36" t="s">
        <v>28</v>
      </c>
      <c r="D148" s="35">
        <v>60</v>
      </c>
      <c r="E148" s="34">
        <v>3.5067212156633998E-2</v>
      </c>
    </row>
    <row r="149" spans="2:5" ht="15" customHeight="1">
      <c r="B149" s="92" t="s">
        <v>54</v>
      </c>
      <c r="C149" s="73" t="s">
        <v>136</v>
      </c>
      <c r="D149" s="74">
        <v>5</v>
      </c>
      <c r="E149" s="75">
        <v>2.9222676797189999E-3</v>
      </c>
    </row>
    <row r="150" spans="2:5" ht="15" customHeight="1">
      <c r="B150" s="92"/>
      <c r="C150" s="73" t="s">
        <v>137</v>
      </c>
      <c r="D150" s="74">
        <v>27</v>
      </c>
      <c r="E150" s="75">
        <v>1.5780245470485E-2</v>
      </c>
    </row>
    <row r="151" spans="2:5" ht="15" customHeight="1">
      <c r="B151" s="92"/>
      <c r="C151" s="73" t="s">
        <v>139</v>
      </c>
      <c r="D151" s="74">
        <v>16</v>
      </c>
      <c r="E151" s="75">
        <v>9.3512565751019995E-3</v>
      </c>
    </row>
    <row r="152" spans="2:5" ht="15" customHeight="1">
      <c r="B152" s="92"/>
      <c r="C152" s="73" t="s">
        <v>140</v>
      </c>
      <c r="D152" s="74">
        <v>10</v>
      </c>
      <c r="E152" s="75">
        <v>5.8445353594389999E-3</v>
      </c>
    </row>
    <row r="153" spans="2:5" ht="15" customHeight="1">
      <c r="B153" s="92"/>
      <c r="C153" s="73" t="s">
        <v>141</v>
      </c>
      <c r="D153" s="74">
        <v>8</v>
      </c>
      <c r="E153" s="75">
        <v>4.6756282875509998E-3</v>
      </c>
    </row>
    <row r="154" spans="2:5" ht="15" customHeight="1">
      <c r="B154" s="92"/>
      <c r="C154" s="73" t="s">
        <v>142</v>
      </c>
      <c r="D154" s="74">
        <v>1</v>
      </c>
      <c r="E154" s="75">
        <v>5.8445353594399998E-4</v>
      </c>
    </row>
    <row r="155" spans="2:5" ht="15" customHeight="1">
      <c r="B155" s="92"/>
      <c r="C155" s="73" t="s">
        <v>143</v>
      </c>
      <c r="D155" s="74">
        <v>1</v>
      </c>
      <c r="E155" s="75">
        <v>5.8445353594399998E-4</v>
      </c>
    </row>
    <row r="156" spans="2:5" ht="15" customHeight="1">
      <c r="B156" s="92"/>
      <c r="C156" s="36" t="s">
        <v>28</v>
      </c>
      <c r="D156" s="35">
        <v>68</v>
      </c>
      <c r="E156" s="34">
        <v>3.9742840444185003E-2</v>
      </c>
    </row>
    <row r="157" spans="2:5" ht="15" customHeight="1">
      <c r="B157" s="92" t="s">
        <v>61</v>
      </c>
      <c r="C157" s="73" t="s">
        <v>137</v>
      </c>
      <c r="D157" s="74">
        <v>14</v>
      </c>
      <c r="E157" s="75">
        <v>8.1823495032140002E-3</v>
      </c>
    </row>
    <row r="158" spans="2:5" ht="15" customHeight="1">
      <c r="B158" s="92"/>
      <c r="C158" s="73" t="s">
        <v>138</v>
      </c>
      <c r="D158" s="74">
        <v>4</v>
      </c>
      <c r="E158" s="75">
        <v>2.3378141437759999E-3</v>
      </c>
    </row>
    <row r="159" spans="2:5" ht="15" customHeight="1">
      <c r="B159" s="92"/>
      <c r="C159" s="73" t="s">
        <v>139</v>
      </c>
      <c r="D159" s="74">
        <v>21</v>
      </c>
      <c r="E159" s="75">
        <v>1.2273524254822E-2</v>
      </c>
    </row>
    <row r="160" spans="2:5" ht="15" customHeight="1">
      <c r="B160" s="92"/>
      <c r="C160" s="73" t="s">
        <v>140</v>
      </c>
      <c r="D160" s="74">
        <v>6</v>
      </c>
      <c r="E160" s="75">
        <v>3.506721215663E-3</v>
      </c>
    </row>
    <row r="161" spans="2:5" ht="15" customHeight="1">
      <c r="B161" s="92"/>
      <c r="C161" s="73" t="s">
        <v>141</v>
      </c>
      <c r="D161" s="74">
        <v>3</v>
      </c>
      <c r="E161" s="75">
        <v>1.753360607832E-3</v>
      </c>
    </row>
    <row r="162" spans="2:5" ht="15" customHeight="1">
      <c r="B162" s="92"/>
      <c r="C162" s="73" t="s">
        <v>143</v>
      </c>
      <c r="D162" s="74">
        <v>2</v>
      </c>
      <c r="E162" s="75">
        <v>1.168907071888E-3</v>
      </c>
    </row>
    <row r="163" spans="2:5" ht="15" customHeight="1">
      <c r="B163" s="92"/>
      <c r="C163" s="36" t="s">
        <v>28</v>
      </c>
      <c r="D163" s="35">
        <v>50</v>
      </c>
      <c r="E163" s="34">
        <v>2.9222676797195E-2</v>
      </c>
    </row>
    <row r="164" spans="2:5" ht="15" customHeight="1">
      <c r="B164" s="92" t="s">
        <v>63</v>
      </c>
      <c r="C164" s="73" t="s">
        <v>136</v>
      </c>
      <c r="D164" s="74">
        <v>1</v>
      </c>
      <c r="E164" s="75">
        <v>5.8445353594399998E-4</v>
      </c>
    </row>
    <row r="165" spans="2:5" ht="15" customHeight="1">
      <c r="B165" s="92"/>
      <c r="C165" s="73" t="s">
        <v>137</v>
      </c>
      <c r="D165" s="74">
        <v>5</v>
      </c>
      <c r="E165" s="75">
        <v>2.9222676797189999E-3</v>
      </c>
    </row>
    <row r="166" spans="2:5" ht="15" customHeight="1">
      <c r="B166" s="92"/>
      <c r="C166" s="73" t="s">
        <v>139</v>
      </c>
      <c r="D166" s="74">
        <v>6</v>
      </c>
      <c r="E166" s="75">
        <v>3.506721215663E-3</v>
      </c>
    </row>
    <row r="167" spans="2:5" ht="15" customHeight="1">
      <c r="B167" s="92"/>
      <c r="C167" s="73" t="s">
        <v>140</v>
      </c>
      <c r="D167" s="74">
        <v>32</v>
      </c>
      <c r="E167" s="75">
        <v>1.8702513150205002E-2</v>
      </c>
    </row>
    <row r="168" spans="2:5" ht="15" customHeight="1">
      <c r="B168" s="92"/>
      <c r="C168" s="73" t="s">
        <v>141</v>
      </c>
      <c r="D168" s="74">
        <v>2</v>
      </c>
      <c r="E168" s="75">
        <v>1.168907071888E-3</v>
      </c>
    </row>
    <row r="169" spans="2:5" ht="15" customHeight="1">
      <c r="B169" s="92"/>
      <c r="C169" s="73" t="s">
        <v>143</v>
      </c>
      <c r="D169" s="74">
        <v>1</v>
      </c>
      <c r="E169" s="75">
        <v>5.8445353594399998E-4</v>
      </c>
    </row>
    <row r="170" spans="2:5" ht="15" customHeight="1">
      <c r="B170" s="92"/>
      <c r="C170" s="36" t="s">
        <v>28</v>
      </c>
      <c r="D170" s="35">
        <v>47</v>
      </c>
      <c r="E170" s="34">
        <v>2.7469316189363002E-2</v>
      </c>
    </row>
    <row r="171" spans="2:5" ht="15" customHeight="1">
      <c r="B171" s="92" t="s">
        <v>81</v>
      </c>
      <c r="C171" s="73" t="s">
        <v>137</v>
      </c>
      <c r="D171" s="74">
        <v>1</v>
      </c>
      <c r="E171" s="75">
        <v>5.8445353594399998E-4</v>
      </c>
    </row>
    <row r="172" spans="2:5" ht="15" customHeight="1">
      <c r="B172" s="92"/>
      <c r="C172" s="73" t="s">
        <v>138</v>
      </c>
      <c r="D172" s="74">
        <v>2</v>
      </c>
      <c r="E172" s="75">
        <v>1.168907071888E-3</v>
      </c>
    </row>
    <row r="173" spans="2:5" ht="15" customHeight="1">
      <c r="B173" s="92"/>
      <c r="C173" s="73" t="s">
        <v>139</v>
      </c>
      <c r="D173" s="74">
        <v>2</v>
      </c>
      <c r="E173" s="75">
        <v>1.168907071888E-3</v>
      </c>
    </row>
    <row r="174" spans="2:5" ht="15" customHeight="1">
      <c r="B174" s="92"/>
      <c r="C174" s="73" t="s">
        <v>140</v>
      </c>
      <c r="D174" s="74">
        <v>3</v>
      </c>
      <c r="E174" s="75">
        <v>1.753360607832E-3</v>
      </c>
    </row>
    <row r="175" spans="2:5" ht="15" customHeight="1">
      <c r="B175" s="92"/>
      <c r="C175" s="73" t="s">
        <v>141</v>
      </c>
      <c r="D175" s="74">
        <v>3</v>
      </c>
      <c r="E175" s="75">
        <v>1.753360607832E-3</v>
      </c>
    </row>
    <row r="176" spans="2:5" ht="15" customHeight="1">
      <c r="B176" s="92"/>
      <c r="C176" s="36" t="s">
        <v>28</v>
      </c>
      <c r="D176" s="35">
        <v>11</v>
      </c>
      <c r="E176" s="34">
        <v>6.4289888953829996E-3</v>
      </c>
    </row>
    <row r="177" spans="2:5" ht="15" customHeight="1">
      <c r="B177" s="92" t="s">
        <v>67</v>
      </c>
      <c r="C177" s="73" t="s">
        <v>137</v>
      </c>
      <c r="D177" s="74">
        <v>8</v>
      </c>
      <c r="E177" s="75">
        <v>4.6756282875509998E-3</v>
      </c>
    </row>
    <row r="178" spans="2:5" ht="15" customHeight="1">
      <c r="B178" s="92"/>
      <c r="C178" s="73" t="s">
        <v>139</v>
      </c>
      <c r="D178" s="74">
        <v>12</v>
      </c>
      <c r="E178" s="75">
        <v>7.0134424313270001E-3</v>
      </c>
    </row>
    <row r="179" spans="2:5" ht="15" customHeight="1">
      <c r="B179" s="92"/>
      <c r="C179" s="73" t="s">
        <v>140</v>
      </c>
      <c r="D179" s="74">
        <v>9</v>
      </c>
      <c r="E179" s="75">
        <v>5.2600818234950003E-3</v>
      </c>
    </row>
    <row r="180" spans="2:5" ht="15" customHeight="1">
      <c r="B180" s="92"/>
      <c r="C180" s="73" t="s">
        <v>141</v>
      </c>
      <c r="D180" s="74">
        <v>5</v>
      </c>
      <c r="E180" s="75">
        <v>2.9222676797189999E-3</v>
      </c>
    </row>
    <row r="181" spans="2:5" ht="15" customHeight="1">
      <c r="B181" s="92"/>
      <c r="C181" s="73" t="s">
        <v>142</v>
      </c>
      <c r="D181" s="74">
        <v>1</v>
      </c>
      <c r="E181" s="75">
        <v>5.8445353594399998E-4</v>
      </c>
    </row>
    <row r="182" spans="2:5" ht="15" customHeight="1">
      <c r="B182" s="92"/>
      <c r="C182" s="73" t="s">
        <v>143</v>
      </c>
      <c r="D182" s="74">
        <v>3</v>
      </c>
      <c r="E182" s="75">
        <v>1.753360607832E-3</v>
      </c>
    </row>
    <row r="183" spans="2:5" ht="15" customHeight="1">
      <c r="B183" s="92"/>
      <c r="C183" s="36" t="s">
        <v>28</v>
      </c>
      <c r="D183" s="35">
        <v>38</v>
      </c>
      <c r="E183" s="34">
        <v>2.2209234365868E-2</v>
      </c>
    </row>
    <row r="184" spans="2:5" ht="15" customHeight="1">
      <c r="B184" s="92" t="s">
        <v>76</v>
      </c>
      <c r="C184" s="73" t="s">
        <v>135</v>
      </c>
      <c r="D184" s="74">
        <v>1</v>
      </c>
      <c r="E184" s="75">
        <v>5.8445353594399998E-4</v>
      </c>
    </row>
    <row r="185" spans="2:5" ht="15" customHeight="1">
      <c r="B185" s="92"/>
      <c r="C185" s="73" t="s">
        <v>137</v>
      </c>
      <c r="D185" s="74">
        <v>2</v>
      </c>
      <c r="E185" s="75">
        <v>1.168907071888E-3</v>
      </c>
    </row>
    <row r="186" spans="2:5" ht="15" customHeight="1">
      <c r="B186" s="92"/>
      <c r="C186" s="73" t="s">
        <v>139</v>
      </c>
      <c r="D186" s="74">
        <v>2</v>
      </c>
      <c r="E186" s="75">
        <v>1.168907071888E-3</v>
      </c>
    </row>
    <row r="187" spans="2:5" ht="15" customHeight="1">
      <c r="B187" s="92"/>
      <c r="C187" s="73" t="s">
        <v>140</v>
      </c>
      <c r="D187" s="74">
        <v>9</v>
      </c>
      <c r="E187" s="75">
        <v>5.2600818234950003E-3</v>
      </c>
    </row>
    <row r="188" spans="2:5" ht="15" customHeight="1">
      <c r="B188" s="92"/>
      <c r="C188" s="73" t="s">
        <v>141</v>
      </c>
      <c r="D188" s="74">
        <v>2</v>
      </c>
      <c r="E188" s="75">
        <v>1.168907071888E-3</v>
      </c>
    </row>
    <row r="189" spans="2:5" ht="15" customHeight="1">
      <c r="B189" s="92"/>
      <c r="C189" s="36" t="s">
        <v>28</v>
      </c>
      <c r="D189" s="35">
        <v>16</v>
      </c>
      <c r="E189" s="34">
        <v>9.3512565751019995E-3</v>
      </c>
    </row>
    <row r="190" spans="2:5" ht="15" customHeight="1">
      <c r="B190" s="92" t="s">
        <v>70</v>
      </c>
      <c r="C190" s="73" t="s">
        <v>137</v>
      </c>
      <c r="D190" s="74">
        <v>5</v>
      </c>
      <c r="E190" s="75">
        <v>2.9222676797189999E-3</v>
      </c>
    </row>
    <row r="191" spans="2:5" ht="15" customHeight="1">
      <c r="B191" s="92"/>
      <c r="C191" s="73" t="s">
        <v>138</v>
      </c>
      <c r="D191" s="74">
        <v>2</v>
      </c>
      <c r="E191" s="75">
        <v>1.168907071888E-3</v>
      </c>
    </row>
    <row r="192" spans="2:5" ht="15" customHeight="1">
      <c r="B192" s="92"/>
      <c r="C192" s="73" t="s">
        <v>139</v>
      </c>
      <c r="D192" s="74">
        <v>10</v>
      </c>
      <c r="E192" s="75">
        <v>5.8445353594389999E-3</v>
      </c>
    </row>
    <row r="193" spans="2:5" ht="15" customHeight="1">
      <c r="B193" s="92"/>
      <c r="C193" s="73" t="s">
        <v>140</v>
      </c>
      <c r="D193" s="74">
        <v>4</v>
      </c>
      <c r="E193" s="75">
        <v>2.3378141437759999E-3</v>
      </c>
    </row>
    <row r="194" spans="2:5" ht="15" customHeight="1">
      <c r="B194" s="92"/>
      <c r="C194" s="73" t="s">
        <v>141</v>
      </c>
      <c r="D194" s="74">
        <v>8</v>
      </c>
      <c r="E194" s="75">
        <v>4.6756282875509998E-3</v>
      </c>
    </row>
    <row r="195" spans="2:5" ht="15" customHeight="1">
      <c r="B195" s="92"/>
      <c r="C195" s="36" t="s">
        <v>28</v>
      </c>
      <c r="D195" s="35">
        <v>29</v>
      </c>
      <c r="E195" s="34">
        <v>1.6949152542372999E-2</v>
      </c>
    </row>
    <row r="196" spans="2:5" ht="15" customHeight="1">
      <c r="B196" s="92" t="s">
        <v>48</v>
      </c>
      <c r="C196" s="73" t="s">
        <v>135</v>
      </c>
      <c r="D196" s="74">
        <v>2</v>
      </c>
      <c r="E196" s="75">
        <v>1.168907071888E-3</v>
      </c>
    </row>
    <row r="197" spans="2:5" ht="15" customHeight="1">
      <c r="B197" s="92"/>
      <c r="C197" s="73" t="s">
        <v>137</v>
      </c>
      <c r="D197" s="74">
        <v>7</v>
      </c>
      <c r="E197" s="75">
        <v>4.0911747516070001E-3</v>
      </c>
    </row>
    <row r="198" spans="2:5" ht="15" customHeight="1">
      <c r="B198" s="92"/>
      <c r="C198" s="73" t="s">
        <v>138</v>
      </c>
      <c r="D198" s="74">
        <v>2</v>
      </c>
      <c r="E198" s="75">
        <v>1.168907071888E-3</v>
      </c>
    </row>
    <row r="199" spans="2:5" ht="15" customHeight="1">
      <c r="B199" s="92"/>
      <c r="C199" s="73" t="s">
        <v>139</v>
      </c>
      <c r="D199" s="74">
        <v>20</v>
      </c>
      <c r="E199" s="75">
        <v>1.1689070718878E-2</v>
      </c>
    </row>
    <row r="200" spans="2:5" ht="15" customHeight="1">
      <c r="B200" s="92"/>
      <c r="C200" s="73" t="s">
        <v>140</v>
      </c>
      <c r="D200" s="74">
        <v>19</v>
      </c>
      <c r="E200" s="75">
        <v>1.1104617182934E-2</v>
      </c>
    </row>
    <row r="201" spans="2:5" ht="15" customHeight="1">
      <c r="B201" s="92"/>
      <c r="C201" s="73" t="s">
        <v>141</v>
      </c>
      <c r="D201" s="74">
        <v>52</v>
      </c>
      <c r="E201" s="75">
        <v>3.0391583869082001E-2</v>
      </c>
    </row>
    <row r="202" spans="2:5" ht="15" customHeight="1">
      <c r="B202" s="92"/>
      <c r="C202" s="73" t="s">
        <v>142</v>
      </c>
      <c r="D202" s="74">
        <v>1</v>
      </c>
      <c r="E202" s="75">
        <v>5.8445353594399998E-4</v>
      </c>
    </row>
    <row r="203" spans="2:5" ht="15" customHeight="1">
      <c r="B203" s="92"/>
      <c r="C203" s="73" t="s">
        <v>143</v>
      </c>
      <c r="D203" s="74">
        <v>3</v>
      </c>
      <c r="E203" s="75">
        <v>1.753360607832E-3</v>
      </c>
    </row>
    <row r="204" spans="2:5" ht="15" customHeight="1">
      <c r="B204" s="92"/>
      <c r="C204" s="36" t="s">
        <v>28</v>
      </c>
      <c r="D204" s="35">
        <v>106</v>
      </c>
      <c r="E204" s="34">
        <v>6.1952074810053E-2</v>
      </c>
    </row>
    <row r="205" spans="2:5" ht="15" customHeight="1">
      <c r="B205" s="92" t="s">
        <v>51</v>
      </c>
      <c r="C205" s="73" t="s">
        <v>137</v>
      </c>
      <c r="D205" s="74">
        <v>10</v>
      </c>
      <c r="E205" s="75">
        <v>5.8445353594389999E-3</v>
      </c>
    </row>
    <row r="206" spans="2:5" ht="15" customHeight="1">
      <c r="B206" s="92"/>
      <c r="C206" s="73" t="s">
        <v>138</v>
      </c>
      <c r="D206" s="74">
        <v>7</v>
      </c>
      <c r="E206" s="75">
        <v>4.0911747516070001E-3</v>
      </c>
    </row>
    <row r="207" spans="2:5" ht="15" customHeight="1">
      <c r="B207" s="92"/>
      <c r="C207" s="73" t="s">
        <v>139</v>
      </c>
      <c r="D207" s="74">
        <v>33</v>
      </c>
      <c r="E207" s="75">
        <v>1.9286966686147999E-2</v>
      </c>
    </row>
    <row r="208" spans="2:5" ht="15" customHeight="1">
      <c r="B208" s="92"/>
      <c r="C208" s="73" t="s">
        <v>140</v>
      </c>
      <c r="D208" s="74">
        <v>12</v>
      </c>
      <c r="E208" s="75">
        <v>7.0134424313270001E-3</v>
      </c>
    </row>
    <row r="209" spans="2:5" ht="15" customHeight="1">
      <c r="B209" s="92"/>
      <c r="C209" s="73" t="s">
        <v>141</v>
      </c>
      <c r="D209" s="74">
        <v>17</v>
      </c>
      <c r="E209" s="75">
        <v>9.9357101110459992E-3</v>
      </c>
    </row>
    <row r="210" spans="2:5" ht="15" customHeight="1">
      <c r="B210" s="92"/>
      <c r="C210" s="73" t="s">
        <v>142</v>
      </c>
      <c r="D210" s="74">
        <v>3</v>
      </c>
      <c r="E210" s="75">
        <v>1.753360607832E-3</v>
      </c>
    </row>
    <row r="211" spans="2:5" ht="15" customHeight="1">
      <c r="B211" s="92"/>
      <c r="C211" s="73" t="s">
        <v>143</v>
      </c>
      <c r="D211" s="74">
        <v>2</v>
      </c>
      <c r="E211" s="75">
        <v>1.168907071888E-3</v>
      </c>
    </row>
    <row r="212" spans="2:5" ht="15" customHeight="1">
      <c r="B212" s="92"/>
      <c r="C212" s="36" t="s">
        <v>28</v>
      </c>
      <c r="D212" s="35">
        <v>84</v>
      </c>
      <c r="E212" s="34">
        <v>4.9094097019286999E-2</v>
      </c>
    </row>
    <row r="213" spans="2:5" ht="15" customHeight="1">
      <c r="B213" s="92" t="s">
        <v>77</v>
      </c>
      <c r="C213" s="73" t="s">
        <v>135</v>
      </c>
      <c r="D213" s="74">
        <v>1</v>
      </c>
      <c r="E213" s="75">
        <v>5.8445353594399998E-4</v>
      </c>
    </row>
    <row r="214" spans="2:5" ht="15" customHeight="1">
      <c r="B214" s="92"/>
      <c r="C214" s="73" t="s">
        <v>137</v>
      </c>
      <c r="D214" s="74">
        <v>2</v>
      </c>
      <c r="E214" s="75">
        <v>1.168907071888E-3</v>
      </c>
    </row>
    <row r="215" spans="2:5" ht="15" customHeight="1">
      <c r="B215" s="92"/>
      <c r="C215" s="73" t="s">
        <v>139</v>
      </c>
      <c r="D215" s="74">
        <v>5</v>
      </c>
      <c r="E215" s="75">
        <v>2.9222676797189999E-3</v>
      </c>
    </row>
    <row r="216" spans="2:5" ht="15" customHeight="1">
      <c r="B216" s="92"/>
      <c r="C216" s="73" t="s">
        <v>140</v>
      </c>
      <c r="D216" s="74">
        <v>3</v>
      </c>
      <c r="E216" s="75">
        <v>1.753360607832E-3</v>
      </c>
    </row>
    <row r="217" spans="2:5" ht="15" customHeight="1">
      <c r="B217" s="92"/>
      <c r="C217" s="73" t="s">
        <v>141</v>
      </c>
      <c r="D217" s="74">
        <v>3</v>
      </c>
      <c r="E217" s="75">
        <v>1.753360607832E-3</v>
      </c>
    </row>
    <row r="218" spans="2:5" ht="15" customHeight="1">
      <c r="B218" s="92"/>
      <c r="C218" s="36" t="s">
        <v>28</v>
      </c>
      <c r="D218" s="35">
        <v>14</v>
      </c>
      <c r="E218" s="34">
        <v>8.1823495032140002E-3</v>
      </c>
    </row>
    <row r="219" spans="2:5" ht="15" customHeight="1">
      <c r="B219" s="92" t="s">
        <v>73</v>
      </c>
      <c r="C219" s="73" t="s">
        <v>135</v>
      </c>
      <c r="D219" s="74">
        <v>1</v>
      </c>
      <c r="E219" s="75">
        <v>5.8445353594399998E-4</v>
      </c>
    </row>
    <row r="220" spans="2:5" ht="15" customHeight="1">
      <c r="B220" s="92"/>
      <c r="C220" s="73" t="s">
        <v>138</v>
      </c>
      <c r="D220" s="74">
        <v>3</v>
      </c>
      <c r="E220" s="75">
        <v>1.753360607832E-3</v>
      </c>
    </row>
    <row r="221" spans="2:5" ht="15" customHeight="1">
      <c r="B221" s="92"/>
      <c r="C221" s="73" t="s">
        <v>139</v>
      </c>
      <c r="D221" s="74">
        <v>10</v>
      </c>
      <c r="E221" s="75">
        <v>5.8445353594389999E-3</v>
      </c>
    </row>
    <row r="222" spans="2:5" ht="15" customHeight="1">
      <c r="B222" s="92"/>
      <c r="C222" s="73" t="s">
        <v>140</v>
      </c>
      <c r="D222" s="74">
        <v>4</v>
      </c>
      <c r="E222" s="75">
        <v>2.3378141437759999E-3</v>
      </c>
    </row>
    <row r="223" spans="2:5" ht="15" customHeight="1">
      <c r="B223" s="92"/>
      <c r="C223" s="73" t="s">
        <v>141</v>
      </c>
      <c r="D223" s="74">
        <v>3</v>
      </c>
      <c r="E223" s="75">
        <v>1.753360607832E-3</v>
      </c>
    </row>
    <row r="224" spans="2:5" ht="15" customHeight="1">
      <c r="B224" s="92"/>
      <c r="C224" s="73" t="s">
        <v>143</v>
      </c>
      <c r="D224" s="74">
        <v>2</v>
      </c>
      <c r="E224" s="75">
        <v>1.168907071888E-3</v>
      </c>
    </row>
    <row r="225" spans="2:5" ht="15" customHeight="1">
      <c r="B225" s="92"/>
      <c r="C225" s="36" t="s">
        <v>28</v>
      </c>
      <c r="D225" s="35">
        <v>23</v>
      </c>
      <c r="E225" s="34">
        <v>1.3442431326710001E-2</v>
      </c>
    </row>
    <row r="226" spans="2:5" ht="15" customHeight="1">
      <c r="B226" s="92" t="s">
        <v>83</v>
      </c>
      <c r="C226" s="73" t="s">
        <v>137</v>
      </c>
      <c r="D226" s="74">
        <v>3</v>
      </c>
      <c r="E226" s="75">
        <v>1.753360607832E-3</v>
      </c>
    </row>
    <row r="227" spans="2:5" ht="15" customHeight="1">
      <c r="B227" s="92"/>
      <c r="C227" s="73" t="s">
        <v>139</v>
      </c>
      <c r="D227" s="74">
        <v>3</v>
      </c>
      <c r="E227" s="75">
        <v>1.753360607832E-3</v>
      </c>
    </row>
    <row r="228" spans="2:5" ht="15" customHeight="1">
      <c r="B228" s="92"/>
      <c r="C228" s="73" t="s">
        <v>140</v>
      </c>
      <c r="D228" s="74">
        <v>1</v>
      </c>
      <c r="E228" s="75">
        <v>5.8445353594399998E-4</v>
      </c>
    </row>
    <row r="229" spans="2:5" ht="15" customHeight="1">
      <c r="B229" s="92"/>
      <c r="C229" s="73" t="s">
        <v>142</v>
      </c>
      <c r="D229" s="74">
        <v>1</v>
      </c>
      <c r="E229" s="75">
        <v>5.8445353594399998E-4</v>
      </c>
    </row>
    <row r="230" spans="2:5" ht="15" customHeight="1">
      <c r="B230" s="92"/>
      <c r="C230" s="73" t="s">
        <v>143</v>
      </c>
      <c r="D230" s="74">
        <v>1</v>
      </c>
      <c r="E230" s="75">
        <v>5.8445353594399998E-4</v>
      </c>
    </row>
    <row r="231" spans="2:5" ht="15" customHeight="1">
      <c r="B231" s="92"/>
      <c r="C231" s="36" t="s">
        <v>28</v>
      </c>
      <c r="D231" s="35">
        <v>9</v>
      </c>
      <c r="E231" s="34">
        <v>5.2600818234950003E-3</v>
      </c>
    </row>
    <row r="232" spans="2:5" ht="15" customHeight="1">
      <c r="B232" s="92" t="s">
        <v>90</v>
      </c>
      <c r="C232" s="73" t="s">
        <v>141</v>
      </c>
      <c r="D232" s="74">
        <v>1</v>
      </c>
      <c r="E232" s="75">
        <v>5.8445353594399998E-4</v>
      </c>
    </row>
    <row r="233" spans="2:5" ht="15" customHeight="1">
      <c r="B233" s="92"/>
      <c r="C233" s="36" t="s">
        <v>28</v>
      </c>
      <c r="D233" s="35">
        <v>1</v>
      </c>
      <c r="E233" s="34">
        <v>5.8445353594399998E-4</v>
      </c>
    </row>
    <row r="234" spans="2:5" ht="15" customHeight="1">
      <c r="B234" s="92" t="s">
        <v>49</v>
      </c>
      <c r="C234" s="73" t="s">
        <v>135</v>
      </c>
      <c r="D234" s="74">
        <v>5</v>
      </c>
      <c r="E234" s="75">
        <v>2.9222676797189999E-3</v>
      </c>
    </row>
    <row r="235" spans="2:5" ht="15" customHeight="1">
      <c r="B235" s="92"/>
      <c r="C235" s="73" t="s">
        <v>137</v>
      </c>
      <c r="D235" s="74">
        <v>9</v>
      </c>
      <c r="E235" s="75">
        <v>5.2600818234950003E-3</v>
      </c>
    </row>
    <row r="236" spans="2:5" ht="15" customHeight="1">
      <c r="B236" s="92"/>
      <c r="C236" s="73" t="s">
        <v>138</v>
      </c>
      <c r="D236" s="74">
        <v>6</v>
      </c>
      <c r="E236" s="75">
        <v>3.506721215663E-3</v>
      </c>
    </row>
    <row r="237" spans="2:5" ht="15" customHeight="1">
      <c r="B237" s="92"/>
      <c r="C237" s="73" t="s">
        <v>139</v>
      </c>
      <c r="D237" s="74">
        <v>36</v>
      </c>
      <c r="E237" s="75">
        <v>2.1040327293980001E-2</v>
      </c>
    </row>
    <row r="238" spans="2:5" ht="15" customHeight="1">
      <c r="B238" s="92"/>
      <c r="C238" s="73" t="s">
        <v>140</v>
      </c>
      <c r="D238" s="74">
        <v>27</v>
      </c>
      <c r="E238" s="75">
        <v>1.5780245470485E-2</v>
      </c>
    </row>
    <row r="239" spans="2:5" ht="15" customHeight="1">
      <c r="B239" s="92"/>
      <c r="C239" s="73" t="s">
        <v>141</v>
      </c>
      <c r="D239" s="74">
        <v>12</v>
      </c>
      <c r="E239" s="75">
        <v>7.0134424313270001E-3</v>
      </c>
    </row>
    <row r="240" spans="2:5" ht="15" customHeight="1">
      <c r="B240" s="92"/>
      <c r="C240" s="73" t="s">
        <v>143</v>
      </c>
      <c r="D240" s="74">
        <v>1</v>
      </c>
      <c r="E240" s="75">
        <v>5.8445353594399998E-4</v>
      </c>
    </row>
    <row r="241" spans="2:5" ht="15" customHeight="1">
      <c r="B241" s="92"/>
      <c r="C241" s="73" t="s">
        <v>144</v>
      </c>
      <c r="D241" s="74">
        <v>3</v>
      </c>
      <c r="E241" s="75">
        <v>1.753360607832E-3</v>
      </c>
    </row>
    <row r="242" spans="2:5" ht="15" customHeight="1">
      <c r="B242" s="92"/>
      <c r="C242" s="73" t="s">
        <v>145</v>
      </c>
      <c r="D242" s="74">
        <v>1</v>
      </c>
      <c r="E242" s="75">
        <v>5.8445353594399998E-4</v>
      </c>
    </row>
    <row r="243" spans="2:5" ht="15" customHeight="1">
      <c r="B243" s="92"/>
      <c r="C243" s="36" t="s">
        <v>28</v>
      </c>
      <c r="D243" s="35">
        <v>100</v>
      </c>
      <c r="E243" s="34">
        <v>5.8445353594389002E-2</v>
      </c>
    </row>
    <row r="244" spans="2:5" ht="15" customHeight="1">
      <c r="B244" s="92" t="s">
        <v>55</v>
      </c>
      <c r="C244" s="73" t="s">
        <v>135</v>
      </c>
      <c r="D244" s="74">
        <v>1</v>
      </c>
      <c r="E244" s="75">
        <v>5.8445353594399998E-4</v>
      </c>
    </row>
    <row r="245" spans="2:5" ht="15" customHeight="1">
      <c r="B245" s="92"/>
      <c r="C245" s="73" t="s">
        <v>137</v>
      </c>
      <c r="D245" s="74">
        <v>30</v>
      </c>
      <c r="E245" s="75">
        <v>1.7533606078316999E-2</v>
      </c>
    </row>
    <row r="246" spans="2:5" ht="15" customHeight="1">
      <c r="B246" s="92"/>
      <c r="C246" s="73" t="s">
        <v>139</v>
      </c>
      <c r="D246" s="74">
        <v>3</v>
      </c>
      <c r="E246" s="75">
        <v>1.753360607832E-3</v>
      </c>
    </row>
    <row r="247" spans="2:5" ht="15" customHeight="1">
      <c r="B247" s="92"/>
      <c r="C247" s="73" t="s">
        <v>140</v>
      </c>
      <c r="D247" s="74">
        <v>26</v>
      </c>
      <c r="E247" s="75">
        <v>1.5195791934541E-2</v>
      </c>
    </row>
    <row r="248" spans="2:5" ht="15" customHeight="1">
      <c r="B248" s="92"/>
      <c r="C248" s="73" t="s">
        <v>141</v>
      </c>
      <c r="D248" s="74">
        <v>4</v>
      </c>
      <c r="E248" s="75">
        <v>2.3378141437759999E-3</v>
      </c>
    </row>
    <row r="249" spans="2:5" ht="15" customHeight="1">
      <c r="B249" s="92"/>
      <c r="C249" s="73" t="s">
        <v>142</v>
      </c>
      <c r="D249" s="74">
        <v>4</v>
      </c>
      <c r="E249" s="75">
        <v>2.3378141437759999E-3</v>
      </c>
    </row>
    <row r="250" spans="2:5" ht="15" customHeight="1">
      <c r="B250" s="92"/>
      <c r="C250" s="36" t="s">
        <v>28</v>
      </c>
      <c r="D250" s="35">
        <v>68</v>
      </c>
      <c r="E250" s="34">
        <v>3.9742840444185003E-2</v>
      </c>
    </row>
    <row r="251" spans="2:5" ht="15" customHeight="1">
      <c r="B251" s="92" t="s">
        <v>69</v>
      </c>
      <c r="C251" s="73" t="s">
        <v>135</v>
      </c>
      <c r="D251" s="74">
        <v>2</v>
      </c>
      <c r="E251" s="75">
        <v>1.168907071888E-3</v>
      </c>
    </row>
    <row r="252" spans="2:5" ht="15" customHeight="1">
      <c r="B252" s="92"/>
      <c r="C252" s="73" t="s">
        <v>137</v>
      </c>
      <c r="D252" s="74">
        <v>6</v>
      </c>
      <c r="E252" s="75">
        <v>3.506721215663E-3</v>
      </c>
    </row>
    <row r="253" spans="2:5" ht="15" customHeight="1">
      <c r="B253" s="92"/>
      <c r="C253" s="73" t="s">
        <v>139</v>
      </c>
      <c r="D253" s="74">
        <v>7</v>
      </c>
      <c r="E253" s="75">
        <v>4.0911747516070001E-3</v>
      </c>
    </row>
    <row r="254" spans="2:5" ht="15" customHeight="1">
      <c r="B254" s="92"/>
      <c r="C254" s="73" t="s">
        <v>140</v>
      </c>
      <c r="D254" s="74">
        <v>10</v>
      </c>
      <c r="E254" s="75">
        <v>5.8445353594389999E-3</v>
      </c>
    </row>
    <row r="255" spans="2:5" ht="15" customHeight="1">
      <c r="B255" s="92"/>
      <c r="C255" s="73" t="s">
        <v>141</v>
      </c>
      <c r="D255" s="74">
        <v>4</v>
      </c>
      <c r="E255" s="75">
        <v>2.3378141437759999E-3</v>
      </c>
    </row>
    <row r="256" spans="2:5" ht="15" customHeight="1">
      <c r="B256" s="92"/>
      <c r="C256" s="73" t="s">
        <v>143</v>
      </c>
      <c r="D256" s="74">
        <v>1</v>
      </c>
      <c r="E256" s="75">
        <v>5.8445353594399998E-4</v>
      </c>
    </row>
    <row r="257" spans="2:5" ht="15" customHeight="1">
      <c r="B257" s="92"/>
      <c r="C257" s="36" t="s">
        <v>28</v>
      </c>
      <c r="D257" s="35">
        <v>30</v>
      </c>
      <c r="E257" s="34">
        <v>1.7533606078316999E-2</v>
      </c>
    </row>
    <row r="258" spans="2:5" ht="15" customHeight="1">
      <c r="B258" s="92" t="s">
        <v>89</v>
      </c>
      <c r="C258" s="73" t="s">
        <v>139</v>
      </c>
      <c r="D258" s="74">
        <v>1</v>
      </c>
      <c r="E258" s="75">
        <v>5.8445353594399998E-4</v>
      </c>
    </row>
    <row r="259" spans="2:5" ht="15" customHeight="1">
      <c r="B259" s="92"/>
      <c r="C259" s="73" t="s">
        <v>143</v>
      </c>
      <c r="D259" s="74">
        <v>1</v>
      </c>
      <c r="E259" s="75">
        <v>5.8445353594399998E-4</v>
      </c>
    </row>
    <row r="260" spans="2:5" ht="15" customHeight="1">
      <c r="B260" s="92"/>
      <c r="C260" s="36" t="s">
        <v>28</v>
      </c>
      <c r="D260" s="35">
        <v>2</v>
      </c>
      <c r="E260" s="34">
        <v>1.168907071888E-3</v>
      </c>
    </row>
    <row r="261" spans="2:5" ht="15" customHeight="1">
      <c r="B261" s="92" t="s">
        <v>59</v>
      </c>
      <c r="C261" s="73" t="s">
        <v>137</v>
      </c>
      <c r="D261" s="74">
        <v>32</v>
      </c>
      <c r="E261" s="75">
        <v>1.8702513150205002E-2</v>
      </c>
    </row>
    <row r="262" spans="2:5" ht="15" customHeight="1">
      <c r="B262" s="92"/>
      <c r="C262" s="73" t="s">
        <v>139</v>
      </c>
      <c r="D262" s="74">
        <v>4</v>
      </c>
      <c r="E262" s="75">
        <v>2.3378141437759999E-3</v>
      </c>
    </row>
    <row r="263" spans="2:5" ht="15" customHeight="1">
      <c r="B263" s="92"/>
      <c r="C263" s="73" t="s">
        <v>140</v>
      </c>
      <c r="D263" s="74">
        <v>6</v>
      </c>
      <c r="E263" s="75">
        <v>3.506721215663E-3</v>
      </c>
    </row>
    <row r="264" spans="2:5" ht="15" customHeight="1">
      <c r="B264" s="92"/>
      <c r="C264" s="73" t="s">
        <v>141</v>
      </c>
      <c r="D264" s="74">
        <v>5</v>
      </c>
      <c r="E264" s="75">
        <v>2.9222676797189999E-3</v>
      </c>
    </row>
    <row r="265" spans="2:5" ht="15" customHeight="1">
      <c r="B265" s="92"/>
      <c r="C265" s="73" t="s">
        <v>142</v>
      </c>
      <c r="D265" s="74">
        <v>2</v>
      </c>
      <c r="E265" s="75">
        <v>1.168907071888E-3</v>
      </c>
    </row>
    <row r="266" spans="2:5" ht="15" customHeight="1">
      <c r="B266" s="92"/>
      <c r="C266" s="73" t="s">
        <v>143</v>
      </c>
      <c r="D266" s="74">
        <v>1</v>
      </c>
      <c r="E266" s="75">
        <v>5.8445353594399998E-4</v>
      </c>
    </row>
    <row r="267" spans="2:5" ht="15" customHeight="1">
      <c r="B267" s="92"/>
      <c r="C267" s="73" t="s">
        <v>144</v>
      </c>
      <c r="D267" s="74">
        <v>1</v>
      </c>
      <c r="E267" s="75">
        <v>5.8445353594399998E-4</v>
      </c>
    </row>
    <row r="268" spans="2:5" ht="15" customHeight="1">
      <c r="B268" s="92"/>
      <c r="C268" s="36" t="s">
        <v>28</v>
      </c>
      <c r="D268" s="35">
        <v>51</v>
      </c>
      <c r="E268" s="34">
        <v>2.9807130333139E-2</v>
      </c>
    </row>
    <row r="269" spans="2:5" ht="15" customHeight="1">
      <c r="B269" s="92" t="s">
        <v>74</v>
      </c>
      <c r="C269" s="73" t="s">
        <v>136</v>
      </c>
      <c r="D269" s="74">
        <v>2</v>
      </c>
      <c r="E269" s="75">
        <v>1.168907071888E-3</v>
      </c>
    </row>
    <row r="270" spans="2:5" ht="15" customHeight="1">
      <c r="B270" s="92"/>
      <c r="C270" s="73" t="s">
        <v>137</v>
      </c>
      <c r="D270" s="74">
        <v>5</v>
      </c>
      <c r="E270" s="75">
        <v>2.9222676797189999E-3</v>
      </c>
    </row>
    <row r="271" spans="2:5" ht="15" customHeight="1">
      <c r="B271" s="92"/>
      <c r="C271" s="73" t="s">
        <v>139</v>
      </c>
      <c r="D271" s="74">
        <v>6</v>
      </c>
      <c r="E271" s="75">
        <v>3.506721215663E-3</v>
      </c>
    </row>
    <row r="272" spans="2:5" ht="15" customHeight="1">
      <c r="B272" s="92"/>
      <c r="C272" s="73" t="s">
        <v>140</v>
      </c>
      <c r="D272" s="74">
        <v>3</v>
      </c>
      <c r="E272" s="75">
        <v>1.753360607832E-3</v>
      </c>
    </row>
    <row r="273" spans="2:5" ht="15" customHeight="1">
      <c r="B273" s="92"/>
      <c r="C273" s="73" t="s">
        <v>141</v>
      </c>
      <c r="D273" s="74">
        <v>1</v>
      </c>
      <c r="E273" s="75">
        <v>5.8445353594399998E-4</v>
      </c>
    </row>
    <row r="274" spans="2:5" ht="15" customHeight="1">
      <c r="B274" s="92"/>
      <c r="C274" s="73" t="s">
        <v>143</v>
      </c>
      <c r="D274" s="74">
        <v>1</v>
      </c>
      <c r="E274" s="75">
        <v>5.8445353594399998E-4</v>
      </c>
    </row>
    <row r="275" spans="2:5" ht="15" customHeight="1">
      <c r="B275" s="92"/>
      <c r="C275" s="36" t="s">
        <v>28</v>
      </c>
      <c r="D275" s="35">
        <v>18</v>
      </c>
      <c r="E275" s="34">
        <v>1.0520163646990001E-2</v>
      </c>
    </row>
    <row r="276" spans="2:5" ht="15" customHeight="1">
      <c r="B276" s="92" t="s">
        <v>86</v>
      </c>
      <c r="C276" s="73" t="s">
        <v>140</v>
      </c>
      <c r="D276" s="74">
        <v>3</v>
      </c>
      <c r="E276" s="75">
        <v>1.753360607832E-3</v>
      </c>
    </row>
    <row r="277" spans="2:5" ht="15" customHeight="1">
      <c r="B277" s="92"/>
      <c r="C277" s="36" t="s">
        <v>28</v>
      </c>
      <c r="D277" s="35">
        <v>3</v>
      </c>
      <c r="E277" s="34">
        <v>1.753360607832E-3</v>
      </c>
    </row>
    <row r="278" spans="2:5" ht="15" customHeight="1">
      <c r="B278" s="92" t="s">
        <v>65</v>
      </c>
      <c r="C278" s="73" t="s">
        <v>136</v>
      </c>
      <c r="D278" s="74">
        <v>1</v>
      </c>
      <c r="E278" s="75">
        <v>5.8445353594399998E-4</v>
      </c>
    </row>
    <row r="279" spans="2:5" ht="15" customHeight="1">
      <c r="B279" s="92"/>
      <c r="C279" s="73" t="s">
        <v>137</v>
      </c>
      <c r="D279" s="74">
        <v>8</v>
      </c>
      <c r="E279" s="75">
        <v>4.6756282875509998E-3</v>
      </c>
    </row>
    <row r="280" spans="2:5" ht="15" customHeight="1">
      <c r="B280" s="92"/>
      <c r="C280" s="73" t="s">
        <v>139</v>
      </c>
      <c r="D280" s="74">
        <v>3</v>
      </c>
      <c r="E280" s="75">
        <v>1.753360607832E-3</v>
      </c>
    </row>
    <row r="281" spans="2:5" ht="15" customHeight="1">
      <c r="B281" s="92"/>
      <c r="C281" s="73" t="s">
        <v>140</v>
      </c>
      <c r="D281" s="74">
        <v>11</v>
      </c>
      <c r="E281" s="75">
        <v>6.4289888953829996E-3</v>
      </c>
    </row>
    <row r="282" spans="2:5" ht="15" customHeight="1">
      <c r="B282" s="92"/>
      <c r="C282" s="73" t="s">
        <v>141</v>
      </c>
      <c r="D282" s="74">
        <v>4</v>
      </c>
      <c r="E282" s="75">
        <v>2.3378141437759999E-3</v>
      </c>
    </row>
    <row r="283" spans="2:5" ht="15" customHeight="1">
      <c r="B283" s="92"/>
      <c r="C283" s="73" t="s">
        <v>142</v>
      </c>
      <c r="D283" s="74">
        <v>9</v>
      </c>
      <c r="E283" s="75">
        <v>5.2600818234950003E-3</v>
      </c>
    </row>
    <row r="284" spans="2:5" ht="15" customHeight="1">
      <c r="B284" s="92"/>
      <c r="C284" s="73" t="s">
        <v>143</v>
      </c>
      <c r="D284" s="74">
        <v>4</v>
      </c>
      <c r="E284" s="75">
        <v>2.3378141437759999E-3</v>
      </c>
    </row>
    <row r="285" spans="2:5" ht="15" customHeight="1">
      <c r="B285" s="92"/>
      <c r="C285" s="36" t="s">
        <v>28</v>
      </c>
      <c r="D285" s="35">
        <v>40</v>
      </c>
      <c r="E285" s="34">
        <v>2.3378141437756E-2</v>
      </c>
    </row>
    <row r="286" spans="2:5" ht="15" customHeight="1">
      <c r="B286" s="92" t="s">
        <v>58</v>
      </c>
      <c r="C286" s="73" t="s">
        <v>136</v>
      </c>
      <c r="D286" s="74">
        <v>1</v>
      </c>
      <c r="E286" s="75">
        <v>5.8445353594399998E-4</v>
      </c>
    </row>
    <row r="287" spans="2:5" ht="15" customHeight="1">
      <c r="B287" s="92"/>
      <c r="C287" s="73" t="s">
        <v>137</v>
      </c>
      <c r="D287" s="74">
        <v>4</v>
      </c>
      <c r="E287" s="75">
        <v>2.3378141437759999E-3</v>
      </c>
    </row>
    <row r="288" spans="2:5" ht="15" customHeight="1">
      <c r="B288" s="92"/>
      <c r="C288" s="73" t="s">
        <v>138</v>
      </c>
      <c r="D288" s="74">
        <v>3</v>
      </c>
      <c r="E288" s="75">
        <v>1.753360607832E-3</v>
      </c>
    </row>
    <row r="289" spans="2:5" ht="15" customHeight="1">
      <c r="B289" s="92"/>
      <c r="C289" s="73" t="s">
        <v>139</v>
      </c>
      <c r="D289" s="74">
        <v>21</v>
      </c>
      <c r="E289" s="75">
        <v>1.2273524254822E-2</v>
      </c>
    </row>
    <row r="290" spans="2:5" ht="15" customHeight="1">
      <c r="B290" s="92"/>
      <c r="C290" s="73" t="s">
        <v>140</v>
      </c>
      <c r="D290" s="74">
        <v>9</v>
      </c>
      <c r="E290" s="75">
        <v>5.2600818234950003E-3</v>
      </c>
    </row>
    <row r="291" spans="2:5" ht="15" customHeight="1">
      <c r="B291" s="92"/>
      <c r="C291" s="73" t="s">
        <v>141</v>
      </c>
      <c r="D291" s="74">
        <v>21</v>
      </c>
      <c r="E291" s="75">
        <v>1.2273524254822E-2</v>
      </c>
    </row>
    <row r="292" spans="2:5" ht="15" customHeight="1">
      <c r="B292" s="92"/>
      <c r="C292" s="36" t="s">
        <v>28</v>
      </c>
      <c r="D292" s="35">
        <v>59</v>
      </c>
      <c r="E292" s="34">
        <v>3.4482758620690002E-2</v>
      </c>
    </row>
    <row r="293" spans="2:5" ht="15" customHeight="1">
      <c r="B293" s="92" t="s">
        <v>75</v>
      </c>
      <c r="C293" s="73" t="s">
        <v>137</v>
      </c>
      <c r="D293" s="74">
        <v>5</v>
      </c>
      <c r="E293" s="75">
        <v>2.9222676797189999E-3</v>
      </c>
    </row>
    <row r="294" spans="2:5" ht="15" customHeight="1">
      <c r="B294" s="92"/>
      <c r="C294" s="73" t="s">
        <v>138</v>
      </c>
      <c r="D294" s="74">
        <v>4</v>
      </c>
      <c r="E294" s="75">
        <v>2.3378141437759999E-3</v>
      </c>
    </row>
    <row r="295" spans="2:5" ht="15" customHeight="1">
      <c r="B295" s="92"/>
      <c r="C295" s="73" t="s">
        <v>139</v>
      </c>
      <c r="D295" s="74">
        <v>3</v>
      </c>
      <c r="E295" s="75">
        <v>1.753360607832E-3</v>
      </c>
    </row>
    <row r="296" spans="2:5" ht="15" customHeight="1">
      <c r="B296" s="92"/>
      <c r="C296" s="73" t="s">
        <v>140</v>
      </c>
      <c r="D296" s="74">
        <v>3</v>
      </c>
      <c r="E296" s="75">
        <v>1.753360607832E-3</v>
      </c>
    </row>
    <row r="297" spans="2:5" ht="15" customHeight="1">
      <c r="B297" s="92"/>
      <c r="C297" s="73" t="s">
        <v>141</v>
      </c>
      <c r="D297" s="74">
        <v>2</v>
      </c>
      <c r="E297" s="75">
        <v>1.168907071888E-3</v>
      </c>
    </row>
    <row r="298" spans="2:5" ht="15" customHeight="1">
      <c r="B298" s="92"/>
      <c r="C298" s="36" t="s">
        <v>28</v>
      </c>
      <c r="D298" s="35">
        <v>17</v>
      </c>
      <c r="E298" s="34">
        <v>9.9357101110459992E-3</v>
      </c>
    </row>
    <row r="299" spans="2:5" ht="15" customHeight="1">
      <c r="B299" s="92" t="s">
        <v>84</v>
      </c>
      <c r="C299" s="73" t="s">
        <v>135</v>
      </c>
      <c r="D299" s="74">
        <v>1</v>
      </c>
      <c r="E299" s="75">
        <v>5.8445353594399998E-4</v>
      </c>
    </row>
    <row r="300" spans="2:5" ht="15" customHeight="1">
      <c r="B300" s="92"/>
      <c r="C300" s="73" t="s">
        <v>137</v>
      </c>
      <c r="D300" s="74">
        <v>1</v>
      </c>
      <c r="E300" s="75">
        <v>5.8445353594399998E-4</v>
      </c>
    </row>
    <row r="301" spans="2:5" ht="15" customHeight="1">
      <c r="B301" s="92"/>
      <c r="C301" s="73" t="s">
        <v>139</v>
      </c>
      <c r="D301" s="74">
        <v>1</v>
      </c>
      <c r="E301" s="75">
        <v>5.8445353594399998E-4</v>
      </c>
    </row>
    <row r="302" spans="2:5" ht="15" customHeight="1">
      <c r="B302" s="92"/>
      <c r="C302" s="73" t="s">
        <v>140</v>
      </c>
      <c r="D302" s="74">
        <v>4</v>
      </c>
      <c r="E302" s="75">
        <v>2.3378141437759999E-3</v>
      </c>
    </row>
    <row r="303" spans="2:5" ht="15" customHeight="1">
      <c r="B303" s="92"/>
      <c r="C303" s="36" t="s">
        <v>28</v>
      </c>
      <c r="D303" s="35">
        <v>7</v>
      </c>
      <c r="E303" s="34">
        <v>4.0911747516070001E-3</v>
      </c>
    </row>
    <row r="304" spans="2:5" ht="15" customHeight="1">
      <c r="B304" s="92" t="s">
        <v>71</v>
      </c>
      <c r="C304" s="73" t="s">
        <v>137</v>
      </c>
      <c r="D304" s="74">
        <v>6</v>
      </c>
      <c r="E304" s="75">
        <v>3.506721215663E-3</v>
      </c>
    </row>
    <row r="305" spans="2:5" ht="15" customHeight="1">
      <c r="B305" s="92"/>
      <c r="C305" s="73" t="s">
        <v>138</v>
      </c>
      <c r="D305" s="74">
        <v>1</v>
      </c>
      <c r="E305" s="75">
        <v>5.8445353594399998E-4</v>
      </c>
    </row>
    <row r="306" spans="2:5" ht="15" customHeight="1">
      <c r="B306" s="92"/>
      <c r="C306" s="73" t="s">
        <v>139</v>
      </c>
      <c r="D306" s="74">
        <v>10</v>
      </c>
      <c r="E306" s="75">
        <v>5.8445353594389999E-3</v>
      </c>
    </row>
    <row r="307" spans="2:5" ht="15" customHeight="1">
      <c r="B307" s="92"/>
      <c r="C307" s="73" t="s">
        <v>140</v>
      </c>
      <c r="D307" s="74">
        <v>7</v>
      </c>
      <c r="E307" s="75">
        <v>4.0911747516070001E-3</v>
      </c>
    </row>
    <row r="308" spans="2:5" ht="15" customHeight="1">
      <c r="B308" s="92"/>
      <c r="C308" s="73" t="s">
        <v>141</v>
      </c>
      <c r="D308" s="74">
        <v>4</v>
      </c>
      <c r="E308" s="75">
        <v>2.3378141437759999E-3</v>
      </c>
    </row>
    <row r="309" spans="2:5" ht="15" customHeight="1">
      <c r="B309" s="92"/>
      <c r="C309" s="73" t="s">
        <v>143</v>
      </c>
      <c r="D309" s="74">
        <v>1</v>
      </c>
      <c r="E309" s="75">
        <v>5.8445353594399998E-4</v>
      </c>
    </row>
    <row r="310" spans="2:5" ht="15" customHeight="1">
      <c r="B310" s="92"/>
      <c r="C310" s="36" t="s">
        <v>28</v>
      </c>
      <c r="D310" s="35">
        <v>29</v>
      </c>
      <c r="E310" s="34">
        <v>1.6949152542372999E-2</v>
      </c>
    </row>
    <row r="311" spans="2:5" ht="15" customHeight="1">
      <c r="B311" s="93" t="s">
        <v>28</v>
      </c>
      <c r="C311" s="93"/>
      <c r="D311" s="60">
        <v>1711</v>
      </c>
      <c r="E311" s="61">
        <v>1</v>
      </c>
    </row>
    <row r="313" spans="2:5" ht="15" customHeight="1">
      <c r="B313" s="15" t="s">
        <v>213</v>
      </c>
    </row>
    <row r="314" spans="2:5" ht="15" customHeight="1">
      <c r="B314" s="17" t="s">
        <v>17</v>
      </c>
    </row>
    <row r="315" spans="2:5" ht="15" customHeight="1">
      <c r="B315" s="16" t="s">
        <v>214</v>
      </c>
    </row>
    <row r="316" spans="2:5" ht="15" customHeight="1">
      <c r="B316" s="15" t="s">
        <v>16</v>
      </c>
    </row>
    <row r="317" spans="2:5" ht="15" customHeight="1">
      <c r="B317" s="15" t="s">
        <v>215</v>
      </c>
    </row>
  </sheetData>
  <mergeCells count="46">
    <mergeCell ref="B304:B310"/>
    <mergeCell ref="B311:C311"/>
    <mergeCell ref="B276:B277"/>
    <mergeCell ref="B278:B285"/>
    <mergeCell ref="B286:B292"/>
    <mergeCell ref="B293:B298"/>
    <mergeCell ref="B299:B303"/>
    <mergeCell ref="B7:E8"/>
    <mergeCell ref="B10:B12"/>
    <mergeCell ref="B13:B24"/>
    <mergeCell ref="B25:B33"/>
    <mergeCell ref="B34:B38"/>
    <mergeCell ref="B39:B42"/>
    <mergeCell ref="B43:B48"/>
    <mergeCell ref="B49:B57"/>
    <mergeCell ref="B58:B66"/>
    <mergeCell ref="B67:B74"/>
    <mergeCell ref="B75:B83"/>
    <mergeCell ref="B84:B85"/>
    <mergeCell ref="B86:B90"/>
    <mergeCell ref="B91:B98"/>
    <mergeCell ref="B99:B108"/>
    <mergeCell ref="B109:B118"/>
    <mergeCell ref="B119:B127"/>
    <mergeCell ref="B128:B132"/>
    <mergeCell ref="B133:B139"/>
    <mergeCell ref="B140:B148"/>
    <mergeCell ref="B149:B156"/>
    <mergeCell ref="B157:B163"/>
    <mergeCell ref="B164:B170"/>
    <mergeCell ref="B171:B176"/>
    <mergeCell ref="B177:B183"/>
    <mergeCell ref="B251:B257"/>
    <mergeCell ref="B258:B260"/>
    <mergeCell ref="B261:B268"/>
    <mergeCell ref="B269:B275"/>
    <mergeCell ref="B184:B189"/>
    <mergeCell ref="B190:B195"/>
    <mergeCell ref="B232:B233"/>
    <mergeCell ref="B234:B243"/>
    <mergeCell ref="B244:B250"/>
    <mergeCell ref="B196:B204"/>
    <mergeCell ref="B205:B212"/>
    <mergeCell ref="B213:B218"/>
    <mergeCell ref="B219:B225"/>
    <mergeCell ref="B226:B2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68"/>
  <sheetViews>
    <sheetView showGridLines="0" view="pageBreakPreview" topLeftCell="A17" zoomScale="115" zoomScaleNormal="85" zoomScaleSheetLayoutView="115" workbookViewId="0">
      <selection activeCell="D12" sqref="B12:D34"/>
    </sheetView>
  </sheetViews>
  <sheetFormatPr baseColWidth="10" defaultColWidth="11.453125" defaultRowHeight="14.5"/>
  <cols>
    <col min="1" max="1" width="9.26953125" style="13" customWidth="1"/>
    <col min="2" max="2" width="32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37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26</v>
      </c>
      <c r="C11" s="27" t="s">
        <v>25</v>
      </c>
      <c r="D11" s="26" t="s">
        <v>18</v>
      </c>
    </row>
    <row r="12" spans="2:4">
      <c r="B12" s="23" t="s">
        <v>147</v>
      </c>
      <c r="C12" s="22">
        <v>21</v>
      </c>
      <c r="D12" s="21">
        <v>1.2273524254822E-2</v>
      </c>
    </row>
    <row r="13" spans="2:4">
      <c r="B13" s="23" t="s">
        <v>148</v>
      </c>
      <c r="C13" s="22">
        <v>8</v>
      </c>
      <c r="D13" s="21">
        <v>4.6756282875509998E-3</v>
      </c>
    </row>
    <row r="14" spans="2:4">
      <c r="B14" s="23" t="s">
        <v>149</v>
      </c>
      <c r="C14" s="22">
        <v>9</v>
      </c>
      <c r="D14" s="21">
        <v>5.2600818234950003E-3</v>
      </c>
    </row>
    <row r="15" spans="2:4">
      <c r="B15" s="23" t="s">
        <v>150</v>
      </c>
      <c r="C15" s="22">
        <v>20</v>
      </c>
      <c r="D15" s="21">
        <v>1.1689070718878E-2</v>
      </c>
    </row>
    <row r="16" spans="2:4">
      <c r="B16" s="23" t="s">
        <v>151</v>
      </c>
      <c r="C16" s="22">
        <v>15</v>
      </c>
      <c r="D16" s="21">
        <v>8.7668030391579999E-3</v>
      </c>
    </row>
    <row r="17" spans="2:4">
      <c r="B17" s="23" t="s">
        <v>152</v>
      </c>
      <c r="C17" s="22">
        <v>18</v>
      </c>
      <c r="D17" s="21">
        <v>1.0520163646990001E-2</v>
      </c>
    </row>
    <row r="18" spans="2:4">
      <c r="B18" s="23" t="s">
        <v>153</v>
      </c>
      <c r="C18" s="22">
        <v>108</v>
      </c>
      <c r="D18" s="21">
        <v>6.312098188194E-2</v>
      </c>
    </row>
    <row r="19" spans="2:4">
      <c r="B19" s="23" t="s">
        <v>154</v>
      </c>
      <c r="C19" s="22">
        <v>192</v>
      </c>
      <c r="D19" s="21">
        <v>0.11221507890122701</v>
      </c>
    </row>
    <row r="20" spans="2:4">
      <c r="B20" s="23" t="s">
        <v>155</v>
      </c>
      <c r="C20" s="22">
        <v>19</v>
      </c>
      <c r="D20" s="21">
        <v>1.1104617182934E-2</v>
      </c>
    </row>
    <row r="21" spans="2:4">
      <c r="B21" s="23" t="s">
        <v>156</v>
      </c>
      <c r="C21" s="22">
        <v>29</v>
      </c>
      <c r="D21" s="21">
        <v>1.6949152542372999E-2</v>
      </c>
    </row>
    <row r="22" spans="2:4">
      <c r="B22" s="23" t="s">
        <v>157</v>
      </c>
      <c r="C22" s="22">
        <v>113</v>
      </c>
      <c r="D22" s="21">
        <v>6.6043249561659995E-2</v>
      </c>
    </row>
    <row r="23" spans="2:4">
      <c r="B23" s="23" t="s">
        <v>158</v>
      </c>
      <c r="C23" s="22">
        <v>542</v>
      </c>
      <c r="D23" s="21">
        <v>0.31677381648158998</v>
      </c>
    </row>
    <row r="24" spans="2:4">
      <c r="B24" s="23" t="s">
        <v>159</v>
      </c>
      <c r="C24" s="22">
        <v>16</v>
      </c>
      <c r="D24" s="21">
        <v>9.3512565751019995E-3</v>
      </c>
    </row>
    <row r="25" spans="2:4">
      <c r="B25" s="23" t="s">
        <v>160</v>
      </c>
      <c r="C25" s="22">
        <v>104</v>
      </c>
      <c r="D25" s="21">
        <v>6.0783167738165E-2</v>
      </c>
    </row>
    <row r="26" spans="2:4">
      <c r="B26" s="23" t="s">
        <v>161</v>
      </c>
      <c r="C26" s="22">
        <v>376</v>
      </c>
      <c r="D26" s="21">
        <v>0.21975452951490401</v>
      </c>
    </row>
    <row r="27" spans="2:4">
      <c r="B27" s="23" t="s">
        <v>162</v>
      </c>
      <c r="C27" s="22">
        <v>8</v>
      </c>
      <c r="D27" s="21">
        <v>4.6756282875509998E-3</v>
      </c>
    </row>
    <row r="28" spans="2:4">
      <c r="B28" s="23" t="s">
        <v>163</v>
      </c>
      <c r="C28" s="22">
        <v>7</v>
      </c>
      <c r="D28" s="21">
        <v>4.0911747516070001E-3</v>
      </c>
    </row>
    <row r="29" spans="2:4">
      <c r="B29" s="23" t="s">
        <v>164</v>
      </c>
      <c r="C29" s="22">
        <v>3</v>
      </c>
      <c r="D29" s="21">
        <v>1.753360607832E-3</v>
      </c>
    </row>
    <row r="30" spans="2:4">
      <c r="B30" s="23" t="s">
        <v>165</v>
      </c>
      <c r="C30" s="22">
        <v>1</v>
      </c>
      <c r="D30" s="21">
        <v>5.8445353594399998E-4</v>
      </c>
    </row>
    <row r="31" spans="2:4">
      <c r="B31" s="23" t="s">
        <v>166</v>
      </c>
      <c r="C31" s="22">
        <v>21</v>
      </c>
      <c r="D31" s="21">
        <v>1.2273524254822E-2</v>
      </c>
    </row>
    <row r="32" spans="2:4">
      <c r="B32" s="23" t="s">
        <v>167</v>
      </c>
      <c r="C32" s="22">
        <v>79</v>
      </c>
      <c r="D32" s="21">
        <v>4.6171829339568003E-2</v>
      </c>
    </row>
    <row r="33" spans="2:4">
      <c r="B33" s="23" t="s">
        <v>168</v>
      </c>
      <c r="C33" s="22">
        <v>2</v>
      </c>
      <c r="D33" s="21">
        <v>1.168907071888E-3</v>
      </c>
    </row>
    <row r="34" spans="2:4">
      <c r="B34" s="20" t="s">
        <v>28</v>
      </c>
      <c r="C34" s="19">
        <v>1711</v>
      </c>
      <c r="D34" s="18">
        <v>1</v>
      </c>
    </row>
    <row r="35" spans="2:4">
      <c r="B35" s="53"/>
      <c r="C35" s="13"/>
    </row>
    <row r="36" spans="2:4">
      <c r="B36" s="15" t="s">
        <v>213</v>
      </c>
      <c r="C36" s="13"/>
    </row>
    <row r="37" spans="2:4">
      <c r="B37" s="17" t="s">
        <v>17</v>
      </c>
      <c r="C37" s="13"/>
    </row>
    <row r="38" spans="2:4">
      <c r="B38" s="16" t="s">
        <v>214</v>
      </c>
      <c r="C38" s="13"/>
    </row>
    <row r="39" spans="2:4">
      <c r="B39" s="15" t="s">
        <v>16</v>
      </c>
      <c r="C39" s="13"/>
    </row>
    <row r="40" spans="2:4">
      <c r="B40" s="15" t="s">
        <v>215</v>
      </c>
      <c r="C40" s="13"/>
    </row>
    <row r="41" spans="2:4">
      <c r="C41" s="13"/>
    </row>
    <row r="45" spans="2:4">
      <c r="C45" s="13"/>
    </row>
    <row r="46" spans="2:4">
      <c r="C46" s="13"/>
    </row>
    <row r="47" spans="2:4">
      <c r="C47" s="1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358"/>
  <sheetViews>
    <sheetView showGridLines="0" view="pageBreakPreview" topLeftCell="A329" zoomScale="85" zoomScaleNormal="100" zoomScaleSheetLayoutView="85" workbookViewId="0">
      <selection activeCell="D350" sqref="D35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27</v>
      </c>
      <c r="C9" s="40" t="s">
        <v>24</v>
      </c>
      <c r="D9" s="39" t="s">
        <v>19</v>
      </c>
      <c r="E9" s="38" t="s">
        <v>18</v>
      </c>
    </row>
    <row r="10" spans="1:5" ht="15" customHeight="1">
      <c r="B10" s="86" t="s">
        <v>147</v>
      </c>
      <c r="C10" s="62" t="s">
        <v>91</v>
      </c>
      <c r="D10" s="63">
        <v>1</v>
      </c>
      <c r="E10" s="64">
        <v>5.8445353594399998E-4</v>
      </c>
    </row>
    <row r="11" spans="1:5" ht="15" customHeight="1">
      <c r="B11" s="88"/>
      <c r="C11" s="62" t="s">
        <v>93</v>
      </c>
      <c r="D11" s="63">
        <v>1</v>
      </c>
      <c r="E11" s="64">
        <v>5.8445353594399998E-4</v>
      </c>
    </row>
    <row r="12" spans="1:5" ht="15" customHeight="1">
      <c r="B12" s="88"/>
      <c r="C12" s="62" t="s">
        <v>94</v>
      </c>
      <c r="D12" s="63">
        <v>7</v>
      </c>
      <c r="E12" s="64">
        <v>4.0911747516070001E-3</v>
      </c>
    </row>
    <row r="13" spans="1:5" ht="15" customHeight="1">
      <c r="B13" s="88"/>
      <c r="C13" s="62" t="s">
        <v>97</v>
      </c>
      <c r="D13" s="63">
        <v>2</v>
      </c>
      <c r="E13" s="64">
        <v>1.168907071888E-3</v>
      </c>
    </row>
    <row r="14" spans="1:5" ht="15" customHeight="1">
      <c r="B14" s="88"/>
      <c r="C14" s="62" t="s">
        <v>98</v>
      </c>
      <c r="D14" s="63">
        <v>1</v>
      </c>
      <c r="E14" s="64">
        <v>5.8445353594399998E-4</v>
      </c>
    </row>
    <row r="15" spans="1:5" ht="15" customHeight="1">
      <c r="B15" s="88"/>
      <c r="C15" s="62" t="s">
        <v>114</v>
      </c>
      <c r="D15" s="63">
        <v>1</v>
      </c>
      <c r="E15" s="64">
        <v>5.8445353594399998E-4</v>
      </c>
    </row>
    <row r="16" spans="1:5" ht="15" customHeight="1">
      <c r="B16" s="88"/>
      <c r="C16" s="62" t="s">
        <v>119</v>
      </c>
      <c r="D16" s="63">
        <v>1</v>
      </c>
      <c r="E16" s="64">
        <v>5.8445353594399998E-4</v>
      </c>
    </row>
    <row r="17" spans="2:5" ht="15" customHeight="1">
      <c r="B17" s="88"/>
      <c r="C17" s="62" t="s">
        <v>121</v>
      </c>
      <c r="D17" s="63">
        <v>1</v>
      </c>
      <c r="E17" s="64">
        <v>5.8445353594399998E-4</v>
      </c>
    </row>
    <row r="18" spans="2:5" ht="15" customHeight="1">
      <c r="B18" s="88"/>
      <c r="C18" s="62" t="s">
        <v>127</v>
      </c>
      <c r="D18" s="63">
        <v>2</v>
      </c>
      <c r="E18" s="64">
        <v>1.168907071888E-3</v>
      </c>
    </row>
    <row r="19" spans="2:5" ht="15" customHeight="1">
      <c r="B19" s="88"/>
      <c r="C19" s="62" t="s">
        <v>128</v>
      </c>
      <c r="D19" s="63">
        <v>4</v>
      </c>
      <c r="E19" s="64">
        <v>2.3378141437759999E-3</v>
      </c>
    </row>
    <row r="20" spans="2:5" ht="15" customHeight="1">
      <c r="B20" s="87"/>
      <c r="C20" s="36" t="s">
        <v>28</v>
      </c>
      <c r="D20" s="35">
        <v>21</v>
      </c>
      <c r="E20" s="34">
        <v>1.2273524254822E-2</v>
      </c>
    </row>
    <row r="21" spans="2:5" ht="15" customHeight="1">
      <c r="B21" s="86" t="s">
        <v>148</v>
      </c>
      <c r="C21" s="62" t="s">
        <v>97</v>
      </c>
      <c r="D21" s="63">
        <v>1</v>
      </c>
      <c r="E21" s="64">
        <v>5.8445353594399998E-4</v>
      </c>
    </row>
    <row r="22" spans="2:5" ht="15" customHeight="1">
      <c r="B22" s="88"/>
      <c r="C22" s="62" t="s">
        <v>100</v>
      </c>
      <c r="D22" s="63">
        <v>2</v>
      </c>
      <c r="E22" s="64">
        <v>1.168907071888E-3</v>
      </c>
    </row>
    <row r="23" spans="2:5" ht="15" customHeight="1">
      <c r="B23" s="88"/>
      <c r="C23" s="62" t="s">
        <v>119</v>
      </c>
      <c r="D23" s="63">
        <v>1</v>
      </c>
      <c r="E23" s="64">
        <v>5.8445353594399998E-4</v>
      </c>
    </row>
    <row r="24" spans="2:5" ht="15" customHeight="1">
      <c r="B24" s="88"/>
      <c r="C24" s="62" t="s">
        <v>120</v>
      </c>
      <c r="D24" s="63">
        <v>1</v>
      </c>
      <c r="E24" s="64">
        <v>5.8445353594399998E-4</v>
      </c>
    </row>
    <row r="25" spans="2:5" ht="15" customHeight="1">
      <c r="B25" s="88"/>
      <c r="C25" s="62" t="s">
        <v>121</v>
      </c>
      <c r="D25" s="63">
        <v>1</v>
      </c>
      <c r="E25" s="64">
        <v>5.8445353594399998E-4</v>
      </c>
    </row>
    <row r="26" spans="2:5" ht="15" customHeight="1">
      <c r="B26" s="88"/>
      <c r="C26" s="62" t="s">
        <v>125</v>
      </c>
      <c r="D26" s="63">
        <v>1</v>
      </c>
      <c r="E26" s="64">
        <v>5.8445353594399998E-4</v>
      </c>
    </row>
    <row r="27" spans="2:5" ht="15" customHeight="1">
      <c r="B27" s="88"/>
      <c r="C27" s="62" t="s">
        <v>128</v>
      </c>
      <c r="D27" s="63">
        <v>1</v>
      </c>
      <c r="E27" s="64">
        <v>5.8445353594399998E-4</v>
      </c>
    </row>
    <row r="28" spans="2:5" ht="15" customHeight="1">
      <c r="B28" s="87"/>
      <c r="C28" s="36" t="s">
        <v>28</v>
      </c>
      <c r="D28" s="35">
        <v>8</v>
      </c>
      <c r="E28" s="34">
        <v>4.6756282875509998E-3</v>
      </c>
    </row>
    <row r="29" spans="2:5" ht="15" customHeight="1">
      <c r="B29" s="86" t="s">
        <v>149</v>
      </c>
      <c r="C29" s="62" t="s">
        <v>94</v>
      </c>
      <c r="D29" s="63">
        <v>4</v>
      </c>
      <c r="E29" s="64">
        <v>2.3378141437759999E-3</v>
      </c>
    </row>
    <row r="30" spans="2:5" ht="15" customHeight="1">
      <c r="B30" s="88"/>
      <c r="C30" s="62" t="s">
        <v>101</v>
      </c>
      <c r="D30" s="63">
        <v>1</v>
      </c>
      <c r="E30" s="64">
        <v>5.8445353594399998E-4</v>
      </c>
    </row>
    <row r="31" spans="2:5" ht="15" customHeight="1">
      <c r="B31" s="88"/>
      <c r="C31" s="62" t="s">
        <v>119</v>
      </c>
      <c r="D31" s="63">
        <v>1</v>
      </c>
      <c r="E31" s="64">
        <v>5.8445353594399998E-4</v>
      </c>
    </row>
    <row r="32" spans="2:5" ht="15" customHeight="1">
      <c r="B32" s="88"/>
      <c r="C32" s="62" t="s">
        <v>128</v>
      </c>
      <c r="D32" s="63">
        <v>1</v>
      </c>
      <c r="E32" s="64">
        <v>5.8445353594399998E-4</v>
      </c>
    </row>
    <row r="33" spans="2:5" ht="15" customHeight="1">
      <c r="B33" s="88"/>
      <c r="C33" s="62" t="s">
        <v>130</v>
      </c>
      <c r="D33" s="63">
        <v>2</v>
      </c>
      <c r="E33" s="64">
        <v>1.168907071888E-3</v>
      </c>
    </row>
    <row r="34" spans="2:5" ht="15" customHeight="1">
      <c r="B34" s="87"/>
      <c r="C34" s="36" t="s">
        <v>28</v>
      </c>
      <c r="D34" s="35">
        <v>9</v>
      </c>
      <c r="E34" s="34">
        <v>5.2600818234950003E-3</v>
      </c>
    </row>
    <row r="35" spans="2:5" ht="15" customHeight="1">
      <c r="B35" s="86" t="s">
        <v>150</v>
      </c>
      <c r="C35" s="62" t="s">
        <v>92</v>
      </c>
      <c r="D35" s="63">
        <v>1</v>
      </c>
      <c r="E35" s="64">
        <v>5.8445353594399998E-4</v>
      </c>
    </row>
    <row r="36" spans="2:5" ht="15" customHeight="1">
      <c r="B36" s="88"/>
      <c r="C36" s="62" t="s">
        <v>94</v>
      </c>
      <c r="D36" s="63">
        <v>4</v>
      </c>
      <c r="E36" s="64">
        <v>2.3378141437759999E-3</v>
      </c>
    </row>
    <row r="37" spans="2:5" ht="15" customHeight="1">
      <c r="B37" s="88"/>
      <c r="C37" s="62" t="s">
        <v>97</v>
      </c>
      <c r="D37" s="63">
        <v>6</v>
      </c>
      <c r="E37" s="64">
        <v>3.506721215663E-3</v>
      </c>
    </row>
    <row r="38" spans="2:5" ht="15" customHeight="1">
      <c r="B38" s="88"/>
      <c r="C38" s="62" t="s">
        <v>104</v>
      </c>
      <c r="D38" s="63">
        <v>1</v>
      </c>
      <c r="E38" s="64">
        <v>5.8445353594399998E-4</v>
      </c>
    </row>
    <row r="39" spans="2:5" ht="15" customHeight="1">
      <c r="B39" s="88"/>
      <c r="C39" s="62" t="s">
        <v>109</v>
      </c>
      <c r="D39" s="63">
        <v>1</v>
      </c>
      <c r="E39" s="64">
        <v>5.8445353594399998E-4</v>
      </c>
    </row>
    <row r="40" spans="2:5" ht="15" customHeight="1">
      <c r="B40" s="88"/>
      <c r="C40" s="62" t="s">
        <v>110</v>
      </c>
      <c r="D40" s="63">
        <v>1</v>
      </c>
      <c r="E40" s="64">
        <v>5.8445353594399998E-4</v>
      </c>
    </row>
    <row r="41" spans="2:5" ht="15" customHeight="1">
      <c r="B41" s="88"/>
      <c r="C41" s="62" t="s">
        <v>114</v>
      </c>
      <c r="D41" s="63">
        <v>3</v>
      </c>
      <c r="E41" s="64">
        <v>1.753360607832E-3</v>
      </c>
    </row>
    <row r="42" spans="2:5" ht="15" customHeight="1">
      <c r="B42" s="88"/>
      <c r="C42" s="62" t="s">
        <v>128</v>
      </c>
      <c r="D42" s="63">
        <v>3</v>
      </c>
      <c r="E42" s="64">
        <v>1.753360607832E-3</v>
      </c>
    </row>
    <row r="43" spans="2:5" ht="15" customHeight="1">
      <c r="B43" s="87"/>
      <c r="C43" s="36" t="s">
        <v>28</v>
      </c>
      <c r="D43" s="35">
        <v>20</v>
      </c>
      <c r="E43" s="34">
        <v>1.1689070718878E-2</v>
      </c>
    </row>
    <row r="44" spans="2:5" ht="15" customHeight="1">
      <c r="B44" s="86" t="s">
        <v>151</v>
      </c>
      <c r="C44" s="62" t="s">
        <v>91</v>
      </c>
      <c r="D44" s="63">
        <v>1</v>
      </c>
      <c r="E44" s="64">
        <v>5.8445353594399998E-4</v>
      </c>
    </row>
    <row r="45" spans="2:5" ht="15" customHeight="1">
      <c r="B45" s="88"/>
      <c r="C45" s="62" t="s">
        <v>94</v>
      </c>
      <c r="D45" s="63">
        <v>1</v>
      </c>
      <c r="E45" s="64">
        <v>5.8445353594399998E-4</v>
      </c>
    </row>
    <row r="46" spans="2:5" ht="15" customHeight="1">
      <c r="B46" s="88"/>
      <c r="C46" s="62" t="s">
        <v>95</v>
      </c>
      <c r="D46" s="63">
        <v>1</v>
      </c>
      <c r="E46" s="64">
        <v>5.8445353594399998E-4</v>
      </c>
    </row>
    <row r="47" spans="2:5" ht="15" customHeight="1">
      <c r="B47" s="88"/>
      <c r="C47" s="62" t="s">
        <v>101</v>
      </c>
      <c r="D47" s="63">
        <v>1</v>
      </c>
      <c r="E47" s="64">
        <v>5.8445353594399998E-4</v>
      </c>
    </row>
    <row r="48" spans="2:5" ht="15" customHeight="1">
      <c r="B48" s="88"/>
      <c r="C48" s="62" t="s">
        <v>103</v>
      </c>
      <c r="D48" s="63">
        <v>1</v>
      </c>
      <c r="E48" s="64">
        <v>5.8445353594399998E-4</v>
      </c>
    </row>
    <row r="49" spans="2:5" ht="15" customHeight="1">
      <c r="B49" s="88"/>
      <c r="C49" s="62" t="s">
        <v>112</v>
      </c>
      <c r="D49" s="63">
        <v>1</v>
      </c>
      <c r="E49" s="64">
        <v>5.8445353594399998E-4</v>
      </c>
    </row>
    <row r="50" spans="2:5" ht="15" customHeight="1">
      <c r="B50" s="88"/>
      <c r="C50" s="62" t="s">
        <v>114</v>
      </c>
      <c r="D50" s="63">
        <v>2</v>
      </c>
      <c r="E50" s="64">
        <v>1.168907071888E-3</v>
      </c>
    </row>
    <row r="51" spans="2:5" ht="15" customHeight="1">
      <c r="B51" s="88"/>
      <c r="C51" s="62" t="s">
        <v>119</v>
      </c>
      <c r="D51" s="63">
        <v>1</v>
      </c>
      <c r="E51" s="64">
        <v>5.8445353594399998E-4</v>
      </c>
    </row>
    <row r="52" spans="2:5" ht="15" customHeight="1">
      <c r="B52" s="88"/>
      <c r="C52" s="62" t="s">
        <v>128</v>
      </c>
      <c r="D52" s="63">
        <v>5</v>
      </c>
      <c r="E52" s="64">
        <v>2.9222676797189999E-3</v>
      </c>
    </row>
    <row r="53" spans="2:5" ht="15" customHeight="1">
      <c r="B53" s="88"/>
      <c r="C53" s="62" t="s">
        <v>131</v>
      </c>
      <c r="D53" s="63">
        <v>1</v>
      </c>
      <c r="E53" s="64">
        <v>5.8445353594399998E-4</v>
      </c>
    </row>
    <row r="54" spans="2:5" ht="15" customHeight="1">
      <c r="B54" s="87"/>
      <c r="C54" s="36" t="s">
        <v>28</v>
      </c>
      <c r="D54" s="35">
        <v>15</v>
      </c>
      <c r="E54" s="34">
        <v>8.7668030391579999E-3</v>
      </c>
    </row>
    <row r="55" spans="2:5" ht="15" customHeight="1">
      <c r="B55" s="86" t="s">
        <v>152</v>
      </c>
      <c r="C55" s="62" t="s">
        <v>93</v>
      </c>
      <c r="D55" s="63">
        <v>1</v>
      </c>
      <c r="E55" s="64">
        <v>5.8445353594399998E-4</v>
      </c>
    </row>
    <row r="56" spans="2:5" ht="15" customHeight="1">
      <c r="B56" s="88"/>
      <c r="C56" s="62" t="s">
        <v>94</v>
      </c>
      <c r="D56" s="63">
        <v>5</v>
      </c>
      <c r="E56" s="64">
        <v>2.9222676797189999E-3</v>
      </c>
    </row>
    <row r="57" spans="2:5" ht="15" customHeight="1">
      <c r="B57" s="88"/>
      <c r="C57" s="62" t="s">
        <v>97</v>
      </c>
      <c r="D57" s="63">
        <v>4</v>
      </c>
      <c r="E57" s="64">
        <v>2.3378141437759999E-3</v>
      </c>
    </row>
    <row r="58" spans="2:5" ht="15" customHeight="1">
      <c r="B58" s="88"/>
      <c r="C58" s="62" t="s">
        <v>98</v>
      </c>
      <c r="D58" s="63">
        <v>2</v>
      </c>
      <c r="E58" s="64">
        <v>1.168907071888E-3</v>
      </c>
    </row>
    <row r="59" spans="2:5" ht="15" customHeight="1">
      <c r="B59" s="88"/>
      <c r="C59" s="62" t="s">
        <v>102</v>
      </c>
      <c r="D59" s="63">
        <v>1</v>
      </c>
      <c r="E59" s="64">
        <v>5.8445353594399998E-4</v>
      </c>
    </row>
    <row r="60" spans="2:5" ht="15" customHeight="1">
      <c r="B60" s="88"/>
      <c r="C60" s="62" t="s">
        <v>112</v>
      </c>
      <c r="D60" s="63">
        <v>2</v>
      </c>
      <c r="E60" s="64">
        <v>1.168907071888E-3</v>
      </c>
    </row>
    <row r="61" spans="2:5" ht="15" customHeight="1">
      <c r="B61" s="88"/>
      <c r="C61" s="62" t="s">
        <v>115</v>
      </c>
      <c r="D61" s="63">
        <v>1</v>
      </c>
      <c r="E61" s="64">
        <v>5.8445353594399998E-4</v>
      </c>
    </row>
    <row r="62" spans="2:5" ht="15" customHeight="1">
      <c r="B62" s="88"/>
      <c r="C62" s="62" t="s">
        <v>125</v>
      </c>
      <c r="D62" s="63">
        <v>1</v>
      </c>
      <c r="E62" s="64">
        <v>5.8445353594399998E-4</v>
      </c>
    </row>
    <row r="63" spans="2:5" ht="15" customHeight="1">
      <c r="B63" s="88"/>
      <c r="C63" s="62" t="s">
        <v>128</v>
      </c>
      <c r="D63" s="63">
        <v>1</v>
      </c>
      <c r="E63" s="64">
        <v>5.8445353594399998E-4</v>
      </c>
    </row>
    <row r="64" spans="2:5" ht="15" customHeight="1">
      <c r="B64" s="87"/>
      <c r="C64" s="36" t="s">
        <v>28</v>
      </c>
      <c r="D64" s="35">
        <v>18</v>
      </c>
      <c r="E64" s="34">
        <v>1.0520163646990001E-2</v>
      </c>
    </row>
    <row r="65" spans="2:5" ht="15" customHeight="1">
      <c r="B65" s="86" t="s">
        <v>153</v>
      </c>
      <c r="C65" s="62" t="s">
        <v>91</v>
      </c>
      <c r="D65" s="63">
        <v>1</v>
      </c>
      <c r="E65" s="64">
        <v>5.8445353594399998E-4</v>
      </c>
    </row>
    <row r="66" spans="2:5" ht="15" customHeight="1">
      <c r="B66" s="88"/>
      <c r="C66" s="62" t="s">
        <v>92</v>
      </c>
      <c r="D66" s="63">
        <v>1</v>
      </c>
      <c r="E66" s="64">
        <v>5.8445353594399998E-4</v>
      </c>
    </row>
    <row r="67" spans="2:5" ht="15" customHeight="1">
      <c r="B67" s="88"/>
      <c r="C67" s="62" t="s">
        <v>93</v>
      </c>
      <c r="D67" s="63">
        <v>1</v>
      </c>
      <c r="E67" s="64">
        <v>5.8445353594399998E-4</v>
      </c>
    </row>
    <row r="68" spans="2:5" ht="15" customHeight="1">
      <c r="B68" s="88"/>
      <c r="C68" s="62" t="s">
        <v>94</v>
      </c>
      <c r="D68" s="63">
        <v>27</v>
      </c>
      <c r="E68" s="64">
        <v>1.5780245470485E-2</v>
      </c>
    </row>
    <row r="69" spans="2:5" ht="15" customHeight="1">
      <c r="B69" s="88"/>
      <c r="C69" s="62" t="s">
        <v>95</v>
      </c>
      <c r="D69" s="63">
        <v>3</v>
      </c>
      <c r="E69" s="64">
        <v>1.753360607832E-3</v>
      </c>
    </row>
    <row r="70" spans="2:5" ht="15" customHeight="1">
      <c r="B70" s="88"/>
      <c r="C70" s="62" t="s">
        <v>97</v>
      </c>
      <c r="D70" s="63">
        <v>5</v>
      </c>
      <c r="E70" s="64">
        <v>2.9222676797189999E-3</v>
      </c>
    </row>
    <row r="71" spans="2:5" ht="15" customHeight="1">
      <c r="B71" s="88"/>
      <c r="C71" s="62" t="s">
        <v>98</v>
      </c>
      <c r="D71" s="63">
        <v>2</v>
      </c>
      <c r="E71" s="64">
        <v>1.168907071888E-3</v>
      </c>
    </row>
    <row r="72" spans="2:5" ht="15" customHeight="1">
      <c r="B72" s="88"/>
      <c r="C72" s="62" t="s">
        <v>99</v>
      </c>
      <c r="D72" s="63">
        <v>1</v>
      </c>
      <c r="E72" s="64">
        <v>5.8445353594399998E-4</v>
      </c>
    </row>
    <row r="73" spans="2:5" ht="15" customHeight="1">
      <c r="B73" s="88"/>
      <c r="C73" s="62" t="s">
        <v>100</v>
      </c>
      <c r="D73" s="63">
        <v>2</v>
      </c>
      <c r="E73" s="64">
        <v>1.168907071888E-3</v>
      </c>
    </row>
    <row r="74" spans="2:5" ht="15" customHeight="1">
      <c r="B74" s="88"/>
      <c r="C74" s="62" t="s">
        <v>101</v>
      </c>
      <c r="D74" s="63">
        <v>2</v>
      </c>
      <c r="E74" s="64">
        <v>1.168907071888E-3</v>
      </c>
    </row>
    <row r="75" spans="2:5" ht="15" customHeight="1">
      <c r="B75" s="88"/>
      <c r="C75" s="62" t="s">
        <v>102</v>
      </c>
      <c r="D75" s="63">
        <v>2</v>
      </c>
      <c r="E75" s="64">
        <v>1.168907071888E-3</v>
      </c>
    </row>
    <row r="76" spans="2:5" ht="15" customHeight="1">
      <c r="B76" s="88"/>
      <c r="C76" s="62" t="s">
        <v>103</v>
      </c>
      <c r="D76" s="63">
        <v>3</v>
      </c>
      <c r="E76" s="64">
        <v>1.753360607832E-3</v>
      </c>
    </row>
    <row r="77" spans="2:5" ht="15" customHeight="1">
      <c r="B77" s="88"/>
      <c r="C77" s="62" t="s">
        <v>104</v>
      </c>
      <c r="D77" s="63">
        <v>4</v>
      </c>
      <c r="E77" s="64">
        <v>2.3378141437759999E-3</v>
      </c>
    </row>
    <row r="78" spans="2:5" ht="15" customHeight="1">
      <c r="B78" s="88"/>
      <c r="C78" s="62" t="s">
        <v>105</v>
      </c>
      <c r="D78" s="63">
        <v>1</v>
      </c>
      <c r="E78" s="64">
        <v>5.8445353594399998E-4</v>
      </c>
    </row>
    <row r="79" spans="2:5" ht="15" customHeight="1">
      <c r="B79" s="88"/>
      <c r="C79" s="62" t="s">
        <v>107</v>
      </c>
      <c r="D79" s="63">
        <v>2</v>
      </c>
      <c r="E79" s="64">
        <v>1.168907071888E-3</v>
      </c>
    </row>
    <row r="80" spans="2:5" ht="15" customHeight="1">
      <c r="B80" s="88"/>
      <c r="C80" s="62" t="s">
        <v>110</v>
      </c>
      <c r="D80" s="63">
        <v>1</v>
      </c>
      <c r="E80" s="64">
        <v>5.8445353594399998E-4</v>
      </c>
    </row>
    <row r="81" spans="2:5" ht="15" customHeight="1">
      <c r="B81" s="88"/>
      <c r="C81" s="62" t="s">
        <v>111</v>
      </c>
      <c r="D81" s="63">
        <v>1</v>
      </c>
      <c r="E81" s="64">
        <v>5.8445353594399998E-4</v>
      </c>
    </row>
    <row r="82" spans="2:5" ht="15" customHeight="1">
      <c r="B82" s="88"/>
      <c r="C82" s="62" t="s">
        <v>112</v>
      </c>
      <c r="D82" s="63">
        <v>1</v>
      </c>
      <c r="E82" s="64">
        <v>5.8445353594399998E-4</v>
      </c>
    </row>
    <row r="83" spans="2:5" ht="15" customHeight="1">
      <c r="B83" s="88"/>
      <c r="C83" s="62" t="s">
        <v>114</v>
      </c>
      <c r="D83" s="63">
        <v>14</v>
      </c>
      <c r="E83" s="64">
        <v>8.1823495032140002E-3</v>
      </c>
    </row>
    <row r="84" spans="2:5" ht="15" customHeight="1">
      <c r="B84" s="88"/>
      <c r="C84" s="62" t="s">
        <v>115</v>
      </c>
      <c r="D84" s="63">
        <v>1</v>
      </c>
      <c r="E84" s="64">
        <v>5.8445353594399998E-4</v>
      </c>
    </row>
    <row r="85" spans="2:5" ht="15" customHeight="1">
      <c r="B85" s="88"/>
      <c r="C85" s="62" t="s">
        <v>116</v>
      </c>
      <c r="D85" s="63">
        <v>1</v>
      </c>
      <c r="E85" s="64">
        <v>5.8445353594399998E-4</v>
      </c>
    </row>
    <row r="86" spans="2:5" ht="15" customHeight="1">
      <c r="B86" s="88"/>
      <c r="C86" s="62" t="s">
        <v>118</v>
      </c>
      <c r="D86" s="63">
        <v>1</v>
      </c>
      <c r="E86" s="64">
        <v>5.8445353594399998E-4</v>
      </c>
    </row>
    <row r="87" spans="2:5" ht="15" customHeight="1">
      <c r="B87" s="88"/>
      <c r="C87" s="62" t="s">
        <v>120</v>
      </c>
      <c r="D87" s="63">
        <v>1</v>
      </c>
      <c r="E87" s="64">
        <v>5.8445353594399998E-4</v>
      </c>
    </row>
    <row r="88" spans="2:5" ht="15" customHeight="1">
      <c r="B88" s="88"/>
      <c r="C88" s="62" t="s">
        <v>122</v>
      </c>
      <c r="D88" s="63">
        <v>1</v>
      </c>
      <c r="E88" s="64">
        <v>5.8445353594399998E-4</v>
      </c>
    </row>
    <row r="89" spans="2:5" ht="15" customHeight="1">
      <c r="B89" s="88"/>
      <c r="C89" s="62" t="s">
        <v>125</v>
      </c>
      <c r="D89" s="63">
        <v>1</v>
      </c>
      <c r="E89" s="64">
        <v>5.8445353594399998E-4</v>
      </c>
    </row>
    <row r="90" spans="2:5" ht="15" customHeight="1">
      <c r="B90" s="88"/>
      <c r="C90" s="62" t="s">
        <v>127</v>
      </c>
      <c r="D90" s="63">
        <v>4</v>
      </c>
      <c r="E90" s="64">
        <v>2.3378141437759999E-3</v>
      </c>
    </row>
    <row r="91" spans="2:5" ht="15" customHeight="1">
      <c r="B91" s="88"/>
      <c r="C91" s="62" t="s">
        <v>128</v>
      </c>
      <c r="D91" s="63">
        <v>21</v>
      </c>
      <c r="E91" s="64">
        <v>1.2273524254822E-2</v>
      </c>
    </row>
    <row r="92" spans="2:5" ht="15" customHeight="1">
      <c r="B92" s="88"/>
      <c r="C92" s="62" t="s">
        <v>71</v>
      </c>
      <c r="D92" s="63">
        <v>1</v>
      </c>
      <c r="E92" s="64">
        <v>5.8445353594399998E-4</v>
      </c>
    </row>
    <row r="93" spans="2:5" ht="15" customHeight="1">
      <c r="B93" s="88"/>
      <c r="C93" s="62" t="s">
        <v>131</v>
      </c>
      <c r="D93" s="63">
        <v>2</v>
      </c>
      <c r="E93" s="64">
        <v>1.168907071888E-3</v>
      </c>
    </row>
    <row r="94" spans="2:5" ht="15" customHeight="1">
      <c r="B94" s="87"/>
      <c r="C94" s="36" t="s">
        <v>28</v>
      </c>
      <c r="D94" s="35">
        <v>108</v>
      </c>
      <c r="E94" s="34">
        <v>6.312098188194E-2</v>
      </c>
    </row>
    <row r="95" spans="2:5" ht="15" customHeight="1">
      <c r="B95" s="86" t="s">
        <v>154</v>
      </c>
      <c r="C95" s="62" t="s">
        <v>91</v>
      </c>
      <c r="D95" s="63">
        <v>3</v>
      </c>
      <c r="E95" s="64">
        <v>1.753360607832E-3</v>
      </c>
    </row>
    <row r="96" spans="2:5" ht="15" customHeight="1">
      <c r="B96" s="88"/>
      <c r="C96" s="62" t="s">
        <v>92</v>
      </c>
      <c r="D96" s="63">
        <v>1</v>
      </c>
      <c r="E96" s="64">
        <v>5.8445353594399998E-4</v>
      </c>
    </row>
    <row r="97" spans="2:5" ht="15" customHeight="1">
      <c r="B97" s="88"/>
      <c r="C97" s="62" t="s">
        <v>93</v>
      </c>
      <c r="D97" s="63">
        <v>3</v>
      </c>
      <c r="E97" s="64">
        <v>1.753360607832E-3</v>
      </c>
    </row>
    <row r="98" spans="2:5" ht="15" customHeight="1">
      <c r="B98" s="88"/>
      <c r="C98" s="62" t="s">
        <v>94</v>
      </c>
      <c r="D98" s="63">
        <v>32</v>
      </c>
      <c r="E98" s="64">
        <v>1.8702513150205002E-2</v>
      </c>
    </row>
    <row r="99" spans="2:5" ht="15" customHeight="1">
      <c r="B99" s="88"/>
      <c r="C99" s="62" t="s">
        <v>95</v>
      </c>
      <c r="D99" s="63">
        <v>2</v>
      </c>
      <c r="E99" s="64">
        <v>1.168907071888E-3</v>
      </c>
    </row>
    <row r="100" spans="2:5" ht="15" customHeight="1">
      <c r="B100" s="88"/>
      <c r="C100" s="62" t="s">
        <v>96</v>
      </c>
      <c r="D100" s="63">
        <v>1</v>
      </c>
      <c r="E100" s="64">
        <v>5.8445353594399998E-4</v>
      </c>
    </row>
    <row r="101" spans="2:5" ht="15" customHeight="1">
      <c r="B101" s="88"/>
      <c r="C101" s="62" t="s">
        <v>97</v>
      </c>
      <c r="D101" s="63">
        <v>31</v>
      </c>
      <c r="E101" s="64">
        <v>1.8118059614260999E-2</v>
      </c>
    </row>
    <row r="102" spans="2:5" ht="15" customHeight="1">
      <c r="B102" s="88"/>
      <c r="C102" s="62" t="s">
        <v>98</v>
      </c>
      <c r="D102" s="63">
        <v>3</v>
      </c>
      <c r="E102" s="64">
        <v>1.753360607832E-3</v>
      </c>
    </row>
    <row r="103" spans="2:5" ht="15" customHeight="1">
      <c r="B103" s="88"/>
      <c r="C103" s="62" t="s">
        <v>100</v>
      </c>
      <c r="D103" s="63">
        <v>2</v>
      </c>
      <c r="E103" s="64">
        <v>1.168907071888E-3</v>
      </c>
    </row>
    <row r="104" spans="2:5" ht="15" customHeight="1">
      <c r="B104" s="88"/>
      <c r="C104" s="62" t="s">
        <v>101</v>
      </c>
      <c r="D104" s="63">
        <v>9</v>
      </c>
      <c r="E104" s="64">
        <v>5.2600818234950003E-3</v>
      </c>
    </row>
    <row r="105" spans="2:5" ht="15" customHeight="1">
      <c r="B105" s="88"/>
      <c r="C105" s="62" t="s">
        <v>102</v>
      </c>
      <c r="D105" s="63">
        <v>7</v>
      </c>
      <c r="E105" s="64">
        <v>4.0911747516070001E-3</v>
      </c>
    </row>
    <row r="106" spans="2:5" ht="15" customHeight="1">
      <c r="B106" s="88"/>
      <c r="C106" s="62" t="s">
        <v>103</v>
      </c>
      <c r="D106" s="63">
        <v>1</v>
      </c>
      <c r="E106" s="64">
        <v>5.8445353594399998E-4</v>
      </c>
    </row>
    <row r="107" spans="2:5" ht="15" customHeight="1">
      <c r="B107" s="88"/>
      <c r="C107" s="62" t="s">
        <v>104</v>
      </c>
      <c r="D107" s="63">
        <v>4</v>
      </c>
      <c r="E107" s="64">
        <v>2.3378141437759999E-3</v>
      </c>
    </row>
    <row r="108" spans="2:5" ht="15" customHeight="1">
      <c r="B108" s="88"/>
      <c r="C108" s="62" t="s">
        <v>105</v>
      </c>
      <c r="D108" s="63">
        <v>1</v>
      </c>
      <c r="E108" s="64">
        <v>5.8445353594399998E-4</v>
      </c>
    </row>
    <row r="109" spans="2:5" ht="15" customHeight="1">
      <c r="B109" s="88"/>
      <c r="C109" s="62" t="s">
        <v>106</v>
      </c>
      <c r="D109" s="63">
        <v>4</v>
      </c>
      <c r="E109" s="64">
        <v>2.3378141437759999E-3</v>
      </c>
    </row>
    <row r="110" spans="2:5" ht="15" customHeight="1">
      <c r="B110" s="88"/>
      <c r="C110" s="62" t="s">
        <v>107</v>
      </c>
      <c r="D110" s="63">
        <v>1</v>
      </c>
      <c r="E110" s="64">
        <v>5.8445353594399998E-4</v>
      </c>
    </row>
    <row r="111" spans="2:5" ht="15" customHeight="1">
      <c r="B111" s="88"/>
      <c r="C111" s="62" t="s">
        <v>108</v>
      </c>
      <c r="D111" s="63">
        <v>1</v>
      </c>
      <c r="E111" s="64">
        <v>5.8445353594399998E-4</v>
      </c>
    </row>
    <row r="112" spans="2:5" ht="15" customHeight="1">
      <c r="B112" s="88"/>
      <c r="C112" s="62" t="s">
        <v>110</v>
      </c>
      <c r="D112" s="63">
        <v>5</v>
      </c>
      <c r="E112" s="64">
        <v>2.9222676797189999E-3</v>
      </c>
    </row>
    <row r="113" spans="2:5" ht="15" customHeight="1">
      <c r="B113" s="88"/>
      <c r="C113" s="62" t="s">
        <v>111</v>
      </c>
      <c r="D113" s="63">
        <v>3</v>
      </c>
      <c r="E113" s="64">
        <v>1.753360607832E-3</v>
      </c>
    </row>
    <row r="114" spans="2:5" ht="15" customHeight="1">
      <c r="B114" s="88"/>
      <c r="C114" s="62" t="s">
        <v>112</v>
      </c>
      <c r="D114" s="63">
        <v>4</v>
      </c>
      <c r="E114" s="64">
        <v>2.3378141437759999E-3</v>
      </c>
    </row>
    <row r="115" spans="2:5" ht="15" customHeight="1">
      <c r="B115" s="88"/>
      <c r="C115" s="62" t="s">
        <v>114</v>
      </c>
      <c r="D115" s="63">
        <v>7</v>
      </c>
      <c r="E115" s="64">
        <v>4.0911747516070001E-3</v>
      </c>
    </row>
    <row r="116" spans="2:5" ht="15" customHeight="1">
      <c r="B116" s="88"/>
      <c r="C116" s="62" t="s">
        <v>115</v>
      </c>
      <c r="D116" s="63">
        <v>6</v>
      </c>
      <c r="E116" s="64">
        <v>3.506721215663E-3</v>
      </c>
    </row>
    <row r="117" spans="2:5" ht="15" customHeight="1">
      <c r="B117" s="88"/>
      <c r="C117" s="62" t="s">
        <v>116</v>
      </c>
      <c r="D117" s="63">
        <v>1</v>
      </c>
      <c r="E117" s="64">
        <v>5.8445353594399998E-4</v>
      </c>
    </row>
    <row r="118" spans="2:5" ht="15" customHeight="1">
      <c r="B118" s="88"/>
      <c r="C118" s="62" t="s">
        <v>119</v>
      </c>
      <c r="D118" s="63">
        <v>9</v>
      </c>
      <c r="E118" s="64">
        <v>5.2600818234950003E-3</v>
      </c>
    </row>
    <row r="119" spans="2:5" ht="15" customHeight="1">
      <c r="B119" s="88"/>
      <c r="C119" s="62" t="s">
        <v>120</v>
      </c>
      <c r="D119" s="63">
        <v>1</v>
      </c>
      <c r="E119" s="64">
        <v>5.8445353594399998E-4</v>
      </c>
    </row>
    <row r="120" spans="2:5" ht="15" customHeight="1">
      <c r="B120" s="88"/>
      <c r="C120" s="62" t="s">
        <v>121</v>
      </c>
      <c r="D120" s="63">
        <v>4</v>
      </c>
      <c r="E120" s="64">
        <v>2.3378141437759999E-3</v>
      </c>
    </row>
    <row r="121" spans="2:5" ht="15" customHeight="1">
      <c r="B121" s="88"/>
      <c r="C121" s="62" t="s">
        <v>122</v>
      </c>
      <c r="D121" s="63">
        <v>1</v>
      </c>
      <c r="E121" s="64">
        <v>5.8445353594399998E-4</v>
      </c>
    </row>
    <row r="122" spans="2:5" ht="15" customHeight="1">
      <c r="B122" s="88"/>
      <c r="C122" s="62" t="s">
        <v>123</v>
      </c>
      <c r="D122" s="63">
        <v>1</v>
      </c>
      <c r="E122" s="64">
        <v>5.8445353594399998E-4</v>
      </c>
    </row>
    <row r="123" spans="2:5" ht="15" customHeight="1">
      <c r="B123" s="88"/>
      <c r="C123" s="62" t="s">
        <v>125</v>
      </c>
      <c r="D123" s="63">
        <v>5</v>
      </c>
      <c r="E123" s="64">
        <v>2.9222676797189999E-3</v>
      </c>
    </row>
    <row r="124" spans="2:5" ht="15" customHeight="1">
      <c r="B124" s="88"/>
      <c r="C124" s="62" t="s">
        <v>126</v>
      </c>
      <c r="D124" s="63">
        <v>1</v>
      </c>
      <c r="E124" s="64">
        <v>5.8445353594399998E-4</v>
      </c>
    </row>
    <row r="125" spans="2:5" ht="15" customHeight="1">
      <c r="B125" s="88"/>
      <c r="C125" s="62" t="s">
        <v>127</v>
      </c>
      <c r="D125" s="63">
        <v>4</v>
      </c>
      <c r="E125" s="64">
        <v>2.3378141437759999E-3</v>
      </c>
    </row>
    <row r="126" spans="2:5" ht="15" customHeight="1">
      <c r="B126" s="88"/>
      <c r="C126" s="62" t="s">
        <v>128</v>
      </c>
      <c r="D126" s="63">
        <v>31</v>
      </c>
      <c r="E126" s="64">
        <v>1.8118059614260999E-2</v>
      </c>
    </row>
    <row r="127" spans="2:5" ht="15" customHeight="1">
      <c r="B127" s="88"/>
      <c r="C127" s="62" t="s">
        <v>130</v>
      </c>
      <c r="D127" s="63">
        <v>2</v>
      </c>
      <c r="E127" s="64">
        <v>1.168907071888E-3</v>
      </c>
    </row>
    <row r="128" spans="2:5" ht="15" customHeight="1">
      <c r="B128" s="88"/>
      <c r="C128" s="62" t="s">
        <v>131</v>
      </c>
      <c r="D128" s="63">
        <v>1</v>
      </c>
      <c r="E128" s="64">
        <v>5.8445353594399998E-4</v>
      </c>
    </row>
    <row r="129" spans="2:5" ht="15" customHeight="1">
      <c r="B129" s="87"/>
      <c r="C129" s="36" t="s">
        <v>28</v>
      </c>
      <c r="D129" s="35">
        <v>192</v>
      </c>
      <c r="E129" s="34">
        <v>0.11221507890122701</v>
      </c>
    </row>
    <row r="130" spans="2:5" ht="15" customHeight="1">
      <c r="B130" s="86" t="s">
        <v>155</v>
      </c>
      <c r="C130" s="62" t="s">
        <v>91</v>
      </c>
      <c r="D130" s="63">
        <v>1</v>
      </c>
      <c r="E130" s="64">
        <v>5.8445353594399998E-4</v>
      </c>
    </row>
    <row r="131" spans="2:5" ht="15" customHeight="1">
      <c r="B131" s="88"/>
      <c r="C131" s="62" t="s">
        <v>93</v>
      </c>
      <c r="D131" s="63">
        <v>1</v>
      </c>
      <c r="E131" s="64">
        <v>5.8445353594399998E-4</v>
      </c>
    </row>
    <row r="132" spans="2:5" ht="15" customHeight="1">
      <c r="B132" s="88"/>
      <c r="C132" s="62" t="s">
        <v>94</v>
      </c>
      <c r="D132" s="63">
        <v>2</v>
      </c>
      <c r="E132" s="64">
        <v>1.168907071888E-3</v>
      </c>
    </row>
    <row r="133" spans="2:5" ht="15" customHeight="1">
      <c r="B133" s="88"/>
      <c r="C133" s="62" t="s">
        <v>97</v>
      </c>
      <c r="D133" s="63">
        <v>2</v>
      </c>
      <c r="E133" s="64">
        <v>1.168907071888E-3</v>
      </c>
    </row>
    <row r="134" spans="2:5" ht="15" customHeight="1">
      <c r="B134" s="88"/>
      <c r="C134" s="62" t="s">
        <v>103</v>
      </c>
      <c r="D134" s="63">
        <v>1</v>
      </c>
      <c r="E134" s="64">
        <v>5.8445353594399998E-4</v>
      </c>
    </row>
    <row r="135" spans="2:5" ht="15" customHeight="1">
      <c r="B135" s="88"/>
      <c r="C135" s="62" t="s">
        <v>112</v>
      </c>
      <c r="D135" s="63">
        <v>1</v>
      </c>
      <c r="E135" s="64">
        <v>5.8445353594399998E-4</v>
      </c>
    </row>
    <row r="136" spans="2:5" ht="15" customHeight="1">
      <c r="B136" s="88"/>
      <c r="C136" s="62" t="s">
        <v>114</v>
      </c>
      <c r="D136" s="63">
        <v>2</v>
      </c>
      <c r="E136" s="64">
        <v>1.168907071888E-3</v>
      </c>
    </row>
    <row r="137" spans="2:5" ht="15" customHeight="1">
      <c r="B137" s="88"/>
      <c r="C137" s="62" t="s">
        <v>115</v>
      </c>
      <c r="D137" s="63">
        <v>1</v>
      </c>
      <c r="E137" s="64">
        <v>5.8445353594399998E-4</v>
      </c>
    </row>
    <row r="138" spans="2:5" ht="15" customHeight="1">
      <c r="B138" s="88"/>
      <c r="C138" s="62" t="s">
        <v>119</v>
      </c>
      <c r="D138" s="63">
        <v>1</v>
      </c>
      <c r="E138" s="64">
        <v>5.8445353594399998E-4</v>
      </c>
    </row>
    <row r="139" spans="2:5" ht="15" customHeight="1">
      <c r="B139" s="88"/>
      <c r="C139" s="62" t="s">
        <v>120</v>
      </c>
      <c r="D139" s="63">
        <v>1</v>
      </c>
      <c r="E139" s="64">
        <v>5.8445353594399998E-4</v>
      </c>
    </row>
    <row r="140" spans="2:5" ht="15" customHeight="1">
      <c r="B140" s="88"/>
      <c r="C140" s="62" t="s">
        <v>127</v>
      </c>
      <c r="D140" s="63">
        <v>1</v>
      </c>
      <c r="E140" s="64">
        <v>5.8445353594399998E-4</v>
      </c>
    </row>
    <row r="141" spans="2:5" ht="15" customHeight="1">
      <c r="B141" s="88"/>
      <c r="C141" s="62" t="s">
        <v>128</v>
      </c>
      <c r="D141" s="63">
        <v>5</v>
      </c>
      <c r="E141" s="64">
        <v>2.9222676797189999E-3</v>
      </c>
    </row>
    <row r="142" spans="2:5" ht="15" customHeight="1">
      <c r="B142" s="87"/>
      <c r="C142" s="36" t="s">
        <v>28</v>
      </c>
      <c r="D142" s="35">
        <v>19</v>
      </c>
      <c r="E142" s="34">
        <v>1.1104617182934E-2</v>
      </c>
    </row>
    <row r="143" spans="2:5" ht="15" customHeight="1">
      <c r="B143" s="86" t="s">
        <v>156</v>
      </c>
      <c r="C143" s="62" t="s">
        <v>92</v>
      </c>
      <c r="D143" s="63">
        <v>1</v>
      </c>
      <c r="E143" s="64">
        <v>5.8445353594399998E-4</v>
      </c>
    </row>
    <row r="144" spans="2:5" ht="15" customHeight="1">
      <c r="B144" s="88"/>
      <c r="C144" s="62" t="s">
        <v>93</v>
      </c>
      <c r="D144" s="63">
        <v>1</v>
      </c>
      <c r="E144" s="64">
        <v>5.8445353594399998E-4</v>
      </c>
    </row>
    <row r="145" spans="2:5" ht="15" customHeight="1">
      <c r="B145" s="88"/>
      <c r="C145" s="62" t="s">
        <v>94</v>
      </c>
      <c r="D145" s="63">
        <v>8</v>
      </c>
      <c r="E145" s="64">
        <v>4.6756282875509998E-3</v>
      </c>
    </row>
    <row r="146" spans="2:5" ht="15" customHeight="1">
      <c r="B146" s="88"/>
      <c r="C146" s="62" t="s">
        <v>95</v>
      </c>
      <c r="D146" s="63">
        <v>2</v>
      </c>
      <c r="E146" s="64">
        <v>1.168907071888E-3</v>
      </c>
    </row>
    <row r="147" spans="2:5" ht="15" customHeight="1">
      <c r="B147" s="88"/>
      <c r="C147" s="62" t="s">
        <v>97</v>
      </c>
      <c r="D147" s="63">
        <v>1</v>
      </c>
      <c r="E147" s="64">
        <v>5.8445353594399998E-4</v>
      </c>
    </row>
    <row r="148" spans="2:5" ht="15" customHeight="1">
      <c r="B148" s="88"/>
      <c r="C148" s="62" t="s">
        <v>101</v>
      </c>
      <c r="D148" s="63">
        <v>1</v>
      </c>
      <c r="E148" s="64">
        <v>5.8445353594399998E-4</v>
      </c>
    </row>
    <row r="149" spans="2:5" ht="15" customHeight="1">
      <c r="B149" s="88"/>
      <c r="C149" s="62" t="s">
        <v>102</v>
      </c>
      <c r="D149" s="63">
        <v>1</v>
      </c>
      <c r="E149" s="64">
        <v>5.8445353594399998E-4</v>
      </c>
    </row>
    <row r="150" spans="2:5" ht="15" customHeight="1">
      <c r="B150" s="88"/>
      <c r="C150" s="62" t="s">
        <v>111</v>
      </c>
      <c r="D150" s="63">
        <v>1</v>
      </c>
      <c r="E150" s="64">
        <v>5.8445353594399998E-4</v>
      </c>
    </row>
    <row r="151" spans="2:5" ht="15" customHeight="1">
      <c r="B151" s="88"/>
      <c r="C151" s="62" t="s">
        <v>114</v>
      </c>
      <c r="D151" s="63">
        <v>2</v>
      </c>
      <c r="E151" s="64">
        <v>1.168907071888E-3</v>
      </c>
    </row>
    <row r="152" spans="2:5" ht="15" customHeight="1">
      <c r="B152" s="88"/>
      <c r="C152" s="62" t="s">
        <v>115</v>
      </c>
      <c r="D152" s="63">
        <v>1</v>
      </c>
      <c r="E152" s="64">
        <v>5.8445353594399998E-4</v>
      </c>
    </row>
    <row r="153" spans="2:5" ht="15" customHeight="1">
      <c r="B153" s="88"/>
      <c r="C153" s="62" t="s">
        <v>116</v>
      </c>
      <c r="D153" s="63">
        <v>1</v>
      </c>
      <c r="E153" s="64">
        <v>5.8445353594399998E-4</v>
      </c>
    </row>
    <row r="154" spans="2:5" ht="15" customHeight="1">
      <c r="B154" s="88"/>
      <c r="C154" s="62" t="s">
        <v>119</v>
      </c>
      <c r="D154" s="63">
        <v>1</v>
      </c>
      <c r="E154" s="64">
        <v>5.8445353594399998E-4</v>
      </c>
    </row>
    <row r="155" spans="2:5" ht="15" customHeight="1">
      <c r="B155" s="88"/>
      <c r="C155" s="62" t="s">
        <v>121</v>
      </c>
      <c r="D155" s="63">
        <v>2</v>
      </c>
      <c r="E155" s="64">
        <v>1.168907071888E-3</v>
      </c>
    </row>
    <row r="156" spans="2:5" ht="15" customHeight="1">
      <c r="B156" s="88"/>
      <c r="C156" s="62" t="s">
        <v>122</v>
      </c>
      <c r="D156" s="63">
        <v>1</v>
      </c>
      <c r="E156" s="64">
        <v>5.8445353594399998E-4</v>
      </c>
    </row>
    <row r="157" spans="2:5" ht="15" customHeight="1">
      <c r="B157" s="88"/>
      <c r="C157" s="62" t="s">
        <v>127</v>
      </c>
      <c r="D157" s="63">
        <v>1</v>
      </c>
      <c r="E157" s="64">
        <v>5.8445353594399998E-4</v>
      </c>
    </row>
    <row r="158" spans="2:5" ht="15" customHeight="1">
      <c r="B158" s="88"/>
      <c r="C158" s="62" t="s">
        <v>128</v>
      </c>
      <c r="D158" s="63">
        <v>3</v>
      </c>
      <c r="E158" s="64">
        <v>1.753360607832E-3</v>
      </c>
    </row>
    <row r="159" spans="2:5" ht="15" customHeight="1">
      <c r="B159" s="88"/>
      <c r="C159" s="62" t="s">
        <v>132</v>
      </c>
      <c r="D159" s="63">
        <v>1</v>
      </c>
      <c r="E159" s="64">
        <v>5.8445353594399998E-4</v>
      </c>
    </row>
    <row r="160" spans="2:5" ht="15" customHeight="1">
      <c r="B160" s="87"/>
      <c r="C160" s="36" t="s">
        <v>28</v>
      </c>
      <c r="D160" s="35">
        <v>29</v>
      </c>
      <c r="E160" s="34">
        <v>1.6949152542372999E-2</v>
      </c>
    </row>
    <row r="161" spans="2:5" ht="15" customHeight="1">
      <c r="B161" s="86" t="s">
        <v>157</v>
      </c>
      <c r="C161" s="62" t="s">
        <v>91</v>
      </c>
      <c r="D161" s="63">
        <v>3</v>
      </c>
      <c r="E161" s="64">
        <v>1.753360607832E-3</v>
      </c>
    </row>
    <row r="162" spans="2:5" ht="15" customHeight="1">
      <c r="B162" s="88"/>
      <c r="C162" s="62" t="s">
        <v>92</v>
      </c>
      <c r="D162" s="63">
        <v>1</v>
      </c>
      <c r="E162" s="64">
        <v>5.8445353594399998E-4</v>
      </c>
    </row>
    <row r="163" spans="2:5" ht="15" customHeight="1">
      <c r="B163" s="88"/>
      <c r="C163" s="62" t="s">
        <v>93</v>
      </c>
      <c r="D163" s="63">
        <v>2</v>
      </c>
      <c r="E163" s="64">
        <v>1.168907071888E-3</v>
      </c>
    </row>
    <row r="164" spans="2:5" ht="15" customHeight="1">
      <c r="B164" s="88"/>
      <c r="C164" s="62" t="s">
        <v>94</v>
      </c>
      <c r="D164" s="63">
        <v>25</v>
      </c>
      <c r="E164" s="64">
        <v>1.4611338398597001E-2</v>
      </c>
    </row>
    <row r="165" spans="2:5" ht="15" customHeight="1">
      <c r="B165" s="88"/>
      <c r="C165" s="62" t="s">
        <v>95</v>
      </c>
      <c r="D165" s="63">
        <v>4</v>
      </c>
      <c r="E165" s="64">
        <v>2.3378141437759999E-3</v>
      </c>
    </row>
    <row r="166" spans="2:5" ht="15" customHeight="1">
      <c r="B166" s="88"/>
      <c r="C166" s="62" t="s">
        <v>97</v>
      </c>
      <c r="D166" s="63">
        <v>7</v>
      </c>
      <c r="E166" s="64">
        <v>4.0911747516070001E-3</v>
      </c>
    </row>
    <row r="167" spans="2:5" ht="15" customHeight="1">
      <c r="B167" s="88"/>
      <c r="C167" s="62" t="s">
        <v>98</v>
      </c>
      <c r="D167" s="63">
        <v>3</v>
      </c>
      <c r="E167" s="64">
        <v>1.753360607832E-3</v>
      </c>
    </row>
    <row r="168" spans="2:5" ht="15" customHeight="1">
      <c r="B168" s="88"/>
      <c r="C168" s="62" t="s">
        <v>101</v>
      </c>
      <c r="D168" s="63">
        <v>3</v>
      </c>
      <c r="E168" s="64">
        <v>1.753360607832E-3</v>
      </c>
    </row>
    <row r="169" spans="2:5" ht="15" customHeight="1">
      <c r="B169" s="88"/>
      <c r="C169" s="62" t="s">
        <v>102</v>
      </c>
      <c r="D169" s="63">
        <v>6</v>
      </c>
      <c r="E169" s="64">
        <v>3.506721215663E-3</v>
      </c>
    </row>
    <row r="170" spans="2:5" ht="15" customHeight="1">
      <c r="B170" s="88"/>
      <c r="C170" s="62" t="s">
        <v>103</v>
      </c>
      <c r="D170" s="63">
        <v>1</v>
      </c>
      <c r="E170" s="64">
        <v>5.8445353594399998E-4</v>
      </c>
    </row>
    <row r="171" spans="2:5" ht="15" customHeight="1">
      <c r="B171" s="88"/>
      <c r="C171" s="62" t="s">
        <v>104</v>
      </c>
      <c r="D171" s="63">
        <v>2</v>
      </c>
      <c r="E171" s="64">
        <v>1.168907071888E-3</v>
      </c>
    </row>
    <row r="172" spans="2:5" ht="15" customHeight="1">
      <c r="B172" s="88"/>
      <c r="C172" s="62" t="s">
        <v>107</v>
      </c>
      <c r="D172" s="63">
        <v>1</v>
      </c>
      <c r="E172" s="64">
        <v>5.8445353594399998E-4</v>
      </c>
    </row>
    <row r="173" spans="2:5" ht="15" customHeight="1">
      <c r="B173" s="88"/>
      <c r="C173" s="62" t="s">
        <v>110</v>
      </c>
      <c r="D173" s="63">
        <v>1</v>
      </c>
      <c r="E173" s="64">
        <v>5.8445353594399998E-4</v>
      </c>
    </row>
    <row r="174" spans="2:5" ht="15" customHeight="1">
      <c r="B174" s="88"/>
      <c r="C174" s="62" t="s">
        <v>111</v>
      </c>
      <c r="D174" s="63">
        <v>3</v>
      </c>
      <c r="E174" s="64">
        <v>1.753360607832E-3</v>
      </c>
    </row>
    <row r="175" spans="2:5" ht="15" customHeight="1">
      <c r="B175" s="88"/>
      <c r="C175" s="62" t="s">
        <v>114</v>
      </c>
      <c r="D175" s="63">
        <v>8</v>
      </c>
      <c r="E175" s="64">
        <v>4.6756282875509998E-3</v>
      </c>
    </row>
    <row r="176" spans="2:5" ht="15" customHeight="1">
      <c r="B176" s="88"/>
      <c r="C176" s="62" t="s">
        <v>115</v>
      </c>
      <c r="D176" s="63">
        <v>1</v>
      </c>
      <c r="E176" s="64">
        <v>5.8445353594399998E-4</v>
      </c>
    </row>
    <row r="177" spans="2:5" ht="15" customHeight="1">
      <c r="B177" s="88"/>
      <c r="C177" s="62" t="s">
        <v>118</v>
      </c>
      <c r="D177" s="63">
        <v>3</v>
      </c>
      <c r="E177" s="64">
        <v>1.753360607832E-3</v>
      </c>
    </row>
    <row r="178" spans="2:5" ht="15" customHeight="1">
      <c r="B178" s="88"/>
      <c r="C178" s="62" t="s">
        <v>119</v>
      </c>
      <c r="D178" s="63">
        <v>2</v>
      </c>
      <c r="E178" s="64">
        <v>1.168907071888E-3</v>
      </c>
    </row>
    <row r="179" spans="2:5" ht="15" customHeight="1">
      <c r="B179" s="88"/>
      <c r="C179" s="62" t="s">
        <v>121</v>
      </c>
      <c r="D179" s="63">
        <v>1</v>
      </c>
      <c r="E179" s="64">
        <v>5.8445353594399998E-4</v>
      </c>
    </row>
    <row r="180" spans="2:5" ht="15" customHeight="1">
      <c r="B180" s="88"/>
      <c r="C180" s="62" t="s">
        <v>125</v>
      </c>
      <c r="D180" s="63">
        <v>3</v>
      </c>
      <c r="E180" s="64">
        <v>1.753360607832E-3</v>
      </c>
    </row>
    <row r="181" spans="2:5" ht="15" customHeight="1">
      <c r="B181" s="88"/>
      <c r="C181" s="62" t="s">
        <v>127</v>
      </c>
      <c r="D181" s="63">
        <v>1</v>
      </c>
      <c r="E181" s="64">
        <v>5.8445353594399998E-4</v>
      </c>
    </row>
    <row r="182" spans="2:5" ht="15" customHeight="1">
      <c r="B182" s="88"/>
      <c r="C182" s="62" t="s">
        <v>128</v>
      </c>
      <c r="D182" s="63">
        <v>28</v>
      </c>
      <c r="E182" s="64">
        <v>1.6364699006429E-2</v>
      </c>
    </row>
    <row r="183" spans="2:5" ht="15" customHeight="1">
      <c r="B183" s="88"/>
      <c r="C183" s="62" t="s">
        <v>130</v>
      </c>
      <c r="D183" s="63">
        <v>1</v>
      </c>
      <c r="E183" s="64">
        <v>5.8445353594399998E-4</v>
      </c>
    </row>
    <row r="184" spans="2:5" ht="15" customHeight="1">
      <c r="B184" s="88"/>
      <c r="C184" s="62" t="s">
        <v>71</v>
      </c>
      <c r="D184" s="63">
        <v>2</v>
      </c>
      <c r="E184" s="64">
        <v>1.168907071888E-3</v>
      </c>
    </row>
    <row r="185" spans="2:5" ht="15" customHeight="1">
      <c r="B185" s="88"/>
      <c r="C185" s="62" t="s">
        <v>132</v>
      </c>
      <c r="D185" s="63">
        <v>1</v>
      </c>
      <c r="E185" s="64">
        <v>5.8445353594399998E-4</v>
      </c>
    </row>
    <row r="186" spans="2:5" ht="15" customHeight="1">
      <c r="B186" s="87"/>
      <c r="C186" s="36" t="s">
        <v>28</v>
      </c>
      <c r="D186" s="35">
        <v>113</v>
      </c>
      <c r="E186" s="34">
        <v>6.6043249561659995E-2</v>
      </c>
    </row>
    <row r="187" spans="2:5" ht="15" customHeight="1">
      <c r="B187" s="86" t="s">
        <v>158</v>
      </c>
      <c r="C187" s="62" t="s">
        <v>91</v>
      </c>
      <c r="D187" s="63">
        <v>34</v>
      </c>
      <c r="E187" s="64">
        <v>1.9871420222091998E-2</v>
      </c>
    </row>
    <row r="188" spans="2:5" ht="15" customHeight="1">
      <c r="B188" s="88"/>
      <c r="C188" s="62" t="s">
        <v>92</v>
      </c>
      <c r="D188" s="63">
        <v>8</v>
      </c>
      <c r="E188" s="64">
        <v>4.6756282875509998E-3</v>
      </c>
    </row>
    <row r="189" spans="2:5" ht="15" customHeight="1">
      <c r="B189" s="88"/>
      <c r="C189" s="62" t="s">
        <v>93</v>
      </c>
      <c r="D189" s="63">
        <v>9</v>
      </c>
      <c r="E189" s="64">
        <v>5.2600818234950003E-3</v>
      </c>
    </row>
    <row r="190" spans="2:5" ht="15" customHeight="1">
      <c r="B190" s="88"/>
      <c r="C190" s="62" t="s">
        <v>94</v>
      </c>
      <c r="D190" s="63">
        <v>99</v>
      </c>
      <c r="E190" s="64">
        <v>5.7860900058444999E-2</v>
      </c>
    </row>
    <row r="191" spans="2:5" ht="15" customHeight="1">
      <c r="B191" s="88"/>
      <c r="C191" s="62" t="s">
        <v>95</v>
      </c>
      <c r="D191" s="63">
        <v>10</v>
      </c>
      <c r="E191" s="64">
        <v>5.8445353594389999E-3</v>
      </c>
    </row>
    <row r="192" spans="2:5" ht="15" customHeight="1">
      <c r="B192" s="88"/>
      <c r="C192" s="62" t="s">
        <v>97</v>
      </c>
      <c r="D192" s="63">
        <v>36</v>
      </c>
      <c r="E192" s="64">
        <v>2.1040327293980001E-2</v>
      </c>
    </row>
    <row r="193" spans="2:5" ht="15" customHeight="1">
      <c r="B193" s="88"/>
      <c r="C193" s="62" t="s">
        <v>98</v>
      </c>
      <c r="D193" s="63">
        <v>29</v>
      </c>
      <c r="E193" s="64">
        <v>1.6949152542372999E-2</v>
      </c>
    </row>
    <row r="194" spans="2:5" ht="15" customHeight="1">
      <c r="B194" s="88"/>
      <c r="C194" s="62" t="s">
        <v>100</v>
      </c>
      <c r="D194" s="63">
        <v>1</v>
      </c>
      <c r="E194" s="64">
        <v>5.8445353594399998E-4</v>
      </c>
    </row>
    <row r="195" spans="2:5" ht="15" customHeight="1">
      <c r="B195" s="88"/>
      <c r="C195" s="62" t="s">
        <v>101</v>
      </c>
      <c r="D195" s="63">
        <v>15</v>
      </c>
      <c r="E195" s="64">
        <v>8.7668030391579999E-3</v>
      </c>
    </row>
    <row r="196" spans="2:5" ht="15" customHeight="1">
      <c r="B196" s="88"/>
      <c r="C196" s="62" t="s">
        <v>102</v>
      </c>
      <c r="D196" s="63">
        <v>11</v>
      </c>
      <c r="E196" s="64">
        <v>6.4289888953829996E-3</v>
      </c>
    </row>
    <row r="197" spans="2:5" ht="15" customHeight="1">
      <c r="B197" s="88"/>
      <c r="C197" s="62" t="s">
        <v>103</v>
      </c>
      <c r="D197" s="63">
        <v>6</v>
      </c>
      <c r="E197" s="64">
        <v>3.506721215663E-3</v>
      </c>
    </row>
    <row r="198" spans="2:5" ht="15" customHeight="1">
      <c r="B198" s="88"/>
      <c r="C198" s="62" t="s">
        <v>104</v>
      </c>
      <c r="D198" s="63">
        <v>15</v>
      </c>
      <c r="E198" s="64">
        <v>8.7668030391579999E-3</v>
      </c>
    </row>
    <row r="199" spans="2:5" ht="15" customHeight="1">
      <c r="B199" s="88"/>
      <c r="C199" s="62" t="s">
        <v>105</v>
      </c>
      <c r="D199" s="63">
        <v>2</v>
      </c>
      <c r="E199" s="64">
        <v>1.168907071888E-3</v>
      </c>
    </row>
    <row r="200" spans="2:5" ht="15" customHeight="1">
      <c r="B200" s="88"/>
      <c r="C200" s="62" t="s">
        <v>106</v>
      </c>
      <c r="D200" s="63">
        <v>2</v>
      </c>
      <c r="E200" s="64">
        <v>1.168907071888E-3</v>
      </c>
    </row>
    <row r="201" spans="2:5" ht="15" customHeight="1">
      <c r="B201" s="88"/>
      <c r="C201" s="62" t="s">
        <v>107</v>
      </c>
      <c r="D201" s="63">
        <v>2</v>
      </c>
      <c r="E201" s="64">
        <v>1.168907071888E-3</v>
      </c>
    </row>
    <row r="202" spans="2:5" ht="15" customHeight="1">
      <c r="B202" s="88"/>
      <c r="C202" s="62" t="s">
        <v>109</v>
      </c>
      <c r="D202" s="63">
        <v>5</v>
      </c>
      <c r="E202" s="64">
        <v>2.9222676797189999E-3</v>
      </c>
    </row>
    <row r="203" spans="2:5" ht="15" customHeight="1">
      <c r="B203" s="88"/>
      <c r="C203" s="62" t="s">
        <v>110</v>
      </c>
      <c r="D203" s="63">
        <v>7</v>
      </c>
      <c r="E203" s="64">
        <v>4.0911747516070001E-3</v>
      </c>
    </row>
    <row r="204" spans="2:5" ht="15" customHeight="1">
      <c r="B204" s="88"/>
      <c r="C204" s="62" t="s">
        <v>111</v>
      </c>
      <c r="D204" s="63">
        <v>7</v>
      </c>
      <c r="E204" s="64">
        <v>4.0911747516070001E-3</v>
      </c>
    </row>
    <row r="205" spans="2:5" ht="15" customHeight="1">
      <c r="B205" s="88"/>
      <c r="C205" s="62" t="s">
        <v>112</v>
      </c>
      <c r="D205" s="63">
        <v>4</v>
      </c>
      <c r="E205" s="64">
        <v>2.3378141437759999E-3</v>
      </c>
    </row>
    <row r="206" spans="2:5" ht="15" customHeight="1">
      <c r="B206" s="88"/>
      <c r="C206" s="62" t="s">
        <v>113</v>
      </c>
      <c r="D206" s="63">
        <v>1</v>
      </c>
      <c r="E206" s="64">
        <v>5.8445353594399998E-4</v>
      </c>
    </row>
    <row r="207" spans="2:5" ht="15" customHeight="1">
      <c r="B207" s="88"/>
      <c r="C207" s="62" t="s">
        <v>114</v>
      </c>
      <c r="D207" s="63">
        <v>27</v>
      </c>
      <c r="E207" s="64">
        <v>1.5780245470485E-2</v>
      </c>
    </row>
    <row r="208" spans="2:5" ht="15" customHeight="1">
      <c r="B208" s="88"/>
      <c r="C208" s="62" t="s">
        <v>115</v>
      </c>
      <c r="D208" s="63">
        <v>5</v>
      </c>
      <c r="E208" s="64">
        <v>2.9222676797189999E-3</v>
      </c>
    </row>
    <row r="209" spans="2:5" ht="15" customHeight="1">
      <c r="B209" s="88"/>
      <c r="C209" s="62" t="s">
        <v>116</v>
      </c>
      <c r="D209" s="63">
        <v>2</v>
      </c>
      <c r="E209" s="64">
        <v>1.168907071888E-3</v>
      </c>
    </row>
    <row r="210" spans="2:5" ht="15" customHeight="1">
      <c r="B210" s="88"/>
      <c r="C210" s="62" t="s">
        <v>117</v>
      </c>
      <c r="D210" s="63">
        <v>1</v>
      </c>
      <c r="E210" s="64">
        <v>5.8445353594399998E-4</v>
      </c>
    </row>
    <row r="211" spans="2:5" ht="15" customHeight="1">
      <c r="B211" s="88"/>
      <c r="C211" s="62" t="s">
        <v>118</v>
      </c>
      <c r="D211" s="63">
        <v>5</v>
      </c>
      <c r="E211" s="64">
        <v>2.9222676797189999E-3</v>
      </c>
    </row>
    <row r="212" spans="2:5" ht="15" customHeight="1">
      <c r="B212" s="88"/>
      <c r="C212" s="62" t="s">
        <v>119</v>
      </c>
      <c r="D212" s="63">
        <v>23</v>
      </c>
      <c r="E212" s="64">
        <v>1.3442431326710001E-2</v>
      </c>
    </row>
    <row r="213" spans="2:5" ht="15" customHeight="1">
      <c r="B213" s="88"/>
      <c r="C213" s="62" t="s">
        <v>120</v>
      </c>
      <c r="D213" s="63">
        <v>12</v>
      </c>
      <c r="E213" s="64">
        <v>7.0134424313270001E-3</v>
      </c>
    </row>
    <row r="214" spans="2:5" ht="15" customHeight="1">
      <c r="B214" s="88"/>
      <c r="C214" s="62" t="s">
        <v>121</v>
      </c>
      <c r="D214" s="63">
        <v>14</v>
      </c>
      <c r="E214" s="64">
        <v>8.1823495032140002E-3</v>
      </c>
    </row>
    <row r="215" spans="2:5" ht="15" customHeight="1">
      <c r="B215" s="88"/>
      <c r="C215" s="62" t="s">
        <v>123</v>
      </c>
      <c r="D215" s="63">
        <v>3</v>
      </c>
      <c r="E215" s="64">
        <v>1.753360607832E-3</v>
      </c>
    </row>
    <row r="216" spans="2:5" ht="15" customHeight="1">
      <c r="B216" s="88"/>
      <c r="C216" s="62" t="s">
        <v>124</v>
      </c>
      <c r="D216" s="63">
        <v>1</v>
      </c>
      <c r="E216" s="64">
        <v>5.8445353594399998E-4</v>
      </c>
    </row>
    <row r="217" spans="2:5" ht="15" customHeight="1">
      <c r="B217" s="88"/>
      <c r="C217" s="62" t="s">
        <v>125</v>
      </c>
      <c r="D217" s="63">
        <v>11</v>
      </c>
      <c r="E217" s="64">
        <v>6.4289888953829996E-3</v>
      </c>
    </row>
    <row r="218" spans="2:5" ht="15" customHeight="1">
      <c r="B218" s="88"/>
      <c r="C218" s="62" t="s">
        <v>127</v>
      </c>
      <c r="D218" s="63">
        <v>16</v>
      </c>
      <c r="E218" s="64">
        <v>9.3512565751019995E-3</v>
      </c>
    </row>
    <row r="219" spans="2:5" ht="15" customHeight="1">
      <c r="B219" s="88"/>
      <c r="C219" s="62" t="s">
        <v>128</v>
      </c>
      <c r="D219" s="63">
        <v>97</v>
      </c>
      <c r="E219" s="64">
        <v>5.6691992986557999E-2</v>
      </c>
    </row>
    <row r="220" spans="2:5" ht="15" customHeight="1">
      <c r="B220" s="88"/>
      <c r="C220" s="62" t="s">
        <v>129</v>
      </c>
      <c r="D220" s="63">
        <v>1</v>
      </c>
      <c r="E220" s="64">
        <v>5.8445353594399998E-4</v>
      </c>
    </row>
    <row r="221" spans="2:5" ht="15" customHeight="1">
      <c r="B221" s="88"/>
      <c r="C221" s="62" t="s">
        <v>130</v>
      </c>
      <c r="D221" s="63">
        <v>12</v>
      </c>
      <c r="E221" s="64">
        <v>7.0134424313270001E-3</v>
      </c>
    </row>
    <row r="222" spans="2:5" ht="15" customHeight="1">
      <c r="B222" s="88"/>
      <c r="C222" s="62" t="s">
        <v>71</v>
      </c>
      <c r="D222" s="63">
        <v>5</v>
      </c>
      <c r="E222" s="64">
        <v>2.9222676797189999E-3</v>
      </c>
    </row>
    <row r="223" spans="2:5" ht="15" customHeight="1">
      <c r="B223" s="88"/>
      <c r="C223" s="62" t="s">
        <v>131</v>
      </c>
      <c r="D223" s="63">
        <v>4</v>
      </c>
      <c r="E223" s="64">
        <v>2.3378141437759999E-3</v>
      </c>
    </row>
    <row r="224" spans="2:5" ht="15" customHeight="1">
      <c r="B224" s="87"/>
      <c r="C224" s="36" t="s">
        <v>28</v>
      </c>
      <c r="D224" s="35">
        <v>542</v>
      </c>
      <c r="E224" s="34">
        <v>0.31677381648158998</v>
      </c>
    </row>
    <row r="225" spans="2:5" ht="15" customHeight="1">
      <c r="B225" s="86" t="s">
        <v>159</v>
      </c>
      <c r="C225" s="62" t="s">
        <v>91</v>
      </c>
      <c r="D225" s="63">
        <v>1</v>
      </c>
      <c r="E225" s="64">
        <v>5.8445353594399998E-4</v>
      </c>
    </row>
    <row r="226" spans="2:5" ht="15" customHeight="1">
      <c r="B226" s="88"/>
      <c r="C226" s="62" t="s">
        <v>92</v>
      </c>
      <c r="D226" s="63">
        <v>1</v>
      </c>
      <c r="E226" s="64">
        <v>5.8445353594399998E-4</v>
      </c>
    </row>
    <row r="227" spans="2:5" ht="15" customHeight="1">
      <c r="B227" s="88"/>
      <c r="C227" s="62" t="s">
        <v>94</v>
      </c>
      <c r="D227" s="63">
        <v>4</v>
      </c>
      <c r="E227" s="64">
        <v>2.3378141437759999E-3</v>
      </c>
    </row>
    <row r="228" spans="2:5" ht="15" customHeight="1">
      <c r="B228" s="88"/>
      <c r="C228" s="62" t="s">
        <v>95</v>
      </c>
      <c r="D228" s="63">
        <v>1</v>
      </c>
      <c r="E228" s="64">
        <v>5.8445353594399998E-4</v>
      </c>
    </row>
    <row r="229" spans="2:5" ht="15" customHeight="1">
      <c r="B229" s="88"/>
      <c r="C229" s="62" t="s">
        <v>101</v>
      </c>
      <c r="D229" s="63">
        <v>1</v>
      </c>
      <c r="E229" s="64">
        <v>5.8445353594399998E-4</v>
      </c>
    </row>
    <row r="230" spans="2:5" ht="15" customHeight="1">
      <c r="B230" s="88"/>
      <c r="C230" s="62" t="s">
        <v>102</v>
      </c>
      <c r="D230" s="63">
        <v>1</v>
      </c>
      <c r="E230" s="64">
        <v>5.8445353594399998E-4</v>
      </c>
    </row>
    <row r="231" spans="2:5" ht="15" customHeight="1">
      <c r="B231" s="88"/>
      <c r="C231" s="62" t="s">
        <v>128</v>
      </c>
      <c r="D231" s="63">
        <v>6</v>
      </c>
      <c r="E231" s="64">
        <v>3.506721215663E-3</v>
      </c>
    </row>
    <row r="232" spans="2:5" ht="15" customHeight="1">
      <c r="B232" s="88"/>
      <c r="C232" s="62" t="s">
        <v>71</v>
      </c>
      <c r="D232" s="63">
        <v>1</v>
      </c>
      <c r="E232" s="64">
        <v>5.8445353594399998E-4</v>
      </c>
    </row>
    <row r="233" spans="2:5" ht="15" customHeight="1">
      <c r="B233" s="87"/>
      <c r="C233" s="36" t="s">
        <v>28</v>
      </c>
      <c r="D233" s="35">
        <v>16</v>
      </c>
      <c r="E233" s="34">
        <v>9.3512565751019995E-3</v>
      </c>
    </row>
    <row r="234" spans="2:5" ht="15" customHeight="1">
      <c r="B234" s="86" t="s">
        <v>160</v>
      </c>
      <c r="C234" s="62" t="s">
        <v>91</v>
      </c>
      <c r="D234" s="63">
        <v>4</v>
      </c>
      <c r="E234" s="64">
        <v>2.3378141437759999E-3</v>
      </c>
    </row>
    <row r="235" spans="2:5" ht="15" customHeight="1">
      <c r="B235" s="88"/>
      <c r="C235" s="62" t="s">
        <v>92</v>
      </c>
      <c r="D235" s="63">
        <v>2</v>
      </c>
      <c r="E235" s="64">
        <v>1.168907071888E-3</v>
      </c>
    </row>
    <row r="236" spans="2:5" ht="15" customHeight="1">
      <c r="B236" s="88"/>
      <c r="C236" s="62" t="s">
        <v>93</v>
      </c>
      <c r="D236" s="63">
        <v>4</v>
      </c>
      <c r="E236" s="64">
        <v>2.3378141437759999E-3</v>
      </c>
    </row>
    <row r="237" spans="2:5" ht="15" customHeight="1">
      <c r="B237" s="88"/>
      <c r="C237" s="62" t="s">
        <v>94</v>
      </c>
      <c r="D237" s="63">
        <v>14</v>
      </c>
      <c r="E237" s="64">
        <v>8.1823495032140002E-3</v>
      </c>
    </row>
    <row r="238" spans="2:5" ht="15" customHeight="1">
      <c r="B238" s="88"/>
      <c r="C238" s="62" t="s">
        <v>95</v>
      </c>
      <c r="D238" s="63">
        <v>8</v>
      </c>
      <c r="E238" s="64">
        <v>4.6756282875509998E-3</v>
      </c>
    </row>
    <row r="239" spans="2:5" ht="15" customHeight="1">
      <c r="B239" s="88"/>
      <c r="C239" s="62" t="s">
        <v>97</v>
      </c>
      <c r="D239" s="63">
        <v>7</v>
      </c>
      <c r="E239" s="64">
        <v>4.0911747516070001E-3</v>
      </c>
    </row>
    <row r="240" spans="2:5" ht="15" customHeight="1">
      <c r="B240" s="88"/>
      <c r="C240" s="62" t="s">
        <v>98</v>
      </c>
      <c r="D240" s="63">
        <v>5</v>
      </c>
      <c r="E240" s="64">
        <v>2.9222676797189999E-3</v>
      </c>
    </row>
    <row r="241" spans="2:5" ht="15" customHeight="1">
      <c r="B241" s="88"/>
      <c r="C241" s="62" t="s">
        <v>101</v>
      </c>
      <c r="D241" s="63">
        <v>3</v>
      </c>
      <c r="E241" s="64">
        <v>1.753360607832E-3</v>
      </c>
    </row>
    <row r="242" spans="2:5" ht="15" customHeight="1">
      <c r="B242" s="88"/>
      <c r="C242" s="62" t="s">
        <v>102</v>
      </c>
      <c r="D242" s="63">
        <v>1</v>
      </c>
      <c r="E242" s="64">
        <v>5.8445353594399998E-4</v>
      </c>
    </row>
    <row r="243" spans="2:5" ht="15" customHeight="1">
      <c r="B243" s="88"/>
      <c r="C243" s="62" t="s">
        <v>104</v>
      </c>
      <c r="D243" s="63">
        <v>2</v>
      </c>
      <c r="E243" s="64">
        <v>1.168907071888E-3</v>
      </c>
    </row>
    <row r="244" spans="2:5" ht="15" customHeight="1">
      <c r="B244" s="88"/>
      <c r="C244" s="62" t="s">
        <v>105</v>
      </c>
      <c r="D244" s="63">
        <v>3</v>
      </c>
      <c r="E244" s="64">
        <v>1.753360607832E-3</v>
      </c>
    </row>
    <row r="245" spans="2:5" ht="15" customHeight="1">
      <c r="B245" s="88"/>
      <c r="C245" s="62" t="s">
        <v>106</v>
      </c>
      <c r="D245" s="63">
        <v>1</v>
      </c>
      <c r="E245" s="64">
        <v>5.8445353594399998E-4</v>
      </c>
    </row>
    <row r="246" spans="2:5" ht="15" customHeight="1">
      <c r="B246" s="88"/>
      <c r="C246" s="62" t="s">
        <v>110</v>
      </c>
      <c r="D246" s="63">
        <v>3</v>
      </c>
      <c r="E246" s="64">
        <v>1.753360607832E-3</v>
      </c>
    </row>
    <row r="247" spans="2:5" ht="15" customHeight="1">
      <c r="B247" s="88"/>
      <c r="C247" s="62" t="s">
        <v>111</v>
      </c>
      <c r="D247" s="63">
        <v>2</v>
      </c>
      <c r="E247" s="64">
        <v>1.168907071888E-3</v>
      </c>
    </row>
    <row r="248" spans="2:5" ht="15" customHeight="1">
      <c r="B248" s="88"/>
      <c r="C248" s="62" t="s">
        <v>112</v>
      </c>
      <c r="D248" s="63">
        <v>2</v>
      </c>
      <c r="E248" s="64">
        <v>1.168907071888E-3</v>
      </c>
    </row>
    <row r="249" spans="2:5" ht="15" customHeight="1">
      <c r="B249" s="88"/>
      <c r="C249" s="62" t="s">
        <v>114</v>
      </c>
      <c r="D249" s="63">
        <v>5</v>
      </c>
      <c r="E249" s="64">
        <v>2.9222676797189999E-3</v>
      </c>
    </row>
    <row r="250" spans="2:5" ht="15" customHeight="1">
      <c r="B250" s="88"/>
      <c r="C250" s="62" t="s">
        <v>115</v>
      </c>
      <c r="D250" s="63">
        <v>3</v>
      </c>
      <c r="E250" s="64">
        <v>1.753360607832E-3</v>
      </c>
    </row>
    <row r="251" spans="2:5" ht="15" customHeight="1">
      <c r="B251" s="88"/>
      <c r="C251" s="62" t="s">
        <v>119</v>
      </c>
      <c r="D251" s="63">
        <v>4</v>
      </c>
      <c r="E251" s="64">
        <v>2.3378141437759999E-3</v>
      </c>
    </row>
    <row r="252" spans="2:5" ht="15" customHeight="1">
      <c r="B252" s="88"/>
      <c r="C252" s="62" t="s">
        <v>120</v>
      </c>
      <c r="D252" s="63">
        <v>2</v>
      </c>
      <c r="E252" s="64">
        <v>1.168907071888E-3</v>
      </c>
    </row>
    <row r="253" spans="2:5" ht="15" customHeight="1">
      <c r="B253" s="88"/>
      <c r="C253" s="62" t="s">
        <v>121</v>
      </c>
      <c r="D253" s="63">
        <v>1</v>
      </c>
      <c r="E253" s="64">
        <v>5.8445353594399998E-4</v>
      </c>
    </row>
    <row r="254" spans="2:5" ht="15" customHeight="1">
      <c r="B254" s="88"/>
      <c r="C254" s="62" t="s">
        <v>123</v>
      </c>
      <c r="D254" s="63">
        <v>1</v>
      </c>
      <c r="E254" s="64">
        <v>5.8445353594399998E-4</v>
      </c>
    </row>
    <row r="255" spans="2:5" ht="15" customHeight="1">
      <c r="B255" s="88"/>
      <c r="C255" s="62" t="s">
        <v>125</v>
      </c>
      <c r="D255" s="63">
        <v>2</v>
      </c>
      <c r="E255" s="64">
        <v>1.168907071888E-3</v>
      </c>
    </row>
    <row r="256" spans="2:5" ht="15" customHeight="1">
      <c r="B256" s="88"/>
      <c r="C256" s="62" t="s">
        <v>128</v>
      </c>
      <c r="D256" s="63">
        <v>23</v>
      </c>
      <c r="E256" s="64">
        <v>1.3442431326710001E-2</v>
      </c>
    </row>
    <row r="257" spans="2:5" ht="15" customHeight="1">
      <c r="B257" s="88"/>
      <c r="C257" s="62" t="s">
        <v>131</v>
      </c>
      <c r="D257" s="63">
        <v>2</v>
      </c>
      <c r="E257" s="64">
        <v>1.168907071888E-3</v>
      </c>
    </row>
    <row r="258" spans="2:5" ht="15" customHeight="1">
      <c r="B258" s="87"/>
      <c r="C258" s="36" t="s">
        <v>28</v>
      </c>
      <c r="D258" s="35">
        <v>104</v>
      </c>
      <c r="E258" s="34">
        <v>6.0783167738165E-2</v>
      </c>
    </row>
    <row r="259" spans="2:5" ht="15" customHeight="1">
      <c r="B259" s="86" t="s">
        <v>161</v>
      </c>
      <c r="C259" s="62" t="s">
        <v>91</v>
      </c>
      <c r="D259" s="63">
        <v>20</v>
      </c>
      <c r="E259" s="64">
        <v>1.1689070718878E-2</v>
      </c>
    </row>
    <row r="260" spans="2:5" ht="15" customHeight="1">
      <c r="B260" s="88"/>
      <c r="C260" s="62" t="s">
        <v>92</v>
      </c>
      <c r="D260" s="63">
        <v>7</v>
      </c>
      <c r="E260" s="64">
        <v>4.0911747516070001E-3</v>
      </c>
    </row>
    <row r="261" spans="2:5" ht="15" customHeight="1">
      <c r="B261" s="88"/>
      <c r="C261" s="62" t="s">
        <v>93</v>
      </c>
      <c r="D261" s="63">
        <v>9</v>
      </c>
      <c r="E261" s="64">
        <v>5.2600818234950003E-3</v>
      </c>
    </row>
    <row r="262" spans="2:5" ht="15" customHeight="1">
      <c r="B262" s="88"/>
      <c r="C262" s="62" t="s">
        <v>94</v>
      </c>
      <c r="D262" s="63">
        <v>55</v>
      </c>
      <c r="E262" s="64">
        <v>3.2144944476914003E-2</v>
      </c>
    </row>
    <row r="263" spans="2:5" ht="15" customHeight="1">
      <c r="B263" s="88"/>
      <c r="C263" s="62" t="s">
        <v>95</v>
      </c>
      <c r="D263" s="63">
        <v>9</v>
      </c>
      <c r="E263" s="64">
        <v>5.2600818234950003E-3</v>
      </c>
    </row>
    <row r="264" spans="2:5" ht="15" customHeight="1">
      <c r="B264" s="88"/>
      <c r="C264" s="62" t="s">
        <v>97</v>
      </c>
      <c r="D264" s="63">
        <v>25</v>
      </c>
      <c r="E264" s="64">
        <v>1.4611338398597001E-2</v>
      </c>
    </row>
    <row r="265" spans="2:5" ht="15" customHeight="1">
      <c r="B265" s="88"/>
      <c r="C265" s="62" t="s">
        <v>98</v>
      </c>
      <c r="D265" s="63">
        <v>12</v>
      </c>
      <c r="E265" s="64">
        <v>7.0134424313270001E-3</v>
      </c>
    </row>
    <row r="266" spans="2:5" ht="15" customHeight="1">
      <c r="B266" s="88"/>
      <c r="C266" s="62" t="s">
        <v>99</v>
      </c>
      <c r="D266" s="63">
        <v>1</v>
      </c>
      <c r="E266" s="64">
        <v>5.8445353594399998E-4</v>
      </c>
    </row>
    <row r="267" spans="2:5" ht="15" customHeight="1">
      <c r="B267" s="88"/>
      <c r="C267" s="62" t="s">
        <v>100</v>
      </c>
      <c r="D267" s="63">
        <v>1</v>
      </c>
      <c r="E267" s="64">
        <v>5.8445353594399998E-4</v>
      </c>
    </row>
    <row r="268" spans="2:5" ht="15" customHeight="1">
      <c r="B268" s="88"/>
      <c r="C268" s="62" t="s">
        <v>101</v>
      </c>
      <c r="D268" s="63">
        <v>7</v>
      </c>
      <c r="E268" s="64">
        <v>4.0911747516070001E-3</v>
      </c>
    </row>
    <row r="269" spans="2:5" ht="15" customHeight="1">
      <c r="B269" s="88"/>
      <c r="C269" s="62" t="s">
        <v>102</v>
      </c>
      <c r="D269" s="63">
        <v>10</v>
      </c>
      <c r="E269" s="64">
        <v>5.8445353594389999E-3</v>
      </c>
    </row>
    <row r="270" spans="2:5" ht="15" customHeight="1">
      <c r="B270" s="88"/>
      <c r="C270" s="62" t="s">
        <v>103</v>
      </c>
      <c r="D270" s="63">
        <v>2</v>
      </c>
      <c r="E270" s="64">
        <v>1.168907071888E-3</v>
      </c>
    </row>
    <row r="271" spans="2:5" ht="15" customHeight="1">
      <c r="B271" s="88"/>
      <c r="C271" s="62" t="s">
        <v>104</v>
      </c>
      <c r="D271" s="63">
        <v>3</v>
      </c>
      <c r="E271" s="64">
        <v>1.753360607832E-3</v>
      </c>
    </row>
    <row r="272" spans="2:5" ht="15" customHeight="1">
      <c r="B272" s="88"/>
      <c r="C272" s="62" t="s">
        <v>105</v>
      </c>
      <c r="D272" s="63">
        <v>3</v>
      </c>
      <c r="E272" s="64">
        <v>1.753360607832E-3</v>
      </c>
    </row>
    <row r="273" spans="2:5" ht="15" customHeight="1">
      <c r="B273" s="88"/>
      <c r="C273" s="62" t="s">
        <v>106</v>
      </c>
      <c r="D273" s="63">
        <v>3</v>
      </c>
      <c r="E273" s="64">
        <v>1.753360607832E-3</v>
      </c>
    </row>
    <row r="274" spans="2:5" ht="15" customHeight="1">
      <c r="B274" s="88"/>
      <c r="C274" s="62" t="s">
        <v>107</v>
      </c>
      <c r="D274" s="63">
        <v>2</v>
      </c>
      <c r="E274" s="64">
        <v>1.168907071888E-3</v>
      </c>
    </row>
    <row r="275" spans="2:5" ht="15" customHeight="1">
      <c r="B275" s="88"/>
      <c r="C275" s="62" t="s">
        <v>108</v>
      </c>
      <c r="D275" s="63">
        <v>1</v>
      </c>
      <c r="E275" s="64">
        <v>5.8445353594399998E-4</v>
      </c>
    </row>
    <row r="276" spans="2:5" ht="15" customHeight="1">
      <c r="B276" s="88"/>
      <c r="C276" s="62" t="s">
        <v>109</v>
      </c>
      <c r="D276" s="63">
        <v>5</v>
      </c>
      <c r="E276" s="64">
        <v>2.9222676797189999E-3</v>
      </c>
    </row>
    <row r="277" spans="2:5" ht="15" customHeight="1">
      <c r="B277" s="88"/>
      <c r="C277" s="62" t="s">
        <v>110</v>
      </c>
      <c r="D277" s="63">
        <v>7</v>
      </c>
      <c r="E277" s="64">
        <v>4.0911747516070001E-3</v>
      </c>
    </row>
    <row r="278" spans="2:5" ht="15" customHeight="1">
      <c r="B278" s="88"/>
      <c r="C278" s="62" t="s">
        <v>111</v>
      </c>
      <c r="D278" s="63">
        <v>5</v>
      </c>
      <c r="E278" s="64">
        <v>2.9222676797189999E-3</v>
      </c>
    </row>
    <row r="279" spans="2:5" ht="15" customHeight="1">
      <c r="B279" s="88"/>
      <c r="C279" s="62" t="s">
        <v>112</v>
      </c>
      <c r="D279" s="63">
        <v>5</v>
      </c>
      <c r="E279" s="64">
        <v>2.9222676797189999E-3</v>
      </c>
    </row>
    <row r="280" spans="2:5" ht="15" customHeight="1">
      <c r="B280" s="88"/>
      <c r="C280" s="62" t="s">
        <v>114</v>
      </c>
      <c r="D280" s="63">
        <v>12</v>
      </c>
      <c r="E280" s="64">
        <v>7.0134424313270001E-3</v>
      </c>
    </row>
    <row r="281" spans="2:5" ht="15" customHeight="1">
      <c r="B281" s="88"/>
      <c r="C281" s="62" t="s">
        <v>115</v>
      </c>
      <c r="D281" s="63">
        <v>18</v>
      </c>
      <c r="E281" s="64">
        <v>1.0520163646990001E-2</v>
      </c>
    </row>
    <row r="282" spans="2:5" ht="15" customHeight="1">
      <c r="B282" s="88"/>
      <c r="C282" s="62" t="s">
        <v>116</v>
      </c>
      <c r="D282" s="63">
        <v>2</v>
      </c>
      <c r="E282" s="64">
        <v>1.168907071888E-3</v>
      </c>
    </row>
    <row r="283" spans="2:5" ht="15" customHeight="1">
      <c r="B283" s="88"/>
      <c r="C283" s="62" t="s">
        <v>117</v>
      </c>
      <c r="D283" s="63">
        <v>2</v>
      </c>
      <c r="E283" s="64">
        <v>1.168907071888E-3</v>
      </c>
    </row>
    <row r="284" spans="2:5" ht="15" customHeight="1">
      <c r="B284" s="88"/>
      <c r="C284" s="62" t="s">
        <v>118</v>
      </c>
      <c r="D284" s="63">
        <v>2</v>
      </c>
      <c r="E284" s="64">
        <v>1.168907071888E-3</v>
      </c>
    </row>
    <row r="285" spans="2:5" ht="15" customHeight="1">
      <c r="B285" s="88"/>
      <c r="C285" s="62" t="s">
        <v>119</v>
      </c>
      <c r="D285" s="63">
        <v>12</v>
      </c>
      <c r="E285" s="64">
        <v>7.0134424313270001E-3</v>
      </c>
    </row>
    <row r="286" spans="2:5" ht="15" customHeight="1">
      <c r="B286" s="88"/>
      <c r="C286" s="62" t="s">
        <v>120</v>
      </c>
      <c r="D286" s="63">
        <v>13</v>
      </c>
      <c r="E286" s="64">
        <v>7.5978959672709998E-3</v>
      </c>
    </row>
    <row r="287" spans="2:5" ht="15" customHeight="1">
      <c r="B287" s="88"/>
      <c r="C287" s="62" t="s">
        <v>121</v>
      </c>
      <c r="D287" s="63">
        <v>10</v>
      </c>
      <c r="E287" s="64">
        <v>5.8445353594389999E-3</v>
      </c>
    </row>
    <row r="288" spans="2:5" ht="15" customHeight="1">
      <c r="B288" s="88"/>
      <c r="C288" s="62" t="s">
        <v>122</v>
      </c>
      <c r="D288" s="63">
        <v>1</v>
      </c>
      <c r="E288" s="64">
        <v>5.8445353594399998E-4</v>
      </c>
    </row>
    <row r="289" spans="2:5" ht="15" customHeight="1">
      <c r="B289" s="88"/>
      <c r="C289" s="62" t="s">
        <v>123</v>
      </c>
      <c r="D289" s="63">
        <v>2</v>
      </c>
      <c r="E289" s="64">
        <v>1.168907071888E-3</v>
      </c>
    </row>
    <row r="290" spans="2:5" ht="15" customHeight="1">
      <c r="B290" s="88"/>
      <c r="C290" s="62" t="s">
        <v>125</v>
      </c>
      <c r="D290" s="63">
        <v>3</v>
      </c>
      <c r="E290" s="64">
        <v>1.753360607832E-3</v>
      </c>
    </row>
    <row r="291" spans="2:5" ht="15" customHeight="1">
      <c r="B291" s="88"/>
      <c r="C291" s="62" t="s">
        <v>126</v>
      </c>
      <c r="D291" s="63">
        <v>2</v>
      </c>
      <c r="E291" s="64">
        <v>1.168907071888E-3</v>
      </c>
    </row>
    <row r="292" spans="2:5" ht="15" customHeight="1">
      <c r="B292" s="88"/>
      <c r="C292" s="62" t="s">
        <v>127</v>
      </c>
      <c r="D292" s="63">
        <v>6</v>
      </c>
      <c r="E292" s="64">
        <v>3.506721215663E-3</v>
      </c>
    </row>
    <row r="293" spans="2:5" ht="15" customHeight="1">
      <c r="B293" s="88"/>
      <c r="C293" s="62" t="s">
        <v>128</v>
      </c>
      <c r="D293" s="63">
        <v>88</v>
      </c>
      <c r="E293" s="64">
        <v>5.1431911163062997E-2</v>
      </c>
    </row>
    <row r="294" spans="2:5" ht="15" customHeight="1">
      <c r="B294" s="88"/>
      <c r="C294" s="62" t="s">
        <v>130</v>
      </c>
      <c r="D294" s="63">
        <v>4</v>
      </c>
      <c r="E294" s="64">
        <v>2.3378141437759999E-3</v>
      </c>
    </row>
    <row r="295" spans="2:5" ht="15" customHeight="1">
      <c r="B295" s="88"/>
      <c r="C295" s="62" t="s">
        <v>71</v>
      </c>
      <c r="D295" s="63">
        <v>3</v>
      </c>
      <c r="E295" s="64">
        <v>1.753360607832E-3</v>
      </c>
    </row>
    <row r="296" spans="2:5" ht="15" customHeight="1">
      <c r="B296" s="88"/>
      <c r="C296" s="62" t="s">
        <v>131</v>
      </c>
      <c r="D296" s="63">
        <v>4</v>
      </c>
      <c r="E296" s="64">
        <v>2.3378141437759999E-3</v>
      </c>
    </row>
    <row r="297" spans="2:5" ht="15" customHeight="1">
      <c r="B297" s="87"/>
      <c r="C297" s="36" t="s">
        <v>28</v>
      </c>
      <c r="D297" s="35">
        <v>376</v>
      </c>
      <c r="E297" s="34">
        <v>0.21975452951490401</v>
      </c>
    </row>
    <row r="298" spans="2:5" ht="15" customHeight="1">
      <c r="B298" s="86" t="s">
        <v>162</v>
      </c>
      <c r="C298" s="62" t="s">
        <v>94</v>
      </c>
      <c r="D298" s="63">
        <v>1</v>
      </c>
      <c r="E298" s="64">
        <v>5.8445353594399998E-4</v>
      </c>
    </row>
    <row r="299" spans="2:5" ht="15" customHeight="1">
      <c r="B299" s="88"/>
      <c r="C299" s="62" t="s">
        <v>95</v>
      </c>
      <c r="D299" s="63">
        <v>1</v>
      </c>
      <c r="E299" s="64">
        <v>5.8445353594399998E-4</v>
      </c>
    </row>
    <row r="300" spans="2:5" ht="15" customHeight="1">
      <c r="B300" s="88"/>
      <c r="C300" s="62" t="s">
        <v>97</v>
      </c>
      <c r="D300" s="63">
        <v>1</v>
      </c>
      <c r="E300" s="64">
        <v>5.8445353594399998E-4</v>
      </c>
    </row>
    <row r="301" spans="2:5" ht="15" customHeight="1">
      <c r="B301" s="88"/>
      <c r="C301" s="62" t="s">
        <v>121</v>
      </c>
      <c r="D301" s="63">
        <v>1</v>
      </c>
      <c r="E301" s="64">
        <v>5.8445353594399998E-4</v>
      </c>
    </row>
    <row r="302" spans="2:5" ht="15" customHeight="1">
      <c r="B302" s="88"/>
      <c r="C302" s="62" t="s">
        <v>128</v>
      </c>
      <c r="D302" s="63">
        <v>4</v>
      </c>
      <c r="E302" s="64">
        <v>2.3378141437759999E-3</v>
      </c>
    </row>
    <row r="303" spans="2:5" ht="15" customHeight="1">
      <c r="B303" s="87"/>
      <c r="C303" s="36" t="s">
        <v>28</v>
      </c>
      <c r="D303" s="35">
        <v>8</v>
      </c>
      <c r="E303" s="34">
        <v>4.6756282875509998E-3</v>
      </c>
    </row>
    <row r="304" spans="2:5" ht="15" customHeight="1">
      <c r="B304" s="86" t="s">
        <v>163</v>
      </c>
      <c r="C304" s="62" t="s">
        <v>94</v>
      </c>
      <c r="D304" s="63">
        <v>3</v>
      </c>
      <c r="E304" s="64">
        <v>1.753360607832E-3</v>
      </c>
    </row>
    <row r="305" spans="2:5" ht="15" customHeight="1">
      <c r="B305" s="88"/>
      <c r="C305" s="62" t="s">
        <v>95</v>
      </c>
      <c r="D305" s="63">
        <v>1</v>
      </c>
      <c r="E305" s="64">
        <v>5.8445353594399998E-4</v>
      </c>
    </row>
    <row r="306" spans="2:5" ht="15" customHeight="1">
      <c r="B306" s="88"/>
      <c r="C306" s="62" t="s">
        <v>102</v>
      </c>
      <c r="D306" s="63">
        <v>1</v>
      </c>
      <c r="E306" s="64">
        <v>5.8445353594399998E-4</v>
      </c>
    </row>
    <row r="307" spans="2:5" ht="15" customHeight="1">
      <c r="B307" s="88"/>
      <c r="C307" s="62" t="s">
        <v>128</v>
      </c>
      <c r="D307" s="63">
        <v>2</v>
      </c>
      <c r="E307" s="64">
        <v>1.168907071888E-3</v>
      </c>
    </row>
    <row r="308" spans="2:5" ht="15" customHeight="1">
      <c r="B308" s="87"/>
      <c r="C308" s="36" t="s">
        <v>28</v>
      </c>
      <c r="D308" s="35">
        <v>7</v>
      </c>
      <c r="E308" s="34">
        <v>4.0911747516070001E-3</v>
      </c>
    </row>
    <row r="309" spans="2:5" ht="15" customHeight="1">
      <c r="B309" s="86" t="s">
        <v>164</v>
      </c>
      <c r="C309" s="62" t="s">
        <v>94</v>
      </c>
      <c r="D309" s="63">
        <v>1</v>
      </c>
      <c r="E309" s="64">
        <v>5.8445353594399998E-4</v>
      </c>
    </row>
    <row r="310" spans="2:5" ht="15" customHeight="1">
      <c r="B310" s="88"/>
      <c r="C310" s="62" t="s">
        <v>111</v>
      </c>
      <c r="D310" s="63">
        <v>1</v>
      </c>
      <c r="E310" s="64">
        <v>5.8445353594399998E-4</v>
      </c>
    </row>
    <row r="311" spans="2:5" ht="15" customHeight="1">
      <c r="B311" s="88"/>
      <c r="C311" s="62" t="s">
        <v>128</v>
      </c>
      <c r="D311" s="63">
        <v>1</v>
      </c>
      <c r="E311" s="64">
        <v>5.8445353594399998E-4</v>
      </c>
    </row>
    <row r="312" spans="2:5" ht="15" customHeight="1">
      <c r="B312" s="87"/>
      <c r="C312" s="36" t="s">
        <v>28</v>
      </c>
      <c r="D312" s="35">
        <v>3</v>
      </c>
      <c r="E312" s="34">
        <v>1.753360607832E-3</v>
      </c>
    </row>
    <row r="313" spans="2:5" ht="15" customHeight="1">
      <c r="B313" s="86" t="s">
        <v>165</v>
      </c>
      <c r="C313" s="62" t="s">
        <v>122</v>
      </c>
      <c r="D313" s="63">
        <v>1</v>
      </c>
      <c r="E313" s="64">
        <v>5.8445353594399998E-4</v>
      </c>
    </row>
    <row r="314" spans="2:5" ht="15" customHeight="1">
      <c r="B314" s="87"/>
      <c r="C314" s="36" t="s">
        <v>28</v>
      </c>
      <c r="D314" s="35">
        <v>1</v>
      </c>
      <c r="E314" s="34">
        <v>5.8445353594399998E-4</v>
      </c>
    </row>
    <row r="315" spans="2:5" ht="15" customHeight="1">
      <c r="B315" s="86" t="s">
        <v>166</v>
      </c>
      <c r="C315" s="62" t="s">
        <v>94</v>
      </c>
      <c r="D315" s="63">
        <v>2</v>
      </c>
      <c r="E315" s="64">
        <v>1.168907071888E-3</v>
      </c>
    </row>
    <row r="316" spans="2:5" ht="15" customHeight="1">
      <c r="B316" s="88"/>
      <c r="C316" s="62" t="s">
        <v>95</v>
      </c>
      <c r="D316" s="63">
        <v>1</v>
      </c>
      <c r="E316" s="64">
        <v>5.8445353594399998E-4</v>
      </c>
    </row>
    <row r="317" spans="2:5" ht="15" customHeight="1">
      <c r="B317" s="88"/>
      <c r="C317" s="62" t="s">
        <v>101</v>
      </c>
      <c r="D317" s="63">
        <v>1</v>
      </c>
      <c r="E317" s="64">
        <v>5.8445353594399998E-4</v>
      </c>
    </row>
    <row r="318" spans="2:5" ht="15" customHeight="1">
      <c r="B318" s="88"/>
      <c r="C318" s="62" t="s">
        <v>102</v>
      </c>
      <c r="D318" s="63">
        <v>1</v>
      </c>
      <c r="E318" s="64">
        <v>5.8445353594399998E-4</v>
      </c>
    </row>
    <row r="319" spans="2:5" ht="15" customHeight="1">
      <c r="B319" s="88"/>
      <c r="C319" s="62" t="s">
        <v>105</v>
      </c>
      <c r="D319" s="63">
        <v>1</v>
      </c>
      <c r="E319" s="64">
        <v>5.8445353594399998E-4</v>
      </c>
    </row>
    <row r="320" spans="2:5" ht="15" customHeight="1">
      <c r="B320" s="88"/>
      <c r="C320" s="62" t="s">
        <v>112</v>
      </c>
      <c r="D320" s="63">
        <v>1</v>
      </c>
      <c r="E320" s="64">
        <v>5.8445353594399998E-4</v>
      </c>
    </row>
    <row r="321" spans="2:5" ht="15" customHeight="1">
      <c r="B321" s="88"/>
      <c r="C321" s="62" t="s">
        <v>114</v>
      </c>
      <c r="D321" s="63">
        <v>2</v>
      </c>
      <c r="E321" s="64">
        <v>1.168907071888E-3</v>
      </c>
    </row>
    <row r="322" spans="2:5" ht="15" customHeight="1">
      <c r="B322" s="88"/>
      <c r="C322" s="62" t="s">
        <v>116</v>
      </c>
      <c r="D322" s="63">
        <v>1</v>
      </c>
      <c r="E322" s="64">
        <v>5.8445353594399998E-4</v>
      </c>
    </row>
    <row r="323" spans="2:5" ht="15" customHeight="1">
      <c r="B323" s="88"/>
      <c r="C323" s="62" t="s">
        <v>121</v>
      </c>
      <c r="D323" s="63">
        <v>1</v>
      </c>
      <c r="E323" s="64">
        <v>5.8445353594399998E-4</v>
      </c>
    </row>
    <row r="324" spans="2:5" ht="15" customHeight="1">
      <c r="B324" s="88"/>
      <c r="C324" s="62" t="s">
        <v>127</v>
      </c>
      <c r="D324" s="63">
        <v>1</v>
      </c>
      <c r="E324" s="64">
        <v>5.8445353594399998E-4</v>
      </c>
    </row>
    <row r="325" spans="2:5" ht="15" customHeight="1">
      <c r="B325" s="88"/>
      <c r="C325" s="62" t="s">
        <v>128</v>
      </c>
      <c r="D325" s="63">
        <v>8</v>
      </c>
      <c r="E325" s="64">
        <v>4.6756282875509998E-3</v>
      </c>
    </row>
    <row r="326" spans="2:5" ht="15" customHeight="1">
      <c r="B326" s="88"/>
      <c r="C326" s="62" t="s">
        <v>130</v>
      </c>
      <c r="D326" s="63">
        <v>1</v>
      </c>
      <c r="E326" s="64">
        <v>5.8445353594399998E-4</v>
      </c>
    </row>
    <row r="327" spans="2:5" ht="15" customHeight="1">
      <c r="B327" s="87"/>
      <c r="C327" s="36" t="s">
        <v>28</v>
      </c>
      <c r="D327" s="35">
        <v>21</v>
      </c>
      <c r="E327" s="34">
        <v>1.2273524254822E-2</v>
      </c>
    </row>
    <row r="328" spans="2:5" ht="15" customHeight="1">
      <c r="B328" s="86" t="s">
        <v>167</v>
      </c>
      <c r="C328" s="62" t="s">
        <v>91</v>
      </c>
      <c r="D328" s="63">
        <v>2</v>
      </c>
      <c r="E328" s="64">
        <v>1.168907071888E-3</v>
      </c>
    </row>
    <row r="329" spans="2:5" ht="15" customHeight="1">
      <c r="B329" s="88"/>
      <c r="C329" s="62" t="s">
        <v>93</v>
      </c>
      <c r="D329" s="63">
        <v>1</v>
      </c>
      <c r="E329" s="64">
        <v>5.8445353594399998E-4</v>
      </c>
    </row>
    <row r="330" spans="2:5" ht="15" customHeight="1">
      <c r="B330" s="88"/>
      <c r="C330" s="62" t="s">
        <v>94</v>
      </c>
      <c r="D330" s="63">
        <v>14</v>
      </c>
      <c r="E330" s="64">
        <v>8.1823495032140002E-3</v>
      </c>
    </row>
    <row r="331" spans="2:5" ht="15" customHeight="1">
      <c r="B331" s="88"/>
      <c r="C331" s="62" t="s">
        <v>95</v>
      </c>
      <c r="D331" s="63">
        <v>2</v>
      </c>
      <c r="E331" s="64">
        <v>1.168907071888E-3</v>
      </c>
    </row>
    <row r="332" spans="2:5" ht="15" customHeight="1">
      <c r="B332" s="88"/>
      <c r="C332" s="62" t="s">
        <v>97</v>
      </c>
      <c r="D332" s="63">
        <v>2</v>
      </c>
      <c r="E332" s="64">
        <v>1.168907071888E-3</v>
      </c>
    </row>
    <row r="333" spans="2:5" ht="15" customHeight="1">
      <c r="B333" s="88"/>
      <c r="C333" s="62" t="s">
        <v>98</v>
      </c>
      <c r="D333" s="63">
        <v>2</v>
      </c>
      <c r="E333" s="64">
        <v>1.168907071888E-3</v>
      </c>
    </row>
    <row r="334" spans="2:5" ht="15" customHeight="1">
      <c r="B334" s="88"/>
      <c r="C334" s="62" t="s">
        <v>101</v>
      </c>
      <c r="D334" s="63">
        <v>3</v>
      </c>
      <c r="E334" s="64">
        <v>1.753360607832E-3</v>
      </c>
    </row>
    <row r="335" spans="2:5" ht="15" customHeight="1">
      <c r="B335" s="88"/>
      <c r="C335" s="62" t="s">
        <v>102</v>
      </c>
      <c r="D335" s="63">
        <v>2</v>
      </c>
      <c r="E335" s="64">
        <v>1.168907071888E-3</v>
      </c>
    </row>
    <row r="336" spans="2:5" ht="15" customHeight="1">
      <c r="B336" s="88"/>
      <c r="C336" s="62" t="s">
        <v>103</v>
      </c>
      <c r="D336" s="63">
        <v>1</v>
      </c>
      <c r="E336" s="64">
        <v>5.8445353594399998E-4</v>
      </c>
    </row>
    <row r="337" spans="2:5" ht="15" customHeight="1">
      <c r="B337" s="88"/>
      <c r="C337" s="62" t="s">
        <v>104</v>
      </c>
      <c r="D337" s="63">
        <v>2</v>
      </c>
      <c r="E337" s="64">
        <v>1.168907071888E-3</v>
      </c>
    </row>
    <row r="338" spans="2:5" ht="15" customHeight="1">
      <c r="B338" s="88"/>
      <c r="C338" s="62" t="s">
        <v>107</v>
      </c>
      <c r="D338" s="63">
        <v>1</v>
      </c>
      <c r="E338" s="64">
        <v>5.8445353594399998E-4</v>
      </c>
    </row>
    <row r="339" spans="2:5" ht="15" customHeight="1">
      <c r="B339" s="88"/>
      <c r="C339" s="62" t="s">
        <v>109</v>
      </c>
      <c r="D339" s="63">
        <v>1</v>
      </c>
      <c r="E339" s="64">
        <v>5.8445353594399998E-4</v>
      </c>
    </row>
    <row r="340" spans="2:5" ht="15" customHeight="1">
      <c r="B340" s="88"/>
      <c r="C340" s="62" t="s">
        <v>114</v>
      </c>
      <c r="D340" s="63">
        <v>5</v>
      </c>
      <c r="E340" s="64">
        <v>2.9222676797189999E-3</v>
      </c>
    </row>
    <row r="341" spans="2:5" ht="15" customHeight="1">
      <c r="B341" s="88"/>
      <c r="C341" s="62" t="s">
        <v>115</v>
      </c>
      <c r="D341" s="63">
        <v>3</v>
      </c>
      <c r="E341" s="64">
        <v>1.753360607832E-3</v>
      </c>
    </row>
    <row r="342" spans="2:5" ht="15" customHeight="1">
      <c r="B342" s="88"/>
      <c r="C342" s="62" t="s">
        <v>119</v>
      </c>
      <c r="D342" s="63">
        <v>3</v>
      </c>
      <c r="E342" s="64">
        <v>1.753360607832E-3</v>
      </c>
    </row>
    <row r="343" spans="2:5" ht="15" customHeight="1">
      <c r="B343" s="88"/>
      <c r="C343" s="62" t="s">
        <v>120</v>
      </c>
      <c r="D343" s="63">
        <v>4</v>
      </c>
      <c r="E343" s="64">
        <v>2.3378141437759999E-3</v>
      </c>
    </row>
    <row r="344" spans="2:5" ht="15" customHeight="1">
      <c r="B344" s="88"/>
      <c r="C344" s="62" t="s">
        <v>125</v>
      </c>
      <c r="D344" s="63">
        <v>3</v>
      </c>
      <c r="E344" s="64">
        <v>1.753360607832E-3</v>
      </c>
    </row>
    <row r="345" spans="2:5" ht="15" customHeight="1">
      <c r="B345" s="88"/>
      <c r="C345" s="62" t="s">
        <v>128</v>
      </c>
      <c r="D345" s="63">
        <v>26</v>
      </c>
      <c r="E345" s="64">
        <v>1.5195791934541E-2</v>
      </c>
    </row>
    <row r="346" spans="2:5" ht="15" customHeight="1">
      <c r="B346" s="88"/>
      <c r="C346" s="62" t="s">
        <v>129</v>
      </c>
      <c r="D346" s="63">
        <v>1</v>
      </c>
      <c r="E346" s="64">
        <v>5.8445353594399998E-4</v>
      </c>
    </row>
    <row r="347" spans="2:5" ht="15" customHeight="1">
      <c r="B347" s="88"/>
      <c r="C347" s="62" t="s">
        <v>131</v>
      </c>
      <c r="D347" s="63">
        <v>1</v>
      </c>
      <c r="E347" s="64">
        <v>5.8445353594399998E-4</v>
      </c>
    </row>
    <row r="348" spans="2:5" ht="15" customHeight="1">
      <c r="B348" s="87"/>
      <c r="C348" s="36" t="s">
        <v>28</v>
      </c>
      <c r="D348" s="35">
        <v>79</v>
      </c>
      <c r="E348" s="34">
        <v>4.6171829339568003E-2</v>
      </c>
    </row>
    <row r="349" spans="2:5" ht="15" customHeight="1">
      <c r="B349" s="86" t="s">
        <v>168</v>
      </c>
      <c r="C349" s="62" t="s">
        <v>115</v>
      </c>
      <c r="D349" s="63">
        <v>1</v>
      </c>
      <c r="E349" s="64">
        <v>5.8445353594399998E-4</v>
      </c>
    </row>
    <row r="350" spans="2:5" ht="15" customHeight="1">
      <c r="B350" s="88"/>
      <c r="C350" s="62" t="s">
        <v>118</v>
      </c>
      <c r="D350" s="63">
        <v>1</v>
      </c>
      <c r="E350" s="64">
        <v>5.8445353594399998E-4</v>
      </c>
    </row>
    <row r="351" spans="2:5" ht="15" customHeight="1">
      <c r="B351" s="87"/>
      <c r="C351" s="36" t="s">
        <v>28</v>
      </c>
      <c r="D351" s="35">
        <v>2</v>
      </c>
      <c r="E351" s="34">
        <v>1.168907071888E-3</v>
      </c>
    </row>
    <row r="352" spans="2:5" ht="15" customHeight="1">
      <c r="B352" s="90" t="s">
        <v>28</v>
      </c>
      <c r="C352" s="91"/>
      <c r="D352" s="60">
        <v>1711</v>
      </c>
      <c r="E352" s="61">
        <v>1</v>
      </c>
    </row>
    <row r="354" spans="2:2" ht="15" customHeight="1">
      <c r="B354" s="15" t="s">
        <v>213</v>
      </c>
    </row>
    <row r="355" spans="2:2" ht="15" customHeight="1">
      <c r="B355" s="17" t="s">
        <v>17</v>
      </c>
    </row>
    <row r="356" spans="2:2" ht="15" customHeight="1">
      <c r="B356" s="16" t="s">
        <v>214</v>
      </c>
    </row>
    <row r="357" spans="2:2" ht="15" customHeight="1">
      <c r="B357" s="15" t="s">
        <v>16</v>
      </c>
    </row>
    <row r="358" spans="2:2" ht="15" customHeight="1">
      <c r="B358" s="15" t="s">
        <v>215</v>
      </c>
    </row>
  </sheetData>
  <mergeCells count="24">
    <mergeCell ref="B328:B348"/>
    <mergeCell ref="B349:B351"/>
    <mergeCell ref="B352:C352"/>
    <mergeCell ref="B298:B303"/>
    <mergeCell ref="B304:B308"/>
    <mergeCell ref="B309:B312"/>
    <mergeCell ref="B313:B314"/>
    <mergeCell ref="B315:B327"/>
    <mergeCell ref="B7:E8"/>
    <mergeCell ref="B10:B20"/>
    <mergeCell ref="B21:B28"/>
    <mergeCell ref="B29:B34"/>
    <mergeCell ref="B35:B43"/>
    <mergeCell ref="B44:B54"/>
    <mergeCell ref="B55:B64"/>
    <mergeCell ref="B65:B94"/>
    <mergeCell ref="B95:B129"/>
    <mergeCell ref="B130:B142"/>
    <mergeCell ref="B259:B297"/>
    <mergeCell ref="B143:B160"/>
    <mergeCell ref="B161:B186"/>
    <mergeCell ref="B187:B224"/>
    <mergeCell ref="B225:B233"/>
    <mergeCell ref="B234:B2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445"/>
  <sheetViews>
    <sheetView showGridLines="0" view="pageBreakPreview" topLeftCell="A22" zoomScale="85" zoomScaleNormal="100" zoomScaleSheetLayoutView="85" workbookViewId="0">
      <selection activeCell="A10" sqref="A10:XFD439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8.72656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21</v>
      </c>
      <c r="C9" s="40" t="s">
        <v>26</v>
      </c>
      <c r="D9" s="39" t="s">
        <v>19</v>
      </c>
      <c r="E9" s="38" t="s">
        <v>18</v>
      </c>
    </row>
    <row r="10" spans="1:5" ht="15" customHeight="1">
      <c r="B10" s="86" t="s">
        <v>87</v>
      </c>
      <c r="C10" s="62" t="s">
        <v>161</v>
      </c>
      <c r="D10" s="63">
        <v>2</v>
      </c>
      <c r="E10" s="64">
        <v>1.168907071888E-3</v>
      </c>
    </row>
    <row r="11" spans="1:5" ht="15" customHeight="1">
      <c r="B11" s="87"/>
      <c r="C11" s="36" t="s">
        <v>28</v>
      </c>
      <c r="D11" s="35">
        <v>2</v>
      </c>
      <c r="E11" s="34">
        <v>1.168907071888E-3</v>
      </c>
    </row>
    <row r="12" spans="1:5" ht="15" customHeight="1">
      <c r="B12" s="86" t="s">
        <v>47</v>
      </c>
      <c r="C12" s="62" t="s">
        <v>147</v>
      </c>
      <c r="D12" s="63">
        <v>4</v>
      </c>
      <c r="E12" s="64">
        <v>2.3378141437759999E-3</v>
      </c>
    </row>
    <row r="13" spans="1:5" ht="15" customHeight="1">
      <c r="B13" s="88"/>
      <c r="C13" s="62" t="s">
        <v>151</v>
      </c>
      <c r="D13" s="63">
        <v>1</v>
      </c>
      <c r="E13" s="64">
        <v>5.8445353594399998E-4</v>
      </c>
    </row>
    <row r="14" spans="1:5" ht="15" customHeight="1">
      <c r="B14" s="88"/>
      <c r="C14" s="62" t="s">
        <v>152</v>
      </c>
      <c r="D14" s="63">
        <v>1</v>
      </c>
      <c r="E14" s="64">
        <v>5.8445353594399998E-4</v>
      </c>
    </row>
    <row r="15" spans="1:5" ht="15" customHeight="1">
      <c r="B15" s="88"/>
      <c r="C15" s="62" t="s">
        <v>153</v>
      </c>
      <c r="D15" s="63">
        <v>6</v>
      </c>
      <c r="E15" s="64">
        <v>3.506721215663E-3</v>
      </c>
    </row>
    <row r="16" spans="1:5" ht="15" customHeight="1">
      <c r="B16" s="88"/>
      <c r="C16" s="62" t="s">
        <v>154</v>
      </c>
      <c r="D16" s="63">
        <v>8</v>
      </c>
      <c r="E16" s="64">
        <v>4.6756282875509998E-3</v>
      </c>
    </row>
    <row r="17" spans="2:5" ht="15" customHeight="1">
      <c r="B17" s="88"/>
      <c r="C17" s="62" t="s">
        <v>155</v>
      </c>
      <c r="D17" s="63">
        <v>2</v>
      </c>
      <c r="E17" s="64">
        <v>1.168907071888E-3</v>
      </c>
    </row>
    <row r="18" spans="2:5" ht="15" customHeight="1">
      <c r="B18" s="88"/>
      <c r="C18" s="62" t="s">
        <v>156</v>
      </c>
      <c r="D18" s="63">
        <v>2</v>
      </c>
      <c r="E18" s="64">
        <v>1.168907071888E-3</v>
      </c>
    </row>
    <row r="19" spans="2:5" ht="15" customHeight="1">
      <c r="B19" s="88"/>
      <c r="C19" s="62" t="s">
        <v>157</v>
      </c>
      <c r="D19" s="63">
        <v>5</v>
      </c>
      <c r="E19" s="64">
        <v>2.9222676797189999E-3</v>
      </c>
    </row>
    <row r="20" spans="2:5" ht="15" customHeight="1">
      <c r="B20" s="88"/>
      <c r="C20" s="62" t="s">
        <v>158</v>
      </c>
      <c r="D20" s="63">
        <v>64</v>
      </c>
      <c r="E20" s="64">
        <v>3.7405026300408997E-2</v>
      </c>
    </row>
    <row r="21" spans="2:5" ht="15" customHeight="1">
      <c r="B21" s="88"/>
      <c r="C21" s="62" t="s">
        <v>159</v>
      </c>
      <c r="D21" s="63">
        <v>1</v>
      </c>
      <c r="E21" s="64">
        <v>5.8445353594399998E-4</v>
      </c>
    </row>
    <row r="22" spans="2:5" ht="15" customHeight="1">
      <c r="B22" s="88"/>
      <c r="C22" s="62" t="s">
        <v>160</v>
      </c>
      <c r="D22" s="63">
        <v>8</v>
      </c>
      <c r="E22" s="64">
        <v>4.6756282875509998E-3</v>
      </c>
    </row>
    <row r="23" spans="2:5" ht="15" customHeight="1">
      <c r="B23" s="88"/>
      <c r="C23" s="62" t="s">
        <v>161</v>
      </c>
      <c r="D23" s="63">
        <v>31</v>
      </c>
      <c r="E23" s="64">
        <v>1.8118059614260999E-2</v>
      </c>
    </row>
    <row r="24" spans="2:5" ht="15" customHeight="1">
      <c r="B24" s="88"/>
      <c r="C24" s="62" t="s">
        <v>167</v>
      </c>
      <c r="D24" s="63">
        <v>4</v>
      </c>
      <c r="E24" s="64">
        <v>2.3378141437759999E-3</v>
      </c>
    </row>
    <row r="25" spans="2:5" ht="15" customHeight="1">
      <c r="B25" s="87"/>
      <c r="C25" s="36" t="s">
        <v>28</v>
      </c>
      <c r="D25" s="35">
        <v>137</v>
      </c>
      <c r="E25" s="34">
        <v>8.0070134424313003E-2</v>
      </c>
    </row>
    <row r="26" spans="2:5" ht="15" customHeight="1">
      <c r="B26" s="86" t="s">
        <v>56</v>
      </c>
      <c r="C26" s="62" t="s">
        <v>149</v>
      </c>
      <c r="D26" s="63">
        <v>1</v>
      </c>
      <c r="E26" s="64">
        <v>5.8445353594399998E-4</v>
      </c>
    </row>
    <row r="27" spans="2:5" ht="15" customHeight="1">
      <c r="B27" s="88"/>
      <c r="C27" s="62" t="s">
        <v>151</v>
      </c>
      <c r="D27" s="63">
        <v>1</v>
      </c>
      <c r="E27" s="64">
        <v>5.8445353594399998E-4</v>
      </c>
    </row>
    <row r="28" spans="2:5" ht="15" customHeight="1">
      <c r="B28" s="88"/>
      <c r="C28" s="62" t="s">
        <v>153</v>
      </c>
      <c r="D28" s="63">
        <v>4</v>
      </c>
      <c r="E28" s="64">
        <v>2.3378141437759999E-3</v>
      </c>
    </row>
    <row r="29" spans="2:5" ht="15" customHeight="1">
      <c r="B29" s="88"/>
      <c r="C29" s="62" t="s">
        <v>154</v>
      </c>
      <c r="D29" s="63">
        <v>7</v>
      </c>
      <c r="E29" s="64">
        <v>4.0911747516070001E-3</v>
      </c>
    </row>
    <row r="30" spans="2:5" ht="15" customHeight="1">
      <c r="B30" s="88"/>
      <c r="C30" s="62" t="s">
        <v>156</v>
      </c>
      <c r="D30" s="63">
        <v>1</v>
      </c>
      <c r="E30" s="64">
        <v>5.8445353594399998E-4</v>
      </c>
    </row>
    <row r="31" spans="2:5" ht="15" customHeight="1">
      <c r="B31" s="88"/>
      <c r="C31" s="62" t="s">
        <v>157</v>
      </c>
      <c r="D31" s="63">
        <v>3</v>
      </c>
      <c r="E31" s="64">
        <v>1.753360607832E-3</v>
      </c>
    </row>
    <row r="32" spans="2:5" ht="15" customHeight="1">
      <c r="B32" s="88"/>
      <c r="C32" s="62" t="s">
        <v>158</v>
      </c>
      <c r="D32" s="63">
        <v>20</v>
      </c>
      <c r="E32" s="64">
        <v>1.1689070718878E-2</v>
      </c>
    </row>
    <row r="33" spans="2:5" ht="15" customHeight="1">
      <c r="B33" s="88"/>
      <c r="C33" s="62" t="s">
        <v>159</v>
      </c>
      <c r="D33" s="63">
        <v>1</v>
      </c>
      <c r="E33" s="64">
        <v>5.8445353594399998E-4</v>
      </c>
    </row>
    <row r="34" spans="2:5" ht="15" customHeight="1">
      <c r="B34" s="88"/>
      <c r="C34" s="62" t="s">
        <v>160</v>
      </c>
      <c r="D34" s="63">
        <v>4</v>
      </c>
      <c r="E34" s="64">
        <v>2.3378141437759999E-3</v>
      </c>
    </row>
    <row r="35" spans="2:5" ht="15" customHeight="1">
      <c r="B35" s="88"/>
      <c r="C35" s="62" t="s">
        <v>161</v>
      </c>
      <c r="D35" s="63">
        <v>11</v>
      </c>
      <c r="E35" s="64">
        <v>6.4289888953829996E-3</v>
      </c>
    </row>
    <row r="36" spans="2:5" ht="15" customHeight="1">
      <c r="B36" s="88"/>
      <c r="C36" s="62" t="s">
        <v>162</v>
      </c>
      <c r="D36" s="63">
        <v>1</v>
      </c>
      <c r="E36" s="64">
        <v>5.8445353594399998E-4</v>
      </c>
    </row>
    <row r="37" spans="2:5" ht="15" customHeight="1">
      <c r="B37" s="88"/>
      <c r="C37" s="62" t="s">
        <v>166</v>
      </c>
      <c r="D37" s="63">
        <v>1</v>
      </c>
      <c r="E37" s="64">
        <v>5.8445353594399998E-4</v>
      </c>
    </row>
    <row r="38" spans="2:5" ht="15" customHeight="1">
      <c r="B38" s="88"/>
      <c r="C38" s="62" t="s">
        <v>167</v>
      </c>
      <c r="D38" s="63">
        <v>5</v>
      </c>
      <c r="E38" s="64">
        <v>2.9222676797189999E-3</v>
      </c>
    </row>
    <row r="39" spans="2:5" ht="15" customHeight="1">
      <c r="B39" s="87"/>
      <c r="C39" s="36" t="s">
        <v>28</v>
      </c>
      <c r="D39" s="35">
        <v>60</v>
      </c>
      <c r="E39" s="34">
        <v>3.5067212156633998E-2</v>
      </c>
    </row>
    <row r="40" spans="2:5" ht="15" customHeight="1">
      <c r="B40" s="86" t="s">
        <v>82</v>
      </c>
      <c r="C40" s="62" t="s">
        <v>148</v>
      </c>
      <c r="D40" s="63">
        <v>2</v>
      </c>
      <c r="E40" s="64">
        <v>1.168907071888E-3</v>
      </c>
    </row>
    <row r="41" spans="2:5" ht="15" customHeight="1">
      <c r="B41" s="88"/>
      <c r="C41" s="62" t="s">
        <v>153</v>
      </c>
      <c r="D41" s="63">
        <v>2</v>
      </c>
      <c r="E41" s="64">
        <v>1.168907071888E-3</v>
      </c>
    </row>
    <row r="42" spans="2:5" ht="15" customHeight="1">
      <c r="B42" s="88"/>
      <c r="C42" s="62" t="s">
        <v>154</v>
      </c>
      <c r="D42" s="63">
        <v>2</v>
      </c>
      <c r="E42" s="64">
        <v>1.168907071888E-3</v>
      </c>
    </row>
    <row r="43" spans="2:5" ht="15" customHeight="1">
      <c r="B43" s="88"/>
      <c r="C43" s="62" t="s">
        <v>158</v>
      </c>
      <c r="D43" s="63">
        <v>3</v>
      </c>
      <c r="E43" s="64">
        <v>1.753360607832E-3</v>
      </c>
    </row>
    <row r="44" spans="2:5" ht="15" customHeight="1">
      <c r="B44" s="88"/>
      <c r="C44" s="62" t="s">
        <v>161</v>
      </c>
      <c r="D44" s="63">
        <v>1</v>
      </c>
      <c r="E44" s="64">
        <v>5.8445353594399998E-4</v>
      </c>
    </row>
    <row r="45" spans="2:5" ht="15" customHeight="1">
      <c r="B45" s="87"/>
      <c r="C45" s="36" t="s">
        <v>28</v>
      </c>
      <c r="D45" s="35">
        <v>10</v>
      </c>
      <c r="E45" s="34">
        <v>5.8445353594389999E-3</v>
      </c>
    </row>
    <row r="46" spans="2:5" ht="15" customHeight="1">
      <c r="B46" s="86" t="s">
        <v>85</v>
      </c>
      <c r="C46" s="62" t="s">
        <v>154</v>
      </c>
      <c r="D46" s="63">
        <v>1</v>
      </c>
      <c r="E46" s="64">
        <v>5.8445353594399998E-4</v>
      </c>
    </row>
    <row r="47" spans="2:5" ht="15" customHeight="1">
      <c r="B47" s="88"/>
      <c r="C47" s="62" t="s">
        <v>158</v>
      </c>
      <c r="D47" s="63">
        <v>1</v>
      </c>
      <c r="E47" s="64">
        <v>5.8445353594399998E-4</v>
      </c>
    </row>
    <row r="48" spans="2:5" ht="15" customHeight="1">
      <c r="B48" s="88"/>
      <c r="C48" s="62" t="s">
        <v>161</v>
      </c>
      <c r="D48" s="63">
        <v>1</v>
      </c>
      <c r="E48" s="64">
        <v>5.8445353594399998E-4</v>
      </c>
    </row>
    <row r="49" spans="2:5" ht="15" customHeight="1">
      <c r="B49" s="87"/>
      <c r="C49" s="36" t="s">
        <v>28</v>
      </c>
      <c r="D49" s="35">
        <v>3</v>
      </c>
      <c r="E49" s="34">
        <v>1.753360607832E-3</v>
      </c>
    </row>
    <row r="50" spans="2:5" ht="15" customHeight="1">
      <c r="B50" s="86" t="s">
        <v>79</v>
      </c>
      <c r="C50" s="62" t="s">
        <v>151</v>
      </c>
      <c r="D50" s="63">
        <v>1</v>
      </c>
      <c r="E50" s="64">
        <v>5.8445353594399998E-4</v>
      </c>
    </row>
    <row r="51" spans="2:5" ht="15" customHeight="1">
      <c r="B51" s="88"/>
      <c r="C51" s="62" t="s">
        <v>153</v>
      </c>
      <c r="D51" s="63">
        <v>2</v>
      </c>
      <c r="E51" s="64">
        <v>1.168907071888E-3</v>
      </c>
    </row>
    <row r="52" spans="2:5" ht="15" customHeight="1">
      <c r="B52" s="88"/>
      <c r="C52" s="62" t="s">
        <v>154</v>
      </c>
      <c r="D52" s="63">
        <v>1</v>
      </c>
      <c r="E52" s="64">
        <v>5.8445353594399998E-4</v>
      </c>
    </row>
    <row r="53" spans="2:5" ht="15" customHeight="1">
      <c r="B53" s="88"/>
      <c r="C53" s="62" t="s">
        <v>155</v>
      </c>
      <c r="D53" s="63">
        <v>1</v>
      </c>
      <c r="E53" s="64">
        <v>5.8445353594399998E-4</v>
      </c>
    </row>
    <row r="54" spans="2:5" ht="15" customHeight="1">
      <c r="B54" s="88"/>
      <c r="C54" s="62" t="s">
        <v>157</v>
      </c>
      <c r="D54" s="63">
        <v>1</v>
      </c>
      <c r="E54" s="64">
        <v>5.8445353594399998E-4</v>
      </c>
    </row>
    <row r="55" spans="2:5" ht="15" customHeight="1">
      <c r="B55" s="88"/>
      <c r="C55" s="62" t="s">
        <v>158</v>
      </c>
      <c r="D55" s="63">
        <v>1</v>
      </c>
      <c r="E55" s="64">
        <v>5.8445353594399998E-4</v>
      </c>
    </row>
    <row r="56" spans="2:5" ht="15" customHeight="1">
      <c r="B56" s="88"/>
      <c r="C56" s="62" t="s">
        <v>161</v>
      </c>
      <c r="D56" s="63">
        <v>3</v>
      </c>
      <c r="E56" s="64">
        <v>1.753360607832E-3</v>
      </c>
    </row>
    <row r="57" spans="2:5" ht="15" customHeight="1">
      <c r="B57" s="88"/>
      <c r="C57" s="62" t="s">
        <v>166</v>
      </c>
      <c r="D57" s="63">
        <v>1</v>
      </c>
      <c r="E57" s="64">
        <v>5.8445353594399998E-4</v>
      </c>
    </row>
    <row r="58" spans="2:5" ht="15" customHeight="1">
      <c r="B58" s="88"/>
      <c r="C58" s="62" t="s">
        <v>167</v>
      </c>
      <c r="D58" s="63">
        <v>1</v>
      </c>
      <c r="E58" s="64">
        <v>5.8445353594399998E-4</v>
      </c>
    </row>
    <row r="59" spans="2:5" ht="15" customHeight="1">
      <c r="B59" s="87"/>
      <c r="C59" s="36" t="s">
        <v>28</v>
      </c>
      <c r="D59" s="35">
        <v>12</v>
      </c>
      <c r="E59" s="34">
        <v>7.0134424313270001E-3</v>
      </c>
    </row>
    <row r="60" spans="2:5" ht="15" customHeight="1">
      <c r="B60" s="86" t="s">
        <v>52</v>
      </c>
      <c r="C60" s="62" t="s">
        <v>149</v>
      </c>
      <c r="D60" s="63">
        <v>1</v>
      </c>
      <c r="E60" s="64">
        <v>5.8445353594399998E-4</v>
      </c>
    </row>
    <row r="61" spans="2:5" ht="15" customHeight="1">
      <c r="B61" s="88"/>
      <c r="C61" s="62" t="s">
        <v>151</v>
      </c>
      <c r="D61" s="63">
        <v>1</v>
      </c>
      <c r="E61" s="64">
        <v>5.8445353594399998E-4</v>
      </c>
    </row>
    <row r="62" spans="2:5" ht="15" customHeight="1">
      <c r="B62" s="88"/>
      <c r="C62" s="62" t="s">
        <v>153</v>
      </c>
      <c r="D62" s="63">
        <v>3</v>
      </c>
      <c r="E62" s="64">
        <v>1.753360607832E-3</v>
      </c>
    </row>
    <row r="63" spans="2:5" ht="15" customHeight="1">
      <c r="B63" s="88"/>
      <c r="C63" s="62" t="s">
        <v>154</v>
      </c>
      <c r="D63" s="63">
        <v>12</v>
      </c>
      <c r="E63" s="64">
        <v>7.0134424313270001E-3</v>
      </c>
    </row>
    <row r="64" spans="2:5" ht="15" customHeight="1">
      <c r="B64" s="88"/>
      <c r="C64" s="62" t="s">
        <v>156</v>
      </c>
      <c r="D64" s="63">
        <v>2</v>
      </c>
      <c r="E64" s="64">
        <v>1.168907071888E-3</v>
      </c>
    </row>
    <row r="65" spans="2:5" ht="15" customHeight="1">
      <c r="B65" s="88"/>
      <c r="C65" s="62" t="s">
        <v>157</v>
      </c>
      <c r="D65" s="63">
        <v>3</v>
      </c>
      <c r="E65" s="64">
        <v>1.753360607832E-3</v>
      </c>
    </row>
    <row r="66" spans="2:5" ht="15" customHeight="1">
      <c r="B66" s="88"/>
      <c r="C66" s="62" t="s">
        <v>158</v>
      </c>
      <c r="D66" s="63">
        <v>23</v>
      </c>
      <c r="E66" s="64">
        <v>1.3442431326710001E-2</v>
      </c>
    </row>
    <row r="67" spans="2:5" ht="15" customHeight="1">
      <c r="B67" s="88"/>
      <c r="C67" s="62" t="s">
        <v>159</v>
      </c>
      <c r="D67" s="63">
        <v>1</v>
      </c>
      <c r="E67" s="64">
        <v>5.8445353594399998E-4</v>
      </c>
    </row>
    <row r="68" spans="2:5" ht="15" customHeight="1">
      <c r="B68" s="88"/>
      <c r="C68" s="62" t="s">
        <v>160</v>
      </c>
      <c r="D68" s="63">
        <v>4</v>
      </c>
      <c r="E68" s="64">
        <v>2.3378141437759999E-3</v>
      </c>
    </row>
    <row r="69" spans="2:5" ht="15" customHeight="1">
      <c r="B69" s="88"/>
      <c r="C69" s="62" t="s">
        <v>161</v>
      </c>
      <c r="D69" s="63">
        <v>19</v>
      </c>
      <c r="E69" s="64">
        <v>1.1104617182934E-2</v>
      </c>
    </row>
    <row r="70" spans="2:5" ht="15" customHeight="1">
      <c r="B70" s="88"/>
      <c r="C70" s="62" t="s">
        <v>163</v>
      </c>
      <c r="D70" s="63">
        <v>1</v>
      </c>
      <c r="E70" s="64">
        <v>5.8445353594399998E-4</v>
      </c>
    </row>
    <row r="71" spans="2:5" ht="15" customHeight="1">
      <c r="B71" s="88"/>
      <c r="C71" s="62" t="s">
        <v>166</v>
      </c>
      <c r="D71" s="63">
        <v>1</v>
      </c>
      <c r="E71" s="64">
        <v>5.8445353594399998E-4</v>
      </c>
    </row>
    <row r="72" spans="2:5" ht="15" customHeight="1">
      <c r="B72" s="88"/>
      <c r="C72" s="62" t="s">
        <v>167</v>
      </c>
      <c r="D72" s="63">
        <v>5</v>
      </c>
      <c r="E72" s="64">
        <v>2.9222676797189999E-3</v>
      </c>
    </row>
    <row r="73" spans="2:5" ht="15" customHeight="1">
      <c r="B73" s="87"/>
      <c r="C73" s="36" t="s">
        <v>28</v>
      </c>
      <c r="D73" s="35">
        <v>76</v>
      </c>
      <c r="E73" s="34">
        <v>4.4418468731736001E-2</v>
      </c>
    </row>
    <row r="74" spans="2:5" ht="15" customHeight="1">
      <c r="B74" s="86" t="s">
        <v>50</v>
      </c>
      <c r="C74" s="62" t="s">
        <v>147</v>
      </c>
      <c r="D74" s="63">
        <v>1</v>
      </c>
      <c r="E74" s="64">
        <v>5.8445353594399998E-4</v>
      </c>
    </row>
    <row r="75" spans="2:5" ht="15" customHeight="1">
      <c r="B75" s="88"/>
      <c r="C75" s="62" t="s">
        <v>148</v>
      </c>
      <c r="D75" s="63">
        <v>1</v>
      </c>
      <c r="E75" s="64">
        <v>5.8445353594399998E-4</v>
      </c>
    </row>
    <row r="76" spans="2:5" ht="15" customHeight="1">
      <c r="B76" s="88"/>
      <c r="C76" s="62" t="s">
        <v>151</v>
      </c>
      <c r="D76" s="63">
        <v>1</v>
      </c>
      <c r="E76" s="64">
        <v>5.8445353594399998E-4</v>
      </c>
    </row>
    <row r="77" spans="2:5" ht="15" customHeight="1">
      <c r="B77" s="88"/>
      <c r="C77" s="62" t="s">
        <v>153</v>
      </c>
      <c r="D77" s="63">
        <v>3</v>
      </c>
      <c r="E77" s="64">
        <v>1.753360607832E-3</v>
      </c>
    </row>
    <row r="78" spans="2:5" ht="15" customHeight="1">
      <c r="B78" s="88"/>
      <c r="C78" s="62" t="s">
        <v>154</v>
      </c>
      <c r="D78" s="63">
        <v>3</v>
      </c>
      <c r="E78" s="64">
        <v>1.753360607832E-3</v>
      </c>
    </row>
    <row r="79" spans="2:5" ht="15" customHeight="1">
      <c r="B79" s="88"/>
      <c r="C79" s="62" t="s">
        <v>157</v>
      </c>
      <c r="D79" s="63">
        <v>8</v>
      </c>
      <c r="E79" s="64">
        <v>4.6756282875509998E-3</v>
      </c>
    </row>
    <row r="80" spans="2:5" ht="15" customHeight="1">
      <c r="B80" s="88"/>
      <c r="C80" s="62" t="s">
        <v>158</v>
      </c>
      <c r="D80" s="63">
        <v>29</v>
      </c>
      <c r="E80" s="64">
        <v>1.6949152542372999E-2</v>
      </c>
    </row>
    <row r="81" spans="2:5" ht="15" customHeight="1">
      <c r="B81" s="88"/>
      <c r="C81" s="62" t="s">
        <v>159</v>
      </c>
      <c r="D81" s="63">
        <v>3</v>
      </c>
      <c r="E81" s="64">
        <v>1.753360607832E-3</v>
      </c>
    </row>
    <row r="82" spans="2:5" ht="15" customHeight="1">
      <c r="B82" s="88"/>
      <c r="C82" s="62" t="s">
        <v>160</v>
      </c>
      <c r="D82" s="63">
        <v>8</v>
      </c>
      <c r="E82" s="64">
        <v>4.6756282875509998E-3</v>
      </c>
    </row>
    <row r="83" spans="2:5" ht="15" customHeight="1">
      <c r="B83" s="88"/>
      <c r="C83" s="62" t="s">
        <v>161</v>
      </c>
      <c r="D83" s="63">
        <v>30</v>
      </c>
      <c r="E83" s="64">
        <v>1.7533606078316999E-2</v>
      </c>
    </row>
    <row r="84" spans="2:5" ht="15" customHeight="1">
      <c r="B84" s="88"/>
      <c r="C84" s="62" t="s">
        <v>163</v>
      </c>
      <c r="D84" s="63">
        <v>1</v>
      </c>
      <c r="E84" s="64">
        <v>5.8445353594399998E-4</v>
      </c>
    </row>
    <row r="85" spans="2:5" ht="15" customHeight="1">
      <c r="B85" s="88"/>
      <c r="C85" s="62" t="s">
        <v>164</v>
      </c>
      <c r="D85" s="63">
        <v>1</v>
      </c>
      <c r="E85" s="64">
        <v>5.8445353594399998E-4</v>
      </c>
    </row>
    <row r="86" spans="2:5" ht="15" customHeight="1">
      <c r="B86" s="88"/>
      <c r="C86" s="62" t="s">
        <v>166</v>
      </c>
      <c r="D86" s="63">
        <v>3</v>
      </c>
      <c r="E86" s="64">
        <v>1.753360607832E-3</v>
      </c>
    </row>
    <row r="87" spans="2:5" ht="15" customHeight="1">
      <c r="B87" s="88"/>
      <c r="C87" s="62" t="s">
        <v>167</v>
      </c>
      <c r="D87" s="63">
        <v>5</v>
      </c>
      <c r="E87" s="64">
        <v>2.9222676797189999E-3</v>
      </c>
    </row>
    <row r="88" spans="2:5" ht="15" customHeight="1">
      <c r="B88" s="87"/>
      <c r="C88" s="36" t="s">
        <v>28</v>
      </c>
      <c r="D88" s="35">
        <v>97</v>
      </c>
      <c r="E88" s="34">
        <v>5.6691992986557999E-2</v>
      </c>
    </row>
    <row r="89" spans="2:5" ht="15" customHeight="1">
      <c r="B89" s="86" t="s">
        <v>62</v>
      </c>
      <c r="C89" s="62" t="s">
        <v>151</v>
      </c>
      <c r="D89" s="63">
        <v>1</v>
      </c>
      <c r="E89" s="64">
        <v>5.8445353594399998E-4</v>
      </c>
    </row>
    <row r="90" spans="2:5" ht="15" customHeight="1">
      <c r="B90" s="88"/>
      <c r="C90" s="62" t="s">
        <v>153</v>
      </c>
      <c r="D90" s="63">
        <v>3</v>
      </c>
      <c r="E90" s="64">
        <v>1.753360607832E-3</v>
      </c>
    </row>
    <row r="91" spans="2:5" ht="15" customHeight="1">
      <c r="B91" s="88"/>
      <c r="C91" s="62" t="s">
        <v>154</v>
      </c>
      <c r="D91" s="63">
        <v>2</v>
      </c>
      <c r="E91" s="64">
        <v>1.168907071888E-3</v>
      </c>
    </row>
    <row r="92" spans="2:5" ht="15" customHeight="1">
      <c r="B92" s="88"/>
      <c r="C92" s="62" t="s">
        <v>156</v>
      </c>
      <c r="D92" s="63">
        <v>3</v>
      </c>
      <c r="E92" s="64">
        <v>1.753360607832E-3</v>
      </c>
    </row>
    <row r="93" spans="2:5" ht="15" customHeight="1">
      <c r="B93" s="88"/>
      <c r="C93" s="62" t="s">
        <v>157</v>
      </c>
      <c r="D93" s="63">
        <v>5</v>
      </c>
      <c r="E93" s="64">
        <v>2.9222676797189999E-3</v>
      </c>
    </row>
    <row r="94" spans="2:5" ht="15" customHeight="1">
      <c r="B94" s="88"/>
      <c r="C94" s="62" t="s">
        <v>158</v>
      </c>
      <c r="D94" s="63">
        <v>10</v>
      </c>
      <c r="E94" s="64">
        <v>5.8445353594389999E-3</v>
      </c>
    </row>
    <row r="95" spans="2:5" ht="15" customHeight="1">
      <c r="B95" s="88"/>
      <c r="C95" s="62" t="s">
        <v>159</v>
      </c>
      <c r="D95" s="63">
        <v>1</v>
      </c>
      <c r="E95" s="64">
        <v>5.8445353594399998E-4</v>
      </c>
    </row>
    <row r="96" spans="2:5" ht="15" customHeight="1">
      <c r="B96" s="88"/>
      <c r="C96" s="62" t="s">
        <v>160</v>
      </c>
      <c r="D96" s="63">
        <v>8</v>
      </c>
      <c r="E96" s="64">
        <v>4.6756282875509998E-3</v>
      </c>
    </row>
    <row r="97" spans="2:5" ht="15" customHeight="1">
      <c r="B97" s="88"/>
      <c r="C97" s="62" t="s">
        <v>161</v>
      </c>
      <c r="D97" s="63">
        <v>9</v>
      </c>
      <c r="E97" s="64">
        <v>5.2600818234950003E-3</v>
      </c>
    </row>
    <row r="98" spans="2:5" ht="15" customHeight="1">
      <c r="B98" s="88"/>
      <c r="C98" s="62" t="s">
        <v>162</v>
      </c>
      <c r="D98" s="63">
        <v>1</v>
      </c>
      <c r="E98" s="64">
        <v>5.8445353594399998E-4</v>
      </c>
    </row>
    <row r="99" spans="2:5" ht="15" customHeight="1">
      <c r="B99" s="88"/>
      <c r="C99" s="62" t="s">
        <v>163</v>
      </c>
      <c r="D99" s="63">
        <v>1</v>
      </c>
      <c r="E99" s="64">
        <v>5.8445353594399998E-4</v>
      </c>
    </row>
    <row r="100" spans="2:5" ht="15" customHeight="1">
      <c r="B100" s="88"/>
      <c r="C100" s="62" t="s">
        <v>166</v>
      </c>
      <c r="D100" s="63">
        <v>1</v>
      </c>
      <c r="E100" s="64">
        <v>5.8445353594399998E-4</v>
      </c>
    </row>
    <row r="101" spans="2:5" ht="15" customHeight="1">
      <c r="B101" s="88"/>
      <c r="C101" s="62" t="s">
        <v>167</v>
      </c>
      <c r="D101" s="63">
        <v>3</v>
      </c>
      <c r="E101" s="64">
        <v>1.753360607832E-3</v>
      </c>
    </row>
    <row r="102" spans="2:5" ht="15" customHeight="1">
      <c r="B102" s="87"/>
      <c r="C102" s="36" t="s">
        <v>28</v>
      </c>
      <c r="D102" s="35">
        <v>48</v>
      </c>
      <c r="E102" s="34">
        <v>2.8053769725307001E-2</v>
      </c>
    </row>
    <row r="103" spans="2:5" ht="15" customHeight="1">
      <c r="B103" s="86" t="s">
        <v>68</v>
      </c>
      <c r="C103" s="62" t="s">
        <v>148</v>
      </c>
      <c r="D103" s="63">
        <v>1</v>
      </c>
      <c r="E103" s="64">
        <v>5.8445353594399998E-4</v>
      </c>
    </row>
    <row r="104" spans="2:5" ht="15" customHeight="1">
      <c r="B104" s="88"/>
      <c r="C104" s="62" t="s">
        <v>150</v>
      </c>
      <c r="D104" s="63">
        <v>1</v>
      </c>
      <c r="E104" s="64">
        <v>5.8445353594399998E-4</v>
      </c>
    </row>
    <row r="105" spans="2:5" ht="15" customHeight="1">
      <c r="B105" s="88"/>
      <c r="C105" s="62" t="s">
        <v>155</v>
      </c>
      <c r="D105" s="63">
        <v>1</v>
      </c>
      <c r="E105" s="64">
        <v>5.8445353594399998E-4</v>
      </c>
    </row>
    <row r="106" spans="2:5" ht="15" customHeight="1">
      <c r="B106" s="88"/>
      <c r="C106" s="62" t="s">
        <v>158</v>
      </c>
      <c r="D106" s="63">
        <v>13</v>
      </c>
      <c r="E106" s="64">
        <v>7.5978959672709998E-3</v>
      </c>
    </row>
    <row r="107" spans="2:5" ht="15" customHeight="1">
      <c r="B107" s="88"/>
      <c r="C107" s="62" t="s">
        <v>160</v>
      </c>
      <c r="D107" s="63">
        <v>1</v>
      </c>
      <c r="E107" s="64">
        <v>5.8445353594399998E-4</v>
      </c>
    </row>
    <row r="108" spans="2:5" ht="15" customHeight="1">
      <c r="B108" s="88"/>
      <c r="C108" s="62" t="s">
        <v>161</v>
      </c>
      <c r="D108" s="63">
        <v>11</v>
      </c>
      <c r="E108" s="64">
        <v>6.4289888953829996E-3</v>
      </c>
    </row>
    <row r="109" spans="2:5" ht="15" customHeight="1">
      <c r="B109" s="88"/>
      <c r="C109" s="62" t="s">
        <v>166</v>
      </c>
      <c r="D109" s="63">
        <v>1</v>
      </c>
      <c r="E109" s="64">
        <v>5.8445353594399998E-4</v>
      </c>
    </row>
    <row r="110" spans="2:5" ht="15" customHeight="1">
      <c r="B110" s="88"/>
      <c r="C110" s="62" t="s">
        <v>167</v>
      </c>
      <c r="D110" s="63">
        <v>3</v>
      </c>
      <c r="E110" s="64">
        <v>1.753360607832E-3</v>
      </c>
    </row>
    <row r="111" spans="2:5" ht="15" customHeight="1">
      <c r="B111" s="87"/>
      <c r="C111" s="36" t="s">
        <v>28</v>
      </c>
      <c r="D111" s="35">
        <v>32</v>
      </c>
      <c r="E111" s="34">
        <v>1.8702513150205002E-2</v>
      </c>
    </row>
    <row r="112" spans="2:5" ht="15" customHeight="1">
      <c r="B112" s="86" t="s">
        <v>88</v>
      </c>
      <c r="C112" s="62" t="s">
        <v>158</v>
      </c>
      <c r="D112" s="63">
        <v>1</v>
      </c>
      <c r="E112" s="64">
        <v>5.8445353594399998E-4</v>
      </c>
    </row>
    <row r="113" spans="2:5" ht="15" customHeight="1">
      <c r="B113" s="88"/>
      <c r="C113" s="62" t="s">
        <v>161</v>
      </c>
      <c r="D113" s="63">
        <v>1</v>
      </c>
      <c r="E113" s="64">
        <v>5.8445353594399998E-4</v>
      </c>
    </row>
    <row r="114" spans="2:5" ht="15" customHeight="1">
      <c r="B114" s="87"/>
      <c r="C114" s="36" t="s">
        <v>28</v>
      </c>
      <c r="D114" s="35">
        <v>2</v>
      </c>
      <c r="E114" s="34">
        <v>1.168907071888E-3</v>
      </c>
    </row>
    <row r="115" spans="2:5" ht="15" customHeight="1">
      <c r="B115" s="86" t="s">
        <v>80</v>
      </c>
      <c r="C115" s="62" t="s">
        <v>153</v>
      </c>
      <c r="D115" s="63">
        <v>1</v>
      </c>
      <c r="E115" s="64">
        <v>5.8445353594399998E-4</v>
      </c>
    </row>
    <row r="116" spans="2:5" ht="15" customHeight="1">
      <c r="B116" s="88"/>
      <c r="C116" s="62" t="s">
        <v>154</v>
      </c>
      <c r="D116" s="63">
        <v>2</v>
      </c>
      <c r="E116" s="64">
        <v>1.168907071888E-3</v>
      </c>
    </row>
    <row r="117" spans="2:5" ht="15" customHeight="1">
      <c r="B117" s="88"/>
      <c r="C117" s="62" t="s">
        <v>158</v>
      </c>
      <c r="D117" s="63">
        <v>4</v>
      </c>
      <c r="E117" s="64">
        <v>2.3378141437759999E-3</v>
      </c>
    </row>
    <row r="118" spans="2:5" ht="15" customHeight="1">
      <c r="B118" s="88"/>
      <c r="C118" s="62" t="s">
        <v>160</v>
      </c>
      <c r="D118" s="63">
        <v>1</v>
      </c>
      <c r="E118" s="64">
        <v>5.8445353594399998E-4</v>
      </c>
    </row>
    <row r="119" spans="2:5" ht="15" customHeight="1">
      <c r="B119" s="88"/>
      <c r="C119" s="62" t="s">
        <v>161</v>
      </c>
      <c r="D119" s="63">
        <v>2</v>
      </c>
      <c r="E119" s="64">
        <v>1.168907071888E-3</v>
      </c>
    </row>
    <row r="120" spans="2:5" ht="15" customHeight="1">
      <c r="B120" s="88"/>
      <c r="C120" s="62" t="s">
        <v>166</v>
      </c>
      <c r="D120" s="63">
        <v>1</v>
      </c>
      <c r="E120" s="64">
        <v>5.8445353594399998E-4</v>
      </c>
    </row>
    <row r="121" spans="2:5" ht="15" customHeight="1">
      <c r="B121" s="87"/>
      <c r="C121" s="36" t="s">
        <v>28</v>
      </c>
      <c r="D121" s="35">
        <v>11</v>
      </c>
      <c r="E121" s="34">
        <v>6.4289888953829996E-3</v>
      </c>
    </row>
    <row r="122" spans="2:5" ht="15" customHeight="1">
      <c r="B122" s="86" t="s">
        <v>72</v>
      </c>
      <c r="C122" s="62" t="s">
        <v>151</v>
      </c>
      <c r="D122" s="63">
        <v>1</v>
      </c>
      <c r="E122" s="64">
        <v>5.8445353594399998E-4</v>
      </c>
    </row>
    <row r="123" spans="2:5" ht="15" customHeight="1">
      <c r="B123" s="88"/>
      <c r="C123" s="62" t="s">
        <v>152</v>
      </c>
      <c r="D123" s="63">
        <v>1</v>
      </c>
      <c r="E123" s="64">
        <v>5.8445353594399998E-4</v>
      </c>
    </row>
    <row r="124" spans="2:5" ht="15" customHeight="1">
      <c r="B124" s="88"/>
      <c r="C124" s="62" t="s">
        <v>153</v>
      </c>
      <c r="D124" s="63">
        <v>3</v>
      </c>
      <c r="E124" s="64">
        <v>1.753360607832E-3</v>
      </c>
    </row>
    <row r="125" spans="2:5" ht="15" customHeight="1">
      <c r="B125" s="88"/>
      <c r="C125" s="62" t="s">
        <v>154</v>
      </c>
      <c r="D125" s="63">
        <v>2</v>
      </c>
      <c r="E125" s="64">
        <v>1.168907071888E-3</v>
      </c>
    </row>
    <row r="126" spans="2:5" ht="15" customHeight="1">
      <c r="B126" s="88"/>
      <c r="C126" s="62" t="s">
        <v>157</v>
      </c>
      <c r="D126" s="63">
        <v>3</v>
      </c>
      <c r="E126" s="64">
        <v>1.753360607832E-3</v>
      </c>
    </row>
    <row r="127" spans="2:5" ht="15" customHeight="1">
      <c r="B127" s="88"/>
      <c r="C127" s="62" t="s">
        <v>158</v>
      </c>
      <c r="D127" s="63">
        <v>13</v>
      </c>
      <c r="E127" s="64">
        <v>7.5978959672709998E-3</v>
      </c>
    </row>
    <row r="128" spans="2:5" ht="15" customHeight="1">
      <c r="B128" s="88"/>
      <c r="C128" s="62" t="s">
        <v>160</v>
      </c>
      <c r="D128" s="63">
        <v>1</v>
      </c>
      <c r="E128" s="64">
        <v>5.8445353594399998E-4</v>
      </c>
    </row>
    <row r="129" spans="2:5" ht="15" customHeight="1">
      <c r="B129" s="88"/>
      <c r="C129" s="62" t="s">
        <v>161</v>
      </c>
      <c r="D129" s="63">
        <v>1</v>
      </c>
      <c r="E129" s="64">
        <v>5.8445353594399998E-4</v>
      </c>
    </row>
    <row r="130" spans="2:5" ht="15" customHeight="1">
      <c r="B130" s="87"/>
      <c r="C130" s="36" t="s">
        <v>28</v>
      </c>
      <c r="D130" s="35">
        <v>25</v>
      </c>
      <c r="E130" s="34">
        <v>1.4611338398597001E-2</v>
      </c>
    </row>
    <row r="131" spans="2:5" ht="15" customHeight="1">
      <c r="B131" s="86" t="s">
        <v>53</v>
      </c>
      <c r="C131" s="62" t="s">
        <v>151</v>
      </c>
      <c r="D131" s="63">
        <v>1</v>
      </c>
      <c r="E131" s="64">
        <v>5.8445353594399998E-4</v>
      </c>
    </row>
    <row r="132" spans="2:5" ht="15" customHeight="1">
      <c r="B132" s="88"/>
      <c r="C132" s="62" t="s">
        <v>152</v>
      </c>
      <c r="D132" s="63">
        <v>1</v>
      </c>
      <c r="E132" s="64">
        <v>5.8445353594399998E-4</v>
      </c>
    </row>
    <row r="133" spans="2:5" ht="15" customHeight="1">
      <c r="B133" s="88"/>
      <c r="C133" s="62" t="s">
        <v>153</v>
      </c>
      <c r="D133" s="63">
        <v>7</v>
      </c>
      <c r="E133" s="64">
        <v>4.0911747516070001E-3</v>
      </c>
    </row>
    <row r="134" spans="2:5" ht="15" customHeight="1">
      <c r="B134" s="88"/>
      <c r="C134" s="62" t="s">
        <v>154</v>
      </c>
      <c r="D134" s="63">
        <v>9</v>
      </c>
      <c r="E134" s="64">
        <v>5.2600818234950003E-3</v>
      </c>
    </row>
    <row r="135" spans="2:5" ht="15" customHeight="1">
      <c r="B135" s="88"/>
      <c r="C135" s="62" t="s">
        <v>155</v>
      </c>
      <c r="D135" s="63">
        <v>1</v>
      </c>
      <c r="E135" s="64">
        <v>5.8445353594399998E-4</v>
      </c>
    </row>
    <row r="136" spans="2:5" ht="15" customHeight="1">
      <c r="B136" s="88"/>
      <c r="C136" s="62" t="s">
        <v>157</v>
      </c>
      <c r="D136" s="63">
        <v>6</v>
      </c>
      <c r="E136" s="64">
        <v>3.506721215663E-3</v>
      </c>
    </row>
    <row r="137" spans="2:5" ht="15" customHeight="1">
      <c r="B137" s="88"/>
      <c r="C137" s="62" t="s">
        <v>158</v>
      </c>
      <c r="D137" s="63">
        <v>16</v>
      </c>
      <c r="E137" s="64">
        <v>9.3512565751019995E-3</v>
      </c>
    </row>
    <row r="138" spans="2:5" ht="15" customHeight="1">
      <c r="B138" s="88"/>
      <c r="C138" s="62" t="s">
        <v>160</v>
      </c>
      <c r="D138" s="63">
        <v>3</v>
      </c>
      <c r="E138" s="64">
        <v>1.753360607832E-3</v>
      </c>
    </row>
    <row r="139" spans="2:5" ht="15" customHeight="1">
      <c r="B139" s="88"/>
      <c r="C139" s="62" t="s">
        <v>161</v>
      </c>
      <c r="D139" s="63">
        <v>20</v>
      </c>
      <c r="E139" s="64">
        <v>1.1689070718878E-2</v>
      </c>
    </row>
    <row r="140" spans="2:5" ht="15" customHeight="1">
      <c r="B140" s="88"/>
      <c r="C140" s="62" t="s">
        <v>162</v>
      </c>
      <c r="D140" s="63">
        <v>2</v>
      </c>
      <c r="E140" s="64">
        <v>1.168907071888E-3</v>
      </c>
    </row>
    <row r="141" spans="2:5" ht="15" customHeight="1">
      <c r="B141" s="88"/>
      <c r="C141" s="62" t="s">
        <v>163</v>
      </c>
      <c r="D141" s="63">
        <v>1</v>
      </c>
      <c r="E141" s="64">
        <v>5.8445353594399998E-4</v>
      </c>
    </row>
    <row r="142" spans="2:5" ht="15" customHeight="1">
      <c r="B142" s="88"/>
      <c r="C142" s="62" t="s">
        <v>167</v>
      </c>
      <c r="D142" s="63">
        <v>8</v>
      </c>
      <c r="E142" s="64">
        <v>4.6756282875509998E-3</v>
      </c>
    </row>
    <row r="143" spans="2:5" ht="15" customHeight="1">
      <c r="B143" s="87"/>
      <c r="C143" s="36" t="s">
        <v>28</v>
      </c>
      <c r="D143" s="35">
        <v>75</v>
      </c>
      <c r="E143" s="34">
        <v>4.3834015195791998E-2</v>
      </c>
    </row>
    <row r="144" spans="2:5" ht="15" customHeight="1">
      <c r="B144" s="86" t="s">
        <v>64</v>
      </c>
      <c r="C144" s="62" t="s">
        <v>152</v>
      </c>
      <c r="D144" s="63">
        <v>1</v>
      </c>
      <c r="E144" s="64">
        <v>5.8445353594399998E-4</v>
      </c>
    </row>
    <row r="145" spans="2:5" ht="15" customHeight="1">
      <c r="B145" s="88"/>
      <c r="C145" s="62" t="s">
        <v>153</v>
      </c>
      <c r="D145" s="63">
        <v>3</v>
      </c>
      <c r="E145" s="64">
        <v>1.753360607832E-3</v>
      </c>
    </row>
    <row r="146" spans="2:5" ht="15" customHeight="1">
      <c r="B146" s="88"/>
      <c r="C146" s="62" t="s">
        <v>154</v>
      </c>
      <c r="D146" s="63">
        <v>6</v>
      </c>
      <c r="E146" s="64">
        <v>3.506721215663E-3</v>
      </c>
    </row>
    <row r="147" spans="2:5" ht="15" customHeight="1">
      <c r="B147" s="88"/>
      <c r="C147" s="62" t="s">
        <v>157</v>
      </c>
      <c r="D147" s="63">
        <v>6</v>
      </c>
      <c r="E147" s="64">
        <v>3.506721215663E-3</v>
      </c>
    </row>
    <row r="148" spans="2:5" ht="15" customHeight="1">
      <c r="B148" s="88"/>
      <c r="C148" s="62" t="s">
        <v>158</v>
      </c>
      <c r="D148" s="63">
        <v>10</v>
      </c>
      <c r="E148" s="64">
        <v>5.8445353594389999E-3</v>
      </c>
    </row>
    <row r="149" spans="2:5" ht="15" customHeight="1">
      <c r="B149" s="88"/>
      <c r="C149" s="62" t="s">
        <v>159</v>
      </c>
      <c r="D149" s="63">
        <v>1</v>
      </c>
      <c r="E149" s="64">
        <v>5.8445353594399998E-4</v>
      </c>
    </row>
    <row r="150" spans="2:5" ht="15" customHeight="1">
      <c r="B150" s="88"/>
      <c r="C150" s="62" t="s">
        <v>160</v>
      </c>
      <c r="D150" s="63">
        <v>4</v>
      </c>
      <c r="E150" s="64">
        <v>2.3378141437759999E-3</v>
      </c>
    </row>
    <row r="151" spans="2:5" ht="15" customHeight="1">
      <c r="B151" s="88"/>
      <c r="C151" s="62" t="s">
        <v>161</v>
      </c>
      <c r="D151" s="63">
        <v>6</v>
      </c>
      <c r="E151" s="64">
        <v>3.506721215663E-3</v>
      </c>
    </row>
    <row r="152" spans="2:5" ht="15" customHeight="1">
      <c r="B152" s="88"/>
      <c r="C152" s="62" t="s">
        <v>166</v>
      </c>
      <c r="D152" s="63">
        <v>1</v>
      </c>
      <c r="E152" s="64">
        <v>5.8445353594399998E-4</v>
      </c>
    </row>
    <row r="153" spans="2:5" ht="15" customHeight="1">
      <c r="B153" s="88"/>
      <c r="C153" s="62" t="s">
        <v>167</v>
      </c>
      <c r="D153" s="63">
        <v>2</v>
      </c>
      <c r="E153" s="64">
        <v>1.168907071888E-3</v>
      </c>
    </row>
    <row r="154" spans="2:5" ht="15" customHeight="1">
      <c r="B154" s="87"/>
      <c r="C154" s="36" t="s">
        <v>28</v>
      </c>
      <c r="D154" s="35">
        <v>40</v>
      </c>
      <c r="E154" s="34">
        <v>2.3378141437756E-2</v>
      </c>
    </row>
    <row r="155" spans="2:5" ht="15" customHeight="1">
      <c r="B155" s="86" t="s">
        <v>60</v>
      </c>
      <c r="C155" s="62" t="s">
        <v>150</v>
      </c>
      <c r="D155" s="63">
        <v>1</v>
      </c>
      <c r="E155" s="64">
        <v>5.8445353594399998E-4</v>
      </c>
    </row>
    <row r="156" spans="2:5" ht="15" customHeight="1">
      <c r="B156" s="88"/>
      <c r="C156" s="62" t="s">
        <v>151</v>
      </c>
      <c r="D156" s="63">
        <v>1</v>
      </c>
      <c r="E156" s="64">
        <v>5.8445353594399998E-4</v>
      </c>
    </row>
    <row r="157" spans="2:5" ht="15" customHeight="1">
      <c r="B157" s="88"/>
      <c r="C157" s="62" t="s">
        <v>152</v>
      </c>
      <c r="D157" s="63">
        <v>2</v>
      </c>
      <c r="E157" s="64">
        <v>1.168907071888E-3</v>
      </c>
    </row>
    <row r="158" spans="2:5" ht="15" customHeight="1">
      <c r="B158" s="88"/>
      <c r="C158" s="62" t="s">
        <v>153</v>
      </c>
      <c r="D158" s="63">
        <v>4</v>
      </c>
      <c r="E158" s="64">
        <v>2.3378141437759999E-3</v>
      </c>
    </row>
    <row r="159" spans="2:5" ht="15" customHeight="1">
      <c r="B159" s="88"/>
      <c r="C159" s="62" t="s">
        <v>154</v>
      </c>
      <c r="D159" s="63">
        <v>8</v>
      </c>
      <c r="E159" s="64">
        <v>4.6756282875509998E-3</v>
      </c>
    </row>
    <row r="160" spans="2:5" ht="15" customHeight="1">
      <c r="B160" s="88"/>
      <c r="C160" s="62" t="s">
        <v>155</v>
      </c>
      <c r="D160" s="63">
        <v>1</v>
      </c>
      <c r="E160" s="64">
        <v>5.8445353594399998E-4</v>
      </c>
    </row>
    <row r="161" spans="2:5" ht="15" customHeight="1">
      <c r="B161" s="88"/>
      <c r="C161" s="62" t="s">
        <v>157</v>
      </c>
      <c r="D161" s="63">
        <v>2</v>
      </c>
      <c r="E161" s="64">
        <v>1.168907071888E-3</v>
      </c>
    </row>
    <row r="162" spans="2:5" ht="15" customHeight="1">
      <c r="B162" s="88"/>
      <c r="C162" s="62" t="s">
        <v>158</v>
      </c>
      <c r="D162" s="63">
        <v>17</v>
      </c>
      <c r="E162" s="64">
        <v>9.9357101110459992E-3</v>
      </c>
    </row>
    <row r="163" spans="2:5" ht="15" customHeight="1">
      <c r="B163" s="88"/>
      <c r="C163" s="62" t="s">
        <v>160</v>
      </c>
      <c r="D163" s="63">
        <v>3</v>
      </c>
      <c r="E163" s="64">
        <v>1.753360607832E-3</v>
      </c>
    </row>
    <row r="164" spans="2:5" ht="15" customHeight="1">
      <c r="B164" s="88"/>
      <c r="C164" s="62" t="s">
        <v>161</v>
      </c>
      <c r="D164" s="63">
        <v>8</v>
      </c>
      <c r="E164" s="64">
        <v>4.6756282875509998E-3</v>
      </c>
    </row>
    <row r="165" spans="2:5" ht="15" customHeight="1">
      <c r="B165" s="88"/>
      <c r="C165" s="62" t="s">
        <v>166</v>
      </c>
      <c r="D165" s="63">
        <v>1</v>
      </c>
      <c r="E165" s="64">
        <v>5.8445353594399998E-4</v>
      </c>
    </row>
    <row r="166" spans="2:5" ht="15" customHeight="1">
      <c r="B166" s="88"/>
      <c r="C166" s="62" t="s">
        <v>167</v>
      </c>
      <c r="D166" s="63">
        <v>2</v>
      </c>
      <c r="E166" s="64">
        <v>1.168907071888E-3</v>
      </c>
    </row>
    <row r="167" spans="2:5" ht="15" customHeight="1">
      <c r="B167" s="87"/>
      <c r="C167" s="36" t="s">
        <v>28</v>
      </c>
      <c r="D167" s="35">
        <v>50</v>
      </c>
      <c r="E167" s="34">
        <v>2.9222676797195E-2</v>
      </c>
    </row>
    <row r="168" spans="2:5" ht="15" customHeight="1">
      <c r="B168" s="86" t="s">
        <v>78</v>
      </c>
      <c r="C168" s="62" t="s">
        <v>153</v>
      </c>
      <c r="D168" s="63">
        <v>1</v>
      </c>
      <c r="E168" s="64">
        <v>5.8445353594399998E-4</v>
      </c>
    </row>
    <row r="169" spans="2:5" ht="15" customHeight="1">
      <c r="B169" s="88"/>
      <c r="C169" s="62" t="s">
        <v>154</v>
      </c>
      <c r="D169" s="63">
        <v>2</v>
      </c>
      <c r="E169" s="64">
        <v>1.168907071888E-3</v>
      </c>
    </row>
    <row r="170" spans="2:5" ht="15" customHeight="1">
      <c r="B170" s="88"/>
      <c r="C170" s="62" t="s">
        <v>157</v>
      </c>
      <c r="D170" s="63">
        <v>1</v>
      </c>
      <c r="E170" s="64">
        <v>5.8445353594399998E-4</v>
      </c>
    </row>
    <row r="171" spans="2:5" ht="15" customHeight="1">
      <c r="B171" s="88"/>
      <c r="C171" s="62" t="s">
        <v>158</v>
      </c>
      <c r="D171" s="63">
        <v>2</v>
      </c>
      <c r="E171" s="64">
        <v>1.168907071888E-3</v>
      </c>
    </row>
    <row r="172" spans="2:5" ht="15" customHeight="1">
      <c r="B172" s="88"/>
      <c r="C172" s="62" t="s">
        <v>159</v>
      </c>
      <c r="D172" s="63">
        <v>1</v>
      </c>
      <c r="E172" s="64">
        <v>5.8445353594399998E-4</v>
      </c>
    </row>
    <row r="173" spans="2:5" ht="15" customHeight="1">
      <c r="B173" s="88"/>
      <c r="C173" s="62" t="s">
        <v>160</v>
      </c>
      <c r="D173" s="63">
        <v>1</v>
      </c>
      <c r="E173" s="64">
        <v>5.8445353594399998E-4</v>
      </c>
    </row>
    <row r="174" spans="2:5" ht="15" customHeight="1">
      <c r="B174" s="88"/>
      <c r="C174" s="62" t="s">
        <v>161</v>
      </c>
      <c r="D174" s="63">
        <v>5</v>
      </c>
      <c r="E174" s="64">
        <v>2.9222676797189999E-3</v>
      </c>
    </row>
    <row r="175" spans="2:5" ht="15" customHeight="1">
      <c r="B175" s="87"/>
      <c r="C175" s="36" t="s">
        <v>28</v>
      </c>
      <c r="D175" s="35">
        <v>13</v>
      </c>
      <c r="E175" s="34">
        <v>7.5978959672709998E-3</v>
      </c>
    </row>
    <row r="176" spans="2:5" ht="15" customHeight="1">
      <c r="B176" s="86" t="s">
        <v>66</v>
      </c>
      <c r="C176" s="62" t="s">
        <v>152</v>
      </c>
      <c r="D176" s="63">
        <v>1</v>
      </c>
      <c r="E176" s="64">
        <v>5.8445353594399998E-4</v>
      </c>
    </row>
    <row r="177" spans="2:5" ht="15" customHeight="1">
      <c r="B177" s="88"/>
      <c r="C177" s="62" t="s">
        <v>153</v>
      </c>
      <c r="D177" s="63">
        <v>1</v>
      </c>
      <c r="E177" s="64">
        <v>5.8445353594399998E-4</v>
      </c>
    </row>
    <row r="178" spans="2:5" ht="15" customHeight="1">
      <c r="B178" s="88"/>
      <c r="C178" s="62" t="s">
        <v>154</v>
      </c>
      <c r="D178" s="63">
        <v>6</v>
      </c>
      <c r="E178" s="64">
        <v>3.506721215663E-3</v>
      </c>
    </row>
    <row r="179" spans="2:5" ht="15" customHeight="1">
      <c r="B179" s="88"/>
      <c r="C179" s="62" t="s">
        <v>156</v>
      </c>
      <c r="D179" s="63">
        <v>1</v>
      </c>
      <c r="E179" s="64">
        <v>5.8445353594399998E-4</v>
      </c>
    </row>
    <row r="180" spans="2:5" ht="15" customHeight="1">
      <c r="B180" s="88"/>
      <c r="C180" s="62" t="s">
        <v>157</v>
      </c>
      <c r="D180" s="63">
        <v>1</v>
      </c>
      <c r="E180" s="64">
        <v>5.8445353594399998E-4</v>
      </c>
    </row>
    <row r="181" spans="2:5" ht="15" customHeight="1">
      <c r="B181" s="88"/>
      <c r="C181" s="62" t="s">
        <v>158</v>
      </c>
      <c r="D181" s="63">
        <v>5</v>
      </c>
      <c r="E181" s="64">
        <v>2.9222676797189999E-3</v>
      </c>
    </row>
    <row r="182" spans="2:5" ht="15" customHeight="1">
      <c r="B182" s="88"/>
      <c r="C182" s="62" t="s">
        <v>160</v>
      </c>
      <c r="D182" s="63">
        <v>3</v>
      </c>
      <c r="E182" s="64">
        <v>1.753360607832E-3</v>
      </c>
    </row>
    <row r="183" spans="2:5" ht="15" customHeight="1">
      <c r="B183" s="88"/>
      <c r="C183" s="62" t="s">
        <v>161</v>
      </c>
      <c r="D183" s="63">
        <v>16</v>
      </c>
      <c r="E183" s="64">
        <v>9.3512565751019995E-3</v>
      </c>
    </row>
    <row r="184" spans="2:5" ht="15" customHeight="1">
      <c r="B184" s="88"/>
      <c r="C184" s="62" t="s">
        <v>167</v>
      </c>
      <c r="D184" s="63">
        <v>3</v>
      </c>
      <c r="E184" s="64">
        <v>1.753360607832E-3</v>
      </c>
    </row>
    <row r="185" spans="2:5" ht="15" customHeight="1">
      <c r="B185" s="88"/>
      <c r="C185" s="62" t="s">
        <v>168</v>
      </c>
      <c r="D185" s="63">
        <v>1</v>
      </c>
      <c r="E185" s="64">
        <v>5.8445353594399998E-4</v>
      </c>
    </row>
    <row r="186" spans="2:5" ht="15" customHeight="1">
      <c r="B186" s="87"/>
      <c r="C186" s="36" t="s">
        <v>28</v>
      </c>
      <c r="D186" s="35">
        <v>38</v>
      </c>
      <c r="E186" s="34">
        <v>2.2209234365868E-2</v>
      </c>
    </row>
    <row r="187" spans="2:5" ht="15" customHeight="1">
      <c r="B187" s="86" t="s">
        <v>57</v>
      </c>
      <c r="C187" s="62" t="s">
        <v>147</v>
      </c>
      <c r="D187" s="63">
        <v>2</v>
      </c>
      <c r="E187" s="64">
        <v>1.168907071888E-3</v>
      </c>
    </row>
    <row r="188" spans="2:5" ht="15" customHeight="1">
      <c r="B188" s="88"/>
      <c r="C188" s="62" t="s">
        <v>152</v>
      </c>
      <c r="D188" s="63">
        <v>1</v>
      </c>
      <c r="E188" s="64">
        <v>5.8445353594399998E-4</v>
      </c>
    </row>
    <row r="189" spans="2:5" ht="15" customHeight="1">
      <c r="B189" s="88"/>
      <c r="C189" s="62" t="s">
        <v>153</v>
      </c>
      <c r="D189" s="63">
        <v>2</v>
      </c>
      <c r="E189" s="64">
        <v>1.168907071888E-3</v>
      </c>
    </row>
    <row r="190" spans="2:5" ht="15" customHeight="1">
      <c r="B190" s="88"/>
      <c r="C190" s="62" t="s">
        <v>154</v>
      </c>
      <c r="D190" s="63">
        <v>7</v>
      </c>
      <c r="E190" s="64">
        <v>4.0911747516070001E-3</v>
      </c>
    </row>
    <row r="191" spans="2:5" ht="15" customHeight="1">
      <c r="B191" s="88"/>
      <c r="C191" s="62" t="s">
        <v>155</v>
      </c>
      <c r="D191" s="63">
        <v>1</v>
      </c>
      <c r="E191" s="64">
        <v>5.8445353594399998E-4</v>
      </c>
    </row>
    <row r="192" spans="2:5" ht="15" customHeight="1">
      <c r="B192" s="88"/>
      <c r="C192" s="62" t="s">
        <v>156</v>
      </c>
      <c r="D192" s="63">
        <v>1</v>
      </c>
      <c r="E192" s="64">
        <v>5.8445353594399998E-4</v>
      </c>
    </row>
    <row r="193" spans="2:5" ht="15" customHeight="1">
      <c r="B193" s="88"/>
      <c r="C193" s="62" t="s">
        <v>157</v>
      </c>
      <c r="D193" s="63">
        <v>2</v>
      </c>
      <c r="E193" s="64">
        <v>1.168907071888E-3</v>
      </c>
    </row>
    <row r="194" spans="2:5" ht="15" customHeight="1">
      <c r="B194" s="88"/>
      <c r="C194" s="62" t="s">
        <v>158</v>
      </c>
      <c r="D194" s="63">
        <v>24</v>
      </c>
      <c r="E194" s="64">
        <v>1.4026884862652999E-2</v>
      </c>
    </row>
    <row r="195" spans="2:5" ht="15" customHeight="1">
      <c r="B195" s="88"/>
      <c r="C195" s="62" t="s">
        <v>160</v>
      </c>
      <c r="D195" s="63">
        <v>4</v>
      </c>
      <c r="E195" s="64">
        <v>2.3378141437759999E-3</v>
      </c>
    </row>
    <row r="196" spans="2:5" ht="15" customHeight="1">
      <c r="B196" s="88"/>
      <c r="C196" s="62" t="s">
        <v>161</v>
      </c>
      <c r="D196" s="63">
        <v>14</v>
      </c>
      <c r="E196" s="64">
        <v>8.1823495032140002E-3</v>
      </c>
    </row>
    <row r="197" spans="2:5" ht="15" customHeight="1">
      <c r="B197" s="88"/>
      <c r="C197" s="62" t="s">
        <v>166</v>
      </c>
      <c r="D197" s="63">
        <v>2</v>
      </c>
      <c r="E197" s="64">
        <v>1.168907071888E-3</v>
      </c>
    </row>
    <row r="198" spans="2:5" ht="15" customHeight="1">
      <c r="B198" s="87"/>
      <c r="C198" s="36" t="s">
        <v>28</v>
      </c>
      <c r="D198" s="35">
        <v>60</v>
      </c>
      <c r="E198" s="34">
        <v>3.5067212156633998E-2</v>
      </c>
    </row>
    <row r="199" spans="2:5" ht="15" customHeight="1">
      <c r="B199" s="86" t="s">
        <v>54</v>
      </c>
      <c r="C199" s="62" t="s">
        <v>147</v>
      </c>
      <c r="D199" s="63">
        <v>1</v>
      </c>
      <c r="E199" s="64">
        <v>5.8445353594399998E-4</v>
      </c>
    </row>
    <row r="200" spans="2:5" ht="15" customHeight="1">
      <c r="B200" s="88"/>
      <c r="C200" s="62" t="s">
        <v>150</v>
      </c>
      <c r="D200" s="63">
        <v>2</v>
      </c>
      <c r="E200" s="64">
        <v>1.168907071888E-3</v>
      </c>
    </row>
    <row r="201" spans="2:5" ht="15" customHeight="1">
      <c r="B201" s="88"/>
      <c r="C201" s="62" t="s">
        <v>152</v>
      </c>
      <c r="D201" s="63">
        <v>2</v>
      </c>
      <c r="E201" s="64">
        <v>1.168907071888E-3</v>
      </c>
    </row>
    <row r="202" spans="2:5" ht="15" customHeight="1">
      <c r="B202" s="88"/>
      <c r="C202" s="62" t="s">
        <v>153</v>
      </c>
      <c r="D202" s="63">
        <v>7</v>
      </c>
      <c r="E202" s="64">
        <v>4.0911747516070001E-3</v>
      </c>
    </row>
    <row r="203" spans="2:5" ht="15" customHeight="1">
      <c r="B203" s="88"/>
      <c r="C203" s="62" t="s">
        <v>154</v>
      </c>
      <c r="D203" s="63">
        <v>13</v>
      </c>
      <c r="E203" s="64">
        <v>7.5978959672709998E-3</v>
      </c>
    </row>
    <row r="204" spans="2:5" ht="15" customHeight="1">
      <c r="B204" s="88"/>
      <c r="C204" s="62" t="s">
        <v>155</v>
      </c>
      <c r="D204" s="63">
        <v>2</v>
      </c>
      <c r="E204" s="64">
        <v>1.168907071888E-3</v>
      </c>
    </row>
    <row r="205" spans="2:5" ht="15" customHeight="1">
      <c r="B205" s="88"/>
      <c r="C205" s="62" t="s">
        <v>156</v>
      </c>
      <c r="D205" s="63">
        <v>1</v>
      </c>
      <c r="E205" s="64">
        <v>5.8445353594399998E-4</v>
      </c>
    </row>
    <row r="206" spans="2:5" ht="15" customHeight="1">
      <c r="B206" s="88"/>
      <c r="C206" s="62" t="s">
        <v>157</v>
      </c>
      <c r="D206" s="63">
        <v>1</v>
      </c>
      <c r="E206" s="64">
        <v>5.8445353594399998E-4</v>
      </c>
    </row>
    <row r="207" spans="2:5" ht="15" customHeight="1">
      <c r="B207" s="88"/>
      <c r="C207" s="62" t="s">
        <v>158</v>
      </c>
      <c r="D207" s="63">
        <v>20</v>
      </c>
      <c r="E207" s="64">
        <v>1.1689070718878E-2</v>
      </c>
    </row>
    <row r="208" spans="2:5" ht="15" customHeight="1">
      <c r="B208" s="88"/>
      <c r="C208" s="62" t="s">
        <v>159</v>
      </c>
      <c r="D208" s="63">
        <v>1</v>
      </c>
      <c r="E208" s="64">
        <v>5.8445353594399998E-4</v>
      </c>
    </row>
    <row r="209" spans="2:5" ht="15" customHeight="1">
      <c r="B209" s="88"/>
      <c r="C209" s="62" t="s">
        <v>160</v>
      </c>
      <c r="D209" s="63">
        <v>1</v>
      </c>
      <c r="E209" s="64">
        <v>5.8445353594399998E-4</v>
      </c>
    </row>
    <row r="210" spans="2:5" ht="15" customHeight="1">
      <c r="B210" s="88"/>
      <c r="C210" s="62" t="s">
        <v>161</v>
      </c>
      <c r="D210" s="63">
        <v>13</v>
      </c>
      <c r="E210" s="64">
        <v>7.5978959672709998E-3</v>
      </c>
    </row>
    <row r="211" spans="2:5" ht="15" customHeight="1">
      <c r="B211" s="88"/>
      <c r="C211" s="62" t="s">
        <v>167</v>
      </c>
      <c r="D211" s="63">
        <v>4</v>
      </c>
      <c r="E211" s="64">
        <v>2.3378141437759999E-3</v>
      </c>
    </row>
    <row r="212" spans="2:5" ht="15" customHeight="1">
      <c r="B212" s="87"/>
      <c r="C212" s="36" t="s">
        <v>28</v>
      </c>
      <c r="D212" s="35">
        <v>68</v>
      </c>
      <c r="E212" s="34">
        <v>3.9742840444185003E-2</v>
      </c>
    </row>
    <row r="213" spans="2:5" ht="15" customHeight="1">
      <c r="B213" s="86" t="s">
        <v>61</v>
      </c>
      <c r="C213" s="62" t="s">
        <v>147</v>
      </c>
      <c r="D213" s="63">
        <v>1</v>
      </c>
      <c r="E213" s="64">
        <v>5.8445353594399998E-4</v>
      </c>
    </row>
    <row r="214" spans="2:5" ht="15" customHeight="1">
      <c r="B214" s="88"/>
      <c r="C214" s="62" t="s">
        <v>150</v>
      </c>
      <c r="D214" s="63">
        <v>2</v>
      </c>
      <c r="E214" s="64">
        <v>1.168907071888E-3</v>
      </c>
    </row>
    <row r="215" spans="2:5" ht="15" customHeight="1">
      <c r="B215" s="88"/>
      <c r="C215" s="62" t="s">
        <v>153</v>
      </c>
      <c r="D215" s="63">
        <v>1</v>
      </c>
      <c r="E215" s="64">
        <v>5.8445353594399998E-4</v>
      </c>
    </row>
    <row r="216" spans="2:5" ht="15" customHeight="1">
      <c r="B216" s="88"/>
      <c r="C216" s="62" t="s">
        <v>154</v>
      </c>
      <c r="D216" s="63">
        <v>3</v>
      </c>
      <c r="E216" s="64">
        <v>1.753360607832E-3</v>
      </c>
    </row>
    <row r="217" spans="2:5" ht="15" customHeight="1">
      <c r="B217" s="88"/>
      <c r="C217" s="62" t="s">
        <v>155</v>
      </c>
      <c r="D217" s="63">
        <v>3</v>
      </c>
      <c r="E217" s="64">
        <v>1.753360607832E-3</v>
      </c>
    </row>
    <row r="218" spans="2:5" ht="15" customHeight="1">
      <c r="B218" s="88"/>
      <c r="C218" s="62" t="s">
        <v>156</v>
      </c>
      <c r="D218" s="63">
        <v>1</v>
      </c>
      <c r="E218" s="64">
        <v>5.8445353594399998E-4</v>
      </c>
    </row>
    <row r="219" spans="2:5" ht="15" customHeight="1">
      <c r="B219" s="88"/>
      <c r="C219" s="62" t="s">
        <v>157</v>
      </c>
      <c r="D219" s="63">
        <v>6</v>
      </c>
      <c r="E219" s="64">
        <v>3.506721215663E-3</v>
      </c>
    </row>
    <row r="220" spans="2:5" ht="15" customHeight="1">
      <c r="B220" s="88"/>
      <c r="C220" s="62" t="s">
        <v>158</v>
      </c>
      <c r="D220" s="63">
        <v>16</v>
      </c>
      <c r="E220" s="64">
        <v>9.3512565751019995E-3</v>
      </c>
    </row>
    <row r="221" spans="2:5" ht="15" customHeight="1">
      <c r="B221" s="88"/>
      <c r="C221" s="62" t="s">
        <v>159</v>
      </c>
      <c r="D221" s="63">
        <v>1</v>
      </c>
      <c r="E221" s="64">
        <v>5.8445353594399998E-4</v>
      </c>
    </row>
    <row r="222" spans="2:5" ht="15" customHeight="1">
      <c r="B222" s="88"/>
      <c r="C222" s="62" t="s">
        <v>160</v>
      </c>
      <c r="D222" s="63">
        <v>4</v>
      </c>
      <c r="E222" s="64">
        <v>2.3378141437759999E-3</v>
      </c>
    </row>
    <row r="223" spans="2:5" ht="15" customHeight="1">
      <c r="B223" s="88"/>
      <c r="C223" s="62" t="s">
        <v>161</v>
      </c>
      <c r="D223" s="63">
        <v>6</v>
      </c>
      <c r="E223" s="64">
        <v>3.506721215663E-3</v>
      </c>
    </row>
    <row r="224" spans="2:5" ht="15" customHeight="1">
      <c r="B224" s="88"/>
      <c r="C224" s="62" t="s">
        <v>162</v>
      </c>
      <c r="D224" s="63">
        <v>1</v>
      </c>
      <c r="E224" s="64">
        <v>5.8445353594399998E-4</v>
      </c>
    </row>
    <row r="225" spans="2:5" ht="15" customHeight="1">
      <c r="B225" s="88"/>
      <c r="C225" s="62" t="s">
        <v>166</v>
      </c>
      <c r="D225" s="63">
        <v>1</v>
      </c>
      <c r="E225" s="64">
        <v>5.8445353594399998E-4</v>
      </c>
    </row>
    <row r="226" spans="2:5" ht="15" customHeight="1">
      <c r="B226" s="88"/>
      <c r="C226" s="62" t="s">
        <v>167</v>
      </c>
      <c r="D226" s="63">
        <v>4</v>
      </c>
      <c r="E226" s="64">
        <v>2.3378141437759999E-3</v>
      </c>
    </row>
    <row r="227" spans="2:5" ht="15" customHeight="1">
      <c r="B227" s="87"/>
      <c r="C227" s="36" t="s">
        <v>28</v>
      </c>
      <c r="D227" s="35">
        <v>50</v>
      </c>
      <c r="E227" s="34">
        <v>2.9222676797195E-2</v>
      </c>
    </row>
    <row r="228" spans="2:5" ht="15" customHeight="1">
      <c r="B228" s="86" t="s">
        <v>63</v>
      </c>
      <c r="C228" s="62" t="s">
        <v>147</v>
      </c>
      <c r="D228" s="63">
        <v>1</v>
      </c>
      <c r="E228" s="64">
        <v>5.8445353594399998E-4</v>
      </c>
    </row>
    <row r="229" spans="2:5" ht="15" customHeight="1">
      <c r="B229" s="88"/>
      <c r="C229" s="62" t="s">
        <v>148</v>
      </c>
      <c r="D229" s="63">
        <v>1</v>
      </c>
      <c r="E229" s="64">
        <v>5.8445353594399998E-4</v>
      </c>
    </row>
    <row r="230" spans="2:5" ht="15" customHeight="1">
      <c r="B230" s="88"/>
      <c r="C230" s="62" t="s">
        <v>150</v>
      </c>
      <c r="D230" s="63">
        <v>2</v>
      </c>
      <c r="E230" s="64">
        <v>1.168907071888E-3</v>
      </c>
    </row>
    <row r="231" spans="2:5" ht="15" customHeight="1">
      <c r="B231" s="88"/>
      <c r="C231" s="62" t="s">
        <v>153</v>
      </c>
      <c r="D231" s="63">
        <v>2</v>
      </c>
      <c r="E231" s="64">
        <v>1.168907071888E-3</v>
      </c>
    </row>
    <row r="232" spans="2:5" ht="15" customHeight="1">
      <c r="B232" s="88"/>
      <c r="C232" s="62" t="s">
        <v>154</v>
      </c>
      <c r="D232" s="63">
        <v>14</v>
      </c>
      <c r="E232" s="64">
        <v>8.1823495032140002E-3</v>
      </c>
    </row>
    <row r="233" spans="2:5" ht="15" customHeight="1">
      <c r="B233" s="88"/>
      <c r="C233" s="62" t="s">
        <v>155</v>
      </c>
      <c r="D233" s="63">
        <v>1</v>
      </c>
      <c r="E233" s="64">
        <v>5.8445353594399998E-4</v>
      </c>
    </row>
    <row r="234" spans="2:5" ht="15" customHeight="1">
      <c r="B234" s="88"/>
      <c r="C234" s="62" t="s">
        <v>156</v>
      </c>
      <c r="D234" s="63">
        <v>1</v>
      </c>
      <c r="E234" s="64">
        <v>5.8445353594399998E-4</v>
      </c>
    </row>
    <row r="235" spans="2:5" ht="15" customHeight="1">
      <c r="B235" s="88"/>
      <c r="C235" s="62" t="s">
        <v>157</v>
      </c>
      <c r="D235" s="63">
        <v>2</v>
      </c>
      <c r="E235" s="64">
        <v>1.168907071888E-3</v>
      </c>
    </row>
    <row r="236" spans="2:5" ht="15" customHeight="1">
      <c r="B236" s="88"/>
      <c r="C236" s="62" t="s">
        <v>158</v>
      </c>
      <c r="D236" s="63">
        <v>13</v>
      </c>
      <c r="E236" s="64">
        <v>7.5978959672709998E-3</v>
      </c>
    </row>
    <row r="237" spans="2:5" ht="15" customHeight="1">
      <c r="B237" s="88"/>
      <c r="C237" s="62" t="s">
        <v>160</v>
      </c>
      <c r="D237" s="63">
        <v>3</v>
      </c>
      <c r="E237" s="64">
        <v>1.753360607832E-3</v>
      </c>
    </row>
    <row r="238" spans="2:5" ht="15" customHeight="1">
      <c r="B238" s="88"/>
      <c r="C238" s="62" t="s">
        <v>161</v>
      </c>
      <c r="D238" s="63">
        <v>6</v>
      </c>
      <c r="E238" s="64">
        <v>3.506721215663E-3</v>
      </c>
    </row>
    <row r="239" spans="2:5" ht="15" customHeight="1">
      <c r="B239" s="88"/>
      <c r="C239" s="62" t="s">
        <v>167</v>
      </c>
      <c r="D239" s="63">
        <v>1</v>
      </c>
      <c r="E239" s="64">
        <v>5.8445353594399998E-4</v>
      </c>
    </row>
    <row r="240" spans="2:5" ht="15" customHeight="1">
      <c r="B240" s="87"/>
      <c r="C240" s="36" t="s">
        <v>28</v>
      </c>
      <c r="D240" s="35">
        <v>47</v>
      </c>
      <c r="E240" s="34">
        <v>2.7469316189363002E-2</v>
      </c>
    </row>
    <row r="241" spans="2:5" ht="15" customHeight="1">
      <c r="B241" s="86" t="s">
        <v>81</v>
      </c>
      <c r="C241" s="62" t="s">
        <v>151</v>
      </c>
      <c r="D241" s="63">
        <v>1</v>
      </c>
      <c r="E241" s="64">
        <v>5.8445353594399998E-4</v>
      </c>
    </row>
    <row r="242" spans="2:5" ht="15" customHeight="1">
      <c r="B242" s="88"/>
      <c r="C242" s="62" t="s">
        <v>153</v>
      </c>
      <c r="D242" s="63">
        <v>2</v>
      </c>
      <c r="E242" s="64">
        <v>1.168907071888E-3</v>
      </c>
    </row>
    <row r="243" spans="2:5" ht="15" customHeight="1">
      <c r="B243" s="88"/>
      <c r="C243" s="62" t="s">
        <v>154</v>
      </c>
      <c r="D243" s="63">
        <v>1</v>
      </c>
      <c r="E243" s="64">
        <v>5.8445353594399998E-4</v>
      </c>
    </row>
    <row r="244" spans="2:5" ht="15" customHeight="1">
      <c r="B244" s="88"/>
      <c r="C244" s="62" t="s">
        <v>158</v>
      </c>
      <c r="D244" s="63">
        <v>2</v>
      </c>
      <c r="E244" s="64">
        <v>1.168907071888E-3</v>
      </c>
    </row>
    <row r="245" spans="2:5" ht="15" customHeight="1">
      <c r="B245" s="88"/>
      <c r="C245" s="62" t="s">
        <v>160</v>
      </c>
      <c r="D245" s="63">
        <v>2</v>
      </c>
      <c r="E245" s="64">
        <v>1.168907071888E-3</v>
      </c>
    </row>
    <row r="246" spans="2:5" ht="15" customHeight="1">
      <c r="B246" s="88"/>
      <c r="C246" s="62" t="s">
        <v>161</v>
      </c>
      <c r="D246" s="63">
        <v>2</v>
      </c>
      <c r="E246" s="64">
        <v>1.168907071888E-3</v>
      </c>
    </row>
    <row r="247" spans="2:5" ht="15" customHeight="1">
      <c r="B247" s="88"/>
      <c r="C247" s="62" t="s">
        <v>167</v>
      </c>
      <c r="D247" s="63">
        <v>1</v>
      </c>
      <c r="E247" s="64">
        <v>5.8445353594399998E-4</v>
      </c>
    </row>
    <row r="248" spans="2:5" ht="15" customHeight="1">
      <c r="B248" s="87"/>
      <c r="C248" s="36" t="s">
        <v>28</v>
      </c>
      <c r="D248" s="35">
        <v>11</v>
      </c>
      <c r="E248" s="34">
        <v>6.4289888953829996E-3</v>
      </c>
    </row>
    <row r="249" spans="2:5" ht="15" customHeight="1">
      <c r="B249" s="86" t="s">
        <v>67</v>
      </c>
      <c r="C249" s="62" t="s">
        <v>153</v>
      </c>
      <c r="D249" s="63">
        <v>1</v>
      </c>
      <c r="E249" s="64">
        <v>5.8445353594399998E-4</v>
      </c>
    </row>
    <row r="250" spans="2:5" ht="15" customHeight="1">
      <c r="B250" s="88"/>
      <c r="C250" s="62" t="s">
        <v>154</v>
      </c>
      <c r="D250" s="63">
        <v>7</v>
      </c>
      <c r="E250" s="64">
        <v>4.0911747516070001E-3</v>
      </c>
    </row>
    <row r="251" spans="2:5" ht="15" customHeight="1">
      <c r="B251" s="88"/>
      <c r="C251" s="62" t="s">
        <v>157</v>
      </c>
      <c r="D251" s="63">
        <v>4</v>
      </c>
      <c r="E251" s="64">
        <v>2.3378141437759999E-3</v>
      </c>
    </row>
    <row r="252" spans="2:5" ht="15" customHeight="1">
      <c r="B252" s="88"/>
      <c r="C252" s="62" t="s">
        <v>158</v>
      </c>
      <c r="D252" s="63">
        <v>13</v>
      </c>
      <c r="E252" s="64">
        <v>7.5978959672709998E-3</v>
      </c>
    </row>
    <row r="253" spans="2:5" ht="15" customHeight="1">
      <c r="B253" s="88"/>
      <c r="C253" s="62" t="s">
        <v>160</v>
      </c>
      <c r="D253" s="63">
        <v>3</v>
      </c>
      <c r="E253" s="64">
        <v>1.753360607832E-3</v>
      </c>
    </row>
    <row r="254" spans="2:5" ht="15" customHeight="1">
      <c r="B254" s="88"/>
      <c r="C254" s="62" t="s">
        <v>161</v>
      </c>
      <c r="D254" s="63">
        <v>9</v>
      </c>
      <c r="E254" s="64">
        <v>5.2600818234950003E-3</v>
      </c>
    </row>
    <row r="255" spans="2:5" ht="15" customHeight="1">
      <c r="B255" s="88"/>
      <c r="C255" s="62" t="s">
        <v>164</v>
      </c>
      <c r="D255" s="63">
        <v>1</v>
      </c>
      <c r="E255" s="64">
        <v>5.8445353594399998E-4</v>
      </c>
    </row>
    <row r="256" spans="2:5" ht="15" customHeight="1">
      <c r="B256" s="87"/>
      <c r="C256" s="36" t="s">
        <v>28</v>
      </c>
      <c r="D256" s="35">
        <v>38</v>
      </c>
      <c r="E256" s="34">
        <v>2.2209234365868E-2</v>
      </c>
    </row>
    <row r="257" spans="2:5" ht="15" customHeight="1">
      <c r="B257" s="86" t="s">
        <v>76</v>
      </c>
      <c r="C257" s="62" t="s">
        <v>153</v>
      </c>
      <c r="D257" s="63">
        <v>1</v>
      </c>
      <c r="E257" s="64">
        <v>5.8445353594399998E-4</v>
      </c>
    </row>
    <row r="258" spans="2:5" ht="15" customHeight="1">
      <c r="B258" s="88"/>
      <c r="C258" s="62" t="s">
        <v>156</v>
      </c>
      <c r="D258" s="63">
        <v>1</v>
      </c>
      <c r="E258" s="64">
        <v>5.8445353594399998E-4</v>
      </c>
    </row>
    <row r="259" spans="2:5" ht="15" customHeight="1">
      <c r="B259" s="88"/>
      <c r="C259" s="62" t="s">
        <v>157</v>
      </c>
      <c r="D259" s="63">
        <v>3</v>
      </c>
      <c r="E259" s="64">
        <v>1.753360607832E-3</v>
      </c>
    </row>
    <row r="260" spans="2:5" ht="15" customHeight="1">
      <c r="B260" s="88"/>
      <c r="C260" s="62" t="s">
        <v>158</v>
      </c>
      <c r="D260" s="63">
        <v>6</v>
      </c>
      <c r="E260" s="64">
        <v>3.506721215663E-3</v>
      </c>
    </row>
    <row r="261" spans="2:5" ht="15" customHeight="1">
      <c r="B261" s="88"/>
      <c r="C261" s="62" t="s">
        <v>161</v>
      </c>
      <c r="D261" s="63">
        <v>4</v>
      </c>
      <c r="E261" s="64">
        <v>2.3378141437759999E-3</v>
      </c>
    </row>
    <row r="262" spans="2:5" ht="15" customHeight="1">
      <c r="B262" s="88"/>
      <c r="C262" s="62" t="s">
        <v>168</v>
      </c>
      <c r="D262" s="63">
        <v>1</v>
      </c>
      <c r="E262" s="64">
        <v>5.8445353594399998E-4</v>
      </c>
    </row>
    <row r="263" spans="2:5" ht="15" customHeight="1">
      <c r="B263" s="87"/>
      <c r="C263" s="36" t="s">
        <v>28</v>
      </c>
      <c r="D263" s="35">
        <v>16</v>
      </c>
      <c r="E263" s="34">
        <v>9.3512565751019995E-3</v>
      </c>
    </row>
    <row r="264" spans="2:5" ht="15" customHeight="1">
      <c r="B264" s="86" t="s">
        <v>70</v>
      </c>
      <c r="C264" s="62" t="s">
        <v>148</v>
      </c>
      <c r="D264" s="63">
        <v>1</v>
      </c>
      <c r="E264" s="64">
        <v>5.8445353594399998E-4</v>
      </c>
    </row>
    <row r="265" spans="2:5" ht="15" customHeight="1">
      <c r="B265" s="88"/>
      <c r="C265" s="62" t="s">
        <v>154</v>
      </c>
      <c r="D265" s="63">
        <v>2</v>
      </c>
      <c r="E265" s="64">
        <v>1.168907071888E-3</v>
      </c>
    </row>
    <row r="266" spans="2:5" ht="15" customHeight="1">
      <c r="B266" s="88"/>
      <c r="C266" s="62" t="s">
        <v>156</v>
      </c>
      <c r="D266" s="63">
        <v>2</v>
      </c>
      <c r="E266" s="64">
        <v>1.168907071888E-3</v>
      </c>
    </row>
    <row r="267" spans="2:5" ht="15" customHeight="1">
      <c r="B267" s="88"/>
      <c r="C267" s="62" t="s">
        <v>157</v>
      </c>
      <c r="D267" s="63">
        <v>1</v>
      </c>
      <c r="E267" s="64">
        <v>5.8445353594399998E-4</v>
      </c>
    </row>
    <row r="268" spans="2:5" ht="15" customHeight="1">
      <c r="B268" s="88"/>
      <c r="C268" s="62" t="s">
        <v>158</v>
      </c>
      <c r="D268" s="63">
        <v>12</v>
      </c>
      <c r="E268" s="64">
        <v>7.0134424313270001E-3</v>
      </c>
    </row>
    <row r="269" spans="2:5" ht="15" customHeight="1">
      <c r="B269" s="88"/>
      <c r="C269" s="62" t="s">
        <v>160</v>
      </c>
      <c r="D269" s="63">
        <v>2</v>
      </c>
      <c r="E269" s="64">
        <v>1.168907071888E-3</v>
      </c>
    </row>
    <row r="270" spans="2:5" ht="15" customHeight="1">
      <c r="B270" s="88"/>
      <c r="C270" s="62" t="s">
        <v>161</v>
      </c>
      <c r="D270" s="63">
        <v>7</v>
      </c>
      <c r="E270" s="64">
        <v>4.0911747516070001E-3</v>
      </c>
    </row>
    <row r="271" spans="2:5" ht="15" customHeight="1">
      <c r="B271" s="88"/>
      <c r="C271" s="62" t="s">
        <v>162</v>
      </c>
      <c r="D271" s="63">
        <v>1</v>
      </c>
      <c r="E271" s="64">
        <v>5.8445353594399998E-4</v>
      </c>
    </row>
    <row r="272" spans="2:5" ht="15" customHeight="1">
      <c r="B272" s="88"/>
      <c r="C272" s="62" t="s">
        <v>167</v>
      </c>
      <c r="D272" s="63">
        <v>1</v>
      </c>
      <c r="E272" s="64">
        <v>5.8445353594399998E-4</v>
      </c>
    </row>
    <row r="273" spans="2:5" ht="15" customHeight="1">
      <c r="B273" s="87"/>
      <c r="C273" s="36" t="s">
        <v>28</v>
      </c>
      <c r="D273" s="35">
        <v>29</v>
      </c>
      <c r="E273" s="34">
        <v>1.6949152542372999E-2</v>
      </c>
    </row>
    <row r="274" spans="2:5" ht="15" customHeight="1">
      <c r="B274" s="86" t="s">
        <v>48</v>
      </c>
      <c r="C274" s="62" t="s">
        <v>147</v>
      </c>
      <c r="D274" s="63">
        <v>1</v>
      </c>
      <c r="E274" s="64">
        <v>5.8445353594399998E-4</v>
      </c>
    </row>
    <row r="275" spans="2:5" ht="15" customHeight="1">
      <c r="B275" s="88"/>
      <c r="C275" s="62" t="s">
        <v>150</v>
      </c>
      <c r="D275" s="63">
        <v>3</v>
      </c>
      <c r="E275" s="64">
        <v>1.753360607832E-3</v>
      </c>
    </row>
    <row r="276" spans="2:5" ht="15" customHeight="1">
      <c r="B276" s="88"/>
      <c r="C276" s="62" t="s">
        <v>151</v>
      </c>
      <c r="D276" s="63">
        <v>3</v>
      </c>
      <c r="E276" s="64">
        <v>1.753360607832E-3</v>
      </c>
    </row>
    <row r="277" spans="2:5" ht="15" customHeight="1">
      <c r="B277" s="88"/>
      <c r="C277" s="62" t="s">
        <v>153</v>
      </c>
      <c r="D277" s="63">
        <v>17</v>
      </c>
      <c r="E277" s="64">
        <v>9.9357101110459992E-3</v>
      </c>
    </row>
    <row r="278" spans="2:5" ht="15" customHeight="1">
      <c r="B278" s="88"/>
      <c r="C278" s="62" t="s">
        <v>154</v>
      </c>
      <c r="D278" s="63">
        <v>8</v>
      </c>
      <c r="E278" s="64">
        <v>4.6756282875509998E-3</v>
      </c>
    </row>
    <row r="279" spans="2:5" ht="15" customHeight="1">
      <c r="B279" s="88"/>
      <c r="C279" s="62" t="s">
        <v>155</v>
      </c>
      <c r="D279" s="63">
        <v>3</v>
      </c>
      <c r="E279" s="64">
        <v>1.753360607832E-3</v>
      </c>
    </row>
    <row r="280" spans="2:5" ht="15" customHeight="1">
      <c r="B280" s="88"/>
      <c r="C280" s="62" t="s">
        <v>156</v>
      </c>
      <c r="D280" s="63">
        <v>2</v>
      </c>
      <c r="E280" s="64">
        <v>1.168907071888E-3</v>
      </c>
    </row>
    <row r="281" spans="2:5" ht="15" customHeight="1">
      <c r="B281" s="88"/>
      <c r="C281" s="62" t="s">
        <v>157</v>
      </c>
      <c r="D281" s="63">
        <v>9</v>
      </c>
      <c r="E281" s="64">
        <v>5.2600818234950003E-3</v>
      </c>
    </row>
    <row r="282" spans="2:5" ht="15" customHeight="1">
      <c r="B282" s="88"/>
      <c r="C282" s="62" t="s">
        <v>158</v>
      </c>
      <c r="D282" s="63">
        <v>34</v>
      </c>
      <c r="E282" s="64">
        <v>1.9871420222091998E-2</v>
      </c>
    </row>
    <row r="283" spans="2:5" ht="15" customHeight="1">
      <c r="B283" s="88"/>
      <c r="C283" s="62" t="s">
        <v>160</v>
      </c>
      <c r="D283" s="63">
        <v>5</v>
      </c>
      <c r="E283" s="64">
        <v>2.9222676797189999E-3</v>
      </c>
    </row>
    <row r="284" spans="2:5" ht="15" customHeight="1">
      <c r="B284" s="88"/>
      <c r="C284" s="62" t="s">
        <v>161</v>
      </c>
      <c r="D284" s="63">
        <v>14</v>
      </c>
      <c r="E284" s="64">
        <v>8.1823495032140002E-3</v>
      </c>
    </row>
    <row r="285" spans="2:5" ht="15" customHeight="1">
      <c r="B285" s="88"/>
      <c r="C285" s="62" t="s">
        <v>166</v>
      </c>
      <c r="D285" s="63">
        <v>2</v>
      </c>
      <c r="E285" s="64">
        <v>1.168907071888E-3</v>
      </c>
    </row>
    <row r="286" spans="2:5" ht="15" customHeight="1">
      <c r="B286" s="88"/>
      <c r="C286" s="62" t="s">
        <v>167</v>
      </c>
      <c r="D286" s="63">
        <v>5</v>
      </c>
      <c r="E286" s="64">
        <v>2.9222676797189999E-3</v>
      </c>
    </row>
    <row r="287" spans="2:5" ht="15" customHeight="1">
      <c r="B287" s="87"/>
      <c r="C287" s="36" t="s">
        <v>28</v>
      </c>
      <c r="D287" s="35">
        <v>106</v>
      </c>
      <c r="E287" s="34">
        <v>6.1952074810053E-2</v>
      </c>
    </row>
    <row r="288" spans="2:5" ht="15" customHeight="1">
      <c r="B288" s="86" t="s">
        <v>51</v>
      </c>
      <c r="C288" s="62" t="s">
        <v>147</v>
      </c>
      <c r="D288" s="63">
        <v>1</v>
      </c>
      <c r="E288" s="64">
        <v>5.8445353594399998E-4</v>
      </c>
    </row>
    <row r="289" spans="2:5" ht="15" customHeight="1">
      <c r="B289" s="88"/>
      <c r="C289" s="62" t="s">
        <v>150</v>
      </c>
      <c r="D289" s="63">
        <v>4</v>
      </c>
      <c r="E289" s="64">
        <v>2.3378141437759999E-3</v>
      </c>
    </row>
    <row r="290" spans="2:5" ht="15" customHeight="1">
      <c r="B290" s="88"/>
      <c r="C290" s="62" t="s">
        <v>152</v>
      </c>
      <c r="D290" s="63">
        <v>5</v>
      </c>
      <c r="E290" s="64">
        <v>2.9222676797189999E-3</v>
      </c>
    </row>
    <row r="291" spans="2:5" ht="15" customHeight="1">
      <c r="B291" s="88"/>
      <c r="C291" s="62" t="s">
        <v>153</v>
      </c>
      <c r="D291" s="63">
        <v>3</v>
      </c>
      <c r="E291" s="64">
        <v>1.753360607832E-3</v>
      </c>
    </row>
    <row r="292" spans="2:5" ht="15" customHeight="1">
      <c r="B292" s="88"/>
      <c r="C292" s="62" t="s">
        <v>154</v>
      </c>
      <c r="D292" s="63">
        <v>16</v>
      </c>
      <c r="E292" s="64">
        <v>9.3512565751019995E-3</v>
      </c>
    </row>
    <row r="293" spans="2:5" ht="15" customHeight="1">
      <c r="B293" s="88"/>
      <c r="C293" s="62" t="s">
        <v>155</v>
      </c>
      <c r="D293" s="63">
        <v>1</v>
      </c>
      <c r="E293" s="64">
        <v>5.8445353594399998E-4</v>
      </c>
    </row>
    <row r="294" spans="2:5" ht="15" customHeight="1">
      <c r="B294" s="88"/>
      <c r="C294" s="62" t="s">
        <v>157</v>
      </c>
      <c r="D294" s="63">
        <v>5</v>
      </c>
      <c r="E294" s="64">
        <v>2.9222676797189999E-3</v>
      </c>
    </row>
    <row r="295" spans="2:5" ht="15" customHeight="1">
      <c r="B295" s="88"/>
      <c r="C295" s="62" t="s">
        <v>158</v>
      </c>
      <c r="D295" s="63">
        <v>24</v>
      </c>
      <c r="E295" s="64">
        <v>1.4026884862652999E-2</v>
      </c>
    </row>
    <row r="296" spans="2:5" ht="15" customHeight="1">
      <c r="B296" s="88"/>
      <c r="C296" s="62" t="s">
        <v>160</v>
      </c>
      <c r="D296" s="63">
        <v>4</v>
      </c>
      <c r="E296" s="64">
        <v>2.3378141437759999E-3</v>
      </c>
    </row>
    <row r="297" spans="2:5" ht="15" customHeight="1">
      <c r="B297" s="88"/>
      <c r="C297" s="62" t="s">
        <v>161</v>
      </c>
      <c r="D297" s="63">
        <v>19</v>
      </c>
      <c r="E297" s="64">
        <v>1.1104617182934E-2</v>
      </c>
    </row>
    <row r="298" spans="2:5" ht="15" customHeight="1">
      <c r="B298" s="88"/>
      <c r="C298" s="62" t="s">
        <v>162</v>
      </c>
      <c r="D298" s="63">
        <v>1</v>
      </c>
      <c r="E298" s="64">
        <v>5.8445353594399998E-4</v>
      </c>
    </row>
    <row r="299" spans="2:5" ht="15" customHeight="1">
      <c r="B299" s="88"/>
      <c r="C299" s="62" t="s">
        <v>167</v>
      </c>
      <c r="D299" s="63">
        <v>1</v>
      </c>
      <c r="E299" s="64">
        <v>5.8445353594399998E-4</v>
      </c>
    </row>
    <row r="300" spans="2:5" ht="15" customHeight="1">
      <c r="B300" s="87"/>
      <c r="C300" s="36" t="s">
        <v>28</v>
      </c>
      <c r="D300" s="35">
        <v>84</v>
      </c>
      <c r="E300" s="34">
        <v>4.9094097019286999E-2</v>
      </c>
    </row>
    <row r="301" spans="2:5" ht="15" customHeight="1">
      <c r="B301" s="86" t="s">
        <v>77</v>
      </c>
      <c r="C301" s="62" t="s">
        <v>150</v>
      </c>
      <c r="D301" s="63">
        <v>1</v>
      </c>
      <c r="E301" s="64">
        <v>5.8445353594399998E-4</v>
      </c>
    </row>
    <row r="302" spans="2:5" ht="15" customHeight="1">
      <c r="B302" s="88"/>
      <c r="C302" s="62" t="s">
        <v>154</v>
      </c>
      <c r="D302" s="63">
        <v>1</v>
      </c>
      <c r="E302" s="64">
        <v>5.8445353594399998E-4</v>
      </c>
    </row>
    <row r="303" spans="2:5" ht="15" customHeight="1">
      <c r="B303" s="88"/>
      <c r="C303" s="62" t="s">
        <v>157</v>
      </c>
      <c r="D303" s="63">
        <v>3</v>
      </c>
      <c r="E303" s="64">
        <v>1.753360607832E-3</v>
      </c>
    </row>
    <row r="304" spans="2:5" ht="15" customHeight="1">
      <c r="B304" s="88"/>
      <c r="C304" s="62" t="s">
        <v>158</v>
      </c>
      <c r="D304" s="63">
        <v>4</v>
      </c>
      <c r="E304" s="64">
        <v>2.3378141437759999E-3</v>
      </c>
    </row>
    <row r="305" spans="2:5" ht="15" customHeight="1">
      <c r="B305" s="88"/>
      <c r="C305" s="62" t="s">
        <v>161</v>
      </c>
      <c r="D305" s="63">
        <v>3</v>
      </c>
      <c r="E305" s="64">
        <v>1.753360607832E-3</v>
      </c>
    </row>
    <row r="306" spans="2:5" ht="15" customHeight="1">
      <c r="B306" s="88"/>
      <c r="C306" s="62" t="s">
        <v>163</v>
      </c>
      <c r="D306" s="63">
        <v>1</v>
      </c>
      <c r="E306" s="64">
        <v>5.8445353594399998E-4</v>
      </c>
    </row>
    <row r="307" spans="2:5" ht="15" customHeight="1">
      <c r="B307" s="88"/>
      <c r="C307" s="62" t="s">
        <v>167</v>
      </c>
      <c r="D307" s="63">
        <v>1</v>
      </c>
      <c r="E307" s="64">
        <v>5.8445353594399998E-4</v>
      </c>
    </row>
    <row r="308" spans="2:5" ht="15" customHeight="1">
      <c r="B308" s="87"/>
      <c r="C308" s="36" t="s">
        <v>28</v>
      </c>
      <c r="D308" s="35">
        <v>14</v>
      </c>
      <c r="E308" s="34">
        <v>8.1823495032140002E-3</v>
      </c>
    </row>
    <row r="309" spans="2:5" ht="15" customHeight="1">
      <c r="B309" s="86" t="s">
        <v>73</v>
      </c>
      <c r="C309" s="62" t="s">
        <v>150</v>
      </c>
      <c r="D309" s="63">
        <v>1</v>
      </c>
      <c r="E309" s="64">
        <v>5.8445353594399998E-4</v>
      </c>
    </row>
    <row r="310" spans="2:5" ht="15" customHeight="1">
      <c r="B310" s="88"/>
      <c r="C310" s="62" t="s">
        <v>153</v>
      </c>
      <c r="D310" s="63">
        <v>1</v>
      </c>
      <c r="E310" s="64">
        <v>5.8445353594399998E-4</v>
      </c>
    </row>
    <row r="311" spans="2:5" ht="15" customHeight="1">
      <c r="B311" s="88"/>
      <c r="C311" s="62" t="s">
        <v>154</v>
      </c>
      <c r="D311" s="63">
        <v>1</v>
      </c>
      <c r="E311" s="64">
        <v>5.8445353594399998E-4</v>
      </c>
    </row>
    <row r="312" spans="2:5" ht="15" customHeight="1">
      <c r="B312" s="88"/>
      <c r="C312" s="62" t="s">
        <v>156</v>
      </c>
      <c r="D312" s="63">
        <v>1</v>
      </c>
      <c r="E312" s="64">
        <v>5.8445353594399998E-4</v>
      </c>
    </row>
    <row r="313" spans="2:5" ht="15" customHeight="1">
      <c r="B313" s="88"/>
      <c r="C313" s="62" t="s">
        <v>157</v>
      </c>
      <c r="D313" s="63">
        <v>1</v>
      </c>
      <c r="E313" s="64">
        <v>5.8445353594399998E-4</v>
      </c>
    </row>
    <row r="314" spans="2:5" ht="15" customHeight="1">
      <c r="B314" s="88"/>
      <c r="C314" s="62" t="s">
        <v>158</v>
      </c>
      <c r="D314" s="63">
        <v>8</v>
      </c>
      <c r="E314" s="64">
        <v>4.6756282875509998E-3</v>
      </c>
    </row>
    <row r="315" spans="2:5" ht="15" customHeight="1">
      <c r="B315" s="88"/>
      <c r="C315" s="62" t="s">
        <v>159</v>
      </c>
      <c r="D315" s="63">
        <v>1</v>
      </c>
      <c r="E315" s="64">
        <v>5.8445353594399998E-4</v>
      </c>
    </row>
    <row r="316" spans="2:5" ht="15" customHeight="1">
      <c r="B316" s="88"/>
      <c r="C316" s="62" t="s">
        <v>160</v>
      </c>
      <c r="D316" s="63">
        <v>2</v>
      </c>
      <c r="E316" s="64">
        <v>1.168907071888E-3</v>
      </c>
    </row>
    <row r="317" spans="2:5" ht="15" customHeight="1">
      <c r="B317" s="88"/>
      <c r="C317" s="62" t="s">
        <v>161</v>
      </c>
      <c r="D317" s="63">
        <v>7</v>
      </c>
      <c r="E317" s="64">
        <v>4.0911747516070001E-3</v>
      </c>
    </row>
    <row r="318" spans="2:5" ht="15" customHeight="1">
      <c r="B318" s="87"/>
      <c r="C318" s="36" t="s">
        <v>28</v>
      </c>
      <c r="D318" s="35">
        <v>23</v>
      </c>
      <c r="E318" s="34">
        <v>1.3442431326710001E-2</v>
      </c>
    </row>
    <row r="319" spans="2:5" ht="15" customHeight="1">
      <c r="B319" s="86" t="s">
        <v>83</v>
      </c>
      <c r="C319" s="62" t="s">
        <v>153</v>
      </c>
      <c r="D319" s="63">
        <v>2</v>
      </c>
      <c r="E319" s="64">
        <v>1.168907071888E-3</v>
      </c>
    </row>
    <row r="320" spans="2:5" ht="15" customHeight="1">
      <c r="B320" s="88"/>
      <c r="C320" s="62" t="s">
        <v>154</v>
      </c>
      <c r="D320" s="63">
        <v>1</v>
      </c>
      <c r="E320" s="64">
        <v>5.8445353594399998E-4</v>
      </c>
    </row>
    <row r="321" spans="2:5" ht="15" customHeight="1">
      <c r="B321" s="88"/>
      <c r="C321" s="62" t="s">
        <v>156</v>
      </c>
      <c r="D321" s="63">
        <v>1</v>
      </c>
      <c r="E321" s="64">
        <v>5.8445353594399998E-4</v>
      </c>
    </row>
    <row r="322" spans="2:5" ht="15" customHeight="1">
      <c r="B322" s="88"/>
      <c r="C322" s="62" t="s">
        <v>158</v>
      </c>
      <c r="D322" s="63">
        <v>2</v>
      </c>
      <c r="E322" s="64">
        <v>1.168907071888E-3</v>
      </c>
    </row>
    <row r="323" spans="2:5" ht="15" customHeight="1">
      <c r="B323" s="88"/>
      <c r="C323" s="62" t="s">
        <v>161</v>
      </c>
      <c r="D323" s="63">
        <v>2</v>
      </c>
      <c r="E323" s="64">
        <v>1.168907071888E-3</v>
      </c>
    </row>
    <row r="324" spans="2:5" ht="15" customHeight="1">
      <c r="B324" s="88"/>
      <c r="C324" s="62" t="s">
        <v>165</v>
      </c>
      <c r="D324" s="63">
        <v>1</v>
      </c>
      <c r="E324" s="64">
        <v>5.8445353594399998E-4</v>
      </c>
    </row>
    <row r="325" spans="2:5" ht="15" customHeight="1">
      <c r="B325" s="87"/>
      <c r="C325" s="36" t="s">
        <v>28</v>
      </c>
      <c r="D325" s="35">
        <v>9</v>
      </c>
      <c r="E325" s="34">
        <v>5.2600818234950003E-3</v>
      </c>
    </row>
    <row r="326" spans="2:5" ht="15" customHeight="1">
      <c r="B326" s="86" t="s">
        <v>90</v>
      </c>
      <c r="C326" s="62" t="s">
        <v>161</v>
      </c>
      <c r="D326" s="63">
        <v>1</v>
      </c>
      <c r="E326" s="64">
        <v>5.8445353594399998E-4</v>
      </c>
    </row>
    <row r="327" spans="2:5" ht="15" customHeight="1">
      <c r="B327" s="87"/>
      <c r="C327" s="36" t="s">
        <v>28</v>
      </c>
      <c r="D327" s="35">
        <v>1</v>
      </c>
      <c r="E327" s="34">
        <v>5.8445353594399998E-4</v>
      </c>
    </row>
    <row r="328" spans="2:5" ht="15" customHeight="1">
      <c r="B328" s="86" t="s">
        <v>49</v>
      </c>
      <c r="C328" s="62" t="s">
        <v>147</v>
      </c>
      <c r="D328" s="63">
        <v>1</v>
      </c>
      <c r="E328" s="64">
        <v>5.8445353594399998E-4</v>
      </c>
    </row>
    <row r="329" spans="2:5" ht="15" customHeight="1">
      <c r="B329" s="88"/>
      <c r="C329" s="62" t="s">
        <v>148</v>
      </c>
      <c r="D329" s="63">
        <v>2</v>
      </c>
      <c r="E329" s="64">
        <v>1.168907071888E-3</v>
      </c>
    </row>
    <row r="330" spans="2:5" ht="15" customHeight="1">
      <c r="B330" s="88"/>
      <c r="C330" s="62" t="s">
        <v>149</v>
      </c>
      <c r="D330" s="63">
        <v>1</v>
      </c>
      <c r="E330" s="64">
        <v>5.8445353594399998E-4</v>
      </c>
    </row>
    <row r="331" spans="2:5" ht="15" customHeight="1">
      <c r="B331" s="88"/>
      <c r="C331" s="62" t="s">
        <v>151</v>
      </c>
      <c r="D331" s="63">
        <v>1</v>
      </c>
      <c r="E331" s="64">
        <v>5.8445353594399998E-4</v>
      </c>
    </row>
    <row r="332" spans="2:5" ht="15" customHeight="1">
      <c r="B332" s="88"/>
      <c r="C332" s="62" t="s">
        <v>152</v>
      </c>
      <c r="D332" s="63">
        <v>1</v>
      </c>
      <c r="E332" s="64">
        <v>5.8445353594399998E-4</v>
      </c>
    </row>
    <row r="333" spans="2:5" ht="15" customHeight="1">
      <c r="B333" s="88"/>
      <c r="C333" s="62" t="s">
        <v>153</v>
      </c>
      <c r="D333" s="63">
        <v>2</v>
      </c>
      <c r="E333" s="64">
        <v>1.168907071888E-3</v>
      </c>
    </row>
    <row r="334" spans="2:5" ht="15" customHeight="1">
      <c r="B334" s="88"/>
      <c r="C334" s="62" t="s">
        <v>154</v>
      </c>
      <c r="D334" s="63">
        <v>16</v>
      </c>
      <c r="E334" s="64">
        <v>9.3512565751019995E-3</v>
      </c>
    </row>
    <row r="335" spans="2:5" ht="15" customHeight="1">
      <c r="B335" s="88"/>
      <c r="C335" s="62" t="s">
        <v>155</v>
      </c>
      <c r="D335" s="63">
        <v>1</v>
      </c>
      <c r="E335" s="64">
        <v>5.8445353594399998E-4</v>
      </c>
    </row>
    <row r="336" spans="2:5" ht="15" customHeight="1">
      <c r="B336" s="88"/>
      <c r="C336" s="62" t="s">
        <v>156</v>
      </c>
      <c r="D336" s="63">
        <v>1</v>
      </c>
      <c r="E336" s="64">
        <v>5.8445353594399998E-4</v>
      </c>
    </row>
    <row r="337" spans="2:5" ht="15" customHeight="1">
      <c r="B337" s="88"/>
      <c r="C337" s="62" t="s">
        <v>157</v>
      </c>
      <c r="D337" s="63">
        <v>7</v>
      </c>
      <c r="E337" s="64">
        <v>4.0911747516070001E-3</v>
      </c>
    </row>
    <row r="338" spans="2:5" ht="15" customHeight="1">
      <c r="B338" s="88"/>
      <c r="C338" s="62" t="s">
        <v>158</v>
      </c>
      <c r="D338" s="63">
        <v>35</v>
      </c>
      <c r="E338" s="64">
        <v>2.0455873758036001E-2</v>
      </c>
    </row>
    <row r="339" spans="2:5" ht="15" customHeight="1">
      <c r="B339" s="88"/>
      <c r="C339" s="62" t="s">
        <v>160</v>
      </c>
      <c r="D339" s="63">
        <v>7</v>
      </c>
      <c r="E339" s="64">
        <v>4.0911747516070001E-3</v>
      </c>
    </row>
    <row r="340" spans="2:5" ht="15" customHeight="1">
      <c r="B340" s="88"/>
      <c r="C340" s="62" t="s">
        <v>161</v>
      </c>
      <c r="D340" s="63">
        <v>19</v>
      </c>
      <c r="E340" s="64">
        <v>1.1104617182934E-2</v>
      </c>
    </row>
    <row r="341" spans="2:5" ht="15" customHeight="1">
      <c r="B341" s="88"/>
      <c r="C341" s="62" t="s">
        <v>167</v>
      </c>
      <c r="D341" s="63">
        <v>6</v>
      </c>
      <c r="E341" s="64">
        <v>3.506721215663E-3</v>
      </c>
    </row>
    <row r="342" spans="2:5" ht="15" customHeight="1">
      <c r="B342" s="87"/>
      <c r="C342" s="36" t="s">
        <v>28</v>
      </c>
      <c r="D342" s="35">
        <v>100</v>
      </c>
      <c r="E342" s="34">
        <v>5.8445353594389002E-2</v>
      </c>
    </row>
    <row r="343" spans="2:5" ht="15" customHeight="1">
      <c r="B343" s="86" t="s">
        <v>55</v>
      </c>
      <c r="C343" s="62" t="s">
        <v>147</v>
      </c>
      <c r="D343" s="63">
        <v>2</v>
      </c>
      <c r="E343" s="64">
        <v>1.168907071888E-3</v>
      </c>
    </row>
    <row r="344" spans="2:5" ht="15" customHeight="1">
      <c r="B344" s="88"/>
      <c r="C344" s="62" t="s">
        <v>149</v>
      </c>
      <c r="D344" s="63">
        <v>2</v>
      </c>
      <c r="E344" s="64">
        <v>1.168907071888E-3</v>
      </c>
    </row>
    <row r="345" spans="2:5" ht="15" customHeight="1">
      <c r="B345" s="88"/>
      <c r="C345" s="62" t="s">
        <v>153</v>
      </c>
      <c r="D345" s="63">
        <v>2</v>
      </c>
      <c r="E345" s="64">
        <v>1.168907071888E-3</v>
      </c>
    </row>
    <row r="346" spans="2:5" ht="15" customHeight="1">
      <c r="B346" s="88"/>
      <c r="C346" s="62" t="s">
        <v>154</v>
      </c>
      <c r="D346" s="63">
        <v>3</v>
      </c>
      <c r="E346" s="64">
        <v>1.753360607832E-3</v>
      </c>
    </row>
    <row r="347" spans="2:5" ht="15" customHeight="1">
      <c r="B347" s="88"/>
      <c r="C347" s="62" t="s">
        <v>155</v>
      </c>
      <c r="D347" s="63">
        <v>1</v>
      </c>
      <c r="E347" s="64">
        <v>5.8445353594399998E-4</v>
      </c>
    </row>
    <row r="348" spans="2:5" ht="15" customHeight="1">
      <c r="B348" s="88"/>
      <c r="C348" s="62" t="s">
        <v>156</v>
      </c>
      <c r="D348" s="63">
        <v>3</v>
      </c>
      <c r="E348" s="64">
        <v>1.753360607832E-3</v>
      </c>
    </row>
    <row r="349" spans="2:5" ht="15" customHeight="1">
      <c r="B349" s="88"/>
      <c r="C349" s="62" t="s">
        <v>157</v>
      </c>
      <c r="D349" s="63">
        <v>10</v>
      </c>
      <c r="E349" s="64">
        <v>5.8445353594389999E-3</v>
      </c>
    </row>
    <row r="350" spans="2:5" ht="15" customHeight="1">
      <c r="B350" s="88"/>
      <c r="C350" s="62" t="s">
        <v>158</v>
      </c>
      <c r="D350" s="63">
        <v>20</v>
      </c>
      <c r="E350" s="64">
        <v>1.1689070718878E-2</v>
      </c>
    </row>
    <row r="351" spans="2:5" ht="15" customHeight="1">
      <c r="B351" s="88"/>
      <c r="C351" s="62" t="s">
        <v>160</v>
      </c>
      <c r="D351" s="63">
        <v>6</v>
      </c>
      <c r="E351" s="64">
        <v>3.506721215663E-3</v>
      </c>
    </row>
    <row r="352" spans="2:5" ht="15" customHeight="1">
      <c r="B352" s="88"/>
      <c r="C352" s="62" t="s">
        <v>161</v>
      </c>
      <c r="D352" s="63">
        <v>18</v>
      </c>
      <c r="E352" s="64">
        <v>1.0520163646990001E-2</v>
      </c>
    </row>
    <row r="353" spans="2:5" ht="15" customHeight="1">
      <c r="B353" s="88"/>
      <c r="C353" s="62" t="s">
        <v>166</v>
      </c>
      <c r="D353" s="63">
        <v>1</v>
      </c>
      <c r="E353" s="64">
        <v>5.8445353594399998E-4</v>
      </c>
    </row>
    <row r="354" spans="2:5" ht="15" customHeight="1">
      <c r="B354" s="87"/>
      <c r="C354" s="36" t="s">
        <v>28</v>
      </c>
      <c r="D354" s="35">
        <v>68</v>
      </c>
      <c r="E354" s="34">
        <v>3.9742840444185003E-2</v>
      </c>
    </row>
    <row r="355" spans="2:5" ht="15" customHeight="1">
      <c r="B355" s="86" t="s">
        <v>69</v>
      </c>
      <c r="C355" s="62" t="s">
        <v>150</v>
      </c>
      <c r="D355" s="63">
        <v>1</v>
      </c>
      <c r="E355" s="64">
        <v>5.8445353594399998E-4</v>
      </c>
    </row>
    <row r="356" spans="2:5" ht="15" customHeight="1">
      <c r="B356" s="88"/>
      <c r="C356" s="62" t="s">
        <v>153</v>
      </c>
      <c r="D356" s="63">
        <v>1</v>
      </c>
      <c r="E356" s="64">
        <v>5.8445353594399998E-4</v>
      </c>
    </row>
    <row r="357" spans="2:5" ht="15" customHeight="1">
      <c r="B357" s="88"/>
      <c r="C357" s="62" t="s">
        <v>154</v>
      </c>
      <c r="D357" s="63">
        <v>6</v>
      </c>
      <c r="E357" s="64">
        <v>3.506721215663E-3</v>
      </c>
    </row>
    <row r="358" spans="2:5" ht="15" customHeight="1">
      <c r="B358" s="88"/>
      <c r="C358" s="62" t="s">
        <v>157</v>
      </c>
      <c r="D358" s="63">
        <v>1</v>
      </c>
      <c r="E358" s="64">
        <v>5.8445353594399998E-4</v>
      </c>
    </row>
    <row r="359" spans="2:5" ht="15" customHeight="1">
      <c r="B359" s="88"/>
      <c r="C359" s="62" t="s">
        <v>158</v>
      </c>
      <c r="D359" s="63">
        <v>7</v>
      </c>
      <c r="E359" s="64">
        <v>4.0911747516070001E-3</v>
      </c>
    </row>
    <row r="360" spans="2:5" ht="15" customHeight="1">
      <c r="B360" s="88"/>
      <c r="C360" s="62" t="s">
        <v>160</v>
      </c>
      <c r="D360" s="63">
        <v>3</v>
      </c>
      <c r="E360" s="64">
        <v>1.753360607832E-3</v>
      </c>
    </row>
    <row r="361" spans="2:5" ht="15" customHeight="1">
      <c r="B361" s="88"/>
      <c r="C361" s="62" t="s">
        <v>161</v>
      </c>
      <c r="D361" s="63">
        <v>11</v>
      </c>
      <c r="E361" s="64">
        <v>6.4289888953829996E-3</v>
      </c>
    </row>
    <row r="362" spans="2:5" ht="15" customHeight="1">
      <c r="B362" s="87"/>
      <c r="C362" s="36" t="s">
        <v>28</v>
      </c>
      <c r="D362" s="35">
        <v>30</v>
      </c>
      <c r="E362" s="34">
        <v>1.7533606078316999E-2</v>
      </c>
    </row>
    <row r="363" spans="2:5" ht="15" customHeight="1">
      <c r="B363" s="86" t="s">
        <v>89</v>
      </c>
      <c r="C363" s="62" t="s">
        <v>158</v>
      </c>
      <c r="D363" s="63">
        <v>1</v>
      </c>
      <c r="E363" s="64">
        <v>5.8445353594399998E-4</v>
      </c>
    </row>
    <row r="364" spans="2:5" ht="15" customHeight="1">
      <c r="B364" s="88"/>
      <c r="C364" s="62" t="s">
        <v>167</v>
      </c>
      <c r="D364" s="63">
        <v>1</v>
      </c>
      <c r="E364" s="64">
        <v>5.8445353594399998E-4</v>
      </c>
    </row>
    <row r="365" spans="2:5" ht="15" customHeight="1">
      <c r="B365" s="87"/>
      <c r="C365" s="36" t="s">
        <v>28</v>
      </c>
      <c r="D365" s="35">
        <v>2</v>
      </c>
      <c r="E365" s="34">
        <v>1.168907071888E-3</v>
      </c>
    </row>
    <row r="366" spans="2:5" ht="15" customHeight="1">
      <c r="B366" s="86" t="s">
        <v>59</v>
      </c>
      <c r="C366" s="62" t="s">
        <v>147</v>
      </c>
      <c r="D366" s="63">
        <v>2</v>
      </c>
      <c r="E366" s="64">
        <v>1.168907071888E-3</v>
      </c>
    </row>
    <row r="367" spans="2:5" ht="15" customHeight="1">
      <c r="B367" s="88"/>
      <c r="C367" s="62" t="s">
        <v>150</v>
      </c>
      <c r="D367" s="63">
        <v>1</v>
      </c>
      <c r="E367" s="64">
        <v>5.8445353594399998E-4</v>
      </c>
    </row>
    <row r="368" spans="2:5" ht="15" customHeight="1">
      <c r="B368" s="88"/>
      <c r="C368" s="62" t="s">
        <v>151</v>
      </c>
      <c r="D368" s="63">
        <v>1</v>
      </c>
      <c r="E368" s="64">
        <v>5.8445353594399998E-4</v>
      </c>
    </row>
    <row r="369" spans="2:5" ht="15" customHeight="1">
      <c r="B369" s="88"/>
      <c r="C369" s="62" t="s">
        <v>153</v>
      </c>
      <c r="D369" s="63">
        <v>3</v>
      </c>
      <c r="E369" s="64">
        <v>1.753360607832E-3</v>
      </c>
    </row>
    <row r="370" spans="2:5" ht="15" customHeight="1">
      <c r="B370" s="88"/>
      <c r="C370" s="62" t="s">
        <v>154</v>
      </c>
      <c r="D370" s="63">
        <v>6</v>
      </c>
      <c r="E370" s="64">
        <v>3.506721215663E-3</v>
      </c>
    </row>
    <row r="371" spans="2:5" ht="15" customHeight="1">
      <c r="B371" s="88"/>
      <c r="C371" s="62" t="s">
        <v>156</v>
      </c>
      <c r="D371" s="63">
        <v>1</v>
      </c>
      <c r="E371" s="64">
        <v>5.8445353594399998E-4</v>
      </c>
    </row>
    <row r="372" spans="2:5" ht="15" customHeight="1">
      <c r="B372" s="88"/>
      <c r="C372" s="62" t="s">
        <v>157</v>
      </c>
      <c r="D372" s="63">
        <v>3</v>
      </c>
      <c r="E372" s="64">
        <v>1.753360607832E-3</v>
      </c>
    </row>
    <row r="373" spans="2:5" ht="15" customHeight="1">
      <c r="B373" s="88"/>
      <c r="C373" s="62" t="s">
        <v>158</v>
      </c>
      <c r="D373" s="63">
        <v>12</v>
      </c>
      <c r="E373" s="64">
        <v>7.0134424313270001E-3</v>
      </c>
    </row>
    <row r="374" spans="2:5" ht="15" customHeight="1">
      <c r="B374" s="88"/>
      <c r="C374" s="62" t="s">
        <v>160</v>
      </c>
      <c r="D374" s="63">
        <v>3</v>
      </c>
      <c r="E374" s="64">
        <v>1.753360607832E-3</v>
      </c>
    </row>
    <row r="375" spans="2:5" ht="15" customHeight="1">
      <c r="B375" s="88"/>
      <c r="C375" s="62" t="s">
        <v>161</v>
      </c>
      <c r="D375" s="63">
        <v>14</v>
      </c>
      <c r="E375" s="64">
        <v>8.1823495032140002E-3</v>
      </c>
    </row>
    <row r="376" spans="2:5" ht="15" customHeight="1">
      <c r="B376" s="88"/>
      <c r="C376" s="62" t="s">
        <v>166</v>
      </c>
      <c r="D376" s="63">
        <v>2</v>
      </c>
      <c r="E376" s="64">
        <v>1.168907071888E-3</v>
      </c>
    </row>
    <row r="377" spans="2:5" ht="15" customHeight="1">
      <c r="B377" s="88"/>
      <c r="C377" s="62" t="s">
        <v>167</v>
      </c>
      <c r="D377" s="63">
        <v>3</v>
      </c>
      <c r="E377" s="64">
        <v>1.753360607832E-3</v>
      </c>
    </row>
    <row r="378" spans="2:5" ht="15" customHeight="1">
      <c r="B378" s="87"/>
      <c r="C378" s="36" t="s">
        <v>28</v>
      </c>
      <c r="D378" s="35">
        <v>51</v>
      </c>
      <c r="E378" s="34">
        <v>2.9807130333139E-2</v>
      </c>
    </row>
    <row r="379" spans="2:5" ht="15" customHeight="1">
      <c r="B379" s="86" t="s">
        <v>74</v>
      </c>
      <c r="C379" s="62" t="s">
        <v>147</v>
      </c>
      <c r="D379" s="63">
        <v>2</v>
      </c>
      <c r="E379" s="64">
        <v>1.168907071888E-3</v>
      </c>
    </row>
    <row r="380" spans="2:5" ht="15" customHeight="1">
      <c r="B380" s="88"/>
      <c r="C380" s="62" t="s">
        <v>153</v>
      </c>
      <c r="D380" s="63">
        <v>1</v>
      </c>
      <c r="E380" s="64">
        <v>5.8445353594399998E-4</v>
      </c>
    </row>
    <row r="381" spans="2:5" ht="15" customHeight="1">
      <c r="B381" s="88"/>
      <c r="C381" s="62" t="s">
        <v>154</v>
      </c>
      <c r="D381" s="63">
        <v>2</v>
      </c>
      <c r="E381" s="64">
        <v>1.168907071888E-3</v>
      </c>
    </row>
    <row r="382" spans="2:5" ht="15" customHeight="1">
      <c r="B382" s="88"/>
      <c r="C382" s="62" t="s">
        <v>157</v>
      </c>
      <c r="D382" s="63">
        <v>2</v>
      </c>
      <c r="E382" s="64">
        <v>1.168907071888E-3</v>
      </c>
    </row>
    <row r="383" spans="2:5" ht="15" customHeight="1">
      <c r="B383" s="88"/>
      <c r="C383" s="62" t="s">
        <v>158</v>
      </c>
      <c r="D383" s="63">
        <v>7</v>
      </c>
      <c r="E383" s="64">
        <v>4.0911747516070001E-3</v>
      </c>
    </row>
    <row r="384" spans="2:5" ht="15" customHeight="1">
      <c r="B384" s="88"/>
      <c r="C384" s="62" t="s">
        <v>160</v>
      </c>
      <c r="D384" s="63">
        <v>1</v>
      </c>
      <c r="E384" s="64">
        <v>5.8445353594399998E-4</v>
      </c>
    </row>
    <row r="385" spans="2:5" ht="15" customHeight="1">
      <c r="B385" s="88"/>
      <c r="C385" s="62" t="s">
        <v>162</v>
      </c>
      <c r="D385" s="63">
        <v>1</v>
      </c>
      <c r="E385" s="64">
        <v>5.8445353594399998E-4</v>
      </c>
    </row>
    <row r="386" spans="2:5" ht="15" customHeight="1">
      <c r="B386" s="88"/>
      <c r="C386" s="62" t="s">
        <v>167</v>
      </c>
      <c r="D386" s="63">
        <v>2</v>
      </c>
      <c r="E386" s="64">
        <v>1.168907071888E-3</v>
      </c>
    </row>
    <row r="387" spans="2:5" ht="15" customHeight="1">
      <c r="B387" s="87"/>
      <c r="C387" s="36" t="s">
        <v>28</v>
      </c>
      <c r="D387" s="35">
        <v>18</v>
      </c>
      <c r="E387" s="34">
        <v>1.0520163646990001E-2</v>
      </c>
    </row>
    <row r="388" spans="2:5" ht="15" customHeight="1">
      <c r="B388" s="86" t="s">
        <v>86</v>
      </c>
      <c r="C388" s="62" t="s">
        <v>153</v>
      </c>
      <c r="D388" s="63">
        <v>1</v>
      </c>
      <c r="E388" s="64">
        <v>5.8445353594399998E-4</v>
      </c>
    </row>
    <row r="389" spans="2:5" ht="15" customHeight="1">
      <c r="B389" s="88"/>
      <c r="C389" s="62" t="s">
        <v>159</v>
      </c>
      <c r="D389" s="63">
        <v>1</v>
      </c>
      <c r="E389" s="64">
        <v>5.8445353594399998E-4</v>
      </c>
    </row>
    <row r="390" spans="2:5" ht="15" customHeight="1">
      <c r="B390" s="88"/>
      <c r="C390" s="62" t="s">
        <v>161</v>
      </c>
      <c r="D390" s="63">
        <v>1</v>
      </c>
      <c r="E390" s="64">
        <v>5.8445353594399998E-4</v>
      </c>
    </row>
    <row r="391" spans="2:5" ht="15" customHeight="1">
      <c r="B391" s="87"/>
      <c r="C391" s="36" t="s">
        <v>28</v>
      </c>
      <c r="D391" s="35">
        <v>3</v>
      </c>
      <c r="E391" s="34">
        <v>1.753360607832E-3</v>
      </c>
    </row>
    <row r="392" spans="2:5" ht="15" customHeight="1">
      <c r="B392" s="86" t="s">
        <v>65</v>
      </c>
      <c r="C392" s="62" t="s">
        <v>150</v>
      </c>
      <c r="D392" s="63">
        <v>1</v>
      </c>
      <c r="E392" s="64">
        <v>5.8445353594399998E-4</v>
      </c>
    </row>
    <row r="393" spans="2:5" ht="15" customHeight="1">
      <c r="B393" s="88"/>
      <c r="C393" s="62" t="s">
        <v>152</v>
      </c>
      <c r="D393" s="63">
        <v>1</v>
      </c>
      <c r="E393" s="64">
        <v>5.8445353594399998E-4</v>
      </c>
    </row>
    <row r="394" spans="2:5" ht="15" customHeight="1">
      <c r="B394" s="88"/>
      <c r="C394" s="62" t="s">
        <v>153</v>
      </c>
      <c r="D394" s="63">
        <v>9</v>
      </c>
      <c r="E394" s="64">
        <v>5.2600818234950003E-3</v>
      </c>
    </row>
    <row r="395" spans="2:5" ht="15" customHeight="1">
      <c r="B395" s="88"/>
      <c r="C395" s="62" t="s">
        <v>154</v>
      </c>
      <c r="D395" s="63">
        <v>2</v>
      </c>
      <c r="E395" s="64">
        <v>1.168907071888E-3</v>
      </c>
    </row>
    <row r="396" spans="2:5" ht="15" customHeight="1">
      <c r="B396" s="88"/>
      <c r="C396" s="62" t="s">
        <v>157</v>
      </c>
      <c r="D396" s="63">
        <v>6</v>
      </c>
      <c r="E396" s="64">
        <v>3.506721215663E-3</v>
      </c>
    </row>
    <row r="397" spans="2:5" ht="15" customHeight="1">
      <c r="B397" s="88"/>
      <c r="C397" s="62" t="s">
        <v>158</v>
      </c>
      <c r="D397" s="63">
        <v>7</v>
      </c>
      <c r="E397" s="64">
        <v>4.0911747516070001E-3</v>
      </c>
    </row>
    <row r="398" spans="2:5" ht="15" customHeight="1">
      <c r="B398" s="88"/>
      <c r="C398" s="62" t="s">
        <v>159</v>
      </c>
      <c r="D398" s="63">
        <v>1</v>
      </c>
      <c r="E398" s="64">
        <v>5.8445353594399998E-4</v>
      </c>
    </row>
    <row r="399" spans="2:5" ht="15" customHeight="1">
      <c r="B399" s="88"/>
      <c r="C399" s="62" t="s">
        <v>160</v>
      </c>
      <c r="D399" s="63">
        <v>2</v>
      </c>
      <c r="E399" s="64">
        <v>1.168907071888E-3</v>
      </c>
    </row>
    <row r="400" spans="2:5" ht="15" customHeight="1">
      <c r="B400" s="88"/>
      <c r="C400" s="62" t="s">
        <v>161</v>
      </c>
      <c r="D400" s="63">
        <v>8</v>
      </c>
      <c r="E400" s="64">
        <v>4.6756282875509998E-3</v>
      </c>
    </row>
    <row r="401" spans="2:5" ht="15" customHeight="1">
      <c r="B401" s="88"/>
      <c r="C401" s="62" t="s">
        <v>163</v>
      </c>
      <c r="D401" s="63">
        <v>1</v>
      </c>
      <c r="E401" s="64">
        <v>5.8445353594399998E-4</v>
      </c>
    </row>
    <row r="402" spans="2:5" ht="15" customHeight="1">
      <c r="B402" s="88"/>
      <c r="C402" s="62" t="s">
        <v>167</v>
      </c>
      <c r="D402" s="63">
        <v>2</v>
      </c>
      <c r="E402" s="64">
        <v>1.168907071888E-3</v>
      </c>
    </row>
    <row r="403" spans="2:5" ht="15" customHeight="1">
      <c r="B403" s="87"/>
      <c r="C403" s="36" t="s">
        <v>28</v>
      </c>
      <c r="D403" s="35">
        <v>40</v>
      </c>
      <c r="E403" s="34">
        <v>2.3378141437756E-2</v>
      </c>
    </row>
    <row r="404" spans="2:5" ht="15" customHeight="1">
      <c r="B404" s="86" t="s">
        <v>58</v>
      </c>
      <c r="C404" s="62" t="s">
        <v>147</v>
      </c>
      <c r="D404" s="63">
        <v>2</v>
      </c>
      <c r="E404" s="64">
        <v>1.168907071888E-3</v>
      </c>
    </row>
    <row r="405" spans="2:5" ht="15" customHeight="1">
      <c r="B405" s="88"/>
      <c r="C405" s="62" t="s">
        <v>149</v>
      </c>
      <c r="D405" s="63">
        <v>1</v>
      </c>
      <c r="E405" s="64">
        <v>5.8445353594399998E-4</v>
      </c>
    </row>
    <row r="406" spans="2:5" ht="15" customHeight="1">
      <c r="B406" s="88"/>
      <c r="C406" s="62" t="s">
        <v>152</v>
      </c>
      <c r="D406" s="63">
        <v>1</v>
      </c>
      <c r="E406" s="64">
        <v>5.8445353594399998E-4</v>
      </c>
    </row>
    <row r="407" spans="2:5" ht="15" customHeight="1">
      <c r="B407" s="88"/>
      <c r="C407" s="62" t="s">
        <v>153</v>
      </c>
      <c r="D407" s="63">
        <v>4</v>
      </c>
      <c r="E407" s="64">
        <v>2.3378141437759999E-3</v>
      </c>
    </row>
    <row r="408" spans="2:5" ht="15" customHeight="1">
      <c r="B408" s="88"/>
      <c r="C408" s="62" t="s">
        <v>154</v>
      </c>
      <c r="D408" s="63">
        <v>9</v>
      </c>
      <c r="E408" s="64">
        <v>5.2600818234950003E-3</v>
      </c>
    </row>
    <row r="409" spans="2:5" ht="15" customHeight="1">
      <c r="B409" s="88"/>
      <c r="C409" s="62" t="s">
        <v>156</v>
      </c>
      <c r="D409" s="63">
        <v>4</v>
      </c>
      <c r="E409" s="64">
        <v>2.3378141437759999E-3</v>
      </c>
    </row>
    <row r="410" spans="2:5" ht="15" customHeight="1">
      <c r="B410" s="88"/>
      <c r="C410" s="62" t="s">
        <v>158</v>
      </c>
      <c r="D410" s="63">
        <v>22</v>
      </c>
      <c r="E410" s="64">
        <v>1.2857977790765999E-2</v>
      </c>
    </row>
    <row r="411" spans="2:5" ht="15" customHeight="1">
      <c r="B411" s="88"/>
      <c r="C411" s="62" t="s">
        <v>159</v>
      </c>
      <c r="D411" s="63">
        <v>1</v>
      </c>
      <c r="E411" s="64">
        <v>5.8445353594399998E-4</v>
      </c>
    </row>
    <row r="412" spans="2:5" ht="15" customHeight="1">
      <c r="B412" s="88"/>
      <c r="C412" s="62" t="s">
        <v>160</v>
      </c>
      <c r="D412" s="63">
        <v>3</v>
      </c>
      <c r="E412" s="64">
        <v>1.753360607832E-3</v>
      </c>
    </row>
    <row r="413" spans="2:5" ht="15" customHeight="1">
      <c r="B413" s="88"/>
      <c r="C413" s="62" t="s">
        <v>161</v>
      </c>
      <c r="D413" s="63">
        <v>7</v>
      </c>
      <c r="E413" s="64">
        <v>4.0911747516070001E-3</v>
      </c>
    </row>
    <row r="414" spans="2:5" ht="15" customHeight="1">
      <c r="B414" s="88"/>
      <c r="C414" s="62" t="s">
        <v>163</v>
      </c>
      <c r="D414" s="63">
        <v>1</v>
      </c>
      <c r="E414" s="64">
        <v>5.8445353594399998E-4</v>
      </c>
    </row>
    <row r="415" spans="2:5" ht="15" customHeight="1">
      <c r="B415" s="88"/>
      <c r="C415" s="62" t="s">
        <v>164</v>
      </c>
      <c r="D415" s="63">
        <v>1</v>
      </c>
      <c r="E415" s="64">
        <v>5.8445353594399998E-4</v>
      </c>
    </row>
    <row r="416" spans="2:5" ht="15" customHeight="1">
      <c r="B416" s="88"/>
      <c r="C416" s="62" t="s">
        <v>167</v>
      </c>
      <c r="D416" s="63">
        <v>3</v>
      </c>
      <c r="E416" s="64">
        <v>1.753360607832E-3</v>
      </c>
    </row>
    <row r="417" spans="2:5" ht="15" customHeight="1">
      <c r="B417" s="87"/>
      <c r="C417" s="36" t="s">
        <v>28</v>
      </c>
      <c r="D417" s="35">
        <v>59</v>
      </c>
      <c r="E417" s="34">
        <v>3.4482758620690002E-2</v>
      </c>
    </row>
    <row r="418" spans="2:5" ht="15" customHeight="1">
      <c r="B418" s="86" t="s">
        <v>75</v>
      </c>
      <c r="C418" s="62" t="s">
        <v>149</v>
      </c>
      <c r="D418" s="63">
        <v>1</v>
      </c>
      <c r="E418" s="64">
        <v>5.8445353594399998E-4</v>
      </c>
    </row>
    <row r="419" spans="2:5" ht="15" customHeight="1">
      <c r="B419" s="88"/>
      <c r="C419" s="62" t="s">
        <v>153</v>
      </c>
      <c r="D419" s="63">
        <v>1</v>
      </c>
      <c r="E419" s="64">
        <v>5.8445353594399998E-4</v>
      </c>
    </row>
    <row r="420" spans="2:5" ht="15" customHeight="1">
      <c r="B420" s="88"/>
      <c r="C420" s="62" t="s">
        <v>158</v>
      </c>
      <c r="D420" s="63">
        <v>6</v>
      </c>
      <c r="E420" s="64">
        <v>3.506721215663E-3</v>
      </c>
    </row>
    <row r="421" spans="2:5" ht="15" customHeight="1">
      <c r="B421" s="88"/>
      <c r="C421" s="62" t="s">
        <v>161</v>
      </c>
      <c r="D421" s="63">
        <v>6</v>
      </c>
      <c r="E421" s="64">
        <v>3.506721215663E-3</v>
      </c>
    </row>
    <row r="422" spans="2:5" ht="15" customHeight="1">
      <c r="B422" s="88"/>
      <c r="C422" s="62" t="s">
        <v>166</v>
      </c>
      <c r="D422" s="63">
        <v>1</v>
      </c>
      <c r="E422" s="64">
        <v>5.8445353594399998E-4</v>
      </c>
    </row>
    <row r="423" spans="2:5" ht="15" customHeight="1">
      <c r="B423" s="88"/>
      <c r="C423" s="62" t="s">
        <v>167</v>
      </c>
      <c r="D423" s="63">
        <v>2</v>
      </c>
      <c r="E423" s="64">
        <v>1.168907071888E-3</v>
      </c>
    </row>
    <row r="424" spans="2:5" ht="15" customHeight="1">
      <c r="B424" s="87"/>
      <c r="C424" s="36" t="s">
        <v>28</v>
      </c>
      <c r="D424" s="35">
        <v>17</v>
      </c>
      <c r="E424" s="34">
        <v>9.9357101110459992E-3</v>
      </c>
    </row>
    <row r="425" spans="2:5" ht="15" customHeight="1">
      <c r="B425" s="86" t="s">
        <v>84</v>
      </c>
      <c r="C425" s="62" t="s">
        <v>157</v>
      </c>
      <c r="D425" s="63">
        <v>2</v>
      </c>
      <c r="E425" s="64">
        <v>1.168907071888E-3</v>
      </c>
    </row>
    <row r="426" spans="2:5" ht="15" customHeight="1">
      <c r="B426" s="88"/>
      <c r="C426" s="62" t="s">
        <v>158</v>
      </c>
      <c r="D426" s="63">
        <v>2</v>
      </c>
      <c r="E426" s="64">
        <v>1.168907071888E-3</v>
      </c>
    </row>
    <row r="427" spans="2:5" ht="15" customHeight="1">
      <c r="B427" s="88"/>
      <c r="C427" s="62" t="s">
        <v>159</v>
      </c>
      <c r="D427" s="63">
        <v>1</v>
      </c>
      <c r="E427" s="64">
        <v>5.8445353594399998E-4</v>
      </c>
    </row>
    <row r="428" spans="2:5" ht="15" customHeight="1">
      <c r="B428" s="88"/>
      <c r="C428" s="62" t="s">
        <v>161</v>
      </c>
      <c r="D428" s="63">
        <v>2</v>
      </c>
      <c r="E428" s="64">
        <v>1.168907071888E-3</v>
      </c>
    </row>
    <row r="429" spans="2:5" ht="15" customHeight="1">
      <c r="B429" s="87"/>
      <c r="C429" s="36" t="s">
        <v>28</v>
      </c>
      <c r="D429" s="35">
        <v>7</v>
      </c>
      <c r="E429" s="34">
        <v>4.0911747516070001E-3</v>
      </c>
    </row>
    <row r="430" spans="2:5" ht="15" customHeight="1">
      <c r="B430" s="86" t="s">
        <v>71</v>
      </c>
      <c r="C430" s="62" t="s">
        <v>149</v>
      </c>
      <c r="D430" s="63">
        <v>2</v>
      </c>
      <c r="E430" s="64">
        <v>1.168907071888E-3</v>
      </c>
    </row>
    <row r="431" spans="2:5" ht="15" customHeight="1">
      <c r="B431" s="88"/>
      <c r="C431" s="62" t="s">
        <v>153</v>
      </c>
      <c r="D431" s="63">
        <v>2</v>
      </c>
      <c r="E431" s="64">
        <v>1.168907071888E-3</v>
      </c>
    </row>
    <row r="432" spans="2:5" ht="15" customHeight="1">
      <c r="B432" s="88"/>
      <c r="C432" s="62" t="s">
        <v>154</v>
      </c>
      <c r="D432" s="63">
        <v>3</v>
      </c>
      <c r="E432" s="64">
        <v>1.753360607832E-3</v>
      </c>
    </row>
    <row r="433" spans="2:5" ht="15" customHeight="1">
      <c r="B433" s="88"/>
      <c r="C433" s="62" t="s">
        <v>157</v>
      </c>
      <c r="D433" s="63">
        <v>1</v>
      </c>
      <c r="E433" s="64">
        <v>5.8445353594399998E-4</v>
      </c>
    </row>
    <row r="434" spans="2:5" ht="15" customHeight="1">
      <c r="B434" s="88"/>
      <c r="C434" s="62" t="s">
        <v>158</v>
      </c>
      <c r="D434" s="63">
        <v>13</v>
      </c>
      <c r="E434" s="64">
        <v>7.5978959672709998E-3</v>
      </c>
    </row>
    <row r="435" spans="2:5" ht="15" customHeight="1">
      <c r="B435" s="88"/>
      <c r="C435" s="62" t="s">
        <v>161</v>
      </c>
      <c r="D435" s="63">
        <v>6</v>
      </c>
      <c r="E435" s="64">
        <v>3.506721215663E-3</v>
      </c>
    </row>
    <row r="436" spans="2:5" ht="15" customHeight="1">
      <c r="B436" s="88"/>
      <c r="C436" s="62" t="s">
        <v>166</v>
      </c>
      <c r="D436" s="63">
        <v>1</v>
      </c>
      <c r="E436" s="64">
        <v>5.8445353594399998E-4</v>
      </c>
    </row>
    <row r="437" spans="2:5" ht="15" customHeight="1">
      <c r="B437" s="88"/>
      <c r="C437" s="62" t="s">
        <v>167</v>
      </c>
      <c r="D437" s="63">
        <v>1</v>
      </c>
      <c r="E437" s="64">
        <v>5.8445353594399998E-4</v>
      </c>
    </row>
    <row r="438" spans="2:5" ht="15" customHeight="1">
      <c r="B438" s="87"/>
      <c r="C438" s="36" t="s">
        <v>28</v>
      </c>
      <c r="D438" s="35">
        <v>29</v>
      </c>
      <c r="E438" s="34">
        <v>1.6949152542372999E-2</v>
      </c>
    </row>
    <row r="439" spans="2:5" ht="15" customHeight="1">
      <c r="B439" s="90" t="s">
        <v>28</v>
      </c>
      <c r="C439" s="91"/>
      <c r="D439" s="60">
        <v>1711</v>
      </c>
      <c r="E439" s="61">
        <v>1</v>
      </c>
    </row>
    <row r="441" spans="2:5" ht="15" customHeight="1">
      <c r="B441" s="15" t="s">
        <v>213</v>
      </c>
    </row>
    <row r="442" spans="2:5" ht="15" customHeight="1">
      <c r="B442" s="17" t="s">
        <v>17</v>
      </c>
    </row>
    <row r="443" spans="2:5" ht="15" customHeight="1">
      <c r="B443" s="16" t="s">
        <v>214</v>
      </c>
    </row>
    <row r="444" spans="2:5" ht="15" customHeight="1">
      <c r="B444" s="15" t="s">
        <v>16</v>
      </c>
    </row>
    <row r="445" spans="2:5" ht="15" customHeight="1">
      <c r="B445" s="15" t="s">
        <v>215</v>
      </c>
    </row>
  </sheetData>
  <mergeCells count="46">
    <mergeCell ref="B363:B365"/>
    <mergeCell ref="B366:B378"/>
    <mergeCell ref="B379:B387"/>
    <mergeCell ref="B430:B438"/>
    <mergeCell ref="B439:C439"/>
    <mergeCell ref="B388:B391"/>
    <mergeCell ref="B392:B403"/>
    <mergeCell ref="B404:B417"/>
    <mergeCell ref="B418:B424"/>
    <mergeCell ref="B425:B429"/>
    <mergeCell ref="B288:B300"/>
    <mergeCell ref="B301:B308"/>
    <mergeCell ref="B309:B318"/>
    <mergeCell ref="B343:B354"/>
    <mergeCell ref="B355:B362"/>
    <mergeCell ref="B241:B248"/>
    <mergeCell ref="B249:B256"/>
    <mergeCell ref="B257:B263"/>
    <mergeCell ref="B264:B273"/>
    <mergeCell ref="B274:B287"/>
    <mergeCell ref="B176:B186"/>
    <mergeCell ref="B187:B198"/>
    <mergeCell ref="B199:B212"/>
    <mergeCell ref="B213:B227"/>
    <mergeCell ref="B228:B240"/>
    <mergeCell ref="B122:B130"/>
    <mergeCell ref="B131:B143"/>
    <mergeCell ref="B144:B154"/>
    <mergeCell ref="B155:B167"/>
    <mergeCell ref="B168:B175"/>
    <mergeCell ref="B7:E8"/>
    <mergeCell ref="B319:B325"/>
    <mergeCell ref="B326:B327"/>
    <mergeCell ref="B328:B342"/>
    <mergeCell ref="B10:B11"/>
    <mergeCell ref="B12:B25"/>
    <mergeCell ref="B26:B39"/>
    <mergeCell ref="B40:B45"/>
    <mergeCell ref="B46:B49"/>
    <mergeCell ref="B50:B59"/>
    <mergeCell ref="B60:B73"/>
    <mergeCell ref="B74:B88"/>
    <mergeCell ref="B89:B102"/>
    <mergeCell ref="B103:B111"/>
    <mergeCell ref="B112:B114"/>
    <mergeCell ref="B115:B1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D20"/>
  <sheetViews>
    <sheetView showGridLines="0" view="pageBreakPreview" zoomScale="115" zoomScaleNormal="100" zoomScaleSheetLayoutView="115" workbookViewId="0">
      <selection activeCell="A12" sqref="A12:XFD14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94" t="s">
        <v>36</v>
      </c>
      <c r="C7" s="94"/>
      <c r="D7" s="94"/>
    </row>
    <row r="8" spans="2:4" s="25" customFormat="1" ht="15" customHeight="1">
      <c r="B8" s="94"/>
      <c r="C8" s="94"/>
      <c r="D8" s="94"/>
    </row>
    <row r="9" spans="2:4" s="25" customFormat="1" ht="33" customHeight="1">
      <c r="B9" s="94"/>
      <c r="C9" s="94"/>
      <c r="D9" s="94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29</v>
      </c>
      <c r="C11" s="27" t="s">
        <v>19</v>
      </c>
      <c r="D11" s="26" t="s">
        <v>18</v>
      </c>
    </row>
    <row r="12" spans="2:4" ht="15" customHeight="1">
      <c r="B12" s="23" t="s">
        <v>133</v>
      </c>
      <c r="C12" s="22">
        <v>518</v>
      </c>
      <c r="D12" s="21">
        <v>0.30274693161893601</v>
      </c>
    </row>
    <row r="13" spans="2:4" ht="15" customHeight="1">
      <c r="B13" s="23" t="s">
        <v>134</v>
      </c>
      <c r="C13" s="22">
        <v>1193</v>
      </c>
      <c r="D13" s="21">
        <v>0.69725306838106405</v>
      </c>
    </row>
    <row r="14" spans="2:4" ht="15" customHeight="1">
      <c r="B14" s="20" t="s">
        <v>28</v>
      </c>
      <c r="C14" s="19">
        <v>1711</v>
      </c>
      <c r="D14" s="18">
        <v>1</v>
      </c>
    </row>
    <row r="15" spans="2:4">
      <c r="B15" s="24"/>
      <c r="C15" s="48"/>
      <c r="D15" s="48"/>
    </row>
    <row r="16" spans="2:4">
      <c r="B16" s="15" t="s">
        <v>213</v>
      </c>
      <c r="C16" s="48"/>
      <c r="D16" s="48"/>
    </row>
    <row r="17" spans="2:4">
      <c r="B17" s="17" t="s">
        <v>17</v>
      </c>
      <c r="C17" s="47"/>
      <c r="D17" s="47"/>
    </row>
    <row r="18" spans="2:4">
      <c r="B18" s="16" t="s">
        <v>214</v>
      </c>
      <c r="C18" s="46"/>
      <c r="D18" s="46"/>
    </row>
    <row r="19" spans="2:4">
      <c r="B19" s="15" t="s">
        <v>16</v>
      </c>
    </row>
    <row r="20" spans="2:4">
      <c r="B20" s="15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48"/>
  <sheetViews>
    <sheetView showGridLines="0" view="pageBreakPreview" topLeftCell="A128" zoomScaleNormal="100" zoomScaleSheetLayoutView="100" workbookViewId="0">
      <selection activeCell="B13" sqref="B13:E142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1" style="41" customWidth="1"/>
    <col min="4" max="4" width="17.26953125" style="44" customWidth="1"/>
    <col min="5" max="5" width="15.1796875" style="41" bestFit="1" customWidth="1"/>
    <col min="6" max="6" width="5.726562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85" t="s">
        <v>41</v>
      </c>
      <c r="C8" s="85"/>
      <c r="D8" s="85"/>
      <c r="E8" s="85"/>
    </row>
    <row r="9" spans="2:6" s="13" customFormat="1" ht="15" customHeight="1">
      <c r="B9" s="85"/>
      <c r="C9" s="85"/>
      <c r="D9" s="85"/>
      <c r="E9" s="85"/>
      <c r="F9" s="49"/>
    </row>
    <row r="10" spans="2:6" s="13" customFormat="1" ht="15" customHeight="1">
      <c r="B10" s="85"/>
      <c r="C10" s="85"/>
      <c r="D10" s="85"/>
      <c r="E10" s="85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4" t="s">
        <v>21</v>
      </c>
      <c r="C12" s="54" t="s">
        <v>29</v>
      </c>
      <c r="D12" s="54" t="s">
        <v>19</v>
      </c>
      <c r="E12" s="54" t="s">
        <v>18</v>
      </c>
    </row>
    <row r="13" spans="2:6" ht="15" customHeight="1">
      <c r="B13" s="86" t="s">
        <v>87</v>
      </c>
      <c r="C13" s="62" t="s">
        <v>134</v>
      </c>
      <c r="D13" s="63">
        <v>2</v>
      </c>
      <c r="E13" s="64">
        <v>1.168907071888E-3</v>
      </c>
    </row>
    <row r="14" spans="2:6" ht="15" customHeight="1">
      <c r="B14" s="87"/>
      <c r="C14" s="68" t="s">
        <v>28</v>
      </c>
      <c r="D14" s="69">
        <v>2</v>
      </c>
      <c r="E14" s="70">
        <v>1.168907071888E-3</v>
      </c>
    </row>
    <row r="15" spans="2:6" ht="15" customHeight="1">
      <c r="B15" s="86" t="s">
        <v>47</v>
      </c>
      <c r="C15" s="62" t="s">
        <v>133</v>
      </c>
      <c r="D15" s="63">
        <v>35</v>
      </c>
      <c r="E15" s="64">
        <v>2.0455873758036001E-2</v>
      </c>
    </row>
    <row r="16" spans="2:6" ht="15" customHeight="1">
      <c r="B16" s="88"/>
      <c r="C16" s="62" t="s">
        <v>134</v>
      </c>
      <c r="D16" s="63">
        <v>102</v>
      </c>
      <c r="E16" s="64">
        <v>5.9614260666277001E-2</v>
      </c>
    </row>
    <row r="17" spans="2:5" ht="15" customHeight="1">
      <c r="B17" s="87"/>
      <c r="C17" s="68" t="s">
        <v>28</v>
      </c>
      <c r="D17" s="69">
        <v>137</v>
      </c>
      <c r="E17" s="70">
        <v>8.0070134424313003E-2</v>
      </c>
    </row>
    <row r="18" spans="2:5" ht="15" customHeight="1">
      <c r="B18" s="86" t="s">
        <v>56</v>
      </c>
      <c r="C18" s="62" t="s">
        <v>133</v>
      </c>
      <c r="D18" s="63">
        <v>21</v>
      </c>
      <c r="E18" s="64">
        <v>1.2273524254822E-2</v>
      </c>
    </row>
    <row r="19" spans="2:5" ht="15" customHeight="1">
      <c r="B19" s="88"/>
      <c r="C19" s="62" t="s">
        <v>134</v>
      </c>
      <c r="D19" s="63">
        <v>39</v>
      </c>
      <c r="E19" s="64">
        <v>2.2793687901812E-2</v>
      </c>
    </row>
    <row r="20" spans="2:5" ht="15" customHeight="1">
      <c r="B20" s="87"/>
      <c r="C20" s="68" t="s">
        <v>28</v>
      </c>
      <c r="D20" s="69">
        <v>60</v>
      </c>
      <c r="E20" s="70">
        <v>3.5067212156633998E-2</v>
      </c>
    </row>
    <row r="21" spans="2:5" ht="15" customHeight="1">
      <c r="B21" s="86" t="s">
        <v>82</v>
      </c>
      <c r="C21" s="62" t="s">
        <v>133</v>
      </c>
      <c r="D21" s="63">
        <v>3</v>
      </c>
      <c r="E21" s="64">
        <v>1.753360607832E-3</v>
      </c>
    </row>
    <row r="22" spans="2:5" ht="15" customHeight="1">
      <c r="B22" s="88"/>
      <c r="C22" s="62" t="s">
        <v>134</v>
      </c>
      <c r="D22" s="63">
        <v>7</v>
      </c>
      <c r="E22" s="64">
        <v>4.0911747516070001E-3</v>
      </c>
    </row>
    <row r="23" spans="2:5" ht="15" customHeight="1">
      <c r="B23" s="87"/>
      <c r="C23" s="68" t="s">
        <v>28</v>
      </c>
      <c r="D23" s="69">
        <v>10</v>
      </c>
      <c r="E23" s="70">
        <v>5.8445353594389999E-3</v>
      </c>
    </row>
    <row r="24" spans="2:5" ht="15" customHeight="1">
      <c r="B24" s="86" t="s">
        <v>85</v>
      </c>
      <c r="C24" s="62" t="s">
        <v>133</v>
      </c>
      <c r="D24" s="63">
        <v>1</v>
      </c>
      <c r="E24" s="64">
        <v>5.8445353594399998E-4</v>
      </c>
    </row>
    <row r="25" spans="2:5" ht="15" customHeight="1">
      <c r="B25" s="88"/>
      <c r="C25" s="62" t="s">
        <v>134</v>
      </c>
      <c r="D25" s="63">
        <v>2</v>
      </c>
      <c r="E25" s="64">
        <v>1.168907071888E-3</v>
      </c>
    </row>
    <row r="26" spans="2:5" ht="15" customHeight="1">
      <c r="B26" s="87"/>
      <c r="C26" s="68" t="s">
        <v>28</v>
      </c>
      <c r="D26" s="69">
        <v>3</v>
      </c>
      <c r="E26" s="70">
        <v>1.753360607832E-3</v>
      </c>
    </row>
    <row r="27" spans="2:5" ht="15" customHeight="1">
      <c r="B27" s="86" t="s">
        <v>79</v>
      </c>
      <c r="C27" s="62" t="s">
        <v>133</v>
      </c>
      <c r="D27" s="63">
        <v>4</v>
      </c>
      <c r="E27" s="64">
        <v>2.3378141437759999E-3</v>
      </c>
    </row>
    <row r="28" spans="2:5" ht="15" customHeight="1">
      <c r="B28" s="88"/>
      <c r="C28" s="62" t="s">
        <v>134</v>
      </c>
      <c r="D28" s="63">
        <v>8</v>
      </c>
      <c r="E28" s="64">
        <v>4.6756282875509998E-3</v>
      </c>
    </row>
    <row r="29" spans="2:5" ht="15" customHeight="1">
      <c r="B29" s="87"/>
      <c r="C29" s="68" t="s">
        <v>28</v>
      </c>
      <c r="D29" s="69">
        <v>12</v>
      </c>
      <c r="E29" s="70">
        <v>7.0134424313270001E-3</v>
      </c>
    </row>
    <row r="30" spans="2:5" ht="15" customHeight="1">
      <c r="B30" s="86" t="s">
        <v>52</v>
      </c>
      <c r="C30" s="62" t="s">
        <v>133</v>
      </c>
      <c r="D30" s="63">
        <v>26</v>
      </c>
      <c r="E30" s="64">
        <v>1.5195791934541E-2</v>
      </c>
    </row>
    <row r="31" spans="2:5" ht="15" customHeight="1">
      <c r="B31" s="88"/>
      <c r="C31" s="62" t="s">
        <v>134</v>
      </c>
      <c r="D31" s="63">
        <v>50</v>
      </c>
      <c r="E31" s="64">
        <v>2.9222676797195E-2</v>
      </c>
    </row>
    <row r="32" spans="2:5" ht="15" customHeight="1">
      <c r="B32" s="87"/>
      <c r="C32" s="68" t="s">
        <v>28</v>
      </c>
      <c r="D32" s="69">
        <v>76</v>
      </c>
      <c r="E32" s="70">
        <v>4.4418468731736001E-2</v>
      </c>
    </row>
    <row r="33" spans="2:5" ht="15" customHeight="1">
      <c r="B33" s="86" t="s">
        <v>50</v>
      </c>
      <c r="C33" s="62" t="s">
        <v>133</v>
      </c>
      <c r="D33" s="63">
        <v>33</v>
      </c>
      <c r="E33" s="64">
        <v>1.9286966686147999E-2</v>
      </c>
    </row>
    <row r="34" spans="2:5" ht="15" customHeight="1">
      <c r="B34" s="88"/>
      <c r="C34" s="62" t="s">
        <v>134</v>
      </c>
      <c r="D34" s="63">
        <v>64</v>
      </c>
      <c r="E34" s="64">
        <v>3.7405026300408997E-2</v>
      </c>
    </row>
    <row r="35" spans="2:5" ht="15" customHeight="1">
      <c r="B35" s="87"/>
      <c r="C35" s="68" t="s">
        <v>28</v>
      </c>
      <c r="D35" s="69">
        <v>97</v>
      </c>
      <c r="E35" s="70">
        <v>5.6691992986557999E-2</v>
      </c>
    </row>
    <row r="36" spans="2:5" ht="15" customHeight="1">
      <c r="B36" s="86" t="s">
        <v>62</v>
      </c>
      <c r="C36" s="62" t="s">
        <v>133</v>
      </c>
      <c r="D36" s="63">
        <v>8</v>
      </c>
      <c r="E36" s="64">
        <v>4.6756282875509998E-3</v>
      </c>
    </row>
    <row r="37" spans="2:5" ht="15" customHeight="1">
      <c r="B37" s="88"/>
      <c r="C37" s="62" t="s">
        <v>134</v>
      </c>
      <c r="D37" s="63">
        <v>40</v>
      </c>
      <c r="E37" s="64">
        <v>2.3378141437756E-2</v>
      </c>
    </row>
    <row r="38" spans="2:5" ht="15" customHeight="1">
      <c r="B38" s="87"/>
      <c r="C38" s="68" t="s">
        <v>28</v>
      </c>
      <c r="D38" s="69">
        <v>48</v>
      </c>
      <c r="E38" s="70">
        <v>2.8053769725307001E-2</v>
      </c>
    </row>
    <row r="39" spans="2:5" ht="15" customHeight="1">
      <c r="B39" s="86" t="s">
        <v>68</v>
      </c>
      <c r="C39" s="62" t="s">
        <v>133</v>
      </c>
      <c r="D39" s="63">
        <v>10</v>
      </c>
      <c r="E39" s="64">
        <v>5.8445353594389999E-3</v>
      </c>
    </row>
    <row r="40" spans="2:5" ht="15" customHeight="1">
      <c r="B40" s="88"/>
      <c r="C40" s="62" t="s">
        <v>134</v>
      </c>
      <c r="D40" s="63">
        <v>22</v>
      </c>
      <c r="E40" s="64">
        <v>1.2857977790765999E-2</v>
      </c>
    </row>
    <row r="41" spans="2:5" ht="15" customHeight="1">
      <c r="B41" s="87"/>
      <c r="C41" s="68" t="s">
        <v>28</v>
      </c>
      <c r="D41" s="69">
        <v>32</v>
      </c>
      <c r="E41" s="70">
        <v>1.8702513150205002E-2</v>
      </c>
    </row>
    <row r="42" spans="2:5" ht="15" customHeight="1">
      <c r="B42" s="86" t="s">
        <v>88</v>
      </c>
      <c r="C42" s="62" t="s">
        <v>133</v>
      </c>
      <c r="D42" s="63">
        <v>2</v>
      </c>
      <c r="E42" s="64">
        <v>1.168907071888E-3</v>
      </c>
    </row>
    <row r="43" spans="2:5" ht="15" customHeight="1">
      <c r="B43" s="87"/>
      <c r="C43" s="68" t="s">
        <v>28</v>
      </c>
      <c r="D43" s="69">
        <v>2</v>
      </c>
      <c r="E43" s="70">
        <v>1.168907071888E-3</v>
      </c>
    </row>
    <row r="44" spans="2:5" ht="15" customHeight="1">
      <c r="B44" s="86" t="s">
        <v>80</v>
      </c>
      <c r="C44" s="62" t="s">
        <v>133</v>
      </c>
      <c r="D44" s="63">
        <v>3</v>
      </c>
      <c r="E44" s="64">
        <v>1.753360607832E-3</v>
      </c>
    </row>
    <row r="45" spans="2:5" ht="15" customHeight="1">
      <c r="B45" s="88"/>
      <c r="C45" s="62" t="s">
        <v>134</v>
      </c>
      <c r="D45" s="63">
        <v>8</v>
      </c>
      <c r="E45" s="64">
        <v>4.6756282875509998E-3</v>
      </c>
    </row>
    <row r="46" spans="2:5" ht="15" customHeight="1">
      <c r="B46" s="87"/>
      <c r="C46" s="68" t="s">
        <v>28</v>
      </c>
      <c r="D46" s="69">
        <v>11</v>
      </c>
      <c r="E46" s="70">
        <v>6.4289888953829996E-3</v>
      </c>
    </row>
    <row r="47" spans="2:5" ht="15" customHeight="1">
      <c r="B47" s="86" t="s">
        <v>72</v>
      </c>
      <c r="C47" s="62" t="s">
        <v>133</v>
      </c>
      <c r="D47" s="63">
        <v>12</v>
      </c>
      <c r="E47" s="64">
        <v>7.0134424313270001E-3</v>
      </c>
    </row>
    <row r="48" spans="2:5" ht="15" customHeight="1">
      <c r="B48" s="88"/>
      <c r="C48" s="62" t="s">
        <v>134</v>
      </c>
      <c r="D48" s="63">
        <v>13</v>
      </c>
      <c r="E48" s="64">
        <v>7.5978959672709998E-3</v>
      </c>
    </row>
    <row r="49" spans="2:5" ht="15" customHeight="1">
      <c r="B49" s="87"/>
      <c r="C49" s="68" t="s">
        <v>28</v>
      </c>
      <c r="D49" s="69">
        <v>25</v>
      </c>
      <c r="E49" s="70">
        <v>1.4611338398597001E-2</v>
      </c>
    </row>
    <row r="50" spans="2:5" ht="15" customHeight="1">
      <c r="B50" s="86" t="s">
        <v>53</v>
      </c>
      <c r="C50" s="62" t="s">
        <v>133</v>
      </c>
      <c r="D50" s="63">
        <v>27</v>
      </c>
      <c r="E50" s="64">
        <v>1.5780245470485E-2</v>
      </c>
    </row>
    <row r="51" spans="2:5" ht="15" customHeight="1">
      <c r="B51" s="88"/>
      <c r="C51" s="62" t="s">
        <v>134</v>
      </c>
      <c r="D51" s="63">
        <v>48</v>
      </c>
      <c r="E51" s="64">
        <v>2.8053769725307001E-2</v>
      </c>
    </row>
    <row r="52" spans="2:5" ht="15" customHeight="1">
      <c r="B52" s="87"/>
      <c r="C52" s="68" t="s">
        <v>28</v>
      </c>
      <c r="D52" s="69">
        <v>75</v>
      </c>
      <c r="E52" s="70">
        <v>4.3834015195791998E-2</v>
      </c>
    </row>
    <row r="53" spans="2:5" ht="15" customHeight="1">
      <c r="B53" s="86" t="s">
        <v>64</v>
      </c>
      <c r="C53" s="62" t="s">
        <v>133</v>
      </c>
      <c r="D53" s="63">
        <v>15</v>
      </c>
      <c r="E53" s="64">
        <v>8.7668030391579999E-3</v>
      </c>
    </row>
    <row r="54" spans="2:5" ht="15" customHeight="1">
      <c r="B54" s="88"/>
      <c r="C54" s="62" t="s">
        <v>134</v>
      </c>
      <c r="D54" s="63">
        <v>25</v>
      </c>
      <c r="E54" s="64">
        <v>1.4611338398597001E-2</v>
      </c>
    </row>
    <row r="55" spans="2:5" ht="15" customHeight="1">
      <c r="B55" s="87"/>
      <c r="C55" s="68" t="s">
        <v>28</v>
      </c>
      <c r="D55" s="69">
        <v>40</v>
      </c>
      <c r="E55" s="70">
        <v>2.3378141437756E-2</v>
      </c>
    </row>
    <row r="56" spans="2:5" ht="15" customHeight="1">
      <c r="B56" s="86" t="s">
        <v>60</v>
      </c>
      <c r="C56" s="62" t="s">
        <v>133</v>
      </c>
      <c r="D56" s="63">
        <v>14</v>
      </c>
      <c r="E56" s="64">
        <v>8.1823495032140002E-3</v>
      </c>
    </row>
    <row r="57" spans="2:5" ht="15" customHeight="1">
      <c r="B57" s="88"/>
      <c r="C57" s="62" t="s">
        <v>134</v>
      </c>
      <c r="D57" s="63">
        <v>36</v>
      </c>
      <c r="E57" s="64">
        <v>2.1040327293980001E-2</v>
      </c>
    </row>
    <row r="58" spans="2:5" ht="15" customHeight="1">
      <c r="B58" s="87"/>
      <c r="C58" s="68" t="s">
        <v>28</v>
      </c>
      <c r="D58" s="69">
        <v>50</v>
      </c>
      <c r="E58" s="70">
        <v>2.9222676797195E-2</v>
      </c>
    </row>
    <row r="59" spans="2:5" ht="15" customHeight="1">
      <c r="B59" s="86" t="s">
        <v>78</v>
      </c>
      <c r="C59" s="62" t="s">
        <v>133</v>
      </c>
      <c r="D59" s="63">
        <v>6</v>
      </c>
      <c r="E59" s="64">
        <v>3.506721215663E-3</v>
      </c>
    </row>
    <row r="60" spans="2:5" ht="15" customHeight="1">
      <c r="B60" s="88"/>
      <c r="C60" s="62" t="s">
        <v>134</v>
      </c>
      <c r="D60" s="63">
        <v>7</v>
      </c>
      <c r="E60" s="64">
        <v>4.0911747516070001E-3</v>
      </c>
    </row>
    <row r="61" spans="2:5" ht="15" customHeight="1">
      <c r="B61" s="87"/>
      <c r="C61" s="68" t="s">
        <v>28</v>
      </c>
      <c r="D61" s="69">
        <v>13</v>
      </c>
      <c r="E61" s="70">
        <v>7.5978959672709998E-3</v>
      </c>
    </row>
    <row r="62" spans="2:5" ht="15" customHeight="1">
      <c r="B62" s="86" t="s">
        <v>66</v>
      </c>
      <c r="C62" s="62" t="s">
        <v>133</v>
      </c>
      <c r="D62" s="63">
        <v>9</v>
      </c>
      <c r="E62" s="64">
        <v>5.2600818234950003E-3</v>
      </c>
    </row>
    <row r="63" spans="2:5" ht="15" customHeight="1">
      <c r="B63" s="88"/>
      <c r="C63" s="62" t="s">
        <v>134</v>
      </c>
      <c r="D63" s="63">
        <v>29</v>
      </c>
      <c r="E63" s="64">
        <v>1.6949152542372999E-2</v>
      </c>
    </row>
    <row r="64" spans="2:5" ht="15" customHeight="1">
      <c r="B64" s="87"/>
      <c r="C64" s="68" t="s">
        <v>28</v>
      </c>
      <c r="D64" s="69">
        <v>38</v>
      </c>
      <c r="E64" s="70">
        <v>2.2209234365868E-2</v>
      </c>
    </row>
    <row r="65" spans="2:5" ht="15" customHeight="1">
      <c r="B65" s="86" t="s">
        <v>57</v>
      </c>
      <c r="C65" s="62" t="s">
        <v>133</v>
      </c>
      <c r="D65" s="63">
        <v>10</v>
      </c>
      <c r="E65" s="64">
        <v>5.8445353594389999E-3</v>
      </c>
    </row>
    <row r="66" spans="2:5" ht="15" customHeight="1">
      <c r="B66" s="88"/>
      <c r="C66" s="62" t="s">
        <v>134</v>
      </c>
      <c r="D66" s="63">
        <v>50</v>
      </c>
      <c r="E66" s="64">
        <v>2.9222676797195E-2</v>
      </c>
    </row>
    <row r="67" spans="2:5" ht="15" customHeight="1">
      <c r="B67" s="87"/>
      <c r="C67" s="68" t="s">
        <v>28</v>
      </c>
      <c r="D67" s="69">
        <v>60</v>
      </c>
      <c r="E67" s="70">
        <v>3.5067212156633998E-2</v>
      </c>
    </row>
    <row r="68" spans="2:5" ht="15" customHeight="1">
      <c r="B68" s="86" t="s">
        <v>54</v>
      </c>
      <c r="C68" s="62" t="s">
        <v>133</v>
      </c>
      <c r="D68" s="63">
        <v>22</v>
      </c>
      <c r="E68" s="64">
        <v>1.2857977790765999E-2</v>
      </c>
    </row>
    <row r="69" spans="2:5" ht="15" customHeight="1">
      <c r="B69" s="88"/>
      <c r="C69" s="62" t="s">
        <v>134</v>
      </c>
      <c r="D69" s="63">
        <v>46</v>
      </c>
      <c r="E69" s="64">
        <v>2.6884862653418998E-2</v>
      </c>
    </row>
    <row r="70" spans="2:5" ht="15" customHeight="1">
      <c r="B70" s="87"/>
      <c r="C70" s="68" t="s">
        <v>28</v>
      </c>
      <c r="D70" s="69">
        <v>68</v>
      </c>
      <c r="E70" s="70">
        <v>3.9742840444185003E-2</v>
      </c>
    </row>
    <row r="71" spans="2:5" ht="15" customHeight="1">
      <c r="B71" s="86" t="s">
        <v>61</v>
      </c>
      <c r="C71" s="62" t="s">
        <v>133</v>
      </c>
      <c r="D71" s="63">
        <v>22</v>
      </c>
      <c r="E71" s="64">
        <v>1.2857977790765999E-2</v>
      </c>
    </row>
    <row r="72" spans="2:5" ht="15" customHeight="1">
      <c r="B72" s="88"/>
      <c r="C72" s="62" t="s">
        <v>134</v>
      </c>
      <c r="D72" s="63">
        <v>28</v>
      </c>
      <c r="E72" s="64">
        <v>1.6364699006429E-2</v>
      </c>
    </row>
    <row r="73" spans="2:5" ht="15" customHeight="1">
      <c r="B73" s="87"/>
      <c r="C73" s="68" t="s">
        <v>28</v>
      </c>
      <c r="D73" s="69">
        <v>50</v>
      </c>
      <c r="E73" s="70">
        <v>2.9222676797195E-2</v>
      </c>
    </row>
    <row r="74" spans="2:5" ht="15" customHeight="1">
      <c r="B74" s="86" t="s">
        <v>63</v>
      </c>
      <c r="C74" s="62" t="s">
        <v>133</v>
      </c>
      <c r="D74" s="63">
        <v>12</v>
      </c>
      <c r="E74" s="64">
        <v>7.0134424313270001E-3</v>
      </c>
    </row>
    <row r="75" spans="2:5" ht="15" customHeight="1">
      <c r="B75" s="88"/>
      <c r="C75" s="62" t="s">
        <v>134</v>
      </c>
      <c r="D75" s="63">
        <v>35</v>
      </c>
      <c r="E75" s="64">
        <v>2.0455873758036001E-2</v>
      </c>
    </row>
    <row r="76" spans="2:5" ht="15" customHeight="1">
      <c r="B76" s="87"/>
      <c r="C76" s="68" t="s">
        <v>28</v>
      </c>
      <c r="D76" s="69">
        <v>47</v>
      </c>
      <c r="E76" s="70">
        <v>2.7469316189363002E-2</v>
      </c>
    </row>
    <row r="77" spans="2:5" ht="15" customHeight="1">
      <c r="B77" s="86" t="s">
        <v>81</v>
      </c>
      <c r="C77" s="62" t="s">
        <v>133</v>
      </c>
      <c r="D77" s="63">
        <v>8</v>
      </c>
      <c r="E77" s="64">
        <v>4.6756282875509998E-3</v>
      </c>
    </row>
    <row r="78" spans="2:5" ht="15" customHeight="1">
      <c r="B78" s="88"/>
      <c r="C78" s="62" t="s">
        <v>134</v>
      </c>
      <c r="D78" s="63">
        <v>3</v>
      </c>
      <c r="E78" s="64">
        <v>1.753360607832E-3</v>
      </c>
    </row>
    <row r="79" spans="2:5" ht="15" customHeight="1">
      <c r="B79" s="87"/>
      <c r="C79" s="68" t="s">
        <v>28</v>
      </c>
      <c r="D79" s="69">
        <v>11</v>
      </c>
      <c r="E79" s="70">
        <v>6.4289888953829996E-3</v>
      </c>
    </row>
    <row r="80" spans="2:5" ht="15" customHeight="1">
      <c r="B80" s="86" t="s">
        <v>67</v>
      </c>
      <c r="C80" s="62" t="s">
        <v>133</v>
      </c>
      <c r="D80" s="63">
        <v>14</v>
      </c>
      <c r="E80" s="64">
        <v>8.1823495032140002E-3</v>
      </c>
    </row>
    <row r="81" spans="2:5" ht="15" customHeight="1">
      <c r="B81" s="88"/>
      <c r="C81" s="62" t="s">
        <v>134</v>
      </c>
      <c r="D81" s="63">
        <v>24</v>
      </c>
      <c r="E81" s="64">
        <v>1.4026884862652999E-2</v>
      </c>
    </row>
    <row r="82" spans="2:5" ht="15" customHeight="1">
      <c r="B82" s="87"/>
      <c r="C82" s="68" t="s">
        <v>28</v>
      </c>
      <c r="D82" s="69">
        <v>38</v>
      </c>
      <c r="E82" s="70">
        <v>2.2209234365868E-2</v>
      </c>
    </row>
    <row r="83" spans="2:5" ht="15" customHeight="1">
      <c r="B83" s="86" t="s">
        <v>76</v>
      </c>
      <c r="C83" s="62" t="s">
        <v>133</v>
      </c>
      <c r="D83" s="63">
        <v>2</v>
      </c>
      <c r="E83" s="64">
        <v>1.168907071888E-3</v>
      </c>
    </row>
    <row r="84" spans="2:5" ht="15" customHeight="1">
      <c r="B84" s="88"/>
      <c r="C84" s="62" t="s">
        <v>134</v>
      </c>
      <c r="D84" s="63">
        <v>14</v>
      </c>
      <c r="E84" s="64">
        <v>8.1823495032140002E-3</v>
      </c>
    </row>
    <row r="85" spans="2:5" ht="15" customHeight="1">
      <c r="B85" s="87"/>
      <c r="C85" s="68" t="s">
        <v>28</v>
      </c>
      <c r="D85" s="69">
        <v>16</v>
      </c>
      <c r="E85" s="70">
        <v>9.3512565751019995E-3</v>
      </c>
    </row>
    <row r="86" spans="2:5" ht="15" customHeight="1">
      <c r="B86" s="86" t="s">
        <v>70</v>
      </c>
      <c r="C86" s="62" t="s">
        <v>133</v>
      </c>
      <c r="D86" s="63">
        <v>10</v>
      </c>
      <c r="E86" s="64">
        <v>5.8445353594389999E-3</v>
      </c>
    </row>
    <row r="87" spans="2:5" ht="15" customHeight="1">
      <c r="B87" s="88"/>
      <c r="C87" s="62" t="s">
        <v>134</v>
      </c>
      <c r="D87" s="63">
        <v>19</v>
      </c>
      <c r="E87" s="64">
        <v>1.1104617182934E-2</v>
      </c>
    </row>
    <row r="88" spans="2:5" ht="15" customHeight="1">
      <c r="B88" s="87"/>
      <c r="C88" s="68" t="s">
        <v>28</v>
      </c>
      <c r="D88" s="69">
        <v>29</v>
      </c>
      <c r="E88" s="70">
        <v>1.6949152542372999E-2</v>
      </c>
    </row>
    <row r="89" spans="2:5" ht="15" customHeight="1">
      <c r="B89" s="86" t="s">
        <v>48</v>
      </c>
      <c r="C89" s="62" t="s">
        <v>133</v>
      </c>
      <c r="D89" s="63">
        <v>37</v>
      </c>
      <c r="E89" s="64">
        <v>2.1624780829924001E-2</v>
      </c>
    </row>
    <row r="90" spans="2:5" ht="15" customHeight="1">
      <c r="B90" s="88"/>
      <c r="C90" s="62" t="s">
        <v>134</v>
      </c>
      <c r="D90" s="63">
        <v>69</v>
      </c>
      <c r="E90" s="64">
        <v>4.0327293980128999E-2</v>
      </c>
    </row>
    <row r="91" spans="2:5" ht="15" customHeight="1">
      <c r="B91" s="87"/>
      <c r="C91" s="68" t="s">
        <v>28</v>
      </c>
      <c r="D91" s="69">
        <v>106</v>
      </c>
      <c r="E91" s="70">
        <v>6.1952074810053E-2</v>
      </c>
    </row>
    <row r="92" spans="2:5" ht="15" customHeight="1">
      <c r="B92" s="86" t="s">
        <v>51</v>
      </c>
      <c r="C92" s="62" t="s">
        <v>133</v>
      </c>
      <c r="D92" s="63">
        <v>17</v>
      </c>
      <c r="E92" s="64">
        <v>9.9357101110459992E-3</v>
      </c>
    </row>
    <row r="93" spans="2:5" ht="15" customHeight="1">
      <c r="B93" s="88"/>
      <c r="C93" s="62" t="s">
        <v>134</v>
      </c>
      <c r="D93" s="63">
        <v>67</v>
      </c>
      <c r="E93" s="64">
        <v>3.9158386908241E-2</v>
      </c>
    </row>
    <row r="94" spans="2:5" ht="15" customHeight="1">
      <c r="B94" s="87"/>
      <c r="C94" s="68" t="s">
        <v>28</v>
      </c>
      <c r="D94" s="69">
        <v>84</v>
      </c>
      <c r="E94" s="70">
        <v>4.9094097019286999E-2</v>
      </c>
    </row>
    <row r="95" spans="2:5" ht="15" customHeight="1">
      <c r="B95" s="86" t="s">
        <v>77</v>
      </c>
      <c r="C95" s="62" t="s">
        <v>133</v>
      </c>
      <c r="D95" s="63">
        <v>3</v>
      </c>
      <c r="E95" s="64">
        <v>1.753360607832E-3</v>
      </c>
    </row>
    <row r="96" spans="2:5" ht="15" customHeight="1">
      <c r="B96" s="88"/>
      <c r="C96" s="62" t="s">
        <v>134</v>
      </c>
      <c r="D96" s="63">
        <v>11</v>
      </c>
      <c r="E96" s="64">
        <v>6.4289888953829996E-3</v>
      </c>
    </row>
    <row r="97" spans="2:5" ht="15" customHeight="1">
      <c r="B97" s="87"/>
      <c r="C97" s="68" t="s">
        <v>28</v>
      </c>
      <c r="D97" s="69">
        <v>14</v>
      </c>
      <c r="E97" s="70">
        <v>8.1823495032140002E-3</v>
      </c>
    </row>
    <row r="98" spans="2:5" ht="15" customHeight="1">
      <c r="B98" s="86" t="s">
        <v>73</v>
      </c>
      <c r="C98" s="62" t="s">
        <v>133</v>
      </c>
      <c r="D98" s="63">
        <v>9</v>
      </c>
      <c r="E98" s="64">
        <v>5.2600818234950003E-3</v>
      </c>
    </row>
    <row r="99" spans="2:5" ht="15" customHeight="1">
      <c r="B99" s="88"/>
      <c r="C99" s="62" t="s">
        <v>134</v>
      </c>
      <c r="D99" s="63">
        <v>14</v>
      </c>
      <c r="E99" s="64">
        <v>8.1823495032140002E-3</v>
      </c>
    </row>
    <row r="100" spans="2:5" ht="15" customHeight="1">
      <c r="B100" s="87"/>
      <c r="C100" s="68" t="s">
        <v>28</v>
      </c>
      <c r="D100" s="69">
        <v>23</v>
      </c>
      <c r="E100" s="70">
        <v>1.3442431326710001E-2</v>
      </c>
    </row>
    <row r="101" spans="2:5" ht="15" customHeight="1">
      <c r="B101" s="86" t="s">
        <v>83</v>
      </c>
      <c r="C101" s="62" t="s">
        <v>133</v>
      </c>
      <c r="D101" s="63">
        <v>3</v>
      </c>
      <c r="E101" s="64">
        <v>1.753360607832E-3</v>
      </c>
    </row>
    <row r="102" spans="2:5" ht="15" customHeight="1">
      <c r="B102" s="88"/>
      <c r="C102" s="62" t="s">
        <v>134</v>
      </c>
      <c r="D102" s="63">
        <v>6</v>
      </c>
      <c r="E102" s="64">
        <v>3.506721215663E-3</v>
      </c>
    </row>
    <row r="103" spans="2:5" ht="15" customHeight="1">
      <c r="B103" s="87"/>
      <c r="C103" s="68" t="s">
        <v>28</v>
      </c>
      <c r="D103" s="69">
        <v>9</v>
      </c>
      <c r="E103" s="70">
        <v>5.2600818234950003E-3</v>
      </c>
    </row>
    <row r="104" spans="2:5" ht="15" customHeight="1">
      <c r="B104" s="86" t="s">
        <v>90</v>
      </c>
      <c r="C104" s="62" t="s">
        <v>134</v>
      </c>
      <c r="D104" s="63">
        <v>1</v>
      </c>
      <c r="E104" s="64">
        <v>5.8445353594399998E-4</v>
      </c>
    </row>
    <row r="105" spans="2:5" ht="15" customHeight="1">
      <c r="B105" s="87"/>
      <c r="C105" s="68" t="s">
        <v>28</v>
      </c>
      <c r="D105" s="69">
        <v>1</v>
      </c>
      <c r="E105" s="70">
        <v>5.8445353594399998E-4</v>
      </c>
    </row>
    <row r="106" spans="2:5" ht="15" customHeight="1">
      <c r="B106" s="86" t="s">
        <v>49</v>
      </c>
      <c r="C106" s="62" t="s">
        <v>133</v>
      </c>
      <c r="D106" s="63">
        <v>22</v>
      </c>
      <c r="E106" s="64">
        <v>1.2857977790765999E-2</v>
      </c>
    </row>
    <row r="107" spans="2:5" ht="15" customHeight="1">
      <c r="B107" s="88"/>
      <c r="C107" s="62" t="s">
        <v>134</v>
      </c>
      <c r="D107" s="63">
        <v>78</v>
      </c>
      <c r="E107" s="64">
        <v>4.5587375803624E-2</v>
      </c>
    </row>
    <row r="108" spans="2:5" ht="15" customHeight="1">
      <c r="B108" s="87"/>
      <c r="C108" s="68" t="s">
        <v>28</v>
      </c>
      <c r="D108" s="69">
        <v>100</v>
      </c>
      <c r="E108" s="70">
        <v>5.8445353594389002E-2</v>
      </c>
    </row>
    <row r="109" spans="2:5" ht="15" customHeight="1">
      <c r="B109" s="86" t="s">
        <v>55</v>
      </c>
      <c r="C109" s="62" t="s">
        <v>133</v>
      </c>
      <c r="D109" s="63">
        <v>20</v>
      </c>
      <c r="E109" s="64">
        <v>1.1689070718878E-2</v>
      </c>
    </row>
    <row r="110" spans="2:5" ht="15" customHeight="1">
      <c r="B110" s="88"/>
      <c r="C110" s="62" t="s">
        <v>134</v>
      </c>
      <c r="D110" s="63">
        <v>48</v>
      </c>
      <c r="E110" s="64">
        <v>2.8053769725307001E-2</v>
      </c>
    </row>
    <row r="111" spans="2:5" ht="15" customHeight="1">
      <c r="B111" s="87"/>
      <c r="C111" s="68" t="s">
        <v>28</v>
      </c>
      <c r="D111" s="69">
        <v>68</v>
      </c>
      <c r="E111" s="70">
        <v>3.9742840444185003E-2</v>
      </c>
    </row>
    <row r="112" spans="2:5" ht="15" customHeight="1">
      <c r="B112" s="86" t="s">
        <v>69</v>
      </c>
      <c r="C112" s="62" t="s">
        <v>133</v>
      </c>
      <c r="D112" s="63">
        <v>11</v>
      </c>
      <c r="E112" s="64">
        <v>6.4289888953829996E-3</v>
      </c>
    </row>
    <row r="113" spans="2:5" ht="15" customHeight="1">
      <c r="B113" s="88"/>
      <c r="C113" s="62" t="s">
        <v>134</v>
      </c>
      <c r="D113" s="63">
        <v>19</v>
      </c>
      <c r="E113" s="64">
        <v>1.1104617182934E-2</v>
      </c>
    </row>
    <row r="114" spans="2:5" ht="15" customHeight="1">
      <c r="B114" s="87"/>
      <c r="C114" s="68" t="s">
        <v>28</v>
      </c>
      <c r="D114" s="69">
        <v>30</v>
      </c>
      <c r="E114" s="70">
        <v>1.7533606078316999E-2</v>
      </c>
    </row>
    <row r="115" spans="2:5" ht="15" customHeight="1">
      <c r="B115" s="86" t="s">
        <v>89</v>
      </c>
      <c r="C115" s="62" t="s">
        <v>133</v>
      </c>
      <c r="D115" s="63">
        <v>1</v>
      </c>
      <c r="E115" s="64">
        <v>5.8445353594399998E-4</v>
      </c>
    </row>
    <row r="116" spans="2:5" ht="15" customHeight="1">
      <c r="B116" s="88"/>
      <c r="C116" s="62" t="s">
        <v>134</v>
      </c>
      <c r="D116" s="63">
        <v>1</v>
      </c>
      <c r="E116" s="64">
        <v>5.8445353594399998E-4</v>
      </c>
    </row>
    <row r="117" spans="2:5" ht="15" customHeight="1">
      <c r="B117" s="87"/>
      <c r="C117" s="68" t="s">
        <v>28</v>
      </c>
      <c r="D117" s="69">
        <v>2</v>
      </c>
      <c r="E117" s="70">
        <v>1.168907071888E-3</v>
      </c>
    </row>
    <row r="118" spans="2:5" ht="15" customHeight="1">
      <c r="B118" s="86" t="s">
        <v>59</v>
      </c>
      <c r="C118" s="62" t="s">
        <v>133</v>
      </c>
      <c r="D118" s="63">
        <v>15</v>
      </c>
      <c r="E118" s="64">
        <v>8.7668030391579999E-3</v>
      </c>
    </row>
    <row r="119" spans="2:5" ht="15" customHeight="1">
      <c r="B119" s="88"/>
      <c r="C119" s="62" t="s">
        <v>134</v>
      </c>
      <c r="D119" s="63">
        <v>36</v>
      </c>
      <c r="E119" s="64">
        <v>2.1040327293980001E-2</v>
      </c>
    </row>
    <row r="120" spans="2:5" ht="15" customHeight="1">
      <c r="B120" s="87"/>
      <c r="C120" s="68" t="s">
        <v>28</v>
      </c>
      <c r="D120" s="69">
        <v>51</v>
      </c>
      <c r="E120" s="70">
        <v>2.9807130333139E-2</v>
      </c>
    </row>
    <row r="121" spans="2:5" ht="15" customHeight="1">
      <c r="B121" s="86" t="s">
        <v>74</v>
      </c>
      <c r="C121" s="62" t="s">
        <v>133</v>
      </c>
      <c r="D121" s="63">
        <v>8</v>
      </c>
      <c r="E121" s="64">
        <v>4.6756282875509998E-3</v>
      </c>
    </row>
    <row r="122" spans="2:5" ht="15" customHeight="1">
      <c r="B122" s="88"/>
      <c r="C122" s="62" t="s">
        <v>134</v>
      </c>
      <c r="D122" s="63">
        <v>10</v>
      </c>
      <c r="E122" s="64">
        <v>5.8445353594389999E-3</v>
      </c>
    </row>
    <row r="123" spans="2:5" ht="15" customHeight="1">
      <c r="B123" s="87"/>
      <c r="C123" s="68" t="s">
        <v>28</v>
      </c>
      <c r="D123" s="69">
        <v>18</v>
      </c>
      <c r="E123" s="70">
        <v>1.0520163646990001E-2</v>
      </c>
    </row>
    <row r="124" spans="2:5" ht="15" customHeight="1">
      <c r="B124" s="86" t="s">
        <v>86</v>
      </c>
      <c r="C124" s="62" t="s">
        <v>133</v>
      </c>
      <c r="D124" s="63">
        <v>2</v>
      </c>
      <c r="E124" s="64">
        <v>1.168907071888E-3</v>
      </c>
    </row>
    <row r="125" spans="2:5" ht="15" customHeight="1">
      <c r="B125" s="88"/>
      <c r="C125" s="62" t="s">
        <v>134</v>
      </c>
      <c r="D125" s="63">
        <v>1</v>
      </c>
      <c r="E125" s="64">
        <v>5.8445353594399998E-4</v>
      </c>
    </row>
    <row r="126" spans="2:5" ht="15" customHeight="1">
      <c r="B126" s="87"/>
      <c r="C126" s="68" t="s">
        <v>28</v>
      </c>
      <c r="D126" s="69">
        <v>3</v>
      </c>
      <c r="E126" s="70">
        <v>1.753360607832E-3</v>
      </c>
    </row>
    <row r="127" spans="2:5" ht="15" customHeight="1">
      <c r="B127" s="86" t="s">
        <v>65</v>
      </c>
      <c r="C127" s="62" t="s">
        <v>133</v>
      </c>
      <c r="D127" s="63">
        <v>9</v>
      </c>
      <c r="E127" s="64">
        <v>5.2600818234950003E-3</v>
      </c>
    </row>
    <row r="128" spans="2:5" ht="15" customHeight="1">
      <c r="B128" s="88"/>
      <c r="C128" s="62" t="s">
        <v>134</v>
      </c>
      <c r="D128" s="63">
        <v>31</v>
      </c>
      <c r="E128" s="64">
        <v>1.8118059614260999E-2</v>
      </c>
    </row>
    <row r="129" spans="2:5" ht="15" customHeight="1">
      <c r="B129" s="87"/>
      <c r="C129" s="68" t="s">
        <v>28</v>
      </c>
      <c r="D129" s="69">
        <v>40</v>
      </c>
      <c r="E129" s="70">
        <v>2.3378141437756E-2</v>
      </c>
    </row>
    <row r="130" spans="2:5" ht="15" customHeight="1">
      <c r="B130" s="86" t="s">
        <v>58</v>
      </c>
      <c r="C130" s="62" t="s">
        <v>133</v>
      </c>
      <c r="D130" s="63">
        <v>17</v>
      </c>
      <c r="E130" s="64">
        <v>9.9357101110459992E-3</v>
      </c>
    </row>
    <row r="131" spans="2:5" ht="15" customHeight="1">
      <c r="B131" s="88"/>
      <c r="C131" s="62" t="s">
        <v>134</v>
      </c>
      <c r="D131" s="63">
        <v>42</v>
      </c>
      <c r="E131" s="64">
        <v>2.4547048509643E-2</v>
      </c>
    </row>
    <row r="132" spans="2:5" ht="15" customHeight="1">
      <c r="B132" s="87"/>
      <c r="C132" s="68" t="s">
        <v>28</v>
      </c>
      <c r="D132" s="69">
        <v>59</v>
      </c>
      <c r="E132" s="70">
        <v>3.4482758620690002E-2</v>
      </c>
    </row>
    <row r="133" spans="2:5" ht="15" customHeight="1">
      <c r="B133" s="86" t="s">
        <v>75</v>
      </c>
      <c r="C133" s="62" t="s">
        <v>133</v>
      </c>
      <c r="D133" s="63">
        <v>5</v>
      </c>
      <c r="E133" s="64">
        <v>2.9222676797189999E-3</v>
      </c>
    </row>
    <row r="134" spans="2:5" ht="15" customHeight="1">
      <c r="B134" s="88"/>
      <c r="C134" s="62" t="s">
        <v>134</v>
      </c>
      <c r="D134" s="63">
        <v>12</v>
      </c>
      <c r="E134" s="64">
        <v>7.0134424313270001E-3</v>
      </c>
    </row>
    <row r="135" spans="2:5" ht="15" customHeight="1">
      <c r="B135" s="87"/>
      <c r="C135" s="68" t="s">
        <v>28</v>
      </c>
      <c r="D135" s="69">
        <v>17</v>
      </c>
      <c r="E135" s="70">
        <v>9.9357101110459992E-3</v>
      </c>
    </row>
    <row r="136" spans="2:5" ht="15" customHeight="1">
      <c r="B136" s="86" t="s">
        <v>84</v>
      </c>
      <c r="C136" s="62" t="s">
        <v>133</v>
      </c>
      <c r="D136" s="63">
        <v>2</v>
      </c>
      <c r="E136" s="64">
        <v>1.168907071888E-3</v>
      </c>
    </row>
    <row r="137" spans="2:5" ht="15" customHeight="1">
      <c r="B137" s="88"/>
      <c r="C137" s="62" t="s">
        <v>134</v>
      </c>
      <c r="D137" s="63">
        <v>5</v>
      </c>
      <c r="E137" s="64">
        <v>2.9222676797189999E-3</v>
      </c>
    </row>
    <row r="138" spans="2:5" ht="15" customHeight="1">
      <c r="B138" s="87"/>
      <c r="C138" s="68" t="s">
        <v>28</v>
      </c>
      <c r="D138" s="69">
        <v>7</v>
      </c>
      <c r="E138" s="70">
        <v>4.0911747516070001E-3</v>
      </c>
    </row>
    <row r="139" spans="2:5" ht="15" customHeight="1">
      <c r="B139" s="86" t="s">
        <v>71</v>
      </c>
      <c r="C139" s="62" t="s">
        <v>133</v>
      </c>
      <c r="D139" s="63">
        <v>8</v>
      </c>
      <c r="E139" s="64">
        <v>4.6756282875509998E-3</v>
      </c>
    </row>
    <row r="140" spans="2:5" ht="15" customHeight="1">
      <c r="B140" s="88"/>
      <c r="C140" s="62" t="s">
        <v>134</v>
      </c>
      <c r="D140" s="63">
        <v>21</v>
      </c>
      <c r="E140" s="64">
        <v>1.2273524254822E-2</v>
      </c>
    </row>
    <row r="141" spans="2:5" ht="15" customHeight="1">
      <c r="B141" s="87"/>
      <c r="C141" s="68" t="s">
        <v>28</v>
      </c>
      <c r="D141" s="69">
        <v>29</v>
      </c>
      <c r="E141" s="70">
        <v>1.6949152542372999E-2</v>
      </c>
    </row>
    <row r="142" spans="2:5" ht="15" customHeight="1">
      <c r="B142" s="95" t="s">
        <v>28</v>
      </c>
      <c r="C142" s="95"/>
      <c r="D142" s="71">
        <v>1711</v>
      </c>
      <c r="E142" s="72">
        <v>1</v>
      </c>
    </row>
    <row r="143" spans="2:5" ht="15" customHeight="1"/>
    <row r="144" spans="2:5" ht="15" customHeight="1">
      <c r="B144" s="15" t="s">
        <v>213</v>
      </c>
    </row>
    <row r="145" spans="2:2" ht="15" customHeight="1">
      <c r="B145" s="17" t="s">
        <v>17</v>
      </c>
    </row>
    <row r="146" spans="2:2" ht="15" customHeight="1">
      <c r="B146" s="16" t="s">
        <v>214</v>
      </c>
    </row>
    <row r="147" spans="2:2" ht="15" customHeight="1">
      <c r="B147" s="15" t="s">
        <v>16</v>
      </c>
    </row>
    <row r="148" spans="2:2" ht="15" customHeight="1">
      <c r="B148" s="15" t="s">
        <v>215</v>
      </c>
    </row>
  </sheetData>
  <mergeCells count="46">
    <mergeCell ref="B130:B132"/>
    <mergeCell ref="B133:B135"/>
    <mergeCell ref="B136:B138"/>
    <mergeCell ref="B139:B141"/>
    <mergeCell ref="B142:C142"/>
    <mergeCell ref="B59:B61"/>
    <mergeCell ref="B62:B64"/>
    <mergeCell ref="B65:B67"/>
    <mergeCell ref="B68:B70"/>
    <mergeCell ref="B83:B85"/>
    <mergeCell ref="B44:B46"/>
    <mergeCell ref="B47:B49"/>
    <mergeCell ref="B50:B52"/>
    <mergeCell ref="B53:B55"/>
    <mergeCell ref="B56:B58"/>
    <mergeCell ref="B8:E10"/>
    <mergeCell ref="B106:B108"/>
    <mergeCell ref="B109:B111"/>
    <mergeCell ref="B118:B120"/>
    <mergeCell ref="B121:B123"/>
    <mergeCell ref="B13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3"/>
    <mergeCell ref="B124:B126"/>
    <mergeCell ref="B127:B129"/>
    <mergeCell ref="B71:B73"/>
    <mergeCell ref="B74:B76"/>
    <mergeCell ref="B77:B79"/>
    <mergeCell ref="B80:B82"/>
    <mergeCell ref="B86:B88"/>
    <mergeCell ref="B89:B91"/>
    <mergeCell ref="B92:B94"/>
    <mergeCell ref="B95:B97"/>
    <mergeCell ref="B98:B100"/>
    <mergeCell ref="B101:B103"/>
    <mergeCell ref="B104:B105"/>
    <mergeCell ref="B112:B114"/>
    <mergeCell ref="B115:B11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43"/>
  <sheetViews>
    <sheetView showGridLines="0" view="pageBreakPreview" topLeftCell="A127" zoomScaleNormal="100" zoomScaleSheetLayoutView="100" workbookViewId="0">
      <selection activeCell="B137" sqref="B137:C137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18.453125" style="41" customWidth="1"/>
    <col min="4" max="4" width="19.453125" style="44" customWidth="1"/>
    <col min="5" max="5" width="15.1796875" style="41" bestFit="1" customWidth="1"/>
    <col min="6" max="6" width="6.54296875" style="25" customWidth="1"/>
    <col min="7" max="7" width="3.179687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85" t="s">
        <v>43</v>
      </c>
      <c r="C8" s="85"/>
      <c r="D8" s="85"/>
      <c r="E8" s="85"/>
    </row>
    <row r="9" spans="2:6" s="13" customFormat="1" ht="15" customHeight="1">
      <c r="B9" s="85"/>
      <c r="C9" s="85"/>
      <c r="D9" s="85"/>
      <c r="E9" s="85"/>
      <c r="F9" s="49"/>
    </row>
    <row r="10" spans="2:6" s="13" customFormat="1" ht="15" customHeight="1">
      <c r="B10" s="85"/>
      <c r="C10" s="85"/>
      <c r="D10" s="85"/>
      <c r="E10" s="85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4" t="s">
        <v>24</v>
      </c>
      <c r="C12" s="54" t="s">
        <v>29</v>
      </c>
      <c r="D12" s="54" t="s">
        <v>19</v>
      </c>
      <c r="E12" s="54" t="s">
        <v>18</v>
      </c>
    </row>
    <row r="13" spans="2:6" ht="15" customHeight="1">
      <c r="B13" s="86" t="s">
        <v>91</v>
      </c>
      <c r="C13" s="62" t="s">
        <v>133</v>
      </c>
      <c r="D13" s="63">
        <v>19</v>
      </c>
      <c r="E13" s="64">
        <v>1.1104617182934E-2</v>
      </c>
    </row>
    <row r="14" spans="2:6" ht="15" customHeight="1">
      <c r="B14" s="88"/>
      <c r="C14" s="62" t="s">
        <v>134</v>
      </c>
      <c r="D14" s="63">
        <v>52</v>
      </c>
      <c r="E14" s="64">
        <v>3.0391583869082001E-2</v>
      </c>
    </row>
    <row r="15" spans="2:6" ht="15" customHeight="1">
      <c r="B15" s="87"/>
      <c r="C15" s="57" t="s">
        <v>28</v>
      </c>
      <c r="D15" s="58">
        <v>71</v>
      </c>
      <c r="E15" s="59">
        <v>4.1496201052015999E-2</v>
      </c>
    </row>
    <row r="16" spans="2:6" ht="15" customHeight="1">
      <c r="B16" s="86" t="s">
        <v>92</v>
      </c>
      <c r="C16" s="62" t="s">
        <v>133</v>
      </c>
      <c r="D16" s="63">
        <v>9</v>
      </c>
      <c r="E16" s="64">
        <v>5.2600818234950003E-3</v>
      </c>
    </row>
    <row r="17" spans="2:5" ht="15" customHeight="1">
      <c r="B17" s="88"/>
      <c r="C17" s="62" t="s">
        <v>134</v>
      </c>
      <c r="D17" s="63">
        <v>14</v>
      </c>
      <c r="E17" s="64">
        <v>8.1823495032140002E-3</v>
      </c>
    </row>
    <row r="18" spans="2:5" ht="15" customHeight="1">
      <c r="B18" s="87"/>
      <c r="C18" s="57" t="s">
        <v>28</v>
      </c>
      <c r="D18" s="58">
        <v>23</v>
      </c>
      <c r="E18" s="59">
        <v>1.3442431326710001E-2</v>
      </c>
    </row>
    <row r="19" spans="2:5" ht="15" customHeight="1">
      <c r="B19" s="86" t="s">
        <v>93</v>
      </c>
      <c r="C19" s="62" t="s">
        <v>133</v>
      </c>
      <c r="D19" s="63">
        <v>5</v>
      </c>
      <c r="E19" s="64">
        <v>2.9222676797189999E-3</v>
      </c>
    </row>
    <row r="20" spans="2:5" ht="15" customHeight="1">
      <c r="B20" s="88"/>
      <c r="C20" s="62" t="s">
        <v>134</v>
      </c>
      <c r="D20" s="63">
        <v>28</v>
      </c>
      <c r="E20" s="64">
        <v>1.6364699006429E-2</v>
      </c>
    </row>
    <row r="21" spans="2:5" ht="15" customHeight="1">
      <c r="B21" s="87"/>
      <c r="C21" s="57" t="s">
        <v>28</v>
      </c>
      <c r="D21" s="58">
        <v>33</v>
      </c>
      <c r="E21" s="59">
        <v>1.9286966686147999E-2</v>
      </c>
    </row>
    <row r="22" spans="2:5" ht="15" customHeight="1">
      <c r="B22" s="86" t="s">
        <v>94</v>
      </c>
      <c r="C22" s="62" t="s">
        <v>133</v>
      </c>
      <c r="D22" s="63">
        <v>97</v>
      </c>
      <c r="E22" s="64">
        <v>5.6691992986557999E-2</v>
      </c>
    </row>
    <row r="23" spans="2:5" ht="15" customHeight="1">
      <c r="B23" s="88"/>
      <c r="C23" s="62" t="s">
        <v>134</v>
      </c>
      <c r="D23" s="63">
        <v>211</v>
      </c>
      <c r="E23" s="64">
        <v>0.123319696084161</v>
      </c>
    </row>
    <row r="24" spans="2:5" ht="15" customHeight="1">
      <c r="B24" s="87"/>
      <c r="C24" s="57" t="s">
        <v>28</v>
      </c>
      <c r="D24" s="58">
        <v>308</v>
      </c>
      <c r="E24" s="59">
        <v>0.18001168907071899</v>
      </c>
    </row>
    <row r="25" spans="2:5" ht="15" customHeight="1">
      <c r="B25" s="86" t="s">
        <v>95</v>
      </c>
      <c r="C25" s="62" t="s">
        <v>133</v>
      </c>
      <c r="D25" s="63">
        <v>8</v>
      </c>
      <c r="E25" s="64">
        <v>4.6756282875509998E-3</v>
      </c>
    </row>
    <row r="26" spans="2:5" ht="15" customHeight="1">
      <c r="B26" s="88"/>
      <c r="C26" s="62" t="s">
        <v>134</v>
      </c>
      <c r="D26" s="63">
        <v>37</v>
      </c>
      <c r="E26" s="64">
        <v>2.1624780829924001E-2</v>
      </c>
    </row>
    <row r="27" spans="2:5" ht="15" customHeight="1">
      <c r="B27" s="87"/>
      <c r="C27" s="57" t="s">
        <v>28</v>
      </c>
      <c r="D27" s="58">
        <v>45</v>
      </c>
      <c r="E27" s="59">
        <v>2.6300409117474999E-2</v>
      </c>
    </row>
    <row r="28" spans="2:5" ht="15" customHeight="1">
      <c r="B28" s="86" t="s">
        <v>96</v>
      </c>
      <c r="C28" s="62" t="s">
        <v>133</v>
      </c>
      <c r="D28" s="63">
        <v>1</v>
      </c>
      <c r="E28" s="64">
        <v>5.8445353594399998E-4</v>
      </c>
    </row>
    <row r="29" spans="2:5" ht="15" customHeight="1">
      <c r="B29" s="87"/>
      <c r="C29" s="57" t="s">
        <v>28</v>
      </c>
      <c r="D29" s="58">
        <v>1</v>
      </c>
      <c r="E29" s="59">
        <v>5.8445353594399998E-4</v>
      </c>
    </row>
    <row r="30" spans="2:5" ht="15" customHeight="1">
      <c r="B30" s="86" t="s">
        <v>97</v>
      </c>
      <c r="C30" s="62" t="s">
        <v>133</v>
      </c>
      <c r="D30" s="63">
        <v>28</v>
      </c>
      <c r="E30" s="64">
        <v>1.6364699006429E-2</v>
      </c>
    </row>
    <row r="31" spans="2:5" ht="15" customHeight="1">
      <c r="B31" s="88"/>
      <c r="C31" s="62" t="s">
        <v>134</v>
      </c>
      <c r="D31" s="63">
        <v>102</v>
      </c>
      <c r="E31" s="64">
        <v>5.9614260666277001E-2</v>
      </c>
    </row>
    <row r="32" spans="2:5" ht="15" customHeight="1">
      <c r="B32" s="87"/>
      <c r="C32" s="57" t="s">
        <v>28</v>
      </c>
      <c r="D32" s="58">
        <v>130</v>
      </c>
      <c r="E32" s="59">
        <v>7.5978959672706001E-2</v>
      </c>
    </row>
    <row r="33" spans="2:5" ht="15" customHeight="1">
      <c r="B33" s="86" t="s">
        <v>98</v>
      </c>
      <c r="C33" s="62" t="s">
        <v>133</v>
      </c>
      <c r="D33" s="63">
        <v>17</v>
      </c>
      <c r="E33" s="64">
        <v>9.9357101110459992E-3</v>
      </c>
    </row>
    <row r="34" spans="2:5" ht="15" customHeight="1">
      <c r="B34" s="88"/>
      <c r="C34" s="62" t="s">
        <v>134</v>
      </c>
      <c r="D34" s="63">
        <v>42</v>
      </c>
      <c r="E34" s="64">
        <v>2.4547048509643E-2</v>
      </c>
    </row>
    <row r="35" spans="2:5" ht="15" customHeight="1">
      <c r="B35" s="87"/>
      <c r="C35" s="57" t="s">
        <v>28</v>
      </c>
      <c r="D35" s="58">
        <v>59</v>
      </c>
      <c r="E35" s="59">
        <v>3.4482758620690002E-2</v>
      </c>
    </row>
    <row r="36" spans="2:5" ht="15" customHeight="1">
      <c r="B36" s="86" t="s">
        <v>99</v>
      </c>
      <c r="C36" s="62" t="s">
        <v>134</v>
      </c>
      <c r="D36" s="63">
        <v>2</v>
      </c>
      <c r="E36" s="64">
        <v>1.168907071888E-3</v>
      </c>
    </row>
    <row r="37" spans="2:5" ht="15" customHeight="1">
      <c r="B37" s="87"/>
      <c r="C37" s="57" t="s">
        <v>28</v>
      </c>
      <c r="D37" s="58">
        <v>2</v>
      </c>
      <c r="E37" s="59">
        <v>1.168907071888E-3</v>
      </c>
    </row>
    <row r="38" spans="2:5" ht="15" customHeight="1">
      <c r="B38" s="86" t="s">
        <v>100</v>
      </c>
      <c r="C38" s="62" t="s">
        <v>133</v>
      </c>
      <c r="D38" s="63">
        <v>3</v>
      </c>
      <c r="E38" s="64">
        <v>1.753360607832E-3</v>
      </c>
    </row>
    <row r="39" spans="2:5" ht="15" customHeight="1">
      <c r="B39" s="88"/>
      <c r="C39" s="62" t="s">
        <v>134</v>
      </c>
      <c r="D39" s="63">
        <v>5</v>
      </c>
      <c r="E39" s="64">
        <v>2.9222676797189999E-3</v>
      </c>
    </row>
    <row r="40" spans="2:5" ht="15" customHeight="1">
      <c r="B40" s="87"/>
      <c r="C40" s="57" t="s">
        <v>28</v>
      </c>
      <c r="D40" s="58">
        <v>8</v>
      </c>
      <c r="E40" s="59">
        <v>4.6756282875509998E-3</v>
      </c>
    </row>
    <row r="41" spans="2:5" ht="15" customHeight="1">
      <c r="B41" s="86" t="s">
        <v>101</v>
      </c>
      <c r="C41" s="62" t="s">
        <v>133</v>
      </c>
      <c r="D41" s="63">
        <v>16</v>
      </c>
      <c r="E41" s="64">
        <v>9.3512565751019995E-3</v>
      </c>
    </row>
    <row r="42" spans="2:5" ht="15" customHeight="1">
      <c r="B42" s="88"/>
      <c r="C42" s="62" t="s">
        <v>134</v>
      </c>
      <c r="D42" s="63">
        <v>31</v>
      </c>
      <c r="E42" s="64">
        <v>1.8118059614260999E-2</v>
      </c>
    </row>
    <row r="43" spans="2:5" ht="15" customHeight="1">
      <c r="B43" s="87"/>
      <c r="C43" s="57" t="s">
        <v>28</v>
      </c>
      <c r="D43" s="58">
        <v>47</v>
      </c>
      <c r="E43" s="59">
        <v>2.7469316189363002E-2</v>
      </c>
    </row>
    <row r="44" spans="2:5" ht="15" customHeight="1">
      <c r="B44" s="86" t="s">
        <v>102</v>
      </c>
      <c r="C44" s="62" t="s">
        <v>133</v>
      </c>
      <c r="D44" s="63">
        <v>17</v>
      </c>
      <c r="E44" s="64">
        <v>9.9357101110459992E-3</v>
      </c>
    </row>
    <row r="45" spans="2:5" ht="15" customHeight="1">
      <c r="B45" s="88"/>
      <c r="C45" s="62" t="s">
        <v>134</v>
      </c>
      <c r="D45" s="63">
        <v>27</v>
      </c>
      <c r="E45" s="64">
        <v>1.5780245470485E-2</v>
      </c>
    </row>
    <row r="46" spans="2:5" ht="15" customHeight="1">
      <c r="B46" s="87"/>
      <c r="C46" s="57" t="s">
        <v>28</v>
      </c>
      <c r="D46" s="58">
        <v>44</v>
      </c>
      <c r="E46" s="59">
        <v>2.5715955581530999E-2</v>
      </c>
    </row>
    <row r="47" spans="2:5" ht="15" customHeight="1">
      <c r="B47" s="86" t="s">
        <v>103</v>
      </c>
      <c r="C47" s="62" t="s">
        <v>133</v>
      </c>
      <c r="D47" s="63">
        <v>7</v>
      </c>
      <c r="E47" s="64">
        <v>4.0911747516070001E-3</v>
      </c>
    </row>
    <row r="48" spans="2:5" ht="15" customHeight="1">
      <c r="B48" s="88"/>
      <c r="C48" s="62" t="s">
        <v>134</v>
      </c>
      <c r="D48" s="63">
        <v>9</v>
      </c>
      <c r="E48" s="64">
        <v>5.2600818234950003E-3</v>
      </c>
    </row>
    <row r="49" spans="2:5" ht="15" customHeight="1">
      <c r="B49" s="87"/>
      <c r="C49" s="57" t="s">
        <v>28</v>
      </c>
      <c r="D49" s="58">
        <v>16</v>
      </c>
      <c r="E49" s="59">
        <v>9.3512565751019995E-3</v>
      </c>
    </row>
    <row r="50" spans="2:5" ht="15" customHeight="1">
      <c r="B50" s="86" t="s">
        <v>104</v>
      </c>
      <c r="C50" s="62" t="s">
        <v>133</v>
      </c>
      <c r="D50" s="63">
        <v>11</v>
      </c>
      <c r="E50" s="64">
        <v>6.4289888953829996E-3</v>
      </c>
    </row>
    <row r="51" spans="2:5" ht="15" customHeight="1">
      <c r="B51" s="88"/>
      <c r="C51" s="62" t="s">
        <v>134</v>
      </c>
      <c r="D51" s="63">
        <v>22</v>
      </c>
      <c r="E51" s="64">
        <v>1.2857977790765999E-2</v>
      </c>
    </row>
    <row r="52" spans="2:5" ht="15" customHeight="1">
      <c r="B52" s="87"/>
      <c r="C52" s="57" t="s">
        <v>28</v>
      </c>
      <c r="D52" s="58">
        <v>33</v>
      </c>
      <c r="E52" s="59">
        <v>1.9286966686147999E-2</v>
      </c>
    </row>
    <row r="53" spans="2:5" ht="15" customHeight="1">
      <c r="B53" s="86" t="s">
        <v>105</v>
      </c>
      <c r="C53" s="62" t="s">
        <v>133</v>
      </c>
      <c r="D53" s="63">
        <v>4</v>
      </c>
      <c r="E53" s="64">
        <v>2.3378141437759999E-3</v>
      </c>
    </row>
    <row r="54" spans="2:5" ht="15" customHeight="1">
      <c r="B54" s="88"/>
      <c r="C54" s="62" t="s">
        <v>134</v>
      </c>
      <c r="D54" s="63">
        <v>7</v>
      </c>
      <c r="E54" s="64">
        <v>4.0911747516070001E-3</v>
      </c>
    </row>
    <row r="55" spans="2:5" ht="15" customHeight="1">
      <c r="B55" s="87"/>
      <c r="C55" s="57" t="s">
        <v>28</v>
      </c>
      <c r="D55" s="58">
        <v>11</v>
      </c>
      <c r="E55" s="59">
        <v>6.4289888953829996E-3</v>
      </c>
    </row>
    <row r="56" spans="2:5" ht="15" customHeight="1">
      <c r="B56" s="86" t="s">
        <v>106</v>
      </c>
      <c r="C56" s="62" t="s">
        <v>133</v>
      </c>
      <c r="D56" s="63">
        <v>2</v>
      </c>
      <c r="E56" s="64">
        <v>1.168907071888E-3</v>
      </c>
    </row>
    <row r="57" spans="2:5" ht="15" customHeight="1">
      <c r="B57" s="88"/>
      <c r="C57" s="62" t="s">
        <v>134</v>
      </c>
      <c r="D57" s="63">
        <v>8</v>
      </c>
      <c r="E57" s="64">
        <v>4.6756282875509998E-3</v>
      </c>
    </row>
    <row r="58" spans="2:5" ht="15" customHeight="1">
      <c r="B58" s="87"/>
      <c r="C58" s="57" t="s">
        <v>28</v>
      </c>
      <c r="D58" s="58">
        <v>10</v>
      </c>
      <c r="E58" s="59">
        <v>5.8445353594389999E-3</v>
      </c>
    </row>
    <row r="59" spans="2:5" ht="15" customHeight="1">
      <c r="B59" s="86" t="s">
        <v>107</v>
      </c>
      <c r="C59" s="62" t="s">
        <v>133</v>
      </c>
      <c r="D59" s="63">
        <v>5</v>
      </c>
      <c r="E59" s="64">
        <v>2.9222676797189999E-3</v>
      </c>
    </row>
    <row r="60" spans="2:5" ht="15" customHeight="1">
      <c r="B60" s="88"/>
      <c r="C60" s="62" t="s">
        <v>134</v>
      </c>
      <c r="D60" s="63">
        <v>4</v>
      </c>
      <c r="E60" s="64">
        <v>2.3378141437759999E-3</v>
      </c>
    </row>
    <row r="61" spans="2:5" ht="15" customHeight="1">
      <c r="B61" s="87"/>
      <c r="C61" s="57" t="s">
        <v>28</v>
      </c>
      <c r="D61" s="58">
        <v>9</v>
      </c>
      <c r="E61" s="59">
        <v>5.2600818234950003E-3</v>
      </c>
    </row>
    <row r="62" spans="2:5" ht="15" customHeight="1">
      <c r="B62" s="86" t="s">
        <v>108</v>
      </c>
      <c r="C62" s="62" t="s">
        <v>133</v>
      </c>
      <c r="D62" s="63">
        <v>1</v>
      </c>
      <c r="E62" s="64">
        <v>5.8445353594399998E-4</v>
      </c>
    </row>
    <row r="63" spans="2:5" ht="15" customHeight="1">
      <c r="B63" s="88"/>
      <c r="C63" s="62" t="s">
        <v>134</v>
      </c>
      <c r="D63" s="63">
        <v>1</v>
      </c>
      <c r="E63" s="64">
        <v>5.8445353594399998E-4</v>
      </c>
    </row>
    <row r="64" spans="2:5" ht="15" customHeight="1">
      <c r="B64" s="87"/>
      <c r="C64" s="57" t="s">
        <v>28</v>
      </c>
      <c r="D64" s="58">
        <v>2</v>
      </c>
      <c r="E64" s="59">
        <v>1.168907071888E-3</v>
      </c>
    </row>
    <row r="65" spans="2:5" ht="15" customHeight="1">
      <c r="B65" s="86" t="s">
        <v>109</v>
      </c>
      <c r="C65" s="62" t="s">
        <v>133</v>
      </c>
      <c r="D65" s="63">
        <v>3</v>
      </c>
      <c r="E65" s="64">
        <v>1.753360607832E-3</v>
      </c>
    </row>
    <row r="66" spans="2:5" ht="15" customHeight="1">
      <c r="B66" s="88"/>
      <c r="C66" s="62" t="s">
        <v>134</v>
      </c>
      <c r="D66" s="63">
        <v>9</v>
      </c>
      <c r="E66" s="64">
        <v>5.2600818234950003E-3</v>
      </c>
    </row>
    <row r="67" spans="2:5" ht="15" customHeight="1">
      <c r="B67" s="87"/>
      <c r="C67" s="57" t="s">
        <v>28</v>
      </c>
      <c r="D67" s="58">
        <v>12</v>
      </c>
      <c r="E67" s="59">
        <v>7.0134424313270001E-3</v>
      </c>
    </row>
    <row r="68" spans="2:5" ht="15" customHeight="1">
      <c r="B68" s="86" t="s">
        <v>110</v>
      </c>
      <c r="C68" s="62" t="s">
        <v>133</v>
      </c>
      <c r="D68" s="63">
        <v>9</v>
      </c>
      <c r="E68" s="64">
        <v>5.2600818234950003E-3</v>
      </c>
    </row>
    <row r="69" spans="2:5" ht="15" customHeight="1">
      <c r="B69" s="88"/>
      <c r="C69" s="62" t="s">
        <v>134</v>
      </c>
      <c r="D69" s="63">
        <v>16</v>
      </c>
      <c r="E69" s="64">
        <v>9.3512565751019995E-3</v>
      </c>
    </row>
    <row r="70" spans="2:5" ht="15" customHeight="1">
      <c r="B70" s="87"/>
      <c r="C70" s="57" t="s">
        <v>28</v>
      </c>
      <c r="D70" s="58">
        <v>25</v>
      </c>
      <c r="E70" s="59">
        <v>1.4611338398597001E-2</v>
      </c>
    </row>
    <row r="71" spans="2:5" ht="15" customHeight="1">
      <c r="B71" s="86" t="s">
        <v>111</v>
      </c>
      <c r="C71" s="62" t="s">
        <v>133</v>
      </c>
      <c r="D71" s="63">
        <v>9</v>
      </c>
      <c r="E71" s="64">
        <v>5.2600818234950003E-3</v>
      </c>
    </row>
    <row r="72" spans="2:5" ht="15" customHeight="1">
      <c r="B72" s="88"/>
      <c r="C72" s="62" t="s">
        <v>134</v>
      </c>
      <c r="D72" s="63">
        <v>14</v>
      </c>
      <c r="E72" s="64">
        <v>8.1823495032140002E-3</v>
      </c>
    </row>
    <row r="73" spans="2:5" ht="15" customHeight="1">
      <c r="B73" s="87"/>
      <c r="C73" s="57" t="s">
        <v>28</v>
      </c>
      <c r="D73" s="58">
        <v>23</v>
      </c>
      <c r="E73" s="59">
        <v>1.3442431326710001E-2</v>
      </c>
    </row>
    <row r="74" spans="2:5" ht="15" customHeight="1">
      <c r="B74" s="86" t="s">
        <v>112</v>
      </c>
      <c r="C74" s="62" t="s">
        <v>133</v>
      </c>
      <c r="D74" s="63">
        <v>4</v>
      </c>
      <c r="E74" s="64">
        <v>2.3378141437759999E-3</v>
      </c>
    </row>
    <row r="75" spans="2:5" ht="15" customHeight="1">
      <c r="B75" s="88"/>
      <c r="C75" s="62" t="s">
        <v>134</v>
      </c>
      <c r="D75" s="63">
        <v>17</v>
      </c>
      <c r="E75" s="64">
        <v>9.9357101110459992E-3</v>
      </c>
    </row>
    <row r="76" spans="2:5" ht="15" customHeight="1">
      <c r="B76" s="87"/>
      <c r="C76" s="57" t="s">
        <v>28</v>
      </c>
      <c r="D76" s="58">
        <v>21</v>
      </c>
      <c r="E76" s="59">
        <v>1.2273524254822E-2</v>
      </c>
    </row>
    <row r="77" spans="2:5" ht="15" customHeight="1">
      <c r="B77" s="86" t="s">
        <v>113</v>
      </c>
      <c r="C77" s="62" t="s">
        <v>134</v>
      </c>
      <c r="D77" s="63">
        <v>1</v>
      </c>
      <c r="E77" s="64">
        <v>5.8445353594399998E-4</v>
      </c>
    </row>
    <row r="78" spans="2:5" ht="15" customHeight="1">
      <c r="B78" s="87"/>
      <c r="C78" s="57" t="s">
        <v>28</v>
      </c>
      <c r="D78" s="58">
        <v>1</v>
      </c>
      <c r="E78" s="59">
        <v>5.8445353594399998E-4</v>
      </c>
    </row>
    <row r="79" spans="2:5" ht="15" customHeight="1">
      <c r="B79" s="86" t="s">
        <v>114</v>
      </c>
      <c r="C79" s="62" t="s">
        <v>133</v>
      </c>
      <c r="D79" s="63">
        <v>30</v>
      </c>
      <c r="E79" s="64">
        <v>1.7533606078316999E-2</v>
      </c>
    </row>
    <row r="80" spans="2:5" ht="15" customHeight="1">
      <c r="B80" s="88"/>
      <c r="C80" s="62" t="s">
        <v>134</v>
      </c>
      <c r="D80" s="63">
        <v>60</v>
      </c>
      <c r="E80" s="64">
        <v>3.5067212156633998E-2</v>
      </c>
    </row>
    <row r="81" spans="2:5" ht="15" customHeight="1">
      <c r="B81" s="87"/>
      <c r="C81" s="57" t="s">
        <v>28</v>
      </c>
      <c r="D81" s="58">
        <v>90</v>
      </c>
      <c r="E81" s="59">
        <v>5.2600818234949998E-2</v>
      </c>
    </row>
    <row r="82" spans="2:5" ht="15" customHeight="1">
      <c r="B82" s="86" t="s">
        <v>115</v>
      </c>
      <c r="C82" s="62" t="s">
        <v>133</v>
      </c>
      <c r="D82" s="63">
        <v>10</v>
      </c>
      <c r="E82" s="64">
        <v>5.8445353594389999E-3</v>
      </c>
    </row>
    <row r="83" spans="2:5" ht="15" customHeight="1">
      <c r="B83" s="88"/>
      <c r="C83" s="62" t="s">
        <v>134</v>
      </c>
      <c r="D83" s="63">
        <v>31</v>
      </c>
      <c r="E83" s="64">
        <v>1.8118059614260999E-2</v>
      </c>
    </row>
    <row r="84" spans="2:5" ht="15" customHeight="1">
      <c r="B84" s="87"/>
      <c r="C84" s="57" t="s">
        <v>28</v>
      </c>
      <c r="D84" s="58">
        <v>41</v>
      </c>
      <c r="E84" s="59">
        <v>2.3962594973699999E-2</v>
      </c>
    </row>
    <row r="85" spans="2:5" ht="15" customHeight="1">
      <c r="B85" s="86" t="s">
        <v>116</v>
      </c>
      <c r="C85" s="62" t="s">
        <v>133</v>
      </c>
      <c r="D85" s="63">
        <v>2</v>
      </c>
      <c r="E85" s="64">
        <v>1.168907071888E-3</v>
      </c>
    </row>
    <row r="86" spans="2:5" ht="15" customHeight="1">
      <c r="B86" s="88"/>
      <c r="C86" s="62" t="s">
        <v>134</v>
      </c>
      <c r="D86" s="63">
        <v>6</v>
      </c>
      <c r="E86" s="64">
        <v>3.506721215663E-3</v>
      </c>
    </row>
    <row r="87" spans="2:5" ht="15" customHeight="1">
      <c r="B87" s="87"/>
      <c r="C87" s="57" t="s">
        <v>28</v>
      </c>
      <c r="D87" s="58">
        <v>8</v>
      </c>
      <c r="E87" s="59">
        <v>4.6756282875509998E-3</v>
      </c>
    </row>
    <row r="88" spans="2:5" ht="15" customHeight="1">
      <c r="B88" s="86" t="s">
        <v>117</v>
      </c>
      <c r="C88" s="62" t="s">
        <v>133</v>
      </c>
      <c r="D88" s="63">
        <v>2</v>
      </c>
      <c r="E88" s="64">
        <v>1.168907071888E-3</v>
      </c>
    </row>
    <row r="89" spans="2:5" ht="15" customHeight="1">
      <c r="B89" s="88"/>
      <c r="C89" s="62" t="s">
        <v>134</v>
      </c>
      <c r="D89" s="63">
        <v>1</v>
      </c>
      <c r="E89" s="64">
        <v>5.8445353594399998E-4</v>
      </c>
    </row>
    <row r="90" spans="2:5" ht="15" customHeight="1">
      <c r="B90" s="87"/>
      <c r="C90" s="57" t="s">
        <v>28</v>
      </c>
      <c r="D90" s="58">
        <v>3</v>
      </c>
      <c r="E90" s="59">
        <v>1.753360607832E-3</v>
      </c>
    </row>
    <row r="91" spans="2:5" ht="15" customHeight="1">
      <c r="B91" s="86" t="s">
        <v>118</v>
      </c>
      <c r="C91" s="62" t="s">
        <v>133</v>
      </c>
      <c r="D91" s="63">
        <v>2</v>
      </c>
      <c r="E91" s="64">
        <v>1.168907071888E-3</v>
      </c>
    </row>
    <row r="92" spans="2:5" ht="15" customHeight="1">
      <c r="B92" s="88"/>
      <c r="C92" s="62" t="s">
        <v>134</v>
      </c>
      <c r="D92" s="63">
        <v>10</v>
      </c>
      <c r="E92" s="64">
        <v>5.8445353594389999E-3</v>
      </c>
    </row>
    <row r="93" spans="2:5" ht="15" customHeight="1">
      <c r="B93" s="87"/>
      <c r="C93" s="57" t="s">
        <v>28</v>
      </c>
      <c r="D93" s="58">
        <v>12</v>
      </c>
      <c r="E93" s="59">
        <v>7.0134424313270001E-3</v>
      </c>
    </row>
    <row r="94" spans="2:5" ht="15" customHeight="1">
      <c r="B94" s="86" t="s">
        <v>119</v>
      </c>
      <c r="C94" s="62" t="s">
        <v>133</v>
      </c>
      <c r="D94" s="63">
        <v>12</v>
      </c>
      <c r="E94" s="64">
        <v>7.0134424313270001E-3</v>
      </c>
    </row>
    <row r="95" spans="2:5" ht="15" customHeight="1">
      <c r="B95" s="88"/>
      <c r="C95" s="62" t="s">
        <v>134</v>
      </c>
      <c r="D95" s="63">
        <v>47</v>
      </c>
      <c r="E95" s="64">
        <v>2.7469316189363002E-2</v>
      </c>
    </row>
    <row r="96" spans="2:5" ht="15" customHeight="1">
      <c r="B96" s="87"/>
      <c r="C96" s="57" t="s">
        <v>28</v>
      </c>
      <c r="D96" s="58">
        <v>59</v>
      </c>
      <c r="E96" s="59">
        <v>3.4482758620690002E-2</v>
      </c>
    </row>
    <row r="97" spans="2:5" ht="15" customHeight="1">
      <c r="B97" s="86" t="s">
        <v>120</v>
      </c>
      <c r="C97" s="62" t="s">
        <v>133</v>
      </c>
      <c r="D97" s="63">
        <v>12</v>
      </c>
      <c r="E97" s="64">
        <v>7.0134424313270001E-3</v>
      </c>
    </row>
    <row r="98" spans="2:5" ht="15" customHeight="1">
      <c r="B98" s="88"/>
      <c r="C98" s="62" t="s">
        <v>134</v>
      </c>
      <c r="D98" s="63">
        <v>23</v>
      </c>
      <c r="E98" s="64">
        <v>1.3442431326710001E-2</v>
      </c>
    </row>
    <row r="99" spans="2:5" ht="15" customHeight="1">
      <c r="B99" s="87"/>
      <c r="C99" s="57" t="s">
        <v>28</v>
      </c>
      <c r="D99" s="58">
        <v>35</v>
      </c>
      <c r="E99" s="59">
        <v>2.0455873758036001E-2</v>
      </c>
    </row>
    <row r="100" spans="2:5" ht="15" customHeight="1">
      <c r="B100" s="86" t="s">
        <v>121</v>
      </c>
      <c r="C100" s="62" t="s">
        <v>133</v>
      </c>
      <c r="D100" s="63">
        <v>12</v>
      </c>
      <c r="E100" s="64">
        <v>7.0134424313270001E-3</v>
      </c>
    </row>
    <row r="101" spans="2:5" ht="15" customHeight="1">
      <c r="B101" s="88"/>
      <c r="C101" s="62" t="s">
        <v>134</v>
      </c>
      <c r="D101" s="63">
        <v>24</v>
      </c>
      <c r="E101" s="64">
        <v>1.4026884862652999E-2</v>
      </c>
    </row>
    <row r="102" spans="2:5" ht="15" customHeight="1">
      <c r="B102" s="87"/>
      <c r="C102" s="57" t="s">
        <v>28</v>
      </c>
      <c r="D102" s="58">
        <v>36</v>
      </c>
      <c r="E102" s="59">
        <v>2.1040327293980001E-2</v>
      </c>
    </row>
    <row r="103" spans="2:5" ht="15" customHeight="1">
      <c r="B103" s="86" t="s">
        <v>122</v>
      </c>
      <c r="C103" s="62" t="s">
        <v>133</v>
      </c>
      <c r="D103" s="63">
        <v>3</v>
      </c>
      <c r="E103" s="64">
        <v>1.753360607832E-3</v>
      </c>
    </row>
    <row r="104" spans="2:5" ht="15" customHeight="1">
      <c r="B104" s="88"/>
      <c r="C104" s="62" t="s">
        <v>134</v>
      </c>
      <c r="D104" s="63">
        <v>2</v>
      </c>
      <c r="E104" s="64">
        <v>1.168907071888E-3</v>
      </c>
    </row>
    <row r="105" spans="2:5" ht="15" customHeight="1">
      <c r="B105" s="87"/>
      <c r="C105" s="57" t="s">
        <v>28</v>
      </c>
      <c r="D105" s="58">
        <v>5</v>
      </c>
      <c r="E105" s="59">
        <v>2.9222676797189999E-3</v>
      </c>
    </row>
    <row r="106" spans="2:5" ht="15" customHeight="1">
      <c r="B106" s="86" t="s">
        <v>123</v>
      </c>
      <c r="C106" s="62" t="s">
        <v>133</v>
      </c>
      <c r="D106" s="63">
        <v>1</v>
      </c>
      <c r="E106" s="64">
        <v>5.8445353594399998E-4</v>
      </c>
    </row>
    <row r="107" spans="2:5" ht="15" customHeight="1">
      <c r="B107" s="88"/>
      <c r="C107" s="62" t="s">
        <v>134</v>
      </c>
      <c r="D107" s="63">
        <v>6</v>
      </c>
      <c r="E107" s="64">
        <v>3.506721215663E-3</v>
      </c>
    </row>
    <row r="108" spans="2:5" ht="15" customHeight="1">
      <c r="B108" s="87"/>
      <c r="C108" s="57" t="s">
        <v>28</v>
      </c>
      <c r="D108" s="58">
        <v>7</v>
      </c>
      <c r="E108" s="59">
        <v>4.0911747516070001E-3</v>
      </c>
    </row>
    <row r="109" spans="2:5" ht="15" customHeight="1">
      <c r="B109" s="86" t="s">
        <v>124</v>
      </c>
      <c r="C109" s="62" t="s">
        <v>134</v>
      </c>
      <c r="D109" s="63">
        <v>1</v>
      </c>
      <c r="E109" s="64">
        <v>5.8445353594399998E-4</v>
      </c>
    </row>
    <row r="110" spans="2:5" ht="15" customHeight="1">
      <c r="B110" s="87"/>
      <c r="C110" s="57" t="s">
        <v>28</v>
      </c>
      <c r="D110" s="58">
        <v>1</v>
      </c>
      <c r="E110" s="59">
        <v>5.8445353594399998E-4</v>
      </c>
    </row>
    <row r="111" spans="2:5" ht="15" customHeight="1">
      <c r="B111" s="86" t="s">
        <v>125</v>
      </c>
      <c r="C111" s="62" t="s">
        <v>133</v>
      </c>
      <c r="D111" s="63">
        <v>6</v>
      </c>
      <c r="E111" s="64">
        <v>3.506721215663E-3</v>
      </c>
    </row>
    <row r="112" spans="2:5" ht="15" customHeight="1">
      <c r="B112" s="88"/>
      <c r="C112" s="62" t="s">
        <v>134</v>
      </c>
      <c r="D112" s="63">
        <v>24</v>
      </c>
      <c r="E112" s="64">
        <v>1.4026884862652999E-2</v>
      </c>
    </row>
    <row r="113" spans="2:5" ht="15" customHeight="1">
      <c r="B113" s="87"/>
      <c r="C113" s="57" t="s">
        <v>28</v>
      </c>
      <c r="D113" s="58">
        <v>30</v>
      </c>
      <c r="E113" s="59">
        <v>1.7533606078316999E-2</v>
      </c>
    </row>
    <row r="114" spans="2:5" ht="15" customHeight="1">
      <c r="B114" s="86" t="s">
        <v>126</v>
      </c>
      <c r="C114" s="62" t="s">
        <v>133</v>
      </c>
      <c r="D114" s="63">
        <v>1</v>
      </c>
      <c r="E114" s="64">
        <v>5.8445353594399998E-4</v>
      </c>
    </row>
    <row r="115" spans="2:5" ht="15" customHeight="1">
      <c r="B115" s="88"/>
      <c r="C115" s="62" t="s">
        <v>134</v>
      </c>
      <c r="D115" s="63">
        <v>2</v>
      </c>
      <c r="E115" s="64">
        <v>1.168907071888E-3</v>
      </c>
    </row>
    <row r="116" spans="2:5" ht="15" customHeight="1">
      <c r="B116" s="87"/>
      <c r="C116" s="57" t="s">
        <v>28</v>
      </c>
      <c r="D116" s="58">
        <v>3</v>
      </c>
      <c r="E116" s="59">
        <v>1.753360607832E-3</v>
      </c>
    </row>
    <row r="117" spans="2:5" ht="15" customHeight="1">
      <c r="B117" s="86" t="s">
        <v>127</v>
      </c>
      <c r="C117" s="62" t="s">
        <v>133</v>
      </c>
      <c r="D117" s="63">
        <v>7</v>
      </c>
      <c r="E117" s="64">
        <v>4.0911747516070001E-3</v>
      </c>
    </row>
    <row r="118" spans="2:5" ht="15" customHeight="1">
      <c r="B118" s="88"/>
      <c r="C118" s="62" t="s">
        <v>134</v>
      </c>
      <c r="D118" s="63">
        <v>29</v>
      </c>
      <c r="E118" s="64">
        <v>1.6949152542372999E-2</v>
      </c>
    </row>
    <row r="119" spans="2:5" ht="15" customHeight="1">
      <c r="B119" s="87"/>
      <c r="C119" s="57" t="s">
        <v>28</v>
      </c>
      <c r="D119" s="58">
        <v>36</v>
      </c>
      <c r="E119" s="59">
        <v>2.1040327293980001E-2</v>
      </c>
    </row>
    <row r="120" spans="2:5" ht="15" customHeight="1">
      <c r="B120" s="86" t="s">
        <v>128</v>
      </c>
      <c r="C120" s="62" t="s">
        <v>133</v>
      </c>
      <c r="D120" s="63">
        <v>127</v>
      </c>
      <c r="E120" s="64">
        <v>7.4225599064873998E-2</v>
      </c>
    </row>
    <row r="121" spans="2:5" ht="15" customHeight="1">
      <c r="B121" s="88"/>
      <c r="C121" s="62" t="s">
        <v>134</v>
      </c>
      <c r="D121" s="63">
        <v>231</v>
      </c>
      <c r="E121" s="64">
        <v>0.135008766803039</v>
      </c>
    </row>
    <row r="122" spans="2:5" ht="15" customHeight="1">
      <c r="B122" s="87"/>
      <c r="C122" s="57" t="s">
        <v>28</v>
      </c>
      <c r="D122" s="58">
        <v>358</v>
      </c>
      <c r="E122" s="59">
        <v>0.209234365867914</v>
      </c>
    </row>
    <row r="123" spans="2:5" ht="15" customHeight="1">
      <c r="B123" s="86" t="s">
        <v>129</v>
      </c>
      <c r="C123" s="62" t="s">
        <v>133</v>
      </c>
      <c r="D123" s="63">
        <v>1</v>
      </c>
      <c r="E123" s="64">
        <v>5.8445353594399998E-4</v>
      </c>
    </row>
    <row r="124" spans="2:5" ht="15" customHeight="1">
      <c r="B124" s="88"/>
      <c r="C124" s="62" t="s">
        <v>134</v>
      </c>
      <c r="D124" s="63">
        <v>1</v>
      </c>
      <c r="E124" s="64">
        <v>5.8445353594399998E-4</v>
      </c>
    </row>
    <row r="125" spans="2:5" ht="15" customHeight="1">
      <c r="B125" s="87"/>
      <c r="C125" s="57" t="s">
        <v>28</v>
      </c>
      <c r="D125" s="58">
        <v>2</v>
      </c>
      <c r="E125" s="59">
        <v>1.168907071888E-3</v>
      </c>
    </row>
    <row r="126" spans="2:5" ht="15" customHeight="1">
      <c r="B126" s="86" t="s">
        <v>130</v>
      </c>
      <c r="C126" s="62" t="s">
        <v>133</v>
      </c>
      <c r="D126" s="63">
        <v>4</v>
      </c>
      <c r="E126" s="64">
        <v>2.3378141437759999E-3</v>
      </c>
    </row>
    <row r="127" spans="2:5" ht="15" customHeight="1">
      <c r="B127" s="88"/>
      <c r="C127" s="62" t="s">
        <v>134</v>
      </c>
      <c r="D127" s="63">
        <v>18</v>
      </c>
      <c r="E127" s="64">
        <v>1.0520163646990001E-2</v>
      </c>
    </row>
    <row r="128" spans="2:5" ht="15" customHeight="1">
      <c r="B128" s="87"/>
      <c r="C128" s="57" t="s">
        <v>28</v>
      </c>
      <c r="D128" s="58">
        <v>22</v>
      </c>
      <c r="E128" s="59">
        <v>1.2857977790765999E-2</v>
      </c>
    </row>
    <row r="129" spans="2:5" ht="15" customHeight="1">
      <c r="B129" s="86" t="s">
        <v>71</v>
      </c>
      <c r="C129" s="62" t="s">
        <v>133</v>
      </c>
      <c r="D129" s="63">
        <v>2</v>
      </c>
      <c r="E129" s="64">
        <v>1.168907071888E-3</v>
      </c>
    </row>
    <row r="130" spans="2:5" ht="15" customHeight="1">
      <c r="B130" s="88"/>
      <c r="C130" s="62" t="s">
        <v>134</v>
      </c>
      <c r="D130" s="63">
        <v>10</v>
      </c>
      <c r="E130" s="64">
        <v>5.8445353594389999E-3</v>
      </c>
    </row>
    <row r="131" spans="2:5" ht="15" customHeight="1">
      <c r="B131" s="87"/>
      <c r="C131" s="57" t="s">
        <v>28</v>
      </c>
      <c r="D131" s="58">
        <v>12</v>
      </c>
      <c r="E131" s="59">
        <v>7.0134424313270001E-3</v>
      </c>
    </row>
    <row r="132" spans="2:5" ht="15" customHeight="1">
      <c r="B132" s="86" t="s">
        <v>131</v>
      </c>
      <c r="C132" s="62" t="s">
        <v>133</v>
      </c>
      <c r="D132" s="63">
        <v>9</v>
      </c>
      <c r="E132" s="64">
        <v>5.2600818234950003E-3</v>
      </c>
    </row>
    <row r="133" spans="2:5" ht="15" customHeight="1">
      <c r="B133" s="88"/>
      <c r="C133" s="62" t="s">
        <v>134</v>
      </c>
      <c r="D133" s="63">
        <v>6</v>
      </c>
      <c r="E133" s="64">
        <v>3.506721215663E-3</v>
      </c>
    </row>
    <row r="134" spans="2:5" ht="15" customHeight="1">
      <c r="B134" s="87"/>
      <c r="C134" s="57" t="s">
        <v>28</v>
      </c>
      <c r="D134" s="58">
        <v>15</v>
      </c>
      <c r="E134" s="59">
        <v>8.7668030391579999E-3</v>
      </c>
    </row>
    <row r="135" spans="2:5" ht="15" customHeight="1">
      <c r="B135" s="86" t="s">
        <v>132</v>
      </c>
      <c r="C135" s="62" t="s">
        <v>134</v>
      </c>
      <c r="D135" s="63">
        <v>2</v>
      </c>
      <c r="E135" s="64">
        <v>1.168907071888E-3</v>
      </c>
    </row>
    <row r="136" spans="2:5" ht="15" customHeight="1">
      <c r="B136" s="87"/>
      <c r="C136" s="57" t="s">
        <v>28</v>
      </c>
      <c r="D136" s="58">
        <v>2</v>
      </c>
      <c r="E136" s="59">
        <v>1.168907071888E-3</v>
      </c>
    </row>
    <row r="137" spans="2:5" ht="15" customHeight="1">
      <c r="B137" s="96" t="s">
        <v>28</v>
      </c>
      <c r="C137" s="97"/>
      <c r="D137" s="55">
        <v>1711</v>
      </c>
      <c r="E137" s="56">
        <v>1</v>
      </c>
    </row>
    <row r="138" spans="2:5" ht="15" customHeight="1"/>
    <row r="139" spans="2:5" ht="15" customHeight="1">
      <c r="B139" s="15" t="s">
        <v>213</v>
      </c>
    </row>
    <row r="140" spans="2:5" ht="15" customHeight="1">
      <c r="B140" s="17" t="s">
        <v>17</v>
      </c>
    </row>
    <row r="141" spans="2:5" ht="15" customHeight="1">
      <c r="B141" s="16" t="s">
        <v>214</v>
      </c>
    </row>
    <row r="142" spans="2:5" ht="15" customHeight="1">
      <c r="B142" s="15" t="s">
        <v>16</v>
      </c>
    </row>
    <row r="143" spans="2:5" ht="15" customHeight="1">
      <c r="B143" s="15" t="s">
        <v>215</v>
      </c>
    </row>
  </sheetData>
  <mergeCells count="45">
    <mergeCell ref="B135:B136"/>
    <mergeCell ref="B137:C137"/>
    <mergeCell ref="B91:B93"/>
    <mergeCell ref="B94:B96"/>
    <mergeCell ref="B109:B110"/>
    <mergeCell ref="B111:B113"/>
    <mergeCell ref="B114:B116"/>
    <mergeCell ref="B100:B102"/>
    <mergeCell ref="B103:B105"/>
    <mergeCell ref="B106:B108"/>
    <mergeCell ref="B36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129:B131"/>
    <mergeCell ref="B132:B134"/>
    <mergeCell ref="B126:B128"/>
    <mergeCell ref="B85:B87"/>
    <mergeCell ref="B88:B90"/>
    <mergeCell ref="B79:B81"/>
    <mergeCell ref="B82:B84"/>
    <mergeCell ref="B74:B76"/>
    <mergeCell ref="B77:B78"/>
    <mergeCell ref="B97:B99"/>
    <mergeCell ref="B117:B119"/>
    <mergeCell ref="B120:B122"/>
    <mergeCell ref="B123:B125"/>
    <mergeCell ref="B25:B27"/>
    <mergeCell ref="B28:B29"/>
    <mergeCell ref="B30:B32"/>
    <mergeCell ref="B33:B35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1"/>
  <sheetViews>
    <sheetView showGridLines="0" view="pageBreakPreview" topLeftCell="A11" zoomScaleNormal="93" zoomScaleSheetLayoutView="100" workbookViewId="0">
      <selection activeCell="G13" sqref="G13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4.816406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5.72656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0"/>
    </row>
    <row r="8" spans="2:7" s="13" customFormat="1" ht="15" customHeight="1">
      <c r="B8" s="85" t="s">
        <v>216</v>
      </c>
      <c r="C8" s="85"/>
      <c r="D8" s="85"/>
      <c r="E8" s="85"/>
      <c r="F8" s="85"/>
    </row>
    <row r="9" spans="2:7" s="13" customFormat="1" ht="15" customHeight="1">
      <c r="B9" s="85"/>
      <c r="C9" s="85"/>
      <c r="D9" s="85"/>
      <c r="E9" s="85"/>
      <c r="F9" s="85"/>
      <c r="G9" s="49"/>
    </row>
    <row r="10" spans="2:7" s="13" customFormat="1" ht="15" customHeight="1">
      <c r="B10" s="85"/>
      <c r="C10" s="85"/>
      <c r="D10" s="85"/>
      <c r="E10" s="85"/>
      <c r="F10" s="85"/>
    </row>
    <row r="11" spans="2:7" s="13" customFormat="1" ht="15" customHeight="1">
      <c r="B11" s="52"/>
      <c r="C11" s="52"/>
      <c r="D11" s="52"/>
      <c r="E11" s="52"/>
      <c r="F11" s="52"/>
    </row>
    <row r="12" spans="2:7" s="13" customFormat="1" ht="42.5" customHeight="1">
      <c r="B12" s="65" t="s">
        <v>29</v>
      </c>
      <c r="C12" s="65" t="s">
        <v>32</v>
      </c>
      <c r="D12" s="65" t="s">
        <v>19</v>
      </c>
      <c r="E12" s="65" t="s">
        <v>31</v>
      </c>
      <c r="F12" s="65" t="s">
        <v>30</v>
      </c>
    </row>
    <row r="13" spans="2:7" ht="15" customHeight="1">
      <c r="B13" s="86" t="s">
        <v>133</v>
      </c>
      <c r="C13" s="62" t="s">
        <v>169</v>
      </c>
      <c r="D13" s="63">
        <v>116</v>
      </c>
      <c r="E13" s="64">
        <v>0.22393822393822399</v>
      </c>
      <c r="F13" s="64">
        <v>6.7796610169491997E-2</v>
      </c>
    </row>
    <row r="14" spans="2:7" ht="15" customHeight="1">
      <c r="B14" s="88"/>
      <c r="C14" s="62" t="s">
        <v>170</v>
      </c>
      <c r="D14" s="63">
        <v>190</v>
      </c>
      <c r="E14" s="64">
        <v>0.36679536679536701</v>
      </c>
      <c r="F14" s="64">
        <v>0.11104617182934</v>
      </c>
    </row>
    <row r="15" spans="2:7" ht="15" customHeight="1">
      <c r="B15" s="88"/>
      <c r="C15" s="62" t="s">
        <v>171</v>
      </c>
      <c r="D15" s="63">
        <v>148</v>
      </c>
      <c r="E15" s="64">
        <v>0.28571428571428598</v>
      </c>
      <c r="F15" s="64">
        <v>8.6499123319696003E-2</v>
      </c>
    </row>
    <row r="16" spans="2:7" ht="15" customHeight="1">
      <c r="B16" s="88"/>
      <c r="C16" s="62" t="s">
        <v>172</v>
      </c>
      <c r="D16" s="63">
        <v>57</v>
      </c>
      <c r="E16" s="64">
        <v>0.11003861003861</v>
      </c>
      <c r="F16" s="64">
        <v>3.3313851548802002E-2</v>
      </c>
    </row>
    <row r="17" spans="2:6" ht="15" customHeight="1">
      <c r="B17" s="88"/>
      <c r="C17" s="62" t="s">
        <v>173</v>
      </c>
      <c r="D17" s="63">
        <v>6</v>
      </c>
      <c r="E17" s="64">
        <v>1.1583011583012E-2</v>
      </c>
      <c r="F17" s="64">
        <v>3.506721215663E-3</v>
      </c>
    </row>
    <row r="18" spans="2:6" ht="15" customHeight="1">
      <c r="B18" s="87"/>
      <c r="C18" s="62" t="s">
        <v>174</v>
      </c>
      <c r="D18" s="63">
        <v>1</v>
      </c>
      <c r="E18" s="64">
        <v>1.9305019305019999E-3</v>
      </c>
      <c r="F18" s="64">
        <v>5.8445353594399998E-4</v>
      </c>
    </row>
    <row r="19" spans="2:6" ht="15" customHeight="1">
      <c r="B19" s="86" t="s">
        <v>134</v>
      </c>
      <c r="C19" s="62" t="s">
        <v>175</v>
      </c>
      <c r="D19" s="63">
        <v>1</v>
      </c>
      <c r="E19" s="64">
        <v>8.3822296730899995E-4</v>
      </c>
      <c r="F19" s="64">
        <v>5.8445353594399998E-4</v>
      </c>
    </row>
    <row r="20" spans="2:6" ht="15" customHeight="1">
      <c r="B20" s="88"/>
      <c r="C20" s="62" t="s">
        <v>169</v>
      </c>
      <c r="D20" s="63">
        <v>334</v>
      </c>
      <c r="E20" s="64">
        <v>0.27996647108130801</v>
      </c>
      <c r="F20" s="64">
        <v>0.19520748100526</v>
      </c>
    </row>
    <row r="21" spans="2:6" ht="15" customHeight="1">
      <c r="B21" s="88"/>
      <c r="C21" s="62" t="s">
        <v>170</v>
      </c>
      <c r="D21" s="63">
        <v>514</v>
      </c>
      <c r="E21" s="64">
        <v>0.43084660519698198</v>
      </c>
      <c r="F21" s="64">
        <v>0.30040911747516102</v>
      </c>
    </row>
    <row r="22" spans="2:6" ht="15" customHeight="1">
      <c r="B22" s="88"/>
      <c r="C22" s="62" t="s">
        <v>171</v>
      </c>
      <c r="D22" s="63">
        <v>248</v>
      </c>
      <c r="E22" s="64">
        <v>0.20787929589270701</v>
      </c>
      <c r="F22" s="64">
        <v>0.14494447691408499</v>
      </c>
    </row>
    <row r="23" spans="2:6" ht="15" customHeight="1">
      <c r="B23" s="88"/>
      <c r="C23" s="62" t="s">
        <v>172</v>
      </c>
      <c r="D23" s="63">
        <v>86</v>
      </c>
      <c r="E23" s="64">
        <v>7.20871751886E-2</v>
      </c>
      <c r="F23" s="64">
        <v>5.0263004091174998E-2</v>
      </c>
    </row>
    <row r="24" spans="2:6" ht="15" customHeight="1">
      <c r="B24" s="87"/>
      <c r="C24" s="62" t="s">
        <v>173</v>
      </c>
      <c r="D24" s="63">
        <v>10</v>
      </c>
      <c r="E24" s="64">
        <v>8.3822296730929995E-3</v>
      </c>
      <c r="F24" s="64">
        <v>5.8445353594389999E-3</v>
      </c>
    </row>
    <row r="25" spans="2:6" ht="15" customHeight="1">
      <c r="B25" s="98" t="s">
        <v>28</v>
      </c>
      <c r="C25" s="99"/>
      <c r="D25" s="66">
        <v>1711</v>
      </c>
      <c r="E25" s="67">
        <v>1</v>
      </c>
      <c r="F25" s="67">
        <v>1</v>
      </c>
    </row>
    <row r="26" spans="2:6" ht="15" customHeight="1"/>
    <row r="27" spans="2:6" ht="15" customHeight="1">
      <c r="B27" s="15" t="s">
        <v>213</v>
      </c>
    </row>
    <row r="28" spans="2:6" ht="15" customHeight="1">
      <c r="B28" s="17" t="s">
        <v>17</v>
      </c>
    </row>
    <row r="29" spans="2:6" ht="15" customHeight="1">
      <c r="B29" s="16" t="s">
        <v>214</v>
      </c>
    </row>
    <row r="30" spans="2:6" ht="15" customHeight="1">
      <c r="B30" s="15" t="s">
        <v>16</v>
      </c>
    </row>
    <row r="31" spans="2:6" ht="15" customHeight="1">
      <c r="B31" s="15" t="s">
        <v>215</v>
      </c>
    </row>
  </sheetData>
  <mergeCells count="4">
    <mergeCell ref="B8:F10"/>
    <mergeCell ref="B13:B18"/>
    <mergeCell ref="B19:B24"/>
    <mergeCell ref="B25:C2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54"/>
  <sheetViews>
    <sheetView showGridLines="0" view="pageBreakPreview" zoomScale="115" zoomScaleNormal="100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27.7265625" style="13" customWidth="1"/>
    <col min="3" max="3" width="15.179687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5" t="s">
        <v>217</v>
      </c>
      <c r="C7" s="85"/>
      <c r="D7" s="85"/>
    </row>
    <row r="8" spans="2:4" s="25" customFormat="1" ht="15" customHeight="1">
      <c r="B8" s="85"/>
      <c r="C8" s="85"/>
      <c r="D8" s="85"/>
    </row>
    <row r="9" spans="2:4" s="25" customFormat="1" ht="33" customHeight="1">
      <c r="B9" s="85"/>
      <c r="C9" s="85"/>
      <c r="D9" s="85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33</v>
      </c>
      <c r="C11" s="27" t="s">
        <v>19</v>
      </c>
      <c r="D11" s="26" t="s">
        <v>18</v>
      </c>
    </row>
    <row r="12" spans="2:4">
      <c r="B12" s="23" t="s">
        <v>176</v>
      </c>
      <c r="C12" s="22">
        <v>1029</v>
      </c>
      <c r="D12" s="21">
        <v>0.60140268848626499</v>
      </c>
    </row>
    <row r="13" spans="2:4">
      <c r="B13" s="23" t="s">
        <v>177</v>
      </c>
      <c r="C13" s="22">
        <v>246</v>
      </c>
      <c r="D13" s="21">
        <v>0.143775569842198</v>
      </c>
    </row>
    <row r="14" spans="2:4" ht="28">
      <c r="B14" s="23" t="s">
        <v>178</v>
      </c>
      <c r="C14" s="22">
        <v>157</v>
      </c>
      <c r="D14" s="21">
        <v>9.1759205143190997E-2</v>
      </c>
    </row>
    <row r="15" spans="2:4">
      <c r="B15" s="23" t="s">
        <v>179</v>
      </c>
      <c r="C15" s="22">
        <v>70</v>
      </c>
      <c r="D15" s="21">
        <v>4.0911747516072003E-2</v>
      </c>
    </row>
    <row r="16" spans="2:4" ht="28">
      <c r="B16" s="23" t="s">
        <v>180</v>
      </c>
      <c r="C16" s="22">
        <v>43</v>
      </c>
      <c r="D16" s="21">
        <v>2.5131502045586999E-2</v>
      </c>
    </row>
    <row r="17" spans="2:4">
      <c r="B17" s="23" t="s">
        <v>181</v>
      </c>
      <c r="C17" s="22">
        <v>29</v>
      </c>
      <c r="D17" s="21">
        <v>1.6949152542372999E-2</v>
      </c>
    </row>
    <row r="18" spans="2:4">
      <c r="B18" s="23" t="s">
        <v>182</v>
      </c>
      <c r="C18" s="22">
        <v>25</v>
      </c>
      <c r="D18" s="21">
        <v>1.4611338398597001E-2</v>
      </c>
    </row>
    <row r="19" spans="2:4">
      <c r="B19" s="23" t="s">
        <v>183</v>
      </c>
      <c r="C19" s="22">
        <v>22</v>
      </c>
      <c r="D19" s="21">
        <v>1.2857977790765999E-2</v>
      </c>
    </row>
    <row r="20" spans="2:4" ht="28">
      <c r="B20" s="23" t="s">
        <v>184</v>
      </c>
      <c r="C20" s="22">
        <v>21</v>
      </c>
      <c r="D20" s="21">
        <v>1.2273524254822E-2</v>
      </c>
    </row>
    <row r="21" spans="2:4">
      <c r="B21" s="23" t="s">
        <v>185</v>
      </c>
      <c r="C21" s="22">
        <v>16</v>
      </c>
      <c r="D21" s="21">
        <v>9.3512565751019995E-3</v>
      </c>
    </row>
    <row r="22" spans="2:4">
      <c r="B22" s="23" t="s">
        <v>186</v>
      </c>
      <c r="C22" s="22">
        <v>9</v>
      </c>
      <c r="D22" s="21">
        <v>5.2600818234950003E-3</v>
      </c>
    </row>
    <row r="23" spans="2:4">
      <c r="B23" s="23" t="s">
        <v>187</v>
      </c>
      <c r="C23" s="22">
        <v>5</v>
      </c>
      <c r="D23" s="21">
        <v>2.9222676797189999E-3</v>
      </c>
    </row>
    <row r="24" spans="2:4">
      <c r="B24" s="23" t="s">
        <v>188</v>
      </c>
      <c r="C24" s="22">
        <v>3</v>
      </c>
      <c r="D24" s="21">
        <v>1.753360607832E-3</v>
      </c>
    </row>
    <row r="25" spans="2:4">
      <c r="B25" s="23" t="s">
        <v>189</v>
      </c>
      <c r="C25" s="22">
        <v>3</v>
      </c>
      <c r="D25" s="21">
        <v>1.753360607832E-3</v>
      </c>
    </row>
    <row r="26" spans="2:4">
      <c r="B26" s="23" t="s">
        <v>190</v>
      </c>
      <c r="C26" s="22">
        <v>3</v>
      </c>
      <c r="D26" s="21">
        <v>1.753360607832E-3</v>
      </c>
    </row>
    <row r="27" spans="2:4" ht="28">
      <c r="B27" s="23" t="s">
        <v>191</v>
      </c>
      <c r="C27" s="22">
        <v>3</v>
      </c>
      <c r="D27" s="21">
        <v>1.753360607832E-3</v>
      </c>
    </row>
    <row r="28" spans="2:4">
      <c r="B28" s="23" t="s">
        <v>192</v>
      </c>
      <c r="C28" s="22">
        <v>2</v>
      </c>
      <c r="D28" s="21">
        <v>1.168907071888E-3</v>
      </c>
    </row>
    <row r="29" spans="2:4">
      <c r="B29" s="23" t="s">
        <v>193</v>
      </c>
      <c r="C29" s="22">
        <v>2</v>
      </c>
      <c r="D29" s="21">
        <v>1.168907071888E-3</v>
      </c>
    </row>
    <row r="30" spans="2:4">
      <c r="B30" s="23" t="s">
        <v>194</v>
      </c>
      <c r="C30" s="22">
        <v>2</v>
      </c>
      <c r="D30" s="21">
        <v>1.168907071888E-3</v>
      </c>
    </row>
    <row r="31" spans="2:4">
      <c r="B31" s="23" t="s">
        <v>195</v>
      </c>
      <c r="C31" s="22">
        <v>2</v>
      </c>
      <c r="D31" s="21">
        <v>1.168907071888E-3</v>
      </c>
    </row>
    <row r="32" spans="2:4">
      <c r="B32" s="23" t="s">
        <v>196</v>
      </c>
      <c r="C32" s="22">
        <v>2</v>
      </c>
      <c r="D32" s="21">
        <v>1.168907071888E-3</v>
      </c>
    </row>
    <row r="33" spans="2:4">
      <c r="B33" s="23" t="s">
        <v>197</v>
      </c>
      <c r="C33" s="22">
        <v>2</v>
      </c>
      <c r="D33" s="21">
        <v>1.168907071888E-3</v>
      </c>
    </row>
    <row r="34" spans="2:4">
      <c r="B34" s="23" t="s">
        <v>198</v>
      </c>
      <c r="C34" s="22">
        <v>2</v>
      </c>
      <c r="D34" s="21">
        <v>1.168907071888E-3</v>
      </c>
    </row>
    <row r="35" spans="2:4">
      <c r="B35" s="23" t="s">
        <v>199</v>
      </c>
      <c r="C35" s="22">
        <v>1</v>
      </c>
      <c r="D35" s="21">
        <v>5.8445353594399998E-4</v>
      </c>
    </row>
    <row r="36" spans="2:4">
      <c r="B36" s="23" t="s">
        <v>200</v>
      </c>
      <c r="C36" s="22">
        <v>1</v>
      </c>
      <c r="D36" s="21">
        <v>5.8445353594399998E-4</v>
      </c>
    </row>
    <row r="37" spans="2:4" ht="28">
      <c r="B37" s="23" t="s">
        <v>201</v>
      </c>
      <c r="C37" s="22">
        <v>1</v>
      </c>
      <c r="D37" s="21">
        <v>5.8445353594399998E-4</v>
      </c>
    </row>
    <row r="38" spans="2:4">
      <c r="B38" s="23" t="s">
        <v>202</v>
      </c>
      <c r="C38" s="22">
        <v>1</v>
      </c>
      <c r="D38" s="21">
        <v>5.8445353594399998E-4</v>
      </c>
    </row>
    <row r="39" spans="2:4">
      <c r="B39" s="23" t="s">
        <v>203</v>
      </c>
      <c r="C39" s="22">
        <v>1</v>
      </c>
      <c r="D39" s="21">
        <v>5.8445353594399998E-4</v>
      </c>
    </row>
    <row r="40" spans="2:4">
      <c r="B40" s="23" t="s">
        <v>204</v>
      </c>
      <c r="C40" s="22">
        <v>1</v>
      </c>
      <c r="D40" s="21">
        <v>5.8445353594399998E-4</v>
      </c>
    </row>
    <row r="41" spans="2:4">
      <c r="B41" s="23" t="s">
        <v>205</v>
      </c>
      <c r="C41" s="22">
        <v>1</v>
      </c>
      <c r="D41" s="21">
        <v>5.8445353594399998E-4</v>
      </c>
    </row>
    <row r="42" spans="2:4">
      <c r="B42" s="23" t="s">
        <v>206</v>
      </c>
      <c r="C42" s="22">
        <v>1</v>
      </c>
      <c r="D42" s="21">
        <v>5.8445353594399998E-4</v>
      </c>
    </row>
    <row r="43" spans="2:4">
      <c r="B43" s="23" t="s">
        <v>207</v>
      </c>
      <c r="C43" s="22">
        <v>1</v>
      </c>
      <c r="D43" s="21">
        <v>5.8445353594399998E-4</v>
      </c>
    </row>
    <row r="44" spans="2:4" ht="28">
      <c r="B44" s="23" t="s">
        <v>208</v>
      </c>
      <c r="C44" s="22">
        <v>1</v>
      </c>
      <c r="D44" s="21">
        <v>5.8445353594399998E-4</v>
      </c>
    </row>
    <row r="45" spans="2:4">
      <c r="B45" s="23" t="s">
        <v>209</v>
      </c>
      <c r="C45" s="22">
        <v>1</v>
      </c>
      <c r="D45" s="21">
        <v>5.8445353594399998E-4</v>
      </c>
    </row>
    <row r="46" spans="2:4">
      <c r="B46" s="23" t="s">
        <v>210</v>
      </c>
      <c r="C46" s="22">
        <v>1</v>
      </c>
      <c r="D46" s="21">
        <v>5.8445353594399998E-4</v>
      </c>
    </row>
    <row r="47" spans="2:4" ht="28">
      <c r="B47" s="23" t="s">
        <v>211</v>
      </c>
      <c r="C47" s="22">
        <v>1</v>
      </c>
      <c r="D47" s="21">
        <v>5.8445353594399998E-4</v>
      </c>
    </row>
    <row r="48" spans="2:4">
      <c r="B48" s="20" t="s">
        <v>28</v>
      </c>
      <c r="C48" s="19">
        <v>1711</v>
      </c>
      <c r="D48" s="18">
        <v>1</v>
      </c>
    </row>
    <row r="50" spans="2:2">
      <c r="B50" s="15" t="s">
        <v>213</v>
      </c>
    </row>
    <row r="51" spans="2:2">
      <c r="B51" s="17" t="s">
        <v>17</v>
      </c>
    </row>
    <row r="52" spans="2:2">
      <c r="B52" s="16" t="s">
        <v>214</v>
      </c>
    </row>
    <row r="53" spans="2:2">
      <c r="B53" s="15" t="s">
        <v>16</v>
      </c>
    </row>
    <row r="54" spans="2:2">
      <c r="B54" s="15" t="s">
        <v>215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Campeche_EdoUsa</vt:lpstr>
      <vt:lpstr>Campeche_Cons</vt:lpstr>
      <vt:lpstr>CampecheXCons</vt:lpstr>
      <vt:lpstr>Campeche_EdoMun</vt:lpstr>
      <vt:lpstr>Campeche_USAMuni</vt:lpstr>
      <vt:lpstr>Campeche_MUNICIPIO</vt:lpstr>
      <vt:lpstr>Campeche_educ_gral</vt:lpstr>
      <vt:lpstr>Campeche_NivelE_Cons</vt:lpstr>
      <vt:lpstr>Campeche_EducCons</vt:lpstr>
      <vt:lpstr>Campeche_GenGral</vt:lpstr>
      <vt:lpstr>Campeche_GENERO</vt:lpstr>
      <vt:lpstr>Campeche_GENERO_EUA</vt:lpstr>
      <vt:lpstr>Campeche_Gen_Edad</vt:lpstr>
      <vt:lpstr>Campeche_ocup_gral</vt:lpstr>
      <vt:lpstr>Campeche_EdoMun!Área_de_impresión</vt:lpstr>
      <vt:lpstr>Campeche_educ_gral!Área_de_impresión</vt:lpstr>
      <vt:lpstr>Campeche_EducCons!Área_de_impresión</vt:lpstr>
      <vt:lpstr>Campeche_MUNICIPIO!Área_de_impresión</vt:lpstr>
      <vt:lpstr>Campeche_NivelE_Cons!Área_de_impresión</vt:lpstr>
      <vt:lpstr>Campeche_USAMuni!Área_de_impresión</vt:lpstr>
      <vt:lpstr>Campeche_Cons!Títulos_a_imprimir</vt:lpstr>
      <vt:lpstr>Campeche_EdoMun!Títulos_a_imprimir</vt:lpstr>
      <vt:lpstr>Campeche_EdoUsa!Títulos_a_imprimir</vt:lpstr>
      <vt:lpstr>Campeche_educ_gral!Títulos_a_imprimir</vt:lpstr>
      <vt:lpstr>Campeche_EducCons!Títulos_a_imprimir</vt:lpstr>
      <vt:lpstr>Campeche_Gen_Edad!Títulos_a_imprimir</vt:lpstr>
      <vt:lpstr>Campeche_GENERO!Títulos_a_imprimir</vt:lpstr>
      <vt:lpstr>Campeche_GENERO_EUA!Títulos_a_imprimir</vt:lpstr>
      <vt:lpstr>Campeche_GenGral!Títulos_a_imprimir</vt:lpstr>
      <vt:lpstr>Campeche_MUNICIPIO!Títulos_a_imprimir</vt:lpstr>
      <vt:lpstr>Campeche_NivelE_Cons!Títulos_a_imprimir</vt:lpstr>
      <vt:lpstr>Campeche_ocup_gral!Títulos_a_imprimir</vt:lpstr>
      <vt:lpstr>Campeche_USAMuni!Títulos_a_imprimir</vt:lpstr>
      <vt:lpstr>CampecheXCons!Títulos_a_imprimir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2020-06-02T19:43:30Z</dcterms:created>
  <dcterms:modified xsi:type="dcterms:W3CDTF">2024-12-23T19:00:22Z</dcterms:modified>
</cp:coreProperties>
</file>