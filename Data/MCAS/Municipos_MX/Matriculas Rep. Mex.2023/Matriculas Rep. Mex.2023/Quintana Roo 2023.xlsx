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55007C72-5A54-4D5C-8494-EDCFBBC51BC3}" xr6:coauthVersionLast="47" xr6:coauthVersionMax="47" xr10:uidLastSave="{00000000-0000-0000-0000-000000000000}"/>
  <bookViews>
    <workbookView xWindow="-110" yWindow="-110" windowWidth="19420" windowHeight="10420" tabRatio="728" xr2:uid="{00000000-000D-0000-FFFF-FFFF00000000}"/>
  </bookViews>
  <sheets>
    <sheet name="Índice" sheetId="1" r:id="rId1"/>
    <sheet name="Quintana Roo_EdoUsa" sheetId="2" r:id="rId2"/>
    <sheet name="Quintana Roo_Cons" sheetId="15" r:id="rId3"/>
    <sheet name="Quintana RooXCons" sheetId="16" r:id="rId4"/>
    <sheet name="Quintana Roo_EdoMun" sheetId="5" r:id="rId5"/>
    <sheet name="Quintana Roo_USAMuni" sheetId="6" r:id="rId6"/>
    <sheet name="Quintana Roo_MUNICIPIO" sheetId="7" r:id="rId7"/>
    <sheet name="Quintana Roo_educ_gral" sheetId="8" r:id="rId8"/>
    <sheet name="Quintana Roo_NivelE_Cons" sheetId="9" r:id="rId9"/>
    <sheet name="Quintana Roo_EducCons" sheetId="10" r:id="rId10"/>
    <sheet name="Quintana Roo_GenGral" sheetId="11" r:id="rId11"/>
    <sheet name="Quintana Roo_GENERO" sheetId="12" r:id="rId12"/>
    <sheet name="Quintana Roo_GENERO_EUA" sheetId="17" r:id="rId13"/>
    <sheet name="Quintana Roo_Gen_Edad" sheetId="13" r:id="rId14"/>
    <sheet name="Quintana Roo_ocup_gral" sheetId="14" r:id="rId15"/>
  </sheets>
  <definedNames>
    <definedName name="_xlnm._FilterDatabase" localSheetId="2" hidden="1">'Quintana Roo_Cons'!$B$11:$D$11</definedName>
    <definedName name="_xlnm._FilterDatabase" localSheetId="4" hidden="1">'Quintana Roo_EdoMun'!$B$11:$D$11</definedName>
    <definedName name="_xlnm._FilterDatabase" localSheetId="1" hidden="1">'Quintana Roo_EdoUsa'!$B$11:$D$11</definedName>
    <definedName name="_xlnm._FilterDatabase" localSheetId="7" hidden="1">'Quintana Roo_educ_gral'!$B$11:$D$11</definedName>
    <definedName name="_xlnm._FilterDatabase" localSheetId="9" hidden="1">'Quintana Roo_EducCons'!$B$9:$E$9</definedName>
    <definedName name="_xlnm._FilterDatabase" localSheetId="11" hidden="1">'Quintana Roo_GENERO'!$B$12:$E$128</definedName>
    <definedName name="_xlnm._FilterDatabase" localSheetId="12" hidden="1">'Quintana Roo_GENERO_EUA'!$B$12:$E$111</definedName>
    <definedName name="_xlnm._FilterDatabase" localSheetId="10" hidden="1">'Quintana Roo_GenGral'!$B$11:$D$11</definedName>
    <definedName name="_xlnm._FilterDatabase" localSheetId="6" hidden="1">'Quintana Roo_MUNICIPIO'!$B$9:$E$9</definedName>
    <definedName name="_xlnm._FilterDatabase" localSheetId="8" hidden="1">'Quintana Roo_NivelE_Cons'!$B$9:$E$9</definedName>
    <definedName name="_xlnm._FilterDatabase" localSheetId="14" hidden="1">'Quintana Roo_ocup_gral'!$B$11:$D$11</definedName>
    <definedName name="_xlnm._FilterDatabase" localSheetId="5" hidden="1">'Quintana Roo_USAMuni'!$B$9:$E$9</definedName>
    <definedName name="_xlnm._FilterDatabase" localSheetId="3" hidden="1">'Quintana RooXCons'!$B$11:$D$11</definedName>
    <definedName name="_xlnm.Print_Area" localSheetId="7">'Quintana Roo_educ_gral'!$A$1:$F$41</definedName>
    <definedName name="_xlnm.Print_Area" localSheetId="9">'Quintana Roo_EducCons'!$A$1:$E$333</definedName>
    <definedName name="_xlnm.Print_Area" localSheetId="6">'Quintana Roo_MUNICIPIO'!$A$1:$E$211</definedName>
    <definedName name="_xlnm.Print_Area" localSheetId="8">'Quintana Roo_NivelE_Cons'!$A$1:$E$261</definedName>
    <definedName name="_xlnm.Print_Area" localSheetId="14">'Quintana Roo_ocup_gral'!$A$1:$E$42</definedName>
    <definedName name="_xlnm.Print_Area" localSheetId="5">'Quintana Roo_USAMuni'!$A$1:$E$181</definedName>
    <definedName name="_xlnm.Print_Titles" localSheetId="2">'Quintana Roo_Cons'!$1:$11</definedName>
    <definedName name="_xlnm.Print_Titles" localSheetId="4">'Quintana Roo_EdoMun'!$1:$11</definedName>
    <definedName name="_xlnm.Print_Titles" localSheetId="1">'Quintana Roo_EdoUsa'!$1:$11</definedName>
    <definedName name="_xlnm.Print_Titles" localSheetId="7">'Quintana Roo_educ_gral'!$1:$11</definedName>
    <definedName name="_xlnm.Print_Titles" localSheetId="9">'Quintana Roo_EducCons'!$1:$9</definedName>
    <definedName name="_xlnm.Print_Titles" localSheetId="13">'Quintana Roo_Gen_Edad'!$1:$12</definedName>
    <definedName name="_xlnm.Print_Titles" localSheetId="11">'Quintana Roo_GENERO'!$1:$12</definedName>
    <definedName name="_xlnm.Print_Titles" localSheetId="12">'Quintana Roo_GENERO_EUA'!$1:$12</definedName>
    <definedName name="_xlnm.Print_Titles" localSheetId="10">'Quintana Roo_GenGral'!$1:$11</definedName>
    <definedName name="_xlnm.Print_Titles" localSheetId="6">'Quintana Roo_MUNICIPIO'!$1:$9</definedName>
    <definedName name="_xlnm.Print_Titles" localSheetId="8">'Quintana Roo_NivelE_Cons'!$1:$9</definedName>
    <definedName name="_xlnm.Print_Titles" localSheetId="14">'Quintana Roo_ocup_gral'!$1:$11</definedName>
    <definedName name="_xlnm.Print_Titles" localSheetId="5">'Quintana Roo_USAMuni'!$1:$9</definedName>
    <definedName name="_xlnm.Print_Titles" localSheetId="3">'Quintana RooXCons'!$1:$11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6" l="1"/>
  <c r="D20" i="16"/>
  <c r="D19" i="16"/>
  <c r="D18" i="16"/>
  <c r="D17" i="16"/>
  <c r="D16" i="16"/>
  <c r="D15" i="16"/>
  <c r="D14" i="16"/>
  <c r="D13" i="16"/>
  <c r="D12" i="16"/>
  <c r="C22" i="16"/>
  <c r="D22" i="16" l="1"/>
</calcChain>
</file>

<file path=xl/sharedStrings.xml><?xml version="1.0" encoding="utf-8"?>
<sst xmlns="http://schemas.openxmlformats.org/spreadsheetml/2006/main" count="1822" uniqueCount="285">
  <si>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</si>
  <si>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</si>
  <si>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</si>
  <si>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</si>
  <si>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</si>
  <si>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</si>
  <si>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</si>
  <si>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</si>
  <si>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</si>
  <si>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</si>
  <si>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</si>
  <si>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</si>
  <si>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</si>
  <si>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</si>
  <si>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</si>
  <si>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</si>
  <si>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</si>
  <si>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</si>
  <si>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</si>
  <si>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</si>
  <si>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</si>
  <si>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</si>
  <si>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</si>
  <si>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</si>
  <si>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</si>
  <si>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</si>
  <si>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</si>
  <si>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</si>
  <si>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</si>
  <si>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</si>
  <si>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</si>
  <si>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</si>
  <si>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</si>
  <si>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</si>
  <si>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QUINTANA ROO POR GÉNERO Y EDAD EN EE.UU.</t>
  </si>
  <si>
    <t>Ocupación</t>
  </si>
  <si>
    <t>5.3 Por Estado de la Unión Americana</t>
  </si>
  <si>
    <t>MATRÍCULAS CONSULARES DE ALTA SEGURIDAD EXPEDIDAS A ORIGINARIOS DE QUINTANA ROO EN LOS CONSULADOS DE MÉXICO EN EE.UU.</t>
  </si>
  <si>
    <t xml:space="preserve">MATRÍCULAS CONSULARES EXPEDIDAS A ORIGINARIOS DE QUINTANA ROO POR GÉNERO EN EE.UU </t>
  </si>
  <si>
    <t>MATRÍCULAS CONSULARES EXPEDIDAS EN EE.UU. A ORIGINARIOS DE QUINTANA ROO POR NIVEL DE EDUCACIÓN</t>
  </si>
  <si>
    <t>MATRÍCULAS CONSULARES EXPEDIDAS A ORIGINARIOS DE QUINTANA ROO POR GÉNERO Y CONSULADO</t>
  </si>
  <si>
    <t>MATRÍCULAS CONSULARES EXPEDIDAS A ORIGINARIOS DE QUINTANA ROO POR GÉNERO Y POR ESTADO DE LA UNIÓN AMERICANA</t>
  </si>
  <si>
    <t xml:space="preserve">MATRÍCULAS CONSULARES DE ALTA SEGURIDAD EXPEDIDAS POR MUNICIPIO A ORIGINARIOS DEL ESTADO DE QUINTANA ROO EN LOS CONSULADOS DE MÉXICO EN EE.UU. </t>
  </si>
  <si>
    <t>MATRÍCULAS CONSULARES DE ALTA SEGURIDAD EXPEDIDAS A ORIGINARIOS DE QUINTANA ROO POR ESTADO DE LA UNIÓN AMERICANA</t>
  </si>
  <si>
    <t>LOS 10 CONSULADOS  DE MÉXICO EN EE.UU., CON MAYOR NÚMERO DE EXPEDICIÓN DE  MATRÍCULAS CONSULARES DE ALTA SEGURIDAD A ORIGINARIOS DE QUINTANA ROO</t>
  </si>
  <si>
    <t>TOTAL TOP 10</t>
  </si>
  <si>
    <t>TOTAL GENERAL</t>
  </si>
  <si>
    <t>Tamaño de la muestra: 789,030</t>
  </si>
  <si>
    <t>Elaborado por: Análisis de Información, Instituto de Mexicanas y Mexicanos en el Exterior</t>
  </si>
  <si>
    <t>Noviembre de 2024</t>
  </si>
  <si>
    <t>ATLANTA</t>
  </si>
  <si>
    <t>SAN FRANCISCO</t>
  </si>
  <si>
    <t>RALEIGH</t>
  </si>
  <si>
    <t>DALLAS</t>
  </si>
  <si>
    <t>HOUSTON</t>
  </si>
  <si>
    <t>CHICAGO</t>
  </si>
  <si>
    <t>WASHINGTON</t>
  </si>
  <si>
    <t>LOS ANGELES</t>
  </si>
  <si>
    <t>LITTLE ROCK</t>
  </si>
  <si>
    <t>SAINT PAUL</t>
  </si>
  <si>
    <t>NUEVA ORLEANS</t>
  </si>
  <si>
    <t>ORLANDO</t>
  </si>
  <si>
    <t>SAN JOSE</t>
  </si>
  <si>
    <t>NUEVA YORK</t>
  </si>
  <si>
    <t>SACRAMENTO</t>
  </si>
  <si>
    <t>AUSTIN</t>
  </si>
  <si>
    <t>INDIANAPOLIS</t>
  </si>
  <si>
    <t>KANSAS CITY</t>
  </si>
  <si>
    <t>MIAMI</t>
  </si>
  <si>
    <t>FRESNO</t>
  </si>
  <si>
    <t>FILADELFIA</t>
  </si>
  <si>
    <t>SANTA ANA</t>
  </si>
  <si>
    <t>MCALLEN</t>
  </si>
  <si>
    <t>OKLAHOMA CITY</t>
  </si>
  <si>
    <t>DETROIT</t>
  </si>
  <si>
    <t>PHOENIX</t>
  </si>
  <si>
    <t>DENVER</t>
  </si>
  <si>
    <t>SAN BERNARDINO</t>
  </si>
  <si>
    <t>SAN ANTONIO</t>
  </si>
  <si>
    <t>LAS VEGAS</t>
  </si>
  <si>
    <t>OMAHA</t>
  </si>
  <si>
    <t>PORTLAND</t>
  </si>
  <si>
    <t>ALBUQUERQUE</t>
  </si>
  <si>
    <t>BROWNSVILLE</t>
  </si>
  <si>
    <t>OXNARD</t>
  </si>
  <si>
    <t>SEATTLE</t>
  </si>
  <si>
    <t>MILWAUKEE</t>
  </si>
  <si>
    <t>SALT LAKE CITY</t>
  </si>
  <si>
    <t>SAN DIEGO</t>
  </si>
  <si>
    <t>BOSTON</t>
  </si>
  <si>
    <t>BOISE</t>
  </si>
  <si>
    <t>EL PASO</t>
  </si>
  <si>
    <t>CALEXICO</t>
  </si>
  <si>
    <t>LAREDO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</si>
  <si>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</si>
  <si>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</si>
  <si>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</si>
  <si>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</si>
  <si>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</si>
  <si>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</si>
  <si>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</si>
  <si>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</si>
  <si>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</si>
  <si>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</si>
  <si>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</si>
  <si>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</si>
  <si>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</si>
  <si>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</si>
  <si>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</si>
  <si>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</si>
  <si>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</si>
  <si>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</si>
  <si>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</si>
  <si>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</si>
  <si>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</si>
  <si>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</si>
  <si>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</si>
  <si>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</si>
  <si>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</si>
  <si>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</si>
  <si>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</si>
  <si>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</si>
  <si>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</si>
  <si>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</si>
  <si>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</si>
  <si>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</si>
  <si>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</si>
  <si>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SOUTH CAROLINA</t>
  </si>
  <si>
    <t>TENNESSEE</t>
  </si>
  <si>
    <t>TEXAS</t>
  </si>
  <si>
    <t>UTAH</t>
  </si>
  <si>
    <t>VERMONT</t>
  </si>
  <si>
    <t>VIRGINIA</t>
  </si>
  <si>
    <t>WEST VIRGINIA</t>
  </si>
  <si>
    <t>WISCONSIN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</si>
  <si>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</si>
  <si>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</si>
  <si>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</si>
  <si>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</si>
  <si>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</si>
  <si>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</si>
  <si>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</si>
  <si>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</si>
  <si>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</si>
  <si>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</si>
  <si>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</si>
  <si>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IDAHO Total</t>
  </si>
  <si>
    <t>ILLINOIS Total</t>
  </si>
  <si>
    <t>INDIANA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</si>
  <si>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</si>
  <si>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</si>
  <si>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</si>
  <si>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</si>
  <si>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</si>
  <si>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</si>
  <si>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</si>
  <si>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</si>
  <si>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</si>
  <si>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NEBRASKA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</si>
  <si>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</si>
  <si>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</si>
  <si>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</si>
  <si>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</si>
  <si>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</si>
  <si>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</si>
  <si>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OHIO Total</t>
  </si>
  <si>
    <t>OKLAHOMA Total</t>
  </si>
  <si>
    <t>OREGON Total</t>
  </si>
  <si>
    <t>PENNSYLVANIA Total</t>
  </si>
  <si>
    <t>SOUTH CAROLINA Total</t>
  </si>
  <si>
    <t>TENNESSEE Total</t>
  </si>
  <si>
    <t>TEXAS Total</t>
  </si>
  <si>
    <t>UTAH Total</t>
  </si>
  <si>
    <t>VERMONT Total</t>
  </si>
  <si>
    <t>VIRGINIA Total</t>
  </si>
  <si>
    <t>WASHINGTON Total</t>
  </si>
  <si>
    <t>WISCONSIN Total</t>
  </si>
  <si>
    <t>BENITO JUÁREZ</t>
  </si>
  <si>
    <t>FELIPE CARRILLO PUERTO</t>
  </si>
  <si>
    <t>OTHÓN P. BLANCO</t>
  </si>
  <si>
    <t>COZUMEL</t>
  </si>
  <si>
    <t>BACALAR</t>
  </si>
  <si>
    <t>CANDELARIA</t>
  </si>
  <si>
    <t>ISLA MUJERES</t>
  </si>
  <si>
    <t>JOSÉ MARÍA MORELOS</t>
  </si>
  <si>
    <t>LÁZARO CÁRDENAS</t>
  </si>
  <si>
    <t>SOLIDARIDAD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</si>
  <si>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</si>
  <si>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</si>
  <si>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</si>
  <si>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</si>
  <si>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</si>
  <si>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</si>
  <si>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</si>
  <si>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</si>
  <si>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</si>
  <si>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</si>
  <si>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</si>
  <si>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</si>
  <si>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</si>
  <si>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</si>
  <si>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</si>
  <si>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</si>
  <si>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</si>
  <si>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</si>
  <si>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</si>
  <si>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</si>
  <si>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</si>
  <si>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</si>
  <si>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</si>
  <si>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</si>
  <si>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</si>
  <si>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</si>
  <si>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</si>
  <si>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</si>
  <si>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HASTA 10 AÑOS</t>
  </si>
  <si>
    <t>ENTRE 66 Y 75 AÑOS</t>
  </si>
  <si>
    <t>MAS DE 75 AÑOS</t>
  </si>
  <si>
    <t xml:space="preserve">  Matrículas consulares expedidas a originarios de Quintana Roo en el 2023</t>
  </si>
  <si>
    <t>EMPLEADO(A)</t>
  </si>
  <si>
    <t>HOGAR</t>
  </si>
  <si>
    <t>CONSTRUCCIÓN, TRAB. DE LA IND. DE LA</t>
  </si>
  <si>
    <t>ESTUDIANTE</t>
  </si>
  <si>
    <t>ALIMENTOS Y BEBIDAS, ESP. EN PREPARACIÓN DE</t>
  </si>
  <si>
    <t>OBRERO(A)</t>
  </si>
  <si>
    <t>AGROPECUARIA, TRAB. DE LA INDUSTRIA</t>
  </si>
  <si>
    <t>JARDINERO(A)</t>
  </si>
  <si>
    <t>LIMPIEZA, EMPLEADO DE</t>
  </si>
  <si>
    <t>MESERO(A)</t>
  </si>
  <si>
    <t>PINTOR(A)</t>
  </si>
  <si>
    <t>CARPINTERO/TAPICERO</t>
  </si>
  <si>
    <t>MECÁNICO(A)</t>
  </si>
  <si>
    <t>EMPRESARIO(A)</t>
  </si>
  <si>
    <t>TÉCNICO(A) EN MANTENIMIENTO</t>
  </si>
  <si>
    <t>AUXILIARES ADMINISTRATIVOS Y DE OFICINA</t>
  </si>
  <si>
    <t>BELLEZA, PROFESIONAL DE SERVICIOS DE</t>
  </si>
  <si>
    <t>CAJERO(A)/COBRADOR(A)</t>
  </si>
  <si>
    <t>INGENIERO(A)</t>
  </si>
  <si>
    <t>OPERARIO(A)</t>
  </si>
  <si>
    <t>SIN ESPECIFICAR</t>
  </si>
  <si>
    <t>SOLDADOR</t>
  </si>
  <si>
    <t>TRABAJADOR(A) DOMÉSTICO(A)</t>
  </si>
  <si>
    <t>VENDEDOR(A)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</si>
  <si>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</si>
  <si>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</si>
  <si>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</si>
  <si>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</si>
  <si>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</si>
  <si>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</si>
  <si>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</si>
  <si>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</si>
  <si>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DENVER Total</t>
  </si>
  <si>
    <t>DETROIT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</si>
  <si>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</si>
  <si>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</si>
  <si>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</si>
  <si>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</si>
  <si>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</si>
  <si>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</si>
  <si>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</si>
  <si>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</si>
  <si>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</si>
  <si>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</si>
  <si>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</si>
  <si>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</si>
  <si>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</si>
  <si>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</si>
  <si>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</si>
  <si>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</si>
  <si>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</si>
  <si>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</si>
  <si>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</si>
  <si>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</si>
  <si>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</si>
  <si>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RALEIGH Total</t>
  </si>
  <si>
    <t>SACRAMENTO Total</t>
  </si>
  <si>
    <t>SAINT PAUL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</si>
  <si>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</si>
  <si>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</si>
  <si>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</si>
  <si>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</si>
  <si>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</si>
  <si>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</si>
  <si>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</si>
  <si>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MATRÍCULAS CONSULARES EXPEDIDAS EN EE.UU.  ORIGINARIOS DE QUINTANA ROO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</si>
</sst>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11"/>
      <name val="Montserrat"/>
    </font>
    <font>
      <sz val="7"/>
      <color theme="1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24" fillId="9" borderId="9" xfId="0" applyNumberFormat="1" applyFont="1" applyFill="1" applyBorder="1" applyAlignment="1">
      <alignment horizontal="right" vertical="center" wrapText="1"/>
    </xf>
    <xf numFmtId="164" fontId="24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1" fillId="3" borderId="0" xfId="0" applyFont="1" applyFill="1"/>
    <xf numFmtId="3" fontId="1" fillId="3" borderId="0" xfId="0" applyNumberFormat="1" applyFont="1" applyFill="1"/>
    <xf numFmtId="0" fontId="16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0" fontId="25" fillId="3" borderId="0" xfId="0" applyFont="1" applyFill="1"/>
    <xf numFmtId="49" fontId="24" fillId="9" borderId="9" xfId="0" applyNumberFormat="1" applyFont="1" applyFill="1" applyBorder="1" applyAlignment="1">
      <alignment vertical="center" wrapText="1"/>
    </xf>
    <xf numFmtId="0" fontId="26" fillId="3" borderId="0" xfId="0" applyFont="1" applyFill="1"/>
    <xf numFmtId="0" fontId="8" fillId="3" borderId="0" xfId="0" applyFont="1" applyFill="1"/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10" borderId="9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24" fillId="8" borderId="9" xfId="0" applyNumberFormat="1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375366</xdr:colOff>
      <xdr:row>1</xdr:row>
      <xdr:rowOff>193367</xdr:rowOff>
    </xdr:from>
    <xdr:to>
      <xdr:col>3</xdr:col>
      <xdr:colOff>887463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61516" y="7267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114300</xdr:rowOff>
    </xdr:from>
    <xdr:to>
      <xdr:col>5</xdr:col>
      <xdr:colOff>83472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196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38100</xdr:rowOff>
    </xdr:from>
    <xdr:to>
      <xdr:col>1</xdr:col>
      <xdr:colOff>419659</xdr:colOff>
      <xdr:row>3</xdr:row>
      <xdr:rowOff>371474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14AF370-511B-43AC-A49C-FA7C892A2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286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47625</xdr:rowOff>
    </xdr:from>
    <xdr:to>
      <xdr:col>1</xdr:col>
      <xdr:colOff>419659</xdr:colOff>
      <xdr:row>3</xdr:row>
      <xdr:rowOff>380999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AB6E3B0-1DBD-4182-92A7-FE119D644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3812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1</xdr:row>
      <xdr:rowOff>0</xdr:rowOff>
    </xdr:from>
    <xdr:to>
      <xdr:col>1</xdr:col>
      <xdr:colOff>400609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4D6EB1D-D5B9-4305-BA5D-4972A36B2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265043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038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9525</xdr:rowOff>
    </xdr:from>
    <xdr:to>
      <xdr:col>1</xdr:col>
      <xdr:colOff>419659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61DA541-E9F3-4510-AD96-2787040B0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QUINTANA ROO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76637</xdr:rowOff>
    </xdr:from>
    <xdr:to>
      <xdr:col>4</xdr:col>
      <xdr:colOff>1037614</xdr:colOff>
      <xdr:row>7</xdr:row>
      <xdr:rowOff>262757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56638" y="1806465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114300</xdr:rowOff>
    </xdr:from>
    <xdr:to>
      <xdr:col>1</xdr:col>
      <xdr:colOff>972109</xdr:colOff>
      <xdr:row>3</xdr:row>
      <xdr:rowOff>295274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243AB07-E220-40E4-9A7B-FCEB8F43B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QUINTANA ROO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116632</xdr:rowOff>
    </xdr:from>
    <xdr:to>
      <xdr:col>4</xdr:col>
      <xdr:colOff>1114699</xdr:colOff>
      <xdr:row>7</xdr:row>
      <xdr:rowOff>311020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48469" y="1866122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1</xdr:row>
      <xdr:rowOff>9525</xdr:rowOff>
    </xdr:from>
    <xdr:to>
      <xdr:col>1</xdr:col>
      <xdr:colOff>1010209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60E6FB0-0744-46FC-90DC-2A287691E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215348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033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66675</xdr:rowOff>
    </xdr:from>
    <xdr:to>
      <xdr:col>5</xdr:col>
      <xdr:colOff>35847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72000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9525</xdr:rowOff>
    </xdr:from>
    <xdr:to>
      <xdr:col>1</xdr:col>
      <xdr:colOff>410134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222583-BCA1-4D1A-94BA-33BB14A6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QUINTANA ROO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419920</xdr:colOff>
      <xdr:row>7</xdr:row>
      <xdr:rowOff>133145</xdr:rowOff>
    </xdr:from>
    <xdr:to>
      <xdr:col>4</xdr:col>
      <xdr:colOff>932017</xdr:colOff>
      <xdr:row>7</xdr:row>
      <xdr:rowOff>327742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069759" y="1894758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19050</xdr:rowOff>
    </xdr:from>
    <xdr:to>
      <xdr:col>1</xdr:col>
      <xdr:colOff>991159</xdr:colOff>
      <xdr:row>3</xdr:row>
      <xdr:rowOff>352424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9F56824-46A4-4373-AE9E-7990E47CF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QUINTANA ROO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535781</xdr:colOff>
      <xdr:row>7</xdr:row>
      <xdr:rowOff>89297</xdr:rowOff>
    </xdr:from>
    <xdr:to>
      <xdr:col>4</xdr:col>
      <xdr:colOff>1047878</xdr:colOff>
      <xdr:row>7</xdr:row>
      <xdr:rowOff>277812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79219" y="1825625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133350</xdr:rowOff>
    </xdr:from>
    <xdr:to>
      <xdr:col>1</xdr:col>
      <xdr:colOff>1000684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DE4FFA0-7BDC-45D6-B20D-FC6DF4612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47625</xdr:rowOff>
    </xdr:from>
    <xdr:to>
      <xdr:col>5</xdr:col>
      <xdr:colOff>121572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577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9525</xdr:rowOff>
    </xdr:from>
    <xdr:to>
      <xdr:col>1</xdr:col>
      <xdr:colOff>410134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F58D3DC-5D13-4751-8401-892D78E55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846668</xdr:colOff>
      <xdr:row>8</xdr:row>
      <xdr:rowOff>142214</xdr:rowOff>
    </xdr:from>
    <xdr:to>
      <xdr:col>5</xdr:col>
      <xdr:colOff>280587</xdr:colOff>
      <xdr:row>9</xdr:row>
      <xdr:rowOff>142214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939897" y="1670183"/>
          <a:ext cx="531940" cy="1918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39688</xdr:colOff>
      <xdr:row>0</xdr:row>
      <xdr:rowOff>69453</xdr:rowOff>
    </xdr:from>
    <xdr:to>
      <xdr:col>1</xdr:col>
      <xdr:colOff>964172</xdr:colOff>
      <xdr:row>3</xdr:row>
      <xdr:rowOff>267889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7D2E803-AC91-497F-B546-8DF9D742E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719" y="69453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893764</xdr:colOff>
      <xdr:row>8</xdr:row>
      <xdr:rowOff>181372</xdr:rowOff>
    </xdr:from>
    <xdr:to>
      <xdr:col>5</xdr:col>
      <xdr:colOff>330329</xdr:colOff>
      <xdr:row>9</xdr:row>
      <xdr:rowOff>181372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986464" y="1705372"/>
          <a:ext cx="5351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69453</xdr:colOff>
      <xdr:row>0</xdr:row>
      <xdr:rowOff>89298</xdr:rowOff>
    </xdr:from>
    <xdr:to>
      <xdr:col>1</xdr:col>
      <xdr:colOff>993937</xdr:colOff>
      <xdr:row>3</xdr:row>
      <xdr:rowOff>287734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E028F33-5E62-4854-B243-361963726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484" y="89298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958850</xdr:colOff>
      <xdr:row>8</xdr:row>
      <xdr:rowOff>158750</xdr:rowOff>
    </xdr:from>
    <xdr:to>
      <xdr:col>6</xdr:col>
      <xdr:colOff>330016</xdr:colOff>
      <xdr:row>9</xdr:row>
      <xdr:rowOff>160890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16750" y="1682750"/>
          <a:ext cx="526866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133350</xdr:rowOff>
    </xdr:from>
    <xdr:to>
      <xdr:col>1</xdr:col>
      <xdr:colOff>1010209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A49AF3-F205-490C-AB62-26560BE71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552174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47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764072</xdr:colOff>
      <xdr:row>1</xdr:row>
      <xdr:rowOff>163443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9637" y="356704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1200426</xdr:colOff>
      <xdr:row>8</xdr:row>
      <xdr:rowOff>94146</xdr:rowOff>
    </xdr:from>
    <xdr:to>
      <xdr:col>4</xdr:col>
      <xdr:colOff>502571</xdr:colOff>
      <xdr:row>8</xdr:row>
      <xdr:rowOff>287407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15991" y="1827972"/>
          <a:ext cx="539015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28575</xdr:rowOff>
    </xdr:from>
    <xdr:to>
      <xdr:col>1</xdr:col>
      <xdr:colOff>410134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F2117AB-B61F-4929-A36A-4ABC6D5E6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1907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activeCell="D7" sqref="D7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82" t="s">
        <v>218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5">
      <c r="A6" s="80" t="s">
        <v>1</v>
      </c>
      <c r="B6" s="81"/>
      <c r="C6" s="81"/>
      <c r="D6" s="88"/>
    </row>
    <row r="7" spans="1:4">
      <c r="A7" s="8"/>
      <c r="D7" s="9"/>
    </row>
    <row r="8" spans="1:4" ht="18.5">
      <c r="A8" s="80" t="s">
        <v>2</v>
      </c>
      <c r="B8" s="81"/>
      <c r="C8" s="81"/>
      <c r="D8" s="88"/>
    </row>
    <row r="9" spans="1:4" ht="18.5">
      <c r="A9" s="8"/>
      <c r="B9" s="80" t="s">
        <v>3</v>
      </c>
      <c r="C9" s="81"/>
      <c r="D9" s="81"/>
    </row>
    <row r="10" spans="1:4">
      <c r="A10" s="8"/>
      <c r="D10" s="9"/>
    </row>
    <row r="11" spans="1:4" ht="18.5">
      <c r="A11" s="54" t="s">
        <v>4</v>
      </c>
      <c r="D11" s="9"/>
    </row>
    <row r="12" spans="1:4" ht="18.5">
      <c r="A12" s="8"/>
      <c r="B12" s="80" t="s">
        <v>5</v>
      </c>
      <c r="C12" s="81"/>
      <c r="D12" s="81"/>
    </row>
    <row r="13" spans="1:4" ht="18.5">
      <c r="A13" s="8"/>
      <c r="B13" s="80" t="s">
        <v>6</v>
      </c>
      <c r="C13" s="81"/>
      <c r="D13" s="81"/>
    </row>
    <row r="14" spans="1:4" ht="18.5">
      <c r="A14" s="8"/>
      <c r="B14" s="80" t="s">
        <v>7</v>
      </c>
      <c r="C14" s="81"/>
      <c r="D14" s="81"/>
    </row>
    <row r="15" spans="1:4">
      <c r="A15" s="8"/>
      <c r="D15" s="9"/>
    </row>
    <row r="16" spans="1:4" ht="18.5">
      <c r="A16" s="54" t="s">
        <v>8</v>
      </c>
      <c r="D16" s="9"/>
    </row>
    <row r="17" spans="1:4" ht="18.5">
      <c r="A17" s="8"/>
      <c r="B17" s="80" t="s">
        <v>9</v>
      </c>
      <c r="C17" s="81"/>
      <c r="D17" s="81"/>
    </row>
    <row r="18" spans="1:4" ht="18.5">
      <c r="A18" s="8"/>
      <c r="B18" s="80" t="s">
        <v>10</v>
      </c>
      <c r="C18" s="81"/>
      <c r="D18" s="81"/>
    </row>
    <row r="19" spans="1:4" ht="18.5">
      <c r="A19" s="8"/>
      <c r="B19" s="80" t="s">
        <v>11</v>
      </c>
      <c r="C19" s="81"/>
      <c r="D19" s="81"/>
    </row>
    <row r="20" spans="1:4">
      <c r="A20" s="8"/>
      <c r="D20" s="9"/>
    </row>
    <row r="21" spans="1:4" ht="18.5">
      <c r="A21" s="54" t="s">
        <v>12</v>
      </c>
      <c r="D21" s="9"/>
    </row>
    <row r="22" spans="1:4" ht="18.5">
      <c r="A22" s="8"/>
      <c r="B22" s="80" t="s">
        <v>13</v>
      </c>
      <c r="C22" s="81"/>
      <c r="D22" s="81"/>
    </row>
    <row r="23" spans="1:4" ht="18.5">
      <c r="A23" s="8"/>
      <c r="B23" s="80" t="s">
        <v>14</v>
      </c>
      <c r="C23" s="81"/>
      <c r="D23" s="81"/>
    </row>
    <row r="24" spans="1:4" ht="18.5">
      <c r="A24" s="8"/>
      <c r="B24" s="80" t="s">
        <v>36</v>
      </c>
      <c r="C24" s="81"/>
      <c r="D24" s="81"/>
    </row>
    <row r="25" spans="1:4">
      <c r="A25" s="8"/>
      <c r="D25" s="9"/>
    </row>
    <row r="26" spans="1:4" ht="18.5">
      <c r="A26" s="80" t="s">
        <v>15</v>
      </c>
      <c r="B26" s="81"/>
      <c r="C26" s="81"/>
      <c r="D26" s="88"/>
    </row>
    <row r="27" spans="1:4">
      <c r="A27" s="8"/>
      <c r="D27" s="9"/>
    </row>
    <row r="28" spans="1:4" ht="18.5">
      <c r="A28" s="80" t="s">
        <v>16</v>
      </c>
      <c r="B28" s="81"/>
      <c r="C28" s="81"/>
      <c r="D28" s="88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Quintana Roo_USAMuni'!A1" display="3.2 Por Estado de USA" xr:uid="{00000000-0004-0000-0000-00000D000000}"/>
    <hyperlink ref="A8:D8" location="'Quintana Roo_Cons'!A1" display="2. Por Circunscripción Consular" xr:uid="{00000000-0004-0000-0000-00000E000000}"/>
    <hyperlink ref="B9:D9" location="'Quintana RooXCons'!A1" display="2.1 Top ten por circunscripción consular" xr:uid="{00000000-0004-0000-0000-00000F000000}"/>
    <hyperlink ref="A6:D6" location="'Quintana Roo_EdoUsa'!A1" display="1. Por Estados de USA" xr:uid="{00000000-0004-0000-0000-000010000000}"/>
    <hyperlink ref="B12:D12" location="'Quintana Roo_EdoMun'!A1" display="3.1 Municipio general" xr:uid="{00000000-0004-0000-0000-000011000000}"/>
    <hyperlink ref="B14:D14" location="'Quintana Roo_MUNICIPIO'!A1" display="3.3 Por Circunscripción Consular" xr:uid="{00000000-0004-0000-0000-000012000000}"/>
    <hyperlink ref="B17:D17" location="'Quintana Roo_educ_gral'!A1" display="4.1 Educación general" xr:uid="{00000000-0004-0000-0000-000013000000}"/>
    <hyperlink ref="B18:D18" location="'Quintana Roo_NivelE_Cons'!A1" display="4.2 Por Estado de USA" xr:uid="{00000000-0004-0000-0000-000014000000}"/>
    <hyperlink ref="B19:D19" location="'Quintana Roo_EducCons'!A1" display="4.3 Por Circunscripción Consular" xr:uid="{00000000-0004-0000-0000-000015000000}"/>
    <hyperlink ref="B22:D22" location="'Quintana Roo_GenGral'!A1" display="5.1 Género General" xr:uid="{00000000-0004-0000-0000-000016000000}"/>
    <hyperlink ref="B23:D23" location="'Quintana Roo_GENERO'!A1" display="5.2 Por Circunscripción Consular" xr:uid="{00000000-0004-0000-0000-000017000000}"/>
    <hyperlink ref="A26:D26" location="'Quintana Roo_Gen_Edad'!A1" display="6. Por estructura de Edad" xr:uid="{00000000-0004-0000-0000-000018000000}"/>
    <hyperlink ref="A28:D28" location="'Quintana Roo_ocup_gral'!A1" display="7. Por Ocupación" xr:uid="{00000000-0004-0000-0000-000019000000}"/>
    <hyperlink ref="B24" location="'Quintana Roo_GENERO_EUA'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0"/>
  <sheetViews>
    <sheetView showGridLines="0" view="pageBreakPreview" topLeftCell="A46" zoomScale="115" zoomScaleNormal="100" zoomScaleSheetLayoutView="115" workbookViewId="0">
      <selection activeCell="C63" sqref="C6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9" t="s">
        <v>43</v>
      </c>
      <c r="C7" s="89"/>
      <c r="D7" s="89"/>
    </row>
    <row r="8" spans="2:5" s="25" customFormat="1" ht="15" customHeight="1">
      <c r="B8" s="89"/>
      <c r="C8" s="89"/>
      <c r="D8" s="89"/>
    </row>
    <row r="9" spans="2:5" s="25" customFormat="1" ht="33" customHeight="1">
      <c r="B9" s="89"/>
      <c r="C9" s="89"/>
      <c r="D9" s="89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9" t="s">
        <v>21</v>
      </c>
      <c r="C11" s="70" t="s">
        <v>20</v>
      </c>
      <c r="D11" s="69" t="s">
        <v>19</v>
      </c>
    </row>
    <row r="12" spans="2:5" ht="14.5" customHeight="1">
      <c r="B12" s="23" t="s">
        <v>94</v>
      </c>
      <c r="C12" s="22">
        <v>42</v>
      </c>
      <c r="D12" s="21">
        <v>5.3097345132743001E-2</v>
      </c>
    </row>
    <row r="13" spans="2:5" ht="14.5" customHeight="1">
      <c r="B13" s="23" t="s">
        <v>95</v>
      </c>
      <c r="C13" s="22">
        <v>10</v>
      </c>
      <c r="D13" s="21">
        <v>1.2642225031606001E-2</v>
      </c>
      <c r="E13" s="24"/>
    </row>
    <row r="14" spans="2:5" ht="14.5" customHeight="1">
      <c r="B14" s="23" t="s">
        <v>96</v>
      </c>
      <c r="C14" s="22">
        <v>11</v>
      </c>
      <c r="D14" s="21">
        <v>1.3906447534765999E-2</v>
      </c>
      <c r="E14" s="24"/>
    </row>
    <row r="15" spans="2:5" ht="14.5" customHeight="1">
      <c r="B15" s="23" t="s">
        <v>97</v>
      </c>
      <c r="C15" s="22">
        <v>184</v>
      </c>
      <c r="D15" s="21">
        <v>0.232616940581542</v>
      </c>
    </row>
    <row r="16" spans="2:5" ht="14.5" customHeight="1">
      <c r="B16" s="23" t="s">
        <v>98</v>
      </c>
      <c r="C16" s="22">
        <v>10</v>
      </c>
      <c r="D16" s="21">
        <v>1.2642225031606001E-2</v>
      </c>
    </row>
    <row r="17" spans="2:4" ht="14.5" customHeight="1">
      <c r="B17" s="23" t="s">
        <v>99</v>
      </c>
      <c r="C17" s="22">
        <v>1</v>
      </c>
      <c r="D17" s="21">
        <v>1.264222503161E-3</v>
      </c>
    </row>
    <row r="18" spans="2:4" ht="14.5" customHeight="1">
      <c r="B18" s="23" t="s">
        <v>100</v>
      </c>
      <c r="C18" s="22">
        <v>2</v>
      </c>
      <c r="D18" s="21">
        <v>2.528445006321E-3</v>
      </c>
    </row>
    <row r="19" spans="2:4" ht="14.5" customHeight="1">
      <c r="B19" s="23" t="s">
        <v>101</v>
      </c>
      <c r="C19" s="22">
        <v>1</v>
      </c>
      <c r="D19" s="21">
        <v>1.264222503161E-3</v>
      </c>
    </row>
    <row r="20" spans="2:4" ht="14.5" customHeight="1">
      <c r="B20" s="23" t="s">
        <v>102</v>
      </c>
      <c r="C20" s="22">
        <v>41</v>
      </c>
      <c r="D20" s="21">
        <v>5.1833122629582999E-2</v>
      </c>
    </row>
    <row r="21" spans="2:4" ht="14.5" customHeight="1">
      <c r="B21" s="23" t="s">
        <v>103</v>
      </c>
      <c r="C21" s="22">
        <v>23</v>
      </c>
      <c r="D21" s="21">
        <v>2.9077117572693E-2</v>
      </c>
    </row>
    <row r="22" spans="2:4" ht="14.5" customHeight="1">
      <c r="B22" s="23" t="s">
        <v>104</v>
      </c>
      <c r="C22" s="22">
        <v>2</v>
      </c>
      <c r="D22" s="21">
        <v>2.528445006321E-3</v>
      </c>
    </row>
    <row r="23" spans="2:4" ht="14.5" customHeight="1">
      <c r="B23" s="23" t="s">
        <v>105</v>
      </c>
      <c r="C23" s="22">
        <v>28</v>
      </c>
      <c r="D23" s="21">
        <v>3.5398230088495998E-2</v>
      </c>
    </row>
    <row r="24" spans="2:4" ht="14.5" customHeight="1">
      <c r="B24" s="23" t="s">
        <v>106</v>
      </c>
      <c r="C24" s="22">
        <v>10</v>
      </c>
      <c r="D24" s="21">
        <v>1.2642225031606001E-2</v>
      </c>
    </row>
    <row r="25" spans="2:4" ht="14.5" customHeight="1">
      <c r="B25" s="23" t="s">
        <v>107</v>
      </c>
      <c r="C25" s="22">
        <v>14</v>
      </c>
      <c r="D25" s="21">
        <v>1.7699115044247999E-2</v>
      </c>
    </row>
    <row r="26" spans="2:4" ht="14.5" customHeight="1">
      <c r="B26" s="23" t="s">
        <v>108</v>
      </c>
      <c r="C26" s="22">
        <v>7</v>
      </c>
      <c r="D26" s="21">
        <v>8.8495575221239995E-3</v>
      </c>
    </row>
    <row r="27" spans="2:4" ht="14.5" customHeight="1">
      <c r="B27" s="23" t="s">
        <v>109</v>
      </c>
      <c r="C27" s="22">
        <v>11</v>
      </c>
      <c r="D27" s="21">
        <v>1.3906447534765999E-2</v>
      </c>
    </row>
    <row r="28" spans="2:4" ht="14.5" customHeight="1">
      <c r="B28" s="23" t="s">
        <v>110</v>
      </c>
      <c r="C28" s="22">
        <v>4</v>
      </c>
      <c r="D28" s="21">
        <v>5.0568900126419999E-3</v>
      </c>
    </row>
    <row r="29" spans="2:4" ht="14.5" customHeight="1">
      <c r="B29" s="23" t="s">
        <v>111</v>
      </c>
      <c r="C29" s="22">
        <v>2</v>
      </c>
      <c r="D29" s="21">
        <v>2.528445006321E-3</v>
      </c>
    </row>
    <row r="30" spans="2:4" ht="14.5" customHeight="1">
      <c r="B30" s="23" t="s">
        <v>112</v>
      </c>
      <c r="C30" s="22">
        <v>7</v>
      </c>
      <c r="D30" s="21">
        <v>8.8495575221239995E-3</v>
      </c>
    </row>
    <row r="31" spans="2:4" ht="14.5" customHeight="1">
      <c r="B31" s="23" t="s">
        <v>113</v>
      </c>
      <c r="C31" s="22">
        <v>30</v>
      </c>
      <c r="D31" s="21">
        <v>3.7926675094817001E-2</v>
      </c>
    </row>
    <row r="32" spans="2:4" ht="14.5" customHeight="1">
      <c r="B32" s="23" t="s">
        <v>114</v>
      </c>
      <c r="C32" s="22">
        <v>10</v>
      </c>
      <c r="D32" s="21">
        <v>1.2642225031606001E-2</v>
      </c>
    </row>
    <row r="33" spans="2:4" ht="14.5" customHeight="1">
      <c r="B33" s="23" t="s">
        <v>115</v>
      </c>
      <c r="C33" s="22">
        <v>4</v>
      </c>
      <c r="D33" s="21">
        <v>5.0568900126419999E-3</v>
      </c>
    </row>
    <row r="34" spans="2:4" ht="14.5" customHeight="1">
      <c r="B34" s="23" t="s">
        <v>116</v>
      </c>
      <c r="C34" s="22">
        <v>7</v>
      </c>
      <c r="D34" s="21">
        <v>8.8495575221239995E-3</v>
      </c>
    </row>
    <row r="35" spans="2:4" ht="14.5" customHeight="1">
      <c r="B35" s="23" t="s">
        <v>117</v>
      </c>
      <c r="C35" s="22">
        <v>5</v>
      </c>
      <c r="D35" s="21">
        <v>6.3211125158030004E-3</v>
      </c>
    </row>
    <row r="36" spans="2:4" ht="14.5" customHeight="1">
      <c r="B36" s="23" t="s">
        <v>118</v>
      </c>
      <c r="C36" s="22">
        <v>1</v>
      </c>
      <c r="D36" s="21">
        <v>1.264222503161E-3</v>
      </c>
    </row>
    <row r="37" spans="2:4" ht="14.5" customHeight="1">
      <c r="B37" s="23" t="s">
        <v>119</v>
      </c>
      <c r="C37" s="22">
        <v>13</v>
      </c>
      <c r="D37" s="21">
        <v>1.6434892541087001E-2</v>
      </c>
    </row>
    <row r="38" spans="2:4" ht="14.5" customHeight="1">
      <c r="B38" s="23" t="s">
        <v>120</v>
      </c>
      <c r="C38" s="22">
        <v>5</v>
      </c>
      <c r="D38" s="21">
        <v>6.3211125158030004E-3</v>
      </c>
    </row>
    <row r="39" spans="2:4" ht="14.5" customHeight="1">
      <c r="B39" s="23" t="s">
        <v>121</v>
      </c>
      <c r="C39" s="22">
        <v>15</v>
      </c>
      <c r="D39" s="21">
        <v>1.8963337547408001E-2</v>
      </c>
    </row>
    <row r="40" spans="2:4" ht="14.5" customHeight="1">
      <c r="B40" s="23" t="s">
        <v>122</v>
      </c>
      <c r="C40" s="22">
        <v>32</v>
      </c>
      <c r="D40" s="21">
        <v>4.0455120101137998E-2</v>
      </c>
    </row>
    <row r="41" spans="2:4" ht="14.5" customHeight="1">
      <c r="B41" s="23" t="s">
        <v>123</v>
      </c>
      <c r="C41" s="22">
        <v>11</v>
      </c>
      <c r="D41" s="21">
        <v>1.3906447534765999E-2</v>
      </c>
    </row>
    <row r="42" spans="2:4" ht="14.5" customHeight="1">
      <c r="B42" s="23" t="s">
        <v>124</v>
      </c>
      <c r="C42" s="22">
        <v>18</v>
      </c>
      <c r="D42" s="21">
        <v>2.2756005056889999E-2</v>
      </c>
    </row>
    <row r="43" spans="2:4" ht="14.5" customHeight="1">
      <c r="B43" s="23" t="s">
        <v>125</v>
      </c>
      <c r="C43" s="22">
        <v>7</v>
      </c>
      <c r="D43" s="21">
        <v>8.8495575221239995E-3</v>
      </c>
    </row>
    <row r="44" spans="2:4" ht="14.5" customHeight="1">
      <c r="B44" s="23" t="s">
        <v>126</v>
      </c>
      <c r="C44" s="22">
        <v>2</v>
      </c>
      <c r="D44" s="21">
        <v>2.528445006321E-3</v>
      </c>
    </row>
    <row r="45" spans="2:4" ht="14.5" customHeight="1">
      <c r="B45" s="23" t="s">
        <v>127</v>
      </c>
      <c r="C45" s="22">
        <v>17</v>
      </c>
      <c r="D45" s="21">
        <v>2.1491782553729001E-2</v>
      </c>
    </row>
    <row r="46" spans="2:4" ht="14.5" customHeight="1">
      <c r="B46" s="23" t="s">
        <v>128</v>
      </c>
      <c r="C46" s="22">
        <v>18</v>
      </c>
      <c r="D46" s="21">
        <v>2.2756005056889999E-2</v>
      </c>
    </row>
    <row r="47" spans="2:4" ht="14.5" customHeight="1">
      <c r="B47" s="23" t="s">
        <v>129</v>
      </c>
      <c r="C47" s="22">
        <v>136</v>
      </c>
      <c r="D47" s="21">
        <v>0.17193426042983601</v>
      </c>
    </row>
    <row r="48" spans="2:4" ht="14.5" customHeight="1">
      <c r="B48" s="23" t="s">
        <v>130</v>
      </c>
      <c r="C48" s="22">
        <v>4</v>
      </c>
      <c r="D48" s="21">
        <v>5.0568900126419999E-3</v>
      </c>
    </row>
    <row r="49" spans="2:4" ht="14.5" customHeight="1">
      <c r="B49" s="23" t="s">
        <v>131</v>
      </c>
      <c r="C49" s="22">
        <v>1</v>
      </c>
      <c r="D49" s="21">
        <v>1.264222503161E-3</v>
      </c>
    </row>
    <row r="50" spans="2:4" ht="14.5" customHeight="1">
      <c r="B50" s="23" t="s">
        <v>132</v>
      </c>
      <c r="C50" s="22">
        <v>31</v>
      </c>
      <c r="D50" s="21">
        <v>3.9190897597976997E-2</v>
      </c>
    </row>
    <row r="51" spans="2:4" ht="14.5" customHeight="1">
      <c r="B51" s="23" t="s">
        <v>56</v>
      </c>
      <c r="C51" s="22">
        <v>8</v>
      </c>
      <c r="D51" s="21">
        <v>1.0113780025284E-2</v>
      </c>
    </row>
    <row r="52" spans="2:4" ht="14.5" customHeight="1">
      <c r="B52" s="23" t="s">
        <v>133</v>
      </c>
      <c r="C52" s="22">
        <v>1</v>
      </c>
      <c r="D52" s="21">
        <v>1.264222503161E-3</v>
      </c>
    </row>
    <row r="53" spans="2:4" ht="14.5" customHeight="1">
      <c r="B53" s="23" t="s">
        <v>134</v>
      </c>
      <c r="C53" s="22">
        <v>5</v>
      </c>
      <c r="D53" s="21">
        <v>6.3211125158030004E-3</v>
      </c>
    </row>
    <row r="54" spans="2:4" ht="14.5" customHeight="1">
      <c r="B54" s="20" t="s">
        <v>29</v>
      </c>
      <c r="C54" s="19">
        <v>791</v>
      </c>
      <c r="D54" s="18">
        <v>1</v>
      </c>
    </row>
    <row r="55" spans="2:4" ht="14.5" customHeight="1">
      <c r="B55" s="15"/>
    </row>
    <row r="56" spans="2:4" ht="14.5" customHeight="1">
      <c r="B56" s="15" t="s">
        <v>47</v>
      </c>
    </row>
    <row r="57" spans="2:4" ht="14.5" customHeight="1">
      <c r="B57" s="17" t="s">
        <v>18</v>
      </c>
    </row>
    <row r="58" spans="2:4" ht="14.5" customHeight="1">
      <c r="B58" s="16" t="s">
        <v>48</v>
      </c>
    </row>
    <row r="59" spans="2:4" ht="14.5" customHeight="1">
      <c r="B59" s="15" t="s">
        <v>17</v>
      </c>
    </row>
    <row r="60" spans="2:4" ht="14.5" customHeight="1">
      <c r="B6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62"/>
  <sheetViews>
    <sheetView showGridLines="0" view="pageBreakPreview" topLeftCell="A4" zoomScale="115" zoomScaleNormal="100" zoomScaleSheetLayoutView="115" workbookViewId="0">
      <selection activeCell="B11" sqref="B11:D56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9" t="s">
        <v>37</v>
      </c>
      <c r="C7" s="89"/>
      <c r="D7" s="89"/>
    </row>
    <row r="8" spans="2:5" s="25" customFormat="1" ht="15" customHeight="1">
      <c r="B8" s="89"/>
      <c r="C8" s="89"/>
      <c r="D8" s="89"/>
    </row>
    <row r="9" spans="2:5" s="25" customFormat="1" ht="33" customHeight="1">
      <c r="B9" s="89"/>
      <c r="C9" s="89"/>
      <c r="D9" s="89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9" t="s">
        <v>22</v>
      </c>
      <c r="C11" s="70" t="s">
        <v>20</v>
      </c>
      <c r="D11" s="69" t="s">
        <v>19</v>
      </c>
    </row>
    <row r="12" spans="2:5" ht="14.5" customHeight="1">
      <c r="B12" s="23" t="s">
        <v>50</v>
      </c>
      <c r="C12" s="22">
        <v>66</v>
      </c>
      <c r="D12" s="21">
        <v>8.3438685208596999E-2</v>
      </c>
    </row>
    <row r="13" spans="2:5" ht="14.5" customHeight="1">
      <c r="B13" s="23" t="s">
        <v>51</v>
      </c>
      <c r="C13" s="22">
        <v>64</v>
      </c>
      <c r="D13" s="21">
        <v>8.0910240202275996E-2</v>
      </c>
    </row>
    <row r="14" spans="2:5" ht="14.5" customHeight="1">
      <c r="B14" s="23" t="s">
        <v>52</v>
      </c>
      <c r="C14" s="22">
        <v>49</v>
      </c>
      <c r="D14" s="21">
        <v>6.1946902654866999E-2</v>
      </c>
      <c r="E14" s="24"/>
    </row>
    <row r="15" spans="2:5" ht="14.5" customHeight="1">
      <c r="B15" s="23" t="s">
        <v>53</v>
      </c>
      <c r="C15" s="22">
        <v>46</v>
      </c>
      <c r="D15" s="21">
        <v>5.8154235145386E-2</v>
      </c>
    </row>
    <row r="16" spans="2:5" ht="14.5" customHeight="1">
      <c r="B16" s="23" t="s">
        <v>54</v>
      </c>
      <c r="C16" s="22">
        <v>44</v>
      </c>
      <c r="D16" s="21">
        <v>5.5625790139063998E-2</v>
      </c>
    </row>
    <row r="17" spans="2:4" ht="14.5" customHeight="1">
      <c r="B17" s="23" t="s">
        <v>55</v>
      </c>
      <c r="C17" s="22">
        <v>38</v>
      </c>
      <c r="D17" s="21">
        <v>4.8040455120101001E-2</v>
      </c>
    </row>
    <row r="18" spans="2:4" ht="14.5" customHeight="1">
      <c r="B18" s="23" t="s">
        <v>56</v>
      </c>
      <c r="C18" s="22">
        <v>35</v>
      </c>
      <c r="D18" s="21">
        <v>4.4247787610618997E-2</v>
      </c>
    </row>
    <row r="19" spans="2:4" ht="14.5" customHeight="1">
      <c r="B19" s="23" t="s">
        <v>57</v>
      </c>
      <c r="C19" s="22">
        <v>34</v>
      </c>
      <c r="D19" s="21">
        <v>4.2983565107459001E-2</v>
      </c>
    </row>
    <row r="20" spans="2:4" ht="14.5" customHeight="1">
      <c r="B20" s="23" t="s">
        <v>58</v>
      </c>
      <c r="C20" s="22">
        <v>32</v>
      </c>
      <c r="D20" s="21">
        <v>4.0455120101137998E-2</v>
      </c>
    </row>
    <row r="21" spans="2:4" ht="14.5" customHeight="1">
      <c r="B21" s="23" t="s">
        <v>59</v>
      </c>
      <c r="C21" s="22">
        <v>29</v>
      </c>
      <c r="D21" s="21">
        <v>3.6662452591656E-2</v>
      </c>
    </row>
    <row r="22" spans="2:4" ht="14.5" customHeight="1">
      <c r="B22" s="23" t="s">
        <v>60</v>
      </c>
      <c r="C22" s="22">
        <v>24</v>
      </c>
      <c r="D22" s="21">
        <v>3.0341340075852999E-2</v>
      </c>
    </row>
    <row r="23" spans="2:4" ht="14.5" customHeight="1">
      <c r="B23" s="23" t="s">
        <v>61</v>
      </c>
      <c r="C23" s="22">
        <v>24</v>
      </c>
      <c r="D23" s="21">
        <v>3.0341340075852999E-2</v>
      </c>
    </row>
    <row r="24" spans="2:4" ht="14.5" customHeight="1">
      <c r="B24" s="23" t="s">
        <v>62</v>
      </c>
      <c r="C24" s="22">
        <v>21</v>
      </c>
      <c r="D24" s="21">
        <v>2.6548672566372E-2</v>
      </c>
    </row>
    <row r="25" spans="2:4" ht="14.5" customHeight="1">
      <c r="B25" s="23" t="s">
        <v>63</v>
      </c>
      <c r="C25" s="22">
        <v>20</v>
      </c>
      <c r="D25" s="21">
        <v>2.5284450063210999E-2</v>
      </c>
    </row>
    <row r="26" spans="2:4" ht="14.5" customHeight="1">
      <c r="B26" s="23" t="s">
        <v>64</v>
      </c>
      <c r="C26" s="22">
        <v>19</v>
      </c>
      <c r="D26" s="21">
        <v>2.4020227560051E-2</v>
      </c>
    </row>
    <row r="27" spans="2:4" ht="14.5" customHeight="1">
      <c r="B27" s="23" t="s">
        <v>65</v>
      </c>
      <c r="C27" s="22">
        <v>18</v>
      </c>
      <c r="D27" s="21">
        <v>2.2756005056889999E-2</v>
      </c>
    </row>
    <row r="28" spans="2:4" ht="14.5" customHeight="1">
      <c r="B28" s="23" t="s">
        <v>66</v>
      </c>
      <c r="C28" s="22">
        <v>18</v>
      </c>
      <c r="D28" s="21">
        <v>2.2756005056889999E-2</v>
      </c>
    </row>
    <row r="29" spans="2:4" ht="14.5" customHeight="1">
      <c r="B29" s="23" t="s">
        <v>67</v>
      </c>
      <c r="C29" s="22">
        <v>18</v>
      </c>
      <c r="D29" s="21">
        <v>2.2756005056889999E-2</v>
      </c>
    </row>
    <row r="30" spans="2:4" ht="14.5" customHeight="1">
      <c r="B30" s="23" t="s">
        <v>68</v>
      </c>
      <c r="C30" s="22">
        <v>16</v>
      </c>
      <c r="D30" s="21">
        <v>2.0227560050568999E-2</v>
      </c>
    </row>
    <row r="31" spans="2:4" ht="14.5" customHeight="1">
      <c r="B31" s="23" t="s">
        <v>69</v>
      </c>
      <c r="C31" s="22">
        <v>14</v>
      </c>
      <c r="D31" s="21">
        <v>1.7699115044247999E-2</v>
      </c>
    </row>
    <row r="32" spans="2:4" ht="14.5" customHeight="1">
      <c r="B32" s="23" t="s">
        <v>70</v>
      </c>
      <c r="C32" s="22">
        <v>12</v>
      </c>
      <c r="D32" s="21">
        <v>1.5170670037927001E-2</v>
      </c>
    </row>
    <row r="33" spans="2:4" ht="14.5" customHeight="1">
      <c r="B33" s="23" t="s">
        <v>71</v>
      </c>
      <c r="C33" s="22">
        <v>12</v>
      </c>
      <c r="D33" s="21">
        <v>1.5170670037927001E-2</v>
      </c>
    </row>
    <row r="34" spans="2:4" ht="14.5" customHeight="1">
      <c r="B34" s="23" t="s">
        <v>72</v>
      </c>
      <c r="C34" s="22">
        <v>11</v>
      </c>
      <c r="D34" s="21">
        <v>1.3906447534765999E-2</v>
      </c>
    </row>
    <row r="35" spans="2:4" ht="14.5" customHeight="1">
      <c r="B35" s="23" t="s">
        <v>73</v>
      </c>
      <c r="C35" s="22">
        <v>11</v>
      </c>
      <c r="D35" s="21">
        <v>1.3906447534765999E-2</v>
      </c>
    </row>
    <row r="36" spans="2:4" ht="14.5" customHeight="1">
      <c r="B36" s="23" t="s">
        <v>74</v>
      </c>
      <c r="C36" s="22">
        <v>10</v>
      </c>
      <c r="D36" s="21">
        <v>1.2642225031606001E-2</v>
      </c>
    </row>
    <row r="37" spans="2:4" ht="14.5" customHeight="1">
      <c r="B37" s="23" t="s">
        <v>75</v>
      </c>
      <c r="C37" s="22">
        <v>10</v>
      </c>
      <c r="D37" s="21">
        <v>1.2642225031606001E-2</v>
      </c>
    </row>
    <row r="38" spans="2:4" ht="14.5" customHeight="1">
      <c r="B38" s="23" t="s">
        <v>76</v>
      </c>
      <c r="C38" s="22">
        <v>9</v>
      </c>
      <c r="D38" s="21">
        <v>1.1378002528444999E-2</v>
      </c>
    </row>
    <row r="39" spans="2:4" ht="14.5" customHeight="1">
      <c r="B39" s="23" t="s">
        <v>77</v>
      </c>
      <c r="C39" s="22">
        <v>9</v>
      </c>
      <c r="D39" s="21">
        <v>1.1378002528444999E-2</v>
      </c>
    </row>
    <row r="40" spans="2:4" ht="14.5" customHeight="1">
      <c r="B40" s="23" t="s">
        <v>78</v>
      </c>
      <c r="C40" s="22">
        <v>8</v>
      </c>
      <c r="D40" s="21">
        <v>1.0113780025284E-2</v>
      </c>
    </row>
    <row r="41" spans="2:4" ht="14.5" customHeight="1">
      <c r="B41" s="23" t="s">
        <v>79</v>
      </c>
      <c r="C41" s="22">
        <v>7</v>
      </c>
      <c r="D41" s="21">
        <v>8.8495575221239995E-3</v>
      </c>
    </row>
    <row r="42" spans="2:4" ht="14.5" customHeight="1">
      <c r="B42" s="23" t="s">
        <v>80</v>
      </c>
      <c r="C42" s="22">
        <v>7</v>
      </c>
      <c r="D42" s="21">
        <v>8.8495575221239995E-3</v>
      </c>
    </row>
    <row r="43" spans="2:4" ht="14.5" customHeight="1">
      <c r="B43" s="23" t="s">
        <v>81</v>
      </c>
      <c r="C43" s="22">
        <v>7</v>
      </c>
      <c r="D43" s="21">
        <v>8.8495575221239995E-3</v>
      </c>
    </row>
    <row r="44" spans="2:4" ht="14.5" customHeight="1">
      <c r="B44" s="23" t="s">
        <v>82</v>
      </c>
      <c r="C44" s="22">
        <v>6</v>
      </c>
      <c r="D44" s="21">
        <v>7.5853350189629999E-3</v>
      </c>
    </row>
    <row r="45" spans="2:4" ht="14.5" customHeight="1">
      <c r="B45" s="23" t="s">
        <v>83</v>
      </c>
      <c r="C45" s="22">
        <v>6</v>
      </c>
      <c r="D45" s="21">
        <v>7.5853350189629999E-3</v>
      </c>
    </row>
    <row r="46" spans="2:4" ht="14.5" customHeight="1">
      <c r="B46" s="23" t="s">
        <v>84</v>
      </c>
      <c r="C46" s="22">
        <v>6</v>
      </c>
      <c r="D46" s="21">
        <v>7.5853350189629999E-3</v>
      </c>
    </row>
    <row r="47" spans="2:4" ht="14.5" customHeight="1">
      <c r="B47" s="23" t="s">
        <v>85</v>
      </c>
      <c r="C47" s="22">
        <v>6</v>
      </c>
      <c r="D47" s="21">
        <v>7.5853350189629999E-3</v>
      </c>
    </row>
    <row r="48" spans="2:4" ht="14.5" customHeight="1">
      <c r="B48" s="23" t="s">
        <v>86</v>
      </c>
      <c r="C48" s="22">
        <v>5</v>
      </c>
      <c r="D48" s="21">
        <v>6.3211125158030004E-3</v>
      </c>
    </row>
    <row r="49" spans="2:4" ht="14.5" customHeight="1">
      <c r="B49" s="23" t="s">
        <v>87</v>
      </c>
      <c r="C49" s="22">
        <v>5</v>
      </c>
      <c r="D49" s="21">
        <v>6.3211125158030004E-3</v>
      </c>
    </row>
    <row r="50" spans="2:4" ht="14.5" customHeight="1">
      <c r="B50" s="23" t="s">
        <v>88</v>
      </c>
      <c r="C50" s="22">
        <v>5</v>
      </c>
      <c r="D50" s="21">
        <v>6.3211125158030004E-3</v>
      </c>
    </row>
    <row r="51" spans="2:4" ht="14.5" customHeight="1">
      <c r="B51" s="23" t="s">
        <v>89</v>
      </c>
      <c r="C51" s="22">
        <v>4</v>
      </c>
      <c r="D51" s="21">
        <v>5.0568900126419999E-3</v>
      </c>
    </row>
    <row r="52" spans="2:4" ht="14.5" customHeight="1">
      <c r="B52" s="23" t="s">
        <v>90</v>
      </c>
      <c r="C52" s="22">
        <v>2</v>
      </c>
      <c r="D52" s="21">
        <v>2.528445006321E-3</v>
      </c>
    </row>
    <row r="53" spans="2:4" ht="14.5" customHeight="1">
      <c r="B53" s="23" t="s">
        <v>91</v>
      </c>
      <c r="C53" s="22">
        <v>2</v>
      </c>
      <c r="D53" s="21">
        <v>2.528445006321E-3</v>
      </c>
    </row>
    <row r="54" spans="2:4" ht="14.5" customHeight="1">
      <c r="B54" s="23" t="s">
        <v>92</v>
      </c>
      <c r="C54" s="22">
        <v>1</v>
      </c>
      <c r="D54" s="21">
        <v>1.264222503161E-3</v>
      </c>
    </row>
    <row r="55" spans="2:4" ht="14.5" customHeight="1">
      <c r="B55" s="23" t="s">
        <v>93</v>
      </c>
      <c r="C55" s="22">
        <v>1</v>
      </c>
      <c r="D55" s="21">
        <v>1.264222503161E-3</v>
      </c>
    </row>
    <row r="56" spans="2:4" ht="14.5" customHeight="1">
      <c r="B56" s="20" t="s">
        <v>29</v>
      </c>
      <c r="C56" s="19">
        <v>791</v>
      </c>
      <c r="D56" s="18">
        <v>1</v>
      </c>
    </row>
    <row r="57" spans="2:4" ht="14.5" customHeight="1">
      <c r="B57" s="17"/>
    </row>
    <row r="58" spans="2:4" ht="14.5" customHeight="1">
      <c r="B58" s="15" t="s">
        <v>47</v>
      </c>
    </row>
    <row r="59" spans="2:4" ht="14.5" customHeight="1">
      <c r="B59" s="17" t="s">
        <v>18</v>
      </c>
    </row>
    <row r="60" spans="2:4" ht="14.5" customHeight="1">
      <c r="B60" s="16" t="s">
        <v>48</v>
      </c>
    </row>
    <row r="61" spans="2:4" ht="14.5" customHeight="1">
      <c r="B61" s="15" t="s">
        <v>17</v>
      </c>
    </row>
    <row r="62" spans="2:4" ht="14.5" customHeight="1">
      <c r="B62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topLeftCell="A10" zoomScale="115" zoomScaleNormal="100" zoomScaleSheetLayoutView="115" workbookViewId="0">
      <selection activeCell="D12" sqref="D12:D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9" t="s">
        <v>44</v>
      </c>
      <c r="C7" s="89"/>
      <c r="D7" s="89"/>
    </row>
    <row r="8" spans="2:5" s="25" customFormat="1" ht="15" customHeight="1">
      <c r="B8" s="89"/>
      <c r="C8" s="89"/>
      <c r="D8" s="89"/>
    </row>
    <row r="9" spans="2:5" s="25" customFormat="1" ht="33" customHeight="1">
      <c r="B9" s="89"/>
      <c r="C9" s="89"/>
      <c r="D9" s="89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9" t="s">
        <v>22</v>
      </c>
      <c r="C11" s="70" t="s">
        <v>20</v>
      </c>
      <c r="D11" s="69" t="s">
        <v>19</v>
      </c>
    </row>
    <row r="12" spans="2:5">
      <c r="B12" s="23" t="s">
        <v>50</v>
      </c>
      <c r="C12" s="22">
        <v>66</v>
      </c>
      <c r="D12" s="21">
        <f>C12/437</f>
        <v>0.15102974828375287</v>
      </c>
    </row>
    <row r="13" spans="2:5">
      <c r="B13" s="23" t="s">
        <v>51</v>
      </c>
      <c r="C13" s="22">
        <v>64</v>
      </c>
      <c r="D13" s="21">
        <f t="shared" ref="D13:D21" si="0">C13/437</f>
        <v>0.14645308924485126</v>
      </c>
    </row>
    <row r="14" spans="2:5">
      <c r="B14" s="23" t="s">
        <v>52</v>
      </c>
      <c r="C14" s="22">
        <v>49</v>
      </c>
      <c r="D14" s="21">
        <f t="shared" si="0"/>
        <v>0.11212814645308924</v>
      </c>
      <c r="E14" s="24"/>
    </row>
    <row r="15" spans="2:5">
      <c r="B15" s="23" t="s">
        <v>53</v>
      </c>
      <c r="C15" s="22">
        <v>46</v>
      </c>
      <c r="D15" s="21">
        <f t="shared" si="0"/>
        <v>0.10526315789473684</v>
      </c>
      <c r="E15" s="24"/>
    </row>
    <row r="16" spans="2:5">
      <c r="B16" s="23" t="s">
        <v>54</v>
      </c>
      <c r="C16" s="22">
        <v>44</v>
      </c>
      <c r="D16" s="21">
        <f t="shared" si="0"/>
        <v>0.10068649885583524</v>
      </c>
    </row>
    <row r="17" spans="2:4">
      <c r="B17" s="23" t="s">
        <v>55</v>
      </c>
      <c r="C17" s="22">
        <v>38</v>
      </c>
      <c r="D17" s="21">
        <f t="shared" si="0"/>
        <v>8.6956521739130432E-2</v>
      </c>
    </row>
    <row r="18" spans="2:4">
      <c r="B18" s="23" t="s">
        <v>56</v>
      </c>
      <c r="C18" s="22">
        <v>35</v>
      </c>
      <c r="D18" s="21">
        <f t="shared" si="0"/>
        <v>8.0091533180778038E-2</v>
      </c>
    </row>
    <row r="19" spans="2:4">
      <c r="B19" s="23" t="s">
        <v>57</v>
      </c>
      <c r="C19" s="22">
        <v>34</v>
      </c>
      <c r="D19" s="21">
        <f t="shared" si="0"/>
        <v>7.780320366132723E-2</v>
      </c>
    </row>
    <row r="20" spans="2:4">
      <c r="B20" s="23" t="s">
        <v>58</v>
      </c>
      <c r="C20" s="22">
        <v>32</v>
      </c>
      <c r="D20" s="21">
        <f t="shared" si="0"/>
        <v>7.3226544622425629E-2</v>
      </c>
    </row>
    <row r="21" spans="2:4">
      <c r="B21" s="23" t="s">
        <v>59</v>
      </c>
      <c r="C21" s="22">
        <v>29</v>
      </c>
      <c r="D21" s="21">
        <f t="shared" si="0"/>
        <v>6.6361556064073221E-2</v>
      </c>
    </row>
    <row r="22" spans="2:4">
      <c r="B22" s="20" t="s">
        <v>45</v>
      </c>
      <c r="C22" s="19">
        <f>SUM(C12:C21)</f>
        <v>437</v>
      </c>
      <c r="D22" s="18">
        <f t="shared" ref="D22" si="1">C22/$C$22</f>
        <v>1</v>
      </c>
    </row>
    <row r="23" spans="2:4">
      <c r="B23" s="20" t="s">
        <v>46</v>
      </c>
      <c r="C23" s="19">
        <v>791</v>
      </c>
    </row>
    <row r="24" spans="2:4">
      <c r="B24" s="15"/>
    </row>
    <row r="25" spans="2:4">
      <c r="B25" s="15" t="s">
        <v>47</v>
      </c>
    </row>
    <row r="26" spans="2:4">
      <c r="B26" s="17" t="s">
        <v>18</v>
      </c>
    </row>
    <row r="27" spans="2:4">
      <c r="B27" s="16" t="s">
        <v>48</v>
      </c>
    </row>
    <row r="28" spans="2:4">
      <c r="B28" s="15" t="s">
        <v>17</v>
      </c>
    </row>
    <row r="29" spans="2:4">
      <c r="B2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28"/>
  <sheetViews>
    <sheetView showGridLines="0" view="pageBreakPreview" topLeftCell="A2" zoomScale="115" zoomScaleNormal="100" zoomScaleSheetLayoutView="115" workbookViewId="0">
      <selection activeCell="B12" sqref="B12:D22"/>
    </sheetView>
  </sheetViews>
  <sheetFormatPr baseColWidth="10" defaultColWidth="11.453125" defaultRowHeight="14.5"/>
  <cols>
    <col min="1" max="1" width="9.26953125" style="13" customWidth="1"/>
    <col min="2" max="2" width="29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9" t="s">
        <v>42</v>
      </c>
      <c r="C7" s="89"/>
      <c r="D7" s="89"/>
    </row>
    <row r="8" spans="2:4" s="25" customFormat="1" ht="15" customHeight="1">
      <c r="B8" s="89"/>
      <c r="C8" s="89"/>
      <c r="D8" s="89"/>
    </row>
    <row r="9" spans="2:4" s="25" customFormat="1" ht="33" customHeight="1">
      <c r="B9" s="89"/>
      <c r="C9" s="89"/>
      <c r="D9" s="89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23</v>
      </c>
      <c r="C11" s="27" t="s">
        <v>20</v>
      </c>
      <c r="D11" s="26" t="s">
        <v>19</v>
      </c>
    </row>
    <row r="12" spans="2:4" s="71" customFormat="1" ht="14.5" customHeight="1">
      <c r="B12" s="23" t="s">
        <v>179</v>
      </c>
      <c r="C12" s="22">
        <v>506</v>
      </c>
      <c r="D12" s="21">
        <v>0.639696586599241</v>
      </c>
    </row>
    <row r="13" spans="2:4" s="71" customFormat="1" ht="14.5" customHeight="1">
      <c r="B13" s="23" t="s">
        <v>177</v>
      </c>
      <c r="C13" s="22">
        <v>147</v>
      </c>
      <c r="D13" s="21">
        <v>0.185840707964602</v>
      </c>
    </row>
    <row r="14" spans="2:4" s="71" customFormat="1" ht="14.5" customHeight="1">
      <c r="B14" s="23" t="s">
        <v>184</v>
      </c>
      <c r="C14" s="22">
        <v>57</v>
      </c>
      <c r="D14" s="21">
        <v>7.2060682680152005E-2</v>
      </c>
    </row>
    <row r="15" spans="2:4" s="71" customFormat="1" ht="14.5" customHeight="1">
      <c r="B15" s="23" t="s">
        <v>178</v>
      </c>
      <c r="C15" s="22">
        <v>36</v>
      </c>
      <c r="D15" s="21">
        <v>4.5512010113779998E-2</v>
      </c>
    </row>
    <row r="16" spans="2:4" s="71" customFormat="1" ht="14.5" customHeight="1">
      <c r="B16" s="23" t="s">
        <v>180</v>
      </c>
      <c r="C16" s="22">
        <v>19</v>
      </c>
      <c r="D16" s="21">
        <v>2.4020227560051E-2</v>
      </c>
    </row>
    <row r="17" spans="2:4" s="71" customFormat="1" ht="14.5" customHeight="1">
      <c r="B17" s="23" t="s">
        <v>186</v>
      </c>
      <c r="C17" s="22">
        <v>9</v>
      </c>
      <c r="D17" s="21">
        <v>1.1378002528444999E-2</v>
      </c>
    </row>
    <row r="18" spans="2:4" s="71" customFormat="1" ht="14.5" customHeight="1">
      <c r="B18" s="23" t="s">
        <v>181</v>
      </c>
      <c r="C18" s="22">
        <v>7</v>
      </c>
      <c r="D18" s="21">
        <v>8.8495575221239995E-3</v>
      </c>
    </row>
    <row r="19" spans="2:4" s="71" customFormat="1" ht="14.5" customHeight="1">
      <c r="B19" s="23" t="s">
        <v>183</v>
      </c>
      <c r="C19" s="22">
        <v>5</v>
      </c>
      <c r="D19" s="21">
        <v>6.3211125158030004E-3</v>
      </c>
    </row>
    <row r="20" spans="2:4" s="71" customFormat="1" ht="14.5" customHeight="1">
      <c r="B20" s="23" t="s">
        <v>185</v>
      </c>
      <c r="C20" s="22">
        <v>4</v>
      </c>
      <c r="D20" s="21">
        <v>5.0568900126419999E-3</v>
      </c>
    </row>
    <row r="21" spans="2:4" s="71" customFormat="1" ht="14.5" customHeight="1">
      <c r="B21" s="23" t="s">
        <v>182</v>
      </c>
      <c r="C21" s="22">
        <v>1</v>
      </c>
      <c r="D21" s="21">
        <v>1.264222503161E-3</v>
      </c>
    </row>
    <row r="22" spans="2:4" s="71" customFormat="1" ht="14.5" customHeight="1">
      <c r="B22" s="20" t="s">
        <v>29</v>
      </c>
      <c r="C22" s="19">
        <v>791</v>
      </c>
      <c r="D22" s="18">
        <v>1</v>
      </c>
    </row>
    <row r="23" spans="2:4" s="71" customFormat="1" ht="14.5" customHeight="1">
      <c r="B23" s="15"/>
      <c r="C23" s="72"/>
    </row>
    <row r="24" spans="2:4" s="71" customFormat="1" ht="14.5" customHeight="1">
      <c r="B24" s="15" t="s">
        <v>47</v>
      </c>
      <c r="C24" s="72"/>
    </row>
    <row r="25" spans="2:4" s="71" customFormat="1" ht="14.5" customHeight="1">
      <c r="B25" s="17" t="s">
        <v>18</v>
      </c>
      <c r="C25" s="72"/>
    </row>
    <row r="26" spans="2:4" s="71" customFormat="1" ht="14.5" customHeight="1">
      <c r="B26" s="16" t="s">
        <v>48</v>
      </c>
      <c r="C26" s="72"/>
    </row>
    <row r="27" spans="2:4" s="71" customFormat="1" ht="14.5" customHeight="1">
      <c r="B27" s="15" t="s">
        <v>17</v>
      </c>
      <c r="C27" s="72"/>
    </row>
    <row r="28" spans="2:4" s="71" customFormat="1" ht="14.5" customHeight="1">
      <c r="B28" s="15" t="s">
        <v>49</v>
      </c>
      <c r="C28" s="7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81"/>
  <sheetViews>
    <sheetView showGridLines="0" view="pageBreakPreview" zoomScale="85" zoomScaleNormal="100" zoomScaleSheetLayoutView="85" workbookViewId="0">
      <selection activeCell="B9" sqref="B9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5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B9" s="73" t="s">
        <v>25</v>
      </c>
      <c r="C9" s="74" t="s">
        <v>24</v>
      </c>
      <c r="D9" s="75" t="s">
        <v>20</v>
      </c>
      <c r="E9" s="73" t="s">
        <v>19</v>
      </c>
    </row>
    <row r="10" spans="1:5" s="76" customFormat="1" ht="14.5" customHeight="1">
      <c r="B10" s="90" t="s">
        <v>94</v>
      </c>
      <c r="C10" s="66" t="s">
        <v>177</v>
      </c>
      <c r="D10" s="67">
        <v>5</v>
      </c>
      <c r="E10" s="68">
        <v>6.3211125158030004E-3</v>
      </c>
    </row>
    <row r="11" spans="1:5" s="76" customFormat="1" ht="14.5" customHeight="1">
      <c r="B11" s="90"/>
      <c r="C11" s="66" t="s">
        <v>178</v>
      </c>
      <c r="D11" s="67">
        <v>1</v>
      </c>
      <c r="E11" s="68">
        <v>1.264222503161E-3</v>
      </c>
    </row>
    <row r="12" spans="1:5" s="76" customFormat="1" ht="14.5" customHeight="1">
      <c r="B12" s="90"/>
      <c r="C12" s="66" t="s">
        <v>179</v>
      </c>
      <c r="D12" s="67">
        <v>36</v>
      </c>
      <c r="E12" s="68">
        <v>4.5512010113779998E-2</v>
      </c>
    </row>
    <row r="13" spans="1:5" s="76" customFormat="1" ht="14.5" customHeight="1">
      <c r="B13" s="90"/>
      <c r="C13" s="36" t="s">
        <v>29</v>
      </c>
      <c r="D13" s="35">
        <v>42</v>
      </c>
      <c r="E13" s="34">
        <v>5.3097345132743001E-2</v>
      </c>
    </row>
    <row r="14" spans="1:5" s="76" customFormat="1" ht="14.5" customHeight="1">
      <c r="B14" s="90" t="s">
        <v>95</v>
      </c>
      <c r="C14" s="66" t="s">
        <v>177</v>
      </c>
      <c r="D14" s="67">
        <v>2</v>
      </c>
      <c r="E14" s="68">
        <v>2.528445006321E-3</v>
      </c>
    </row>
    <row r="15" spans="1:5" s="76" customFormat="1" ht="14.5" customHeight="1">
      <c r="B15" s="90"/>
      <c r="C15" s="66" t="s">
        <v>179</v>
      </c>
      <c r="D15" s="67">
        <v>8</v>
      </c>
      <c r="E15" s="68">
        <v>1.0113780025284E-2</v>
      </c>
    </row>
    <row r="16" spans="1:5" s="76" customFormat="1" ht="14.5" customHeight="1">
      <c r="B16" s="90"/>
      <c r="C16" s="36" t="s">
        <v>29</v>
      </c>
      <c r="D16" s="35">
        <v>10</v>
      </c>
      <c r="E16" s="34">
        <v>1.2642225031606001E-2</v>
      </c>
    </row>
    <row r="17" spans="2:5" s="76" customFormat="1" ht="14.5" customHeight="1">
      <c r="B17" s="90" t="s">
        <v>96</v>
      </c>
      <c r="C17" s="66" t="s">
        <v>177</v>
      </c>
      <c r="D17" s="67">
        <v>2</v>
      </c>
      <c r="E17" s="68">
        <v>2.528445006321E-3</v>
      </c>
    </row>
    <row r="18" spans="2:5" s="76" customFormat="1" ht="14.5" customHeight="1">
      <c r="B18" s="90"/>
      <c r="C18" s="66" t="s">
        <v>180</v>
      </c>
      <c r="D18" s="67">
        <v>1</v>
      </c>
      <c r="E18" s="68">
        <v>1.264222503161E-3</v>
      </c>
    </row>
    <row r="19" spans="2:5" s="76" customFormat="1" ht="14.5" customHeight="1">
      <c r="B19" s="90"/>
      <c r="C19" s="66" t="s">
        <v>179</v>
      </c>
      <c r="D19" s="67">
        <v>8</v>
      </c>
      <c r="E19" s="68">
        <v>1.0113780025284E-2</v>
      </c>
    </row>
    <row r="20" spans="2:5" s="76" customFormat="1" ht="14.5" customHeight="1">
      <c r="B20" s="90"/>
      <c r="C20" s="36" t="s">
        <v>29</v>
      </c>
      <c r="D20" s="35">
        <v>11</v>
      </c>
      <c r="E20" s="34">
        <v>1.3906447534765999E-2</v>
      </c>
    </row>
    <row r="21" spans="2:5" s="76" customFormat="1" ht="14.5" customHeight="1">
      <c r="B21" s="90" t="s">
        <v>97</v>
      </c>
      <c r="C21" s="66" t="s">
        <v>181</v>
      </c>
      <c r="D21" s="67">
        <v>3</v>
      </c>
      <c r="E21" s="68">
        <v>3.792667509482E-3</v>
      </c>
    </row>
    <row r="22" spans="2:5" s="76" customFormat="1" ht="14.5" customHeight="1">
      <c r="B22" s="90"/>
      <c r="C22" s="66" t="s">
        <v>177</v>
      </c>
      <c r="D22" s="67">
        <v>32</v>
      </c>
      <c r="E22" s="68">
        <v>4.0455120101137998E-2</v>
      </c>
    </row>
    <row r="23" spans="2:5" s="76" customFormat="1" ht="14.5" customHeight="1">
      <c r="B23" s="90"/>
      <c r="C23" s="66" t="s">
        <v>182</v>
      </c>
      <c r="D23" s="67">
        <v>1</v>
      </c>
      <c r="E23" s="68">
        <v>1.264222503161E-3</v>
      </c>
    </row>
    <row r="24" spans="2:5" s="76" customFormat="1" ht="14.5" customHeight="1">
      <c r="B24" s="90"/>
      <c r="C24" s="66" t="s">
        <v>180</v>
      </c>
      <c r="D24" s="67">
        <v>3</v>
      </c>
      <c r="E24" s="68">
        <v>3.792667509482E-3</v>
      </c>
    </row>
    <row r="25" spans="2:5" s="76" customFormat="1" ht="14.5" customHeight="1">
      <c r="B25" s="90"/>
      <c r="C25" s="66" t="s">
        <v>178</v>
      </c>
      <c r="D25" s="67">
        <v>20</v>
      </c>
      <c r="E25" s="68">
        <v>2.5284450063210999E-2</v>
      </c>
    </row>
    <row r="26" spans="2:5" s="76" customFormat="1" ht="14.5" customHeight="1">
      <c r="B26" s="90"/>
      <c r="C26" s="66" t="s">
        <v>183</v>
      </c>
      <c r="D26" s="67">
        <v>1</v>
      </c>
      <c r="E26" s="68">
        <v>1.264222503161E-3</v>
      </c>
    </row>
    <row r="27" spans="2:5" s="76" customFormat="1" ht="14.5" customHeight="1">
      <c r="B27" s="90"/>
      <c r="C27" s="66" t="s">
        <v>184</v>
      </c>
      <c r="D27" s="67">
        <v>37</v>
      </c>
      <c r="E27" s="68">
        <v>4.6776232616940999E-2</v>
      </c>
    </row>
    <row r="28" spans="2:5" s="76" customFormat="1" ht="14.5" customHeight="1">
      <c r="B28" s="90"/>
      <c r="C28" s="66" t="s">
        <v>185</v>
      </c>
      <c r="D28" s="67">
        <v>3</v>
      </c>
      <c r="E28" s="68">
        <v>3.792667509482E-3</v>
      </c>
    </row>
    <row r="29" spans="2:5" s="76" customFormat="1" ht="14.5" customHeight="1">
      <c r="B29" s="90"/>
      <c r="C29" s="66" t="s">
        <v>179</v>
      </c>
      <c r="D29" s="67">
        <v>82</v>
      </c>
      <c r="E29" s="68">
        <v>0.103666245259166</v>
      </c>
    </row>
    <row r="30" spans="2:5" s="76" customFormat="1" ht="14.5" customHeight="1">
      <c r="B30" s="90"/>
      <c r="C30" s="66" t="s">
        <v>186</v>
      </c>
      <c r="D30" s="67">
        <v>2</v>
      </c>
      <c r="E30" s="68">
        <v>2.528445006321E-3</v>
      </c>
    </row>
    <row r="31" spans="2:5" s="76" customFormat="1" ht="14.5" customHeight="1">
      <c r="B31" s="90"/>
      <c r="C31" s="36" t="s">
        <v>29</v>
      </c>
      <c r="D31" s="35">
        <v>184</v>
      </c>
      <c r="E31" s="34">
        <v>0.232616940581542</v>
      </c>
    </row>
    <row r="32" spans="2:5" s="76" customFormat="1" ht="14.5" customHeight="1">
      <c r="B32" s="90" t="s">
        <v>98</v>
      </c>
      <c r="C32" s="66" t="s">
        <v>177</v>
      </c>
      <c r="D32" s="67">
        <v>3</v>
      </c>
      <c r="E32" s="68">
        <v>3.792667509482E-3</v>
      </c>
    </row>
    <row r="33" spans="2:5" s="76" customFormat="1" ht="14.5" customHeight="1">
      <c r="B33" s="90"/>
      <c r="C33" s="66" t="s">
        <v>180</v>
      </c>
      <c r="D33" s="67">
        <v>1</v>
      </c>
      <c r="E33" s="68">
        <v>1.264222503161E-3</v>
      </c>
    </row>
    <row r="34" spans="2:5" s="76" customFormat="1" ht="14.5" customHeight="1">
      <c r="B34" s="90"/>
      <c r="C34" s="66" t="s">
        <v>178</v>
      </c>
      <c r="D34" s="67">
        <v>1</v>
      </c>
      <c r="E34" s="68">
        <v>1.264222503161E-3</v>
      </c>
    </row>
    <row r="35" spans="2:5" s="76" customFormat="1" ht="14.5" customHeight="1">
      <c r="B35" s="90"/>
      <c r="C35" s="66" t="s">
        <v>185</v>
      </c>
      <c r="D35" s="67">
        <v>1</v>
      </c>
      <c r="E35" s="68">
        <v>1.264222503161E-3</v>
      </c>
    </row>
    <row r="36" spans="2:5" s="76" customFormat="1" ht="14.5" customHeight="1">
      <c r="B36" s="90"/>
      <c r="C36" s="66" t="s">
        <v>179</v>
      </c>
      <c r="D36" s="67">
        <v>4</v>
      </c>
      <c r="E36" s="68">
        <v>5.0568900126419999E-3</v>
      </c>
    </row>
    <row r="37" spans="2:5" s="76" customFormat="1" ht="14.5" customHeight="1">
      <c r="B37" s="90"/>
      <c r="C37" s="36" t="s">
        <v>29</v>
      </c>
      <c r="D37" s="35">
        <v>10</v>
      </c>
      <c r="E37" s="34">
        <v>1.2642225031606001E-2</v>
      </c>
    </row>
    <row r="38" spans="2:5" s="76" customFormat="1" ht="14.5" customHeight="1">
      <c r="B38" s="90" t="s">
        <v>99</v>
      </c>
      <c r="C38" s="66" t="s">
        <v>179</v>
      </c>
      <c r="D38" s="67">
        <v>1</v>
      </c>
      <c r="E38" s="68">
        <v>1.264222503161E-3</v>
      </c>
    </row>
    <row r="39" spans="2:5" s="76" customFormat="1" ht="14.5" customHeight="1">
      <c r="B39" s="90"/>
      <c r="C39" s="36" t="s">
        <v>29</v>
      </c>
      <c r="D39" s="35">
        <v>1</v>
      </c>
      <c r="E39" s="34">
        <v>1.264222503161E-3</v>
      </c>
    </row>
    <row r="40" spans="2:5" s="76" customFormat="1" ht="14.5" customHeight="1">
      <c r="B40" s="90" t="s">
        <v>100</v>
      </c>
      <c r="C40" s="66" t="s">
        <v>179</v>
      </c>
      <c r="D40" s="67">
        <v>2</v>
      </c>
      <c r="E40" s="68">
        <v>2.528445006321E-3</v>
      </c>
    </row>
    <row r="41" spans="2:5" s="76" customFormat="1" ht="14.5" customHeight="1">
      <c r="B41" s="90"/>
      <c r="C41" s="36" t="s">
        <v>29</v>
      </c>
      <c r="D41" s="35">
        <v>2</v>
      </c>
      <c r="E41" s="34">
        <v>2.528445006321E-3</v>
      </c>
    </row>
    <row r="42" spans="2:5" s="76" customFormat="1" ht="14.5" customHeight="1">
      <c r="B42" s="90" t="s">
        <v>101</v>
      </c>
      <c r="C42" s="66" t="s">
        <v>179</v>
      </c>
      <c r="D42" s="67">
        <v>1</v>
      </c>
      <c r="E42" s="68">
        <v>1.264222503161E-3</v>
      </c>
    </row>
    <row r="43" spans="2:5" s="76" customFormat="1" ht="14.5" customHeight="1">
      <c r="B43" s="90" t="s">
        <v>143</v>
      </c>
      <c r="C43" s="36" t="s">
        <v>29</v>
      </c>
      <c r="D43" s="35">
        <v>1</v>
      </c>
      <c r="E43" s="34">
        <v>1.264222503161E-3</v>
      </c>
    </row>
    <row r="44" spans="2:5" s="76" customFormat="1" ht="14.5" customHeight="1">
      <c r="B44" s="90" t="s">
        <v>102</v>
      </c>
      <c r="C44" s="66" t="s">
        <v>177</v>
      </c>
      <c r="D44" s="67">
        <v>9</v>
      </c>
      <c r="E44" s="68">
        <v>1.1378002528444999E-2</v>
      </c>
    </row>
    <row r="45" spans="2:5" s="76" customFormat="1" ht="14.5" customHeight="1">
      <c r="B45" s="90"/>
      <c r="C45" s="66" t="s">
        <v>180</v>
      </c>
      <c r="D45" s="67">
        <v>1</v>
      </c>
      <c r="E45" s="68">
        <v>1.264222503161E-3</v>
      </c>
    </row>
    <row r="46" spans="2:5" s="76" customFormat="1" ht="14.5" customHeight="1">
      <c r="B46" s="90"/>
      <c r="C46" s="66" t="s">
        <v>178</v>
      </c>
      <c r="D46" s="67">
        <v>1</v>
      </c>
      <c r="E46" s="68">
        <v>1.264222503161E-3</v>
      </c>
    </row>
    <row r="47" spans="2:5" s="76" customFormat="1" ht="14.5" customHeight="1">
      <c r="B47" s="90"/>
      <c r="C47" s="66" t="s">
        <v>183</v>
      </c>
      <c r="D47" s="67">
        <v>1</v>
      </c>
      <c r="E47" s="68">
        <v>1.264222503161E-3</v>
      </c>
    </row>
    <row r="48" spans="2:5" s="76" customFormat="1" ht="14.5" customHeight="1">
      <c r="B48" s="90"/>
      <c r="C48" s="66" t="s">
        <v>179</v>
      </c>
      <c r="D48" s="67">
        <v>28</v>
      </c>
      <c r="E48" s="68">
        <v>3.5398230088495998E-2</v>
      </c>
    </row>
    <row r="49" spans="2:5" s="76" customFormat="1" ht="14.5" customHeight="1">
      <c r="B49" s="90"/>
      <c r="C49" s="66" t="s">
        <v>186</v>
      </c>
      <c r="D49" s="67">
        <v>1</v>
      </c>
      <c r="E49" s="68">
        <v>1.264222503161E-3</v>
      </c>
    </row>
    <row r="50" spans="2:5" s="76" customFormat="1" ht="14.5" customHeight="1">
      <c r="B50" s="90"/>
      <c r="C50" s="36" t="s">
        <v>29</v>
      </c>
      <c r="D50" s="35">
        <v>41</v>
      </c>
      <c r="E50" s="34">
        <v>5.1833122629582999E-2</v>
      </c>
    </row>
    <row r="51" spans="2:5" s="76" customFormat="1" ht="14.5" customHeight="1">
      <c r="B51" s="90" t="s">
        <v>103</v>
      </c>
      <c r="C51" s="66" t="s">
        <v>177</v>
      </c>
      <c r="D51" s="67">
        <v>3</v>
      </c>
      <c r="E51" s="68">
        <v>3.792667509482E-3</v>
      </c>
    </row>
    <row r="52" spans="2:5" s="76" customFormat="1" ht="14.5" customHeight="1">
      <c r="B52" s="90"/>
      <c r="C52" s="66" t="s">
        <v>184</v>
      </c>
      <c r="D52" s="67">
        <v>2</v>
      </c>
      <c r="E52" s="68">
        <v>2.528445006321E-3</v>
      </c>
    </row>
    <row r="53" spans="2:5" s="76" customFormat="1" ht="14.5" customHeight="1">
      <c r="B53" s="90"/>
      <c r="C53" s="66" t="s">
        <v>179</v>
      </c>
      <c r="D53" s="67">
        <v>18</v>
      </c>
      <c r="E53" s="68">
        <v>2.2756005056889999E-2</v>
      </c>
    </row>
    <row r="54" spans="2:5" s="76" customFormat="1" ht="14.5" customHeight="1">
      <c r="B54" s="90"/>
      <c r="C54" s="36" t="s">
        <v>29</v>
      </c>
      <c r="D54" s="35">
        <v>23</v>
      </c>
      <c r="E54" s="34">
        <v>2.9077117572693E-2</v>
      </c>
    </row>
    <row r="55" spans="2:5" s="76" customFormat="1" ht="14.5" customHeight="1">
      <c r="B55" s="90" t="s">
        <v>104</v>
      </c>
      <c r="C55" s="66" t="s">
        <v>180</v>
      </c>
      <c r="D55" s="67">
        <v>1</v>
      </c>
      <c r="E55" s="68">
        <v>1.264222503161E-3</v>
      </c>
    </row>
    <row r="56" spans="2:5" s="76" customFormat="1" ht="14.5" customHeight="1">
      <c r="B56" s="90"/>
      <c r="C56" s="66" t="s">
        <v>179</v>
      </c>
      <c r="D56" s="67">
        <v>1</v>
      </c>
      <c r="E56" s="68">
        <v>1.264222503161E-3</v>
      </c>
    </row>
    <row r="57" spans="2:5" s="76" customFormat="1" ht="14.5" customHeight="1">
      <c r="B57" s="90"/>
      <c r="C57" s="36" t="s">
        <v>29</v>
      </c>
      <c r="D57" s="35">
        <v>2</v>
      </c>
      <c r="E57" s="34">
        <v>2.528445006321E-3</v>
      </c>
    </row>
    <row r="58" spans="2:5" s="76" customFormat="1" ht="14.5" customHeight="1">
      <c r="B58" s="90" t="s">
        <v>105</v>
      </c>
      <c r="C58" s="66" t="s">
        <v>177</v>
      </c>
      <c r="D58" s="67">
        <v>8</v>
      </c>
      <c r="E58" s="68">
        <v>1.0113780025284E-2</v>
      </c>
    </row>
    <row r="59" spans="2:5" s="76" customFormat="1" ht="14.5" customHeight="1">
      <c r="B59" s="90"/>
      <c r="C59" s="66" t="s">
        <v>180</v>
      </c>
      <c r="D59" s="67">
        <v>3</v>
      </c>
      <c r="E59" s="68">
        <v>3.792667509482E-3</v>
      </c>
    </row>
    <row r="60" spans="2:5" s="76" customFormat="1" ht="14.5" customHeight="1">
      <c r="B60" s="90"/>
      <c r="C60" s="66" t="s">
        <v>178</v>
      </c>
      <c r="D60" s="67">
        <v>2</v>
      </c>
      <c r="E60" s="68">
        <v>2.528445006321E-3</v>
      </c>
    </row>
    <row r="61" spans="2:5" s="76" customFormat="1" ht="14.5" customHeight="1">
      <c r="B61" s="90"/>
      <c r="C61" s="66" t="s">
        <v>184</v>
      </c>
      <c r="D61" s="67">
        <v>1</v>
      </c>
      <c r="E61" s="68">
        <v>1.264222503161E-3</v>
      </c>
    </row>
    <row r="62" spans="2:5" s="76" customFormat="1" ht="14.5" customHeight="1">
      <c r="B62" s="90"/>
      <c r="C62" s="66" t="s">
        <v>179</v>
      </c>
      <c r="D62" s="67">
        <v>14</v>
      </c>
      <c r="E62" s="68">
        <v>1.7699115044247999E-2</v>
      </c>
    </row>
    <row r="63" spans="2:5" s="76" customFormat="1" ht="14.5" customHeight="1">
      <c r="B63" s="90"/>
      <c r="C63" s="36" t="s">
        <v>29</v>
      </c>
      <c r="D63" s="35">
        <v>28</v>
      </c>
      <c r="E63" s="34">
        <v>3.5398230088495998E-2</v>
      </c>
    </row>
    <row r="64" spans="2:5" s="76" customFormat="1" ht="14.5" customHeight="1">
      <c r="B64" s="90" t="s">
        <v>106</v>
      </c>
      <c r="C64" s="66" t="s">
        <v>177</v>
      </c>
      <c r="D64" s="67">
        <v>6</v>
      </c>
      <c r="E64" s="68">
        <v>7.5853350189629999E-3</v>
      </c>
    </row>
    <row r="65" spans="2:5" s="76" customFormat="1" ht="14.5" customHeight="1">
      <c r="B65" s="90"/>
      <c r="C65" s="66" t="s">
        <v>179</v>
      </c>
      <c r="D65" s="67">
        <v>4</v>
      </c>
      <c r="E65" s="68">
        <v>5.0568900126419999E-3</v>
      </c>
    </row>
    <row r="66" spans="2:5" s="76" customFormat="1" ht="14.5" customHeight="1">
      <c r="B66" s="90"/>
      <c r="C66" s="36" t="s">
        <v>29</v>
      </c>
      <c r="D66" s="35">
        <v>10</v>
      </c>
      <c r="E66" s="34">
        <v>1.2642225031606001E-2</v>
      </c>
    </row>
    <row r="67" spans="2:5" s="76" customFormat="1" ht="14.5" customHeight="1">
      <c r="B67" s="90" t="s">
        <v>107</v>
      </c>
      <c r="C67" s="66" t="s">
        <v>180</v>
      </c>
      <c r="D67" s="67">
        <v>1</v>
      </c>
      <c r="E67" s="68">
        <v>1.264222503161E-3</v>
      </c>
    </row>
    <row r="68" spans="2:5" s="76" customFormat="1" ht="14.5" customHeight="1">
      <c r="B68" s="90"/>
      <c r="C68" s="66" t="s">
        <v>178</v>
      </c>
      <c r="D68" s="67">
        <v>1</v>
      </c>
      <c r="E68" s="68">
        <v>1.264222503161E-3</v>
      </c>
    </row>
    <row r="69" spans="2:5" s="76" customFormat="1" ht="14.5" customHeight="1">
      <c r="B69" s="90"/>
      <c r="C69" s="66" t="s">
        <v>184</v>
      </c>
      <c r="D69" s="67">
        <v>4</v>
      </c>
      <c r="E69" s="68">
        <v>5.0568900126419999E-3</v>
      </c>
    </row>
    <row r="70" spans="2:5" s="76" customFormat="1" ht="14.5" customHeight="1">
      <c r="B70" s="90"/>
      <c r="C70" s="66" t="s">
        <v>179</v>
      </c>
      <c r="D70" s="67">
        <v>8</v>
      </c>
      <c r="E70" s="68">
        <v>1.0113780025284E-2</v>
      </c>
    </row>
    <row r="71" spans="2:5" s="76" customFormat="1" ht="14.5" customHeight="1">
      <c r="B71" s="90"/>
      <c r="C71" s="36" t="s">
        <v>29</v>
      </c>
      <c r="D71" s="35">
        <v>14</v>
      </c>
      <c r="E71" s="34">
        <v>1.7699115044247999E-2</v>
      </c>
    </row>
    <row r="72" spans="2:5" s="76" customFormat="1" ht="14.5" customHeight="1">
      <c r="B72" s="90" t="s">
        <v>108</v>
      </c>
      <c r="C72" s="66" t="s">
        <v>179</v>
      </c>
      <c r="D72" s="67">
        <v>7</v>
      </c>
      <c r="E72" s="68">
        <v>8.8495575221239995E-3</v>
      </c>
    </row>
    <row r="73" spans="2:5" s="76" customFormat="1" ht="14.5" customHeight="1">
      <c r="B73" s="90"/>
      <c r="C73" s="36" t="s">
        <v>29</v>
      </c>
      <c r="D73" s="35">
        <v>7</v>
      </c>
      <c r="E73" s="34">
        <v>8.8495575221239995E-3</v>
      </c>
    </row>
    <row r="74" spans="2:5" s="76" customFormat="1" ht="14.5" customHeight="1">
      <c r="B74" s="90" t="s">
        <v>109</v>
      </c>
      <c r="C74" s="66" t="s">
        <v>177</v>
      </c>
      <c r="D74" s="67">
        <v>1</v>
      </c>
      <c r="E74" s="68">
        <v>1.264222503161E-3</v>
      </c>
    </row>
    <row r="75" spans="2:5" s="76" customFormat="1" ht="14.5" customHeight="1">
      <c r="B75" s="90"/>
      <c r="C75" s="66" t="s">
        <v>180</v>
      </c>
      <c r="D75" s="67">
        <v>1</v>
      </c>
      <c r="E75" s="68">
        <v>1.264222503161E-3</v>
      </c>
    </row>
    <row r="76" spans="2:5" s="76" customFormat="1" ht="14.5" customHeight="1">
      <c r="B76" s="90"/>
      <c r="C76" s="66" t="s">
        <v>184</v>
      </c>
      <c r="D76" s="67">
        <v>1</v>
      </c>
      <c r="E76" s="68">
        <v>1.264222503161E-3</v>
      </c>
    </row>
    <row r="77" spans="2:5" s="76" customFormat="1" ht="14.5" customHeight="1">
      <c r="B77" s="90"/>
      <c r="C77" s="66" t="s">
        <v>179</v>
      </c>
      <c r="D77" s="67">
        <v>8</v>
      </c>
      <c r="E77" s="68">
        <v>1.0113780025284E-2</v>
      </c>
    </row>
    <row r="78" spans="2:5" s="76" customFormat="1" ht="14.5" customHeight="1">
      <c r="B78" s="90"/>
      <c r="C78" s="36" t="s">
        <v>29</v>
      </c>
      <c r="D78" s="35">
        <v>11</v>
      </c>
      <c r="E78" s="34">
        <v>1.3906447534765999E-2</v>
      </c>
    </row>
    <row r="79" spans="2:5" s="76" customFormat="1" ht="14.5" customHeight="1">
      <c r="B79" s="90" t="s">
        <v>110</v>
      </c>
      <c r="C79" s="66" t="s">
        <v>179</v>
      </c>
      <c r="D79" s="67">
        <v>4</v>
      </c>
      <c r="E79" s="68">
        <v>5.0568900126419999E-3</v>
      </c>
    </row>
    <row r="80" spans="2:5" s="76" customFormat="1" ht="14.5" customHeight="1">
      <c r="B80" s="90"/>
      <c r="C80" s="36" t="s">
        <v>29</v>
      </c>
      <c r="D80" s="35">
        <v>4</v>
      </c>
      <c r="E80" s="34">
        <v>5.0568900126419999E-3</v>
      </c>
    </row>
    <row r="81" spans="2:5" s="76" customFormat="1" ht="14.5" customHeight="1">
      <c r="B81" s="90" t="s">
        <v>111</v>
      </c>
      <c r="C81" s="66" t="s">
        <v>179</v>
      </c>
      <c r="D81" s="67">
        <v>2</v>
      </c>
      <c r="E81" s="68">
        <v>2.528445006321E-3</v>
      </c>
    </row>
    <row r="82" spans="2:5" s="76" customFormat="1" ht="14.5" customHeight="1">
      <c r="B82" s="90"/>
      <c r="C82" s="36" t="s">
        <v>29</v>
      </c>
      <c r="D82" s="35">
        <v>2</v>
      </c>
      <c r="E82" s="34">
        <v>2.528445006321E-3</v>
      </c>
    </row>
    <row r="83" spans="2:5" s="76" customFormat="1" ht="14.5" customHeight="1">
      <c r="B83" s="90" t="s">
        <v>112</v>
      </c>
      <c r="C83" s="66" t="s">
        <v>179</v>
      </c>
      <c r="D83" s="67">
        <v>7</v>
      </c>
      <c r="E83" s="68">
        <v>8.8495575221239995E-3</v>
      </c>
    </row>
    <row r="84" spans="2:5" s="76" customFormat="1" ht="14.5" customHeight="1">
      <c r="B84" s="90"/>
      <c r="C84" s="36" t="s">
        <v>29</v>
      </c>
      <c r="D84" s="35">
        <v>7</v>
      </c>
      <c r="E84" s="34">
        <v>8.8495575221239995E-3</v>
      </c>
    </row>
    <row r="85" spans="2:5" s="76" customFormat="1" ht="14.5" customHeight="1">
      <c r="B85" s="90" t="s">
        <v>113</v>
      </c>
      <c r="C85" s="66" t="s">
        <v>181</v>
      </c>
      <c r="D85" s="67">
        <v>2</v>
      </c>
      <c r="E85" s="68">
        <v>2.528445006321E-3</v>
      </c>
    </row>
    <row r="86" spans="2:5" s="76" customFormat="1" ht="14.5" customHeight="1">
      <c r="B86" s="90"/>
      <c r="C86" s="66" t="s">
        <v>177</v>
      </c>
      <c r="D86" s="67">
        <v>2</v>
      </c>
      <c r="E86" s="68">
        <v>2.528445006321E-3</v>
      </c>
    </row>
    <row r="87" spans="2:5" s="76" customFormat="1" ht="14.5" customHeight="1">
      <c r="B87" s="90"/>
      <c r="C87" s="66" t="s">
        <v>184</v>
      </c>
      <c r="D87" s="67">
        <v>1</v>
      </c>
      <c r="E87" s="68">
        <v>1.264222503161E-3</v>
      </c>
    </row>
    <row r="88" spans="2:5" s="76" customFormat="1" ht="14.5" customHeight="1">
      <c r="B88" s="90"/>
      <c r="C88" s="66" t="s">
        <v>179</v>
      </c>
      <c r="D88" s="67">
        <v>25</v>
      </c>
      <c r="E88" s="68">
        <v>3.1605562579014E-2</v>
      </c>
    </row>
    <row r="89" spans="2:5" s="76" customFormat="1" ht="14.5" customHeight="1">
      <c r="B89" s="90"/>
      <c r="C89" s="36" t="s">
        <v>29</v>
      </c>
      <c r="D89" s="35">
        <v>30</v>
      </c>
      <c r="E89" s="34">
        <v>3.7926675094817001E-2</v>
      </c>
    </row>
    <row r="90" spans="2:5" s="76" customFormat="1" ht="14.5" customHeight="1">
      <c r="B90" s="90" t="s">
        <v>114</v>
      </c>
      <c r="C90" s="66" t="s">
        <v>177</v>
      </c>
      <c r="D90" s="67">
        <v>2</v>
      </c>
      <c r="E90" s="68">
        <v>2.528445006321E-3</v>
      </c>
    </row>
    <row r="91" spans="2:5" s="76" customFormat="1" ht="14.5" customHeight="1">
      <c r="B91" s="90"/>
      <c r="C91" s="66" t="s">
        <v>179</v>
      </c>
      <c r="D91" s="67">
        <v>8</v>
      </c>
      <c r="E91" s="68">
        <v>1.0113780025284E-2</v>
      </c>
    </row>
    <row r="92" spans="2:5" s="76" customFormat="1" ht="14.5" customHeight="1">
      <c r="B92" s="90"/>
      <c r="C92" s="36" t="s">
        <v>29</v>
      </c>
      <c r="D92" s="35">
        <v>10</v>
      </c>
      <c r="E92" s="34">
        <v>1.2642225031606001E-2</v>
      </c>
    </row>
    <row r="93" spans="2:5" s="76" customFormat="1" ht="14.5" customHeight="1">
      <c r="B93" s="90" t="s">
        <v>115</v>
      </c>
      <c r="C93" s="66" t="s">
        <v>184</v>
      </c>
      <c r="D93" s="67">
        <v>1</v>
      </c>
      <c r="E93" s="68">
        <v>1.264222503161E-3</v>
      </c>
    </row>
    <row r="94" spans="2:5" s="76" customFormat="1" ht="14.5" customHeight="1">
      <c r="B94" s="90"/>
      <c r="C94" s="66" t="s">
        <v>179</v>
      </c>
      <c r="D94" s="67">
        <v>3</v>
      </c>
      <c r="E94" s="68">
        <v>3.792667509482E-3</v>
      </c>
    </row>
    <row r="95" spans="2:5" s="76" customFormat="1" ht="14.5" customHeight="1">
      <c r="B95" s="90"/>
      <c r="C95" s="36" t="s">
        <v>29</v>
      </c>
      <c r="D95" s="35">
        <v>4</v>
      </c>
      <c r="E95" s="34">
        <v>5.0568900126419999E-3</v>
      </c>
    </row>
    <row r="96" spans="2:5" s="76" customFormat="1" ht="14.5" customHeight="1">
      <c r="B96" s="90" t="s">
        <v>116</v>
      </c>
      <c r="C96" s="66" t="s">
        <v>179</v>
      </c>
      <c r="D96" s="67">
        <v>7</v>
      </c>
      <c r="E96" s="68">
        <v>8.8495575221239995E-3</v>
      </c>
    </row>
    <row r="97" spans="2:5" s="76" customFormat="1" ht="14.5" customHeight="1">
      <c r="B97" s="90"/>
      <c r="C97" s="36" t="s">
        <v>29</v>
      </c>
      <c r="D97" s="35">
        <v>7</v>
      </c>
      <c r="E97" s="34">
        <v>8.8495575221239995E-3</v>
      </c>
    </row>
    <row r="98" spans="2:5" s="76" customFormat="1" ht="14.5" customHeight="1">
      <c r="B98" s="90" t="s">
        <v>117</v>
      </c>
      <c r="C98" s="66" t="s">
        <v>181</v>
      </c>
      <c r="D98" s="67">
        <v>1</v>
      </c>
      <c r="E98" s="68">
        <v>1.264222503161E-3</v>
      </c>
    </row>
    <row r="99" spans="2:5" s="76" customFormat="1" ht="14.5" customHeight="1">
      <c r="B99" s="90"/>
      <c r="C99" s="66" t="s">
        <v>177</v>
      </c>
      <c r="D99" s="67">
        <v>1</v>
      </c>
      <c r="E99" s="68">
        <v>1.264222503161E-3</v>
      </c>
    </row>
    <row r="100" spans="2:5" s="76" customFormat="1" ht="14.5" customHeight="1">
      <c r="B100" s="90"/>
      <c r="C100" s="66" t="s">
        <v>183</v>
      </c>
      <c r="D100" s="67">
        <v>1</v>
      </c>
      <c r="E100" s="68">
        <v>1.264222503161E-3</v>
      </c>
    </row>
    <row r="101" spans="2:5" s="76" customFormat="1" ht="14.5" customHeight="1">
      <c r="B101" s="90"/>
      <c r="C101" s="66" t="s">
        <v>179</v>
      </c>
      <c r="D101" s="67">
        <v>2</v>
      </c>
      <c r="E101" s="68">
        <v>2.528445006321E-3</v>
      </c>
    </row>
    <row r="102" spans="2:5" s="76" customFormat="1" ht="14.5" customHeight="1">
      <c r="B102" s="90"/>
      <c r="C102" s="36" t="s">
        <v>29</v>
      </c>
      <c r="D102" s="35">
        <v>5</v>
      </c>
      <c r="E102" s="34">
        <v>6.3211125158030004E-3</v>
      </c>
    </row>
    <row r="103" spans="2:5" s="76" customFormat="1" ht="14.5" customHeight="1">
      <c r="B103" s="90" t="s">
        <v>118</v>
      </c>
      <c r="C103" s="66" t="s">
        <v>179</v>
      </c>
      <c r="D103" s="67">
        <v>1</v>
      </c>
      <c r="E103" s="68">
        <v>1.264222503161E-3</v>
      </c>
    </row>
    <row r="104" spans="2:5" s="76" customFormat="1" ht="14.5" customHeight="1">
      <c r="B104" s="90"/>
      <c r="C104" s="36" t="s">
        <v>29</v>
      </c>
      <c r="D104" s="35">
        <v>1</v>
      </c>
      <c r="E104" s="34">
        <v>1.264222503161E-3</v>
      </c>
    </row>
    <row r="105" spans="2:5" s="76" customFormat="1" ht="14.5" customHeight="1">
      <c r="B105" s="90" t="s">
        <v>119</v>
      </c>
      <c r="C105" s="66" t="s">
        <v>177</v>
      </c>
      <c r="D105" s="67">
        <v>5</v>
      </c>
      <c r="E105" s="68">
        <v>6.3211125158030004E-3</v>
      </c>
    </row>
    <row r="106" spans="2:5" s="76" customFormat="1" ht="14.5" customHeight="1">
      <c r="B106" s="90"/>
      <c r="C106" s="66" t="s">
        <v>179</v>
      </c>
      <c r="D106" s="67">
        <v>8</v>
      </c>
      <c r="E106" s="68">
        <v>1.0113780025284E-2</v>
      </c>
    </row>
    <row r="107" spans="2:5" s="76" customFormat="1" ht="14.5" customHeight="1">
      <c r="B107" s="90"/>
      <c r="C107" s="36" t="s">
        <v>29</v>
      </c>
      <c r="D107" s="35">
        <v>13</v>
      </c>
      <c r="E107" s="34">
        <v>1.6434892541087001E-2</v>
      </c>
    </row>
    <row r="108" spans="2:5" s="76" customFormat="1" ht="14.5" customHeight="1">
      <c r="B108" s="90" t="s">
        <v>120</v>
      </c>
      <c r="C108" s="66" t="s">
        <v>177</v>
      </c>
      <c r="D108" s="67">
        <v>1</v>
      </c>
      <c r="E108" s="68">
        <v>1.264222503161E-3</v>
      </c>
    </row>
    <row r="109" spans="2:5" s="76" customFormat="1" ht="14.5" customHeight="1">
      <c r="B109" s="90"/>
      <c r="C109" s="66" t="s">
        <v>178</v>
      </c>
      <c r="D109" s="67">
        <v>1</v>
      </c>
      <c r="E109" s="68">
        <v>1.264222503161E-3</v>
      </c>
    </row>
    <row r="110" spans="2:5" s="76" customFormat="1" ht="14.5" customHeight="1">
      <c r="B110" s="90"/>
      <c r="C110" s="66" t="s">
        <v>179</v>
      </c>
      <c r="D110" s="67">
        <v>3</v>
      </c>
      <c r="E110" s="68">
        <v>3.792667509482E-3</v>
      </c>
    </row>
    <row r="111" spans="2:5" s="76" customFormat="1" ht="14.5" customHeight="1">
      <c r="B111" s="90"/>
      <c r="C111" s="36" t="s">
        <v>29</v>
      </c>
      <c r="D111" s="35">
        <v>5</v>
      </c>
      <c r="E111" s="34">
        <v>6.3211125158030004E-3</v>
      </c>
    </row>
    <row r="112" spans="2:5" s="76" customFormat="1" ht="14.5" customHeight="1">
      <c r="B112" s="90" t="s">
        <v>121</v>
      </c>
      <c r="C112" s="66" t="s">
        <v>177</v>
      </c>
      <c r="D112" s="67">
        <v>1</v>
      </c>
      <c r="E112" s="68">
        <v>1.264222503161E-3</v>
      </c>
    </row>
    <row r="113" spans="2:5" s="76" customFormat="1" ht="14.5" customHeight="1">
      <c r="B113" s="90"/>
      <c r="C113" s="66" t="s">
        <v>180</v>
      </c>
      <c r="D113" s="67">
        <v>3</v>
      </c>
      <c r="E113" s="68">
        <v>3.792667509482E-3</v>
      </c>
    </row>
    <row r="114" spans="2:5" s="76" customFormat="1" ht="14.5" customHeight="1">
      <c r="B114" s="90"/>
      <c r="C114" s="66" t="s">
        <v>178</v>
      </c>
      <c r="D114" s="67">
        <v>2</v>
      </c>
      <c r="E114" s="68">
        <v>2.528445006321E-3</v>
      </c>
    </row>
    <row r="115" spans="2:5" s="76" customFormat="1" ht="14.5" customHeight="1">
      <c r="B115" s="90"/>
      <c r="C115" s="66" t="s">
        <v>183</v>
      </c>
      <c r="D115" s="67">
        <v>1</v>
      </c>
      <c r="E115" s="68">
        <v>1.264222503161E-3</v>
      </c>
    </row>
    <row r="116" spans="2:5" s="76" customFormat="1" ht="14.5" customHeight="1">
      <c r="B116" s="90"/>
      <c r="C116" s="66" t="s">
        <v>179</v>
      </c>
      <c r="D116" s="67">
        <v>8</v>
      </c>
      <c r="E116" s="68">
        <v>1.0113780025284E-2</v>
      </c>
    </row>
    <row r="117" spans="2:5" s="76" customFormat="1" ht="14.5" customHeight="1">
      <c r="B117" s="90"/>
      <c r="C117" s="36" t="s">
        <v>29</v>
      </c>
      <c r="D117" s="35">
        <v>15</v>
      </c>
      <c r="E117" s="34">
        <v>1.8963337547408001E-2</v>
      </c>
    </row>
    <row r="118" spans="2:5" s="76" customFormat="1" ht="14.5" customHeight="1">
      <c r="B118" s="90" t="s">
        <v>122</v>
      </c>
      <c r="C118" s="66" t="s">
        <v>177</v>
      </c>
      <c r="D118" s="67">
        <v>5</v>
      </c>
      <c r="E118" s="68">
        <v>6.3211125158030004E-3</v>
      </c>
    </row>
    <row r="119" spans="2:5" s="76" customFormat="1" ht="14.5" customHeight="1">
      <c r="B119" s="90"/>
      <c r="C119" s="66" t="s">
        <v>180</v>
      </c>
      <c r="D119" s="67">
        <v>1</v>
      </c>
      <c r="E119" s="68">
        <v>1.264222503161E-3</v>
      </c>
    </row>
    <row r="120" spans="2:5" s="76" customFormat="1" ht="14.5" customHeight="1">
      <c r="B120" s="90"/>
      <c r="C120" s="66" t="s">
        <v>178</v>
      </c>
      <c r="D120" s="67">
        <v>1</v>
      </c>
      <c r="E120" s="68">
        <v>1.264222503161E-3</v>
      </c>
    </row>
    <row r="121" spans="2:5" s="76" customFormat="1" ht="14.5" customHeight="1">
      <c r="B121" s="90"/>
      <c r="C121" s="66" t="s">
        <v>184</v>
      </c>
      <c r="D121" s="67">
        <v>1</v>
      </c>
      <c r="E121" s="68">
        <v>1.264222503161E-3</v>
      </c>
    </row>
    <row r="122" spans="2:5" s="76" customFormat="1" ht="14.5" customHeight="1">
      <c r="B122" s="90"/>
      <c r="C122" s="66" t="s">
        <v>179</v>
      </c>
      <c r="D122" s="67">
        <v>24</v>
      </c>
      <c r="E122" s="68">
        <v>3.0341340075852999E-2</v>
      </c>
    </row>
    <row r="123" spans="2:5" s="76" customFormat="1" ht="14.5" customHeight="1">
      <c r="B123" s="90"/>
      <c r="C123" s="36" t="s">
        <v>29</v>
      </c>
      <c r="D123" s="35">
        <v>32</v>
      </c>
      <c r="E123" s="34">
        <v>4.0455120101137998E-2</v>
      </c>
    </row>
    <row r="124" spans="2:5" s="76" customFormat="1" ht="14.5" customHeight="1">
      <c r="B124" s="90" t="s">
        <v>123</v>
      </c>
      <c r="C124" s="66" t="s">
        <v>177</v>
      </c>
      <c r="D124" s="67">
        <v>3</v>
      </c>
      <c r="E124" s="68">
        <v>3.792667509482E-3</v>
      </c>
    </row>
    <row r="125" spans="2:5" s="76" customFormat="1" ht="14.5" customHeight="1">
      <c r="B125" s="90"/>
      <c r="C125" s="66" t="s">
        <v>178</v>
      </c>
      <c r="D125" s="67">
        <v>1</v>
      </c>
      <c r="E125" s="68">
        <v>1.264222503161E-3</v>
      </c>
    </row>
    <row r="126" spans="2:5" s="76" customFormat="1" ht="14.5" customHeight="1">
      <c r="B126" s="90"/>
      <c r="C126" s="66" t="s">
        <v>179</v>
      </c>
      <c r="D126" s="67">
        <v>7</v>
      </c>
      <c r="E126" s="68">
        <v>8.8495575221239995E-3</v>
      </c>
    </row>
    <row r="127" spans="2:5" s="76" customFormat="1" ht="14.5" customHeight="1">
      <c r="B127" s="90"/>
      <c r="C127" s="36" t="s">
        <v>29</v>
      </c>
      <c r="D127" s="35">
        <v>11</v>
      </c>
      <c r="E127" s="34">
        <v>1.3906447534765999E-2</v>
      </c>
    </row>
    <row r="128" spans="2:5" s="76" customFormat="1" ht="14.5" customHeight="1">
      <c r="B128" s="90" t="s">
        <v>124</v>
      </c>
      <c r="C128" s="66" t="s">
        <v>177</v>
      </c>
      <c r="D128" s="67">
        <v>2</v>
      </c>
      <c r="E128" s="68">
        <v>2.528445006321E-3</v>
      </c>
    </row>
    <row r="129" spans="2:5" s="76" customFormat="1" ht="14.5" customHeight="1">
      <c r="B129" s="90"/>
      <c r="C129" s="66" t="s">
        <v>179</v>
      </c>
      <c r="D129" s="67">
        <v>16</v>
      </c>
      <c r="E129" s="68">
        <v>2.0227560050568999E-2</v>
      </c>
    </row>
    <row r="130" spans="2:5" s="76" customFormat="1" ht="14.5" customHeight="1">
      <c r="B130" s="90"/>
      <c r="C130" s="36" t="s">
        <v>29</v>
      </c>
      <c r="D130" s="35">
        <v>18</v>
      </c>
      <c r="E130" s="34">
        <v>2.2756005056889999E-2</v>
      </c>
    </row>
    <row r="131" spans="2:5" s="76" customFormat="1" ht="14.5" customHeight="1">
      <c r="B131" s="90" t="s">
        <v>125</v>
      </c>
      <c r="C131" s="66" t="s">
        <v>177</v>
      </c>
      <c r="D131" s="67">
        <v>1</v>
      </c>
      <c r="E131" s="68">
        <v>1.264222503161E-3</v>
      </c>
    </row>
    <row r="132" spans="2:5" s="76" customFormat="1" ht="14.5" customHeight="1">
      <c r="B132" s="90"/>
      <c r="C132" s="66" t="s">
        <v>184</v>
      </c>
      <c r="D132" s="67">
        <v>3</v>
      </c>
      <c r="E132" s="68">
        <v>3.792667509482E-3</v>
      </c>
    </row>
    <row r="133" spans="2:5" s="76" customFormat="1" ht="14.5" customHeight="1">
      <c r="B133" s="90"/>
      <c r="C133" s="66" t="s">
        <v>179</v>
      </c>
      <c r="D133" s="67">
        <v>3</v>
      </c>
      <c r="E133" s="68">
        <v>3.792667509482E-3</v>
      </c>
    </row>
    <row r="134" spans="2:5" s="76" customFormat="1" ht="14.5" customHeight="1">
      <c r="B134" s="90"/>
      <c r="C134" s="36" t="s">
        <v>29</v>
      </c>
      <c r="D134" s="35">
        <v>7</v>
      </c>
      <c r="E134" s="34">
        <v>8.8495575221239995E-3</v>
      </c>
    </row>
    <row r="135" spans="2:5" s="76" customFormat="1" ht="14.5" customHeight="1">
      <c r="B135" s="90" t="s">
        <v>126</v>
      </c>
      <c r="C135" s="66" t="s">
        <v>177</v>
      </c>
      <c r="D135" s="67">
        <v>1</v>
      </c>
      <c r="E135" s="68">
        <v>1.264222503161E-3</v>
      </c>
    </row>
    <row r="136" spans="2:5" s="76" customFormat="1" ht="14.5" customHeight="1">
      <c r="B136" s="90"/>
      <c r="C136" s="66" t="s">
        <v>179</v>
      </c>
      <c r="D136" s="67">
        <v>1</v>
      </c>
      <c r="E136" s="68">
        <v>1.264222503161E-3</v>
      </c>
    </row>
    <row r="137" spans="2:5" s="76" customFormat="1" ht="14.5" customHeight="1">
      <c r="B137" s="90"/>
      <c r="C137" s="36" t="s">
        <v>29</v>
      </c>
      <c r="D137" s="35">
        <v>2</v>
      </c>
      <c r="E137" s="34">
        <v>2.528445006321E-3</v>
      </c>
    </row>
    <row r="138" spans="2:5" s="76" customFormat="1" ht="14.5" customHeight="1">
      <c r="B138" s="90" t="s">
        <v>127</v>
      </c>
      <c r="C138" s="66" t="s">
        <v>177</v>
      </c>
      <c r="D138" s="67">
        <v>3</v>
      </c>
      <c r="E138" s="68">
        <v>3.792667509482E-3</v>
      </c>
    </row>
    <row r="139" spans="2:5" s="76" customFormat="1" ht="14.5" customHeight="1">
      <c r="B139" s="90"/>
      <c r="C139" s="66" t="s">
        <v>180</v>
      </c>
      <c r="D139" s="67">
        <v>2</v>
      </c>
      <c r="E139" s="68">
        <v>2.528445006321E-3</v>
      </c>
    </row>
    <row r="140" spans="2:5" s="76" customFormat="1" ht="14.5" customHeight="1">
      <c r="B140" s="90"/>
      <c r="C140" s="66" t="s">
        <v>178</v>
      </c>
      <c r="D140" s="67">
        <v>1</v>
      </c>
      <c r="E140" s="68">
        <v>1.264222503161E-3</v>
      </c>
    </row>
    <row r="141" spans="2:5" s="76" customFormat="1" ht="14.5" customHeight="1">
      <c r="B141" s="90"/>
      <c r="C141" s="66" t="s">
        <v>179</v>
      </c>
      <c r="D141" s="67">
        <v>10</v>
      </c>
      <c r="E141" s="68">
        <v>1.2642225031606001E-2</v>
      </c>
    </row>
    <row r="142" spans="2:5" s="76" customFormat="1" ht="14.5" customHeight="1">
      <c r="B142" s="90"/>
      <c r="C142" s="66" t="s">
        <v>186</v>
      </c>
      <c r="D142" s="67">
        <v>1</v>
      </c>
      <c r="E142" s="68">
        <v>1.264222503161E-3</v>
      </c>
    </row>
    <row r="143" spans="2:5" s="76" customFormat="1" ht="14.5" customHeight="1">
      <c r="B143" s="90"/>
      <c r="C143" s="36" t="s">
        <v>29</v>
      </c>
      <c r="D143" s="35">
        <v>17</v>
      </c>
      <c r="E143" s="34">
        <v>2.1491782553729001E-2</v>
      </c>
    </row>
    <row r="144" spans="2:5" s="76" customFormat="1" ht="14.5" customHeight="1">
      <c r="B144" s="90" t="s">
        <v>128</v>
      </c>
      <c r="C144" s="66" t="s">
        <v>177</v>
      </c>
      <c r="D144" s="67">
        <v>5</v>
      </c>
      <c r="E144" s="68">
        <v>6.3211125158030004E-3</v>
      </c>
    </row>
    <row r="145" spans="2:5" s="76" customFormat="1" ht="14.5" customHeight="1">
      <c r="B145" s="90"/>
      <c r="C145" s="66" t="s">
        <v>179</v>
      </c>
      <c r="D145" s="67">
        <v>12</v>
      </c>
      <c r="E145" s="68">
        <v>1.5170670037927001E-2</v>
      </c>
    </row>
    <row r="146" spans="2:5" s="76" customFormat="1" ht="14.5" customHeight="1">
      <c r="B146" s="90"/>
      <c r="C146" s="66" t="s">
        <v>186</v>
      </c>
      <c r="D146" s="67">
        <v>1</v>
      </c>
      <c r="E146" s="68">
        <v>1.264222503161E-3</v>
      </c>
    </row>
    <row r="147" spans="2:5" s="76" customFormat="1" ht="14.5" customHeight="1">
      <c r="B147" s="90"/>
      <c r="C147" s="36" t="s">
        <v>29</v>
      </c>
      <c r="D147" s="35">
        <v>18</v>
      </c>
      <c r="E147" s="34">
        <v>2.2756005056889999E-2</v>
      </c>
    </row>
    <row r="148" spans="2:5" s="76" customFormat="1" ht="14.5" customHeight="1">
      <c r="B148" s="90" t="s">
        <v>129</v>
      </c>
      <c r="C148" s="66" t="s">
        <v>181</v>
      </c>
      <c r="D148" s="67">
        <v>1</v>
      </c>
      <c r="E148" s="68">
        <v>1.264222503161E-3</v>
      </c>
    </row>
    <row r="149" spans="2:5" s="76" customFormat="1" ht="14.5" customHeight="1">
      <c r="B149" s="90"/>
      <c r="C149" s="66" t="s">
        <v>177</v>
      </c>
      <c r="D149" s="67">
        <v>39</v>
      </c>
      <c r="E149" s="68">
        <v>4.9304677623262003E-2</v>
      </c>
    </row>
    <row r="150" spans="2:5" s="76" customFormat="1" ht="14.5" customHeight="1">
      <c r="B150" s="90"/>
      <c r="C150" s="66" t="s">
        <v>180</v>
      </c>
      <c r="D150" s="67">
        <v>1</v>
      </c>
      <c r="E150" s="68">
        <v>1.264222503161E-3</v>
      </c>
    </row>
    <row r="151" spans="2:5" s="76" customFormat="1" ht="14.5" customHeight="1">
      <c r="B151" s="90"/>
      <c r="C151" s="66" t="s">
        <v>178</v>
      </c>
      <c r="D151" s="67">
        <v>3</v>
      </c>
      <c r="E151" s="68">
        <v>3.792667509482E-3</v>
      </c>
    </row>
    <row r="152" spans="2:5" s="76" customFormat="1" ht="14.5" customHeight="1">
      <c r="B152" s="90"/>
      <c r="C152" s="66" t="s">
        <v>183</v>
      </c>
      <c r="D152" s="67">
        <v>1</v>
      </c>
      <c r="E152" s="68">
        <v>1.264222503161E-3</v>
      </c>
    </row>
    <row r="153" spans="2:5" s="76" customFormat="1" ht="14.5" customHeight="1">
      <c r="B153" s="90"/>
      <c r="C153" s="66" t="s">
        <v>184</v>
      </c>
      <c r="D153" s="67">
        <v>3</v>
      </c>
      <c r="E153" s="68">
        <v>3.792667509482E-3</v>
      </c>
    </row>
    <row r="154" spans="2:5" s="76" customFormat="1" ht="14.5" customHeight="1">
      <c r="B154" s="90"/>
      <c r="C154" s="66" t="s">
        <v>179</v>
      </c>
      <c r="D154" s="67">
        <v>84</v>
      </c>
      <c r="E154" s="68">
        <v>0.106194690265487</v>
      </c>
    </row>
    <row r="155" spans="2:5" s="76" customFormat="1" ht="14.5" customHeight="1">
      <c r="B155" s="90"/>
      <c r="C155" s="66" t="s">
        <v>186</v>
      </c>
      <c r="D155" s="67">
        <v>4</v>
      </c>
      <c r="E155" s="68">
        <v>5.0568900126419999E-3</v>
      </c>
    </row>
    <row r="156" spans="2:5" s="76" customFormat="1" ht="14.5" customHeight="1">
      <c r="B156" s="90"/>
      <c r="C156" s="36" t="s">
        <v>29</v>
      </c>
      <c r="D156" s="35">
        <v>136</v>
      </c>
      <c r="E156" s="34">
        <v>0.17193426042983601</v>
      </c>
    </row>
    <row r="157" spans="2:5" s="76" customFormat="1" ht="14.5" customHeight="1">
      <c r="B157" s="90" t="s">
        <v>130</v>
      </c>
      <c r="C157" s="66" t="s">
        <v>177</v>
      </c>
      <c r="D157" s="67">
        <v>2</v>
      </c>
      <c r="E157" s="68">
        <v>2.528445006321E-3</v>
      </c>
    </row>
    <row r="158" spans="2:5" s="76" customFormat="1" ht="14.5" customHeight="1">
      <c r="B158" s="90"/>
      <c r="C158" s="66" t="s">
        <v>184</v>
      </c>
      <c r="D158" s="67">
        <v>1</v>
      </c>
      <c r="E158" s="68">
        <v>1.264222503161E-3</v>
      </c>
    </row>
    <row r="159" spans="2:5" s="76" customFormat="1" ht="14.5" customHeight="1">
      <c r="B159" s="90"/>
      <c r="C159" s="66" t="s">
        <v>179</v>
      </c>
      <c r="D159" s="67">
        <v>1</v>
      </c>
      <c r="E159" s="68">
        <v>1.264222503161E-3</v>
      </c>
    </row>
    <row r="160" spans="2:5" s="76" customFormat="1" ht="14.5" customHeight="1">
      <c r="B160" s="90"/>
      <c r="C160" s="36" t="s">
        <v>29</v>
      </c>
      <c r="D160" s="35">
        <v>4</v>
      </c>
      <c r="E160" s="34">
        <v>5.0568900126419999E-3</v>
      </c>
    </row>
    <row r="161" spans="2:5" s="76" customFormat="1" ht="14.5" customHeight="1">
      <c r="B161" s="90" t="s">
        <v>131</v>
      </c>
      <c r="C161" s="66" t="s">
        <v>179</v>
      </c>
      <c r="D161" s="67">
        <v>1</v>
      </c>
      <c r="E161" s="68">
        <v>1.264222503161E-3</v>
      </c>
    </row>
    <row r="162" spans="2:5" s="76" customFormat="1" ht="14.5" customHeight="1">
      <c r="B162" s="90"/>
      <c r="C162" s="36" t="s">
        <v>29</v>
      </c>
      <c r="D162" s="35">
        <v>1</v>
      </c>
      <c r="E162" s="34">
        <v>1.264222503161E-3</v>
      </c>
    </row>
    <row r="163" spans="2:5" s="76" customFormat="1" ht="14.5" customHeight="1">
      <c r="B163" s="90" t="s">
        <v>132</v>
      </c>
      <c r="C163" s="66" t="s">
        <v>177</v>
      </c>
      <c r="D163" s="67">
        <v>2</v>
      </c>
      <c r="E163" s="68">
        <v>2.528445006321E-3</v>
      </c>
    </row>
    <row r="164" spans="2:5" s="76" customFormat="1" ht="14.5" customHeight="1">
      <c r="B164" s="90"/>
      <c r="C164" s="66" t="s">
        <v>179</v>
      </c>
      <c r="D164" s="67">
        <v>29</v>
      </c>
      <c r="E164" s="68">
        <v>3.6662452591656E-2</v>
      </c>
    </row>
    <row r="165" spans="2:5" s="76" customFormat="1" ht="14.5" customHeight="1">
      <c r="B165" s="90"/>
      <c r="C165" s="36" t="s">
        <v>29</v>
      </c>
      <c r="D165" s="35">
        <v>31</v>
      </c>
      <c r="E165" s="34">
        <v>3.9190897597976997E-2</v>
      </c>
    </row>
    <row r="166" spans="2:5" s="76" customFormat="1" ht="14.5" customHeight="1">
      <c r="B166" s="90" t="s">
        <v>56</v>
      </c>
      <c r="C166" s="66" t="s">
        <v>184</v>
      </c>
      <c r="D166" s="67">
        <v>2</v>
      </c>
      <c r="E166" s="68">
        <v>2.528445006321E-3</v>
      </c>
    </row>
    <row r="167" spans="2:5" s="76" customFormat="1" ht="14.5" customHeight="1">
      <c r="B167" s="90"/>
      <c r="C167" s="66" t="s">
        <v>179</v>
      </c>
      <c r="D167" s="67">
        <v>6</v>
      </c>
      <c r="E167" s="68">
        <v>7.5853350189629999E-3</v>
      </c>
    </row>
    <row r="168" spans="2:5" s="76" customFormat="1" ht="14.5" customHeight="1">
      <c r="B168" s="90"/>
      <c r="C168" s="36" t="s">
        <v>29</v>
      </c>
      <c r="D168" s="35">
        <v>8</v>
      </c>
      <c r="E168" s="34">
        <v>1.0113780025284E-2</v>
      </c>
    </row>
    <row r="169" spans="2:5" s="76" customFormat="1" ht="14.5" customHeight="1">
      <c r="B169" s="90" t="s">
        <v>133</v>
      </c>
      <c r="C169" s="66" t="s">
        <v>179</v>
      </c>
      <c r="D169" s="67">
        <v>1</v>
      </c>
      <c r="E169" s="68">
        <v>1.264222503161E-3</v>
      </c>
    </row>
    <row r="170" spans="2:5" s="76" customFormat="1" ht="14.5" customHeight="1">
      <c r="B170" s="90"/>
      <c r="C170" s="36" t="s">
        <v>29</v>
      </c>
      <c r="D170" s="35">
        <v>1</v>
      </c>
      <c r="E170" s="34">
        <v>1.264222503161E-3</v>
      </c>
    </row>
    <row r="171" spans="2:5" s="76" customFormat="1" ht="14.5" customHeight="1">
      <c r="B171" s="90" t="s">
        <v>134</v>
      </c>
      <c r="C171" s="66" t="s">
        <v>177</v>
      </c>
      <c r="D171" s="67">
        <v>1</v>
      </c>
      <c r="E171" s="68">
        <v>1.264222503161E-3</v>
      </c>
    </row>
    <row r="172" spans="2:5" s="76" customFormat="1" ht="14.5" customHeight="1">
      <c r="B172" s="90"/>
      <c r="C172" s="66" t="s">
        <v>178</v>
      </c>
      <c r="D172" s="67">
        <v>1</v>
      </c>
      <c r="E172" s="68">
        <v>1.264222503161E-3</v>
      </c>
    </row>
    <row r="173" spans="2:5" s="76" customFormat="1" ht="14.5" customHeight="1">
      <c r="B173" s="90"/>
      <c r="C173" s="66" t="s">
        <v>179</v>
      </c>
      <c r="D173" s="67">
        <v>3</v>
      </c>
      <c r="E173" s="68">
        <v>3.792667509482E-3</v>
      </c>
    </row>
    <row r="174" spans="2:5" s="76" customFormat="1" ht="14.5" customHeight="1">
      <c r="B174" s="90"/>
      <c r="C174" s="36" t="s">
        <v>29</v>
      </c>
      <c r="D174" s="35">
        <v>5</v>
      </c>
      <c r="E174" s="34">
        <v>6.3211125158030004E-3</v>
      </c>
    </row>
    <row r="175" spans="2:5" s="76" customFormat="1" ht="14.5" customHeight="1">
      <c r="B175" s="91" t="s">
        <v>29</v>
      </c>
      <c r="C175" s="91"/>
      <c r="D175" s="63">
        <v>791</v>
      </c>
      <c r="E175" s="64">
        <v>1</v>
      </c>
    </row>
    <row r="176" spans="2:5" s="76" customFormat="1" ht="14.5" customHeight="1"/>
    <row r="177" spans="2:2" s="76" customFormat="1" ht="14.5" customHeight="1">
      <c r="B177" s="15" t="s">
        <v>47</v>
      </c>
    </row>
    <row r="178" spans="2:2" s="76" customFormat="1" ht="14.5" customHeight="1">
      <c r="B178" s="17" t="s">
        <v>18</v>
      </c>
    </row>
    <row r="179" spans="2:2" s="76" customFormat="1" ht="14.5" customHeight="1">
      <c r="B179" s="16" t="s">
        <v>48</v>
      </c>
    </row>
    <row r="180" spans="2:2" s="76" customFormat="1" ht="14.5" customHeight="1">
      <c r="B180" s="15" t="s">
        <v>17</v>
      </c>
    </row>
    <row r="181" spans="2:2" s="76" customFormat="1" ht="14.5" customHeight="1">
      <c r="B181" s="15" t="s">
        <v>49</v>
      </c>
    </row>
  </sheetData>
  <mergeCells count="44">
    <mergeCell ref="B7:E8"/>
    <mergeCell ref="B10:B13"/>
    <mergeCell ref="B32:B37"/>
    <mergeCell ref="B90:B92"/>
    <mergeCell ref="B64:B66"/>
    <mergeCell ref="B67:B71"/>
    <mergeCell ref="B72:B73"/>
    <mergeCell ref="B74:B78"/>
    <mergeCell ref="B79:B80"/>
    <mergeCell ref="B81:B82"/>
    <mergeCell ref="B83:B84"/>
    <mergeCell ref="B85:B89"/>
    <mergeCell ref="B14:B16"/>
    <mergeCell ref="B17:B20"/>
    <mergeCell ref="B21:B31"/>
    <mergeCell ref="B38:B39"/>
    <mergeCell ref="B40:B41"/>
    <mergeCell ref="B42:B43"/>
    <mergeCell ref="B44:B50"/>
    <mergeCell ref="B51:B54"/>
    <mergeCell ref="B55:B57"/>
    <mergeCell ref="B58:B63"/>
    <mergeCell ref="B96:B97"/>
    <mergeCell ref="B98:B102"/>
    <mergeCell ref="B103:B104"/>
    <mergeCell ref="B93:B95"/>
    <mergeCell ref="B105:B107"/>
    <mergeCell ref="B108:B111"/>
    <mergeCell ref="B112:B117"/>
    <mergeCell ref="B118:B123"/>
    <mergeCell ref="B124:B127"/>
    <mergeCell ref="B128:B130"/>
    <mergeCell ref="B131:B134"/>
    <mergeCell ref="B135:B137"/>
    <mergeCell ref="B138:B143"/>
    <mergeCell ref="B144:B147"/>
    <mergeCell ref="B148:B156"/>
    <mergeCell ref="B157:B160"/>
    <mergeCell ref="B175:C175"/>
    <mergeCell ref="B161:B162"/>
    <mergeCell ref="B163:B165"/>
    <mergeCell ref="B166:B168"/>
    <mergeCell ref="B169:B170"/>
    <mergeCell ref="B171:B17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11"/>
  <sheetViews>
    <sheetView showGridLines="0" view="pageBreakPreview" topLeftCell="A189" zoomScale="85" zoomScaleNormal="100" zoomScaleSheetLayoutView="85" workbookViewId="0">
      <selection activeCell="B9" sqref="B9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7.17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5" ht="15" customHeight="1">
      <c r="B10" s="93" t="s">
        <v>82</v>
      </c>
      <c r="C10" s="66" t="s">
        <v>177</v>
      </c>
      <c r="D10" s="67">
        <v>1</v>
      </c>
      <c r="E10" s="68">
        <v>1.264222503161E-3</v>
      </c>
    </row>
    <row r="11" spans="1:5" ht="15" customHeight="1">
      <c r="B11" s="94"/>
      <c r="C11" s="66" t="s">
        <v>178</v>
      </c>
      <c r="D11" s="67">
        <v>1</v>
      </c>
      <c r="E11" s="68">
        <v>1.264222503161E-3</v>
      </c>
    </row>
    <row r="12" spans="1:5" ht="15" customHeight="1">
      <c r="B12" s="94"/>
      <c r="C12" s="66" t="s">
        <v>179</v>
      </c>
      <c r="D12" s="67">
        <v>3</v>
      </c>
      <c r="E12" s="68">
        <v>3.792667509482E-3</v>
      </c>
    </row>
    <row r="13" spans="1:5" ht="15" customHeight="1">
      <c r="B13" s="94"/>
      <c r="C13" s="66" t="s">
        <v>186</v>
      </c>
      <c r="D13" s="67">
        <v>1</v>
      </c>
      <c r="E13" s="68">
        <v>1.264222503161E-3</v>
      </c>
    </row>
    <row r="14" spans="1:5" ht="15" customHeight="1">
      <c r="B14" s="95"/>
      <c r="C14" s="36" t="s">
        <v>29</v>
      </c>
      <c r="D14" s="35">
        <v>6</v>
      </c>
      <c r="E14" s="34">
        <v>7.5853350189629999E-3</v>
      </c>
    </row>
    <row r="15" spans="1:5" ht="15" customHeight="1">
      <c r="B15" s="93" t="s">
        <v>50</v>
      </c>
      <c r="C15" s="66" t="s">
        <v>177</v>
      </c>
      <c r="D15" s="67">
        <v>7</v>
      </c>
      <c r="E15" s="68">
        <v>8.8495575221239995E-3</v>
      </c>
    </row>
    <row r="16" spans="1:5" ht="15" customHeight="1">
      <c r="B16" s="94"/>
      <c r="C16" s="66" t="s">
        <v>178</v>
      </c>
      <c r="D16" s="67">
        <v>1</v>
      </c>
      <c r="E16" s="68">
        <v>1.264222503161E-3</v>
      </c>
    </row>
    <row r="17" spans="2:5" ht="15" customHeight="1">
      <c r="B17" s="94"/>
      <c r="C17" s="66" t="s">
        <v>184</v>
      </c>
      <c r="D17" s="67">
        <v>2</v>
      </c>
      <c r="E17" s="68">
        <v>2.528445006321E-3</v>
      </c>
    </row>
    <row r="18" spans="2:5" ht="15" customHeight="1">
      <c r="B18" s="94"/>
      <c r="C18" s="66" t="s">
        <v>179</v>
      </c>
      <c r="D18" s="67">
        <v>56</v>
      </c>
      <c r="E18" s="68">
        <v>7.0796460176990997E-2</v>
      </c>
    </row>
    <row r="19" spans="2:5" ht="15" customHeight="1">
      <c r="B19" s="95"/>
      <c r="C19" s="36" t="s">
        <v>29</v>
      </c>
      <c r="D19" s="35">
        <v>66</v>
      </c>
      <c r="E19" s="34">
        <v>8.3438685208596999E-2</v>
      </c>
    </row>
    <row r="20" spans="2:5" ht="15" customHeight="1">
      <c r="B20" s="93" t="s">
        <v>65</v>
      </c>
      <c r="C20" s="66" t="s">
        <v>177</v>
      </c>
      <c r="D20" s="67">
        <v>4</v>
      </c>
      <c r="E20" s="68">
        <v>5.0568900126419999E-3</v>
      </c>
    </row>
    <row r="21" spans="2:5" ht="15" customHeight="1">
      <c r="B21" s="94"/>
      <c r="C21" s="66" t="s">
        <v>178</v>
      </c>
      <c r="D21" s="67">
        <v>1</v>
      </c>
      <c r="E21" s="68">
        <v>1.264222503161E-3</v>
      </c>
    </row>
    <row r="22" spans="2:5" ht="15" customHeight="1">
      <c r="B22" s="94"/>
      <c r="C22" s="66" t="s">
        <v>179</v>
      </c>
      <c r="D22" s="67">
        <v>11</v>
      </c>
      <c r="E22" s="68">
        <v>1.3906447534765999E-2</v>
      </c>
    </row>
    <row r="23" spans="2:5" ht="15" customHeight="1">
      <c r="B23" s="94"/>
      <c r="C23" s="66" t="s">
        <v>186</v>
      </c>
      <c r="D23" s="67">
        <v>2</v>
      </c>
      <c r="E23" s="68">
        <v>2.528445006321E-3</v>
      </c>
    </row>
    <row r="24" spans="2:5" ht="15" customHeight="1">
      <c r="B24" s="95"/>
      <c r="C24" s="36" t="s">
        <v>29</v>
      </c>
      <c r="D24" s="35">
        <v>18</v>
      </c>
      <c r="E24" s="34">
        <v>2.2756005056889999E-2</v>
      </c>
    </row>
    <row r="25" spans="2:5" ht="15" customHeight="1">
      <c r="B25" s="93" t="s">
        <v>90</v>
      </c>
      <c r="C25" s="66" t="s">
        <v>180</v>
      </c>
      <c r="D25" s="67">
        <v>1</v>
      </c>
      <c r="E25" s="68">
        <v>1.264222503161E-3</v>
      </c>
    </row>
    <row r="26" spans="2:5" ht="15" customHeight="1">
      <c r="B26" s="94"/>
      <c r="C26" s="66" t="s">
        <v>179</v>
      </c>
      <c r="D26" s="67">
        <v>1</v>
      </c>
      <c r="E26" s="68">
        <v>1.264222503161E-3</v>
      </c>
    </row>
    <row r="27" spans="2:5" ht="15" customHeight="1">
      <c r="B27" s="95"/>
      <c r="C27" s="36" t="s">
        <v>29</v>
      </c>
      <c r="D27" s="35">
        <v>2</v>
      </c>
      <c r="E27" s="34">
        <v>2.528445006321E-3</v>
      </c>
    </row>
    <row r="28" spans="2:5" ht="15" customHeight="1">
      <c r="B28" s="93" t="s">
        <v>89</v>
      </c>
      <c r="C28" s="66" t="s">
        <v>179</v>
      </c>
      <c r="D28" s="67">
        <v>4</v>
      </c>
      <c r="E28" s="68">
        <v>5.0568900126419999E-3</v>
      </c>
    </row>
    <row r="29" spans="2:5" ht="15" customHeight="1">
      <c r="B29" s="95"/>
      <c r="C29" s="36" t="s">
        <v>29</v>
      </c>
      <c r="D29" s="35">
        <v>4</v>
      </c>
      <c r="E29" s="34">
        <v>5.0568900126419999E-3</v>
      </c>
    </row>
    <row r="30" spans="2:5" ht="15" customHeight="1">
      <c r="B30" s="93" t="s">
        <v>83</v>
      </c>
      <c r="C30" s="66" t="s">
        <v>181</v>
      </c>
      <c r="D30" s="67">
        <v>1</v>
      </c>
      <c r="E30" s="68">
        <v>1.264222503161E-3</v>
      </c>
    </row>
    <row r="31" spans="2:5" ht="15" customHeight="1">
      <c r="B31" s="94"/>
      <c r="C31" s="66" t="s">
        <v>177</v>
      </c>
      <c r="D31" s="67">
        <v>3</v>
      </c>
      <c r="E31" s="68">
        <v>3.792667509482E-3</v>
      </c>
    </row>
    <row r="32" spans="2:5" ht="15" customHeight="1">
      <c r="B32" s="94"/>
      <c r="C32" s="66" t="s">
        <v>179</v>
      </c>
      <c r="D32" s="67">
        <v>2</v>
      </c>
      <c r="E32" s="68">
        <v>2.528445006321E-3</v>
      </c>
    </row>
    <row r="33" spans="2:5" ht="15" customHeight="1">
      <c r="B33" s="95"/>
      <c r="C33" s="36" t="s">
        <v>29</v>
      </c>
      <c r="D33" s="35">
        <v>6</v>
      </c>
      <c r="E33" s="34">
        <v>7.5853350189629999E-3</v>
      </c>
    </row>
    <row r="34" spans="2:5" ht="15" customHeight="1">
      <c r="B34" s="93" t="s">
        <v>92</v>
      </c>
      <c r="C34" s="66" t="s">
        <v>179</v>
      </c>
      <c r="D34" s="67">
        <v>1</v>
      </c>
      <c r="E34" s="68">
        <v>1.264222503161E-3</v>
      </c>
    </row>
    <row r="35" spans="2:5" ht="15" customHeight="1">
      <c r="B35" s="95"/>
      <c r="C35" s="36" t="s">
        <v>29</v>
      </c>
      <c r="D35" s="35">
        <v>1</v>
      </c>
      <c r="E35" s="34">
        <v>1.264222503161E-3</v>
      </c>
    </row>
    <row r="36" spans="2:5" ht="15" customHeight="1">
      <c r="B36" s="93" t="s">
        <v>55</v>
      </c>
      <c r="C36" s="66" t="s">
        <v>177</v>
      </c>
      <c r="D36" s="67">
        <v>13</v>
      </c>
      <c r="E36" s="68">
        <v>1.6434892541087001E-2</v>
      </c>
    </row>
    <row r="37" spans="2:5" ht="15" customHeight="1">
      <c r="B37" s="94"/>
      <c r="C37" s="66" t="s">
        <v>180</v>
      </c>
      <c r="D37" s="67">
        <v>3</v>
      </c>
      <c r="E37" s="68">
        <v>3.792667509482E-3</v>
      </c>
    </row>
    <row r="38" spans="2:5" ht="15" customHeight="1">
      <c r="B38" s="94"/>
      <c r="C38" s="66" t="s">
        <v>178</v>
      </c>
      <c r="D38" s="67">
        <v>2</v>
      </c>
      <c r="E38" s="68">
        <v>2.528445006321E-3</v>
      </c>
    </row>
    <row r="39" spans="2:5" ht="15" customHeight="1">
      <c r="B39" s="94"/>
      <c r="C39" s="66" t="s">
        <v>184</v>
      </c>
      <c r="D39" s="67">
        <v>1</v>
      </c>
      <c r="E39" s="68">
        <v>1.264222503161E-3</v>
      </c>
    </row>
    <row r="40" spans="2:5" ht="15" customHeight="1">
      <c r="B40" s="94"/>
      <c r="C40" s="66" t="s">
        <v>179</v>
      </c>
      <c r="D40" s="67">
        <v>19</v>
      </c>
      <c r="E40" s="68">
        <v>2.4020227560051E-2</v>
      </c>
    </row>
    <row r="41" spans="2:5" ht="15" customHeight="1">
      <c r="B41" s="95"/>
      <c r="C41" s="36" t="s">
        <v>29</v>
      </c>
      <c r="D41" s="35">
        <v>38</v>
      </c>
      <c r="E41" s="34">
        <v>4.8040455120101001E-2</v>
      </c>
    </row>
    <row r="42" spans="2:5" ht="15" customHeight="1">
      <c r="B42" s="93" t="s">
        <v>53</v>
      </c>
      <c r="C42" s="66" t="s">
        <v>177</v>
      </c>
      <c r="D42" s="67">
        <v>13</v>
      </c>
      <c r="E42" s="68">
        <v>1.6434892541087001E-2</v>
      </c>
    </row>
    <row r="43" spans="2:5" ht="15" customHeight="1">
      <c r="B43" s="94"/>
      <c r="C43" s="66" t="s">
        <v>180</v>
      </c>
      <c r="D43" s="67">
        <v>1</v>
      </c>
      <c r="E43" s="68">
        <v>1.264222503161E-3</v>
      </c>
    </row>
    <row r="44" spans="2:5" ht="15" customHeight="1">
      <c r="B44" s="94"/>
      <c r="C44" s="66" t="s">
        <v>178</v>
      </c>
      <c r="D44" s="67">
        <v>1</v>
      </c>
      <c r="E44" s="68">
        <v>1.264222503161E-3</v>
      </c>
    </row>
    <row r="45" spans="2:5" ht="15" customHeight="1">
      <c r="B45" s="94"/>
      <c r="C45" s="66" t="s">
        <v>183</v>
      </c>
      <c r="D45" s="67">
        <v>1</v>
      </c>
      <c r="E45" s="68">
        <v>1.264222503161E-3</v>
      </c>
    </row>
    <row r="46" spans="2:5" ht="15" customHeight="1">
      <c r="B46" s="94"/>
      <c r="C46" s="66" t="s">
        <v>184</v>
      </c>
      <c r="D46" s="67">
        <v>1</v>
      </c>
      <c r="E46" s="68">
        <v>1.264222503161E-3</v>
      </c>
    </row>
    <row r="47" spans="2:5" ht="15" customHeight="1">
      <c r="B47" s="94"/>
      <c r="C47" s="66" t="s">
        <v>179</v>
      </c>
      <c r="D47" s="67">
        <v>29</v>
      </c>
      <c r="E47" s="68">
        <v>3.6662452591656E-2</v>
      </c>
    </row>
    <row r="48" spans="2:5" ht="15" customHeight="1">
      <c r="B48" s="95"/>
      <c r="C48" s="36" t="s">
        <v>29</v>
      </c>
      <c r="D48" s="35">
        <v>46</v>
      </c>
      <c r="E48" s="34">
        <v>5.8154235145386E-2</v>
      </c>
    </row>
    <row r="49" spans="2:5" ht="15" customHeight="1">
      <c r="B49" s="93" t="s">
        <v>76</v>
      </c>
      <c r="C49" s="66" t="s">
        <v>177</v>
      </c>
      <c r="D49" s="67">
        <v>3</v>
      </c>
      <c r="E49" s="68">
        <v>3.792667509482E-3</v>
      </c>
    </row>
    <row r="50" spans="2:5" ht="15" customHeight="1">
      <c r="B50" s="94"/>
      <c r="C50" s="66" t="s">
        <v>180</v>
      </c>
      <c r="D50" s="67">
        <v>1</v>
      </c>
      <c r="E50" s="68">
        <v>1.264222503161E-3</v>
      </c>
    </row>
    <row r="51" spans="2:5" ht="15" customHeight="1">
      <c r="B51" s="94"/>
      <c r="C51" s="66" t="s">
        <v>178</v>
      </c>
      <c r="D51" s="67">
        <v>1</v>
      </c>
      <c r="E51" s="68">
        <v>1.264222503161E-3</v>
      </c>
    </row>
    <row r="52" spans="2:5" ht="15" customHeight="1">
      <c r="B52" s="94"/>
      <c r="C52" s="66" t="s">
        <v>185</v>
      </c>
      <c r="D52" s="67">
        <v>1</v>
      </c>
      <c r="E52" s="68">
        <v>1.264222503161E-3</v>
      </c>
    </row>
    <row r="53" spans="2:5" ht="15" customHeight="1">
      <c r="B53" s="94"/>
      <c r="C53" s="66" t="s">
        <v>179</v>
      </c>
      <c r="D53" s="67">
        <v>3</v>
      </c>
      <c r="E53" s="68">
        <v>3.792667509482E-3</v>
      </c>
    </row>
    <row r="54" spans="2:5" ht="15" customHeight="1">
      <c r="B54" s="95"/>
      <c r="C54" s="36" t="s">
        <v>29</v>
      </c>
      <c r="D54" s="35">
        <v>9</v>
      </c>
      <c r="E54" s="34">
        <v>1.1378002528444999E-2</v>
      </c>
    </row>
    <row r="55" spans="2:5" ht="15" customHeight="1">
      <c r="B55" s="93" t="s">
        <v>74</v>
      </c>
      <c r="C55" s="66" t="s">
        <v>177</v>
      </c>
      <c r="D55" s="67">
        <v>1</v>
      </c>
      <c r="E55" s="68">
        <v>1.264222503161E-3</v>
      </c>
    </row>
    <row r="56" spans="2:5" ht="15" customHeight="1">
      <c r="B56" s="94"/>
      <c r="C56" s="66" t="s">
        <v>179</v>
      </c>
      <c r="D56" s="67">
        <v>9</v>
      </c>
      <c r="E56" s="68">
        <v>1.1378002528444999E-2</v>
      </c>
    </row>
    <row r="57" spans="2:5" ht="15" customHeight="1">
      <c r="B57" s="95"/>
      <c r="C57" s="36" t="s">
        <v>29</v>
      </c>
      <c r="D57" s="35">
        <v>10</v>
      </c>
      <c r="E57" s="34">
        <v>1.2642225031606001E-2</v>
      </c>
    </row>
    <row r="58" spans="2:5" ht="15" customHeight="1">
      <c r="B58" s="93" t="s">
        <v>91</v>
      </c>
      <c r="C58" s="66" t="s">
        <v>179</v>
      </c>
      <c r="D58" s="67">
        <v>2</v>
      </c>
      <c r="E58" s="68">
        <v>2.528445006321E-3</v>
      </c>
    </row>
    <row r="59" spans="2:5" ht="15" customHeight="1">
      <c r="B59" s="95"/>
      <c r="C59" s="36" t="s">
        <v>29</v>
      </c>
      <c r="D59" s="35">
        <v>2</v>
      </c>
      <c r="E59" s="34">
        <v>2.528445006321E-3</v>
      </c>
    </row>
    <row r="60" spans="2:5" ht="15" customHeight="1">
      <c r="B60" s="93" t="s">
        <v>70</v>
      </c>
      <c r="C60" s="66" t="s">
        <v>177</v>
      </c>
      <c r="D60" s="67">
        <v>4</v>
      </c>
      <c r="E60" s="68">
        <v>5.0568900126419999E-3</v>
      </c>
    </row>
    <row r="61" spans="2:5" ht="15" customHeight="1">
      <c r="B61" s="94"/>
      <c r="C61" s="66" t="s">
        <v>179</v>
      </c>
      <c r="D61" s="67">
        <v>8</v>
      </c>
      <c r="E61" s="68">
        <v>1.0113780025284E-2</v>
      </c>
    </row>
    <row r="62" spans="2:5" ht="15" customHeight="1">
      <c r="B62" s="95"/>
      <c r="C62" s="36" t="s">
        <v>29</v>
      </c>
      <c r="D62" s="35">
        <v>12</v>
      </c>
      <c r="E62" s="34">
        <v>1.5170670037927001E-2</v>
      </c>
    </row>
    <row r="63" spans="2:5" ht="15" customHeight="1">
      <c r="B63" s="93" t="s">
        <v>69</v>
      </c>
      <c r="C63" s="66" t="s">
        <v>177</v>
      </c>
      <c r="D63" s="67">
        <v>4</v>
      </c>
      <c r="E63" s="68">
        <v>5.0568900126419999E-3</v>
      </c>
    </row>
    <row r="64" spans="2:5" ht="15" customHeight="1">
      <c r="B64" s="94"/>
      <c r="C64" s="66" t="s">
        <v>180</v>
      </c>
      <c r="D64" s="67">
        <v>1</v>
      </c>
      <c r="E64" s="68">
        <v>1.264222503161E-3</v>
      </c>
    </row>
    <row r="65" spans="2:5" ht="15" customHeight="1">
      <c r="B65" s="94"/>
      <c r="C65" s="66" t="s">
        <v>178</v>
      </c>
      <c r="D65" s="67">
        <v>1</v>
      </c>
      <c r="E65" s="68">
        <v>1.264222503161E-3</v>
      </c>
    </row>
    <row r="66" spans="2:5" ht="15" customHeight="1">
      <c r="B66" s="94"/>
      <c r="C66" s="66" t="s">
        <v>184</v>
      </c>
      <c r="D66" s="67">
        <v>2</v>
      </c>
      <c r="E66" s="68">
        <v>2.528445006321E-3</v>
      </c>
    </row>
    <row r="67" spans="2:5" ht="15" customHeight="1">
      <c r="B67" s="94"/>
      <c r="C67" s="66" t="s">
        <v>179</v>
      </c>
      <c r="D67" s="67">
        <v>6</v>
      </c>
      <c r="E67" s="68">
        <v>7.5853350189629999E-3</v>
      </c>
    </row>
    <row r="68" spans="2:5" ht="15" customHeight="1">
      <c r="B68" s="95"/>
      <c r="C68" s="36" t="s">
        <v>29</v>
      </c>
      <c r="D68" s="35">
        <v>14</v>
      </c>
      <c r="E68" s="34">
        <v>1.7699115044247999E-2</v>
      </c>
    </row>
    <row r="69" spans="2:5" ht="15" customHeight="1">
      <c r="B69" s="93" t="s">
        <v>54</v>
      </c>
      <c r="C69" s="66" t="s">
        <v>177</v>
      </c>
      <c r="D69" s="67">
        <v>10</v>
      </c>
      <c r="E69" s="68">
        <v>1.2642225031606001E-2</v>
      </c>
    </row>
    <row r="70" spans="2:5" ht="15" customHeight="1">
      <c r="B70" s="94"/>
      <c r="C70" s="66" t="s">
        <v>178</v>
      </c>
      <c r="D70" s="67">
        <v>1</v>
      </c>
      <c r="E70" s="68">
        <v>1.264222503161E-3</v>
      </c>
    </row>
    <row r="71" spans="2:5" ht="15" customHeight="1">
      <c r="B71" s="94"/>
      <c r="C71" s="66" t="s">
        <v>184</v>
      </c>
      <c r="D71" s="67">
        <v>1</v>
      </c>
      <c r="E71" s="68">
        <v>1.264222503161E-3</v>
      </c>
    </row>
    <row r="72" spans="2:5" ht="15" customHeight="1">
      <c r="B72" s="94"/>
      <c r="C72" s="66" t="s">
        <v>179</v>
      </c>
      <c r="D72" s="67">
        <v>31</v>
      </c>
      <c r="E72" s="68">
        <v>3.9190897597976997E-2</v>
      </c>
    </row>
    <row r="73" spans="2:5" ht="15" customHeight="1">
      <c r="B73" s="94"/>
      <c r="C73" s="66" t="s">
        <v>186</v>
      </c>
      <c r="D73" s="67">
        <v>1</v>
      </c>
      <c r="E73" s="68">
        <v>1.264222503161E-3</v>
      </c>
    </row>
    <row r="74" spans="2:5" ht="15" customHeight="1">
      <c r="B74" s="95"/>
      <c r="C74" s="36" t="s">
        <v>29</v>
      </c>
      <c r="D74" s="35">
        <v>44</v>
      </c>
      <c r="E74" s="34">
        <v>5.5625790139063998E-2</v>
      </c>
    </row>
    <row r="75" spans="2:5" ht="15" customHeight="1">
      <c r="B75" s="93" t="s">
        <v>66</v>
      </c>
      <c r="C75" s="66" t="s">
        <v>177</v>
      </c>
      <c r="D75" s="67">
        <v>3</v>
      </c>
      <c r="E75" s="68">
        <v>3.792667509482E-3</v>
      </c>
    </row>
    <row r="76" spans="2:5" ht="15" customHeight="1">
      <c r="B76" s="94"/>
      <c r="C76" s="66" t="s">
        <v>178</v>
      </c>
      <c r="D76" s="67">
        <v>1</v>
      </c>
      <c r="E76" s="68">
        <v>1.264222503161E-3</v>
      </c>
    </row>
    <row r="77" spans="2:5" ht="15" customHeight="1">
      <c r="B77" s="94"/>
      <c r="C77" s="66" t="s">
        <v>179</v>
      </c>
      <c r="D77" s="67">
        <v>14</v>
      </c>
      <c r="E77" s="68">
        <v>1.7699115044247999E-2</v>
      </c>
    </row>
    <row r="78" spans="2:5" ht="15" customHeight="1">
      <c r="B78" s="95"/>
      <c r="C78" s="36" t="s">
        <v>29</v>
      </c>
      <c r="D78" s="35">
        <v>18</v>
      </c>
      <c r="E78" s="34">
        <v>2.2756005056889999E-2</v>
      </c>
    </row>
    <row r="79" spans="2:5" ht="15" customHeight="1">
      <c r="B79" s="93" t="s">
        <v>67</v>
      </c>
      <c r="C79" s="66" t="s">
        <v>180</v>
      </c>
      <c r="D79" s="67">
        <v>1</v>
      </c>
      <c r="E79" s="68">
        <v>1.264222503161E-3</v>
      </c>
    </row>
    <row r="80" spans="2:5" ht="15" customHeight="1">
      <c r="B80" s="94"/>
      <c r="C80" s="66" t="s">
        <v>178</v>
      </c>
      <c r="D80" s="67">
        <v>1</v>
      </c>
      <c r="E80" s="68">
        <v>1.264222503161E-3</v>
      </c>
    </row>
    <row r="81" spans="2:5" ht="15" customHeight="1">
      <c r="B81" s="94"/>
      <c r="C81" s="66" t="s">
        <v>184</v>
      </c>
      <c r="D81" s="67">
        <v>5</v>
      </c>
      <c r="E81" s="68">
        <v>6.3211125158030004E-3</v>
      </c>
    </row>
    <row r="82" spans="2:5" ht="15" customHeight="1">
      <c r="B82" s="94"/>
      <c r="C82" s="66" t="s">
        <v>179</v>
      </c>
      <c r="D82" s="67">
        <v>11</v>
      </c>
      <c r="E82" s="68">
        <v>1.3906447534765999E-2</v>
      </c>
    </row>
    <row r="83" spans="2:5" ht="15" customHeight="1">
      <c r="B83" s="95"/>
      <c r="C83" s="36" t="s">
        <v>29</v>
      </c>
      <c r="D83" s="35">
        <v>18</v>
      </c>
      <c r="E83" s="34">
        <v>2.2756005056889999E-2</v>
      </c>
    </row>
    <row r="84" spans="2:5" ht="15" customHeight="1">
      <c r="B84" s="93" t="s">
        <v>93</v>
      </c>
      <c r="C84" s="66" t="s">
        <v>177</v>
      </c>
      <c r="D84" s="67">
        <v>1</v>
      </c>
      <c r="E84" s="68">
        <v>1.264222503161E-3</v>
      </c>
    </row>
    <row r="85" spans="2:5" ht="15" customHeight="1">
      <c r="B85" s="95"/>
      <c r="C85" s="36" t="s">
        <v>29</v>
      </c>
      <c r="D85" s="35">
        <v>1</v>
      </c>
      <c r="E85" s="34">
        <v>1.264222503161E-3</v>
      </c>
    </row>
    <row r="86" spans="2:5" ht="15" customHeight="1">
      <c r="B86" s="93" t="s">
        <v>79</v>
      </c>
      <c r="C86" s="66" t="s">
        <v>181</v>
      </c>
      <c r="D86" s="67">
        <v>1</v>
      </c>
      <c r="E86" s="68">
        <v>1.264222503161E-3</v>
      </c>
    </row>
    <row r="87" spans="2:5" ht="15" customHeight="1">
      <c r="B87" s="94"/>
      <c r="C87" s="66" t="s">
        <v>177</v>
      </c>
      <c r="D87" s="67">
        <v>1</v>
      </c>
      <c r="E87" s="68">
        <v>1.264222503161E-3</v>
      </c>
    </row>
    <row r="88" spans="2:5" ht="15" customHeight="1">
      <c r="B88" s="94"/>
      <c r="C88" s="66" t="s">
        <v>183</v>
      </c>
      <c r="D88" s="67">
        <v>1</v>
      </c>
      <c r="E88" s="68">
        <v>1.264222503161E-3</v>
      </c>
    </row>
    <row r="89" spans="2:5" ht="15" customHeight="1">
      <c r="B89" s="94"/>
      <c r="C89" s="66" t="s">
        <v>184</v>
      </c>
      <c r="D89" s="67">
        <v>1</v>
      </c>
      <c r="E89" s="68">
        <v>1.264222503161E-3</v>
      </c>
    </row>
    <row r="90" spans="2:5" ht="15" customHeight="1">
      <c r="B90" s="94"/>
      <c r="C90" s="66" t="s">
        <v>179</v>
      </c>
      <c r="D90" s="67">
        <v>3</v>
      </c>
      <c r="E90" s="68">
        <v>3.792667509482E-3</v>
      </c>
    </row>
    <row r="91" spans="2:5" ht="15" customHeight="1">
      <c r="B91" s="95"/>
      <c r="C91" s="36" t="s">
        <v>29</v>
      </c>
      <c r="D91" s="35">
        <v>7</v>
      </c>
      <c r="E91" s="34">
        <v>8.8495575221239995E-3</v>
      </c>
    </row>
    <row r="92" spans="2:5" ht="15" customHeight="1">
      <c r="B92" s="93" t="s">
        <v>58</v>
      </c>
      <c r="C92" s="66" t="s">
        <v>177</v>
      </c>
      <c r="D92" s="67">
        <v>7</v>
      </c>
      <c r="E92" s="68">
        <v>8.8495575221239995E-3</v>
      </c>
    </row>
    <row r="93" spans="2:5" ht="15" customHeight="1">
      <c r="B93" s="94"/>
      <c r="C93" s="66" t="s">
        <v>180</v>
      </c>
      <c r="D93" s="67">
        <v>1</v>
      </c>
      <c r="E93" s="68">
        <v>1.264222503161E-3</v>
      </c>
    </row>
    <row r="94" spans="2:5" ht="15" customHeight="1">
      <c r="B94" s="94"/>
      <c r="C94" s="66" t="s">
        <v>179</v>
      </c>
      <c r="D94" s="67">
        <v>23</v>
      </c>
      <c r="E94" s="68">
        <v>2.9077117572693E-2</v>
      </c>
    </row>
    <row r="95" spans="2:5" ht="15" customHeight="1">
      <c r="B95" s="94"/>
      <c r="C95" s="66" t="s">
        <v>186</v>
      </c>
      <c r="D95" s="67">
        <v>1</v>
      </c>
      <c r="E95" s="68">
        <v>1.264222503161E-3</v>
      </c>
    </row>
    <row r="96" spans="2:5" ht="15" customHeight="1">
      <c r="B96" s="95"/>
      <c r="C96" s="36" t="s">
        <v>29</v>
      </c>
      <c r="D96" s="35">
        <v>32</v>
      </c>
      <c r="E96" s="34">
        <v>4.0455120101137998E-2</v>
      </c>
    </row>
    <row r="97" spans="2:5" ht="15" customHeight="1">
      <c r="B97" s="93" t="s">
        <v>57</v>
      </c>
      <c r="C97" s="66" t="s">
        <v>181</v>
      </c>
      <c r="D97" s="67">
        <v>1</v>
      </c>
      <c r="E97" s="68">
        <v>1.264222503161E-3</v>
      </c>
    </row>
    <row r="98" spans="2:5" ht="15" customHeight="1">
      <c r="B98" s="94"/>
      <c r="C98" s="66" t="s">
        <v>177</v>
      </c>
      <c r="D98" s="67">
        <v>13</v>
      </c>
      <c r="E98" s="68">
        <v>1.6434892541087001E-2</v>
      </c>
    </row>
    <row r="99" spans="2:5" ht="15" customHeight="1">
      <c r="B99" s="94"/>
      <c r="C99" s="66" t="s">
        <v>185</v>
      </c>
      <c r="D99" s="67">
        <v>1</v>
      </c>
      <c r="E99" s="68">
        <v>1.264222503161E-3</v>
      </c>
    </row>
    <row r="100" spans="2:5" ht="15" customHeight="1">
      <c r="B100" s="94"/>
      <c r="C100" s="66" t="s">
        <v>179</v>
      </c>
      <c r="D100" s="67">
        <v>18</v>
      </c>
      <c r="E100" s="68">
        <v>2.2756005056889999E-2</v>
      </c>
    </row>
    <row r="101" spans="2:5" ht="15" customHeight="1">
      <c r="B101" s="94"/>
      <c r="C101" s="66" t="s">
        <v>186</v>
      </c>
      <c r="D101" s="67">
        <v>1</v>
      </c>
      <c r="E101" s="68">
        <v>1.264222503161E-3</v>
      </c>
    </row>
    <row r="102" spans="2:5" ht="15" customHeight="1">
      <c r="B102" s="95"/>
      <c r="C102" s="36" t="s">
        <v>29</v>
      </c>
      <c r="D102" s="35">
        <v>34</v>
      </c>
      <c r="E102" s="34">
        <v>4.2983565107459001E-2</v>
      </c>
    </row>
    <row r="103" spans="2:5" ht="15" customHeight="1">
      <c r="B103" s="93" t="s">
        <v>72</v>
      </c>
      <c r="C103" s="66" t="s">
        <v>177</v>
      </c>
      <c r="D103" s="67">
        <v>3</v>
      </c>
      <c r="E103" s="68">
        <v>3.792667509482E-3</v>
      </c>
    </row>
    <row r="104" spans="2:5" ht="15" customHeight="1">
      <c r="B104" s="94"/>
      <c r="C104" s="66" t="s">
        <v>179</v>
      </c>
      <c r="D104" s="67">
        <v>8</v>
      </c>
      <c r="E104" s="68">
        <v>1.0113780025284E-2</v>
      </c>
    </row>
    <row r="105" spans="2:5" ht="15" customHeight="1">
      <c r="B105" s="95"/>
      <c r="C105" s="36" t="s">
        <v>29</v>
      </c>
      <c r="D105" s="35">
        <v>11</v>
      </c>
      <c r="E105" s="34">
        <v>1.3906447534765999E-2</v>
      </c>
    </row>
    <row r="106" spans="2:5" ht="15" customHeight="1">
      <c r="B106" s="93" t="s">
        <v>68</v>
      </c>
      <c r="C106" s="66" t="s">
        <v>177</v>
      </c>
      <c r="D106" s="67">
        <v>5</v>
      </c>
      <c r="E106" s="68">
        <v>6.3211125158030004E-3</v>
      </c>
    </row>
    <row r="107" spans="2:5" ht="15" customHeight="1">
      <c r="B107" s="94"/>
      <c r="C107" s="66" t="s">
        <v>183</v>
      </c>
      <c r="D107" s="67">
        <v>1</v>
      </c>
      <c r="E107" s="68">
        <v>1.264222503161E-3</v>
      </c>
    </row>
    <row r="108" spans="2:5" ht="15" customHeight="1">
      <c r="B108" s="94"/>
      <c r="C108" s="66" t="s">
        <v>179</v>
      </c>
      <c r="D108" s="67">
        <v>10</v>
      </c>
      <c r="E108" s="68">
        <v>1.2642225031606001E-2</v>
      </c>
    </row>
    <row r="109" spans="2:5" ht="15" customHeight="1">
      <c r="B109" s="95"/>
      <c r="C109" s="36" t="s">
        <v>29</v>
      </c>
      <c r="D109" s="35">
        <v>16</v>
      </c>
      <c r="E109" s="34">
        <v>2.0227560050568999E-2</v>
      </c>
    </row>
    <row r="110" spans="2:5" ht="15" customHeight="1">
      <c r="B110" s="93" t="s">
        <v>86</v>
      </c>
      <c r="C110" s="66" t="s">
        <v>177</v>
      </c>
      <c r="D110" s="67">
        <v>1</v>
      </c>
      <c r="E110" s="68">
        <v>1.264222503161E-3</v>
      </c>
    </row>
    <row r="111" spans="2:5" ht="15" customHeight="1">
      <c r="B111" s="94"/>
      <c r="C111" s="66" t="s">
        <v>178</v>
      </c>
      <c r="D111" s="67">
        <v>1</v>
      </c>
      <c r="E111" s="68">
        <v>1.264222503161E-3</v>
      </c>
    </row>
    <row r="112" spans="2:5" ht="15" customHeight="1">
      <c r="B112" s="94"/>
      <c r="C112" s="66" t="s">
        <v>179</v>
      </c>
      <c r="D112" s="67">
        <v>3</v>
      </c>
      <c r="E112" s="68">
        <v>3.792667509482E-3</v>
      </c>
    </row>
    <row r="113" spans="2:5" ht="15" customHeight="1">
      <c r="B113" s="95"/>
      <c r="C113" s="36" t="s">
        <v>29</v>
      </c>
      <c r="D113" s="35">
        <v>5</v>
      </c>
      <c r="E113" s="34">
        <v>6.3211125158030004E-3</v>
      </c>
    </row>
    <row r="114" spans="2:5" ht="15" customHeight="1">
      <c r="B114" s="93" t="s">
        <v>60</v>
      </c>
      <c r="C114" s="66" t="s">
        <v>177</v>
      </c>
      <c r="D114" s="67">
        <v>4</v>
      </c>
      <c r="E114" s="68">
        <v>5.0568900126419999E-3</v>
      </c>
    </row>
    <row r="115" spans="2:5" ht="15" customHeight="1">
      <c r="B115" s="94"/>
      <c r="C115" s="66" t="s">
        <v>180</v>
      </c>
      <c r="D115" s="67">
        <v>1</v>
      </c>
      <c r="E115" s="68">
        <v>1.264222503161E-3</v>
      </c>
    </row>
    <row r="116" spans="2:5" ht="15" customHeight="1">
      <c r="B116" s="94"/>
      <c r="C116" s="66" t="s">
        <v>184</v>
      </c>
      <c r="D116" s="67">
        <v>1</v>
      </c>
      <c r="E116" s="68">
        <v>1.264222503161E-3</v>
      </c>
    </row>
    <row r="117" spans="2:5" ht="15" customHeight="1">
      <c r="B117" s="94"/>
      <c r="C117" s="66" t="s">
        <v>179</v>
      </c>
      <c r="D117" s="67">
        <v>18</v>
      </c>
      <c r="E117" s="68">
        <v>2.2756005056889999E-2</v>
      </c>
    </row>
    <row r="118" spans="2:5" ht="15" customHeight="1">
      <c r="B118" s="95"/>
      <c r="C118" s="36" t="s">
        <v>29</v>
      </c>
      <c r="D118" s="35">
        <v>24</v>
      </c>
      <c r="E118" s="34">
        <v>3.0341340075852999E-2</v>
      </c>
    </row>
    <row r="119" spans="2:5" ht="15" customHeight="1">
      <c r="B119" s="93" t="s">
        <v>63</v>
      </c>
      <c r="C119" s="66" t="s">
        <v>177</v>
      </c>
      <c r="D119" s="67">
        <v>3</v>
      </c>
      <c r="E119" s="68">
        <v>3.792667509482E-3</v>
      </c>
    </row>
    <row r="120" spans="2:5" ht="15" customHeight="1">
      <c r="B120" s="94"/>
      <c r="C120" s="66" t="s">
        <v>180</v>
      </c>
      <c r="D120" s="67">
        <v>3</v>
      </c>
      <c r="E120" s="68">
        <v>3.792667509482E-3</v>
      </c>
    </row>
    <row r="121" spans="2:5" ht="15" customHeight="1">
      <c r="B121" s="94"/>
      <c r="C121" s="66" t="s">
        <v>178</v>
      </c>
      <c r="D121" s="67">
        <v>2</v>
      </c>
      <c r="E121" s="68">
        <v>2.528445006321E-3</v>
      </c>
    </row>
    <row r="122" spans="2:5" ht="15" customHeight="1">
      <c r="B122" s="94"/>
      <c r="C122" s="66" t="s">
        <v>183</v>
      </c>
      <c r="D122" s="67">
        <v>1</v>
      </c>
      <c r="E122" s="68">
        <v>1.264222503161E-3</v>
      </c>
    </row>
    <row r="123" spans="2:5" ht="15" customHeight="1">
      <c r="B123" s="94"/>
      <c r="C123" s="66" t="s">
        <v>179</v>
      </c>
      <c r="D123" s="67">
        <v>11</v>
      </c>
      <c r="E123" s="68">
        <v>1.3906447534765999E-2</v>
      </c>
    </row>
    <row r="124" spans="2:5" ht="15" customHeight="1">
      <c r="B124" s="95"/>
      <c r="C124" s="36" t="s">
        <v>29</v>
      </c>
      <c r="D124" s="35">
        <v>20</v>
      </c>
      <c r="E124" s="34">
        <v>2.5284450063210999E-2</v>
      </c>
    </row>
    <row r="125" spans="2:5" ht="15" customHeight="1">
      <c r="B125" s="93" t="s">
        <v>73</v>
      </c>
      <c r="C125" s="66" t="s">
        <v>177</v>
      </c>
      <c r="D125" s="67">
        <v>2</v>
      </c>
      <c r="E125" s="68">
        <v>2.528445006321E-3</v>
      </c>
    </row>
    <row r="126" spans="2:5" ht="15" customHeight="1">
      <c r="B126" s="94"/>
      <c r="C126" s="66" t="s">
        <v>179</v>
      </c>
      <c r="D126" s="67">
        <v>9</v>
      </c>
      <c r="E126" s="68">
        <v>1.1378002528444999E-2</v>
      </c>
    </row>
    <row r="127" spans="2:5" ht="15" customHeight="1">
      <c r="B127" s="95"/>
      <c r="C127" s="36" t="s">
        <v>29</v>
      </c>
      <c r="D127" s="35">
        <v>11</v>
      </c>
      <c r="E127" s="34">
        <v>1.3906447534765999E-2</v>
      </c>
    </row>
    <row r="128" spans="2:5" ht="15" customHeight="1">
      <c r="B128" s="93" t="s">
        <v>80</v>
      </c>
      <c r="C128" s="66" t="s">
        <v>179</v>
      </c>
      <c r="D128" s="67">
        <v>7</v>
      </c>
      <c r="E128" s="68">
        <v>8.8495575221239995E-3</v>
      </c>
    </row>
    <row r="129" spans="2:5" ht="15" customHeight="1">
      <c r="B129" s="95"/>
      <c r="C129" s="36" t="s">
        <v>29</v>
      </c>
      <c r="D129" s="35">
        <v>7</v>
      </c>
      <c r="E129" s="34">
        <v>8.8495575221239995E-3</v>
      </c>
    </row>
    <row r="130" spans="2:5" ht="15" customHeight="1">
      <c r="B130" s="93" t="s">
        <v>61</v>
      </c>
      <c r="C130" s="66" t="s">
        <v>177</v>
      </c>
      <c r="D130" s="67">
        <v>4</v>
      </c>
      <c r="E130" s="68">
        <v>5.0568900126419999E-3</v>
      </c>
    </row>
    <row r="131" spans="2:5" ht="15" customHeight="1">
      <c r="B131" s="94"/>
      <c r="C131" s="66" t="s">
        <v>180</v>
      </c>
      <c r="D131" s="67">
        <v>1</v>
      </c>
      <c r="E131" s="68">
        <v>1.264222503161E-3</v>
      </c>
    </row>
    <row r="132" spans="2:5" ht="15" customHeight="1">
      <c r="B132" s="94"/>
      <c r="C132" s="66" t="s">
        <v>178</v>
      </c>
      <c r="D132" s="67">
        <v>1</v>
      </c>
      <c r="E132" s="68">
        <v>1.264222503161E-3</v>
      </c>
    </row>
    <row r="133" spans="2:5" ht="15" customHeight="1">
      <c r="B133" s="94"/>
      <c r="C133" s="66" t="s">
        <v>179</v>
      </c>
      <c r="D133" s="67">
        <v>17</v>
      </c>
      <c r="E133" s="68">
        <v>2.1491782553729001E-2</v>
      </c>
    </row>
    <row r="134" spans="2:5" ht="15" customHeight="1">
      <c r="B134" s="94"/>
      <c r="C134" s="66" t="s">
        <v>186</v>
      </c>
      <c r="D134" s="67">
        <v>1</v>
      </c>
      <c r="E134" s="68">
        <v>1.264222503161E-3</v>
      </c>
    </row>
    <row r="135" spans="2:5" ht="15" customHeight="1">
      <c r="B135" s="95"/>
      <c r="C135" s="36" t="s">
        <v>29</v>
      </c>
      <c r="D135" s="35">
        <v>24</v>
      </c>
      <c r="E135" s="34">
        <v>3.0341340075852999E-2</v>
      </c>
    </row>
    <row r="136" spans="2:5" ht="15" customHeight="1">
      <c r="B136" s="93" t="s">
        <v>84</v>
      </c>
      <c r="C136" s="66" t="s">
        <v>181</v>
      </c>
      <c r="D136" s="67">
        <v>1</v>
      </c>
      <c r="E136" s="68">
        <v>1.264222503161E-3</v>
      </c>
    </row>
    <row r="137" spans="2:5" ht="15" customHeight="1">
      <c r="B137" s="94"/>
      <c r="C137" s="66" t="s">
        <v>177</v>
      </c>
      <c r="D137" s="67">
        <v>1</v>
      </c>
      <c r="E137" s="68">
        <v>1.264222503161E-3</v>
      </c>
    </row>
    <row r="138" spans="2:5" ht="15" customHeight="1">
      <c r="B138" s="94"/>
      <c r="C138" s="66" t="s">
        <v>180</v>
      </c>
      <c r="D138" s="67">
        <v>1</v>
      </c>
      <c r="E138" s="68">
        <v>1.264222503161E-3</v>
      </c>
    </row>
    <row r="139" spans="2:5" ht="15" customHeight="1">
      <c r="B139" s="94"/>
      <c r="C139" s="66" t="s">
        <v>185</v>
      </c>
      <c r="D139" s="67">
        <v>1</v>
      </c>
      <c r="E139" s="68">
        <v>1.264222503161E-3</v>
      </c>
    </row>
    <row r="140" spans="2:5" ht="15" customHeight="1">
      <c r="B140" s="94"/>
      <c r="C140" s="66" t="s">
        <v>179</v>
      </c>
      <c r="D140" s="67">
        <v>2</v>
      </c>
      <c r="E140" s="68">
        <v>2.528445006321E-3</v>
      </c>
    </row>
    <row r="141" spans="2:5" ht="15" customHeight="1">
      <c r="B141" s="95"/>
      <c r="C141" s="36" t="s">
        <v>29</v>
      </c>
      <c r="D141" s="35">
        <v>6</v>
      </c>
      <c r="E141" s="34">
        <v>7.5853350189629999E-3</v>
      </c>
    </row>
    <row r="142" spans="2:5" ht="15" customHeight="1">
      <c r="B142" s="93" t="s">
        <v>75</v>
      </c>
      <c r="C142" s="66" t="s">
        <v>177</v>
      </c>
      <c r="D142" s="67">
        <v>2</v>
      </c>
      <c r="E142" s="68">
        <v>2.528445006321E-3</v>
      </c>
    </row>
    <row r="143" spans="2:5" ht="15" customHeight="1">
      <c r="B143" s="94"/>
      <c r="C143" s="66" t="s">
        <v>179</v>
      </c>
      <c r="D143" s="67">
        <v>8</v>
      </c>
      <c r="E143" s="68">
        <v>1.0113780025284E-2</v>
      </c>
    </row>
    <row r="144" spans="2:5" ht="15" customHeight="1">
      <c r="B144" s="95"/>
      <c r="C144" s="36" t="s">
        <v>29</v>
      </c>
      <c r="D144" s="35">
        <v>10</v>
      </c>
      <c r="E144" s="34">
        <v>1.2642225031606001E-2</v>
      </c>
    </row>
    <row r="145" spans="2:5" ht="15" customHeight="1">
      <c r="B145" s="93" t="s">
        <v>81</v>
      </c>
      <c r="C145" s="66" t="s">
        <v>177</v>
      </c>
      <c r="D145" s="67">
        <v>1</v>
      </c>
      <c r="E145" s="68">
        <v>1.264222503161E-3</v>
      </c>
    </row>
    <row r="146" spans="2:5" ht="15" customHeight="1">
      <c r="B146" s="94"/>
      <c r="C146" s="66" t="s">
        <v>184</v>
      </c>
      <c r="D146" s="67">
        <v>3</v>
      </c>
      <c r="E146" s="68">
        <v>3.792667509482E-3</v>
      </c>
    </row>
    <row r="147" spans="2:5" ht="15" customHeight="1">
      <c r="B147" s="94"/>
      <c r="C147" s="66" t="s">
        <v>179</v>
      </c>
      <c r="D147" s="67">
        <v>3</v>
      </c>
      <c r="E147" s="68">
        <v>3.792667509482E-3</v>
      </c>
    </row>
    <row r="148" spans="2:5" ht="15" customHeight="1">
      <c r="B148" s="95"/>
      <c r="C148" s="36" t="s">
        <v>29</v>
      </c>
      <c r="D148" s="35">
        <v>7</v>
      </c>
      <c r="E148" s="34">
        <v>8.8495575221239995E-3</v>
      </c>
    </row>
    <row r="149" spans="2:5" ht="15" customHeight="1">
      <c r="B149" s="93" t="s">
        <v>52</v>
      </c>
      <c r="C149" s="66" t="s">
        <v>177</v>
      </c>
      <c r="D149" s="67">
        <v>8</v>
      </c>
      <c r="E149" s="68">
        <v>1.0113780025284E-2</v>
      </c>
    </row>
    <row r="150" spans="2:5" ht="15" customHeight="1">
      <c r="B150" s="94"/>
      <c r="C150" s="66" t="s">
        <v>180</v>
      </c>
      <c r="D150" s="67">
        <v>3</v>
      </c>
      <c r="E150" s="68">
        <v>3.792667509482E-3</v>
      </c>
    </row>
    <row r="151" spans="2:5" ht="15" customHeight="1">
      <c r="B151" s="94"/>
      <c r="C151" s="66" t="s">
        <v>178</v>
      </c>
      <c r="D151" s="67">
        <v>2</v>
      </c>
      <c r="E151" s="68">
        <v>2.528445006321E-3</v>
      </c>
    </row>
    <row r="152" spans="2:5" ht="15" customHeight="1">
      <c r="B152" s="94"/>
      <c r="C152" s="66" t="s">
        <v>184</v>
      </c>
      <c r="D152" s="67">
        <v>1</v>
      </c>
      <c r="E152" s="68">
        <v>1.264222503161E-3</v>
      </c>
    </row>
    <row r="153" spans="2:5" ht="15" customHeight="1">
      <c r="B153" s="94"/>
      <c r="C153" s="66" t="s">
        <v>179</v>
      </c>
      <c r="D153" s="67">
        <v>34</v>
      </c>
      <c r="E153" s="68">
        <v>4.2983565107459001E-2</v>
      </c>
    </row>
    <row r="154" spans="2:5" ht="15" customHeight="1">
      <c r="B154" s="94"/>
      <c r="C154" s="66" t="s">
        <v>186</v>
      </c>
      <c r="D154" s="67">
        <v>1</v>
      </c>
      <c r="E154" s="68">
        <v>1.264222503161E-3</v>
      </c>
    </row>
    <row r="155" spans="2:5" ht="15" customHeight="1">
      <c r="B155" s="95"/>
      <c r="C155" s="36" t="s">
        <v>29</v>
      </c>
      <c r="D155" s="35">
        <v>49</v>
      </c>
      <c r="E155" s="34">
        <v>6.1946902654866999E-2</v>
      </c>
    </row>
    <row r="156" spans="2:5" ht="15" customHeight="1">
      <c r="B156" s="93" t="s">
        <v>64</v>
      </c>
      <c r="C156" s="66" t="s">
        <v>177</v>
      </c>
      <c r="D156" s="67">
        <v>2</v>
      </c>
      <c r="E156" s="68">
        <v>2.528445006321E-3</v>
      </c>
    </row>
    <row r="157" spans="2:5" ht="15" customHeight="1">
      <c r="B157" s="94"/>
      <c r="C157" s="66" t="s">
        <v>178</v>
      </c>
      <c r="D157" s="67">
        <v>3</v>
      </c>
      <c r="E157" s="68">
        <v>3.792667509482E-3</v>
      </c>
    </row>
    <row r="158" spans="2:5" ht="15" customHeight="1">
      <c r="B158" s="94"/>
      <c r="C158" s="66" t="s">
        <v>184</v>
      </c>
      <c r="D158" s="67">
        <v>2</v>
      </c>
      <c r="E158" s="68">
        <v>2.528445006321E-3</v>
      </c>
    </row>
    <row r="159" spans="2:5" ht="15" customHeight="1">
      <c r="B159" s="94"/>
      <c r="C159" s="66" t="s">
        <v>179</v>
      </c>
      <c r="D159" s="67">
        <v>12</v>
      </c>
      <c r="E159" s="68">
        <v>1.5170670037927001E-2</v>
      </c>
    </row>
    <row r="160" spans="2:5" ht="15" customHeight="1">
      <c r="B160" s="95"/>
      <c r="C160" s="36" t="s">
        <v>29</v>
      </c>
      <c r="D160" s="35">
        <v>19</v>
      </c>
      <c r="E160" s="34">
        <v>2.4020227560051E-2</v>
      </c>
    </row>
    <row r="161" spans="2:5" ht="15" customHeight="1">
      <c r="B161" s="93" t="s">
        <v>59</v>
      </c>
      <c r="C161" s="66" t="s">
        <v>181</v>
      </c>
      <c r="D161" s="67">
        <v>2</v>
      </c>
      <c r="E161" s="68">
        <v>2.528445006321E-3</v>
      </c>
    </row>
    <row r="162" spans="2:5" ht="15" customHeight="1">
      <c r="B162" s="94"/>
      <c r="C162" s="66" t="s">
        <v>177</v>
      </c>
      <c r="D162" s="67">
        <v>2</v>
      </c>
      <c r="E162" s="68">
        <v>2.528445006321E-3</v>
      </c>
    </row>
    <row r="163" spans="2:5" ht="15" customHeight="1">
      <c r="B163" s="94"/>
      <c r="C163" s="66" t="s">
        <v>184</v>
      </c>
      <c r="D163" s="67">
        <v>1</v>
      </c>
      <c r="E163" s="68">
        <v>1.264222503161E-3</v>
      </c>
    </row>
    <row r="164" spans="2:5" ht="15" customHeight="1">
      <c r="B164" s="94"/>
      <c r="C164" s="66" t="s">
        <v>179</v>
      </c>
      <c r="D164" s="67">
        <v>24</v>
      </c>
      <c r="E164" s="68">
        <v>3.0341340075852999E-2</v>
      </c>
    </row>
    <row r="165" spans="2:5" ht="15" customHeight="1">
      <c r="B165" s="95"/>
      <c r="C165" s="36" t="s">
        <v>29</v>
      </c>
      <c r="D165" s="35">
        <v>29</v>
      </c>
      <c r="E165" s="34">
        <v>3.6662452591656E-2</v>
      </c>
    </row>
    <row r="166" spans="2:5" ht="15" customHeight="1">
      <c r="B166" s="93" t="s">
        <v>87</v>
      </c>
      <c r="C166" s="66" t="s">
        <v>177</v>
      </c>
      <c r="D166" s="67">
        <v>2</v>
      </c>
      <c r="E166" s="68">
        <v>2.528445006321E-3</v>
      </c>
    </row>
    <row r="167" spans="2:5" ht="15" customHeight="1">
      <c r="B167" s="94"/>
      <c r="C167" s="66" t="s">
        <v>184</v>
      </c>
      <c r="D167" s="67">
        <v>1</v>
      </c>
      <c r="E167" s="68">
        <v>1.264222503161E-3</v>
      </c>
    </row>
    <row r="168" spans="2:5" ht="15" customHeight="1">
      <c r="B168" s="94"/>
      <c r="C168" s="66" t="s">
        <v>179</v>
      </c>
      <c r="D168" s="67">
        <v>2</v>
      </c>
      <c r="E168" s="68">
        <v>2.528445006321E-3</v>
      </c>
    </row>
    <row r="169" spans="2:5" ht="15" customHeight="1">
      <c r="B169" s="95"/>
      <c r="C169" s="36" t="s">
        <v>29</v>
      </c>
      <c r="D169" s="35">
        <v>5</v>
      </c>
      <c r="E169" s="34">
        <v>6.3211125158030004E-3</v>
      </c>
    </row>
    <row r="170" spans="2:5" ht="15" customHeight="1">
      <c r="B170" s="93" t="s">
        <v>78</v>
      </c>
      <c r="C170" s="66" t="s">
        <v>177</v>
      </c>
      <c r="D170" s="67">
        <v>5</v>
      </c>
      <c r="E170" s="68">
        <v>6.3211125158030004E-3</v>
      </c>
    </row>
    <row r="171" spans="2:5" ht="15" customHeight="1">
      <c r="B171" s="94"/>
      <c r="C171" s="66" t="s">
        <v>184</v>
      </c>
      <c r="D171" s="67">
        <v>1</v>
      </c>
      <c r="E171" s="68">
        <v>1.264222503161E-3</v>
      </c>
    </row>
    <row r="172" spans="2:5" ht="15" customHeight="1">
      <c r="B172" s="94"/>
      <c r="C172" s="66" t="s">
        <v>179</v>
      </c>
      <c r="D172" s="67">
        <v>2</v>
      </c>
      <c r="E172" s="68">
        <v>2.528445006321E-3</v>
      </c>
    </row>
    <row r="173" spans="2:5" ht="15" customHeight="1">
      <c r="B173" s="95"/>
      <c r="C173" s="36" t="s">
        <v>29</v>
      </c>
      <c r="D173" s="35">
        <v>8</v>
      </c>
      <c r="E173" s="34">
        <v>1.0113780025284E-2</v>
      </c>
    </row>
    <row r="174" spans="2:5" ht="15" customHeight="1">
      <c r="B174" s="93" t="s">
        <v>77</v>
      </c>
      <c r="C174" s="66" t="s">
        <v>177</v>
      </c>
      <c r="D174" s="67">
        <v>3</v>
      </c>
      <c r="E174" s="68">
        <v>3.792667509482E-3</v>
      </c>
    </row>
    <row r="175" spans="2:5" ht="15" customHeight="1">
      <c r="B175" s="94"/>
      <c r="C175" s="66" t="s">
        <v>185</v>
      </c>
      <c r="D175" s="67">
        <v>1</v>
      </c>
      <c r="E175" s="68">
        <v>1.264222503161E-3</v>
      </c>
    </row>
    <row r="176" spans="2:5" ht="15" customHeight="1">
      <c r="B176" s="94"/>
      <c r="C176" s="66" t="s">
        <v>179</v>
      </c>
      <c r="D176" s="67">
        <v>5</v>
      </c>
      <c r="E176" s="68">
        <v>6.3211125158030004E-3</v>
      </c>
    </row>
    <row r="177" spans="2:5" ht="15" customHeight="1">
      <c r="B177" s="95"/>
      <c r="C177" s="36" t="s">
        <v>29</v>
      </c>
      <c r="D177" s="35">
        <v>9</v>
      </c>
      <c r="E177" s="34">
        <v>1.1378002528444999E-2</v>
      </c>
    </row>
    <row r="178" spans="2:5" ht="15" customHeight="1">
      <c r="B178" s="93" t="s">
        <v>88</v>
      </c>
      <c r="C178" s="66" t="s">
        <v>184</v>
      </c>
      <c r="D178" s="67">
        <v>1</v>
      </c>
      <c r="E178" s="68">
        <v>1.264222503161E-3</v>
      </c>
    </row>
    <row r="179" spans="2:5" ht="15" customHeight="1">
      <c r="B179" s="94"/>
      <c r="C179" s="66" t="s">
        <v>179</v>
      </c>
      <c r="D179" s="67">
        <v>4</v>
      </c>
      <c r="E179" s="68">
        <v>5.0568900126419999E-3</v>
      </c>
    </row>
    <row r="180" spans="2:5" ht="15" customHeight="1">
      <c r="B180" s="95"/>
      <c r="C180" s="36" t="s">
        <v>29</v>
      </c>
      <c r="D180" s="35">
        <v>5</v>
      </c>
      <c r="E180" s="34">
        <v>6.3211125158030004E-3</v>
      </c>
    </row>
    <row r="181" spans="2:5" ht="15" customHeight="1">
      <c r="B181" s="93" t="s">
        <v>51</v>
      </c>
      <c r="C181" s="66" t="s">
        <v>177</v>
      </c>
      <c r="D181" s="67">
        <v>3</v>
      </c>
      <c r="E181" s="68">
        <v>3.792667509482E-3</v>
      </c>
    </row>
    <row r="182" spans="2:5" ht="15" customHeight="1">
      <c r="B182" s="94"/>
      <c r="C182" s="66" t="s">
        <v>182</v>
      </c>
      <c r="D182" s="67">
        <v>1</v>
      </c>
      <c r="E182" s="68">
        <v>1.264222503161E-3</v>
      </c>
    </row>
    <row r="183" spans="2:5" ht="15" customHeight="1">
      <c r="B183" s="94"/>
      <c r="C183" s="66" t="s">
        <v>178</v>
      </c>
      <c r="D183" s="67">
        <v>12</v>
      </c>
      <c r="E183" s="68">
        <v>1.5170670037927001E-2</v>
      </c>
    </row>
    <row r="184" spans="2:5" ht="15" customHeight="1">
      <c r="B184" s="94"/>
      <c r="C184" s="66" t="s">
        <v>184</v>
      </c>
      <c r="D184" s="67">
        <v>26</v>
      </c>
      <c r="E184" s="68">
        <v>3.2869785082174002E-2</v>
      </c>
    </row>
    <row r="185" spans="2:5" ht="15" customHeight="1">
      <c r="B185" s="94"/>
      <c r="C185" s="66" t="s">
        <v>179</v>
      </c>
      <c r="D185" s="67">
        <v>22</v>
      </c>
      <c r="E185" s="68">
        <v>2.7812895069531999E-2</v>
      </c>
    </row>
    <row r="186" spans="2:5" ht="15" customHeight="1">
      <c r="B186" s="95"/>
      <c r="C186" s="36" t="s">
        <v>29</v>
      </c>
      <c r="D186" s="35">
        <v>64</v>
      </c>
      <c r="E186" s="34">
        <v>8.0910240202275996E-2</v>
      </c>
    </row>
    <row r="187" spans="2:5" ht="15" customHeight="1">
      <c r="B187" s="93" t="s">
        <v>62</v>
      </c>
      <c r="C187" s="66" t="s">
        <v>177</v>
      </c>
      <c r="D187" s="67">
        <v>1</v>
      </c>
      <c r="E187" s="68">
        <v>1.264222503161E-3</v>
      </c>
    </row>
    <row r="188" spans="2:5" ht="15" customHeight="1">
      <c r="B188" s="94"/>
      <c r="C188" s="66" t="s">
        <v>178</v>
      </c>
      <c r="D188" s="67">
        <v>4</v>
      </c>
      <c r="E188" s="68">
        <v>5.0568900126419999E-3</v>
      </c>
    </row>
    <row r="189" spans="2:5" ht="15" customHeight="1">
      <c r="B189" s="94"/>
      <c r="C189" s="66" t="s">
        <v>183</v>
      </c>
      <c r="D189" s="67">
        <v>1</v>
      </c>
      <c r="E189" s="68">
        <v>1.264222503161E-3</v>
      </c>
    </row>
    <row r="190" spans="2:5" ht="15" customHeight="1">
      <c r="B190" s="94"/>
      <c r="C190" s="66" t="s">
        <v>184</v>
      </c>
      <c r="D190" s="67">
        <v>6</v>
      </c>
      <c r="E190" s="68">
        <v>7.5853350189629999E-3</v>
      </c>
    </row>
    <row r="191" spans="2:5" ht="15" customHeight="1">
      <c r="B191" s="94"/>
      <c r="C191" s="66" t="s">
        <v>179</v>
      </c>
      <c r="D191" s="67">
        <v>9</v>
      </c>
      <c r="E191" s="68">
        <v>1.1378002528444999E-2</v>
      </c>
    </row>
    <row r="192" spans="2:5" ht="15" customHeight="1">
      <c r="B192" s="95"/>
      <c r="C192" s="36" t="s">
        <v>29</v>
      </c>
      <c r="D192" s="35">
        <v>21</v>
      </c>
      <c r="E192" s="34">
        <v>2.6548672566372E-2</v>
      </c>
    </row>
    <row r="193" spans="2:5" ht="15" customHeight="1">
      <c r="B193" s="93" t="s">
        <v>71</v>
      </c>
      <c r="C193" s="66" t="s">
        <v>181</v>
      </c>
      <c r="D193" s="67">
        <v>1</v>
      </c>
      <c r="E193" s="68">
        <v>1.264222503161E-3</v>
      </c>
    </row>
    <row r="194" spans="2:5" ht="15" customHeight="1">
      <c r="B194" s="94"/>
      <c r="C194" s="66" t="s">
        <v>177</v>
      </c>
      <c r="D194" s="67">
        <v>5</v>
      </c>
      <c r="E194" s="68">
        <v>6.3211125158030004E-3</v>
      </c>
    </row>
    <row r="195" spans="2:5" ht="15" customHeight="1">
      <c r="B195" s="94"/>
      <c r="C195" s="66" t="s">
        <v>180</v>
      </c>
      <c r="D195" s="67">
        <v>1</v>
      </c>
      <c r="E195" s="68">
        <v>1.264222503161E-3</v>
      </c>
    </row>
    <row r="196" spans="2:5" ht="15" customHeight="1">
      <c r="B196" s="94"/>
      <c r="C196" s="66" t="s">
        <v>179</v>
      </c>
      <c r="D196" s="67">
        <v>4</v>
      </c>
      <c r="E196" s="68">
        <v>5.0568900126419999E-3</v>
      </c>
    </row>
    <row r="197" spans="2:5" ht="15" customHeight="1">
      <c r="B197" s="94"/>
      <c r="C197" s="66" t="s">
        <v>186</v>
      </c>
      <c r="D197" s="67">
        <v>1</v>
      </c>
      <c r="E197" s="68">
        <v>1.264222503161E-3</v>
      </c>
    </row>
    <row r="198" spans="2:5" ht="15" customHeight="1">
      <c r="B198" s="95"/>
      <c r="C198" s="36" t="s">
        <v>29</v>
      </c>
      <c r="D198" s="35">
        <v>12</v>
      </c>
      <c r="E198" s="34">
        <v>1.5170670037927001E-2</v>
      </c>
    </row>
    <row r="199" spans="2:5" ht="15" customHeight="1">
      <c r="B199" s="93" t="s">
        <v>85</v>
      </c>
      <c r="C199" s="66" t="s">
        <v>184</v>
      </c>
      <c r="D199" s="67">
        <v>1</v>
      </c>
      <c r="E199" s="68">
        <v>1.264222503161E-3</v>
      </c>
    </row>
    <row r="200" spans="2:5" ht="15" customHeight="1">
      <c r="B200" s="94"/>
      <c r="C200" s="66" t="s">
        <v>179</v>
      </c>
      <c r="D200" s="67">
        <v>5</v>
      </c>
      <c r="E200" s="68">
        <v>6.3211125158030004E-3</v>
      </c>
    </row>
    <row r="201" spans="2:5" ht="15" customHeight="1">
      <c r="B201" s="95"/>
      <c r="C201" s="36" t="s">
        <v>29</v>
      </c>
      <c r="D201" s="35">
        <v>6</v>
      </c>
      <c r="E201" s="34">
        <v>7.5853350189629999E-3</v>
      </c>
    </row>
    <row r="202" spans="2:5" ht="15" customHeight="1">
      <c r="B202" s="93" t="s">
        <v>56</v>
      </c>
      <c r="C202" s="66" t="s">
        <v>177</v>
      </c>
      <c r="D202" s="67">
        <v>2</v>
      </c>
      <c r="E202" s="68">
        <v>2.528445006321E-3</v>
      </c>
    </row>
    <row r="203" spans="2:5" ht="15" customHeight="1">
      <c r="B203" s="94"/>
      <c r="C203" s="66" t="s">
        <v>179</v>
      </c>
      <c r="D203" s="67">
        <v>33</v>
      </c>
      <c r="E203" s="68">
        <v>4.1719342604298E-2</v>
      </c>
    </row>
    <row r="204" spans="2:5" ht="15" customHeight="1">
      <c r="B204" s="95"/>
      <c r="C204" s="36" t="s">
        <v>29</v>
      </c>
      <c r="D204" s="35">
        <v>35</v>
      </c>
      <c r="E204" s="34">
        <v>4.4247787610618997E-2</v>
      </c>
    </row>
    <row r="205" spans="2:5" ht="15" customHeight="1">
      <c r="B205" s="96" t="s">
        <v>29</v>
      </c>
      <c r="C205" s="97"/>
      <c r="D205" s="63">
        <v>791</v>
      </c>
      <c r="E205" s="64">
        <v>1</v>
      </c>
    </row>
    <row r="207" spans="2:5" ht="15" customHeight="1">
      <c r="B207" s="15" t="s">
        <v>47</v>
      </c>
    </row>
    <row r="208" spans="2:5" ht="15" customHeight="1">
      <c r="B208" s="17" t="s">
        <v>18</v>
      </c>
    </row>
    <row r="209" spans="2:2" ht="15" customHeight="1">
      <c r="B209" s="16" t="s">
        <v>48</v>
      </c>
    </row>
    <row r="210" spans="2:2" ht="15" customHeight="1">
      <c r="B210" s="15" t="s">
        <v>17</v>
      </c>
    </row>
    <row r="211" spans="2:2" ht="15" customHeight="1">
      <c r="B211" s="15" t="s">
        <v>49</v>
      </c>
    </row>
  </sheetData>
  <mergeCells count="46">
    <mergeCell ref="B125:B127"/>
    <mergeCell ref="B128:B129"/>
    <mergeCell ref="B130:B135"/>
    <mergeCell ref="B136:B141"/>
    <mergeCell ref="B7:E8"/>
    <mergeCell ref="B25:B27"/>
    <mergeCell ref="B119:B124"/>
    <mergeCell ref="B86:B91"/>
    <mergeCell ref="B92:B96"/>
    <mergeCell ref="B58:B59"/>
    <mergeCell ref="B60:B62"/>
    <mergeCell ref="B97:B102"/>
    <mergeCell ref="B103:B105"/>
    <mergeCell ref="B106:B109"/>
    <mergeCell ref="B110:B113"/>
    <mergeCell ref="B114:B118"/>
    <mergeCell ref="B10:B14"/>
    <mergeCell ref="B15:B19"/>
    <mergeCell ref="B20:B24"/>
    <mergeCell ref="B28:B29"/>
    <mergeCell ref="B30:B33"/>
    <mergeCell ref="B34:B35"/>
    <mergeCell ref="B36:B41"/>
    <mergeCell ref="B42:B48"/>
    <mergeCell ref="B49:B54"/>
    <mergeCell ref="B55:B57"/>
    <mergeCell ref="B63:B68"/>
    <mergeCell ref="B69:B74"/>
    <mergeCell ref="B75:B78"/>
    <mergeCell ref="B79:B83"/>
    <mergeCell ref="B84:B85"/>
    <mergeCell ref="B142:B144"/>
    <mergeCell ref="B145:B148"/>
    <mergeCell ref="B149:B155"/>
    <mergeCell ref="B156:B160"/>
    <mergeCell ref="B166:B169"/>
    <mergeCell ref="B161:B165"/>
    <mergeCell ref="B193:B198"/>
    <mergeCell ref="B199:B201"/>
    <mergeCell ref="B202:B204"/>
    <mergeCell ref="B205:C205"/>
    <mergeCell ref="B170:B173"/>
    <mergeCell ref="B174:B177"/>
    <mergeCell ref="B178:B180"/>
    <mergeCell ref="B181:B186"/>
    <mergeCell ref="B187:B19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67"/>
  <sheetViews>
    <sheetView showGridLines="0" view="pageBreakPreview" topLeftCell="A27" zoomScale="115" zoomScaleNormal="100" zoomScaleSheetLayoutView="115" workbookViewId="0">
      <selection activeCell="D35" sqref="B11:D35"/>
    </sheetView>
  </sheetViews>
  <sheetFormatPr baseColWidth="10" defaultColWidth="11.453125" defaultRowHeight="14.5"/>
  <cols>
    <col min="1" max="1" width="9.26953125" style="13" customWidth="1"/>
    <col min="2" max="2" width="30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9" t="s">
        <v>39</v>
      </c>
      <c r="C7" s="89"/>
      <c r="D7" s="89"/>
    </row>
    <row r="8" spans="2:5" s="25" customFormat="1" ht="15" customHeight="1">
      <c r="B8" s="89"/>
      <c r="C8" s="89"/>
      <c r="D8" s="89"/>
    </row>
    <row r="9" spans="2:5" s="25" customFormat="1" ht="33" customHeight="1">
      <c r="B9" s="89"/>
      <c r="C9" s="89"/>
      <c r="D9" s="89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9" t="s">
        <v>27</v>
      </c>
      <c r="C11" s="70" t="s">
        <v>26</v>
      </c>
      <c r="D11" s="69" t="s">
        <v>19</v>
      </c>
    </row>
    <row r="12" spans="2:5">
      <c r="B12" s="23" t="s">
        <v>187</v>
      </c>
      <c r="C12" s="22">
        <v>9</v>
      </c>
      <c r="D12" s="21">
        <v>1.1378002528444999E-2</v>
      </c>
    </row>
    <row r="13" spans="2:5">
      <c r="B13" s="23" t="s">
        <v>188</v>
      </c>
      <c r="C13" s="22">
        <v>1</v>
      </c>
      <c r="D13" s="21">
        <v>1.264222503161E-3</v>
      </c>
    </row>
    <row r="14" spans="2:5">
      <c r="B14" s="23" t="s">
        <v>189</v>
      </c>
      <c r="C14" s="22">
        <v>4</v>
      </c>
      <c r="D14" s="21">
        <v>5.0568900126419999E-3</v>
      </c>
      <c r="E14" s="24"/>
    </row>
    <row r="15" spans="2:5">
      <c r="B15" s="23" t="s">
        <v>190</v>
      </c>
      <c r="C15" s="22">
        <v>3</v>
      </c>
      <c r="D15" s="21">
        <v>3.792667509482E-3</v>
      </c>
      <c r="E15" s="24"/>
    </row>
    <row r="16" spans="2:5">
      <c r="B16" s="23" t="s">
        <v>191</v>
      </c>
      <c r="C16" s="22">
        <v>6</v>
      </c>
      <c r="D16" s="21">
        <v>7.5853350189629999E-3</v>
      </c>
    </row>
    <row r="17" spans="2:4">
      <c r="B17" s="23" t="s">
        <v>192</v>
      </c>
      <c r="C17" s="22">
        <v>5</v>
      </c>
      <c r="D17" s="21">
        <v>6.3211125158030004E-3</v>
      </c>
    </row>
    <row r="18" spans="2:4">
      <c r="B18" s="23" t="s">
        <v>193</v>
      </c>
      <c r="C18" s="22">
        <v>34</v>
      </c>
      <c r="D18" s="21">
        <v>4.2983565107459001E-2</v>
      </c>
    </row>
    <row r="19" spans="2:4">
      <c r="B19" s="23" t="s">
        <v>194</v>
      </c>
      <c r="C19" s="22">
        <v>73</v>
      </c>
      <c r="D19" s="21">
        <v>9.2288242730721004E-2</v>
      </c>
    </row>
    <row r="20" spans="2:4">
      <c r="B20" s="23" t="s">
        <v>195</v>
      </c>
      <c r="C20" s="22">
        <v>7</v>
      </c>
      <c r="D20" s="21">
        <v>8.8495575221239995E-3</v>
      </c>
    </row>
    <row r="21" spans="2:4">
      <c r="B21" s="23" t="s">
        <v>196</v>
      </c>
      <c r="C21" s="22">
        <v>20</v>
      </c>
      <c r="D21" s="21">
        <v>2.5284450063210999E-2</v>
      </c>
    </row>
    <row r="22" spans="2:4">
      <c r="B22" s="23" t="s">
        <v>197</v>
      </c>
      <c r="C22" s="22">
        <v>33</v>
      </c>
      <c r="D22" s="21">
        <v>4.1719342604298E-2</v>
      </c>
    </row>
    <row r="23" spans="2:4">
      <c r="B23" s="23" t="s">
        <v>198</v>
      </c>
      <c r="C23" s="22">
        <v>242</v>
      </c>
      <c r="D23" s="21">
        <v>0.305941845764855</v>
      </c>
    </row>
    <row r="24" spans="2:4">
      <c r="B24" s="23" t="s">
        <v>199</v>
      </c>
      <c r="C24" s="22">
        <v>6</v>
      </c>
      <c r="D24" s="21">
        <v>7.5853350189629999E-3</v>
      </c>
    </row>
    <row r="25" spans="2:4">
      <c r="B25" s="23" t="s">
        <v>200</v>
      </c>
      <c r="C25" s="22">
        <v>61</v>
      </c>
      <c r="D25" s="21">
        <v>7.7117572692793998E-2</v>
      </c>
    </row>
    <row r="26" spans="2:4" ht="28.5" customHeight="1">
      <c r="B26" s="23" t="s">
        <v>201</v>
      </c>
      <c r="C26" s="22">
        <v>218</v>
      </c>
      <c r="D26" s="21">
        <v>0.27560050568900102</v>
      </c>
    </row>
    <row r="27" spans="2:4">
      <c r="B27" s="23" t="s">
        <v>202</v>
      </c>
      <c r="C27" s="22">
        <v>2</v>
      </c>
      <c r="D27" s="21">
        <v>2.528445006321E-3</v>
      </c>
    </row>
    <row r="28" spans="2:4">
      <c r="B28" s="23" t="s">
        <v>203</v>
      </c>
      <c r="C28" s="22">
        <v>6</v>
      </c>
      <c r="D28" s="21">
        <v>7.5853350189629999E-3</v>
      </c>
    </row>
    <row r="29" spans="2:4">
      <c r="B29" s="23" t="s">
        <v>204</v>
      </c>
      <c r="C29" s="22">
        <v>1</v>
      </c>
      <c r="D29" s="21">
        <v>1.264222503161E-3</v>
      </c>
    </row>
    <row r="30" spans="2:4">
      <c r="B30" s="23" t="s">
        <v>205</v>
      </c>
      <c r="C30" s="22">
        <v>1</v>
      </c>
      <c r="D30" s="21">
        <v>1.264222503161E-3</v>
      </c>
    </row>
    <row r="31" spans="2:4">
      <c r="B31" s="23" t="s">
        <v>206</v>
      </c>
      <c r="C31" s="22">
        <v>17</v>
      </c>
      <c r="D31" s="21">
        <v>2.1491782553729001E-2</v>
      </c>
    </row>
    <row r="32" spans="2:4">
      <c r="B32" s="23" t="s">
        <v>207</v>
      </c>
      <c r="C32" s="22">
        <v>40</v>
      </c>
      <c r="D32" s="21">
        <v>5.0568900126421998E-2</v>
      </c>
    </row>
    <row r="33" spans="1:4">
      <c r="B33" s="23" t="s">
        <v>208</v>
      </c>
      <c r="C33" s="22">
        <v>1</v>
      </c>
      <c r="D33" s="21">
        <v>1.264222503161E-3</v>
      </c>
    </row>
    <row r="34" spans="1:4">
      <c r="B34" s="23" t="s">
        <v>209</v>
      </c>
      <c r="C34" s="22">
        <v>1</v>
      </c>
      <c r="D34" s="21">
        <v>1.264222503161E-3</v>
      </c>
    </row>
    <row r="35" spans="1:4">
      <c r="B35" s="20" t="s">
        <v>29</v>
      </c>
      <c r="C35" s="19">
        <v>791</v>
      </c>
      <c r="D35" s="18">
        <v>1</v>
      </c>
    </row>
    <row r="36" spans="1:4">
      <c r="B36" s="46"/>
    </row>
    <row r="37" spans="1:4">
      <c r="B37" s="15" t="s">
        <v>47</v>
      </c>
    </row>
    <row r="38" spans="1:4">
      <c r="B38" s="17" t="s">
        <v>18</v>
      </c>
    </row>
    <row r="39" spans="1:4">
      <c r="B39" s="16" t="s">
        <v>48</v>
      </c>
    </row>
    <row r="40" spans="1:4">
      <c r="A40" s="46"/>
      <c r="B40" s="15" t="s">
        <v>17</v>
      </c>
    </row>
    <row r="41" spans="1:4">
      <c r="B41" s="15" t="s">
        <v>49</v>
      </c>
    </row>
    <row r="45" spans="1:4">
      <c r="C45" s="13"/>
    </row>
    <row r="46" spans="1:4">
      <c r="C46" s="13"/>
    </row>
    <row r="47" spans="1:4">
      <c r="C47" s="13"/>
    </row>
    <row r="48" spans="1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261"/>
  <sheetViews>
    <sheetView showGridLines="0" view="pageBreakPreview" zoomScale="85" zoomScaleNormal="100" zoomScaleSheetLayoutView="85" workbookViewId="0">
      <selection activeCell="G8" sqref="G8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5.269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B9" s="73" t="s">
        <v>28</v>
      </c>
      <c r="C9" s="74" t="s">
        <v>25</v>
      </c>
      <c r="D9" s="75" t="s">
        <v>20</v>
      </c>
      <c r="E9" s="73" t="s">
        <v>19</v>
      </c>
    </row>
    <row r="10" spans="1:5" ht="14.5" customHeight="1">
      <c r="B10" s="90" t="s">
        <v>187</v>
      </c>
      <c r="C10" s="66" t="s">
        <v>96</v>
      </c>
      <c r="D10" s="67">
        <v>1</v>
      </c>
      <c r="E10" s="68">
        <v>1.264222503161E-3</v>
      </c>
    </row>
    <row r="11" spans="1:5" ht="14.5" customHeight="1">
      <c r="B11" s="90"/>
      <c r="C11" s="66" t="s">
        <v>97</v>
      </c>
      <c r="D11" s="67">
        <v>1</v>
      </c>
      <c r="E11" s="68">
        <v>1.264222503161E-3</v>
      </c>
    </row>
    <row r="12" spans="1:5" ht="14.5" customHeight="1">
      <c r="B12" s="90"/>
      <c r="C12" s="66" t="s">
        <v>102</v>
      </c>
      <c r="D12" s="67">
        <v>2</v>
      </c>
      <c r="E12" s="68">
        <v>2.528445006321E-3</v>
      </c>
    </row>
    <row r="13" spans="1:5" ht="14.5" customHeight="1">
      <c r="B13" s="90"/>
      <c r="C13" s="66" t="s">
        <v>108</v>
      </c>
      <c r="D13" s="67">
        <v>1</v>
      </c>
      <c r="E13" s="68">
        <v>1.264222503161E-3</v>
      </c>
    </row>
    <row r="14" spans="1:5" ht="14.5" customHeight="1">
      <c r="B14" s="90"/>
      <c r="C14" s="66" t="s">
        <v>113</v>
      </c>
      <c r="D14" s="67">
        <v>1</v>
      </c>
      <c r="E14" s="68">
        <v>1.264222503161E-3</v>
      </c>
    </row>
    <row r="15" spans="1:5" ht="14.5" customHeight="1">
      <c r="B15" s="90"/>
      <c r="C15" s="66" t="s">
        <v>122</v>
      </c>
      <c r="D15" s="67">
        <v>1</v>
      </c>
      <c r="E15" s="68">
        <v>1.264222503161E-3</v>
      </c>
    </row>
    <row r="16" spans="1:5" ht="14.5" customHeight="1">
      <c r="B16" s="90"/>
      <c r="C16" s="66" t="s">
        <v>124</v>
      </c>
      <c r="D16" s="67">
        <v>2</v>
      </c>
      <c r="E16" s="68">
        <v>2.528445006321E-3</v>
      </c>
    </row>
    <row r="17" spans="2:5" ht="14.5" customHeight="1">
      <c r="B17" s="90"/>
      <c r="C17" s="36" t="s">
        <v>29</v>
      </c>
      <c r="D17" s="35">
        <v>9</v>
      </c>
      <c r="E17" s="34">
        <v>1.1378002528444999E-2</v>
      </c>
    </row>
    <row r="18" spans="2:5" ht="14.5" customHeight="1">
      <c r="B18" s="90" t="s">
        <v>188</v>
      </c>
      <c r="C18" s="66" t="s">
        <v>120</v>
      </c>
      <c r="D18" s="67">
        <v>1</v>
      </c>
      <c r="E18" s="68">
        <v>1.264222503161E-3</v>
      </c>
    </row>
    <row r="19" spans="2:5" ht="14.5" customHeight="1">
      <c r="B19" s="90"/>
      <c r="C19" s="36" t="s">
        <v>29</v>
      </c>
      <c r="D19" s="35">
        <v>1</v>
      </c>
      <c r="E19" s="34">
        <v>1.264222503161E-3</v>
      </c>
    </row>
    <row r="20" spans="2:5" ht="14.5" customHeight="1">
      <c r="B20" s="90" t="s">
        <v>189</v>
      </c>
      <c r="C20" s="66" t="s">
        <v>97</v>
      </c>
      <c r="D20" s="67">
        <v>2</v>
      </c>
      <c r="E20" s="68">
        <v>2.528445006321E-3</v>
      </c>
    </row>
    <row r="21" spans="2:5" ht="14.5" customHeight="1">
      <c r="B21" s="90"/>
      <c r="C21" s="66" t="s">
        <v>112</v>
      </c>
      <c r="D21" s="67">
        <v>1</v>
      </c>
      <c r="E21" s="68">
        <v>1.264222503161E-3</v>
      </c>
    </row>
    <row r="22" spans="2:5" ht="14.5" customHeight="1">
      <c r="B22" s="90"/>
      <c r="C22" s="66" t="s">
        <v>129</v>
      </c>
      <c r="D22" s="67">
        <v>1</v>
      </c>
      <c r="E22" s="68">
        <v>1.264222503161E-3</v>
      </c>
    </row>
    <row r="23" spans="2:5" ht="14.5" customHeight="1">
      <c r="B23" s="90"/>
      <c r="C23" s="36" t="s">
        <v>29</v>
      </c>
      <c r="D23" s="35">
        <v>4</v>
      </c>
      <c r="E23" s="34">
        <v>5.0568900126419999E-3</v>
      </c>
    </row>
    <row r="24" spans="2:5" ht="14.5" customHeight="1">
      <c r="B24" s="90" t="s">
        <v>190</v>
      </c>
      <c r="C24" s="66" t="s">
        <v>97</v>
      </c>
      <c r="D24" s="67">
        <v>1</v>
      </c>
      <c r="E24" s="68">
        <v>1.264222503161E-3</v>
      </c>
    </row>
    <row r="25" spans="2:5" ht="14.5" customHeight="1">
      <c r="B25" s="90"/>
      <c r="C25" s="66" t="s">
        <v>115</v>
      </c>
      <c r="D25" s="67">
        <v>1</v>
      </c>
      <c r="E25" s="68">
        <v>1.264222503161E-3</v>
      </c>
    </row>
    <row r="26" spans="2:5" ht="14.5" customHeight="1">
      <c r="B26" s="90"/>
      <c r="C26" s="66" t="s">
        <v>122</v>
      </c>
      <c r="D26" s="67">
        <v>1</v>
      </c>
      <c r="E26" s="68">
        <v>1.264222503161E-3</v>
      </c>
    </row>
    <row r="27" spans="2:5" ht="14.5" customHeight="1">
      <c r="B27" s="90"/>
      <c r="C27" s="36" t="s">
        <v>29</v>
      </c>
      <c r="D27" s="35">
        <v>3</v>
      </c>
      <c r="E27" s="34">
        <v>3.792667509482E-3</v>
      </c>
    </row>
    <row r="28" spans="2:5" ht="14.5" customHeight="1">
      <c r="B28" s="90" t="s">
        <v>191</v>
      </c>
      <c r="C28" s="66" t="s">
        <v>97</v>
      </c>
      <c r="D28" s="67">
        <v>1</v>
      </c>
      <c r="E28" s="68">
        <v>1.264222503161E-3</v>
      </c>
    </row>
    <row r="29" spans="2:5" ht="14.5" customHeight="1">
      <c r="B29" s="90"/>
      <c r="C29" s="66" t="s">
        <v>102</v>
      </c>
      <c r="D29" s="67">
        <v>1</v>
      </c>
      <c r="E29" s="68">
        <v>1.264222503161E-3</v>
      </c>
    </row>
    <row r="30" spans="2:5" ht="14.5" customHeight="1">
      <c r="B30" s="90"/>
      <c r="C30" s="66" t="s">
        <v>112</v>
      </c>
      <c r="D30" s="67">
        <v>1</v>
      </c>
      <c r="E30" s="68">
        <v>1.264222503161E-3</v>
      </c>
    </row>
    <row r="31" spans="2:5" ht="14.5" customHeight="1">
      <c r="B31" s="90"/>
      <c r="C31" s="66" t="s">
        <v>120</v>
      </c>
      <c r="D31" s="67">
        <v>1</v>
      </c>
      <c r="E31" s="68">
        <v>1.264222503161E-3</v>
      </c>
    </row>
    <row r="32" spans="2:5" ht="14.5" customHeight="1">
      <c r="B32" s="90"/>
      <c r="C32" s="66" t="s">
        <v>121</v>
      </c>
      <c r="D32" s="67">
        <v>1</v>
      </c>
      <c r="E32" s="68">
        <v>1.264222503161E-3</v>
      </c>
    </row>
    <row r="33" spans="2:5" ht="14.5" customHeight="1">
      <c r="B33" s="90"/>
      <c r="C33" s="66" t="s">
        <v>124</v>
      </c>
      <c r="D33" s="67">
        <v>1</v>
      </c>
      <c r="E33" s="68">
        <v>1.264222503161E-3</v>
      </c>
    </row>
    <row r="34" spans="2:5" ht="14.5" customHeight="1">
      <c r="B34" s="90"/>
      <c r="C34" s="36" t="s">
        <v>29</v>
      </c>
      <c r="D34" s="35">
        <v>6</v>
      </c>
      <c r="E34" s="34">
        <v>7.5853350189629999E-3</v>
      </c>
    </row>
    <row r="35" spans="2:5" ht="14.5" customHeight="1">
      <c r="B35" s="90" t="s">
        <v>192</v>
      </c>
      <c r="C35" s="66" t="s">
        <v>97</v>
      </c>
      <c r="D35" s="67">
        <v>3</v>
      </c>
      <c r="E35" s="68">
        <v>3.792667509482E-3</v>
      </c>
    </row>
    <row r="36" spans="2:5" ht="14.5" customHeight="1">
      <c r="B36" s="90"/>
      <c r="C36" s="66" t="s">
        <v>105</v>
      </c>
      <c r="D36" s="67">
        <v>1</v>
      </c>
      <c r="E36" s="68">
        <v>1.264222503161E-3</v>
      </c>
    </row>
    <row r="37" spans="2:5" ht="14.5" customHeight="1">
      <c r="B37" s="90"/>
      <c r="C37" s="66" t="s">
        <v>128</v>
      </c>
      <c r="D37" s="67">
        <v>1</v>
      </c>
      <c r="E37" s="68">
        <v>1.264222503161E-3</v>
      </c>
    </row>
    <row r="38" spans="2:5" ht="14.5" customHeight="1">
      <c r="B38" s="90"/>
      <c r="C38" s="36" t="s">
        <v>29</v>
      </c>
      <c r="D38" s="35">
        <v>5</v>
      </c>
      <c r="E38" s="34">
        <v>6.3211125158030004E-3</v>
      </c>
    </row>
    <row r="39" spans="2:5" ht="14.5" customHeight="1">
      <c r="B39" s="90" t="s">
        <v>193</v>
      </c>
      <c r="C39" s="66" t="s">
        <v>97</v>
      </c>
      <c r="D39" s="67">
        <v>13</v>
      </c>
      <c r="E39" s="68">
        <v>1.6434892541087001E-2</v>
      </c>
    </row>
    <row r="40" spans="2:5" ht="14.5" customHeight="1">
      <c r="B40" s="90"/>
      <c r="C40" s="66" t="s">
        <v>98</v>
      </c>
      <c r="D40" s="67">
        <v>1</v>
      </c>
      <c r="E40" s="68">
        <v>1.264222503161E-3</v>
      </c>
    </row>
    <row r="41" spans="2:5" ht="14.5" customHeight="1">
      <c r="B41" s="90"/>
      <c r="C41" s="66" t="s">
        <v>102</v>
      </c>
      <c r="D41" s="67">
        <v>1</v>
      </c>
      <c r="E41" s="68">
        <v>1.264222503161E-3</v>
      </c>
    </row>
    <row r="42" spans="2:5" ht="14.5" customHeight="1">
      <c r="B42" s="90"/>
      <c r="C42" s="66" t="s">
        <v>103</v>
      </c>
      <c r="D42" s="67">
        <v>1</v>
      </c>
      <c r="E42" s="68">
        <v>1.264222503161E-3</v>
      </c>
    </row>
    <row r="43" spans="2:5" ht="14.5" customHeight="1">
      <c r="B43" s="90"/>
      <c r="C43" s="66" t="s">
        <v>107</v>
      </c>
      <c r="D43" s="67">
        <v>1</v>
      </c>
      <c r="E43" s="68">
        <v>1.264222503161E-3</v>
      </c>
    </row>
    <row r="44" spans="2:5" ht="14.5" customHeight="1">
      <c r="B44" s="90"/>
      <c r="C44" s="66" t="s">
        <v>109</v>
      </c>
      <c r="D44" s="67">
        <v>1</v>
      </c>
      <c r="E44" s="68">
        <v>1.264222503161E-3</v>
      </c>
    </row>
    <row r="45" spans="2:5" ht="14.5" customHeight="1">
      <c r="B45" s="90"/>
      <c r="C45" s="66" t="s">
        <v>112</v>
      </c>
      <c r="D45" s="67">
        <v>1</v>
      </c>
      <c r="E45" s="68">
        <v>1.264222503161E-3</v>
      </c>
    </row>
    <row r="46" spans="2:5" ht="14.5" customHeight="1">
      <c r="B46" s="90"/>
      <c r="C46" s="66" t="s">
        <v>115</v>
      </c>
      <c r="D46" s="67">
        <v>1</v>
      </c>
      <c r="E46" s="68">
        <v>1.264222503161E-3</v>
      </c>
    </row>
    <row r="47" spans="2:5" ht="14.5" customHeight="1">
      <c r="B47" s="90"/>
      <c r="C47" s="66" t="s">
        <v>118</v>
      </c>
      <c r="D47" s="67">
        <v>1</v>
      </c>
      <c r="E47" s="68">
        <v>1.264222503161E-3</v>
      </c>
    </row>
    <row r="48" spans="2:5" ht="14.5" customHeight="1">
      <c r="B48" s="90"/>
      <c r="C48" s="66" t="s">
        <v>119</v>
      </c>
      <c r="D48" s="67">
        <v>2</v>
      </c>
      <c r="E48" s="68">
        <v>2.528445006321E-3</v>
      </c>
    </row>
    <row r="49" spans="2:5" ht="14.5" customHeight="1">
      <c r="B49" s="90"/>
      <c r="C49" s="66" t="s">
        <v>122</v>
      </c>
      <c r="D49" s="67">
        <v>1</v>
      </c>
      <c r="E49" s="68">
        <v>1.264222503161E-3</v>
      </c>
    </row>
    <row r="50" spans="2:5" ht="14.5" customHeight="1">
      <c r="B50" s="90"/>
      <c r="C50" s="66" t="s">
        <v>128</v>
      </c>
      <c r="D50" s="67">
        <v>1</v>
      </c>
      <c r="E50" s="68">
        <v>1.264222503161E-3</v>
      </c>
    </row>
    <row r="51" spans="2:5" ht="14.5" customHeight="1">
      <c r="B51" s="90"/>
      <c r="C51" s="66" t="s">
        <v>129</v>
      </c>
      <c r="D51" s="67">
        <v>7</v>
      </c>
      <c r="E51" s="68">
        <v>8.8495575221239995E-3</v>
      </c>
    </row>
    <row r="52" spans="2:5" ht="14.5" customHeight="1">
      <c r="B52" s="90"/>
      <c r="C52" s="66" t="s">
        <v>132</v>
      </c>
      <c r="D52" s="67">
        <v>2</v>
      </c>
      <c r="E52" s="68">
        <v>2.528445006321E-3</v>
      </c>
    </row>
    <row r="53" spans="2:5" ht="14.5" customHeight="1">
      <c r="B53" s="90"/>
      <c r="C53" s="36" t="s">
        <v>29</v>
      </c>
      <c r="D53" s="35">
        <v>34</v>
      </c>
      <c r="E53" s="34">
        <v>4.2983565107459001E-2</v>
      </c>
    </row>
    <row r="54" spans="2:5" ht="14.5" customHeight="1">
      <c r="B54" s="90" t="s">
        <v>194</v>
      </c>
      <c r="C54" s="66" t="s">
        <v>94</v>
      </c>
      <c r="D54" s="67">
        <v>4</v>
      </c>
      <c r="E54" s="68">
        <v>5.0568900126419999E-3</v>
      </c>
    </row>
    <row r="55" spans="2:5" ht="14.5" customHeight="1">
      <c r="B55" s="90"/>
      <c r="C55" s="66" t="s">
        <v>96</v>
      </c>
      <c r="D55" s="67">
        <v>1</v>
      </c>
      <c r="E55" s="68">
        <v>1.264222503161E-3</v>
      </c>
    </row>
    <row r="56" spans="2:5" ht="14.5" customHeight="1">
      <c r="B56" s="90"/>
      <c r="C56" s="66" t="s">
        <v>97</v>
      </c>
      <c r="D56" s="67">
        <v>17</v>
      </c>
      <c r="E56" s="68">
        <v>2.1491782553729001E-2</v>
      </c>
    </row>
    <row r="57" spans="2:5" ht="14.5" customHeight="1">
      <c r="B57" s="90"/>
      <c r="C57" s="66" t="s">
        <v>98</v>
      </c>
      <c r="D57" s="67">
        <v>1</v>
      </c>
      <c r="E57" s="68">
        <v>1.264222503161E-3</v>
      </c>
    </row>
    <row r="58" spans="2:5" ht="14.5" customHeight="1">
      <c r="B58" s="90"/>
      <c r="C58" s="66" t="s">
        <v>102</v>
      </c>
      <c r="D58" s="67">
        <v>8</v>
      </c>
      <c r="E58" s="68">
        <v>1.0113780025284E-2</v>
      </c>
    </row>
    <row r="59" spans="2:5" ht="14.5" customHeight="1">
      <c r="B59" s="90"/>
      <c r="C59" s="66" t="s">
        <v>103</v>
      </c>
      <c r="D59" s="67">
        <v>4</v>
      </c>
      <c r="E59" s="68">
        <v>5.0568900126419999E-3</v>
      </c>
    </row>
    <row r="60" spans="2:5" ht="14.5" customHeight="1">
      <c r="B60" s="90"/>
      <c r="C60" s="66" t="s">
        <v>105</v>
      </c>
      <c r="D60" s="67">
        <v>3</v>
      </c>
      <c r="E60" s="68">
        <v>3.792667509482E-3</v>
      </c>
    </row>
    <row r="61" spans="2:5" ht="14.5" customHeight="1">
      <c r="B61" s="90"/>
      <c r="C61" s="66" t="s">
        <v>106</v>
      </c>
      <c r="D61" s="67">
        <v>2</v>
      </c>
      <c r="E61" s="68">
        <v>2.528445006321E-3</v>
      </c>
    </row>
    <row r="62" spans="2:5" ht="14.5" customHeight="1">
      <c r="B62" s="90"/>
      <c r="C62" s="66" t="s">
        <v>107</v>
      </c>
      <c r="D62" s="67">
        <v>1</v>
      </c>
      <c r="E62" s="68">
        <v>1.264222503161E-3</v>
      </c>
    </row>
    <row r="63" spans="2:5" ht="14.5" customHeight="1">
      <c r="B63" s="90"/>
      <c r="C63" s="66" t="s">
        <v>109</v>
      </c>
      <c r="D63" s="67">
        <v>1</v>
      </c>
      <c r="E63" s="68">
        <v>1.264222503161E-3</v>
      </c>
    </row>
    <row r="64" spans="2:5" ht="14.5" customHeight="1">
      <c r="B64" s="90"/>
      <c r="C64" s="66" t="s">
        <v>113</v>
      </c>
      <c r="D64" s="67">
        <v>1</v>
      </c>
      <c r="E64" s="68">
        <v>1.264222503161E-3</v>
      </c>
    </row>
    <row r="65" spans="2:5" ht="14.5" customHeight="1">
      <c r="B65" s="90"/>
      <c r="C65" s="66" t="s">
        <v>114</v>
      </c>
      <c r="D65" s="67">
        <v>2</v>
      </c>
      <c r="E65" s="68">
        <v>2.528445006321E-3</v>
      </c>
    </row>
    <row r="66" spans="2:5" ht="14.5" customHeight="1">
      <c r="B66" s="90"/>
      <c r="C66" s="66" t="s">
        <v>120</v>
      </c>
      <c r="D66" s="67">
        <v>1</v>
      </c>
      <c r="E66" s="68">
        <v>1.264222503161E-3</v>
      </c>
    </row>
    <row r="67" spans="2:5" ht="14.5" customHeight="1">
      <c r="B67" s="90"/>
      <c r="C67" s="66" t="s">
        <v>121</v>
      </c>
      <c r="D67" s="67">
        <v>1</v>
      </c>
      <c r="E67" s="68">
        <v>1.264222503161E-3</v>
      </c>
    </row>
    <row r="68" spans="2:5" ht="14.5" customHeight="1">
      <c r="B68" s="90"/>
      <c r="C68" s="66" t="s">
        <v>122</v>
      </c>
      <c r="D68" s="67">
        <v>7</v>
      </c>
      <c r="E68" s="68">
        <v>8.8495575221239995E-3</v>
      </c>
    </row>
    <row r="69" spans="2:5" ht="14.5" customHeight="1">
      <c r="B69" s="90"/>
      <c r="C69" s="66" t="s">
        <v>123</v>
      </c>
      <c r="D69" s="67">
        <v>2</v>
      </c>
      <c r="E69" s="68">
        <v>2.528445006321E-3</v>
      </c>
    </row>
    <row r="70" spans="2:5" ht="14.5" customHeight="1">
      <c r="B70" s="90"/>
      <c r="C70" s="66" t="s">
        <v>127</v>
      </c>
      <c r="D70" s="67">
        <v>3</v>
      </c>
      <c r="E70" s="68">
        <v>3.792667509482E-3</v>
      </c>
    </row>
    <row r="71" spans="2:5" ht="14.5" customHeight="1">
      <c r="B71" s="90"/>
      <c r="C71" s="66" t="s">
        <v>128</v>
      </c>
      <c r="D71" s="67">
        <v>3</v>
      </c>
      <c r="E71" s="68">
        <v>3.792667509482E-3</v>
      </c>
    </row>
    <row r="72" spans="2:5" ht="14.5" customHeight="1">
      <c r="B72" s="90"/>
      <c r="C72" s="66" t="s">
        <v>129</v>
      </c>
      <c r="D72" s="67">
        <v>9</v>
      </c>
      <c r="E72" s="68">
        <v>1.1378002528444999E-2</v>
      </c>
    </row>
    <row r="73" spans="2:5" ht="14.5" customHeight="1">
      <c r="B73" s="90"/>
      <c r="C73" s="66" t="s">
        <v>130</v>
      </c>
      <c r="D73" s="67">
        <v>1</v>
      </c>
      <c r="E73" s="68">
        <v>1.264222503161E-3</v>
      </c>
    </row>
    <row r="74" spans="2:5" ht="14.5" customHeight="1">
      <c r="B74" s="90"/>
      <c r="C74" s="66" t="s">
        <v>132</v>
      </c>
      <c r="D74" s="67">
        <v>1</v>
      </c>
      <c r="E74" s="68">
        <v>1.264222503161E-3</v>
      </c>
    </row>
    <row r="75" spans="2:5" ht="14.5" customHeight="1">
      <c r="B75" s="90"/>
      <c r="C75" s="36" t="s">
        <v>29</v>
      </c>
      <c r="D75" s="35">
        <v>73</v>
      </c>
      <c r="E75" s="34">
        <v>9.2288242730721004E-2</v>
      </c>
    </row>
    <row r="76" spans="2:5" ht="14.5" customHeight="1">
      <c r="B76" s="90" t="s">
        <v>195</v>
      </c>
      <c r="C76" s="66" t="s">
        <v>97</v>
      </c>
      <c r="D76" s="67">
        <v>3</v>
      </c>
      <c r="E76" s="68">
        <v>3.792667509482E-3</v>
      </c>
    </row>
    <row r="77" spans="2:5" ht="14.5" customHeight="1">
      <c r="B77" s="90"/>
      <c r="C77" s="66" t="s">
        <v>102</v>
      </c>
      <c r="D77" s="67">
        <v>1</v>
      </c>
      <c r="E77" s="68">
        <v>1.264222503161E-3</v>
      </c>
    </row>
    <row r="78" spans="2:5" ht="14.5" customHeight="1">
      <c r="B78" s="90"/>
      <c r="C78" s="66" t="s">
        <v>107</v>
      </c>
      <c r="D78" s="67">
        <v>1</v>
      </c>
      <c r="E78" s="68">
        <v>1.264222503161E-3</v>
      </c>
    </row>
    <row r="79" spans="2:5" ht="14.5" customHeight="1">
      <c r="B79" s="90"/>
      <c r="C79" s="66" t="s">
        <v>129</v>
      </c>
      <c r="D79" s="67">
        <v>1</v>
      </c>
      <c r="E79" s="68">
        <v>1.264222503161E-3</v>
      </c>
    </row>
    <row r="80" spans="2:5" ht="14.5" customHeight="1">
      <c r="B80" s="90"/>
      <c r="C80" s="66" t="s">
        <v>56</v>
      </c>
      <c r="D80" s="67">
        <v>1</v>
      </c>
      <c r="E80" s="68">
        <v>1.264222503161E-3</v>
      </c>
    </row>
    <row r="81" spans="2:5" ht="14.5" customHeight="1">
      <c r="B81" s="90"/>
      <c r="C81" s="36" t="s">
        <v>29</v>
      </c>
      <c r="D81" s="35">
        <v>7</v>
      </c>
      <c r="E81" s="34">
        <v>8.8495575221239995E-3</v>
      </c>
    </row>
    <row r="82" spans="2:5" ht="14.5" customHeight="1">
      <c r="B82" s="90" t="s">
        <v>196</v>
      </c>
      <c r="C82" s="66" t="s">
        <v>94</v>
      </c>
      <c r="D82" s="67">
        <v>2</v>
      </c>
      <c r="E82" s="68">
        <v>2.528445006321E-3</v>
      </c>
    </row>
    <row r="83" spans="2:5" ht="14.5" customHeight="1">
      <c r="B83" s="90"/>
      <c r="C83" s="66" t="s">
        <v>97</v>
      </c>
      <c r="D83" s="67">
        <v>3</v>
      </c>
      <c r="E83" s="68">
        <v>3.792667509482E-3</v>
      </c>
    </row>
    <row r="84" spans="2:5" ht="14.5" customHeight="1">
      <c r="B84" s="90"/>
      <c r="C84" s="66" t="s">
        <v>102</v>
      </c>
      <c r="D84" s="67">
        <v>1</v>
      </c>
      <c r="E84" s="68">
        <v>1.264222503161E-3</v>
      </c>
    </row>
    <row r="85" spans="2:5" ht="14.5" customHeight="1">
      <c r="B85" s="90"/>
      <c r="C85" s="66" t="s">
        <v>103</v>
      </c>
      <c r="D85" s="67">
        <v>2</v>
      </c>
      <c r="E85" s="68">
        <v>2.528445006321E-3</v>
      </c>
    </row>
    <row r="86" spans="2:5" ht="14.5" customHeight="1">
      <c r="B86" s="90"/>
      <c r="C86" s="66" t="s">
        <v>107</v>
      </c>
      <c r="D86" s="67">
        <v>1</v>
      </c>
      <c r="E86" s="68">
        <v>1.264222503161E-3</v>
      </c>
    </row>
    <row r="87" spans="2:5" ht="14.5" customHeight="1">
      <c r="B87" s="90"/>
      <c r="C87" s="66" t="s">
        <v>121</v>
      </c>
      <c r="D87" s="67">
        <v>2</v>
      </c>
      <c r="E87" s="68">
        <v>2.528445006321E-3</v>
      </c>
    </row>
    <row r="88" spans="2:5" ht="14.5" customHeight="1">
      <c r="B88" s="90"/>
      <c r="C88" s="66" t="s">
        <v>122</v>
      </c>
      <c r="D88" s="67">
        <v>1</v>
      </c>
      <c r="E88" s="68">
        <v>1.264222503161E-3</v>
      </c>
    </row>
    <row r="89" spans="2:5" ht="14.5" customHeight="1">
      <c r="B89" s="90"/>
      <c r="C89" s="66" t="s">
        <v>123</v>
      </c>
      <c r="D89" s="67">
        <v>1</v>
      </c>
      <c r="E89" s="68">
        <v>1.264222503161E-3</v>
      </c>
    </row>
    <row r="90" spans="2:5" ht="14.5" customHeight="1">
      <c r="B90" s="90"/>
      <c r="C90" s="66" t="s">
        <v>124</v>
      </c>
      <c r="D90" s="67">
        <v>1</v>
      </c>
      <c r="E90" s="68">
        <v>1.264222503161E-3</v>
      </c>
    </row>
    <row r="91" spans="2:5" ht="14.5" customHeight="1">
      <c r="B91" s="90"/>
      <c r="C91" s="66" t="s">
        <v>125</v>
      </c>
      <c r="D91" s="67">
        <v>1</v>
      </c>
      <c r="E91" s="68">
        <v>1.264222503161E-3</v>
      </c>
    </row>
    <row r="92" spans="2:5" ht="14.5" customHeight="1">
      <c r="B92" s="90"/>
      <c r="C92" s="66" t="s">
        <v>129</v>
      </c>
      <c r="D92" s="67">
        <v>4</v>
      </c>
      <c r="E92" s="68">
        <v>5.0568900126419999E-3</v>
      </c>
    </row>
    <row r="93" spans="2:5" ht="14.5" customHeight="1">
      <c r="B93" s="90"/>
      <c r="C93" s="66" t="s">
        <v>132</v>
      </c>
      <c r="D93" s="67">
        <v>1</v>
      </c>
      <c r="E93" s="68">
        <v>1.264222503161E-3</v>
      </c>
    </row>
    <row r="94" spans="2:5" ht="14.5" customHeight="1">
      <c r="B94" s="90"/>
      <c r="C94" s="36" t="s">
        <v>29</v>
      </c>
      <c r="D94" s="35">
        <v>20</v>
      </c>
      <c r="E94" s="34">
        <v>2.5284450063210999E-2</v>
      </c>
    </row>
    <row r="95" spans="2:5" ht="14.5" customHeight="1">
      <c r="B95" s="90" t="s">
        <v>197</v>
      </c>
      <c r="C95" s="66" t="s">
        <v>97</v>
      </c>
      <c r="D95" s="67">
        <v>10</v>
      </c>
      <c r="E95" s="68">
        <v>1.2642225031606001E-2</v>
      </c>
    </row>
    <row r="96" spans="2:5" ht="14.5" customHeight="1">
      <c r="B96" s="90"/>
      <c r="C96" s="66" t="s">
        <v>102</v>
      </c>
      <c r="D96" s="67">
        <v>2</v>
      </c>
      <c r="E96" s="68">
        <v>2.528445006321E-3</v>
      </c>
    </row>
    <row r="97" spans="2:5" ht="14.5" customHeight="1">
      <c r="B97" s="90"/>
      <c r="C97" s="66" t="s">
        <v>103</v>
      </c>
      <c r="D97" s="67">
        <v>1</v>
      </c>
      <c r="E97" s="68">
        <v>1.264222503161E-3</v>
      </c>
    </row>
    <row r="98" spans="2:5" ht="14.5" customHeight="1">
      <c r="B98" s="90"/>
      <c r="C98" s="66" t="s">
        <v>106</v>
      </c>
      <c r="D98" s="67">
        <v>2</v>
      </c>
      <c r="E98" s="68">
        <v>2.528445006321E-3</v>
      </c>
    </row>
    <row r="99" spans="2:5" ht="14.5" customHeight="1">
      <c r="B99" s="90"/>
      <c r="C99" s="66" t="s">
        <v>113</v>
      </c>
      <c r="D99" s="67">
        <v>1</v>
      </c>
      <c r="E99" s="68">
        <v>1.264222503161E-3</v>
      </c>
    </row>
    <row r="100" spans="2:5" ht="14.5" customHeight="1">
      <c r="B100" s="90"/>
      <c r="C100" s="66" t="s">
        <v>116</v>
      </c>
      <c r="D100" s="67">
        <v>1</v>
      </c>
      <c r="E100" s="68">
        <v>1.264222503161E-3</v>
      </c>
    </row>
    <row r="101" spans="2:5" ht="14.5" customHeight="1">
      <c r="B101" s="90"/>
      <c r="C101" s="66" t="s">
        <v>117</v>
      </c>
      <c r="D101" s="67">
        <v>1</v>
      </c>
      <c r="E101" s="68">
        <v>1.264222503161E-3</v>
      </c>
    </row>
    <row r="102" spans="2:5" ht="14.5" customHeight="1">
      <c r="B102" s="90"/>
      <c r="C102" s="66" t="s">
        <v>122</v>
      </c>
      <c r="D102" s="67">
        <v>1</v>
      </c>
      <c r="E102" s="68">
        <v>1.264222503161E-3</v>
      </c>
    </row>
    <row r="103" spans="2:5" ht="14.5" customHeight="1">
      <c r="B103" s="90"/>
      <c r="C103" s="66" t="s">
        <v>123</v>
      </c>
      <c r="D103" s="67">
        <v>2</v>
      </c>
      <c r="E103" s="68">
        <v>2.528445006321E-3</v>
      </c>
    </row>
    <row r="104" spans="2:5" ht="14.5" customHeight="1">
      <c r="B104" s="90"/>
      <c r="C104" s="66" t="s">
        <v>124</v>
      </c>
      <c r="D104" s="67">
        <v>1</v>
      </c>
      <c r="E104" s="68">
        <v>1.264222503161E-3</v>
      </c>
    </row>
    <row r="105" spans="2:5" ht="14.5" customHeight="1">
      <c r="B105" s="90"/>
      <c r="C105" s="66" t="s">
        <v>125</v>
      </c>
      <c r="D105" s="67">
        <v>1</v>
      </c>
      <c r="E105" s="68">
        <v>1.264222503161E-3</v>
      </c>
    </row>
    <row r="106" spans="2:5" ht="14.5" customHeight="1">
      <c r="B106" s="90"/>
      <c r="C106" s="66" t="s">
        <v>129</v>
      </c>
      <c r="D106" s="67">
        <v>8</v>
      </c>
      <c r="E106" s="68">
        <v>1.0113780025284E-2</v>
      </c>
    </row>
    <row r="107" spans="2:5" ht="14.5" customHeight="1">
      <c r="B107" s="90"/>
      <c r="C107" s="66" t="s">
        <v>132</v>
      </c>
      <c r="D107" s="67">
        <v>2</v>
      </c>
      <c r="E107" s="68">
        <v>2.528445006321E-3</v>
      </c>
    </row>
    <row r="108" spans="2:5" ht="14.5" customHeight="1">
      <c r="B108" s="90"/>
      <c r="C108" s="36" t="s">
        <v>29</v>
      </c>
      <c r="D108" s="35">
        <v>33</v>
      </c>
      <c r="E108" s="34">
        <v>4.1719342604298E-2</v>
      </c>
    </row>
    <row r="109" spans="2:5" ht="14.5" customHeight="1">
      <c r="B109" s="90" t="s">
        <v>198</v>
      </c>
      <c r="C109" s="66" t="s">
        <v>94</v>
      </c>
      <c r="D109" s="67">
        <v>14</v>
      </c>
      <c r="E109" s="68">
        <v>1.7699115044247999E-2</v>
      </c>
    </row>
    <row r="110" spans="2:5" ht="14.5" customHeight="1">
      <c r="B110" s="90"/>
      <c r="C110" s="66" t="s">
        <v>95</v>
      </c>
      <c r="D110" s="67">
        <v>2</v>
      </c>
      <c r="E110" s="68">
        <v>2.528445006321E-3</v>
      </c>
    </row>
    <row r="111" spans="2:5" ht="14.5" customHeight="1">
      <c r="B111" s="90"/>
      <c r="C111" s="66" t="s">
        <v>96</v>
      </c>
      <c r="D111" s="67">
        <v>4</v>
      </c>
      <c r="E111" s="68">
        <v>5.0568900126419999E-3</v>
      </c>
    </row>
    <row r="112" spans="2:5" ht="14.5" customHeight="1">
      <c r="B112" s="90"/>
      <c r="C112" s="66" t="s">
        <v>97</v>
      </c>
      <c r="D112" s="67">
        <v>52</v>
      </c>
      <c r="E112" s="68">
        <v>6.5739570164349004E-2</v>
      </c>
    </row>
    <row r="113" spans="2:5" ht="14.5" customHeight="1">
      <c r="B113" s="90"/>
      <c r="C113" s="66" t="s">
        <v>98</v>
      </c>
      <c r="D113" s="67">
        <v>2</v>
      </c>
      <c r="E113" s="68">
        <v>2.528445006321E-3</v>
      </c>
    </row>
    <row r="114" spans="2:5" ht="14.5" customHeight="1">
      <c r="B114" s="90"/>
      <c r="C114" s="66" t="s">
        <v>100</v>
      </c>
      <c r="D114" s="67">
        <v>1</v>
      </c>
      <c r="E114" s="68">
        <v>1.264222503161E-3</v>
      </c>
    </row>
    <row r="115" spans="2:5" ht="14.5" customHeight="1">
      <c r="B115" s="90"/>
      <c r="C115" s="66" t="s">
        <v>101</v>
      </c>
      <c r="D115" s="67">
        <v>1</v>
      </c>
      <c r="E115" s="68">
        <v>1.264222503161E-3</v>
      </c>
    </row>
    <row r="116" spans="2:5" ht="14.5" customHeight="1">
      <c r="B116" s="90"/>
      <c r="C116" s="66" t="s">
        <v>102</v>
      </c>
      <c r="D116" s="67">
        <v>9</v>
      </c>
      <c r="E116" s="68">
        <v>1.1378002528444999E-2</v>
      </c>
    </row>
    <row r="117" spans="2:5" ht="14.5" customHeight="1">
      <c r="B117" s="90"/>
      <c r="C117" s="66" t="s">
        <v>103</v>
      </c>
      <c r="D117" s="67">
        <v>8</v>
      </c>
      <c r="E117" s="68">
        <v>1.0113780025284E-2</v>
      </c>
    </row>
    <row r="118" spans="2:5" ht="14.5" customHeight="1">
      <c r="B118" s="90"/>
      <c r="C118" s="66" t="s">
        <v>105</v>
      </c>
      <c r="D118" s="67">
        <v>9</v>
      </c>
      <c r="E118" s="68">
        <v>1.1378002528444999E-2</v>
      </c>
    </row>
    <row r="119" spans="2:5" ht="14.5" customHeight="1">
      <c r="B119" s="90"/>
      <c r="C119" s="66" t="s">
        <v>106</v>
      </c>
      <c r="D119" s="67">
        <v>2</v>
      </c>
      <c r="E119" s="68">
        <v>2.528445006321E-3</v>
      </c>
    </row>
    <row r="120" spans="2:5" ht="14.5" customHeight="1">
      <c r="B120" s="90"/>
      <c r="C120" s="66" t="s">
        <v>107</v>
      </c>
      <c r="D120" s="67">
        <v>7</v>
      </c>
      <c r="E120" s="68">
        <v>8.8495575221239995E-3</v>
      </c>
    </row>
    <row r="121" spans="2:5" ht="14.5" customHeight="1">
      <c r="B121" s="90"/>
      <c r="C121" s="66" t="s">
        <v>108</v>
      </c>
      <c r="D121" s="67">
        <v>2</v>
      </c>
      <c r="E121" s="68">
        <v>2.528445006321E-3</v>
      </c>
    </row>
    <row r="122" spans="2:5" ht="14.5" customHeight="1">
      <c r="B122" s="90"/>
      <c r="C122" s="66" t="s">
        <v>109</v>
      </c>
      <c r="D122" s="67">
        <v>2</v>
      </c>
      <c r="E122" s="68">
        <v>2.528445006321E-3</v>
      </c>
    </row>
    <row r="123" spans="2:5" ht="14.5" customHeight="1">
      <c r="B123" s="90"/>
      <c r="C123" s="66" t="s">
        <v>110</v>
      </c>
      <c r="D123" s="67">
        <v>2</v>
      </c>
      <c r="E123" s="68">
        <v>2.528445006321E-3</v>
      </c>
    </row>
    <row r="124" spans="2:5" ht="14.5" customHeight="1">
      <c r="B124" s="90"/>
      <c r="C124" s="66" t="s">
        <v>111</v>
      </c>
      <c r="D124" s="67">
        <v>1</v>
      </c>
      <c r="E124" s="68">
        <v>1.264222503161E-3</v>
      </c>
    </row>
    <row r="125" spans="2:5" ht="14.5" customHeight="1">
      <c r="B125" s="90"/>
      <c r="C125" s="66" t="s">
        <v>112</v>
      </c>
      <c r="D125" s="67">
        <v>1</v>
      </c>
      <c r="E125" s="68">
        <v>1.264222503161E-3</v>
      </c>
    </row>
    <row r="126" spans="2:5" ht="14.5" customHeight="1">
      <c r="B126" s="90"/>
      <c r="C126" s="66" t="s">
        <v>113</v>
      </c>
      <c r="D126" s="67">
        <v>13</v>
      </c>
      <c r="E126" s="68">
        <v>1.6434892541087001E-2</v>
      </c>
    </row>
    <row r="127" spans="2:5" ht="14.5" customHeight="1">
      <c r="B127" s="90"/>
      <c r="C127" s="66" t="s">
        <v>114</v>
      </c>
      <c r="D127" s="67">
        <v>5</v>
      </c>
      <c r="E127" s="68">
        <v>6.3211125158030004E-3</v>
      </c>
    </row>
    <row r="128" spans="2:5" ht="14.5" customHeight="1">
      <c r="B128" s="90"/>
      <c r="C128" s="66" t="s">
        <v>115</v>
      </c>
      <c r="D128" s="67">
        <v>2</v>
      </c>
      <c r="E128" s="68">
        <v>2.528445006321E-3</v>
      </c>
    </row>
    <row r="129" spans="2:5" ht="14.5" customHeight="1">
      <c r="B129" s="90"/>
      <c r="C129" s="66" t="s">
        <v>116</v>
      </c>
      <c r="D129" s="67">
        <v>4</v>
      </c>
      <c r="E129" s="68">
        <v>5.0568900126419999E-3</v>
      </c>
    </row>
    <row r="130" spans="2:5" ht="14.5" customHeight="1">
      <c r="B130" s="90"/>
      <c r="C130" s="66" t="s">
        <v>119</v>
      </c>
      <c r="D130" s="67">
        <v>3</v>
      </c>
      <c r="E130" s="68">
        <v>3.792667509482E-3</v>
      </c>
    </row>
    <row r="131" spans="2:5" ht="14.5" customHeight="1">
      <c r="B131" s="90"/>
      <c r="C131" s="66" t="s">
        <v>120</v>
      </c>
      <c r="D131" s="67">
        <v>1</v>
      </c>
      <c r="E131" s="68">
        <v>1.264222503161E-3</v>
      </c>
    </row>
    <row r="132" spans="2:5" ht="14.5" customHeight="1">
      <c r="B132" s="90"/>
      <c r="C132" s="66" t="s">
        <v>121</v>
      </c>
      <c r="D132" s="67">
        <v>5</v>
      </c>
      <c r="E132" s="68">
        <v>6.3211125158030004E-3</v>
      </c>
    </row>
    <row r="133" spans="2:5" ht="14.5" customHeight="1">
      <c r="B133" s="90"/>
      <c r="C133" s="66" t="s">
        <v>122</v>
      </c>
      <c r="D133" s="67">
        <v>9</v>
      </c>
      <c r="E133" s="68">
        <v>1.1378002528444999E-2</v>
      </c>
    </row>
    <row r="134" spans="2:5" ht="14.5" customHeight="1">
      <c r="B134" s="90"/>
      <c r="C134" s="66" t="s">
        <v>123</v>
      </c>
      <c r="D134" s="67">
        <v>2</v>
      </c>
      <c r="E134" s="68">
        <v>2.528445006321E-3</v>
      </c>
    </row>
    <row r="135" spans="2:5" ht="14.5" customHeight="1">
      <c r="B135" s="90"/>
      <c r="C135" s="66" t="s">
        <v>124</v>
      </c>
      <c r="D135" s="67">
        <v>7</v>
      </c>
      <c r="E135" s="68">
        <v>8.8495575221239995E-3</v>
      </c>
    </row>
    <row r="136" spans="2:5" ht="14.5" customHeight="1">
      <c r="B136" s="90"/>
      <c r="C136" s="66" t="s">
        <v>125</v>
      </c>
      <c r="D136" s="67">
        <v>3</v>
      </c>
      <c r="E136" s="68">
        <v>3.792667509482E-3</v>
      </c>
    </row>
    <row r="137" spans="2:5" ht="14.5" customHeight="1">
      <c r="B137" s="90"/>
      <c r="C137" s="66" t="s">
        <v>126</v>
      </c>
      <c r="D137" s="67">
        <v>1</v>
      </c>
      <c r="E137" s="68">
        <v>1.264222503161E-3</v>
      </c>
    </row>
    <row r="138" spans="2:5" ht="14.5" customHeight="1">
      <c r="B138" s="90"/>
      <c r="C138" s="66" t="s">
        <v>127</v>
      </c>
      <c r="D138" s="67">
        <v>9</v>
      </c>
      <c r="E138" s="68">
        <v>1.1378002528444999E-2</v>
      </c>
    </row>
    <row r="139" spans="2:5" ht="14.5" customHeight="1">
      <c r="B139" s="90"/>
      <c r="C139" s="66" t="s">
        <v>128</v>
      </c>
      <c r="D139" s="67">
        <v>5</v>
      </c>
      <c r="E139" s="68">
        <v>6.3211125158030004E-3</v>
      </c>
    </row>
    <row r="140" spans="2:5" ht="14.5" customHeight="1">
      <c r="B140" s="90"/>
      <c r="C140" s="66" t="s">
        <v>129</v>
      </c>
      <c r="D140" s="67">
        <v>34</v>
      </c>
      <c r="E140" s="68">
        <v>4.2983565107459001E-2</v>
      </c>
    </row>
    <row r="141" spans="2:5" ht="14.5" customHeight="1">
      <c r="B141" s="90"/>
      <c r="C141" s="66" t="s">
        <v>130</v>
      </c>
      <c r="D141" s="67">
        <v>2</v>
      </c>
      <c r="E141" s="68">
        <v>2.528445006321E-3</v>
      </c>
    </row>
    <row r="142" spans="2:5" ht="14.5" customHeight="1">
      <c r="B142" s="90"/>
      <c r="C142" s="66" t="s">
        <v>132</v>
      </c>
      <c r="D142" s="67">
        <v>11</v>
      </c>
      <c r="E142" s="68">
        <v>1.3906447534765999E-2</v>
      </c>
    </row>
    <row r="143" spans="2:5" ht="14.5" customHeight="1">
      <c r="B143" s="90"/>
      <c r="C143" s="66" t="s">
        <v>56</v>
      </c>
      <c r="D143" s="67">
        <v>4</v>
      </c>
      <c r="E143" s="68">
        <v>5.0568900126419999E-3</v>
      </c>
    </row>
    <row r="144" spans="2:5" ht="14.5" customHeight="1">
      <c r="B144" s="90"/>
      <c r="C144" s="66" t="s">
        <v>133</v>
      </c>
      <c r="D144" s="67">
        <v>1</v>
      </c>
      <c r="E144" s="68">
        <v>1.264222503161E-3</v>
      </c>
    </row>
    <row r="145" spans="2:5" ht="14.5" customHeight="1">
      <c r="B145" s="90"/>
      <c r="C145" s="66" t="s">
        <v>134</v>
      </c>
      <c r="D145" s="67">
        <v>2</v>
      </c>
      <c r="E145" s="68">
        <v>2.528445006321E-3</v>
      </c>
    </row>
    <row r="146" spans="2:5" ht="14.5" customHeight="1">
      <c r="B146" s="90"/>
      <c r="C146" s="36" t="s">
        <v>29</v>
      </c>
      <c r="D146" s="35">
        <v>242</v>
      </c>
      <c r="E146" s="34">
        <v>0.305941845764855</v>
      </c>
    </row>
    <row r="147" spans="2:5" ht="14.5" customHeight="1">
      <c r="B147" s="90" t="s">
        <v>199</v>
      </c>
      <c r="C147" s="66" t="s">
        <v>97</v>
      </c>
      <c r="D147" s="67">
        <v>2</v>
      </c>
      <c r="E147" s="68">
        <v>2.528445006321E-3</v>
      </c>
    </row>
    <row r="148" spans="2:5" ht="14.5" customHeight="1">
      <c r="B148" s="90"/>
      <c r="C148" s="66" t="s">
        <v>117</v>
      </c>
      <c r="D148" s="67">
        <v>1</v>
      </c>
      <c r="E148" s="68">
        <v>1.264222503161E-3</v>
      </c>
    </row>
    <row r="149" spans="2:5" ht="14.5" customHeight="1">
      <c r="B149" s="90"/>
      <c r="C149" s="66" t="s">
        <v>129</v>
      </c>
      <c r="D149" s="67">
        <v>3</v>
      </c>
      <c r="E149" s="68">
        <v>3.792667509482E-3</v>
      </c>
    </row>
    <row r="150" spans="2:5" ht="14.5" customHeight="1">
      <c r="B150" s="90"/>
      <c r="C150" s="36" t="s">
        <v>29</v>
      </c>
      <c r="D150" s="35">
        <v>6</v>
      </c>
      <c r="E150" s="34">
        <v>7.5853350189629999E-3</v>
      </c>
    </row>
    <row r="151" spans="2:5" ht="14.5" customHeight="1">
      <c r="B151" s="90" t="s">
        <v>200</v>
      </c>
      <c r="C151" s="66" t="s">
        <v>94</v>
      </c>
      <c r="D151" s="67">
        <v>7</v>
      </c>
      <c r="E151" s="68">
        <v>8.8495575221239995E-3</v>
      </c>
    </row>
    <row r="152" spans="2:5" ht="14.5" customHeight="1">
      <c r="B152" s="90"/>
      <c r="C152" s="66" t="s">
        <v>95</v>
      </c>
      <c r="D152" s="67">
        <v>2</v>
      </c>
      <c r="E152" s="68">
        <v>2.528445006321E-3</v>
      </c>
    </row>
    <row r="153" spans="2:5" ht="14.5" customHeight="1">
      <c r="B153" s="90"/>
      <c r="C153" s="66" t="s">
        <v>97</v>
      </c>
      <c r="D153" s="67">
        <v>15</v>
      </c>
      <c r="E153" s="68">
        <v>1.8963337547408001E-2</v>
      </c>
    </row>
    <row r="154" spans="2:5" ht="14.5" customHeight="1">
      <c r="B154" s="90"/>
      <c r="C154" s="66" t="s">
        <v>98</v>
      </c>
      <c r="D154" s="67">
        <v>1</v>
      </c>
      <c r="E154" s="68">
        <v>1.264222503161E-3</v>
      </c>
    </row>
    <row r="155" spans="2:5" ht="14.5" customHeight="1">
      <c r="B155" s="90"/>
      <c r="C155" s="66" t="s">
        <v>102</v>
      </c>
      <c r="D155" s="67">
        <v>1</v>
      </c>
      <c r="E155" s="68">
        <v>1.264222503161E-3</v>
      </c>
    </row>
    <row r="156" spans="2:5" ht="14.5" customHeight="1">
      <c r="B156" s="90"/>
      <c r="C156" s="66" t="s">
        <v>103</v>
      </c>
      <c r="D156" s="67">
        <v>1</v>
      </c>
      <c r="E156" s="68">
        <v>1.264222503161E-3</v>
      </c>
    </row>
    <row r="157" spans="2:5" ht="14.5" customHeight="1">
      <c r="B157" s="90"/>
      <c r="C157" s="66" t="s">
        <v>105</v>
      </c>
      <c r="D157" s="67">
        <v>3</v>
      </c>
      <c r="E157" s="68">
        <v>3.792667509482E-3</v>
      </c>
    </row>
    <row r="158" spans="2:5" ht="14.5" customHeight="1">
      <c r="B158" s="90"/>
      <c r="C158" s="66" t="s">
        <v>108</v>
      </c>
      <c r="D158" s="67">
        <v>3</v>
      </c>
      <c r="E158" s="68">
        <v>3.792667509482E-3</v>
      </c>
    </row>
    <row r="159" spans="2:5" ht="14.5" customHeight="1">
      <c r="B159" s="90"/>
      <c r="C159" s="66" t="s">
        <v>109</v>
      </c>
      <c r="D159" s="67">
        <v>1</v>
      </c>
      <c r="E159" s="68">
        <v>1.264222503161E-3</v>
      </c>
    </row>
    <row r="160" spans="2:5" ht="14.5" customHeight="1">
      <c r="B160" s="90"/>
      <c r="C160" s="66" t="s">
        <v>110</v>
      </c>
      <c r="D160" s="67">
        <v>1</v>
      </c>
      <c r="E160" s="68">
        <v>1.264222503161E-3</v>
      </c>
    </row>
    <row r="161" spans="2:5" ht="14.5" customHeight="1">
      <c r="B161" s="90"/>
      <c r="C161" s="66" t="s">
        <v>112</v>
      </c>
      <c r="D161" s="67">
        <v>1</v>
      </c>
      <c r="E161" s="68">
        <v>1.264222503161E-3</v>
      </c>
    </row>
    <row r="162" spans="2:5" ht="14.5" customHeight="1">
      <c r="B162" s="90"/>
      <c r="C162" s="66" t="s">
        <v>113</v>
      </c>
      <c r="D162" s="67">
        <v>1</v>
      </c>
      <c r="E162" s="68">
        <v>1.264222503161E-3</v>
      </c>
    </row>
    <row r="163" spans="2:5" ht="14.5" customHeight="1">
      <c r="B163" s="90"/>
      <c r="C163" s="66" t="s">
        <v>117</v>
      </c>
      <c r="D163" s="67">
        <v>1</v>
      </c>
      <c r="E163" s="68">
        <v>1.264222503161E-3</v>
      </c>
    </row>
    <row r="164" spans="2:5" ht="14.5" customHeight="1">
      <c r="B164" s="90"/>
      <c r="C164" s="66" t="s">
        <v>119</v>
      </c>
      <c r="D164" s="67">
        <v>2</v>
      </c>
      <c r="E164" s="68">
        <v>2.528445006321E-3</v>
      </c>
    </row>
    <row r="165" spans="2:5" ht="14.5" customHeight="1">
      <c r="B165" s="90"/>
      <c r="C165" s="66" t="s">
        <v>121</v>
      </c>
      <c r="D165" s="67">
        <v>1</v>
      </c>
      <c r="E165" s="68">
        <v>1.264222503161E-3</v>
      </c>
    </row>
    <row r="166" spans="2:5" ht="14.5" customHeight="1">
      <c r="B166" s="90"/>
      <c r="C166" s="66" t="s">
        <v>122</v>
      </c>
      <c r="D166" s="67">
        <v>1</v>
      </c>
      <c r="E166" s="68">
        <v>1.264222503161E-3</v>
      </c>
    </row>
    <row r="167" spans="2:5" ht="14.5" customHeight="1">
      <c r="B167" s="90"/>
      <c r="C167" s="66" t="s">
        <v>123</v>
      </c>
      <c r="D167" s="67">
        <v>1</v>
      </c>
      <c r="E167" s="68">
        <v>1.264222503161E-3</v>
      </c>
    </row>
    <row r="168" spans="2:5" ht="14.5" customHeight="1">
      <c r="B168" s="90"/>
      <c r="C168" s="66" t="s">
        <v>124</v>
      </c>
      <c r="D168" s="67">
        <v>2</v>
      </c>
      <c r="E168" s="68">
        <v>2.528445006321E-3</v>
      </c>
    </row>
    <row r="169" spans="2:5" ht="14.5" customHeight="1">
      <c r="B169" s="90"/>
      <c r="C169" s="66" t="s">
        <v>127</v>
      </c>
      <c r="D169" s="67">
        <v>2</v>
      </c>
      <c r="E169" s="68">
        <v>2.528445006321E-3</v>
      </c>
    </row>
    <row r="170" spans="2:5" ht="14.5" customHeight="1">
      <c r="B170" s="90"/>
      <c r="C170" s="66" t="s">
        <v>128</v>
      </c>
      <c r="D170" s="67">
        <v>2</v>
      </c>
      <c r="E170" s="68">
        <v>2.528445006321E-3</v>
      </c>
    </row>
    <row r="171" spans="2:5" ht="14.5" customHeight="1">
      <c r="B171" s="90"/>
      <c r="C171" s="66" t="s">
        <v>129</v>
      </c>
      <c r="D171" s="67">
        <v>10</v>
      </c>
      <c r="E171" s="68">
        <v>1.2642225031606001E-2</v>
      </c>
    </row>
    <row r="172" spans="2:5" ht="14.5" customHeight="1">
      <c r="B172" s="90"/>
      <c r="C172" s="66" t="s">
        <v>131</v>
      </c>
      <c r="D172" s="67">
        <v>1</v>
      </c>
      <c r="E172" s="68">
        <v>1.264222503161E-3</v>
      </c>
    </row>
    <row r="173" spans="2:5" ht="14.5" customHeight="1">
      <c r="B173" s="90"/>
      <c r="C173" s="66" t="s">
        <v>132</v>
      </c>
      <c r="D173" s="67">
        <v>1</v>
      </c>
      <c r="E173" s="68">
        <v>1.264222503161E-3</v>
      </c>
    </row>
    <row r="174" spans="2:5" ht="14.5" customHeight="1">
      <c r="B174" s="90"/>
      <c r="C174" s="36" t="s">
        <v>29</v>
      </c>
      <c r="D174" s="35">
        <v>61</v>
      </c>
      <c r="E174" s="34">
        <v>7.7117572692793998E-2</v>
      </c>
    </row>
    <row r="175" spans="2:5" ht="14.5" customHeight="1">
      <c r="B175" s="90" t="s">
        <v>201</v>
      </c>
      <c r="C175" s="66" t="s">
        <v>94</v>
      </c>
      <c r="D175" s="67">
        <v>13</v>
      </c>
      <c r="E175" s="68">
        <v>1.6434892541087001E-2</v>
      </c>
    </row>
    <row r="176" spans="2:5" ht="14.5" customHeight="1">
      <c r="B176" s="90"/>
      <c r="C176" s="66" t="s">
        <v>95</v>
      </c>
      <c r="D176" s="67">
        <v>6</v>
      </c>
      <c r="E176" s="68">
        <v>7.5853350189629999E-3</v>
      </c>
    </row>
    <row r="177" spans="2:5" ht="14.5" customHeight="1">
      <c r="B177" s="90"/>
      <c r="C177" s="66" t="s">
        <v>96</v>
      </c>
      <c r="D177" s="67">
        <v>3</v>
      </c>
      <c r="E177" s="68">
        <v>3.792667509482E-3</v>
      </c>
    </row>
    <row r="178" spans="2:5" ht="14.5" customHeight="1">
      <c r="B178" s="90"/>
      <c r="C178" s="66" t="s">
        <v>97</v>
      </c>
      <c r="D178" s="67">
        <v>49</v>
      </c>
      <c r="E178" s="68">
        <v>6.1946902654866999E-2</v>
      </c>
    </row>
    <row r="179" spans="2:5" ht="14.5" customHeight="1">
      <c r="B179" s="90"/>
      <c r="C179" s="66" t="s">
        <v>98</v>
      </c>
      <c r="D179" s="67">
        <v>3</v>
      </c>
      <c r="E179" s="68">
        <v>3.792667509482E-3</v>
      </c>
    </row>
    <row r="180" spans="2:5" ht="14.5" customHeight="1">
      <c r="B180" s="90"/>
      <c r="C180" s="66" t="s">
        <v>99</v>
      </c>
      <c r="D180" s="67">
        <v>1</v>
      </c>
      <c r="E180" s="68">
        <v>1.264222503161E-3</v>
      </c>
    </row>
    <row r="181" spans="2:5" ht="14.5" customHeight="1">
      <c r="B181" s="90"/>
      <c r="C181" s="66" t="s">
        <v>100</v>
      </c>
      <c r="D181" s="67">
        <v>1</v>
      </c>
      <c r="E181" s="68">
        <v>1.264222503161E-3</v>
      </c>
    </row>
    <row r="182" spans="2:5" ht="14.5" customHeight="1">
      <c r="B182" s="90"/>
      <c r="C182" s="66" t="s">
        <v>102</v>
      </c>
      <c r="D182" s="67">
        <v>10</v>
      </c>
      <c r="E182" s="68">
        <v>1.2642225031606001E-2</v>
      </c>
    </row>
    <row r="183" spans="2:5" ht="14.5" customHeight="1">
      <c r="B183" s="90"/>
      <c r="C183" s="66" t="s">
        <v>103</v>
      </c>
      <c r="D183" s="67">
        <v>5</v>
      </c>
      <c r="E183" s="68">
        <v>6.3211125158030004E-3</v>
      </c>
    </row>
    <row r="184" spans="2:5" ht="14.5" customHeight="1">
      <c r="B184" s="90"/>
      <c r="C184" s="66" t="s">
        <v>104</v>
      </c>
      <c r="D184" s="67">
        <v>1</v>
      </c>
      <c r="E184" s="68">
        <v>1.264222503161E-3</v>
      </c>
    </row>
    <row r="185" spans="2:5" ht="14.5" customHeight="1">
      <c r="B185" s="90"/>
      <c r="C185" s="66" t="s">
        <v>105</v>
      </c>
      <c r="D185" s="67">
        <v>7</v>
      </c>
      <c r="E185" s="68">
        <v>8.8495575221239995E-3</v>
      </c>
    </row>
    <row r="186" spans="2:5" ht="14.5" customHeight="1">
      <c r="B186" s="90"/>
      <c r="C186" s="66" t="s">
        <v>106</v>
      </c>
      <c r="D186" s="67">
        <v>3</v>
      </c>
      <c r="E186" s="68">
        <v>3.792667509482E-3</v>
      </c>
    </row>
    <row r="187" spans="2:5" ht="14.5" customHeight="1">
      <c r="B187" s="90"/>
      <c r="C187" s="66" t="s">
        <v>107</v>
      </c>
      <c r="D187" s="67">
        <v>3</v>
      </c>
      <c r="E187" s="68">
        <v>3.792667509482E-3</v>
      </c>
    </row>
    <row r="188" spans="2:5" ht="14.5" customHeight="1">
      <c r="B188" s="90"/>
      <c r="C188" s="66" t="s">
        <v>108</v>
      </c>
      <c r="D188" s="67">
        <v>1</v>
      </c>
      <c r="E188" s="68">
        <v>1.264222503161E-3</v>
      </c>
    </row>
    <row r="189" spans="2:5" ht="14.5" customHeight="1">
      <c r="B189" s="90"/>
      <c r="C189" s="66" t="s">
        <v>109</v>
      </c>
      <c r="D189" s="67">
        <v>6</v>
      </c>
      <c r="E189" s="68">
        <v>7.5853350189629999E-3</v>
      </c>
    </row>
    <row r="190" spans="2:5" ht="14.5" customHeight="1">
      <c r="B190" s="90"/>
      <c r="C190" s="66" t="s">
        <v>110</v>
      </c>
      <c r="D190" s="67">
        <v>1</v>
      </c>
      <c r="E190" s="68">
        <v>1.264222503161E-3</v>
      </c>
    </row>
    <row r="191" spans="2:5" ht="14.5" customHeight="1">
      <c r="B191" s="90"/>
      <c r="C191" s="66" t="s">
        <v>111</v>
      </c>
      <c r="D191" s="67">
        <v>1</v>
      </c>
      <c r="E191" s="68">
        <v>1.264222503161E-3</v>
      </c>
    </row>
    <row r="192" spans="2:5" ht="14.5" customHeight="1">
      <c r="B192" s="90"/>
      <c r="C192" s="66" t="s">
        <v>112</v>
      </c>
      <c r="D192" s="67">
        <v>2</v>
      </c>
      <c r="E192" s="68">
        <v>2.528445006321E-3</v>
      </c>
    </row>
    <row r="193" spans="2:5" ht="14.5" customHeight="1">
      <c r="B193" s="90"/>
      <c r="C193" s="66" t="s">
        <v>113</v>
      </c>
      <c r="D193" s="67">
        <v>9</v>
      </c>
      <c r="E193" s="68">
        <v>1.1378002528444999E-2</v>
      </c>
    </row>
    <row r="194" spans="2:5" ht="14.5" customHeight="1">
      <c r="B194" s="90"/>
      <c r="C194" s="66" t="s">
        <v>114</v>
      </c>
      <c r="D194" s="67">
        <v>2</v>
      </c>
      <c r="E194" s="68">
        <v>2.528445006321E-3</v>
      </c>
    </row>
    <row r="195" spans="2:5" ht="14.5" customHeight="1">
      <c r="B195" s="90"/>
      <c r="C195" s="66" t="s">
        <v>116</v>
      </c>
      <c r="D195" s="67">
        <v>1</v>
      </c>
      <c r="E195" s="68">
        <v>1.264222503161E-3</v>
      </c>
    </row>
    <row r="196" spans="2:5" ht="14.5" customHeight="1">
      <c r="B196" s="90"/>
      <c r="C196" s="66" t="s">
        <v>117</v>
      </c>
      <c r="D196" s="67">
        <v>2</v>
      </c>
      <c r="E196" s="68">
        <v>2.528445006321E-3</v>
      </c>
    </row>
    <row r="197" spans="2:5" ht="14.5" customHeight="1">
      <c r="B197" s="90"/>
      <c r="C197" s="66" t="s">
        <v>119</v>
      </c>
      <c r="D197" s="67">
        <v>6</v>
      </c>
      <c r="E197" s="68">
        <v>7.5853350189629999E-3</v>
      </c>
    </row>
    <row r="198" spans="2:5" ht="14.5" customHeight="1">
      <c r="B198" s="90"/>
      <c r="C198" s="66" t="s">
        <v>120</v>
      </c>
      <c r="D198" s="67">
        <v>1</v>
      </c>
      <c r="E198" s="68">
        <v>1.264222503161E-3</v>
      </c>
    </row>
    <row r="199" spans="2:5" ht="14.5" customHeight="1">
      <c r="B199" s="90"/>
      <c r="C199" s="66" t="s">
        <v>121</v>
      </c>
      <c r="D199" s="67">
        <v>3</v>
      </c>
      <c r="E199" s="68">
        <v>3.792667509482E-3</v>
      </c>
    </row>
    <row r="200" spans="2:5" ht="14.5" customHeight="1">
      <c r="B200" s="90"/>
      <c r="C200" s="66" t="s">
        <v>122</v>
      </c>
      <c r="D200" s="67">
        <v>7</v>
      </c>
      <c r="E200" s="68">
        <v>8.8495575221239995E-3</v>
      </c>
    </row>
    <row r="201" spans="2:5" ht="14.5" customHeight="1">
      <c r="B201" s="90"/>
      <c r="C201" s="66" t="s">
        <v>123</v>
      </c>
      <c r="D201" s="67">
        <v>2</v>
      </c>
      <c r="E201" s="68">
        <v>2.528445006321E-3</v>
      </c>
    </row>
    <row r="202" spans="2:5" ht="14.5" customHeight="1">
      <c r="B202" s="90"/>
      <c r="C202" s="66" t="s">
        <v>124</v>
      </c>
      <c r="D202" s="67">
        <v>4</v>
      </c>
      <c r="E202" s="68">
        <v>5.0568900126419999E-3</v>
      </c>
    </row>
    <row r="203" spans="2:5" ht="14.5" customHeight="1">
      <c r="B203" s="90"/>
      <c r="C203" s="66" t="s">
        <v>125</v>
      </c>
      <c r="D203" s="67">
        <v>2</v>
      </c>
      <c r="E203" s="68">
        <v>2.528445006321E-3</v>
      </c>
    </row>
    <row r="204" spans="2:5" ht="14.5" customHeight="1">
      <c r="B204" s="90"/>
      <c r="C204" s="66" t="s">
        <v>126</v>
      </c>
      <c r="D204" s="67">
        <v>1</v>
      </c>
      <c r="E204" s="68">
        <v>1.264222503161E-3</v>
      </c>
    </row>
    <row r="205" spans="2:5" ht="14.5" customHeight="1">
      <c r="B205" s="90"/>
      <c r="C205" s="66" t="s">
        <v>127</v>
      </c>
      <c r="D205" s="67">
        <v>3</v>
      </c>
      <c r="E205" s="68">
        <v>3.792667509482E-3</v>
      </c>
    </row>
    <row r="206" spans="2:5" ht="14.5" customHeight="1">
      <c r="B206" s="90"/>
      <c r="C206" s="66" t="s">
        <v>128</v>
      </c>
      <c r="D206" s="67">
        <v>4</v>
      </c>
      <c r="E206" s="68">
        <v>5.0568900126419999E-3</v>
      </c>
    </row>
    <row r="207" spans="2:5" ht="14.5" customHeight="1">
      <c r="B207" s="90"/>
      <c r="C207" s="66" t="s">
        <v>129</v>
      </c>
      <c r="D207" s="67">
        <v>40</v>
      </c>
      <c r="E207" s="68">
        <v>5.0568900126421998E-2</v>
      </c>
    </row>
    <row r="208" spans="2:5" ht="14.5" customHeight="1">
      <c r="B208" s="90"/>
      <c r="C208" s="66" t="s">
        <v>130</v>
      </c>
      <c r="D208" s="67">
        <v>1</v>
      </c>
      <c r="E208" s="68">
        <v>1.264222503161E-3</v>
      </c>
    </row>
    <row r="209" spans="2:5" ht="14.5" customHeight="1">
      <c r="B209" s="90"/>
      <c r="C209" s="66" t="s">
        <v>132</v>
      </c>
      <c r="D209" s="67">
        <v>10</v>
      </c>
      <c r="E209" s="68">
        <v>1.2642225031606001E-2</v>
      </c>
    </row>
    <row r="210" spans="2:5" ht="14.5" customHeight="1">
      <c r="B210" s="90"/>
      <c r="C210" s="66" t="s">
        <v>56</v>
      </c>
      <c r="D210" s="67">
        <v>1</v>
      </c>
      <c r="E210" s="68">
        <v>1.264222503161E-3</v>
      </c>
    </row>
    <row r="211" spans="2:5" ht="14.5" customHeight="1">
      <c r="B211" s="90"/>
      <c r="C211" s="66" t="s">
        <v>134</v>
      </c>
      <c r="D211" s="67">
        <v>3</v>
      </c>
      <c r="E211" s="68">
        <v>3.792667509482E-3</v>
      </c>
    </row>
    <row r="212" spans="2:5" ht="14.5" customHeight="1">
      <c r="B212" s="90"/>
      <c r="C212" s="36" t="s">
        <v>29</v>
      </c>
      <c r="D212" s="35">
        <v>218</v>
      </c>
      <c r="E212" s="34">
        <v>0.27560050568900102</v>
      </c>
    </row>
    <row r="213" spans="2:5" ht="14.5" customHeight="1">
      <c r="B213" s="90" t="s">
        <v>202</v>
      </c>
      <c r="C213" s="66" t="s">
        <v>123</v>
      </c>
      <c r="D213" s="67">
        <v>1</v>
      </c>
      <c r="E213" s="68">
        <v>1.264222503161E-3</v>
      </c>
    </row>
    <row r="214" spans="2:5" ht="14.5" customHeight="1">
      <c r="B214" s="90"/>
      <c r="C214" s="66" t="s">
        <v>129</v>
      </c>
      <c r="D214" s="67">
        <v>1</v>
      </c>
      <c r="E214" s="68">
        <v>1.264222503161E-3</v>
      </c>
    </row>
    <row r="215" spans="2:5" ht="14.5" customHeight="1">
      <c r="B215" s="90"/>
      <c r="C215" s="36" t="s">
        <v>29</v>
      </c>
      <c r="D215" s="35">
        <v>2</v>
      </c>
      <c r="E215" s="34">
        <v>2.528445006321E-3</v>
      </c>
    </row>
    <row r="216" spans="2:5" ht="14.5" customHeight="1">
      <c r="B216" s="90" t="s">
        <v>203</v>
      </c>
      <c r="C216" s="66" t="s">
        <v>97</v>
      </c>
      <c r="D216" s="67">
        <v>1</v>
      </c>
      <c r="E216" s="68">
        <v>1.264222503161E-3</v>
      </c>
    </row>
    <row r="217" spans="2:5" ht="14.5" customHeight="1">
      <c r="B217" s="90"/>
      <c r="C217" s="66" t="s">
        <v>128</v>
      </c>
      <c r="D217" s="67">
        <v>1</v>
      </c>
      <c r="E217" s="68">
        <v>1.264222503161E-3</v>
      </c>
    </row>
    <row r="218" spans="2:5" ht="14.5" customHeight="1">
      <c r="B218" s="90"/>
      <c r="C218" s="66" t="s">
        <v>129</v>
      </c>
      <c r="D218" s="67">
        <v>4</v>
      </c>
      <c r="E218" s="68">
        <v>5.0568900126419999E-3</v>
      </c>
    </row>
    <row r="219" spans="2:5" ht="14.5" customHeight="1">
      <c r="B219" s="90"/>
      <c r="C219" s="36" t="s">
        <v>29</v>
      </c>
      <c r="D219" s="35">
        <v>6</v>
      </c>
      <c r="E219" s="34">
        <v>7.5853350189629999E-3</v>
      </c>
    </row>
    <row r="220" spans="2:5" ht="14.5" customHeight="1">
      <c r="B220" s="90" t="s">
        <v>204</v>
      </c>
      <c r="C220" s="66" t="s">
        <v>129</v>
      </c>
      <c r="D220" s="67">
        <v>1</v>
      </c>
      <c r="E220" s="68">
        <v>1.264222503161E-3</v>
      </c>
    </row>
    <row r="221" spans="2:5" ht="14.5" customHeight="1">
      <c r="B221" s="90"/>
      <c r="C221" s="36" t="s">
        <v>29</v>
      </c>
      <c r="D221" s="35">
        <v>1</v>
      </c>
      <c r="E221" s="34">
        <v>1.264222503161E-3</v>
      </c>
    </row>
    <row r="222" spans="2:5" ht="14.5" customHeight="1">
      <c r="B222" s="90" t="s">
        <v>205</v>
      </c>
      <c r="C222" s="66" t="s">
        <v>129</v>
      </c>
      <c r="D222" s="67">
        <v>1</v>
      </c>
      <c r="E222" s="68">
        <v>1.264222503161E-3</v>
      </c>
    </row>
    <row r="223" spans="2:5" ht="14.5" customHeight="1">
      <c r="B223" s="90"/>
      <c r="C223" s="36" t="s">
        <v>29</v>
      </c>
      <c r="D223" s="35">
        <v>1</v>
      </c>
      <c r="E223" s="34">
        <v>1.264222503161E-3</v>
      </c>
    </row>
    <row r="224" spans="2:5" ht="14.5" customHeight="1">
      <c r="B224" s="90" t="s">
        <v>206</v>
      </c>
      <c r="C224" s="66" t="s">
        <v>94</v>
      </c>
      <c r="D224" s="67">
        <v>1</v>
      </c>
      <c r="E224" s="68">
        <v>1.264222503161E-3</v>
      </c>
    </row>
    <row r="225" spans="2:5" ht="14.5" customHeight="1">
      <c r="B225" s="90"/>
      <c r="C225" s="66" t="s">
        <v>97</v>
      </c>
      <c r="D225" s="67">
        <v>2</v>
      </c>
      <c r="E225" s="68">
        <v>2.528445006321E-3</v>
      </c>
    </row>
    <row r="226" spans="2:5" ht="14.5" customHeight="1">
      <c r="B226" s="90"/>
      <c r="C226" s="66" t="s">
        <v>102</v>
      </c>
      <c r="D226" s="67">
        <v>3</v>
      </c>
      <c r="E226" s="68">
        <v>3.792667509482E-3</v>
      </c>
    </row>
    <row r="227" spans="2:5" ht="14.5" customHeight="1">
      <c r="B227" s="90"/>
      <c r="C227" s="66" t="s">
        <v>103</v>
      </c>
      <c r="D227" s="67">
        <v>1</v>
      </c>
      <c r="E227" s="68">
        <v>1.264222503161E-3</v>
      </c>
    </row>
    <row r="228" spans="2:5" ht="14.5" customHeight="1">
      <c r="B228" s="90"/>
      <c r="C228" s="66" t="s">
        <v>104</v>
      </c>
      <c r="D228" s="67">
        <v>1</v>
      </c>
      <c r="E228" s="68">
        <v>1.264222503161E-3</v>
      </c>
    </row>
    <row r="229" spans="2:5" ht="14.5" customHeight="1">
      <c r="B229" s="90"/>
      <c r="C229" s="66" t="s">
        <v>105</v>
      </c>
      <c r="D229" s="67">
        <v>1</v>
      </c>
      <c r="E229" s="68">
        <v>1.264222503161E-3</v>
      </c>
    </row>
    <row r="230" spans="2:5" ht="14.5" customHeight="1">
      <c r="B230" s="90"/>
      <c r="C230" s="66" t="s">
        <v>122</v>
      </c>
      <c r="D230" s="67">
        <v>1</v>
      </c>
      <c r="E230" s="68">
        <v>1.264222503161E-3</v>
      </c>
    </row>
    <row r="231" spans="2:5" ht="14.5" customHeight="1">
      <c r="B231" s="90"/>
      <c r="C231" s="66" t="s">
        <v>129</v>
      </c>
      <c r="D231" s="67">
        <v>6</v>
      </c>
      <c r="E231" s="68">
        <v>7.5853350189629999E-3</v>
      </c>
    </row>
    <row r="232" spans="2:5" ht="14.5" customHeight="1">
      <c r="B232" s="90"/>
      <c r="C232" s="66" t="s">
        <v>56</v>
      </c>
      <c r="D232" s="67">
        <v>1</v>
      </c>
      <c r="E232" s="68">
        <v>1.264222503161E-3</v>
      </c>
    </row>
    <row r="233" spans="2:5" ht="14.5" customHeight="1">
      <c r="B233" s="90"/>
      <c r="C233" s="36" t="s">
        <v>29</v>
      </c>
      <c r="D233" s="35">
        <v>17</v>
      </c>
      <c r="E233" s="34">
        <v>2.1491782553729001E-2</v>
      </c>
    </row>
    <row r="234" spans="2:5" ht="14.5" customHeight="1">
      <c r="B234" s="90" t="s">
        <v>207</v>
      </c>
      <c r="C234" s="66" t="s">
        <v>94</v>
      </c>
      <c r="D234" s="67">
        <v>1</v>
      </c>
      <c r="E234" s="68">
        <v>1.264222503161E-3</v>
      </c>
    </row>
    <row r="235" spans="2:5" ht="14.5" customHeight="1">
      <c r="B235" s="90"/>
      <c r="C235" s="66" t="s">
        <v>96</v>
      </c>
      <c r="D235" s="67">
        <v>2</v>
      </c>
      <c r="E235" s="68">
        <v>2.528445006321E-3</v>
      </c>
    </row>
    <row r="236" spans="2:5" ht="14.5" customHeight="1">
      <c r="B236" s="90"/>
      <c r="C236" s="66" t="s">
        <v>97</v>
      </c>
      <c r="D236" s="67">
        <v>9</v>
      </c>
      <c r="E236" s="68">
        <v>1.1378002528444999E-2</v>
      </c>
    </row>
    <row r="237" spans="2:5" ht="14.5" customHeight="1">
      <c r="B237" s="90"/>
      <c r="C237" s="66" t="s">
        <v>98</v>
      </c>
      <c r="D237" s="67">
        <v>2</v>
      </c>
      <c r="E237" s="68">
        <v>2.528445006321E-3</v>
      </c>
    </row>
    <row r="238" spans="2:5" ht="14.5" customHeight="1">
      <c r="B238" s="90"/>
      <c r="C238" s="66" t="s">
        <v>102</v>
      </c>
      <c r="D238" s="67">
        <v>2</v>
      </c>
      <c r="E238" s="68">
        <v>2.528445006321E-3</v>
      </c>
    </row>
    <row r="239" spans="2:5" ht="14.5" customHeight="1">
      <c r="B239" s="90"/>
      <c r="C239" s="66" t="s">
        <v>105</v>
      </c>
      <c r="D239" s="67">
        <v>3</v>
      </c>
      <c r="E239" s="68">
        <v>3.792667509482E-3</v>
      </c>
    </row>
    <row r="240" spans="2:5" ht="14.5" customHeight="1">
      <c r="B240" s="90"/>
      <c r="C240" s="66" t="s">
        <v>106</v>
      </c>
      <c r="D240" s="67">
        <v>1</v>
      </c>
      <c r="E240" s="68">
        <v>1.264222503161E-3</v>
      </c>
    </row>
    <row r="241" spans="2:5" ht="14.5" customHeight="1">
      <c r="B241" s="90"/>
      <c r="C241" s="66" t="s">
        <v>113</v>
      </c>
      <c r="D241" s="67">
        <v>4</v>
      </c>
      <c r="E241" s="68">
        <v>5.0568900126419999E-3</v>
      </c>
    </row>
    <row r="242" spans="2:5" ht="14.5" customHeight="1">
      <c r="B242" s="90"/>
      <c r="C242" s="66" t="s">
        <v>114</v>
      </c>
      <c r="D242" s="67">
        <v>1</v>
      </c>
      <c r="E242" s="68">
        <v>1.264222503161E-3</v>
      </c>
    </row>
    <row r="243" spans="2:5" ht="14.5" customHeight="1">
      <c r="B243" s="90"/>
      <c r="C243" s="66" t="s">
        <v>116</v>
      </c>
      <c r="D243" s="67">
        <v>1</v>
      </c>
      <c r="E243" s="68">
        <v>1.264222503161E-3</v>
      </c>
    </row>
    <row r="244" spans="2:5" ht="14.5" customHeight="1">
      <c r="B244" s="90"/>
      <c r="C244" s="66" t="s">
        <v>121</v>
      </c>
      <c r="D244" s="67">
        <v>2</v>
      </c>
      <c r="E244" s="68">
        <v>2.528445006321E-3</v>
      </c>
    </row>
    <row r="245" spans="2:5" ht="14.5" customHeight="1">
      <c r="B245" s="90"/>
      <c r="C245" s="66" t="s">
        <v>122</v>
      </c>
      <c r="D245" s="67">
        <v>2</v>
      </c>
      <c r="E245" s="68">
        <v>2.528445006321E-3</v>
      </c>
    </row>
    <row r="246" spans="2:5" ht="14.5" customHeight="1">
      <c r="B246" s="90"/>
      <c r="C246" s="66" t="s">
        <v>128</v>
      </c>
      <c r="D246" s="67">
        <v>1</v>
      </c>
      <c r="E246" s="68">
        <v>1.264222503161E-3</v>
      </c>
    </row>
    <row r="247" spans="2:5" ht="14.5" customHeight="1">
      <c r="B247" s="90"/>
      <c r="C247" s="66" t="s">
        <v>129</v>
      </c>
      <c r="D247" s="67">
        <v>5</v>
      </c>
      <c r="E247" s="68">
        <v>6.3211125158030004E-3</v>
      </c>
    </row>
    <row r="248" spans="2:5" ht="14.5" customHeight="1">
      <c r="B248" s="90"/>
      <c r="C248" s="66" t="s">
        <v>132</v>
      </c>
      <c r="D248" s="67">
        <v>3</v>
      </c>
      <c r="E248" s="68">
        <v>3.792667509482E-3</v>
      </c>
    </row>
    <row r="249" spans="2:5" ht="14.5" customHeight="1">
      <c r="B249" s="90"/>
      <c r="C249" s="66" t="s">
        <v>56</v>
      </c>
      <c r="D249" s="67">
        <v>1</v>
      </c>
      <c r="E249" s="68">
        <v>1.264222503161E-3</v>
      </c>
    </row>
    <row r="250" spans="2:5" ht="14.5" customHeight="1">
      <c r="B250" s="90"/>
      <c r="C250" s="36" t="s">
        <v>29</v>
      </c>
      <c r="D250" s="35">
        <v>40</v>
      </c>
      <c r="E250" s="34">
        <v>5.0568900126421998E-2</v>
      </c>
    </row>
    <row r="251" spans="2:5" ht="14.5" customHeight="1">
      <c r="B251" s="90" t="s">
        <v>208</v>
      </c>
      <c r="C251" s="66" t="s">
        <v>105</v>
      </c>
      <c r="D251" s="67">
        <v>1</v>
      </c>
      <c r="E251" s="68">
        <v>1.264222503161E-3</v>
      </c>
    </row>
    <row r="252" spans="2:5" ht="14.5" customHeight="1">
      <c r="B252" s="90"/>
      <c r="C252" s="36" t="s">
        <v>29</v>
      </c>
      <c r="D252" s="35">
        <v>1</v>
      </c>
      <c r="E252" s="34">
        <v>1.264222503161E-3</v>
      </c>
    </row>
    <row r="253" spans="2:5" ht="14.5" customHeight="1">
      <c r="B253" s="90" t="s">
        <v>209</v>
      </c>
      <c r="C253" s="66" t="s">
        <v>129</v>
      </c>
      <c r="D253" s="67">
        <v>1</v>
      </c>
      <c r="E253" s="68">
        <v>1.264222503161E-3</v>
      </c>
    </row>
    <row r="254" spans="2:5" ht="14.5" customHeight="1">
      <c r="B254" s="90"/>
      <c r="C254" s="36" t="s">
        <v>29</v>
      </c>
      <c r="D254" s="35">
        <v>1</v>
      </c>
      <c r="E254" s="34">
        <v>1.264222503161E-3</v>
      </c>
    </row>
    <row r="255" spans="2:5" ht="14.5" customHeight="1">
      <c r="B255" s="91" t="s">
        <v>29</v>
      </c>
      <c r="C255" s="91"/>
      <c r="D255" s="63">
        <v>791</v>
      </c>
      <c r="E255" s="64">
        <v>1</v>
      </c>
    </row>
    <row r="256" spans="2:5" ht="14.5" customHeight="1"/>
    <row r="257" spans="2:2" ht="14.5" customHeight="1">
      <c r="B257" s="15" t="s">
        <v>47</v>
      </c>
    </row>
    <row r="258" spans="2:2" ht="14.5" customHeight="1">
      <c r="B258" s="17" t="s">
        <v>18</v>
      </c>
    </row>
    <row r="259" spans="2:2" ht="14.5" customHeight="1">
      <c r="B259" s="16" t="s">
        <v>48</v>
      </c>
    </row>
    <row r="260" spans="2:2" ht="14.5" customHeight="1">
      <c r="B260" s="15" t="s">
        <v>17</v>
      </c>
    </row>
    <row r="261" spans="2:2" ht="14.5" customHeight="1">
      <c r="B261" s="15" t="s">
        <v>49</v>
      </c>
    </row>
  </sheetData>
  <mergeCells count="25">
    <mergeCell ref="B24:B27"/>
    <mergeCell ref="B28:B34"/>
    <mergeCell ref="B35:B38"/>
    <mergeCell ref="B39:B53"/>
    <mergeCell ref="B7:E8"/>
    <mergeCell ref="B10:B17"/>
    <mergeCell ref="B18:B19"/>
    <mergeCell ref="B20:B23"/>
    <mergeCell ref="B109:B146"/>
    <mergeCell ref="B147:B150"/>
    <mergeCell ref="B151:B174"/>
    <mergeCell ref="B175:B212"/>
    <mergeCell ref="B54:B75"/>
    <mergeCell ref="B76:B81"/>
    <mergeCell ref="B82:B94"/>
    <mergeCell ref="B95:B108"/>
    <mergeCell ref="B234:B250"/>
    <mergeCell ref="B251:B252"/>
    <mergeCell ref="B253:B254"/>
    <mergeCell ref="B255:C255"/>
    <mergeCell ref="B213:B215"/>
    <mergeCell ref="B216:B219"/>
    <mergeCell ref="B220:B221"/>
    <mergeCell ref="B222:B223"/>
    <mergeCell ref="B224:B2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333"/>
  <sheetViews>
    <sheetView showGridLines="0" view="pageBreakPreview" topLeftCell="A310" zoomScale="85" zoomScaleNormal="100" zoomScaleSheetLayoutView="85" workbookViewId="0">
      <selection activeCell="C330" sqref="C33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44.269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B9" s="73" t="s">
        <v>22</v>
      </c>
      <c r="C9" s="74" t="s">
        <v>27</v>
      </c>
      <c r="D9" s="75" t="s">
        <v>20</v>
      </c>
      <c r="E9" s="73" t="s">
        <v>19</v>
      </c>
    </row>
    <row r="10" spans="1:5" ht="14.5">
      <c r="B10" s="90" t="s">
        <v>82</v>
      </c>
      <c r="C10" s="66" t="s">
        <v>188</v>
      </c>
      <c r="D10" s="67">
        <v>1</v>
      </c>
      <c r="E10" s="68">
        <v>1.264222503161E-3</v>
      </c>
    </row>
    <row r="11" spans="1:5" ht="14.5">
      <c r="B11" s="90"/>
      <c r="C11" s="66" t="s">
        <v>191</v>
      </c>
      <c r="D11" s="67">
        <v>1</v>
      </c>
      <c r="E11" s="68">
        <v>1.264222503161E-3</v>
      </c>
    </row>
    <row r="12" spans="1:5" ht="14.5">
      <c r="B12" s="90"/>
      <c r="C12" s="66" t="s">
        <v>193</v>
      </c>
      <c r="D12" s="67">
        <v>1</v>
      </c>
      <c r="E12" s="68">
        <v>1.264222503161E-3</v>
      </c>
    </row>
    <row r="13" spans="1:5" ht="14.5">
      <c r="B13" s="90"/>
      <c r="C13" s="66" t="s">
        <v>194</v>
      </c>
      <c r="D13" s="67">
        <v>1</v>
      </c>
      <c r="E13" s="68">
        <v>1.264222503161E-3</v>
      </c>
    </row>
    <row r="14" spans="1:5" ht="14.5">
      <c r="B14" s="90"/>
      <c r="C14" s="66" t="s">
        <v>198</v>
      </c>
      <c r="D14" s="67">
        <v>1</v>
      </c>
      <c r="E14" s="68">
        <v>1.264222503161E-3</v>
      </c>
    </row>
    <row r="15" spans="1:5" ht="14.5">
      <c r="B15" s="90"/>
      <c r="C15" s="66" t="s">
        <v>201</v>
      </c>
      <c r="D15" s="67">
        <v>1</v>
      </c>
      <c r="E15" s="68">
        <v>1.264222503161E-3</v>
      </c>
    </row>
    <row r="16" spans="1:5" ht="14.5">
      <c r="B16" s="90"/>
      <c r="C16" s="36" t="s">
        <v>29</v>
      </c>
      <c r="D16" s="35">
        <v>6</v>
      </c>
      <c r="E16" s="34">
        <v>7.5853350189629999E-3</v>
      </c>
    </row>
    <row r="17" spans="2:5" ht="14.5">
      <c r="B17" s="90" t="s">
        <v>50</v>
      </c>
      <c r="C17" s="66" t="s">
        <v>193</v>
      </c>
      <c r="D17" s="67">
        <v>1</v>
      </c>
      <c r="E17" s="68">
        <v>1.264222503161E-3</v>
      </c>
    </row>
    <row r="18" spans="2:5" ht="14.5">
      <c r="B18" s="90"/>
      <c r="C18" s="66" t="s">
        <v>194</v>
      </c>
      <c r="D18" s="67">
        <v>10</v>
      </c>
      <c r="E18" s="68">
        <v>1.2642225031606001E-2</v>
      </c>
    </row>
    <row r="19" spans="2:5" ht="14.5">
      <c r="B19" s="90"/>
      <c r="C19" s="66" t="s">
        <v>196</v>
      </c>
      <c r="D19" s="67">
        <v>4</v>
      </c>
      <c r="E19" s="68">
        <v>5.0568900126419999E-3</v>
      </c>
    </row>
    <row r="20" spans="2:5" ht="14.5">
      <c r="B20" s="90"/>
      <c r="C20" s="66" t="s">
        <v>197</v>
      </c>
      <c r="D20" s="67">
        <v>1</v>
      </c>
      <c r="E20" s="68">
        <v>1.264222503161E-3</v>
      </c>
    </row>
    <row r="21" spans="2:5" ht="14.5">
      <c r="B21" s="90"/>
      <c r="C21" s="66" t="s">
        <v>198</v>
      </c>
      <c r="D21" s="67">
        <v>24</v>
      </c>
      <c r="E21" s="68">
        <v>3.0341340075852999E-2</v>
      </c>
    </row>
    <row r="22" spans="2:5" ht="14.5">
      <c r="B22" s="90"/>
      <c r="C22" s="66" t="s">
        <v>200</v>
      </c>
      <c r="D22" s="67">
        <v>8</v>
      </c>
      <c r="E22" s="68">
        <v>1.0113780025284E-2</v>
      </c>
    </row>
    <row r="23" spans="2:5" ht="14.5">
      <c r="B23" s="90"/>
      <c r="C23" s="66" t="s">
        <v>201</v>
      </c>
      <c r="D23" s="67">
        <v>16</v>
      </c>
      <c r="E23" s="68">
        <v>2.0227560050568999E-2</v>
      </c>
    </row>
    <row r="24" spans="2:5" ht="14.5">
      <c r="B24" s="90"/>
      <c r="C24" s="66" t="s">
        <v>203</v>
      </c>
      <c r="D24" s="67">
        <v>1</v>
      </c>
      <c r="E24" s="68">
        <v>1.264222503161E-3</v>
      </c>
    </row>
    <row r="25" spans="2:5" ht="14.5">
      <c r="B25" s="90"/>
      <c r="C25" s="66" t="s">
        <v>206</v>
      </c>
      <c r="D25" s="67">
        <v>1</v>
      </c>
      <c r="E25" s="68">
        <v>1.264222503161E-3</v>
      </c>
    </row>
    <row r="26" spans="2:5" ht="14.5">
      <c r="B26" s="90"/>
      <c r="C26" s="36" t="s">
        <v>29</v>
      </c>
      <c r="D26" s="35">
        <v>66</v>
      </c>
      <c r="E26" s="34">
        <v>8.3438685208596999E-2</v>
      </c>
    </row>
    <row r="27" spans="2:5" ht="14.5">
      <c r="B27" s="90" t="s">
        <v>65</v>
      </c>
      <c r="C27" s="66" t="s">
        <v>194</v>
      </c>
      <c r="D27" s="67">
        <v>1</v>
      </c>
      <c r="E27" s="68">
        <v>1.264222503161E-3</v>
      </c>
    </row>
    <row r="28" spans="2:5" ht="14.5">
      <c r="B28" s="90"/>
      <c r="C28" s="66" t="s">
        <v>196</v>
      </c>
      <c r="D28" s="67">
        <v>1</v>
      </c>
      <c r="E28" s="68">
        <v>1.264222503161E-3</v>
      </c>
    </row>
    <row r="29" spans="2:5" ht="14.5">
      <c r="B29" s="90"/>
      <c r="C29" s="66" t="s">
        <v>197</v>
      </c>
      <c r="D29" s="67">
        <v>2</v>
      </c>
      <c r="E29" s="68">
        <v>2.528445006321E-3</v>
      </c>
    </row>
    <row r="30" spans="2:5" ht="14.5">
      <c r="B30" s="90"/>
      <c r="C30" s="66" t="s">
        <v>198</v>
      </c>
      <c r="D30" s="67">
        <v>4</v>
      </c>
      <c r="E30" s="68">
        <v>5.0568900126419999E-3</v>
      </c>
    </row>
    <row r="31" spans="2:5" ht="14.5">
      <c r="B31" s="90"/>
      <c r="C31" s="66" t="s">
        <v>200</v>
      </c>
      <c r="D31" s="67">
        <v>1</v>
      </c>
      <c r="E31" s="68">
        <v>1.264222503161E-3</v>
      </c>
    </row>
    <row r="32" spans="2:5" ht="14.5">
      <c r="B32" s="90"/>
      <c r="C32" s="66" t="s">
        <v>201</v>
      </c>
      <c r="D32" s="67">
        <v>5</v>
      </c>
      <c r="E32" s="68">
        <v>6.3211125158030004E-3</v>
      </c>
    </row>
    <row r="33" spans="2:5" ht="14.5">
      <c r="B33" s="90"/>
      <c r="C33" s="66" t="s">
        <v>203</v>
      </c>
      <c r="D33" s="67">
        <v>1</v>
      </c>
      <c r="E33" s="68">
        <v>1.264222503161E-3</v>
      </c>
    </row>
    <row r="34" spans="2:5" ht="14.5">
      <c r="B34" s="90"/>
      <c r="C34" s="66" t="s">
        <v>206</v>
      </c>
      <c r="D34" s="67">
        <v>2</v>
      </c>
      <c r="E34" s="68">
        <v>2.528445006321E-3</v>
      </c>
    </row>
    <row r="35" spans="2:5" ht="14.5">
      <c r="B35" s="90"/>
      <c r="C35" s="66" t="s">
        <v>207</v>
      </c>
      <c r="D35" s="67">
        <v>1</v>
      </c>
      <c r="E35" s="68">
        <v>1.264222503161E-3</v>
      </c>
    </row>
    <row r="36" spans="2:5" ht="14.5">
      <c r="B36" s="90"/>
      <c r="C36" s="36" t="s">
        <v>29</v>
      </c>
      <c r="D36" s="35">
        <v>18</v>
      </c>
      <c r="E36" s="34">
        <v>2.2756005056889999E-2</v>
      </c>
    </row>
    <row r="37" spans="2:5" ht="14.5">
      <c r="B37" s="90" t="s">
        <v>90</v>
      </c>
      <c r="C37" s="66" t="s">
        <v>201</v>
      </c>
      <c r="D37" s="67">
        <v>1</v>
      </c>
      <c r="E37" s="68">
        <v>1.264222503161E-3</v>
      </c>
    </row>
    <row r="38" spans="2:5" ht="14.5">
      <c r="B38" s="90"/>
      <c r="C38" s="66" t="s">
        <v>206</v>
      </c>
      <c r="D38" s="67">
        <v>1</v>
      </c>
      <c r="E38" s="68">
        <v>1.264222503161E-3</v>
      </c>
    </row>
    <row r="39" spans="2:5" ht="14.5">
      <c r="B39" s="90"/>
      <c r="C39" s="36" t="s">
        <v>29</v>
      </c>
      <c r="D39" s="35">
        <v>2</v>
      </c>
      <c r="E39" s="34">
        <v>2.528445006321E-3</v>
      </c>
    </row>
    <row r="40" spans="2:5" ht="14.5">
      <c r="B40" s="90" t="s">
        <v>89</v>
      </c>
      <c r="C40" s="66" t="s">
        <v>193</v>
      </c>
      <c r="D40" s="67">
        <v>1</v>
      </c>
      <c r="E40" s="68">
        <v>1.264222503161E-3</v>
      </c>
    </row>
    <row r="41" spans="2:5" ht="14.5">
      <c r="B41" s="90"/>
      <c r="C41" s="66" t="s">
        <v>198</v>
      </c>
      <c r="D41" s="67">
        <v>1</v>
      </c>
      <c r="E41" s="68">
        <v>1.264222503161E-3</v>
      </c>
    </row>
    <row r="42" spans="2:5" ht="14.5">
      <c r="B42" s="90"/>
      <c r="C42" s="66" t="s">
        <v>200</v>
      </c>
      <c r="D42" s="67">
        <v>1</v>
      </c>
      <c r="E42" s="68">
        <v>1.264222503161E-3</v>
      </c>
    </row>
    <row r="43" spans="2:5" ht="14.5">
      <c r="B43" s="90"/>
      <c r="C43" s="66" t="s">
        <v>201</v>
      </c>
      <c r="D43" s="67">
        <v>1</v>
      </c>
      <c r="E43" s="68">
        <v>1.264222503161E-3</v>
      </c>
    </row>
    <row r="44" spans="2:5" ht="14.5">
      <c r="B44" s="90"/>
      <c r="C44" s="36" t="s">
        <v>29</v>
      </c>
      <c r="D44" s="35">
        <v>4</v>
      </c>
      <c r="E44" s="34">
        <v>5.0568900126419999E-3</v>
      </c>
    </row>
    <row r="45" spans="2:5" ht="14.5">
      <c r="B45" s="90" t="s">
        <v>83</v>
      </c>
      <c r="C45" s="66" t="s">
        <v>196</v>
      </c>
      <c r="D45" s="67">
        <v>1</v>
      </c>
      <c r="E45" s="68">
        <v>1.264222503161E-3</v>
      </c>
    </row>
    <row r="46" spans="2:5" ht="14.5">
      <c r="B46" s="90"/>
      <c r="C46" s="66" t="s">
        <v>198</v>
      </c>
      <c r="D46" s="67">
        <v>1</v>
      </c>
      <c r="E46" s="68">
        <v>1.264222503161E-3</v>
      </c>
    </row>
    <row r="47" spans="2:5" ht="14.5">
      <c r="B47" s="90"/>
      <c r="C47" s="66" t="s">
        <v>201</v>
      </c>
      <c r="D47" s="67">
        <v>3</v>
      </c>
      <c r="E47" s="68">
        <v>3.792667509482E-3</v>
      </c>
    </row>
    <row r="48" spans="2:5" ht="14.5">
      <c r="B48" s="90"/>
      <c r="C48" s="66" t="s">
        <v>204</v>
      </c>
      <c r="D48" s="67">
        <v>1</v>
      </c>
      <c r="E48" s="68">
        <v>1.264222503161E-3</v>
      </c>
    </row>
    <row r="49" spans="2:5" ht="14.5">
      <c r="B49" s="90"/>
      <c r="C49" s="36" t="s">
        <v>29</v>
      </c>
      <c r="D49" s="35">
        <v>6</v>
      </c>
      <c r="E49" s="34">
        <v>7.5853350189629999E-3</v>
      </c>
    </row>
    <row r="50" spans="2:5" ht="14.5">
      <c r="B50" s="90" t="s">
        <v>92</v>
      </c>
      <c r="C50" s="66" t="s">
        <v>201</v>
      </c>
      <c r="D50" s="67">
        <v>1</v>
      </c>
      <c r="E50" s="68">
        <v>1.264222503161E-3</v>
      </c>
    </row>
    <row r="51" spans="2:5" ht="14.5">
      <c r="B51" s="90"/>
      <c r="C51" s="36" t="s">
        <v>29</v>
      </c>
      <c r="D51" s="35">
        <v>1</v>
      </c>
      <c r="E51" s="34">
        <v>1.264222503161E-3</v>
      </c>
    </row>
    <row r="52" spans="2:5" ht="14.5">
      <c r="B52" s="90" t="s">
        <v>55</v>
      </c>
      <c r="C52" s="66" t="s">
        <v>192</v>
      </c>
      <c r="D52" s="67">
        <v>1</v>
      </c>
      <c r="E52" s="68">
        <v>1.264222503161E-3</v>
      </c>
    </row>
    <row r="53" spans="2:5" ht="14.5">
      <c r="B53" s="90"/>
      <c r="C53" s="66" t="s">
        <v>194</v>
      </c>
      <c r="D53" s="67">
        <v>6</v>
      </c>
      <c r="E53" s="68">
        <v>7.5853350189629999E-3</v>
      </c>
    </row>
    <row r="54" spans="2:5" ht="14.5">
      <c r="B54" s="90"/>
      <c r="C54" s="66" t="s">
        <v>195</v>
      </c>
      <c r="D54" s="67">
        <v>1</v>
      </c>
      <c r="E54" s="68">
        <v>1.264222503161E-3</v>
      </c>
    </row>
    <row r="55" spans="2:5" ht="14.5">
      <c r="B55" s="90"/>
      <c r="C55" s="66" t="s">
        <v>198</v>
      </c>
      <c r="D55" s="67">
        <v>11</v>
      </c>
      <c r="E55" s="68">
        <v>1.3906447534765999E-2</v>
      </c>
    </row>
    <row r="56" spans="2:5" ht="14.5">
      <c r="B56" s="90"/>
      <c r="C56" s="66" t="s">
        <v>200</v>
      </c>
      <c r="D56" s="67">
        <v>5</v>
      </c>
      <c r="E56" s="68">
        <v>6.3211125158030004E-3</v>
      </c>
    </row>
    <row r="57" spans="2:5" ht="14.5">
      <c r="B57" s="90"/>
      <c r="C57" s="66" t="s">
        <v>201</v>
      </c>
      <c r="D57" s="67">
        <v>8</v>
      </c>
      <c r="E57" s="68">
        <v>1.0113780025284E-2</v>
      </c>
    </row>
    <row r="58" spans="2:5" ht="14.5">
      <c r="B58" s="90"/>
      <c r="C58" s="66" t="s">
        <v>206</v>
      </c>
      <c r="D58" s="67">
        <v>1</v>
      </c>
      <c r="E58" s="68">
        <v>1.264222503161E-3</v>
      </c>
    </row>
    <row r="59" spans="2:5" ht="14.5">
      <c r="B59" s="90"/>
      <c r="C59" s="66" t="s">
        <v>207</v>
      </c>
      <c r="D59" s="67">
        <v>4</v>
      </c>
      <c r="E59" s="68">
        <v>5.0568900126419999E-3</v>
      </c>
    </row>
    <row r="60" spans="2:5" ht="14.5">
      <c r="B60" s="90"/>
      <c r="C60" s="66" t="s">
        <v>208</v>
      </c>
      <c r="D60" s="67">
        <v>1</v>
      </c>
      <c r="E60" s="68">
        <v>1.264222503161E-3</v>
      </c>
    </row>
    <row r="61" spans="2:5" ht="14.5">
      <c r="B61" s="90"/>
      <c r="C61" s="36" t="s">
        <v>29</v>
      </c>
      <c r="D61" s="35">
        <v>38</v>
      </c>
      <c r="E61" s="34">
        <v>4.8040455120101001E-2</v>
      </c>
    </row>
    <row r="62" spans="2:5" ht="14.5">
      <c r="B62" s="90" t="s">
        <v>53</v>
      </c>
      <c r="C62" s="66" t="s">
        <v>193</v>
      </c>
      <c r="D62" s="67">
        <v>1</v>
      </c>
      <c r="E62" s="68">
        <v>1.264222503161E-3</v>
      </c>
    </row>
    <row r="63" spans="2:5" ht="14.5">
      <c r="B63" s="90"/>
      <c r="C63" s="66" t="s">
        <v>194</v>
      </c>
      <c r="D63" s="67">
        <v>3</v>
      </c>
      <c r="E63" s="68">
        <v>3.792667509482E-3</v>
      </c>
    </row>
    <row r="64" spans="2:5" ht="14.5">
      <c r="B64" s="90"/>
      <c r="C64" s="66" t="s">
        <v>196</v>
      </c>
      <c r="D64" s="67">
        <v>1</v>
      </c>
      <c r="E64" s="68">
        <v>1.264222503161E-3</v>
      </c>
    </row>
    <row r="65" spans="2:5" ht="14.5">
      <c r="B65" s="90"/>
      <c r="C65" s="66" t="s">
        <v>197</v>
      </c>
      <c r="D65" s="67">
        <v>1</v>
      </c>
      <c r="E65" s="68">
        <v>1.264222503161E-3</v>
      </c>
    </row>
    <row r="66" spans="2:5" ht="14.5">
      <c r="B66" s="90"/>
      <c r="C66" s="66" t="s">
        <v>198</v>
      </c>
      <c r="D66" s="67">
        <v>12</v>
      </c>
      <c r="E66" s="68">
        <v>1.5170670037927001E-2</v>
      </c>
    </row>
    <row r="67" spans="2:5" ht="14.5">
      <c r="B67" s="90"/>
      <c r="C67" s="66" t="s">
        <v>199</v>
      </c>
      <c r="D67" s="67">
        <v>1</v>
      </c>
      <c r="E67" s="68">
        <v>1.264222503161E-3</v>
      </c>
    </row>
    <row r="68" spans="2:5" ht="14.5">
      <c r="B68" s="90"/>
      <c r="C68" s="66" t="s">
        <v>200</v>
      </c>
      <c r="D68" s="67">
        <v>3</v>
      </c>
      <c r="E68" s="68">
        <v>3.792667509482E-3</v>
      </c>
    </row>
    <row r="69" spans="2:5" ht="14.5">
      <c r="B69" s="90"/>
      <c r="C69" s="66" t="s">
        <v>201</v>
      </c>
      <c r="D69" s="67">
        <v>19</v>
      </c>
      <c r="E69" s="68">
        <v>2.4020227560051E-2</v>
      </c>
    </row>
    <row r="70" spans="2:5" ht="14.5">
      <c r="B70" s="90"/>
      <c r="C70" s="66" t="s">
        <v>202</v>
      </c>
      <c r="D70" s="67">
        <v>1</v>
      </c>
      <c r="E70" s="68">
        <v>1.264222503161E-3</v>
      </c>
    </row>
    <row r="71" spans="2:5" ht="14.5">
      <c r="B71" s="90"/>
      <c r="C71" s="66" t="s">
        <v>206</v>
      </c>
      <c r="D71" s="67">
        <v>3</v>
      </c>
      <c r="E71" s="68">
        <v>3.792667509482E-3</v>
      </c>
    </row>
    <row r="72" spans="2:5" ht="14.5">
      <c r="B72" s="90"/>
      <c r="C72" s="66" t="s">
        <v>207</v>
      </c>
      <c r="D72" s="67">
        <v>1</v>
      </c>
      <c r="E72" s="68">
        <v>1.264222503161E-3</v>
      </c>
    </row>
    <row r="73" spans="2:5" ht="14.5">
      <c r="B73" s="90"/>
      <c r="C73" s="36" t="s">
        <v>29</v>
      </c>
      <c r="D73" s="35">
        <v>46</v>
      </c>
      <c r="E73" s="34">
        <v>5.8154235145386E-2</v>
      </c>
    </row>
    <row r="74" spans="2:5" ht="14.5">
      <c r="B74" s="90" t="s">
        <v>76</v>
      </c>
      <c r="C74" s="66" t="s">
        <v>193</v>
      </c>
      <c r="D74" s="67">
        <v>1</v>
      </c>
      <c r="E74" s="68">
        <v>1.264222503161E-3</v>
      </c>
    </row>
    <row r="75" spans="2:5" ht="14.5">
      <c r="B75" s="90"/>
      <c r="C75" s="66" t="s">
        <v>194</v>
      </c>
      <c r="D75" s="67">
        <v>1</v>
      </c>
      <c r="E75" s="68">
        <v>1.264222503161E-3</v>
      </c>
    </row>
    <row r="76" spans="2:5" ht="14.5">
      <c r="B76" s="90"/>
      <c r="C76" s="66" t="s">
        <v>198</v>
      </c>
      <c r="D76" s="67">
        <v>1</v>
      </c>
      <c r="E76" s="68">
        <v>1.264222503161E-3</v>
      </c>
    </row>
    <row r="77" spans="2:5" ht="14.5">
      <c r="B77" s="90"/>
      <c r="C77" s="66" t="s">
        <v>200</v>
      </c>
      <c r="D77" s="67">
        <v>1</v>
      </c>
      <c r="E77" s="68">
        <v>1.264222503161E-3</v>
      </c>
    </row>
    <row r="78" spans="2:5" ht="14.5">
      <c r="B78" s="90"/>
      <c r="C78" s="66" t="s">
        <v>201</v>
      </c>
      <c r="D78" s="67">
        <v>3</v>
      </c>
      <c r="E78" s="68">
        <v>3.792667509482E-3</v>
      </c>
    </row>
    <row r="79" spans="2:5" ht="14.5">
      <c r="B79" s="90"/>
      <c r="C79" s="66" t="s">
        <v>207</v>
      </c>
      <c r="D79" s="67">
        <v>2</v>
      </c>
      <c r="E79" s="68">
        <v>2.528445006321E-3</v>
      </c>
    </row>
    <row r="80" spans="2:5" ht="14.5">
      <c r="B80" s="90"/>
      <c r="C80" s="36" t="s">
        <v>29</v>
      </c>
      <c r="D80" s="35">
        <v>9</v>
      </c>
      <c r="E80" s="34">
        <v>1.1378002528444999E-2</v>
      </c>
    </row>
    <row r="81" spans="2:5" ht="14.5">
      <c r="B81" s="90" t="s">
        <v>74</v>
      </c>
      <c r="C81" s="66" t="s">
        <v>189</v>
      </c>
      <c r="D81" s="67">
        <v>1</v>
      </c>
      <c r="E81" s="68">
        <v>1.264222503161E-3</v>
      </c>
    </row>
    <row r="82" spans="2:5" ht="14.5">
      <c r="B82" s="90"/>
      <c r="C82" s="66" t="s">
        <v>191</v>
      </c>
      <c r="D82" s="67">
        <v>1</v>
      </c>
      <c r="E82" s="68">
        <v>1.264222503161E-3</v>
      </c>
    </row>
    <row r="83" spans="2:5" ht="14.5">
      <c r="B83" s="90"/>
      <c r="C83" s="66" t="s">
        <v>193</v>
      </c>
      <c r="D83" s="67">
        <v>1</v>
      </c>
      <c r="E83" s="68">
        <v>1.264222503161E-3</v>
      </c>
    </row>
    <row r="84" spans="2:5" ht="14.5">
      <c r="B84" s="90"/>
      <c r="C84" s="66" t="s">
        <v>194</v>
      </c>
      <c r="D84" s="67">
        <v>1</v>
      </c>
      <c r="E84" s="68">
        <v>1.264222503161E-3</v>
      </c>
    </row>
    <row r="85" spans="2:5" ht="14.5">
      <c r="B85" s="90"/>
      <c r="C85" s="66" t="s">
        <v>196</v>
      </c>
      <c r="D85" s="67">
        <v>1</v>
      </c>
      <c r="E85" s="68">
        <v>1.264222503161E-3</v>
      </c>
    </row>
    <row r="86" spans="2:5" ht="14.5">
      <c r="B86" s="90"/>
      <c r="C86" s="66" t="s">
        <v>198</v>
      </c>
      <c r="D86" s="67">
        <v>1</v>
      </c>
      <c r="E86" s="68">
        <v>1.264222503161E-3</v>
      </c>
    </row>
    <row r="87" spans="2:5" ht="14.5">
      <c r="B87" s="90"/>
      <c r="C87" s="66" t="s">
        <v>200</v>
      </c>
      <c r="D87" s="67">
        <v>2</v>
      </c>
      <c r="E87" s="68">
        <v>2.528445006321E-3</v>
      </c>
    </row>
    <row r="88" spans="2:5" ht="14.5">
      <c r="B88" s="90"/>
      <c r="C88" s="66" t="s">
        <v>201</v>
      </c>
      <c r="D88" s="67">
        <v>2</v>
      </c>
      <c r="E88" s="68">
        <v>2.528445006321E-3</v>
      </c>
    </row>
    <row r="89" spans="2:5" ht="14.5">
      <c r="B89" s="90"/>
      <c r="C89" s="36" t="s">
        <v>29</v>
      </c>
      <c r="D89" s="35">
        <v>10</v>
      </c>
      <c r="E89" s="34">
        <v>1.2642225031606001E-2</v>
      </c>
    </row>
    <row r="90" spans="2:5" ht="14.5">
      <c r="B90" s="90" t="s">
        <v>91</v>
      </c>
      <c r="C90" s="66" t="s">
        <v>193</v>
      </c>
      <c r="D90" s="67">
        <v>2</v>
      </c>
      <c r="E90" s="68">
        <v>2.528445006321E-3</v>
      </c>
    </row>
    <row r="91" spans="2:5" ht="14.5">
      <c r="B91" s="90"/>
      <c r="C91" s="36" t="s">
        <v>29</v>
      </c>
      <c r="D91" s="35">
        <v>2</v>
      </c>
      <c r="E91" s="34">
        <v>2.528445006321E-3</v>
      </c>
    </row>
    <row r="92" spans="2:5" ht="14.5">
      <c r="B92" s="90" t="s">
        <v>70</v>
      </c>
      <c r="C92" s="66" t="s">
        <v>193</v>
      </c>
      <c r="D92" s="67">
        <v>2</v>
      </c>
      <c r="E92" s="68">
        <v>2.528445006321E-3</v>
      </c>
    </row>
    <row r="93" spans="2:5" ht="14.5">
      <c r="B93" s="90"/>
      <c r="C93" s="66" t="s">
        <v>198</v>
      </c>
      <c r="D93" s="67">
        <v>3</v>
      </c>
      <c r="E93" s="68">
        <v>3.792667509482E-3</v>
      </c>
    </row>
    <row r="94" spans="2:5" ht="14.5">
      <c r="B94" s="90"/>
      <c r="C94" s="66" t="s">
        <v>201</v>
      </c>
      <c r="D94" s="67">
        <v>7</v>
      </c>
      <c r="E94" s="68">
        <v>8.8495575221239995E-3</v>
      </c>
    </row>
    <row r="95" spans="2:5" ht="14.5">
      <c r="B95" s="90"/>
      <c r="C95" s="36" t="s">
        <v>29</v>
      </c>
      <c r="D95" s="35">
        <v>12</v>
      </c>
      <c r="E95" s="34">
        <v>1.5170670037927001E-2</v>
      </c>
    </row>
    <row r="96" spans="2:5" ht="14.5">
      <c r="B96" s="90" t="s">
        <v>69</v>
      </c>
      <c r="C96" s="66" t="s">
        <v>189</v>
      </c>
      <c r="D96" s="67">
        <v>1</v>
      </c>
      <c r="E96" s="68">
        <v>1.264222503161E-3</v>
      </c>
    </row>
    <row r="97" spans="2:5" ht="14.5">
      <c r="B97" s="90"/>
      <c r="C97" s="66" t="s">
        <v>194</v>
      </c>
      <c r="D97" s="67">
        <v>2</v>
      </c>
      <c r="E97" s="68">
        <v>2.528445006321E-3</v>
      </c>
    </row>
    <row r="98" spans="2:5" ht="14.5">
      <c r="B98" s="90"/>
      <c r="C98" s="66" t="s">
        <v>196</v>
      </c>
      <c r="D98" s="67">
        <v>1</v>
      </c>
      <c r="E98" s="68">
        <v>1.264222503161E-3</v>
      </c>
    </row>
    <row r="99" spans="2:5" ht="14.5">
      <c r="B99" s="90"/>
      <c r="C99" s="66" t="s">
        <v>197</v>
      </c>
      <c r="D99" s="67">
        <v>1</v>
      </c>
      <c r="E99" s="68">
        <v>1.264222503161E-3</v>
      </c>
    </row>
    <row r="100" spans="2:5" ht="14.5">
      <c r="B100" s="90"/>
      <c r="C100" s="66" t="s">
        <v>198</v>
      </c>
      <c r="D100" s="67">
        <v>1</v>
      </c>
      <c r="E100" s="68">
        <v>1.264222503161E-3</v>
      </c>
    </row>
    <row r="101" spans="2:5" ht="14.5">
      <c r="B101" s="90"/>
      <c r="C101" s="66" t="s">
        <v>200</v>
      </c>
      <c r="D101" s="67">
        <v>4</v>
      </c>
      <c r="E101" s="68">
        <v>5.0568900126419999E-3</v>
      </c>
    </row>
    <row r="102" spans="2:5" ht="14.5">
      <c r="B102" s="90"/>
      <c r="C102" s="66" t="s">
        <v>201</v>
      </c>
      <c r="D102" s="67">
        <v>4</v>
      </c>
      <c r="E102" s="68">
        <v>5.0568900126419999E-3</v>
      </c>
    </row>
    <row r="103" spans="2:5" ht="14.5">
      <c r="B103" s="90"/>
      <c r="C103" s="36" t="s">
        <v>29</v>
      </c>
      <c r="D103" s="35">
        <v>14</v>
      </c>
      <c r="E103" s="34">
        <v>1.7699115044247999E-2</v>
      </c>
    </row>
    <row r="104" spans="2:5" ht="14.5">
      <c r="B104" s="90" t="s">
        <v>54</v>
      </c>
      <c r="C104" s="66" t="s">
        <v>189</v>
      </c>
      <c r="D104" s="67">
        <v>1</v>
      </c>
      <c r="E104" s="68">
        <v>1.264222503161E-3</v>
      </c>
    </row>
    <row r="105" spans="2:5" ht="14.5">
      <c r="B105" s="90"/>
      <c r="C105" s="66" t="s">
        <v>193</v>
      </c>
      <c r="D105" s="67">
        <v>2</v>
      </c>
      <c r="E105" s="68">
        <v>2.528445006321E-3</v>
      </c>
    </row>
    <row r="106" spans="2:5" ht="14.5">
      <c r="B106" s="90"/>
      <c r="C106" s="66" t="s">
        <v>194</v>
      </c>
      <c r="D106" s="67">
        <v>3</v>
      </c>
      <c r="E106" s="68">
        <v>3.792667509482E-3</v>
      </c>
    </row>
    <row r="107" spans="2:5" ht="14.5">
      <c r="B107" s="90"/>
      <c r="C107" s="66" t="s">
        <v>195</v>
      </c>
      <c r="D107" s="67">
        <v>1</v>
      </c>
      <c r="E107" s="68">
        <v>1.264222503161E-3</v>
      </c>
    </row>
    <row r="108" spans="2:5" ht="14.5">
      <c r="B108" s="90"/>
      <c r="C108" s="66" t="s">
        <v>196</v>
      </c>
      <c r="D108" s="67">
        <v>1</v>
      </c>
      <c r="E108" s="68">
        <v>1.264222503161E-3</v>
      </c>
    </row>
    <row r="109" spans="2:5" ht="14.5">
      <c r="B109" s="90"/>
      <c r="C109" s="66" t="s">
        <v>197</v>
      </c>
      <c r="D109" s="67">
        <v>4</v>
      </c>
      <c r="E109" s="68">
        <v>5.0568900126419999E-3</v>
      </c>
    </row>
    <row r="110" spans="2:5" ht="14.5">
      <c r="B110" s="90"/>
      <c r="C110" s="66" t="s">
        <v>198</v>
      </c>
      <c r="D110" s="67">
        <v>11</v>
      </c>
      <c r="E110" s="68">
        <v>1.3906447534765999E-2</v>
      </c>
    </row>
    <row r="111" spans="2:5" ht="14.5">
      <c r="B111" s="90"/>
      <c r="C111" s="66" t="s">
        <v>199</v>
      </c>
      <c r="D111" s="67">
        <v>1</v>
      </c>
      <c r="E111" s="68">
        <v>1.264222503161E-3</v>
      </c>
    </row>
    <row r="112" spans="2:5" ht="14.5">
      <c r="B112" s="90"/>
      <c r="C112" s="66" t="s">
        <v>200</v>
      </c>
      <c r="D112" s="67">
        <v>5</v>
      </c>
      <c r="E112" s="68">
        <v>6.3211125158030004E-3</v>
      </c>
    </row>
    <row r="113" spans="2:5" ht="14.5">
      <c r="B113" s="90"/>
      <c r="C113" s="66" t="s">
        <v>201</v>
      </c>
      <c r="D113" s="67">
        <v>10</v>
      </c>
      <c r="E113" s="68">
        <v>1.2642225031606001E-2</v>
      </c>
    </row>
    <row r="114" spans="2:5" ht="14.5">
      <c r="B114" s="90"/>
      <c r="C114" s="66" t="s">
        <v>203</v>
      </c>
      <c r="D114" s="67">
        <v>1</v>
      </c>
      <c r="E114" s="68">
        <v>1.264222503161E-3</v>
      </c>
    </row>
    <row r="115" spans="2:5" ht="14.5">
      <c r="B115" s="90"/>
      <c r="C115" s="66" t="s">
        <v>206</v>
      </c>
      <c r="D115" s="67">
        <v>1</v>
      </c>
      <c r="E115" s="68">
        <v>1.264222503161E-3</v>
      </c>
    </row>
    <row r="116" spans="2:5" ht="14.5">
      <c r="B116" s="90"/>
      <c r="C116" s="66" t="s">
        <v>207</v>
      </c>
      <c r="D116" s="67">
        <v>2</v>
      </c>
      <c r="E116" s="68">
        <v>2.528445006321E-3</v>
      </c>
    </row>
    <row r="117" spans="2:5" ht="14.5">
      <c r="B117" s="90"/>
      <c r="C117" s="66" t="s">
        <v>209</v>
      </c>
      <c r="D117" s="67">
        <v>1</v>
      </c>
      <c r="E117" s="68">
        <v>1.264222503161E-3</v>
      </c>
    </row>
    <row r="118" spans="2:5" ht="14.5">
      <c r="B118" s="90"/>
      <c r="C118" s="36" t="s">
        <v>29</v>
      </c>
      <c r="D118" s="35">
        <v>44</v>
      </c>
      <c r="E118" s="34">
        <v>5.5625790139063998E-2</v>
      </c>
    </row>
    <row r="119" spans="2:5" ht="14.5">
      <c r="B119" s="90" t="s">
        <v>66</v>
      </c>
      <c r="C119" s="66" t="s">
        <v>187</v>
      </c>
      <c r="D119" s="67">
        <v>1</v>
      </c>
      <c r="E119" s="68">
        <v>1.264222503161E-3</v>
      </c>
    </row>
    <row r="120" spans="2:5" ht="14.5">
      <c r="B120" s="90"/>
      <c r="C120" s="66" t="s">
        <v>197</v>
      </c>
      <c r="D120" s="67">
        <v>4</v>
      </c>
      <c r="E120" s="68">
        <v>5.0568900126419999E-3</v>
      </c>
    </row>
    <row r="121" spans="2:5" ht="14.5">
      <c r="B121" s="90"/>
      <c r="C121" s="66" t="s">
        <v>198</v>
      </c>
      <c r="D121" s="67">
        <v>6</v>
      </c>
      <c r="E121" s="68">
        <v>7.5853350189629999E-3</v>
      </c>
    </row>
    <row r="122" spans="2:5" ht="14.5">
      <c r="B122" s="90"/>
      <c r="C122" s="66" t="s">
        <v>200</v>
      </c>
      <c r="D122" s="67">
        <v>1</v>
      </c>
      <c r="E122" s="68">
        <v>1.264222503161E-3</v>
      </c>
    </row>
    <row r="123" spans="2:5" ht="14.5">
      <c r="B123" s="90"/>
      <c r="C123" s="66" t="s">
        <v>201</v>
      </c>
      <c r="D123" s="67">
        <v>5</v>
      </c>
      <c r="E123" s="68">
        <v>6.3211125158030004E-3</v>
      </c>
    </row>
    <row r="124" spans="2:5" ht="14.5">
      <c r="B124" s="90"/>
      <c r="C124" s="66" t="s">
        <v>202</v>
      </c>
      <c r="D124" s="67">
        <v>1</v>
      </c>
      <c r="E124" s="68">
        <v>1.264222503161E-3</v>
      </c>
    </row>
    <row r="125" spans="2:5" ht="14.5">
      <c r="B125" s="90"/>
      <c r="C125" s="36" t="s">
        <v>29</v>
      </c>
      <c r="D125" s="35">
        <v>18</v>
      </c>
      <c r="E125" s="34">
        <v>2.2756005056889999E-2</v>
      </c>
    </row>
    <row r="126" spans="2:5" ht="14.5">
      <c r="B126" s="90" t="s">
        <v>67</v>
      </c>
      <c r="C126" s="66" t="s">
        <v>187</v>
      </c>
      <c r="D126" s="67">
        <v>1</v>
      </c>
      <c r="E126" s="68">
        <v>1.264222503161E-3</v>
      </c>
    </row>
    <row r="127" spans="2:5" ht="14.5">
      <c r="B127" s="90"/>
      <c r="C127" s="66" t="s">
        <v>190</v>
      </c>
      <c r="D127" s="67">
        <v>1</v>
      </c>
      <c r="E127" s="68">
        <v>1.264222503161E-3</v>
      </c>
    </row>
    <row r="128" spans="2:5" ht="14.5">
      <c r="B128" s="90"/>
      <c r="C128" s="66" t="s">
        <v>193</v>
      </c>
      <c r="D128" s="67">
        <v>2</v>
      </c>
      <c r="E128" s="68">
        <v>2.528445006321E-3</v>
      </c>
    </row>
    <row r="129" spans="2:5" ht="14.5">
      <c r="B129" s="90"/>
      <c r="C129" s="66" t="s">
        <v>194</v>
      </c>
      <c r="D129" s="67">
        <v>1</v>
      </c>
      <c r="E129" s="68">
        <v>1.264222503161E-3</v>
      </c>
    </row>
    <row r="130" spans="2:5" ht="14.5">
      <c r="B130" s="90"/>
      <c r="C130" s="66" t="s">
        <v>196</v>
      </c>
      <c r="D130" s="67">
        <v>1</v>
      </c>
      <c r="E130" s="68">
        <v>1.264222503161E-3</v>
      </c>
    </row>
    <row r="131" spans="2:5" ht="14.5">
      <c r="B131" s="90"/>
      <c r="C131" s="66" t="s">
        <v>198</v>
      </c>
      <c r="D131" s="67">
        <v>9</v>
      </c>
      <c r="E131" s="68">
        <v>1.1378002528444999E-2</v>
      </c>
    </row>
    <row r="132" spans="2:5" ht="14.5">
      <c r="B132" s="90"/>
      <c r="C132" s="66" t="s">
        <v>201</v>
      </c>
      <c r="D132" s="67">
        <v>3</v>
      </c>
      <c r="E132" s="68">
        <v>3.792667509482E-3</v>
      </c>
    </row>
    <row r="133" spans="2:5" ht="14.5">
      <c r="B133" s="90"/>
      <c r="C133" s="36" t="s">
        <v>29</v>
      </c>
      <c r="D133" s="35">
        <v>18</v>
      </c>
      <c r="E133" s="34">
        <v>2.2756005056889999E-2</v>
      </c>
    </row>
    <row r="134" spans="2:5" ht="14.5">
      <c r="B134" s="90" t="s">
        <v>93</v>
      </c>
      <c r="C134" s="66" t="s">
        <v>201</v>
      </c>
      <c r="D134" s="67">
        <v>1</v>
      </c>
      <c r="E134" s="68">
        <v>1.264222503161E-3</v>
      </c>
    </row>
    <row r="135" spans="2:5" ht="14.5">
      <c r="B135" s="90"/>
      <c r="C135" s="36" t="s">
        <v>29</v>
      </c>
      <c r="D135" s="35">
        <v>1</v>
      </c>
      <c r="E135" s="34">
        <v>1.264222503161E-3</v>
      </c>
    </row>
    <row r="136" spans="2:5" ht="14.5">
      <c r="B136" s="90" t="s">
        <v>79</v>
      </c>
      <c r="C136" s="66" t="s">
        <v>195</v>
      </c>
      <c r="D136" s="67">
        <v>1</v>
      </c>
      <c r="E136" s="68">
        <v>1.264222503161E-3</v>
      </c>
    </row>
    <row r="137" spans="2:5" ht="14.5">
      <c r="B137" s="90"/>
      <c r="C137" s="66" t="s">
        <v>197</v>
      </c>
      <c r="D137" s="67">
        <v>1</v>
      </c>
      <c r="E137" s="68">
        <v>1.264222503161E-3</v>
      </c>
    </row>
    <row r="138" spans="2:5" ht="14.5">
      <c r="B138" s="90"/>
      <c r="C138" s="66" t="s">
        <v>198</v>
      </c>
      <c r="D138" s="67">
        <v>1</v>
      </c>
      <c r="E138" s="68">
        <v>1.264222503161E-3</v>
      </c>
    </row>
    <row r="139" spans="2:5" ht="14.5">
      <c r="B139" s="90"/>
      <c r="C139" s="66" t="s">
        <v>199</v>
      </c>
      <c r="D139" s="67">
        <v>1</v>
      </c>
      <c r="E139" s="68">
        <v>1.264222503161E-3</v>
      </c>
    </row>
    <row r="140" spans="2:5" ht="14.5">
      <c r="B140" s="90"/>
      <c r="C140" s="66" t="s">
        <v>200</v>
      </c>
      <c r="D140" s="67">
        <v>1</v>
      </c>
      <c r="E140" s="68">
        <v>1.264222503161E-3</v>
      </c>
    </row>
    <row r="141" spans="2:5" ht="14.5">
      <c r="B141" s="90"/>
      <c r="C141" s="66" t="s">
        <v>201</v>
      </c>
      <c r="D141" s="67">
        <v>2</v>
      </c>
      <c r="E141" s="68">
        <v>2.528445006321E-3</v>
      </c>
    </row>
    <row r="142" spans="2:5" ht="14.5">
      <c r="B142" s="90"/>
      <c r="C142" s="36" t="s">
        <v>29</v>
      </c>
      <c r="D142" s="35">
        <v>7</v>
      </c>
      <c r="E142" s="34">
        <v>8.8495575221239995E-3</v>
      </c>
    </row>
    <row r="143" spans="2:5" ht="14.5">
      <c r="B143" s="90" t="s">
        <v>58</v>
      </c>
      <c r="C143" s="66" t="s">
        <v>187</v>
      </c>
      <c r="D143" s="67">
        <v>2</v>
      </c>
      <c r="E143" s="68">
        <v>2.528445006321E-3</v>
      </c>
    </row>
    <row r="144" spans="2:5" ht="14.5">
      <c r="B144" s="90"/>
      <c r="C144" s="66" t="s">
        <v>191</v>
      </c>
      <c r="D144" s="67">
        <v>1</v>
      </c>
      <c r="E144" s="68">
        <v>1.264222503161E-3</v>
      </c>
    </row>
    <row r="145" spans="2:5" ht="14.5">
      <c r="B145" s="90"/>
      <c r="C145" s="66" t="s">
        <v>192</v>
      </c>
      <c r="D145" s="67">
        <v>1</v>
      </c>
      <c r="E145" s="68">
        <v>1.264222503161E-3</v>
      </c>
    </row>
    <row r="146" spans="2:5" ht="14.5">
      <c r="B146" s="90"/>
      <c r="C146" s="66" t="s">
        <v>193</v>
      </c>
      <c r="D146" s="67">
        <v>1</v>
      </c>
      <c r="E146" s="68">
        <v>1.264222503161E-3</v>
      </c>
    </row>
    <row r="147" spans="2:5" ht="14.5">
      <c r="B147" s="90"/>
      <c r="C147" s="66" t="s">
        <v>194</v>
      </c>
      <c r="D147" s="67">
        <v>2</v>
      </c>
      <c r="E147" s="68">
        <v>2.528445006321E-3</v>
      </c>
    </row>
    <row r="148" spans="2:5" ht="14.5">
      <c r="B148" s="90"/>
      <c r="C148" s="66" t="s">
        <v>198</v>
      </c>
      <c r="D148" s="67">
        <v>10</v>
      </c>
      <c r="E148" s="68">
        <v>1.2642225031606001E-2</v>
      </c>
    </row>
    <row r="149" spans="2:5" ht="14.5">
      <c r="B149" s="90"/>
      <c r="C149" s="66" t="s">
        <v>200</v>
      </c>
      <c r="D149" s="67">
        <v>3</v>
      </c>
      <c r="E149" s="68">
        <v>3.792667509482E-3</v>
      </c>
    </row>
    <row r="150" spans="2:5" ht="14.5">
      <c r="B150" s="90"/>
      <c r="C150" s="66" t="s">
        <v>201</v>
      </c>
      <c r="D150" s="67">
        <v>8</v>
      </c>
      <c r="E150" s="68">
        <v>1.0113780025284E-2</v>
      </c>
    </row>
    <row r="151" spans="2:5" ht="14.5">
      <c r="B151" s="90"/>
      <c r="C151" s="66" t="s">
        <v>206</v>
      </c>
      <c r="D151" s="67">
        <v>1</v>
      </c>
      <c r="E151" s="68">
        <v>1.264222503161E-3</v>
      </c>
    </row>
    <row r="152" spans="2:5" ht="14.5">
      <c r="B152" s="90"/>
      <c r="C152" s="66" t="s">
        <v>207</v>
      </c>
      <c r="D152" s="67">
        <v>3</v>
      </c>
      <c r="E152" s="68">
        <v>3.792667509482E-3</v>
      </c>
    </row>
    <row r="153" spans="2:5" ht="14.5">
      <c r="B153" s="90"/>
      <c r="C153" s="36" t="s">
        <v>29</v>
      </c>
      <c r="D153" s="35">
        <v>32</v>
      </c>
      <c r="E153" s="34">
        <v>4.0455120101137998E-2</v>
      </c>
    </row>
    <row r="154" spans="2:5" ht="14.5">
      <c r="B154" s="90" t="s">
        <v>57</v>
      </c>
      <c r="C154" s="66" t="s">
        <v>194</v>
      </c>
      <c r="D154" s="67">
        <v>4</v>
      </c>
      <c r="E154" s="68">
        <v>5.0568900126419999E-3</v>
      </c>
    </row>
    <row r="155" spans="2:5" ht="14.5">
      <c r="B155" s="90"/>
      <c r="C155" s="66" t="s">
        <v>197</v>
      </c>
      <c r="D155" s="67">
        <v>2</v>
      </c>
      <c r="E155" s="68">
        <v>2.528445006321E-3</v>
      </c>
    </row>
    <row r="156" spans="2:5" ht="14.5">
      <c r="B156" s="90"/>
      <c r="C156" s="66" t="s">
        <v>198</v>
      </c>
      <c r="D156" s="67">
        <v>11</v>
      </c>
      <c r="E156" s="68">
        <v>1.3906447534765999E-2</v>
      </c>
    </row>
    <row r="157" spans="2:5" ht="14.5">
      <c r="B157" s="90"/>
      <c r="C157" s="66" t="s">
        <v>199</v>
      </c>
      <c r="D157" s="67">
        <v>1</v>
      </c>
      <c r="E157" s="68">
        <v>1.264222503161E-3</v>
      </c>
    </row>
    <row r="158" spans="2:5" ht="14.5">
      <c r="B158" s="90"/>
      <c r="C158" s="66" t="s">
        <v>200</v>
      </c>
      <c r="D158" s="67">
        <v>3</v>
      </c>
      <c r="E158" s="68">
        <v>3.792667509482E-3</v>
      </c>
    </row>
    <row r="159" spans="2:5" ht="14.5">
      <c r="B159" s="90"/>
      <c r="C159" s="66" t="s">
        <v>201</v>
      </c>
      <c r="D159" s="67">
        <v>11</v>
      </c>
      <c r="E159" s="68">
        <v>1.3906447534765999E-2</v>
      </c>
    </row>
    <row r="160" spans="2:5" ht="14.5">
      <c r="B160" s="90"/>
      <c r="C160" s="66" t="s">
        <v>206</v>
      </c>
      <c r="D160" s="67">
        <v>1</v>
      </c>
      <c r="E160" s="68">
        <v>1.264222503161E-3</v>
      </c>
    </row>
    <row r="161" spans="2:5" ht="14.5">
      <c r="B161" s="90"/>
      <c r="C161" s="66" t="s">
        <v>207</v>
      </c>
      <c r="D161" s="67">
        <v>1</v>
      </c>
      <c r="E161" s="68">
        <v>1.264222503161E-3</v>
      </c>
    </row>
    <row r="162" spans="2:5" ht="14.5">
      <c r="B162" s="90"/>
      <c r="C162" s="36" t="s">
        <v>29</v>
      </c>
      <c r="D162" s="35">
        <v>34</v>
      </c>
      <c r="E162" s="34">
        <v>4.2983565107459001E-2</v>
      </c>
    </row>
    <row r="163" spans="2:5" ht="14.5">
      <c r="B163" s="90" t="s">
        <v>72</v>
      </c>
      <c r="C163" s="66" t="s">
        <v>194</v>
      </c>
      <c r="D163" s="67">
        <v>1</v>
      </c>
      <c r="E163" s="68">
        <v>1.264222503161E-3</v>
      </c>
    </row>
    <row r="164" spans="2:5" ht="14.5">
      <c r="B164" s="90"/>
      <c r="C164" s="66" t="s">
        <v>198</v>
      </c>
      <c r="D164" s="67">
        <v>4</v>
      </c>
      <c r="E164" s="68">
        <v>5.0568900126419999E-3</v>
      </c>
    </row>
    <row r="165" spans="2:5" ht="14.5">
      <c r="B165" s="90"/>
      <c r="C165" s="66" t="s">
        <v>199</v>
      </c>
      <c r="D165" s="67">
        <v>1</v>
      </c>
      <c r="E165" s="68">
        <v>1.264222503161E-3</v>
      </c>
    </row>
    <row r="166" spans="2:5" ht="14.5">
      <c r="B166" s="90"/>
      <c r="C166" s="66" t="s">
        <v>200</v>
      </c>
      <c r="D166" s="67">
        <v>1</v>
      </c>
      <c r="E166" s="68">
        <v>1.264222503161E-3</v>
      </c>
    </row>
    <row r="167" spans="2:5" ht="14.5">
      <c r="B167" s="90"/>
      <c r="C167" s="66" t="s">
        <v>201</v>
      </c>
      <c r="D167" s="67">
        <v>1</v>
      </c>
      <c r="E167" s="68">
        <v>1.264222503161E-3</v>
      </c>
    </row>
    <row r="168" spans="2:5" ht="14.5">
      <c r="B168" s="90"/>
      <c r="C168" s="66" t="s">
        <v>203</v>
      </c>
      <c r="D168" s="67">
        <v>1</v>
      </c>
      <c r="E168" s="68">
        <v>1.264222503161E-3</v>
      </c>
    </row>
    <row r="169" spans="2:5" ht="14.5">
      <c r="B169" s="90"/>
      <c r="C169" s="66" t="s">
        <v>205</v>
      </c>
      <c r="D169" s="67">
        <v>1</v>
      </c>
      <c r="E169" s="68">
        <v>1.264222503161E-3</v>
      </c>
    </row>
    <row r="170" spans="2:5" ht="14.5">
      <c r="B170" s="90"/>
      <c r="C170" s="66" t="s">
        <v>207</v>
      </c>
      <c r="D170" s="67">
        <v>1</v>
      </c>
      <c r="E170" s="68">
        <v>1.264222503161E-3</v>
      </c>
    </row>
    <row r="171" spans="2:5" ht="14.5">
      <c r="B171" s="90"/>
      <c r="C171" s="36" t="s">
        <v>29</v>
      </c>
      <c r="D171" s="35">
        <v>11</v>
      </c>
      <c r="E171" s="34">
        <v>1.3906447534765999E-2</v>
      </c>
    </row>
    <row r="172" spans="2:5" ht="14.5">
      <c r="B172" s="90" t="s">
        <v>68</v>
      </c>
      <c r="C172" s="66" t="s">
        <v>187</v>
      </c>
      <c r="D172" s="67">
        <v>1</v>
      </c>
      <c r="E172" s="68">
        <v>1.264222503161E-3</v>
      </c>
    </row>
    <row r="173" spans="2:5" ht="14.5">
      <c r="B173" s="90"/>
      <c r="C173" s="66" t="s">
        <v>191</v>
      </c>
      <c r="D173" s="67">
        <v>1</v>
      </c>
      <c r="E173" s="68">
        <v>1.264222503161E-3</v>
      </c>
    </row>
    <row r="174" spans="2:5" ht="14.5">
      <c r="B174" s="90"/>
      <c r="C174" s="66" t="s">
        <v>194</v>
      </c>
      <c r="D174" s="67">
        <v>4</v>
      </c>
      <c r="E174" s="68">
        <v>5.0568900126419999E-3</v>
      </c>
    </row>
    <row r="175" spans="2:5" ht="14.5">
      <c r="B175" s="90"/>
      <c r="C175" s="66" t="s">
        <v>195</v>
      </c>
      <c r="D175" s="67">
        <v>1</v>
      </c>
      <c r="E175" s="68">
        <v>1.264222503161E-3</v>
      </c>
    </row>
    <row r="176" spans="2:5" ht="14.5">
      <c r="B176" s="90"/>
      <c r="C176" s="66" t="s">
        <v>198</v>
      </c>
      <c r="D176" s="67">
        <v>4</v>
      </c>
      <c r="E176" s="68">
        <v>5.0568900126419999E-3</v>
      </c>
    </row>
    <row r="177" spans="2:5" ht="14.5">
      <c r="B177" s="90"/>
      <c r="C177" s="66" t="s">
        <v>201</v>
      </c>
      <c r="D177" s="67">
        <v>3</v>
      </c>
      <c r="E177" s="68">
        <v>3.792667509482E-3</v>
      </c>
    </row>
    <row r="178" spans="2:5" ht="14.5">
      <c r="B178" s="90"/>
      <c r="C178" s="66" t="s">
        <v>206</v>
      </c>
      <c r="D178" s="67">
        <v>2</v>
      </c>
      <c r="E178" s="68">
        <v>2.528445006321E-3</v>
      </c>
    </row>
    <row r="179" spans="2:5" ht="14.5">
      <c r="B179" s="90"/>
      <c r="C179" s="36" t="s">
        <v>29</v>
      </c>
      <c r="D179" s="35">
        <v>16</v>
      </c>
      <c r="E179" s="34">
        <v>2.0227560050568999E-2</v>
      </c>
    </row>
    <row r="180" spans="2:5" ht="14.5">
      <c r="B180" s="90" t="s">
        <v>86</v>
      </c>
      <c r="C180" s="66" t="s">
        <v>198</v>
      </c>
      <c r="D180" s="67">
        <v>2</v>
      </c>
      <c r="E180" s="68">
        <v>2.528445006321E-3</v>
      </c>
    </row>
    <row r="181" spans="2:5" ht="14.5">
      <c r="B181" s="90"/>
      <c r="C181" s="66" t="s">
        <v>201</v>
      </c>
      <c r="D181" s="67">
        <v>3</v>
      </c>
      <c r="E181" s="68">
        <v>3.792667509482E-3</v>
      </c>
    </row>
    <row r="182" spans="2:5" ht="14.5">
      <c r="B182" s="90"/>
      <c r="C182" s="36" t="s">
        <v>29</v>
      </c>
      <c r="D182" s="35">
        <v>5</v>
      </c>
      <c r="E182" s="34">
        <v>6.3211125158030004E-3</v>
      </c>
    </row>
    <row r="183" spans="2:5" ht="14.5">
      <c r="B183" s="90" t="s">
        <v>60</v>
      </c>
      <c r="C183" s="66" t="s">
        <v>193</v>
      </c>
      <c r="D183" s="67">
        <v>1</v>
      </c>
      <c r="E183" s="68">
        <v>1.264222503161E-3</v>
      </c>
    </row>
    <row r="184" spans="2:5" ht="14.5">
      <c r="B184" s="90"/>
      <c r="C184" s="66" t="s">
        <v>194</v>
      </c>
      <c r="D184" s="67">
        <v>3</v>
      </c>
      <c r="E184" s="68">
        <v>3.792667509482E-3</v>
      </c>
    </row>
    <row r="185" spans="2:5" ht="14.5">
      <c r="B185" s="90"/>
      <c r="C185" s="66" t="s">
        <v>198</v>
      </c>
      <c r="D185" s="67">
        <v>8</v>
      </c>
      <c r="E185" s="68">
        <v>1.0113780025284E-2</v>
      </c>
    </row>
    <row r="186" spans="2:5" ht="14.5">
      <c r="B186" s="90"/>
      <c r="C186" s="66" t="s">
        <v>200</v>
      </c>
      <c r="D186" s="67">
        <v>2</v>
      </c>
      <c r="E186" s="68">
        <v>2.528445006321E-3</v>
      </c>
    </row>
    <row r="187" spans="2:5" ht="14.5">
      <c r="B187" s="90"/>
      <c r="C187" s="66" t="s">
        <v>201</v>
      </c>
      <c r="D187" s="67">
        <v>8</v>
      </c>
      <c r="E187" s="68">
        <v>1.0113780025284E-2</v>
      </c>
    </row>
    <row r="188" spans="2:5" ht="14.5">
      <c r="B188" s="90"/>
      <c r="C188" s="66" t="s">
        <v>207</v>
      </c>
      <c r="D188" s="67">
        <v>2</v>
      </c>
      <c r="E188" s="68">
        <v>2.528445006321E-3</v>
      </c>
    </row>
    <row r="189" spans="2:5" ht="14.5">
      <c r="B189" s="90"/>
      <c r="C189" s="36" t="s">
        <v>29</v>
      </c>
      <c r="D189" s="35">
        <v>24</v>
      </c>
      <c r="E189" s="34">
        <v>3.0341340075852999E-2</v>
      </c>
    </row>
    <row r="190" spans="2:5" ht="14.5">
      <c r="B190" s="90" t="s">
        <v>63</v>
      </c>
      <c r="C190" s="66" t="s">
        <v>191</v>
      </c>
      <c r="D190" s="67">
        <v>1</v>
      </c>
      <c r="E190" s="68">
        <v>1.264222503161E-3</v>
      </c>
    </row>
    <row r="191" spans="2:5" ht="14.5">
      <c r="B191" s="90"/>
      <c r="C191" s="66" t="s">
        <v>194</v>
      </c>
      <c r="D191" s="67">
        <v>1</v>
      </c>
      <c r="E191" s="68">
        <v>1.264222503161E-3</v>
      </c>
    </row>
    <row r="192" spans="2:5" ht="14.5">
      <c r="B192" s="90"/>
      <c r="C192" s="66" t="s">
        <v>196</v>
      </c>
      <c r="D192" s="67">
        <v>2</v>
      </c>
      <c r="E192" s="68">
        <v>2.528445006321E-3</v>
      </c>
    </row>
    <row r="193" spans="2:5" ht="14.5">
      <c r="B193" s="90"/>
      <c r="C193" s="66" t="s">
        <v>198</v>
      </c>
      <c r="D193" s="67">
        <v>6</v>
      </c>
      <c r="E193" s="68">
        <v>7.5853350189629999E-3</v>
      </c>
    </row>
    <row r="194" spans="2:5" ht="14.5">
      <c r="B194" s="90"/>
      <c r="C194" s="66" t="s">
        <v>200</v>
      </c>
      <c r="D194" s="67">
        <v>3</v>
      </c>
      <c r="E194" s="68">
        <v>3.792667509482E-3</v>
      </c>
    </row>
    <row r="195" spans="2:5" ht="14.5">
      <c r="B195" s="90"/>
      <c r="C195" s="66" t="s">
        <v>201</v>
      </c>
      <c r="D195" s="67">
        <v>5</v>
      </c>
      <c r="E195" s="68">
        <v>6.3211125158030004E-3</v>
      </c>
    </row>
    <row r="196" spans="2:5" ht="14.5">
      <c r="B196" s="90"/>
      <c r="C196" s="66" t="s">
        <v>207</v>
      </c>
      <c r="D196" s="67">
        <v>2</v>
      </c>
      <c r="E196" s="68">
        <v>2.528445006321E-3</v>
      </c>
    </row>
    <row r="197" spans="2:5" ht="14.5">
      <c r="B197" s="90"/>
      <c r="C197" s="36" t="s">
        <v>29</v>
      </c>
      <c r="D197" s="35">
        <v>20</v>
      </c>
      <c r="E197" s="34">
        <v>2.5284450063210999E-2</v>
      </c>
    </row>
    <row r="198" spans="2:5" ht="14.5">
      <c r="B198" s="90" t="s">
        <v>73</v>
      </c>
      <c r="C198" s="66" t="s">
        <v>196</v>
      </c>
      <c r="D198" s="67">
        <v>1</v>
      </c>
      <c r="E198" s="68">
        <v>1.264222503161E-3</v>
      </c>
    </row>
    <row r="199" spans="2:5" ht="14.5">
      <c r="B199" s="90"/>
      <c r="C199" s="66" t="s">
        <v>197</v>
      </c>
      <c r="D199" s="67">
        <v>1</v>
      </c>
      <c r="E199" s="68">
        <v>1.264222503161E-3</v>
      </c>
    </row>
    <row r="200" spans="2:5" ht="14.5">
      <c r="B200" s="90"/>
      <c r="C200" s="66" t="s">
        <v>198</v>
      </c>
      <c r="D200" s="67">
        <v>4</v>
      </c>
      <c r="E200" s="68">
        <v>5.0568900126419999E-3</v>
      </c>
    </row>
    <row r="201" spans="2:5" ht="14.5">
      <c r="B201" s="90"/>
      <c r="C201" s="66" t="s">
        <v>201</v>
      </c>
      <c r="D201" s="67">
        <v>5</v>
      </c>
      <c r="E201" s="68">
        <v>6.3211125158030004E-3</v>
      </c>
    </row>
    <row r="202" spans="2:5" ht="14.5">
      <c r="B202" s="90"/>
      <c r="C202" s="36" t="s">
        <v>29</v>
      </c>
      <c r="D202" s="35">
        <v>11</v>
      </c>
      <c r="E202" s="34">
        <v>1.3906447534765999E-2</v>
      </c>
    </row>
    <row r="203" spans="2:5" ht="14.5">
      <c r="B203" s="90" t="s">
        <v>80</v>
      </c>
      <c r="C203" s="66" t="s">
        <v>197</v>
      </c>
      <c r="D203" s="67">
        <v>1</v>
      </c>
      <c r="E203" s="68">
        <v>1.264222503161E-3</v>
      </c>
    </row>
    <row r="204" spans="2:5" ht="14.5">
      <c r="B204" s="90"/>
      <c r="C204" s="66" t="s">
        <v>198</v>
      </c>
      <c r="D204" s="67">
        <v>4</v>
      </c>
      <c r="E204" s="68">
        <v>5.0568900126419999E-3</v>
      </c>
    </row>
    <row r="205" spans="2:5" ht="14.5">
      <c r="B205" s="90"/>
      <c r="C205" s="66" t="s">
        <v>201</v>
      </c>
      <c r="D205" s="67">
        <v>1</v>
      </c>
      <c r="E205" s="68">
        <v>1.264222503161E-3</v>
      </c>
    </row>
    <row r="206" spans="2:5" ht="14.5">
      <c r="B206" s="90"/>
      <c r="C206" s="66" t="s">
        <v>207</v>
      </c>
      <c r="D206" s="67">
        <v>1</v>
      </c>
      <c r="E206" s="68">
        <v>1.264222503161E-3</v>
      </c>
    </row>
    <row r="207" spans="2:5" ht="14.5">
      <c r="B207" s="90"/>
      <c r="C207" s="36" t="s">
        <v>29</v>
      </c>
      <c r="D207" s="35">
        <v>7</v>
      </c>
      <c r="E207" s="34">
        <v>8.8495575221239995E-3</v>
      </c>
    </row>
    <row r="208" spans="2:5" ht="14.5">
      <c r="B208" s="90" t="s">
        <v>61</v>
      </c>
      <c r="C208" s="66" t="s">
        <v>187</v>
      </c>
      <c r="D208" s="67">
        <v>1</v>
      </c>
      <c r="E208" s="68">
        <v>1.264222503161E-3</v>
      </c>
    </row>
    <row r="209" spans="2:5" ht="14.5">
      <c r="B209" s="90"/>
      <c r="C209" s="66" t="s">
        <v>193</v>
      </c>
      <c r="D209" s="67">
        <v>1</v>
      </c>
      <c r="E209" s="68">
        <v>1.264222503161E-3</v>
      </c>
    </row>
    <row r="210" spans="2:5" ht="14.5">
      <c r="B210" s="90"/>
      <c r="C210" s="66" t="s">
        <v>194</v>
      </c>
      <c r="D210" s="67">
        <v>4</v>
      </c>
      <c r="E210" s="68">
        <v>5.0568900126419999E-3</v>
      </c>
    </row>
    <row r="211" spans="2:5" ht="14.5">
      <c r="B211" s="90"/>
      <c r="C211" s="66" t="s">
        <v>196</v>
      </c>
      <c r="D211" s="67">
        <v>1</v>
      </c>
      <c r="E211" s="68">
        <v>1.264222503161E-3</v>
      </c>
    </row>
    <row r="212" spans="2:5" ht="14.5">
      <c r="B212" s="90"/>
      <c r="C212" s="66" t="s">
        <v>197</v>
      </c>
      <c r="D212" s="67">
        <v>2</v>
      </c>
      <c r="E212" s="68">
        <v>2.528445006321E-3</v>
      </c>
    </row>
    <row r="213" spans="2:5" ht="14.5">
      <c r="B213" s="90"/>
      <c r="C213" s="66" t="s">
        <v>198</v>
      </c>
      <c r="D213" s="67">
        <v>5</v>
      </c>
      <c r="E213" s="68">
        <v>6.3211125158030004E-3</v>
      </c>
    </row>
    <row r="214" spans="2:5" ht="14.5">
      <c r="B214" s="90"/>
      <c r="C214" s="66" t="s">
        <v>200</v>
      </c>
      <c r="D214" s="67">
        <v>1</v>
      </c>
      <c r="E214" s="68">
        <v>1.264222503161E-3</v>
      </c>
    </row>
    <row r="215" spans="2:5" ht="14.5">
      <c r="B215" s="90"/>
      <c r="C215" s="66" t="s">
        <v>201</v>
      </c>
      <c r="D215" s="67">
        <v>6</v>
      </c>
      <c r="E215" s="68">
        <v>7.5853350189629999E-3</v>
      </c>
    </row>
    <row r="216" spans="2:5" ht="14.5">
      <c r="B216" s="90"/>
      <c r="C216" s="66" t="s">
        <v>206</v>
      </c>
      <c r="D216" s="67">
        <v>1</v>
      </c>
      <c r="E216" s="68">
        <v>1.264222503161E-3</v>
      </c>
    </row>
    <row r="217" spans="2:5" ht="14.5">
      <c r="B217" s="90"/>
      <c r="C217" s="66" t="s">
        <v>207</v>
      </c>
      <c r="D217" s="67">
        <v>2</v>
      </c>
      <c r="E217" s="68">
        <v>2.528445006321E-3</v>
      </c>
    </row>
    <row r="218" spans="2:5" ht="14.5">
      <c r="B218" s="90"/>
      <c r="C218" s="36" t="s">
        <v>29</v>
      </c>
      <c r="D218" s="35">
        <v>24</v>
      </c>
      <c r="E218" s="34">
        <v>3.0341340075852999E-2</v>
      </c>
    </row>
    <row r="219" spans="2:5" ht="14.5">
      <c r="B219" s="90" t="s">
        <v>84</v>
      </c>
      <c r="C219" s="66" t="s">
        <v>193</v>
      </c>
      <c r="D219" s="67">
        <v>1</v>
      </c>
      <c r="E219" s="68">
        <v>1.264222503161E-3</v>
      </c>
    </row>
    <row r="220" spans="2:5" ht="14.5">
      <c r="B220" s="90"/>
      <c r="C220" s="66" t="s">
        <v>194</v>
      </c>
      <c r="D220" s="67">
        <v>1</v>
      </c>
      <c r="E220" s="68">
        <v>1.264222503161E-3</v>
      </c>
    </row>
    <row r="221" spans="2:5" ht="14.5">
      <c r="B221" s="90"/>
      <c r="C221" s="66" t="s">
        <v>195</v>
      </c>
      <c r="D221" s="67">
        <v>1</v>
      </c>
      <c r="E221" s="68">
        <v>1.264222503161E-3</v>
      </c>
    </row>
    <row r="222" spans="2:5" ht="14.5">
      <c r="B222" s="90"/>
      <c r="C222" s="66" t="s">
        <v>198</v>
      </c>
      <c r="D222" s="67">
        <v>1</v>
      </c>
      <c r="E222" s="68">
        <v>1.264222503161E-3</v>
      </c>
    </row>
    <row r="223" spans="2:5" ht="14.5">
      <c r="B223" s="90"/>
      <c r="C223" s="66" t="s">
        <v>200</v>
      </c>
      <c r="D223" s="67">
        <v>1</v>
      </c>
      <c r="E223" s="68">
        <v>1.264222503161E-3</v>
      </c>
    </row>
    <row r="224" spans="2:5" ht="14.5">
      <c r="B224" s="90"/>
      <c r="C224" s="66" t="s">
        <v>201</v>
      </c>
      <c r="D224" s="67">
        <v>1</v>
      </c>
      <c r="E224" s="68">
        <v>1.264222503161E-3</v>
      </c>
    </row>
    <row r="225" spans="2:5" ht="14.5">
      <c r="B225" s="90"/>
      <c r="C225" s="36" t="s">
        <v>29</v>
      </c>
      <c r="D225" s="35">
        <v>6</v>
      </c>
      <c r="E225" s="34">
        <v>7.5853350189629999E-3</v>
      </c>
    </row>
    <row r="226" spans="2:5" ht="14.5">
      <c r="B226" s="90" t="s">
        <v>75</v>
      </c>
      <c r="C226" s="66" t="s">
        <v>198</v>
      </c>
      <c r="D226" s="67">
        <v>2</v>
      </c>
      <c r="E226" s="68">
        <v>2.528445006321E-3</v>
      </c>
    </row>
    <row r="227" spans="2:5" ht="14.5">
      <c r="B227" s="90"/>
      <c r="C227" s="66" t="s">
        <v>200</v>
      </c>
      <c r="D227" s="67">
        <v>2</v>
      </c>
      <c r="E227" s="68">
        <v>2.528445006321E-3</v>
      </c>
    </row>
    <row r="228" spans="2:5" ht="14.5">
      <c r="B228" s="90"/>
      <c r="C228" s="66" t="s">
        <v>201</v>
      </c>
      <c r="D228" s="67">
        <v>6</v>
      </c>
      <c r="E228" s="68">
        <v>7.5853350189629999E-3</v>
      </c>
    </row>
    <row r="229" spans="2:5" ht="14.5">
      <c r="B229" s="90"/>
      <c r="C229" s="36" t="s">
        <v>29</v>
      </c>
      <c r="D229" s="35">
        <v>10</v>
      </c>
      <c r="E229" s="34">
        <v>1.2642225031606001E-2</v>
      </c>
    </row>
    <row r="230" spans="2:5" ht="14.5">
      <c r="B230" s="90" t="s">
        <v>81</v>
      </c>
      <c r="C230" s="66" t="s">
        <v>196</v>
      </c>
      <c r="D230" s="67">
        <v>1</v>
      </c>
      <c r="E230" s="68">
        <v>1.264222503161E-3</v>
      </c>
    </row>
    <row r="231" spans="2:5" ht="14.5">
      <c r="B231" s="90"/>
      <c r="C231" s="66" t="s">
        <v>197</v>
      </c>
      <c r="D231" s="67">
        <v>1</v>
      </c>
      <c r="E231" s="68">
        <v>1.264222503161E-3</v>
      </c>
    </row>
    <row r="232" spans="2:5" ht="14.5">
      <c r="B232" s="90"/>
      <c r="C232" s="66" t="s">
        <v>198</v>
      </c>
      <c r="D232" s="67">
        <v>3</v>
      </c>
      <c r="E232" s="68">
        <v>3.792667509482E-3</v>
      </c>
    </row>
    <row r="233" spans="2:5" ht="14.5">
      <c r="B233" s="90"/>
      <c r="C233" s="66" t="s">
        <v>201</v>
      </c>
      <c r="D233" s="67">
        <v>2</v>
      </c>
      <c r="E233" s="68">
        <v>2.528445006321E-3</v>
      </c>
    </row>
    <row r="234" spans="2:5" ht="14.5">
      <c r="B234" s="90"/>
      <c r="C234" s="36" t="s">
        <v>29</v>
      </c>
      <c r="D234" s="35">
        <v>7</v>
      </c>
      <c r="E234" s="34">
        <v>8.8495575221239995E-3</v>
      </c>
    </row>
    <row r="235" spans="2:5" ht="14.5">
      <c r="B235" s="90" t="s">
        <v>52</v>
      </c>
      <c r="C235" s="66" t="s">
        <v>187</v>
      </c>
      <c r="D235" s="67">
        <v>1</v>
      </c>
      <c r="E235" s="68">
        <v>1.264222503161E-3</v>
      </c>
    </row>
    <row r="236" spans="2:5" ht="14.5">
      <c r="B236" s="90"/>
      <c r="C236" s="66" t="s">
        <v>190</v>
      </c>
      <c r="D236" s="67">
        <v>1</v>
      </c>
      <c r="E236" s="68">
        <v>1.264222503161E-3</v>
      </c>
    </row>
    <row r="237" spans="2:5" ht="14.5">
      <c r="B237" s="90"/>
      <c r="C237" s="66" t="s">
        <v>193</v>
      </c>
      <c r="D237" s="67">
        <v>1</v>
      </c>
      <c r="E237" s="68">
        <v>1.264222503161E-3</v>
      </c>
    </row>
    <row r="238" spans="2:5" ht="14.5">
      <c r="B238" s="90"/>
      <c r="C238" s="66" t="s">
        <v>194</v>
      </c>
      <c r="D238" s="67">
        <v>10</v>
      </c>
      <c r="E238" s="68">
        <v>1.2642225031606001E-2</v>
      </c>
    </row>
    <row r="239" spans="2:5" ht="14.5">
      <c r="B239" s="90"/>
      <c r="C239" s="66" t="s">
        <v>196</v>
      </c>
      <c r="D239" s="67">
        <v>1</v>
      </c>
      <c r="E239" s="68">
        <v>1.264222503161E-3</v>
      </c>
    </row>
    <row r="240" spans="2:5" ht="14.5">
      <c r="B240" s="90"/>
      <c r="C240" s="66" t="s">
        <v>197</v>
      </c>
      <c r="D240" s="67">
        <v>1</v>
      </c>
      <c r="E240" s="68">
        <v>1.264222503161E-3</v>
      </c>
    </row>
    <row r="241" spans="2:5" ht="14.5">
      <c r="B241" s="90"/>
      <c r="C241" s="66" t="s">
        <v>198</v>
      </c>
      <c r="D241" s="67">
        <v>18</v>
      </c>
      <c r="E241" s="68">
        <v>2.2756005056889999E-2</v>
      </c>
    </row>
    <row r="242" spans="2:5" ht="14.5">
      <c r="B242" s="90"/>
      <c r="C242" s="66" t="s">
        <v>200</v>
      </c>
      <c r="D242" s="67">
        <v>3</v>
      </c>
      <c r="E242" s="68">
        <v>3.792667509482E-3</v>
      </c>
    </row>
    <row r="243" spans="2:5" ht="14.5">
      <c r="B243" s="90"/>
      <c r="C243" s="66" t="s">
        <v>201</v>
      </c>
      <c r="D243" s="67">
        <v>10</v>
      </c>
      <c r="E243" s="68">
        <v>1.2642225031606001E-2</v>
      </c>
    </row>
    <row r="244" spans="2:5" ht="14.5">
      <c r="B244" s="90"/>
      <c r="C244" s="66" t="s">
        <v>206</v>
      </c>
      <c r="D244" s="67">
        <v>1</v>
      </c>
      <c r="E244" s="68">
        <v>1.264222503161E-3</v>
      </c>
    </row>
    <row r="245" spans="2:5" ht="14.5">
      <c r="B245" s="90"/>
      <c r="C245" s="66" t="s">
        <v>207</v>
      </c>
      <c r="D245" s="67">
        <v>2</v>
      </c>
      <c r="E245" s="68">
        <v>2.528445006321E-3</v>
      </c>
    </row>
    <row r="246" spans="2:5" ht="14.5">
      <c r="B246" s="90"/>
      <c r="C246" s="36" t="s">
        <v>29</v>
      </c>
      <c r="D246" s="35">
        <v>49</v>
      </c>
      <c r="E246" s="34">
        <v>6.1946902654866999E-2</v>
      </c>
    </row>
    <row r="247" spans="2:5" ht="14.5">
      <c r="B247" s="90" t="s">
        <v>64</v>
      </c>
      <c r="C247" s="66" t="s">
        <v>193</v>
      </c>
      <c r="D247" s="67">
        <v>2</v>
      </c>
      <c r="E247" s="68">
        <v>2.528445006321E-3</v>
      </c>
    </row>
    <row r="248" spans="2:5" ht="14.5">
      <c r="B248" s="90"/>
      <c r="C248" s="66" t="s">
        <v>194</v>
      </c>
      <c r="D248" s="67">
        <v>2</v>
      </c>
      <c r="E248" s="68">
        <v>2.528445006321E-3</v>
      </c>
    </row>
    <row r="249" spans="2:5" ht="14.5">
      <c r="B249" s="90"/>
      <c r="C249" s="66" t="s">
        <v>196</v>
      </c>
      <c r="D249" s="67">
        <v>1</v>
      </c>
      <c r="E249" s="68">
        <v>1.264222503161E-3</v>
      </c>
    </row>
    <row r="250" spans="2:5" ht="14.5">
      <c r="B250" s="90"/>
      <c r="C250" s="66" t="s">
        <v>197</v>
      </c>
      <c r="D250" s="67">
        <v>2</v>
      </c>
      <c r="E250" s="68">
        <v>2.528445006321E-3</v>
      </c>
    </row>
    <row r="251" spans="2:5" ht="14.5">
      <c r="B251" s="90"/>
      <c r="C251" s="66" t="s">
        <v>198</v>
      </c>
      <c r="D251" s="67">
        <v>6</v>
      </c>
      <c r="E251" s="68">
        <v>7.5853350189629999E-3</v>
      </c>
    </row>
    <row r="252" spans="2:5" ht="14.5">
      <c r="B252" s="90"/>
      <c r="C252" s="66" t="s">
        <v>200</v>
      </c>
      <c r="D252" s="67">
        <v>1</v>
      </c>
      <c r="E252" s="68">
        <v>1.264222503161E-3</v>
      </c>
    </row>
    <row r="253" spans="2:5" ht="14.5">
      <c r="B253" s="90"/>
      <c r="C253" s="66" t="s">
        <v>201</v>
      </c>
      <c r="D253" s="67">
        <v>4</v>
      </c>
      <c r="E253" s="68">
        <v>5.0568900126419999E-3</v>
      </c>
    </row>
    <row r="254" spans="2:5" ht="14.5">
      <c r="B254" s="90"/>
      <c r="C254" s="66" t="s">
        <v>207</v>
      </c>
      <c r="D254" s="67">
        <v>1</v>
      </c>
      <c r="E254" s="68">
        <v>1.264222503161E-3</v>
      </c>
    </row>
    <row r="255" spans="2:5" ht="14.5">
      <c r="B255" s="90"/>
      <c r="C255" s="36" t="s">
        <v>29</v>
      </c>
      <c r="D255" s="35">
        <v>19</v>
      </c>
      <c r="E255" s="34">
        <v>2.4020227560051E-2</v>
      </c>
    </row>
    <row r="256" spans="2:5" ht="14.5">
      <c r="B256" s="90" t="s">
        <v>59</v>
      </c>
      <c r="C256" s="66" t="s">
        <v>187</v>
      </c>
      <c r="D256" s="67">
        <v>1</v>
      </c>
      <c r="E256" s="68">
        <v>1.264222503161E-3</v>
      </c>
    </row>
    <row r="257" spans="2:5" ht="14.5">
      <c r="B257" s="90"/>
      <c r="C257" s="66" t="s">
        <v>194</v>
      </c>
      <c r="D257" s="67">
        <v>1</v>
      </c>
      <c r="E257" s="68">
        <v>1.264222503161E-3</v>
      </c>
    </row>
    <row r="258" spans="2:5" ht="14.5">
      <c r="B258" s="90"/>
      <c r="C258" s="66" t="s">
        <v>197</v>
      </c>
      <c r="D258" s="67">
        <v>1</v>
      </c>
      <c r="E258" s="68">
        <v>1.264222503161E-3</v>
      </c>
    </row>
    <row r="259" spans="2:5" ht="14.5">
      <c r="B259" s="90"/>
      <c r="C259" s="66" t="s">
        <v>198</v>
      </c>
      <c r="D259" s="67">
        <v>13</v>
      </c>
      <c r="E259" s="68">
        <v>1.6434892541087001E-2</v>
      </c>
    </row>
    <row r="260" spans="2:5" ht="14.5">
      <c r="B260" s="90"/>
      <c r="C260" s="66" t="s">
        <v>200</v>
      </c>
      <c r="D260" s="67">
        <v>1</v>
      </c>
      <c r="E260" s="68">
        <v>1.264222503161E-3</v>
      </c>
    </row>
    <row r="261" spans="2:5" ht="14.5">
      <c r="B261" s="90"/>
      <c r="C261" s="66" t="s">
        <v>201</v>
      </c>
      <c r="D261" s="67">
        <v>8</v>
      </c>
      <c r="E261" s="68">
        <v>1.0113780025284E-2</v>
      </c>
    </row>
    <row r="262" spans="2:5" ht="14.5">
      <c r="B262" s="90"/>
      <c r="C262" s="66" t="s">
        <v>207</v>
      </c>
      <c r="D262" s="67">
        <v>4</v>
      </c>
      <c r="E262" s="68">
        <v>5.0568900126419999E-3</v>
      </c>
    </row>
    <row r="263" spans="2:5" ht="14.5">
      <c r="B263" s="90"/>
      <c r="C263" s="36" t="s">
        <v>29</v>
      </c>
      <c r="D263" s="35">
        <v>29</v>
      </c>
      <c r="E263" s="34">
        <v>3.6662452591656E-2</v>
      </c>
    </row>
    <row r="264" spans="2:5" ht="14.5">
      <c r="B264" s="90" t="s">
        <v>87</v>
      </c>
      <c r="C264" s="66" t="s">
        <v>194</v>
      </c>
      <c r="D264" s="67">
        <v>1</v>
      </c>
      <c r="E264" s="68">
        <v>1.264222503161E-3</v>
      </c>
    </row>
    <row r="265" spans="2:5" ht="14.5">
      <c r="B265" s="90"/>
      <c r="C265" s="66" t="s">
        <v>198</v>
      </c>
      <c r="D265" s="67">
        <v>3</v>
      </c>
      <c r="E265" s="68">
        <v>3.792667509482E-3</v>
      </c>
    </row>
    <row r="266" spans="2:5" ht="14.5">
      <c r="B266" s="90"/>
      <c r="C266" s="66" t="s">
        <v>201</v>
      </c>
      <c r="D266" s="67">
        <v>1</v>
      </c>
      <c r="E266" s="68">
        <v>1.264222503161E-3</v>
      </c>
    </row>
    <row r="267" spans="2:5" ht="14.5">
      <c r="B267" s="90"/>
      <c r="C267" s="36" t="s">
        <v>29</v>
      </c>
      <c r="D267" s="35">
        <v>5</v>
      </c>
      <c r="E267" s="34">
        <v>6.3211125158030004E-3</v>
      </c>
    </row>
    <row r="268" spans="2:5" ht="14.5">
      <c r="B268" s="90" t="s">
        <v>78</v>
      </c>
      <c r="C268" s="66" t="s">
        <v>193</v>
      </c>
      <c r="D268" s="67">
        <v>1</v>
      </c>
      <c r="E268" s="68">
        <v>1.264222503161E-3</v>
      </c>
    </row>
    <row r="269" spans="2:5" ht="14.5">
      <c r="B269" s="90"/>
      <c r="C269" s="66" t="s">
        <v>194</v>
      </c>
      <c r="D269" s="67">
        <v>1</v>
      </c>
      <c r="E269" s="68">
        <v>1.264222503161E-3</v>
      </c>
    </row>
    <row r="270" spans="2:5" ht="14.5">
      <c r="B270" s="90"/>
      <c r="C270" s="66" t="s">
        <v>197</v>
      </c>
      <c r="D270" s="67">
        <v>1</v>
      </c>
      <c r="E270" s="68">
        <v>1.264222503161E-3</v>
      </c>
    </row>
    <row r="271" spans="2:5" ht="14.5">
      <c r="B271" s="90"/>
      <c r="C271" s="66" t="s">
        <v>198</v>
      </c>
      <c r="D271" s="67">
        <v>1</v>
      </c>
      <c r="E271" s="68">
        <v>1.264222503161E-3</v>
      </c>
    </row>
    <row r="272" spans="2:5" ht="14.5">
      <c r="B272" s="90"/>
      <c r="C272" s="66" t="s">
        <v>201</v>
      </c>
      <c r="D272" s="67">
        <v>3</v>
      </c>
      <c r="E272" s="68">
        <v>3.792667509482E-3</v>
      </c>
    </row>
    <row r="273" spans="2:5" ht="14.5">
      <c r="B273" s="90"/>
      <c r="C273" s="66" t="s">
        <v>203</v>
      </c>
      <c r="D273" s="67">
        <v>1</v>
      </c>
      <c r="E273" s="68">
        <v>1.264222503161E-3</v>
      </c>
    </row>
    <row r="274" spans="2:5" ht="14.5">
      <c r="B274" s="90"/>
      <c r="C274" s="36" t="s">
        <v>29</v>
      </c>
      <c r="D274" s="35">
        <v>8</v>
      </c>
      <c r="E274" s="34">
        <v>1.0113780025284E-2</v>
      </c>
    </row>
    <row r="275" spans="2:5" ht="14.5">
      <c r="B275" s="90" t="s">
        <v>77</v>
      </c>
      <c r="C275" s="66" t="s">
        <v>197</v>
      </c>
      <c r="D275" s="67">
        <v>1</v>
      </c>
      <c r="E275" s="68">
        <v>1.264222503161E-3</v>
      </c>
    </row>
    <row r="276" spans="2:5" ht="14.5">
      <c r="B276" s="90"/>
      <c r="C276" s="66" t="s">
        <v>198</v>
      </c>
      <c r="D276" s="67">
        <v>2</v>
      </c>
      <c r="E276" s="68">
        <v>2.528445006321E-3</v>
      </c>
    </row>
    <row r="277" spans="2:5" ht="14.5">
      <c r="B277" s="90"/>
      <c r="C277" s="66" t="s">
        <v>201</v>
      </c>
      <c r="D277" s="67">
        <v>6</v>
      </c>
      <c r="E277" s="68">
        <v>7.5853350189629999E-3</v>
      </c>
    </row>
    <row r="278" spans="2:5" ht="14.5">
      <c r="B278" s="90"/>
      <c r="C278" s="36" t="s">
        <v>29</v>
      </c>
      <c r="D278" s="35">
        <v>9</v>
      </c>
      <c r="E278" s="34">
        <v>1.1378002528444999E-2</v>
      </c>
    </row>
    <row r="279" spans="2:5" ht="14.5">
      <c r="B279" s="90" t="s">
        <v>88</v>
      </c>
      <c r="C279" s="66" t="s">
        <v>193</v>
      </c>
      <c r="D279" s="67">
        <v>1</v>
      </c>
      <c r="E279" s="68">
        <v>1.264222503161E-3</v>
      </c>
    </row>
    <row r="280" spans="2:5" ht="14.5">
      <c r="B280" s="90"/>
      <c r="C280" s="66" t="s">
        <v>198</v>
      </c>
      <c r="D280" s="67">
        <v>1</v>
      </c>
      <c r="E280" s="68">
        <v>1.264222503161E-3</v>
      </c>
    </row>
    <row r="281" spans="2:5" ht="14.5">
      <c r="B281" s="90"/>
      <c r="C281" s="66" t="s">
        <v>201</v>
      </c>
      <c r="D281" s="67">
        <v>2</v>
      </c>
      <c r="E281" s="68">
        <v>2.528445006321E-3</v>
      </c>
    </row>
    <row r="282" spans="2:5" ht="14.5">
      <c r="B282" s="90"/>
      <c r="C282" s="66" t="s">
        <v>207</v>
      </c>
      <c r="D282" s="67">
        <v>1</v>
      </c>
      <c r="E282" s="68">
        <v>1.264222503161E-3</v>
      </c>
    </row>
    <row r="283" spans="2:5" ht="14.5">
      <c r="B283" s="90"/>
      <c r="C283" s="36" t="s">
        <v>29</v>
      </c>
      <c r="D283" s="35">
        <v>5</v>
      </c>
      <c r="E283" s="34">
        <v>6.3211125158030004E-3</v>
      </c>
    </row>
    <row r="284" spans="2:5" ht="14.5">
      <c r="B284" s="90" t="s">
        <v>51</v>
      </c>
      <c r="C284" s="66" t="s">
        <v>189</v>
      </c>
      <c r="D284" s="67">
        <v>1</v>
      </c>
      <c r="E284" s="68">
        <v>1.264222503161E-3</v>
      </c>
    </row>
    <row r="285" spans="2:5" ht="14.5">
      <c r="B285" s="90"/>
      <c r="C285" s="66" t="s">
        <v>190</v>
      </c>
      <c r="D285" s="67">
        <v>1</v>
      </c>
      <c r="E285" s="68">
        <v>1.264222503161E-3</v>
      </c>
    </row>
    <row r="286" spans="2:5" ht="14.5">
      <c r="B286" s="90"/>
      <c r="C286" s="66" t="s">
        <v>191</v>
      </c>
      <c r="D286" s="67">
        <v>1</v>
      </c>
      <c r="E286" s="68">
        <v>1.264222503161E-3</v>
      </c>
    </row>
    <row r="287" spans="2:5" ht="14.5">
      <c r="B287" s="90"/>
      <c r="C287" s="66" t="s">
        <v>192</v>
      </c>
      <c r="D287" s="67">
        <v>3</v>
      </c>
      <c r="E287" s="68">
        <v>3.792667509482E-3</v>
      </c>
    </row>
    <row r="288" spans="2:5" ht="14.5">
      <c r="B288" s="90"/>
      <c r="C288" s="66" t="s">
        <v>193</v>
      </c>
      <c r="D288" s="67">
        <v>9</v>
      </c>
      <c r="E288" s="68">
        <v>1.1378002528444999E-2</v>
      </c>
    </row>
    <row r="289" spans="2:5" ht="14.5">
      <c r="B289" s="90"/>
      <c r="C289" s="66" t="s">
        <v>194</v>
      </c>
      <c r="D289" s="67">
        <v>7</v>
      </c>
      <c r="E289" s="68">
        <v>8.8495575221239995E-3</v>
      </c>
    </row>
    <row r="290" spans="2:5" ht="14.5">
      <c r="B290" s="90"/>
      <c r="C290" s="66" t="s">
        <v>195</v>
      </c>
      <c r="D290" s="67">
        <v>1</v>
      </c>
      <c r="E290" s="68">
        <v>1.264222503161E-3</v>
      </c>
    </row>
    <row r="291" spans="2:5" ht="14.5">
      <c r="B291" s="90"/>
      <c r="C291" s="66" t="s">
        <v>196</v>
      </c>
      <c r="D291" s="67">
        <v>1</v>
      </c>
      <c r="E291" s="68">
        <v>1.264222503161E-3</v>
      </c>
    </row>
    <row r="292" spans="2:5" ht="14.5">
      <c r="B292" s="90"/>
      <c r="C292" s="66" t="s">
        <v>197</v>
      </c>
      <c r="D292" s="67">
        <v>4</v>
      </c>
      <c r="E292" s="68">
        <v>5.0568900126419999E-3</v>
      </c>
    </row>
    <row r="293" spans="2:5" ht="14.5">
      <c r="B293" s="90"/>
      <c r="C293" s="66" t="s">
        <v>198</v>
      </c>
      <c r="D293" s="67">
        <v>21</v>
      </c>
      <c r="E293" s="68">
        <v>2.6548672566372E-2</v>
      </c>
    </row>
    <row r="294" spans="2:5" ht="14.5">
      <c r="B294" s="90"/>
      <c r="C294" s="66" t="s">
        <v>200</v>
      </c>
      <c r="D294" s="67">
        <v>5</v>
      </c>
      <c r="E294" s="68">
        <v>6.3211125158030004E-3</v>
      </c>
    </row>
    <row r="295" spans="2:5" ht="14.5">
      <c r="B295" s="90"/>
      <c r="C295" s="66" t="s">
        <v>201</v>
      </c>
      <c r="D295" s="67">
        <v>6</v>
      </c>
      <c r="E295" s="68">
        <v>7.5853350189629999E-3</v>
      </c>
    </row>
    <row r="296" spans="2:5" ht="14.5">
      <c r="B296" s="90"/>
      <c r="C296" s="66" t="s">
        <v>206</v>
      </c>
      <c r="D296" s="67">
        <v>1</v>
      </c>
      <c r="E296" s="68">
        <v>1.264222503161E-3</v>
      </c>
    </row>
    <row r="297" spans="2:5" ht="14.5">
      <c r="B297" s="90"/>
      <c r="C297" s="66" t="s">
        <v>207</v>
      </c>
      <c r="D297" s="67">
        <v>3</v>
      </c>
      <c r="E297" s="68">
        <v>3.792667509482E-3</v>
      </c>
    </row>
    <row r="298" spans="2:5" ht="14.5">
      <c r="B298" s="90"/>
      <c r="C298" s="36" t="s">
        <v>29</v>
      </c>
      <c r="D298" s="35">
        <v>64</v>
      </c>
      <c r="E298" s="34">
        <v>8.0910240202275996E-2</v>
      </c>
    </row>
    <row r="299" spans="2:5" ht="14.5">
      <c r="B299" s="90" t="s">
        <v>62</v>
      </c>
      <c r="C299" s="66" t="s">
        <v>194</v>
      </c>
      <c r="D299" s="67">
        <v>1</v>
      </c>
      <c r="E299" s="68">
        <v>1.264222503161E-3</v>
      </c>
    </row>
    <row r="300" spans="2:5" ht="14.5">
      <c r="B300" s="90"/>
      <c r="C300" s="66" t="s">
        <v>195</v>
      </c>
      <c r="D300" s="67">
        <v>1</v>
      </c>
      <c r="E300" s="68">
        <v>1.264222503161E-3</v>
      </c>
    </row>
    <row r="301" spans="2:5" ht="14.5">
      <c r="B301" s="90"/>
      <c r="C301" s="66" t="s">
        <v>198</v>
      </c>
      <c r="D301" s="67">
        <v>6</v>
      </c>
      <c r="E301" s="68">
        <v>7.5853350189629999E-3</v>
      </c>
    </row>
    <row r="302" spans="2:5" ht="14.5">
      <c r="B302" s="90"/>
      <c r="C302" s="66" t="s">
        <v>199</v>
      </c>
      <c r="D302" s="67">
        <v>1</v>
      </c>
      <c r="E302" s="68">
        <v>1.264222503161E-3</v>
      </c>
    </row>
    <row r="303" spans="2:5" ht="14.5">
      <c r="B303" s="90"/>
      <c r="C303" s="66" t="s">
        <v>201</v>
      </c>
      <c r="D303" s="67">
        <v>10</v>
      </c>
      <c r="E303" s="68">
        <v>1.2642225031606001E-2</v>
      </c>
    </row>
    <row r="304" spans="2:5" ht="14.5">
      <c r="B304" s="90"/>
      <c r="C304" s="66" t="s">
        <v>207</v>
      </c>
      <c r="D304" s="67">
        <v>2</v>
      </c>
      <c r="E304" s="68">
        <v>2.528445006321E-3</v>
      </c>
    </row>
    <row r="305" spans="2:5" ht="14.5">
      <c r="B305" s="90"/>
      <c r="C305" s="36" t="s">
        <v>29</v>
      </c>
      <c r="D305" s="35">
        <v>21</v>
      </c>
      <c r="E305" s="34">
        <v>2.6548672566372E-2</v>
      </c>
    </row>
    <row r="306" spans="2:5" ht="14.5">
      <c r="B306" s="90" t="s">
        <v>71</v>
      </c>
      <c r="C306" s="66" t="s">
        <v>187</v>
      </c>
      <c r="D306" s="67">
        <v>1</v>
      </c>
      <c r="E306" s="68">
        <v>1.264222503161E-3</v>
      </c>
    </row>
    <row r="307" spans="2:5" ht="14.5">
      <c r="B307" s="90"/>
      <c r="C307" s="66" t="s">
        <v>198</v>
      </c>
      <c r="D307" s="67">
        <v>4</v>
      </c>
      <c r="E307" s="68">
        <v>5.0568900126419999E-3</v>
      </c>
    </row>
    <row r="308" spans="2:5" ht="14.5">
      <c r="B308" s="90"/>
      <c r="C308" s="66" t="s">
        <v>200</v>
      </c>
      <c r="D308" s="67">
        <v>1</v>
      </c>
      <c r="E308" s="68">
        <v>1.264222503161E-3</v>
      </c>
    </row>
    <row r="309" spans="2:5" ht="14.5">
      <c r="B309" s="90"/>
      <c r="C309" s="66" t="s">
        <v>201</v>
      </c>
      <c r="D309" s="67">
        <v>4</v>
      </c>
      <c r="E309" s="68">
        <v>5.0568900126419999E-3</v>
      </c>
    </row>
    <row r="310" spans="2:5" ht="14.5">
      <c r="B310" s="90"/>
      <c r="C310" s="66" t="s">
        <v>203</v>
      </c>
      <c r="D310" s="67">
        <v>1</v>
      </c>
      <c r="E310" s="68">
        <v>1.264222503161E-3</v>
      </c>
    </row>
    <row r="311" spans="2:5" ht="14.5">
      <c r="B311" s="90"/>
      <c r="C311" s="66" t="s">
        <v>207</v>
      </c>
      <c r="D311" s="67">
        <v>1</v>
      </c>
      <c r="E311" s="68">
        <v>1.264222503161E-3</v>
      </c>
    </row>
    <row r="312" spans="2:5" ht="14.5">
      <c r="B312" s="90"/>
      <c r="C312" s="36" t="s">
        <v>29</v>
      </c>
      <c r="D312" s="35">
        <v>12</v>
      </c>
      <c r="E312" s="34">
        <v>1.5170670037927001E-2</v>
      </c>
    </row>
    <row r="313" spans="2:5" ht="14.5">
      <c r="B313" s="90" t="s">
        <v>85</v>
      </c>
      <c r="C313" s="66" t="s">
        <v>198</v>
      </c>
      <c r="D313" s="67">
        <v>3</v>
      </c>
      <c r="E313" s="68">
        <v>3.792667509482E-3</v>
      </c>
    </row>
    <row r="314" spans="2:5" ht="14.5">
      <c r="B314" s="90"/>
      <c r="C314" s="66" t="s">
        <v>201</v>
      </c>
      <c r="D314" s="67">
        <v>1</v>
      </c>
      <c r="E314" s="68">
        <v>1.264222503161E-3</v>
      </c>
    </row>
    <row r="315" spans="2:5" ht="14.5">
      <c r="B315" s="90"/>
      <c r="C315" s="66" t="s">
        <v>206</v>
      </c>
      <c r="D315" s="67">
        <v>1</v>
      </c>
      <c r="E315" s="68">
        <v>1.264222503161E-3</v>
      </c>
    </row>
    <row r="316" spans="2:5" ht="14.5">
      <c r="B316" s="90"/>
      <c r="C316" s="66" t="s">
        <v>207</v>
      </c>
      <c r="D316" s="67">
        <v>1</v>
      </c>
      <c r="E316" s="68">
        <v>1.264222503161E-3</v>
      </c>
    </row>
    <row r="317" spans="2:5" ht="14.5">
      <c r="B317" s="90"/>
      <c r="C317" s="36" t="s">
        <v>29</v>
      </c>
      <c r="D317" s="35">
        <v>6</v>
      </c>
      <c r="E317" s="34">
        <v>7.5853350189629999E-3</v>
      </c>
    </row>
    <row r="318" spans="2:5" ht="14.5">
      <c r="B318" s="90" t="s">
        <v>56</v>
      </c>
      <c r="C318" s="66" t="s">
        <v>193</v>
      </c>
      <c r="D318" s="67">
        <v>2</v>
      </c>
      <c r="E318" s="68">
        <v>2.528445006321E-3</v>
      </c>
    </row>
    <row r="319" spans="2:5" ht="14.5">
      <c r="B319" s="90"/>
      <c r="C319" s="66" t="s">
        <v>194</v>
      </c>
      <c r="D319" s="67">
        <v>1</v>
      </c>
      <c r="E319" s="68">
        <v>1.264222503161E-3</v>
      </c>
    </row>
    <row r="320" spans="2:5" ht="14.5">
      <c r="B320" s="90"/>
      <c r="C320" s="66" t="s">
        <v>196</v>
      </c>
      <c r="D320" s="67">
        <v>1</v>
      </c>
      <c r="E320" s="68">
        <v>1.264222503161E-3</v>
      </c>
    </row>
    <row r="321" spans="2:5" ht="14.5">
      <c r="B321" s="90"/>
      <c r="C321" s="66" t="s">
        <v>197</v>
      </c>
      <c r="D321" s="67">
        <v>2</v>
      </c>
      <c r="E321" s="68">
        <v>2.528445006321E-3</v>
      </c>
    </row>
    <row r="322" spans="2:5" ht="14.5">
      <c r="B322" s="90"/>
      <c r="C322" s="66" t="s">
        <v>198</v>
      </c>
      <c r="D322" s="67">
        <v>13</v>
      </c>
      <c r="E322" s="68">
        <v>1.6434892541087001E-2</v>
      </c>
    </row>
    <row r="323" spans="2:5" ht="14.5">
      <c r="B323" s="90"/>
      <c r="C323" s="66" t="s">
        <v>200</v>
      </c>
      <c r="D323" s="67">
        <v>2</v>
      </c>
      <c r="E323" s="68">
        <v>2.528445006321E-3</v>
      </c>
    </row>
    <row r="324" spans="2:5" ht="14.5">
      <c r="B324" s="90"/>
      <c r="C324" s="66" t="s">
        <v>201</v>
      </c>
      <c r="D324" s="67">
        <v>11</v>
      </c>
      <c r="E324" s="68">
        <v>1.3906447534765999E-2</v>
      </c>
    </row>
    <row r="325" spans="2:5" ht="14.5">
      <c r="B325" s="90"/>
      <c r="C325" s="66" t="s">
        <v>207</v>
      </c>
      <c r="D325" s="67">
        <v>3</v>
      </c>
      <c r="E325" s="68">
        <v>3.792667509482E-3</v>
      </c>
    </row>
    <row r="326" spans="2:5" ht="14.5">
      <c r="B326" s="90"/>
      <c r="C326" s="36" t="s">
        <v>29</v>
      </c>
      <c r="D326" s="35">
        <v>35</v>
      </c>
      <c r="E326" s="34">
        <v>4.4247787610618997E-2</v>
      </c>
    </row>
    <row r="327" spans="2:5">
      <c r="B327" s="91" t="s">
        <v>29</v>
      </c>
      <c r="C327" s="91"/>
      <c r="D327" s="63">
        <v>791</v>
      </c>
      <c r="E327" s="64">
        <v>1</v>
      </c>
    </row>
    <row r="329" spans="2:5" ht="15" customHeight="1">
      <c r="B329" s="15" t="s">
        <v>47</v>
      </c>
    </row>
    <row r="330" spans="2:5" ht="15" customHeight="1">
      <c r="B330" s="17" t="s">
        <v>18</v>
      </c>
    </row>
    <row r="331" spans="2:5" ht="15" customHeight="1">
      <c r="B331" s="16" t="s">
        <v>48</v>
      </c>
    </row>
    <row r="332" spans="2:5" ht="15" customHeight="1">
      <c r="B332" s="15" t="s">
        <v>17</v>
      </c>
    </row>
    <row r="333" spans="2:5" ht="15" customHeight="1">
      <c r="B333" s="15" t="s">
        <v>49</v>
      </c>
    </row>
  </sheetData>
  <mergeCells count="46">
    <mergeCell ref="B226:B229"/>
    <mergeCell ref="B190:B197"/>
    <mergeCell ref="B198:B202"/>
    <mergeCell ref="B203:B207"/>
    <mergeCell ref="B208:B218"/>
    <mergeCell ref="B219:B225"/>
    <mergeCell ref="B154:B162"/>
    <mergeCell ref="B163:B171"/>
    <mergeCell ref="B172:B179"/>
    <mergeCell ref="B180:B182"/>
    <mergeCell ref="B183:B189"/>
    <mergeCell ref="B90:B91"/>
    <mergeCell ref="B92:B95"/>
    <mergeCell ref="B96:B103"/>
    <mergeCell ref="B104:B118"/>
    <mergeCell ref="B7:E8"/>
    <mergeCell ref="B81:B89"/>
    <mergeCell ref="B10:B16"/>
    <mergeCell ref="B17:B26"/>
    <mergeCell ref="B27:B36"/>
    <mergeCell ref="B37:B39"/>
    <mergeCell ref="B40:B44"/>
    <mergeCell ref="B45:B49"/>
    <mergeCell ref="B50:B51"/>
    <mergeCell ref="B52:B61"/>
    <mergeCell ref="B62:B73"/>
    <mergeCell ref="B74:B80"/>
    <mergeCell ref="B119:B125"/>
    <mergeCell ref="B126:B133"/>
    <mergeCell ref="B134:B135"/>
    <mergeCell ref="B136:B142"/>
    <mergeCell ref="B143:B153"/>
    <mergeCell ref="B230:B234"/>
    <mergeCell ref="B235:B246"/>
    <mergeCell ref="B247:B255"/>
    <mergeCell ref="B256:B263"/>
    <mergeCell ref="B264:B267"/>
    <mergeCell ref="B306:B312"/>
    <mergeCell ref="B313:B317"/>
    <mergeCell ref="B318:B326"/>
    <mergeCell ref="B327:C327"/>
    <mergeCell ref="B268:B274"/>
    <mergeCell ref="B275:B278"/>
    <mergeCell ref="B279:B283"/>
    <mergeCell ref="B284:B298"/>
    <mergeCell ref="B299:B30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0"/>
  <sheetViews>
    <sheetView showGridLines="0" view="pageBreakPreview" topLeftCell="A5" zoomScale="115" zoomScaleNormal="100" zoomScaleSheetLayoutView="115" workbookViewId="0">
      <selection activeCell="H7" sqref="H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9" t="s">
        <v>38</v>
      </c>
      <c r="C7" s="89"/>
      <c r="D7" s="89"/>
    </row>
    <row r="8" spans="2:5" s="25" customFormat="1" ht="15" customHeight="1">
      <c r="B8" s="89"/>
      <c r="C8" s="89"/>
      <c r="D8" s="89"/>
    </row>
    <row r="9" spans="2:5" s="25" customFormat="1" ht="33" customHeight="1">
      <c r="B9" s="89"/>
      <c r="C9" s="89"/>
      <c r="D9" s="89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>
      <c r="B12" s="23" t="s">
        <v>135</v>
      </c>
      <c r="C12" s="22">
        <v>251</v>
      </c>
      <c r="D12" s="21">
        <v>0.31731984829330001</v>
      </c>
    </row>
    <row r="13" spans="2:5">
      <c r="B13" s="23" t="s">
        <v>136</v>
      </c>
      <c r="C13" s="22">
        <v>540</v>
      </c>
      <c r="D13" s="21">
        <v>0.68268015170670004</v>
      </c>
    </row>
    <row r="14" spans="2:5">
      <c r="B14" s="20" t="s">
        <v>29</v>
      </c>
      <c r="C14" s="19">
        <v>791</v>
      </c>
      <c r="D14" s="18">
        <v>1</v>
      </c>
    </row>
    <row r="15" spans="2:5">
      <c r="B15" s="24"/>
      <c r="C15" s="49"/>
      <c r="D15" s="49"/>
      <c r="E15" s="24"/>
    </row>
    <row r="16" spans="2:5">
      <c r="B16" s="15" t="s">
        <v>47</v>
      </c>
      <c r="C16" s="49"/>
      <c r="D16" s="49"/>
      <c r="E16" s="24"/>
    </row>
    <row r="17" spans="2:4">
      <c r="B17" s="17" t="s">
        <v>18</v>
      </c>
      <c r="C17" s="48"/>
      <c r="D17" s="48"/>
    </row>
    <row r="18" spans="2:4">
      <c r="B18" s="16" t="s">
        <v>48</v>
      </c>
      <c r="C18" s="47"/>
      <c r="D18" s="47"/>
    </row>
    <row r="19" spans="2:4">
      <c r="B19" s="15" t="s">
        <v>17</v>
      </c>
    </row>
    <row r="20" spans="2:4">
      <c r="B2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45"/>
  <sheetViews>
    <sheetView showGridLines="0" view="pageBreakPreview" topLeftCell="A131" zoomScaleNormal="96" zoomScaleSheetLayoutView="100" workbookViewId="0">
      <selection activeCell="D145" sqref="D145"/>
    </sheetView>
  </sheetViews>
  <sheetFormatPr baseColWidth="10" defaultColWidth="11.453125" defaultRowHeight="10"/>
  <cols>
    <col min="1" max="1" width="5.7265625" style="25" customWidth="1"/>
    <col min="2" max="3" width="25.7265625" style="41" customWidth="1"/>
    <col min="4" max="4" width="15.7265625" style="44" customWidth="1"/>
    <col min="5" max="5" width="15.7265625" style="41" customWidth="1"/>
    <col min="6" max="6" width="5.0898437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89" t="s">
        <v>40</v>
      </c>
      <c r="C8" s="89"/>
      <c r="D8" s="89"/>
      <c r="E8" s="89"/>
    </row>
    <row r="9" spans="2:6" s="13" customFormat="1" ht="15" customHeight="1">
      <c r="B9" s="89"/>
      <c r="C9" s="89"/>
      <c r="D9" s="89"/>
      <c r="E9" s="89"/>
      <c r="F9" s="50"/>
    </row>
    <row r="10" spans="2:6" s="13" customFormat="1" ht="15" customHeight="1">
      <c r="B10" s="89"/>
      <c r="C10" s="89"/>
      <c r="D10" s="89"/>
      <c r="E10" s="89"/>
    </row>
    <row r="11" spans="2:6" s="13" customFormat="1" ht="15" customHeight="1">
      <c r="B11" s="53"/>
      <c r="C11" s="53"/>
      <c r="D11" s="53"/>
      <c r="E11" s="53"/>
    </row>
    <row r="12" spans="2:6" s="13" customFormat="1" ht="37" customHeight="1">
      <c r="B12" s="55" t="s">
        <v>22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90" t="s">
        <v>82</v>
      </c>
      <c r="C13" s="66" t="s">
        <v>135</v>
      </c>
      <c r="D13" s="67">
        <v>3</v>
      </c>
      <c r="E13" s="68">
        <v>3.792667509482E-3</v>
      </c>
    </row>
    <row r="14" spans="2:6" ht="14.5" customHeight="1">
      <c r="B14" s="90"/>
      <c r="C14" s="66" t="s">
        <v>136</v>
      </c>
      <c r="D14" s="67">
        <v>3</v>
      </c>
      <c r="E14" s="68">
        <v>3.792667509482E-3</v>
      </c>
    </row>
    <row r="15" spans="2:6" ht="14.5" customHeight="1">
      <c r="B15" s="90"/>
      <c r="C15" s="77" t="s">
        <v>29</v>
      </c>
      <c r="D15" s="61">
        <v>6</v>
      </c>
      <c r="E15" s="62">
        <v>7.5853350189629999E-3</v>
      </c>
    </row>
    <row r="16" spans="2:6" ht="14.5" customHeight="1">
      <c r="B16" s="90" t="s">
        <v>50</v>
      </c>
      <c r="C16" s="66" t="s">
        <v>135</v>
      </c>
      <c r="D16" s="67">
        <v>19</v>
      </c>
      <c r="E16" s="68">
        <v>2.4020227560051E-2</v>
      </c>
    </row>
    <row r="17" spans="2:5" ht="14.5" customHeight="1">
      <c r="B17" s="90"/>
      <c r="C17" s="66" t="s">
        <v>136</v>
      </c>
      <c r="D17" s="67">
        <v>47</v>
      </c>
      <c r="E17" s="68">
        <v>5.9418457648546003E-2</v>
      </c>
    </row>
    <row r="18" spans="2:5" ht="14.5" customHeight="1">
      <c r="B18" s="90" t="s">
        <v>243</v>
      </c>
      <c r="C18" s="77" t="s">
        <v>29</v>
      </c>
      <c r="D18" s="61">
        <v>66</v>
      </c>
      <c r="E18" s="62">
        <v>8.3438685208596999E-2</v>
      </c>
    </row>
    <row r="19" spans="2:5" ht="14.5" customHeight="1">
      <c r="B19" s="90" t="s">
        <v>65</v>
      </c>
      <c r="C19" s="66" t="s">
        <v>135</v>
      </c>
      <c r="D19" s="67">
        <v>4</v>
      </c>
      <c r="E19" s="68">
        <v>5.0568900126419999E-3</v>
      </c>
    </row>
    <row r="20" spans="2:5" ht="14.5" customHeight="1">
      <c r="B20" s="90"/>
      <c r="C20" s="66" t="s">
        <v>136</v>
      </c>
      <c r="D20" s="67">
        <v>14</v>
      </c>
      <c r="E20" s="68">
        <v>1.7699115044247999E-2</v>
      </c>
    </row>
    <row r="21" spans="2:5" ht="14.5" customHeight="1">
      <c r="B21" s="90" t="s">
        <v>244</v>
      </c>
      <c r="C21" s="77" t="s">
        <v>29</v>
      </c>
      <c r="D21" s="61">
        <v>18</v>
      </c>
      <c r="E21" s="62">
        <v>2.2756005056889999E-2</v>
      </c>
    </row>
    <row r="22" spans="2:5" ht="14.5" customHeight="1">
      <c r="B22" s="90" t="s">
        <v>90</v>
      </c>
      <c r="C22" s="66" t="s">
        <v>136</v>
      </c>
      <c r="D22" s="67">
        <v>2</v>
      </c>
      <c r="E22" s="68">
        <v>2.528445006321E-3</v>
      </c>
    </row>
    <row r="23" spans="2:5" ht="14.5" customHeight="1">
      <c r="B23" s="90" t="s">
        <v>245</v>
      </c>
      <c r="C23" s="77" t="s">
        <v>29</v>
      </c>
      <c r="D23" s="61">
        <v>2</v>
      </c>
      <c r="E23" s="62">
        <v>2.528445006321E-3</v>
      </c>
    </row>
    <row r="24" spans="2:5" ht="14.5" customHeight="1">
      <c r="B24" s="90" t="s">
        <v>89</v>
      </c>
      <c r="C24" s="66" t="s">
        <v>136</v>
      </c>
      <c r="D24" s="67">
        <v>4</v>
      </c>
      <c r="E24" s="68">
        <v>5.0568900126419999E-3</v>
      </c>
    </row>
    <row r="25" spans="2:5" ht="14.5" customHeight="1">
      <c r="B25" s="90" t="s">
        <v>246</v>
      </c>
      <c r="C25" s="77" t="s">
        <v>29</v>
      </c>
      <c r="D25" s="61">
        <v>4</v>
      </c>
      <c r="E25" s="62">
        <v>5.0568900126419999E-3</v>
      </c>
    </row>
    <row r="26" spans="2:5" ht="14.5" customHeight="1">
      <c r="B26" s="90" t="s">
        <v>83</v>
      </c>
      <c r="C26" s="66" t="s">
        <v>135</v>
      </c>
      <c r="D26" s="67">
        <v>4</v>
      </c>
      <c r="E26" s="68">
        <v>5.0568900126419999E-3</v>
      </c>
    </row>
    <row r="27" spans="2:5" ht="14.5" customHeight="1">
      <c r="B27" s="90"/>
      <c r="C27" s="66" t="s">
        <v>136</v>
      </c>
      <c r="D27" s="67">
        <v>2</v>
      </c>
      <c r="E27" s="68">
        <v>2.528445006321E-3</v>
      </c>
    </row>
    <row r="28" spans="2:5" ht="14.5" customHeight="1">
      <c r="B28" s="90" t="s">
        <v>247</v>
      </c>
      <c r="C28" s="77" t="s">
        <v>29</v>
      </c>
      <c r="D28" s="61">
        <v>6</v>
      </c>
      <c r="E28" s="62">
        <v>7.5853350189629999E-3</v>
      </c>
    </row>
    <row r="29" spans="2:5" ht="14.5" customHeight="1">
      <c r="B29" s="90" t="s">
        <v>92</v>
      </c>
      <c r="C29" s="66" t="s">
        <v>135</v>
      </c>
      <c r="D29" s="67">
        <v>1</v>
      </c>
      <c r="E29" s="68">
        <v>1.264222503161E-3</v>
      </c>
    </row>
    <row r="30" spans="2:5" ht="14.5" customHeight="1">
      <c r="B30" s="90" t="s">
        <v>248</v>
      </c>
      <c r="C30" s="77" t="s">
        <v>29</v>
      </c>
      <c r="D30" s="61">
        <v>1</v>
      </c>
      <c r="E30" s="62">
        <v>1.264222503161E-3</v>
      </c>
    </row>
    <row r="31" spans="2:5" ht="14.5" customHeight="1">
      <c r="B31" s="90" t="s">
        <v>55</v>
      </c>
      <c r="C31" s="66" t="s">
        <v>135</v>
      </c>
      <c r="D31" s="67">
        <v>13</v>
      </c>
      <c r="E31" s="68">
        <v>1.6434892541087001E-2</v>
      </c>
    </row>
    <row r="32" spans="2:5" ht="14.5" customHeight="1">
      <c r="B32" s="90"/>
      <c r="C32" s="66" t="s">
        <v>136</v>
      </c>
      <c r="D32" s="67">
        <v>25</v>
      </c>
      <c r="E32" s="68">
        <v>3.1605562579014E-2</v>
      </c>
    </row>
    <row r="33" spans="2:5" ht="14.5" customHeight="1">
      <c r="B33" s="90" t="s">
        <v>249</v>
      </c>
      <c r="C33" s="77" t="s">
        <v>29</v>
      </c>
      <c r="D33" s="61">
        <v>38</v>
      </c>
      <c r="E33" s="62">
        <v>4.8040455120101001E-2</v>
      </c>
    </row>
    <row r="34" spans="2:5" ht="14.5" customHeight="1">
      <c r="B34" s="90" t="s">
        <v>53</v>
      </c>
      <c r="C34" s="66" t="s">
        <v>135</v>
      </c>
      <c r="D34" s="67">
        <v>13</v>
      </c>
      <c r="E34" s="68">
        <v>1.6434892541087001E-2</v>
      </c>
    </row>
    <row r="35" spans="2:5" ht="14.5" customHeight="1">
      <c r="B35" s="90"/>
      <c r="C35" s="66" t="s">
        <v>136</v>
      </c>
      <c r="D35" s="67">
        <v>33</v>
      </c>
      <c r="E35" s="68">
        <v>4.1719342604298E-2</v>
      </c>
    </row>
    <row r="36" spans="2:5" ht="14.5" customHeight="1">
      <c r="B36" s="90" t="s">
        <v>250</v>
      </c>
      <c r="C36" s="77" t="s">
        <v>29</v>
      </c>
      <c r="D36" s="61">
        <v>46</v>
      </c>
      <c r="E36" s="62">
        <v>5.8154235145386E-2</v>
      </c>
    </row>
    <row r="37" spans="2:5" ht="14.5" customHeight="1">
      <c r="B37" s="90" t="s">
        <v>76</v>
      </c>
      <c r="C37" s="66" t="s">
        <v>135</v>
      </c>
      <c r="D37" s="67">
        <v>1</v>
      </c>
      <c r="E37" s="68">
        <v>1.264222503161E-3</v>
      </c>
    </row>
    <row r="38" spans="2:5" ht="14.5" customHeight="1">
      <c r="B38" s="90"/>
      <c r="C38" s="66" t="s">
        <v>136</v>
      </c>
      <c r="D38" s="67">
        <v>8</v>
      </c>
      <c r="E38" s="68">
        <v>1.0113780025284E-2</v>
      </c>
    </row>
    <row r="39" spans="2:5" ht="14.5" customHeight="1">
      <c r="B39" s="90" t="s">
        <v>251</v>
      </c>
      <c r="C39" s="77" t="s">
        <v>29</v>
      </c>
      <c r="D39" s="61">
        <v>9</v>
      </c>
      <c r="E39" s="62">
        <v>1.1378002528444999E-2</v>
      </c>
    </row>
    <row r="40" spans="2:5" ht="14.5" customHeight="1">
      <c r="B40" s="90" t="s">
        <v>74</v>
      </c>
      <c r="C40" s="66" t="s">
        <v>135</v>
      </c>
      <c r="D40" s="67">
        <v>6</v>
      </c>
      <c r="E40" s="68">
        <v>7.5853350189629999E-3</v>
      </c>
    </row>
    <row r="41" spans="2:5" ht="14.5" customHeight="1">
      <c r="B41" s="90"/>
      <c r="C41" s="66" t="s">
        <v>136</v>
      </c>
      <c r="D41" s="67">
        <v>4</v>
      </c>
      <c r="E41" s="68">
        <v>5.0568900126419999E-3</v>
      </c>
    </row>
    <row r="42" spans="2:5" ht="14.5" customHeight="1">
      <c r="B42" s="90" t="s">
        <v>252</v>
      </c>
      <c r="C42" s="77" t="s">
        <v>29</v>
      </c>
      <c r="D42" s="61">
        <v>10</v>
      </c>
      <c r="E42" s="62">
        <v>1.2642225031606001E-2</v>
      </c>
    </row>
    <row r="43" spans="2:5" ht="14.5" customHeight="1">
      <c r="B43" s="90" t="s">
        <v>91</v>
      </c>
      <c r="C43" s="66" t="s">
        <v>136</v>
      </c>
      <c r="D43" s="67">
        <v>2</v>
      </c>
      <c r="E43" s="68">
        <v>2.528445006321E-3</v>
      </c>
    </row>
    <row r="44" spans="2:5" ht="14.5" customHeight="1">
      <c r="B44" s="90" t="s">
        <v>253</v>
      </c>
      <c r="C44" s="77" t="s">
        <v>29</v>
      </c>
      <c r="D44" s="61">
        <v>2</v>
      </c>
      <c r="E44" s="62">
        <v>2.528445006321E-3</v>
      </c>
    </row>
    <row r="45" spans="2:5" ht="14.5" customHeight="1">
      <c r="B45" s="90" t="s">
        <v>70</v>
      </c>
      <c r="C45" s="66" t="s">
        <v>135</v>
      </c>
      <c r="D45" s="67">
        <v>3</v>
      </c>
      <c r="E45" s="68">
        <v>3.792667509482E-3</v>
      </c>
    </row>
    <row r="46" spans="2:5" ht="14.5" customHeight="1">
      <c r="B46" s="90"/>
      <c r="C46" s="66" t="s">
        <v>136</v>
      </c>
      <c r="D46" s="67">
        <v>9</v>
      </c>
      <c r="E46" s="68">
        <v>1.1378002528444999E-2</v>
      </c>
    </row>
    <row r="47" spans="2:5" ht="14.5" customHeight="1">
      <c r="B47" s="90" t="s">
        <v>254</v>
      </c>
      <c r="C47" s="77" t="s">
        <v>29</v>
      </c>
      <c r="D47" s="61">
        <v>12</v>
      </c>
      <c r="E47" s="62">
        <v>1.5170670037927001E-2</v>
      </c>
    </row>
    <row r="48" spans="2:5" ht="14.5" customHeight="1">
      <c r="B48" s="90" t="s">
        <v>69</v>
      </c>
      <c r="C48" s="66" t="s">
        <v>135</v>
      </c>
      <c r="D48" s="67">
        <v>6</v>
      </c>
      <c r="E48" s="68">
        <v>7.5853350189629999E-3</v>
      </c>
    </row>
    <row r="49" spans="2:5" ht="14.5" customHeight="1">
      <c r="B49" s="90"/>
      <c r="C49" s="66" t="s">
        <v>136</v>
      </c>
      <c r="D49" s="67">
        <v>8</v>
      </c>
      <c r="E49" s="68">
        <v>1.0113780025284E-2</v>
      </c>
    </row>
    <row r="50" spans="2:5" ht="14.5" customHeight="1">
      <c r="B50" s="90" t="s">
        <v>255</v>
      </c>
      <c r="C50" s="77" t="s">
        <v>29</v>
      </c>
      <c r="D50" s="61">
        <v>14</v>
      </c>
      <c r="E50" s="62">
        <v>1.7699115044247999E-2</v>
      </c>
    </row>
    <row r="51" spans="2:5" ht="14.5" customHeight="1">
      <c r="B51" s="90" t="s">
        <v>54</v>
      </c>
      <c r="C51" s="66" t="s">
        <v>135</v>
      </c>
      <c r="D51" s="67">
        <v>11</v>
      </c>
      <c r="E51" s="68">
        <v>1.3906447534765999E-2</v>
      </c>
    </row>
    <row r="52" spans="2:5" ht="14.5" customHeight="1">
      <c r="B52" s="90"/>
      <c r="C52" s="66" t="s">
        <v>136</v>
      </c>
      <c r="D52" s="67">
        <v>33</v>
      </c>
      <c r="E52" s="68">
        <v>4.1719342604298E-2</v>
      </c>
    </row>
    <row r="53" spans="2:5" ht="14.5" customHeight="1">
      <c r="B53" s="90" t="s">
        <v>256</v>
      </c>
      <c r="C53" s="77" t="s">
        <v>29</v>
      </c>
      <c r="D53" s="61">
        <v>44</v>
      </c>
      <c r="E53" s="62">
        <v>5.5625790139063998E-2</v>
      </c>
    </row>
    <row r="54" spans="2:5" ht="14.5" customHeight="1">
      <c r="B54" s="90" t="s">
        <v>66</v>
      </c>
      <c r="C54" s="66" t="s">
        <v>135</v>
      </c>
      <c r="D54" s="67">
        <v>7</v>
      </c>
      <c r="E54" s="68">
        <v>8.8495575221239995E-3</v>
      </c>
    </row>
    <row r="55" spans="2:5" ht="14.5" customHeight="1">
      <c r="B55" s="90"/>
      <c r="C55" s="66" t="s">
        <v>136</v>
      </c>
      <c r="D55" s="67">
        <v>11</v>
      </c>
      <c r="E55" s="68">
        <v>1.3906447534765999E-2</v>
      </c>
    </row>
    <row r="56" spans="2:5" ht="14.5" customHeight="1">
      <c r="B56" s="90" t="s">
        <v>257</v>
      </c>
      <c r="C56" s="77" t="s">
        <v>29</v>
      </c>
      <c r="D56" s="61">
        <v>18</v>
      </c>
      <c r="E56" s="62">
        <v>2.2756005056889999E-2</v>
      </c>
    </row>
    <row r="57" spans="2:5" ht="14.5" customHeight="1">
      <c r="B57" s="90" t="s">
        <v>67</v>
      </c>
      <c r="C57" s="66" t="s">
        <v>135</v>
      </c>
      <c r="D57" s="67">
        <v>5</v>
      </c>
      <c r="E57" s="68">
        <v>6.3211125158030004E-3</v>
      </c>
    </row>
    <row r="58" spans="2:5" ht="14.5" customHeight="1">
      <c r="B58" s="90"/>
      <c r="C58" s="66" t="s">
        <v>136</v>
      </c>
      <c r="D58" s="67">
        <v>13</v>
      </c>
      <c r="E58" s="68">
        <v>1.6434892541087001E-2</v>
      </c>
    </row>
    <row r="59" spans="2:5" ht="14.5" customHeight="1">
      <c r="B59" s="90" t="s">
        <v>258</v>
      </c>
      <c r="C59" s="77" t="s">
        <v>29</v>
      </c>
      <c r="D59" s="61">
        <v>18</v>
      </c>
      <c r="E59" s="62">
        <v>2.2756005056889999E-2</v>
      </c>
    </row>
    <row r="60" spans="2:5" ht="14.5" customHeight="1">
      <c r="B60" s="90" t="s">
        <v>93</v>
      </c>
      <c r="C60" s="66" t="s">
        <v>135</v>
      </c>
      <c r="D60" s="67">
        <v>1</v>
      </c>
      <c r="E60" s="68">
        <v>1.264222503161E-3</v>
      </c>
    </row>
    <row r="61" spans="2:5" ht="14.5" customHeight="1">
      <c r="B61" s="90" t="s">
        <v>259</v>
      </c>
      <c r="C61" s="77" t="s">
        <v>29</v>
      </c>
      <c r="D61" s="61">
        <v>1</v>
      </c>
      <c r="E61" s="62">
        <v>1.264222503161E-3</v>
      </c>
    </row>
    <row r="62" spans="2:5" ht="14.5" customHeight="1">
      <c r="B62" s="90" t="s">
        <v>79</v>
      </c>
      <c r="C62" s="66" t="s">
        <v>135</v>
      </c>
      <c r="D62" s="67">
        <v>2</v>
      </c>
      <c r="E62" s="68">
        <v>2.528445006321E-3</v>
      </c>
    </row>
    <row r="63" spans="2:5" ht="14.5" customHeight="1">
      <c r="B63" s="90"/>
      <c r="C63" s="66" t="s">
        <v>136</v>
      </c>
      <c r="D63" s="67">
        <v>5</v>
      </c>
      <c r="E63" s="68">
        <v>6.3211125158030004E-3</v>
      </c>
    </row>
    <row r="64" spans="2:5" ht="14.5" customHeight="1">
      <c r="B64" s="90" t="s">
        <v>260</v>
      </c>
      <c r="C64" s="77" t="s">
        <v>29</v>
      </c>
      <c r="D64" s="61">
        <v>7</v>
      </c>
      <c r="E64" s="62">
        <v>8.8495575221239995E-3</v>
      </c>
    </row>
    <row r="65" spans="2:5" ht="14.5" customHeight="1">
      <c r="B65" s="90" t="s">
        <v>58</v>
      </c>
      <c r="C65" s="66" t="s">
        <v>135</v>
      </c>
      <c r="D65" s="67">
        <v>9</v>
      </c>
      <c r="E65" s="68">
        <v>1.1378002528444999E-2</v>
      </c>
    </row>
    <row r="66" spans="2:5" ht="14.5" customHeight="1">
      <c r="B66" s="90"/>
      <c r="C66" s="66" t="s">
        <v>136</v>
      </c>
      <c r="D66" s="67">
        <v>23</v>
      </c>
      <c r="E66" s="68">
        <v>2.9077117572693E-2</v>
      </c>
    </row>
    <row r="67" spans="2:5" ht="14.5" customHeight="1">
      <c r="B67" s="90" t="s">
        <v>261</v>
      </c>
      <c r="C67" s="77" t="s">
        <v>29</v>
      </c>
      <c r="D67" s="61">
        <v>32</v>
      </c>
      <c r="E67" s="62">
        <v>4.0455120101137998E-2</v>
      </c>
    </row>
    <row r="68" spans="2:5" ht="14.5" customHeight="1">
      <c r="B68" s="90" t="s">
        <v>57</v>
      </c>
      <c r="C68" s="66" t="s">
        <v>135</v>
      </c>
      <c r="D68" s="67">
        <v>10</v>
      </c>
      <c r="E68" s="68">
        <v>1.2642225031606001E-2</v>
      </c>
    </row>
    <row r="69" spans="2:5" ht="14.5" customHeight="1">
      <c r="B69" s="90"/>
      <c r="C69" s="66" t="s">
        <v>136</v>
      </c>
      <c r="D69" s="67">
        <v>24</v>
      </c>
      <c r="E69" s="68">
        <v>3.0341340075852999E-2</v>
      </c>
    </row>
    <row r="70" spans="2:5" ht="14.5" customHeight="1">
      <c r="B70" s="90" t="s">
        <v>262</v>
      </c>
      <c r="C70" s="77" t="s">
        <v>29</v>
      </c>
      <c r="D70" s="61">
        <v>34</v>
      </c>
      <c r="E70" s="62">
        <v>4.2983565107459001E-2</v>
      </c>
    </row>
    <row r="71" spans="2:5" ht="14.5" customHeight="1">
      <c r="B71" s="90" t="s">
        <v>72</v>
      </c>
      <c r="C71" s="66" t="s">
        <v>135</v>
      </c>
      <c r="D71" s="67">
        <v>5</v>
      </c>
      <c r="E71" s="68">
        <v>6.3211125158030004E-3</v>
      </c>
    </row>
    <row r="72" spans="2:5" ht="14.5" customHeight="1">
      <c r="B72" s="90"/>
      <c r="C72" s="66" t="s">
        <v>136</v>
      </c>
      <c r="D72" s="67">
        <v>6</v>
      </c>
      <c r="E72" s="68">
        <v>7.5853350189629999E-3</v>
      </c>
    </row>
    <row r="73" spans="2:5" ht="14.5" customHeight="1">
      <c r="B73" s="90" t="s">
        <v>263</v>
      </c>
      <c r="C73" s="77" t="s">
        <v>29</v>
      </c>
      <c r="D73" s="61">
        <v>11</v>
      </c>
      <c r="E73" s="62">
        <v>1.3906447534765999E-2</v>
      </c>
    </row>
    <row r="74" spans="2:5" ht="14.5" customHeight="1">
      <c r="B74" s="90" t="s">
        <v>68</v>
      </c>
      <c r="C74" s="66" t="s">
        <v>135</v>
      </c>
      <c r="D74" s="67">
        <v>3</v>
      </c>
      <c r="E74" s="68">
        <v>3.792667509482E-3</v>
      </c>
    </row>
    <row r="75" spans="2:5" ht="14.5" customHeight="1">
      <c r="B75" s="90"/>
      <c r="C75" s="66" t="s">
        <v>136</v>
      </c>
      <c r="D75" s="67">
        <v>13</v>
      </c>
      <c r="E75" s="68">
        <v>1.6434892541087001E-2</v>
      </c>
    </row>
    <row r="76" spans="2:5" ht="14.5" customHeight="1">
      <c r="B76" s="90" t="s">
        <v>264</v>
      </c>
      <c r="C76" s="77" t="s">
        <v>29</v>
      </c>
      <c r="D76" s="61">
        <v>16</v>
      </c>
      <c r="E76" s="62">
        <v>2.0227560050568999E-2</v>
      </c>
    </row>
    <row r="77" spans="2:5" ht="14.5" customHeight="1">
      <c r="B77" s="90" t="s">
        <v>86</v>
      </c>
      <c r="C77" s="66" t="s">
        <v>135</v>
      </c>
      <c r="D77" s="67">
        <v>3</v>
      </c>
      <c r="E77" s="68">
        <v>3.792667509482E-3</v>
      </c>
    </row>
    <row r="78" spans="2:5" ht="14.5" customHeight="1">
      <c r="B78" s="90"/>
      <c r="C78" s="66" t="s">
        <v>136</v>
      </c>
      <c r="D78" s="67">
        <v>2</v>
      </c>
      <c r="E78" s="68">
        <v>2.528445006321E-3</v>
      </c>
    </row>
    <row r="79" spans="2:5" ht="14.5" customHeight="1">
      <c r="B79" s="90" t="s">
        <v>265</v>
      </c>
      <c r="C79" s="77" t="s">
        <v>29</v>
      </c>
      <c r="D79" s="61">
        <v>5</v>
      </c>
      <c r="E79" s="62">
        <v>6.3211125158030004E-3</v>
      </c>
    </row>
    <row r="80" spans="2:5" ht="14.5" customHeight="1">
      <c r="B80" s="90" t="s">
        <v>60</v>
      </c>
      <c r="C80" s="66" t="s">
        <v>135</v>
      </c>
      <c r="D80" s="67">
        <v>7</v>
      </c>
      <c r="E80" s="68">
        <v>8.8495575221239995E-3</v>
      </c>
    </row>
    <row r="81" spans="2:5" ht="14.5" customHeight="1">
      <c r="B81" s="90"/>
      <c r="C81" s="66" t="s">
        <v>136</v>
      </c>
      <c r="D81" s="67">
        <v>17</v>
      </c>
      <c r="E81" s="68">
        <v>2.1491782553729001E-2</v>
      </c>
    </row>
    <row r="82" spans="2:5" ht="14.5" customHeight="1">
      <c r="B82" s="90" t="s">
        <v>266</v>
      </c>
      <c r="C82" s="77" t="s">
        <v>29</v>
      </c>
      <c r="D82" s="61">
        <v>24</v>
      </c>
      <c r="E82" s="62">
        <v>3.0341340075852999E-2</v>
      </c>
    </row>
    <row r="83" spans="2:5" ht="14.5" customHeight="1">
      <c r="B83" s="90" t="s">
        <v>63</v>
      </c>
      <c r="C83" s="66" t="s">
        <v>135</v>
      </c>
      <c r="D83" s="67">
        <v>8</v>
      </c>
      <c r="E83" s="68">
        <v>1.0113780025284E-2</v>
      </c>
    </row>
    <row r="84" spans="2:5" ht="14.5" customHeight="1">
      <c r="B84" s="90"/>
      <c r="C84" s="66" t="s">
        <v>136</v>
      </c>
      <c r="D84" s="67">
        <v>12</v>
      </c>
      <c r="E84" s="68">
        <v>1.5170670037927001E-2</v>
      </c>
    </row>
    <row r="85" spans="2:5" ht="14.5" customHeight="1">
      <c r="B85" s="90" t="s">
        <v>267</v>
      </c>
      <c r="C85" s="77" t="s">
        <v>29</v>
      </c>
      <c r="D85" s="61">
        <v>20</v>
      </c>
      <c r="E85" s="62">
        <v>2.5284450063210999E-2</v>
      </c>
    </row>
    <row r="86" spans="2:5" ht="14.5" customHeight="1">
      <c r="B86" s="90" t="s">
        <v>73</v>
      </c>
      <c r="C86" s="66" t="s">
        <v>135</v>
      </c>
      <c r="D86" s="67">
        <v>2</v>
      </c>
      <c r="E86" s="68">
        <v>2.528445006321E-3</v>
      </c>
    </row>
    <row r="87" spans="2:5" ht="14.5" customHeight="1">
      <c r="B87" s="90"/>
      <c r="C87" s="66" t="s">
        <v>136</v>
      </c>
      <c r="D87" s="67">
        <v>9</v>
      </c>
      <c r="E87" s="68">
        <v>1.1378002528444999E-2</v>
      </c>
    </row>
    <row r="88" spans="2:5" ht="14.5" customHeight="1">
      <c r="B88" s="90" t="s">
        <v>268</v>
      </c>
      <c r="C88" s="77" t="s">
        <v>29</v>
      </c>
      <c r="D88" s="61">
        <v>11</v>
      </c>
      <c r="E88" s="62">
        <v>1.3906447534765999E-2</v>
      </c>
    </row>
    <row r="89" spans="2:5" ht="14.5" customHeight="1">
      <c r="B89" s="90" t="s">
        <v>80</v>
      </c>
      <c r="C89" s="66" t="s">
        <v>135</v>
      </c>
      <c r="D89" s="67">
        <v>3</v>
      </c>
      <c r="E89" s="68">
        <v>3.792667509482E-3</v>
      </c>
    </row>
    <row r="90" spans="2:5" ht="14.5" customHeight="1">
      <c r="B90" s="90"/>
      <c r="C90" s="66" t="s">
        <v>136</v>
      </c>
      <c r="D90" s="67">
        <v>4</v>
      </c>
      <c r="E90" s="68">
        <v>5.0568900126419999E-3</v>
      </c>
    </row>
    <row r="91" spans="2:5" ht="14.5" customHeight="1">
      <c r="B91" s="90" t="s">
        <v>269</v>
      </c>
      <c r="C91" s="77" t="s">
        <v>29</v>
      </c>
      <c r="D91" s="61">
        <v>7</v>
      </c>
      <c r="E91" s="62">
        <v>8.8495575221239995E-3</v>
      </c>
    </row>
    <row r="92" spans="2:5" ht="14.5" customHeight="1">
      <c r="B92" s="90" t="s">
        <v>61</v>
      </c>
      <c r="C92" s="66" t="s">
        <v>135</v>
      </c>
      <c r="D92" s="67">
        <v>10</v>
      </c>
      <c r="E92" s="68">
        <v>1.2642225031606001E-2</v>
      </c>
    </row>
    <row r="93" spans="2:5" ht="14.5" customHeight="1">
      <c r="B93" s="90"/>
      <c r="C93" s="66" t="s">
        <v>136</v>
      </c>
      <c r="D93" s="67">
        <v>14</v>
      </c>
      <c r="E93" s="68">
        <v>1.7699115044247999E-2</v>
      </c>
    </row>
    <row r="94" spans="2:5" ht="14.5" customHeight="1">
      <c r="B94" s="90" t="s">
        <v>270</v>
      </c>
      <c r="C94" s="77" t="s">
        <v>29</v>
      </c>
      <c r="D94" s="61">
        <v>24</v>
      </c>
      <c r="E94" s="62">
        <v>3.0341340075852999E-2</v>
      </c>
    </row>
    <row r="95" spans="2:5" ht="14.5" customHeight="1">
      <c r="B95" s="90" t="s">
        <v>84</v>
      </c>
      <c r="C95" s="66" t="s">
        <v>135</v>
      </c>
      <c r="D95" s="67">
        <v>2</v>
      </c>
      <c r="E95" s="68">
        <v>2.528445006321E-3</v>
      </c>
    </row>
    <row r="96" spans="2:5" ht="14.5" customHeight="1">
      <c r="B96" s="90"/>
      <c r="C96" s="66" t="s">
        <v>136</v>
      </c>
      <c r="D96" s="67">
        <v>4</v>
      </c>
      <c r="E96" s="68">
        <v>5.0568900126419999E-3</v>
      </c>
    </row>
    <row r="97" spans="2:5" ht="14.5" customHeight="1">
      <c r="B97" s="90" t="s">
        <v>271</v>
      </c>
      <c r="C97" s="77" t="s">
        <v>29</v>
      </c>
      <c r="D97" s="61">
        <v>6</v>
      </c>
      <c r="E97" s="62">
        <v>7.5853350189629999E-3</v>
      </c>
    </row>
    <row r="98" spans="2:5" ht="14.5" customHeight="1">
      <c r="B98" s="90" t="s">
        <v>75</v>
      </c>
      <c r="C98" s="66" t="s">
        <v>135</v>
      </c>
      <c r="D98" s="67">
        <v>4</v>
      </c>
      <c r="E98" s="68">
        <v>5.0568900126419999E-3</v>
      </c>
    </row>
    <row r="99" spans="2:5" ht="14.5" customHeight="1">
      <c r="B99" s="90"/>
      <c r="C99" s="66" t="s">
        <v>136</v>
      </c>
      <c r="D99" s="67">
        <v>6</v>
      </c>
      <c r="E99" s="68">
        <v>7.5853350189629999E-3</v>
      </c>
    </row>
    <row r="100" spans="2:5" ht="14.5" customHeight="1">
      <c r="B100" s="90" t="s">
        <v>272</v>
      </c>
      <c r="C100" s="77" t="s">
        <v>29</v>
      </c>
      <c r="D100" s="61">
        <v>10</v>
      </c>
      <c r="E100" s="62">
        <v>1.2642225031606001E-2</v>
      </c>
    </row>
    <row r="101" spans="2:5" ht="14.5" customHeight="1">
      <c r="B101" s="90" t="s">
        <v>81</v>
      </c>
      <c r="C101" s="66" t="s">
        <v>135</v>
      </c>
      <c r="D101" s="67">
        <v>1</v>
      </c>
      <c r="E101" s="68">
        <v>1.264222503161E-3</v>
      </c>
    </row>
    <row r="102" spans="2:5" ht="14.5" customHeight="1">
      <c r="B102" s="90"/>
      <c r="C102" s="66" t="s">
        <v>136</v>
      </c>
      <c r="D102" s="67">
        <v>6</v>
      </c>
      <c r="E102" s="68">
        <v>7.5853350189629999E-3</v>
      </c>
    </row>
    <row r="103" spans="2:5" ht="14.5" customHeight="1">
      <c r="B103" s="90" t="s">
        <v>273</v>
      </c>
      <c r="C103" s="77" t="s">
        <v>29</v>
      </c>
      <c r="D103" s="61">
        <v>7</v>
      </c>
      <c r="E103" s="62">
        <v>8.8495575221239995E-3</v>
      </c>
    </row>
    <row r="104" spans="2:5" ht="14.5" customHeight="1">
      <c r="B104" s="90" t="s">
        <v>52</v>
      </c>
      <c r="C104" s="66" t="s">
        <v>135</v>
      </c>
      <c r="D104" s="67">
        <v>20</v>
      </c>
      <c r="E104" s="68">
        <v>2.5284450063210999E-2</v>
      </c>
    </row>
    <row r="105" spans="2:5" ht="14.5" customHeight="1">
      <c r="B105" s="90"/>
      <c r="C105" s="66" t="s">
        <v>136</v>
      </c>
      <c r="D105" s="67">
        <v>29</v>
      </c>
      <c r="E105" s="68">
        <v>3.6662452591656E-2</v>
      </c>
    </row>
    <row r="106" spans="2:5" ht="14.5" customHeight="1">
      <c r="B106" s="90" t="s">
        <v>274</v>
      </c>
      <c r="C106" s="77" t="s">
        <v>29</v>
      </c>
      <c r="D106" s="61">
        <v>49</v>
      </c>
      <c r="E106" s="62">
        <v>6.1946902654866999E-2</v>
      </c>
    </row>
    <row r="107" spans="2:5" ht="14.5" customHeight="1">
      <c r="B107" s="90" t="s">
        <v>64</v>
      </c>
      <c r="C107" s="66" t="s">
        <v>135</v>
      </c>
      <c r="D107" s="67">
        <v>5</v>
      </c>
      <c r="E107" s="68">
        <v>6.3211125158030004E-3</v>
      </c>
    </row>
    <row r="108" spans="2:5" ht="14.5" customHeight="1">
      <c r="B108" s="90"/>
      <c r="C108" s="66" t="s">
        <v>136</v>
      </c>
      <c r="D108" s="67">
        <v>14</v>
      </c>
      <c r="E108" s="68">
        <v>1.7699115044247999E-2</v>
      </c>
    </row>
    <row r="109" spans="2:5" ht="14.5" customHeight="1">
      <c r="B109" s="90" t="s">
        <v>275</v>
      </c>
      <c r="C109" s="77" t="s">
        <v>29</v>
      </c>
      <c r="D109" s="61">
        <v>19</v>
      </c>
      <c r="E109" s="62">
        <v>2.4020227560051E-2</v>
      </c>
    </row>
    <row r="110" spans="2:5" ht="14.5" customHeight="1">
      <c r="B110" s="90" t="s">
        <v>59</v>
      </c>
      <c r="C110" s="66" t="s">
        <v>135</v>
      </c>
      <c r="D110" s="67">
        <v>12</v>
      </c>
      <c r="E110" s="68">
        <v>1.5170670037927001E-2</v>
      </c>
    </row>
    <row r="111" spans="2:5" ht="14.5" customHeight="1">
      <c r="B111" s="90"/>
      <c r="C111" s="66" t="s">
        <v>136</v>
      </c>
      <c r="D111" s="67">
        <v>17</v>
      </c>
      <c r="E111" s="68">
        <v>2.1491782553729001E-2</v>
      </c>
    </row>
    <row r="112" spans="2:5" ht="14.5" customHeight="1">
      <c r="B112" s="90" t="s">
        <v>276</v>
      </c>
      <c r="C112" s="77" t="s">
        <v>29</v>
      </c>
      <c r="D112" s="61">
        <v>29</v>
      </c>
      <c r="E112" s="62">
        <v>3.6662452591656E-2</v>
      </c>
    </row>
    <row r="113" spans="2:5" ht="14.5" customHeight="1">
      <c r="B113" s="90" t="s">
        <v>87</v>
      </c>
      <c r="C113" s="66" t="s">
        <v>136</v>
      </c>
      <c r="D113" s="67">
        <v>5</v>
      </c>
      <c r="E113" s="68">
        <v>6.3211125158030004E-3</v>
      </c>
    </row>
    <row r="114" spans="2:5" ht="14.5" customHeight="1">
      <c r="B114" s="90"/>
      <c r="C114" s="77" t="s">
        <v>29</v>
      </c>
      <c r="D114" s="61">
        <v>5</v>
      </c>
      <c r="E114" s="62">
        <v>6.3211125158030004E-3</v>
      </c>
    </row>
    <row r="115" spans="2:5" ht="14.5" customHeight="1">
      <c r="B115" s="90" t="s">
        <v>78</v>
      </c>
      <c r="C115" s="66" t="s">
        <v>135</v>
      </c>
      <c r="D115" s="67">
        <v>5</v>
      </c>
      <c r="E115" s="68">
        <v>6.3211125158030004E-3</v>
      </c>
    </row>
    <row r="116" spans="2:5" ht="14.5" customHeight="1">
      <c r="B116" s="90"/>
      <c r="C116" s="66" t="s">
        <v>136</v>
      </c>
      <c r="D116" s="67">
        <v>3</v>
      </c>
      <c r="E116" s="68">
        <v>3.792667509482E-3</v>
      </c>
    </row>
    <row r="117" spans="2:5" ht="14.5" customHeight="1">
      <c r="B117" s="90" t="s">
        <v>277</v>
      </c>
      <c r="C117" s="77" t="s">
        <v>29</v>
      </c>
      <c r="D117" s="61">
        <v>8</v>
      </c>
      <c r="E117" s="62">
        <v>1.0113780025284E-2</v>
      </c>
    </row>
    <row r="118" spans="2:5" ht="14.5" customHeight="1">
      <c r="B118" s="90" t="s">
        <v>77</v>
      </c>
      <c r="C118" s="66" t="s">
        <v>135</v>
      </c>
      <c r="D118" s="67">
        <v>2</v>
      </c>
      <c r="E118" s="68">
        <v>2.528445006321E-3</v>
      </c>
    </row>
    <row r="119" spans="2:5" ht="14.5" customHeight="1">
      <c r="B119" s="90"/>
      <c r="C119" s="66" t="s">
        <v>136</v>
      </c>
      <c r="D119" s="67">
        <v>7</v>
      </c>
      <c r="E119" s="68">
        <v>8.8495575221239995E-3</v>
      </c>
    </row>
    <row r="120" spans="2:5" ht="14.5" customHeight="1">
      <c r="B120" s="90" t="s">
        <v>278</v>
      </c>
      <c r="C120" s="77" t="s">
        <v>29</v>
      </c>
      <c r="D120" s="61">
        <v>9</v>
      </c>
      <c r="E120" s="62">
        <v>1.1378002528444999E-2</v>
      </c>
    </row>
    <row r="121" spans="2:5" ht="14.5" customHeight="1">
      <c r="B121" s="90" t="s">
        <v>88</v>
      </c>
      <c r="C121" s="66" t="s">
        <v>135</v>
      </c>
      <c r="D121" s="67">
        <v>2</v>
      </c>
      <c r="E121" s="68">
        <v>2.528445006321E-3</v>
      </c>
    </row>
    <row r="122" spans="2:5" ht="14.5" customHeight="1">
      <c r="B122" s="90"/>
      <c r="C122" s="66" t="s">
        <v>136</v>
      </c>
      <c r="D122" s="67">
        <v>3</v>
      </c>
      <c r="E122" s="68">
        <v>3.792667509482E-3</v>
      </c>
    </row>
    <row r="123" spans="2:5" ht="14.5" customHeight="1">
      <c r="B123" s="90" t="s">
        <v>279</v>
      </c>
      <c r="C123" s="77" t="s">
        <v>29</v>
      </c>
      <c r="D123" s="61">
        <v>5</v>
      </c>
      <c r="E123" s="62">
        <v>6.3211125158030004E-3</v>
      </c>
    </row>
    <row r="124" spans="2:5" ht="14.5" customHeight="1">
      <c r="B124" s="90" t="s">
        <v>51</v>
      </c>
      <c r="C124" s="66" t="s">
        <v>135</v>
      </c>
      <c r="D124" s="67">
        <v>17</v>
      </c>
      <c r="E124" s="68">
        <v>2.1491782553729001E-2</v>
      </c>
    </row>
    <row r="125" spans="2:5" ht="14.5" customHeight="1">
      <c r="B125" s="90"/>
      <c r="C125" s="66" t="s">
        <v>136</v>
      </c>
      <c r="D125" s="67">
        <v>47</v>
      </c>
      <c r="E125" s="68">
        <v>5.9418457648546003E-2</v>
      </c>
    </row>
    <row r="126" spans="2:5" ht="14.5" customHeight="1">
      <c r="B126" s="90" t="s">
        <v>280</v>
      </c>
      <c r="C126" s="77" t="s">
        <v>29</v>
      </c>
      <c r="D126" s="61">
        <v>64</v>
      </c>
      <c r="E126" s="62">
        <v>8.0910240202275996E-2</v>
      </c>
    </row>
    <row r="127" spans="2:5" ht="14.5" customHeight="1">
      <c r="B127" s="90" t="s">
        <v>62</v>
      </c>
      <c r="C127" s="66" t="s">
        <v>135</v>
      </c>
      <c r="D127" s="67">
        <v>4</v>
      </c>
      <c r="E127" s="68">
        <v>5.0568900126419999E-3</v>
      </c>
    </row>
    <row r="128" spans="2:5" ht="14.5" customHeight="1">
      <c r="B128" s="90"/>
      <c r="C128" s="66" t="s">
        <v>136</v>
      </c>
      <c r="D128" s="67">
        <v>17</v>
      </c>
      <c r="E128" s="68">
        <v>2.1491782553729001E-2</v>
      </c>
    </row>
    <row r="129" spans="2:5" ht="14.5" customHeight="1">
      <c r="B129" s="90" t="s">
        <v>281</v>
      </c>
      <c r="C129" s="77" t="s">
        <v>29</v>
      </c>
      <c r="D129" s="61">
        <v>21</v>
      </c>
      <c r="E129" s="62">
        <v>2.6548672566372E-2</v>
      </c>
    </row>
    <row r="130" spans="2:5" ht="14.5" customHeight="1">
      <c r="B130" s="90" t="s">
        <v>71</v>
      </c>
      <c r="C130" s="66" t="s">
        <v>135</v>
      </c>
      <c r="D130" s="67">
        <v>4</v>
      </c>
      <c r="E130" s="68">
        <v>5.0568900126419999E-3</v>
      </c>
    </row>
    <row r="131" spans="2:5" ht="14.5" customHeight="1">
      <c r="B131" s="90"/>
      <c r="C131" s="66" t="s">
        <v>136</v>
      </c>
      <c r="D131" s="67">
        <v>8</v>
      </c>
      <c r="E131" s="68">
        <v>1.0113780025284E-2</v>
      </c>
    </row>
    <row r="132" spans="2:5" ht="14.5" customHeight="1">
      <c r="B132" s="90" t="s">
        <v>282</v>
      </c>
      <c r="C132" s="77" t="s">
        <v>29</v>
      </c>
      <c r="D132" s="61">
        <v>12</v>
      </c>
      <c r="E132" s="62">
        <v>1.5170670037927001E-2</v>
      </c>
    </row>
    <row r="133" spans="2:5" ht="14.5" customHeight="1">
      <c r="B133" s="90" t="s">
        <v>85</v>
      </c>
      <c r="C133" s="66" t="s">
        <v>135</v>
      </c>
      <c r="D133" s="67">
        <v>3</v>
      </c>
      <c r="E133" s="68">
        <v>3.792667509482E-3</v>
      </c>
    </row>
    <row r="134" spans="2:5" ht="14.5" customHeight="1">
      <c r="B134" s="90"/>
      <c r="C134" s="66" t="s">
        <v>136</v>
      </c>
      <c r="D134" s="67">
        <v>3</v>
      </c>
      <c r="E134" s="68">
        <v>3.792667509482E-3</v>
      </c>
    </row>
    <row r="135" spans="2:5" ht="14.5" customHeight="1">
      <c r="B135" s="90" t="s">
        <v>283</v>
      </c>
      <c r="C135" s="77" t="s">
        <v>29</v>
      </c>
      <c r="D135" s="61">
        <v>6</v>
      </c>
      <c r="E135" s="62">
        <v>7.5853350189629999E-3</v>
      </c>
    </row>
    <row r="136" spans="2:5" ht="14.5" customHeight="1">
      <c r="B136" s="90" t="s">
        <v>56</v>
      </c>
      <c r="C136" s="66" t="s">
        <v>135</v>
      </c>
      <c r="D136" s="67">
        <v>11</v>
      </c>
      <c r="E136" s="68">
        <v>1.3906447534765999E-2</v>
      </c>
    </row>
    <row r="137" spans="2:5" ht="14.5" customHeight="1">
      <c r="B137" s="90"/>
      <c r="C137" s="66" t="s">
        <v>136</v>
      </c>
      <c r="D137" s="67">
        <v>24</v>
      </c>
      <c r="E137" s="68">
        <v>3.0341340075852999E-2</v>
      </c>
    </row>
    <row r="138" spans="2:5" ht="14.5" customHeight="1">
      <c r="B138" s="90" t="s">
        <v>175</v>
      </c>
      <c r="C138" s="77" t="s">
        <v>29</v>
      </c>
      <c r="D138" s="61">
        <v>35</v>
      </c>
      <c r="E138" s="62">
        <v>4.4247787610618997E-2</v>
      </c>
    </row>
    <row r="139" spans="2:5" ht="14.5" customHeight="1">
      <c r="B139" s="98" t="s">
        <v>29</v>
      </c>
      <c r="C139" s="98"/>
      <c r="D139" s="59">
        <v>791</v>
      </c>
      <c r="E139" s="60">
        <v>1</v>
      </c>
    </row>
    <row r="140" spans="2:5" ht="14.5" customHeight="1"/>
    <row r="141" spans="2:5" ht="14.5" customHeight="1">
      <c r="B141" s="15" t="s">
        <v>47</v>
      </c>
    </row>
    <row r="142" spans="2:5" ht="14.5" customHeight="1">
      <c r="B142" s="17" t="s">
        <v>18</v>
      </c>
    </row>
    <row r="143" spans="2:5" ht="14.5" customHeight="1">
      <c r="B143" s="16" t="s">
        <v>48</v>
      </c>
    </row>
    <row r="144" spans="2:5" ht="14.5" customHeight="1">
      <c r="B144" s="15" t="s">
        <v>17</v>
      </c>
    </row>
    <row r="145" spans="2:2" ht="14.5" customHeight="1">
      <c r="B145" s="15" t="s">
        <v>49</v>
      </c>
    </row>
  </sheetData>
  <mergeCells count="46">
    <mergeCell ref="B8:E10"/>
    <mergeCell ref="B54:B56"/>
    <mergeCell ref="B57:B59"/>
    <mergeCell ref="B60:B61"/>
    <mergeCell ref="B62:B64"/>
    <mergeCell ref="B13:B15"/>
    <mergeCell ref="B16:B18"/>
    <mergeCell ref="B19:B21"/>
    <mergeCell ref="B22:B23"/>
    <mergeCell ref="B24:B25"/>
    <mergeCell ref="B26:B28"/>
    <mergeCell ref="B29:B30"/>
    <mergeCell ref="B31:B33"/>
    <mergeCell ref="B34:B36"/>
    <mergeCell ref="B37:B39"/>
    <mergeCell ref="B40:B42"/>
    <mergeCell ref="B43:B44"/>
    <mergeCell ref="B45:B47"/>
    <mergeCell ref="B48:B50"/>
    <mergeCell ref="B51:B53"/>
    <mergeCell ref="B80:B82"/>
    <mergeCell ref="B68:B70"/>
    <mergeCell ref="B71:B73"/>
    <mergeCell ref="B74:B76"/>
    <mergeCell ref="B77:B79"/>
    <mergeCell ref="B65:B67"/>
    <mergeCell ref="B83:B8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  <mergeCell ref="B113:B114"/>
    <mergeCell ref="B115:B117"/>
    <mergeCell ref="B118:B120"/>
    <mergeCell ref="B121:B123"/>
    <mergeCell ref="B139:C139"/>
    <mergeCell ref="B124:B126"/>
    <mergeCell ref="B127:B129"/>
    <mergeCell ref="B130:B132"/>
    <mergeCell ref="B133:B135"/>
    <mergeCell ref="B136:B138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36"/>
  <sheetViews>
    <sheetView showGridLines="0" view="pageBreakPreview" zoomScaleNormal="100" zoomScaleSheetLayoutView="100" workbookViewId="0">
      <selection activeCell="C136" sqref="C136"/>
    </sheetView>
  </sheetViews>
  <sheetFormatPr baseColWidth="10" defaultColWidth="11.453125" defaultRowHeight="10"/>
  <cols>
    <col min="1" max="1" width="5.7265625" style="25" customWidth="1"/>
    <col min="2" max="3" width="25.72656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11.45312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89" t="s">
        <v>41</v>
      </c>
      <c r="C8" s="89"/>
      <c r="D8" s="89"/>
      <c r="E8" s="89"/>
    </row>
    <row r="9" spans="2:6" s="13" customFormat="1" ht="15" customHeight="1">
      <c r="B9" s="89"/>
      <c r="C9" s="89"/>
      <c r="D9" s="89"/>
      <c r="E9" s="89"/>
      <c r="F9" s="50"/>
    </row>
    <row r="10" spans="2:6" s="13" customFormat="1" ht="15" customHeight="1">
      <c r="B10" s="89"/>
      <c r="C10" s="89"/>
      <c r="D10" s="89"/>
      <c r="E10" s="89"/>
    </row>
    <row r="11" spans="2:6" s="13" customFormat="1" ht="15" customHeight="1">
      <c r="B11" s="53"/>
      <c r="C11" s="53"/>
      <c r="D11" s="53"/>
      <c r="E11" s="53"/>
    </row>
    <row r="12" spans="2:6" s="13" customFormat="1" ht="37" customHeight="1">
      <c r="B12" s="55" t="s">
        <v>25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90" t="s">
        <v>94</v>
      </c>
      <c r="C13" s="66" t="s">
        <v>135</v>
      </c>
      <c r="D13" s="67">
        <v>14</v>
      </c>
      <c r="E13" s="68">
        <v>1.7699115044247999E-2</v>
      </c>
    </row>
    <row r="14" spans="2:6" ht="14.5" customHeight="1">
      <c r="B14" s="90"/>
      <c r="C14" s="66" t="s">
        <v>136</v>
      </c>
      <c r="D14" s="67">
        <v>28</v>
      </c>
      <c r="E14" s="68">
        <v>3.5398230088495998E-2</v>
      </c>
    </row>
    <row r="15" spans="2:6" ht="14.5" customHeight="1">
      <c r="B15" s="90"/>
      <c r="C15" s="77" t="s">
        <v>29</v>
      </c>
      <c r="D15" s="61">
        <v>42</v>
      </c>
      <c r="E15" s="62">
        <v>5.3097345132743001E-2</v>
      </c>
    </row>
    <row r="16" spans="2:6" ht="14.5" customHeight="1">
      <c r="B16" s="90" t="s">
        <v>95</v>
      </c>
      <c r="C16" s="66" t="s">
        <v>135</v>
      </c>
      <c r="D16" s="67">
        <v>4</v>
      </c>
      <c r="E16" s="68">
        <v>5.0568900126419999E-3</v>
      </c>
    </row>
    <row r="17" spans="2:5" ht="14.5" customHeight="1">
      <c r="B17" s="90"/>
      <c r="C17" s="66" t="s">
        <v>136</v>
      </c>
      <c r="D17" s="67">
        <v>6</v>
      </c>
      <c r="E17" s="68">
        <v>7.5853350189629999E-3</v>
      </c>
    </row>
    <row r="18" spans="2:5" ht="14.5" customHeight="1">
      <c r="B18" s="90" t="s">
        <v>137</v>
      </c>
      <c r="C18" s="77" t="s">
        <v>29</v>
      </c>
      <c r="D18" s="61">
        <v>10</v>
      </c>
      <c r="E18" s="62">
        <v>1.2642225031606001E-2</v>
      </c>
    </row>
    <row r="19" spans="2:5" ht="14.5" customHeight="1">
      <c r="B19" s="90" t="s">
        <v>96</v>
      </c>
      <c r="C19" s="66" t="s">
        <v>135</v>
      </c>
      <c r="D19" s="67">
        <v>2</v>
      </c>
      <c r="E19" s="68">
        <v>2.528445006321E-3</v>
      </c>
    </row>
    <row r="20" spans="2:5" ht="14.5" customHeight="1">
      <c r="B20" s="90"/>
      <c r="C20" s="66" t="s">
        <v>136</v>
      </c>
      <c r="D20" s="67">
        <v>9</v>
      </c>
      <c r="E20" s="68">
        <v>1.1378002528444999E-2</v>
      </c>
    </row>
    <row r="21" spans="2:5" ht="14.5" customHeight="1">
      <c r="B21" s="90" t="s">
        <v>138</v>
      </c>
      <c r="C21" s="77" t="s">
        <v>29</v>
      </c>
      <c r="D21" s="61">
        <v>11</v>
      </c>
      <c r="E21" s="62">
        <v>1.3906447534765999E-2</v>
      </c>
    </row>
    <row r="22" spans="2:5" ht="14.5" customHeight="1">
      <c r="B22" s="90" t="s">
        <v>97</v>
      </c>
      <c r="C22" s="66" t="s">
        <v>135</v>
      </c>
      <c r="D22" s="67">
        <v>53</v>
      </c>
      <c r="E22" s="68">
        <v>6.7003792667508999E-2</v>
      </c>
    </row>
    <row r="23" spans="2:5" ht="14.5" customHeight="1">
      <c r="B23" s="90"/>
      <c r="C23" s="66" t="s">
        <v>136</v>
      </c>
      <c r="D23" s="67">
        <v>131</v>
      </c>
      <c r="E23" s="68">
        <v>0.165613147914033</v>
      </c>
    </row>
    <row r="24" spans="2:5" ht="14.5" customHeight="1">
      <c r="B24" s="90" t="s">
        <v>139</v>
      </c>
      <c r="C24" s="77" t="s">
        <v>29</v>
      </c>
      <c r="D24" s="61">
        <v>184</v>
      </c>
      <c r="E24" s="62">
        <v>0.232616940581542</v>
      </c>
    </row>
    <row r="25" spans="2:5" ht="14.5" customHeight="1">
      <c r="B25" s="90" t="s">
        <v>98</v>
      </c>
      <c r="C25" s="66" t="s">
        <v>135</v>
      </c>
      <c r="D25" s="67">
        <v>1</v>
      </c>
      <c r="E25" s="68">
        <v>1.264222503161E-3</v>
      </c>
    </row>
    <row r="26" spans="2:5" ht="14.5" customHeight="1">
      <c r="B26" s="90"/>
      <c r="C26" s="66" t="s">
        <v>136</v>
      </c>
      <c r="D26" s="67">
        <v>9</v>
      </c>
      <c r="E26" s="68">
        <v>1.1378002528444999E-2</v>
      </c>
    </row>
    <row r="27" spans="2:5" ht="14.5" customHeight="1">
      <c r="B27" s="90" t="s">
        <v>140</v>
      </c>
      <c r="C27" s="77" t="s">
        <v>29</v>
      </c>
      <c r="D27" s="61">
        <v>10</v>
      </c>
      <c r="E27" s="62">
        <v>1.2642225031606001E-2</v>
      </c>
    </row>
    <row r="28" spans="2:5" ht="14.5" customHeight="1">
      <c r="B28" s="90" t="s">
        <v>99</v>
      </c>
      <c r="C28" s="66" t="s">
        <v>136</v>
      </c>
      <c r="D28" s="67">
        <v>1</v>
      </c>
      <c r="E28" s="68">
        <v>1.264222503161E-3</v>
      </c>
    </row>
    <row r="29" spans="2:5" ht="14.5" customHeight="1">
      <c r="B29" s="90" t="s">
        <v>141</v>
      </c>
      <c r="C29" s="77" t="s">
        <v>29</v>
      </c>
      <c r="D29" s="61">
        <v>1</v>
      </c>
      <c r="E29" s="62">
        <v>1.264222503161E-3</v>
      </c>
    </row>
    <row r="30" spans="2:5" ht="14.5" customHeight="1">
      <c r="B30" s="90" t="s">
        <v>100</v>
      </c>
      <c r="C30" s="66" t="s">
        <v>136</v>
      </c>
      <c r="D30" s="67">
        <v>2</v>
      </c>
      <c r="E30" s="68">
        <v>2.528445006321E-3</v>
      </c>
    </row>
    <row r="31" spans="2:5" ht="14.5" customHeight="1">
      <c r="B31" s="90" t="s">
        <v>142</v>
      </c>
      <c r="C31" s="77" t="s">
        <v>29</v>
      </c>
      <c r="D31" s="61">
        <v>2</v>
      </c>
      <c r="E31" s="62">
        <v>2.528445006321E-3</v>
      </c>
    </row>
    <row r="32" spans="2:5" ht="14.5" customHeight="1">
      <c r="B32" s="90" t="s">
        <v>101</v>
      </c>
      <c r="C32" s="66" t="s">
        <v>136</v>
      </c>
      <c r="D32" s="67">
        <v>1</v>
      </c>
      <c r="E32" s="68">
        <v>1.264222503161E-3</v>
      </c>
    </row>
    <row r="33" spans="2:5" ht="14.5" customHeight="1">
      <c r="B33" s="90" t="s">
        <v>143</v>
      </c>
      <c r="C33" s="77" t="s">
        <v>29</v>
      </c>
      <c r="D33" s="61">
        <v>1</v>
      </c>
      <c r="E33" s="62">
        <v>1.264222503161E-3</v>
      </c>
    </row>
    <row r="34" spans="2:5" ht="14.5" customHeight="1">
      <c r="B34" s="90" t="s">
        <v>102</v>
      </c>
      <c r="C34" s="66" t="s">
        <v>135</v>
      </c>
      <c r="D34" s="67">
        <v>13</v>
      </c>
      <c r="E34" s="68">
        <v>1.6434892541087001E-2</v>
      </c>
    </row>
    <row r="35" spans="2:5" ht="14.5" customHeight="1">
      <c r="B35" s="90"/>
      <c r="C35" s="66" t="s">
        <v>136</v>
      </c>
      <c r="D35" s="67">
        <v>28</v>
      </c>
      <c r="E35" s="68">
        <v>3.5398230088495998E-2</v>
      </c>
    </row>
    <row r="36" spans="2:5" ht="14.5" customHeight="1">
      <c r="B36" s="90" t="s">
        <v>144</v>
      </c>
      <c r="C36" s="77" t="s">
        <v>29</v>
      </c>
      <c r="D36" s="61">
        <v>41</v>
      </c>
      <c r="E36" s="62">
        <v>5.1833122629582999E-2</v>
      </c>
    </row>
    <row r="37" spans="2:5" ht="14.5" customHeight="1">
      <c r="B37" s="90" t="s">
        <v>103</v>
      </c>
      <c r="C37" s="66" t="s">
        <v>135</v>
      </c>
      <c r="D37" s="67">
        <v>5</v>
      </c>
      <c r="E37" s="68">
        <v>6.3211125158030004E-3</v>
      </c>
    </row>
    <row r="38" spans="2:5" ht="14.5" customHeight="1">
      <c r="B38" s="90"/>
      <c r="C38" s="66" t="s">
        <v>136</v>
      </c>
      <c r="D38" s="67">
        <v>18</v>
      </c>
      <c r="E38" s="68">
        <v>2.2756005056889999E-2</v>
      </c>
    </row>
    <row r="39" spans="2:5" ht="14.5" customHeight="1">
      <c r="B39" s="90" t="s">
        <v>145</v>
      </c>
      <c r="C39" s="77" t="s">
        <v>29</v>
      </c>
      <c r="D39" s="61">
        <v>23</v>
      </c>
      <c r="E39" s="62">
        <v>2.9077117572693E-2</v>
      </c>
    </row>
    <row r="40" spans="2:5" ht="14.5" customHeight="1">
      <c r="B40" s="90" t="s">
        <v>104</v>
      </c>
      <c r="C40" s="66" t="s">
        <v>136</v>
      </c>
      <c r="D40" s="67">
        <v>2</v>
      </c>
      <c r="E40" s="68">
        <v>2.528445006321E-3</v>
      </c>
    </row>
    <row r="41" spans="2:5" ht="14.5" customHeight="1">
      <c r="B41" s="90" t="s">
        <v>146</v>
      </c>
      <c r="C41" s="77" t="s">
        <v>29</v>
      </c>
      <c r="D41" s="61">
        <v>2</v>
      </c>
      <c r="E41" s="62">
        <v>2.528445006321E-3</v>
      </c>
    </row>
    <row r="42" spans="2:5" ht="14.5" customHeight="1">
      <c r="B42" s="90" t="s">
        <v>105</v>
      </c>
      <c r="C42" s="66" t="s">
        <v>135</v>
      </c>
      <c r="D42" s="67">
        <v>10</v>
      </c>
      <c r="E42" s="68">
        <v>1.2642225031606001E-2</v>
      </c>
    </row>
    <row r="43" spans="2:5" ht="14.5" customHeight="1">
      <c r="B43" s="90"/>
      <c r="C43" s="66" t="s">
        <v>136</v>
      </c>
      <c r="D43" s="67">
        <v>18</v>
      </c>
      <c r="E43" s="68">
        <v>2.2756005056889999E-2</v>
      </c>
    </row>
    <row r="44" spans="2:5" ht="14.5" customHeight="1">
      <c r="B44" s="90" t="s">
        <v>147</v>
      </c>
      <c r="C44" s="77" t="s">
        <v>29</v>
      </c>
      <c r="D44" s="61">
        <v>28</v>
      </c>
      <c r="E44" s="62">
        <v>3.5398230088495998E-2</v>
      </c>
    </row>
    <row r="45" spans="2:5" ht="14.5" customHeight="1">
      <c r="B45" s="90" t="s">
        <v>106</v>
      </c>
      <c r="C45" s="66" t="s">
        <v>135</v>
      </c>
      <c r="D45" s="67">
        <v>3</v>
      </c>
      <c r="E45" s="68">
        <v>3.792667509482E-3</v>
      </c>
    </row>
    <row r="46" spans="2:5" ht="14.5" customHeight="1">
      <c r="B46" s="90"/>
      <c r="C46" s="66" t="s">
        <v>136</v>
      </c>
      <c r="D46" s="67">
        <v>7</v>
      </c>
      <c r="E46" s="68">
        <v>8.8495575221239995E-3</v>
      </c>
    </row>
    <row r="47" spans="2:5" ht="14.5" customHeight="1">
      <c r="B47" s="90" t="s">
        <v>148</v>
      </c>
      <c r="C47" s="77" t="s">
        <v>29</v>
      </c>
      <c r="D47" s="61">
        <v>10</v>
      </c>
      <c r="E47" s="62">
        <v>1.2642225031606001E-2</v>
      </c>
    </row>
    <row r="48" spans="2:5" ht="14.5" customHeight="1">
      <c r="B48" s="90" t="s">
        <v>107</v>
      </c>
      <c r="C48" s="66" t="s">
        <v>135</v>
      </c>
      <c r="D48" s="67">
        <v>5</v>
      </c>
      <c r="E48" s="68">
        <v>6.3211125158030004E-3</v>
      </c>
    </row>
    <row r="49" spans="2:5" ht="14.5" customHeight="1">
      <c r="B49" s="90"/>
      <c r="C49" s="66" t="s">
        <v>136</v>
      </c>
      <c r="D49" s="67">
        <v>9</v>
      </c>
      <c r="E49" s="68">
        <v>1.1378002528444999E-2</v>
      </c>
    </row>
    <row r="50" spans="2:5" ht="14.5" customHeight="1">
      <c r="B50" s="90" t="s">
        <v>149</v>
      </c>
      <c r="C50" s="77" t="s">
        <v>29</v>
      </c>
      <c r="D50" s="61">
        <v>14</v>
      </c>
      <c r="E50" s="62">
        <v>1.7699115044247999E-2</v>
      </c>
    </row>
    <row r="51" spans="2:5" ht="14.5" customHeight="1">
      <c r="B51" s="90" t="s">
        <v>108</v>
      </c>
      <c r="C51" s="66" t="s">
        <v>135</v>
      </c>
      <c r="D51" s="67">
        <v>1</v>
      </c>
      <c r="E51" s="68">
        <v>1.264222503161E-3</v>
      </c>
    </row>
    <row r="52" spans="2:5" ht="14.5" customHeight="1">
      <c r="B52" s="90"/>
      <c r="C52" s="66" t="s">
        <v>136</v>
      </c>
      <c r="D52" s="67">
        <v>6</v>
      </c>
      <c r="E52" s="68">
        <v>7.5853350189629999E-3</v>
      </c>
    </row>
    <row r="53" spans="2:5" ht="14.5" customHeight="1">
      <c r="B53" s="90" t="s">
        <v>150</v>
      </c>
      <c r="C53" s="77" t="s">
        <v>29</v>
      </c>
      <c r="D53" s="61">
        <v>7</v>
      </c>
      <c r="E53" s="62">
        <v>8.8495575221239995E-3</v>
      </c>
    </row>
    <row r="54" spans="2:5" ht="14.5" customHeight="1">
      <c r="B54" s="90" t="s">
        <v>109</v>
      </c>
      <c r="C54" s="66" t="s">
        <v>135</v>
      </c>
      <c r="D54" s="67">
        <v>3</v>
      </c>
      <c r="E54" s="68">
        <v>3.792667509482E-3</v>
      </c>
    </row>
    <row r="55" spans="2:5" ht="14.5" customHeight="1">
      <c r="B55" s="90"/>
      <c r="C55" s="66" t="s">
        <v>136</v>
      </c>
      <c r="D55" s="67">
        <v>8</v>
      </c>
      <c r="E55" s="68">
        <v>1.0113780025284E-2</v>
      </c>
    </row>
    <row r="56" spans="2:5" ht="14.5" customHeight="1">
      <c r="B56" s="90" t="s">
        <v>151</v>
      </c>
      <c r="C56" s="77" t="s">
        <v>29</v>
      </c>
      <c r="D56" s="61">
        <v>11</v>
      </c>
      <c r="E56" s="62">
        <v>1.3906447534765999E-2</v>
      </c>
    </row>
    <row r="57" spans="2:5" ht="14.5" customHeight="1">
      <c r="B57" s="90" t="s">
        <v>110</v>
      </c>
      <c r="C57" s="66" t="s">
        <v>135</v>
      </c>
      <c r="D57" s="67">
        <v>1</v>
      </c>
      <c r="E57" s="68">
        <v>1.264222503161E-3</v>
      </c>
    </row>
    <row r="58" spans="2:5" ht="14.5" customHeight="1">
      <c r="B58" s="90"/>
      <c r="C58" s="66" t="s">
        <v>136</v>
      </c>
      <c r="D58" s="67">
        <v>3</v>
      </c>
      <c r="E58" s="68">
        <v>3.792667509482E-3</v>
      </c>
    </row>
    <row r="59" spans="2:5" ht="14.5" customHeight="1">
      <c r="B59" s="90" t="s">
        <v>152</v>
      </c>
      <c r="C59" s="77" t="s">
        <v>29</v>
      </c>
      <c r="D59" s="61">
        <v>4</v>
      </c>
      <c r="E59" s="62">
        <v>5.0568900126419999E-3</v>
      </c>
    </row>
    <row r="60" spans="2:5" ht="14.5" customHeight="1">
      <c r="B60" s="90" t="s">
        <v>111</v>
      </c>
      <c r="C60" s="66" t="s">
        <v>136</v>
      </c>
      <c r="D60" s="67">
        <v>2</v>
      </c>
      <c r="E60" s="68">
        <v>2.528445006321E-3</v>
      </c>
    </row>
    <row r="61" spans="2:5" ht="14.5" customHeight="1">
      <c r="B61" s="90" t="s">
        <v>153</v>
      </c>
      <c r="C61" s="77" t="s">
        <v>29</v>
      </c>
      <c r="D61" s="61">
        <v>2</v>
      </c>
      <c r="E61" s="62">
        <v>2.528445006321E-3</v>
      </c>
    </row>
    <row r="62" spans="2:5" ht="14.5" customHeight="1">
      <c r="B62" s="90" t="s">
        <v>112</v>
      </c>
      <c r="C62" s="66" t="s">
        <v>135</v>
      </c>
      <c r="D62" s="67">
        <v>4</v>
      </c>
      <c r="E62" s="68">
        <v>5.0568900126419999E-3</v>
      </c>
    </row>
    <row r="63" spans="2:5" ht="14.5" customHeight="1">
      <c r="B63" s="90"/>
      <c r="C63" s="66" t="s">
        <v>136</v>
      </c>
      <c r="D63" s="67">
        <v>3</v>
      </c>
      <c r="E63" s="68">
        <v>3.792667509482E-3</v>
      </c>
    </row>
    <row r="64" spans="2:5" ht="14.5" customHeight="1">
      <c r="B64" s="90" t="s">
        <v>154</v>
      </c>
      <c r="C64" s="77" t="s">
        <v>29</v>
      </c>
      <c r="D64" s="61">
        <v>7</v>
      </c>
      <c r="E64" s="62">
        <v>8.8495575221239995E-3</v>
      </c>
    </row>
    <row r="65" spans="2:5" ht="14.5" customHeight="1">
      <c r="B65" s="90" t="s">
        <v>113</v>
      </c>
      <c r="C65" s="66" t="s">
        <v>135</v>
      </c>
      <c r="D65" s="67">
        <v>12</v>
      </c>
      <c r="E65" s="68">
        <v>1.5170670037927001E-2</v>
      </c>
    </row>
    <row r="66" spans="2:5" ht="14.5" customHeight="1">
      <c r="B66" s="90"/>
      <c r="C66" s="66" t="s">
        <v>136</v>
      </c>
      <c r="D66" s="67">
        <v>18</v>
      </c>
      <c r="E66" s="68">
        <v>2.2756005056889999E-2</v>
      </c>
    </row>
    <row r="67" spans="2:5" ht="14.5" customHeight="1">
      <c r="B67" s="90" t="s">
        <v>155</v>
      </c>
      <c r="C67" s="77" t="s">
        <v>29</v>
      </c>
      <c r="D67" s="61">
        <v>30</v>
      </c>
      <c r="E67" s="62">
        <v>3.7926675094817001E-2</v>
      </c>
    </row>
    <row r="68" spans="2:5" ht="14.5" customHeight="1">
      <c r="B68" s="90" t="s">
        <v>114</v>
      </c>
      <c r="C68" s="66" t="s">
        <v>135</v>
      </c>
      <c r="D68" s="67">
        <v>2</v>
      </c>
      <c r="E68" s="68">
        <v>2.528445006321E-3</v>
      </c>
    </row>
    <row r="69" spans="2:5" ht="14.5" customHeight="1">
      <c r="B69" s="90"/>
      <c r="C69" s="66" t="s">
        <v>136</v>
      </c>
      <c r="D69" s="67">
        <v>8</v>
      </c>
      <c r="E69" s="68">
        <v>1.0113780025284E-2</v>
      </c>
    </row>
    <row r="70" spans="2:5" ht="14.5" customHeight="1">
      <c r="B70" s="90" t="s">
        <v>156</v>
      </c>
      <c r="C70" s="77" t="s">
        <v>29</v>
      </c>
      <c r="D70" s="61">
        <v>10</v>
      </c>
      <c r="E70" s="62">
        <v>1.2642225031606001E-2</v>
      </c>
    </row>
    <row r="71" spans="2:5" ht="14.5" customHeight="1">
      <c r="B71" s="90" t="s">
        <v>115</v>
      </c>
      <c r="C71" s="66" t="s">
        <v>135</v>
      </c>
      <c r="D71" s="67">
        <v>1</v>
      </c>
      <c r="E71" s="68">
        <v>1.264222503161E-3</v>
      </c>
    </row>
    <row r="72" spans="2:5" ht="14.5" customHeight="1">
      <c r="B72" s="90"/>
      <c r="C72" s="66" t="s">
        <v>136</v>
      </c>
      <c r="D72" s="67">
        <v>3</v>
      </c>
      <c r="E72" s="68">
        <v>3.792667509482E-3</v>
      </c>
    </row>
    <row r="73" spans="2:5" ht="14.5" customHeight="1">
      <c r="B73" s="90" t="s">
        <v>157</v>
      </c>
      <c r="C73" s="77" t="s">
        <v>29</v>
      </c>
      <c r="D73" s="61">
        <v>4</v>
      </c>
      <c r="E73" s="62">
        <v>5.0568900126419999E-3</v>
      </c>
    </row>
    <row r="74" spans="2:5" ht="14.5" customHeight="1">
      <c r="B74" s="90" t="s">
        <v>116</v>
      </c>
      <c r="C74" s="66" t="s">
        <v>135</v>
      </c>
      <c r="D74" s="67">
        <v>3</v>
      </c>
      <c r="E74" s="68">
        <v>3.792667509482E-3</v>
      </c>
    </row>
    <row r="75" spans="2:5" ht="14.5" customHeight="1">
      <c r="B75" s="90"/>
      <c r="C75" s="66" t="s">
        <v>136</v>
      </c>
      <c r="D75" s="67">
        <v>4</v>
      </c>
      <c r="E75" s="68">
        <v>5.0568900126419999E-3</v>
      </c>
    </row>
    <row r="76" spans="2:5" ht="14.5" customHeight="1">
      <c r="B76" s="90" t="s">
        <v>158</v>
      </c>
      <c r="C76" s="77" t="s">
        <v>29</v>
      </c>
      <c r="D76" s="61">
        <v>7</v>
      </c>
      <c r="E76" s="62">
        <v>8.8495575221239995E-3</v>
      </c>
    </row>
    <row r="77" spans="2:5" ht="14.5" customHeight="1">
      <c r="B77" s="90" t="s">
        <v>117</v>
      </c>
      <c r="C77" s="66" t="s">
        <v>135</v>
      </c>
      <c r="D77" s="67">
        <v>2</v>
      </c>
      <c r="E77" s="68">
        <v>2.528445006321E-3</v>
      </c>
    </row>
    <row r="78" spans="2:5" ht="14.5" customHeight="1">
      <c r="B78" s="90"/>
      <c r="C78" s="66" t="s">
        <v>136</v>
      </c>
      <c r="D78" s="67">
        <v>3</v>
      </c>
      <c r="E78" s="68">
        <v>3.792667509482E-3</v>
      </c>
    </row>
    <row r="79" spans="2:5" ht="14.5" customHeight="1">
      <c r="B79" s="90" t="s">
        <v>159</v>
      </c>
      <c r="C79" s="77" t="s">
        <v>29</v>
      </c>
      <c r="D79" s="61">
        <v>5</v>
      </c>
      <c r="E79" s="62">
        <v>6.3211125158030004E-3</v>
      </c>
    </row>
    <row r="80" spans="2:5" ht="14.5" customHeight="1">
      <c r="B80" s="90" t="s">
        <v>118</v>
      </c>
      <c r="C80" s="66" t="s">
        <v>136</v>
      </c>
      <c r="D80" s="67">
        <v>1</v>
      </c>
      <c r="E80" s="68">
        <v>1.264222503161E-3</v>
      </c>
    </row>
    <row r="81" spans="2:5" ht="14.5" customHeight="1">
      <c r="B81" s="90" t="s">
        <v>160</v>
      </c>
      <c r="C81" s="77" t="s">
        <v>29</v>
      </c>
      <c r="D81" s="61">
        <v>1</v>
      </c>
      <c r="E81" s="62">
        <v>1.264222503161E-3</v>
      </c>
    </row>
    <row r="82" spans="2:5" ht="14.5" customHeight="1">
      <c r="B82" s="90" t="s">
        <v>119</v>
      </c>
      <c r="C82" s="66" t="s">
        <v>135</v>
      </c>
      <c r="D82" s="67">
        <v>5</v>
      </c>
      <c r="E82" s="68">
        <v>6.3211125158030004E-3</v>
      </c>
    </row>
    <row r="83" spans="2:5" ht="14.5" customHeight="1">
      <c r="B83" s="90"/>
      <c r="C83" s="66" t="s">
        <v>136</v>
      </c>
      <c r="D83" s="67">
        <v>8</v>
      </c>
      <c r="E83" s="68">
        <v>1.0113780025284E-2</v>
      </c>
    </row>
    <row r="84" spans="2:5" ht="14.5" customHeight="1">
      <c r="B84" s="90" t="s">
        <v>161</v>
      </c>
      <c r="C84" s="77" t="s">
        <v>29</v>
      </c>
      <c r="D84" s="61">
        <v>13</v>
      </c>
      <c r="E84" s="62">
        <v>1.6434892541087001E-2</v>
      </c>
    </row>
    <row r="85" spans="2:5" ht="14.5" customHeight="1">
      <c r="B85" s="90" t="s">
        <v>120</v>
      </c>
      <c r="C85" s="66" t="s">
        <v>135</v>
      </c>
      <c r="D85" s="67">
        <v>2</v>
      </c>
      <c r="E85" s="68">
        <v>2.528445006321E-3</v>
      </c>
    </row>
    <row r="86" spans="2:5" ht="14.5" customHeight="1">
      <c r="B86" s="90"/>
      <c r="C86" s="66" t="s">
        <v>136</v>
      </c>
      <c r="D86" s="67">
        <v>3</v>
      </c>
      <c r="E86" s="68">
        <v>3.792667509482E-3</v>
      </c>
    </row>
    <row r="87" spans="2:5" ht="14.5" customHeight="1">
      <c r="B87" s="90" t="s">
        <v>162</v>
      </c>
      <c r="C87" s="77" t="s">
        <v>29</v>
      </c>
      <c r="D87" s="61">
        <v>5</v>
      </c>
      <c r="E87" s="62">
        <v>6.3211125158030004E-3</v>
      </c>
    </row>
    <row r="88" spans="2:5" ht="14.5" customHeight="1">
      <c r="B88" s="90" t="s">
        <v>121</v>
      </c>
      <c r="C88" s="66" t="s">
        <v>135</v>
      </c>
      <c r="D88" s="67">
        <v>5</v>
      </c>
      <c r="E88" s="68">
        <v>6.3211125158030004E-3</v>
      </c>
    </row>
    <row r="89" spans="2:5" ht="14.5" customHeight="1">
      <c r="B89" s="90"/>
      <c r="C89" s="66" t="s">
        <v>136</v>
      </c>
      <c r="D89" s="67">
        <v>10</v>
      </c>
      <c r="E89" s="68">
        <v>1.2642225031606001E-2</v>
      </c>
    </row>
    <row r="90" spans="2:5" ht="14.5" customHeight="1">
      <c r="B90" s="90" t="s">
        <v>163</v>
      </c>
      <c r="C90" s="77" t="s">
        <v>29</v>
      </c>
      <c r="D90" s="61">
        <v>15</v>
      </c>
      <c r="E90" s="62">
        <v>1.8963337547408001E-2</v>
      </c>
    </row>
    <row r="91" spans="2:5" ht="14.5" customHeight="1">
      <c r="B91" s="90" t="s">
        <v>122</v>
      </c>
      <c r="C91" s="66" t="s">
        <v>135</v>
      </c>
      <c r="D91" s="67">
        <v>16</v>
      </c>
      <c r="E91" s="68">
        <v>2.0227560050568999E-2</v>
      </c>
    </row>
    <row r="92" spans="2:5" ht="14.5" customHeight="1">
      <c r="B92" s="90"/>
      <c r="C92" s="66" t="s">
        <v>136</v>
      </c>
      <c r="D92" s="67">
        <v>16</v>
      </c>
      <c r="E92" s="68">
        <v>2.0227560050568999E-2</v>
      </c>
    </row>
    <row r="93" spans="2:5" ht="14.5" customHeight="1">
      <c r="B93" s="90" t="s">
        <v>164</v>
      </c>
      <c r="C93" s="77" t="s">
        <v>29</v>
      </c>
      <c r="D93" s="61">
        <v>32</v>
      </c>
      <c r="E93" s="62">
        <v>4.0455120101137998E-2</v>
      </c>
    </row>
    <row r="94" spans="2:5" ht="14.5" customHeight="1">
      <c r="B94" s="90" t="s">
        <v>123</v>
      </c>
      <c r="C94" s="66" t="s">
        <v>135</v>
      </c>
      <c r="D94" s="67">
        <v>6</v>
      </c>
      <c r="E94" s="68">
        <v>7.5853350189629999E-3</v>
      </c>
    </row>
    <row r="95" spans="2:5" ht="14.5" customHeight="1">
      <c r="B95" s="90"/>
      <c r="C95" s="66" t="s">
        <v>136</v>
      </c>
      <c r="D95" s="67">
        <v>5</v>
      </c>
      <c r="E95" s="68">
        <v>6.3211125158030004E-3</v>
      </c>
    </row>
    <row r="96" spans="2:5" ht="14.5" customHeight="1">
      <c r="B96" s="90" t="s">
        <v>165</v>
      </c>
      <c r="C96" s="77" t="s">
        <v>29</v>
      </c>
      <c r="D96" s="61">
        <v>11</v>
      </c>
      <c r="E96" s="62">
        <v>1.3906447534765999E-2</v>
      </c>
    </row>
    <row r="97" spans="2:5" ht="14.5" customHeight="1">
      <c r="B97" s="90" t="s">
        <v>124</v>
      </c>
      <c r="C97" s="66" t="s">
        <v>135</v>
      </c>
      <c r="D97" s="67">
        <v>5</v>
      </c>
      <c r="E97" s="68">
        <v>6.3211125158030004E-3</v>
      </c>
    </row>
    <row r="98" spans="2:5" ht="14.5" customHeight="1">
      <c r="B98" s="90"/>
      <c r="C98" s="66" t="s">
        <v>136</v>
      </c>
      <c r="D98" s="67">
        <v>13</v>
      </c>
      <c r="E98" s="68">
        <v>1.6434892541087001E-2</v>
      </c>
    </row>
    <row r="99" spans="2:5" ht="14.5" customHeight="1">
      <c r="B99" s="90" t="s">
        <v>166</v>
      </c>
      <c r="C99" s="77" t="s">
        <v>29</v>
      </c>
      <c r="D99" s="61">
        <v>18</v>
      </c>
      <c r="E99" s="62">
        <v>2.2756005056889999E-2</v>
      </c>
    </row>
    <row r="100" spans="2:5" ht="14.5" customHeight="1">
      <c r="B100" s="90" t="s">
        <v>125</v>
      </c>
      <c r="C100" s="66" t="s">
        <v>135</v>
      </c>
      <c r="D100" s="67">
        <v>1</v>
      </c>
      <c r="E100" s="68">
        <v>1.264222503161E-3</v>
      </c>
    </row>
    <row r="101" spans="2:5" ht="14.5" customHeight="1">
      <c r="B101" s="90"/>
      <c r="C101" s="66" t="s">
        <v>136</v>
      </c>
      <c r="D101" s="67">
        <v>6</v>
      </c>
      <c r="E101" s="68">
        <v>7.5853350189629999E-3</v>
      </c>
    </row>
    <row r="102" spans="2:5" ht="14.5" customHeight="1">
      <c r="B102" s="90" t="s">
        <v>167</v>
      </c>
      <c r="C102" s="77" t="s">
        <v>29</v>
      </c>
      <c r="D102" s="61">
        <v>7</v>
      </c>
      <c r="E102" s="62">
        <v>8.8495575221239995E-3</v>
      </c>
    </row>
    <row r="103" spans="2:5" ht="14.5" customHeight="1">
      <c r="B103" s="90" t="s">
        <v>126</v>
      </c>
      <c r="C103" s="66" t="s">
        <v>135</v>
      </c>
      <c r="D103" s="67">
        <v>1</v>
      </c>
      <c r="E103" s="68">
        <v>1.264222503161E-3</v>
      </c>
    </row>
    <row r="104" spans="2:5" ht="14.5" customHeight="1">
      <c r="B104" s="90"/>
      <c r="C104" s="66" t="s">
        <v>136</v>
      </c>
      <c r="D104" s="67">
        <v>1</v>
      </c>
      <c r="E104" s="68">
        <v>1.264222503161E-3</v>
      </c>
    </row>
    <row r="105" spans="2:5" ht="14.5" customHeight="1">
      <c r="B105" s="90" t="s">
        <v>168</v>
      </c>
      <c r="C105" s="77" t="s">
        <v>29</v>
      </c>
      <c r="D105" s="61">
        <v>2</v>
      </c>
      <c r="E105" s="62">
        <v>2.528445006321E-3</v>
      </c>
    </row>
    <row r="106" spans="2:5" ht="14.5" customHeight="1">
      <c r="B106" s="90" t="s">
        <v>127</v>
      </c>
      <c r="C106" s="66" t="s">
        <v>135</v>
      </c>
      <c r="D106" s="67">
        <v>4</v>
      </c>
      <c r="E106" s="68">
        <v>5.0568900126419999E-3</v>
      </c>
    </row>
    <row r="107" spans="2:5" ht="14.5" customHeight="1">
      <c r="B107" s="90"/>
      <c r="C107" s="66" t="s">
        <v>136</v>
      </c>
      <c r="D107" s="67">
        <v>13</v>
      </c>
      <c r="E107" s="68">
        <v>1.6434892541087001E-2</v>
      </c>
    </row>
    <row r="108" spans="2:5" ht="14.5" customHeight="1">
      <c r="B108" s="90" t="s">
        <v>169</v>
      </c>
      <c r="C108" s="77" t="s">
        <v>29</v>
      </c>
      <c r="D108" s="61">
        <v>17</v>
      </c>
      <c r="E108" s="62">
        <v>2.1491782553729001E-2</v>
      </c>
    </row>
    <row r="109" spans="2:5" ht="14.5" customHeight="1">
      <c r="B109" s="90" t="s">
        <v>128</v>
      </c>
      <c r="C109" s="66" t="s">
        <v>135</v>
      </c>
      <c r="D109" s="67">
        <v>7</v>
      </c>
      <c r="E109" s="68">
        <v>8.8495575221239995E-3</v>
      </c>
    </row>
    <row r="110" spans="2:5" ht="14.5" customHeight="1">
      <c r="B110" s="90"/>
      <c r="C110" s="66" t="s">
        <v>136</v>
      </c>
      <c r="D110" s="67">
        <v>11</v>
      </c>
      <c r="E110" s="68">
        <v>1.3906447534765999E-2</v>
      </c>
    </row>
    <row r="111" spans="2:5" ht="14.5" customHeight="1">
      <c r="B111" s="90" t="s">
        <v>170</v>
      </c>
      <c r="C111" s="77" t="s">
        <v>29</v>
      </c>
      <c r="D111" s="61">
        <v>18</v>
      </c>
      <c r="E111" s="62">
        <v>2.2756005056889999E-2</v>
      </c>
    </row>
    <row r="112" spans="2:5" ht="14.5" customHeight="1">
      <c r="B112" s="90" t="s">
        <v>129</v>
      </c>
      <c r="C112" s="66" t="s">
        <v>135</v>
      </c>
      <c r="D112" s="67">
        <v>44</v>
      </c>
      <c r="E112" s="68">
        <v>5.5625790139063998E-2</v>
      </c>
    </row>
    <row r="113" spans="1:6" s="41" customFormat="1" ht="14.5" customHeight="1">
      <c r="A113" s="25"/>
      <c r="B113" s="90"/>
      <c r="C113" s="66" t="s">
        <v>136</v>
      </c>
      <c r="D113" s="67">
        <v>92</v>
      </c>
      <c r="E113" s="68">
        <v>0.116308470290771</v>
      </c>
      <c r="F113" s="25"/>
    </row>
    <row r="114" spans="1:6" s="41" customFormat="1" ht="14.5" customHeight="1">
      <c r="A114" s="25"/>
      <c r="B114" s="90" t="s">
        <v>171</v>
      </c>
      <c r="C114" s="77" t="s">
        <v>29</v>
      </c>
      <c r="D114" s="61">
        <v>136</v>
      </c>
      <c r="E114" s="62">
        <v>0.17193426042983601</v>
      </c>
      <c r="F114" s="25"/>
    </row>
    <row r="115" spans="1:6" s="41" customFormat="1" ht="14.5" customHeight="1">
      <c r="A115" s="25"/>
      <c r="B115" s="90" t="s">
        <v>130</v>
      </c>
      <c r="C115" s="66" t="s">
        <v>136</v>
      </c>
      <c r="D115" s="67">
        <v>4</v>
      </c>
      <c r="E115" s="68">
        <v>5.0568900126419999E-3</v>
      </c>
      <c r="F115" s="25"/>
    </row>
    <row r="116" spans="1:6" s="41" customFormat="1" ht="14.5" customHeight="1">
      <c r="A116" s="25"/>
      <c r="B116" s="90" t="s">
        <v>172</v>
      </c>
      <c r="C116" s="77" t="s">
        <v>29</v>
      </c>
      <c r="D116" s="61">
        <v>4</v>
      </c>
      <c r="E116" s="62">
        <v>5.0568900126419999E-3</v>
      </c>
      <c r="F116" s="25"/>
    </row>
    <row r="117" spans="1:6" s="41" customFormat="1" ht="14.5" customHeight="1">
      <c r="A117" s="25"/>
      <c r="B117" s="90" t="s">
        <v>131</v>
      </c>
      <c r="C117" s="66" t="s">
        <v>136</v>
      </c>
      <c r="D117" s="67">
        <v>1</v>
      </c>
      <c r="E117" s="68">
        <v>1.264222503161E-3</v>
      </c>
      <c r="F117" s="25"/>
    </row>
    <row r="118" spans="1:6" ht="14.5" customHeight="1">
      <c r="B118" s="90" t="s">
        <v>173</v>
      </c>
      <c r="C118" s="77" t="s">
        <v>29</v>
      </c>
      <c r="D118" s="61">
        <v>1</v>
      </c>
      <c r="E118" s="62">
        <v>1.264222503161E-3</v>
      </c>
    </row>
    <row r="119" spans="1:6" ht="14.5" customHeight="1">
      <c r="B119" s="90" t="s">
        <v>132</v>
      </c>
      <c r="C119" s="66" t="s">
        <v>135</v>
      </c>
      <c r="D119" s="67">
        <v>10</v>
      </c>
      <c r="E119" s="68">
        <v>1.2642225031606001E-2</v>
      </c>
    </row>
    <row r="120" spans="1:6" ht="14.5" customHeight="1">
      <c r="B120" s="90"/>
      <c r="C120" s="66" t="s">
        <v>136</v>
      </c>
      <c r="D120" s="67">
        <v>21</v>
      </c>
      <c r="E120" s="68">
        <v>2.6548672566372E-2</v>
      </c>
    </row>
    <row r="121" spans="1:6" ht="14.5" customHeight="1">
      <c r="B121" s="90" t="s">
        <v>174</v>
      </c>
      <c r="C121" s="77" t="s">
        <v>29</v>
      </c>
      <c r="D121" s="61">
        <v>31</v>
      </c>
      <c r="E121" s="62">
        <v>3.9190897597976997E-2</v>
      </c>
    </row>
    <row r="122" spans="1:6" ht="14.5" customHeight="1">
      <c r="B122" s="90" t="s">
        <v>56</v>
      </c>
      <c r="C122" s="66" t="s">
        <v>135</v>
      </c>
      <c r="D122" s="67">
        <v>3</v>
      </c>
      <c r="E122" s="68">
        <v>3.792667509482E-3</v>
      </c>
    </row>
    <row r="123" spans="1:6" ht="14.5" customHeight="1">
      <c r="B123" s="90"/>
      <c r="C123" s="66" t="s">
        <v>136</v>
      </c>
      <c r="D123" s="67">
        <v>5</v>
      </c>
      <c r="E123" s="68">
        <v>6.3211125158030004E-3</v>
      </c>
    </row>
    <row r="124" spans="1:6" ht="14.5" customHeight="1">
      <c r="B124" s="90" t="s">
        <v>175</v>
      </c>
      <c r="C124" s="77" t="s">
        <v>29</v>
      </c>
      <c r="D124" s="61">
        <v>8</v>
      </c>
      <c r="E124" s="62">
        <v>1.0113780025284E-2</v>
      </c>
    </row>
    <row r="125" spans="1:6" ht="14.5" customHeight="1">
      <c r="B125" s="90" t="s">
        <v>133</v>
      </c>
      <c r="C125" s="66" t="s">
        <v>136</v>
      </c>
      <c r="D125" s="67">
        <v>1</v>
      </c>
      <c r="E125" s="68">
        <v>1.264222503161E-3</v>
      </c>
    </row>
    <row r="126" spans="1:6" ht="14.5" customHeight="1">
      <c r="B126" s="90"/>
      <c r="C126" s="77" t="s">
        <v>29</v>
      </c>
      <c r="D126" s="61">
        <v>1</v>
      </c>
      <c r="E126" s="62">
        <v>1.264222503161E-3</v>
      </c>
    </row>
    <row r="127" spans="1:6" ht="14.5" customHeight="1">
      <c r="B127" s="90" t="s">
        <v>134</v>
      </c>
      <c r="C127" s="66" t="s">
        <v>135</v>
      </c>
      <c r="D127" s="67">
        <v>3</v>
      </c>
      <c r="E127" s="68">
        <v>3.792667509482E-3</v>
      </c>
    </row>
    <row r="128" spans="1:6" ht="14.5" customHeight="1">
      <c r="B128" s="90"/>
      <c r="C128" s="66" t="s">
        <v>136</v>
      </c>
      <c r="D128" s="67">
        <v>2</v>
      </c>
      <c r="E128" s="68">
        <v>2.528445006321E-3</v>
      </c>
    </row>
    <row r="129" spans="2:5" ht="14.5" customHeight="1">
      <c r="B129" s="90" t="s">
        <v>176</v>
      </c>
      <c r="C129" s="77" t="s">
        <v>29</v>
      </c>
      <c r="D129" s="61">
        <v>5</v>
      </c>
      <c r="E129" s="62">
        <v>6.3211125158030004E-3</v>
      </c>
    </row>
    <row r="130" spans="2:5" ht="14.5" customHeight="1">
      <c r="B130" s="98" t="s">
        <v>29</v>
      </c>
      <c r="C130" s="98"/>
      <c r="D130" s="59">
        <v>791</v>
      </c>
      <c r="E130" s="60">
        <v>1</v>
      </c>
    </row>
    <row r="131" spans="2:5" ht="14.5" customHeight="1">
      <c r="B131" s="78"/>
    </row>
    <row r="132" spans="2:5" ht="14.5" customHeight="1">
      <c r="B132" s="15" t="s">
        <v>47</v>
      </c>
    </row>
    <row r="133" spans="2:5" ht="14.5" customHeight="1">
      <c r="B133" s="17" t="s">
        <v>18</v>
      </c>
    </row>
    <row r="134" spans="2:5" ht="14.5" customHeight="1">
      <c r="B134" s="16" t="s">
        <v>48</v>
      </c>
    </row>
    <row r="135" spans="2:5" ht="14.5" customHeight="1">
      <c r="B135" s="15" t="s">
        <v>17</v>
      </c>
    </row>
    <row r="136" spans="2:5" ht="14.5" customHeight="1">
      <c r="B136" s="15" t="s">
        <v>49</v>
      </c>
    </row>
  </sheetData>
  <mergeCells count="44">
    <mergeCell ref="B25:B27"/>
    <mergeCell ref="B28:B29"/>
    <mergeCell ref="B30:B31"/>
    <mergeCell ref="B8:E10"/>
    <mergeCell ref="B13:B15"/>
    <mergeCell ref="B16:B18"/>
    <mergeCell ref="B19:B21"/>
    <mergeCell ref="B22:B24"/>
    <mergeCell ref="B45:B47"/>
    <mergeCell ref="B48:B50"/>
    <mergeCell ref="B51:B53"/>
    <mergeCell ref="B54:B56"/>
    <mergeCell ref="B57:B59"/>
    <mergeCell ref="B88:B90"/>
    <mergeCell ref="B91:B93"/>
    <mergeCell ref="B94:B96"/>
    <mergeCell ref="B74:B76"/>
    <mergeCell ref="B77:B79"/>
    <mergeCell ref="B80:B81"/>
    <mergeCell ref="B82:B84"/>
    <mergeCell ref="B85:B87"/>
    <mergeCell ref="B112:B114"/>
    <mergeCell ref="B97:B99"/>
    <mergeCell ref="B100:B102"/>
    <mergeCell ref="B103:B105"/>
    <mergeCell ref="B106:B108"/>
    <mergeCell ref="B109:B111"/>
    <mergeCell ref="B32:B33"/>
    <mergeCell ref="B34:B36"/>
    <mergeCell ref="B37:B39"/>
    <mergeCell ref="B40:B41"/>
    <mergeCell ref="B42:B44"/>
    <mergeCell ref="B60:B61"/>
    <mergeCell ref="B62:B64"/>
    <mergeCell ref="B65:B67"/>
    <mergeCell ref="B68:B70"/>
    <mergeCell ref="B71:B73"/>
    <mergeCell ref="B127:B129"/>
    <mergeCell ref="B130:C130"/>
    <mergeCell ref="B115:B116"/>
    <mergeCell ref="B117:B118"/>
    <mergeCell ref="B119:B121"/>
    <mergeCell ref="B122:B124"/>
    <mergeCell ref="B125:B126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3"/>
  <sheetViews>
    <sheetView showGridLines="0" view="pageBreakPreview" zoomScaleNormal="100" zoomScaleSheetLayoutView="100" workbookViewId="0">
      <selection activeCell="B28" sqref="B28:B33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8.269531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5.72656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1"/>
    </row>
    <row r="3" spans="2:7" ht="15" customHeight="1">
      <c r="B3" s="52"/>
      <c r="C3" s="31"/>
      <c r="D3" s="25"/>
      <c r="E3" s="25"/>
      <c r="G3" s="41"/>
    </row>
    <row r="4" spans="2:7" ht="30" customHeight="1">
      <c r="B4" s="52"/>
      <c r="C4" s="31"/>
      <c r="D4" s="25"/>
      <c r="E4" s="25"/>
      <c r="G4" s="41"/>
    </row>
    <row r="5" spans="2:7" ht="15" customHeight="1">
      <c r="B5" s="52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1"/>
    </row>
    <row r="8" spans="2:7" s="13" customFormat="1" ht="15" customHeight="1">
      <c r="B8" s="89" t="s">
        <v>34</v>
      </c>
      <c r="C8" s="89"/>
      <c r="D8" s="89"/>
      <c r="E8" s="89"/>
      <c r="F8" s="89"/>
    </row>
    <row r="9" spans="2:7" s="13" customFormat="1" ht="15" customHeight="1">
      <c r="B9" s="89"/>
      <c r="C9" s="89"/>
      <c r="D9" s="89"/>
      <c r="E9" s="89"/>
      <c r="F9" s="89"/>
      <c r="G9" s="50"/>
    </row>
    <row r="10" spans="2:7" s="13" customFormat="1" ht="15" customHeight="1">
      <c r="B10" s="89"/>
      <c r="C10" s="89"/>
      <c r="D10" s="89"/>
      <c r="E10" s="89"/>
      <c r="F10" s="89"/>
    </row>
    <row r="11" spans="2:7" s="13" customFormat="1" ht="15" customHeight="1">
      <c r="B11" s="53"/>
      <c r="C11" s="53"/>
      <c r="D11" s="53"/>
      <c r="E11" s="53"/>
      <c r="F11" s="53"/>
    </row>
    <row r="12" spans="2:7" s="13" customFormat="1" ht="42.5" customHeight="1">
      <c r="B12" s="55" t="s">
        <v>30</v>
      </c>
      <c r="C12" s="55" t="s">
        <v>33</v>
      </c>
      <c r="D12" s="55" t="s">
        <v>20</v>
      </c>
      <c r="E12" s="55" t="s">
        <v>32</v>
      </c>
      <c r="F12" s="55" t="s">
        <v>31</v>
      </c>
    </row>
    <row r="13" spans="2:7" ht="14.5" customHeight="1">
      <c r="B13" s="99" t="s">
        <v>135</v>
      </c>
      <c r="C13" s="56" t="s">
        <v>210</v>
      </c>
      <c r="D13" s="57">
        <v>3</v>
      </c>
      <c r="E13" s="65">
        <v>1.195219123506E-2</v>
      </c>
      <c r="F13" s="58">
        <v>3.792667509482E-3</v>
      </c>
    </row>
    <row r="14" spans="2:7" ht="14.5" customHeight="1">
      <c r="B14" s="99"/>
      <c r="C14" s="56" t="s">
        <v>211</v>
      </c>
      <c r="D14" s="57">
        <v>84</v>
      </c>
      <c r="E14" s="65">
        <v>0.33466135458167301</v>
      </c>
      <c r="F14" s="58">
        <v>0.106194690265487</v>
      </c>
    </row>
    <row r="15" spans="2:7" ht="14.5" customHeight="1">
      <c r="B15" s="99"/>
      <c r="C15" s="56" t="s">
        <v>212</v>
      </c>
      <c r="D15" s="57">
        <v>88</v>
      </c>
      <c r="E15" s="65">
        <v>0.35059760956175301</v>
      </c>
      <c r="F15" s="58">
        <v>0.11125158027812899</v>
      </c>
    </row>
    <row r="16" spans="2:7" ht="14.5" customHeight="1">
      <c r="B16" s="99"/>
      <c r="C16" s="56" t="s">
        <v>213</v>
      </c>
      <c r="D16" s="57">
        <v>58</v>
      </c>
      <c r="E16" s="65">
        <v>0.23107569721115501</v>
      </c>
      <c r="F16" s="58">
        <v>7.3324905183312E-2</v>
      </c>
    </row>
    <row r="17" spans="2:6" ht="14.5" customHeight="1">
      <c r="B17" s="99"/>
      <c r="C17" s="56" t="s">
        <v>214</v>
      </c>
      <c r="D17" s="57">
        <v>17</v>
      </c>
      <c r="E17" s="65">
        <v>6.7729083665339002E-2</v>
      </c>
      <c r="F17" s="58">
        <v>2.1491782553729001E-2</v>
      </c>
    </row>
    <row r="18" spans="2:6" ht="14.5" customHeight="1">
      <c r="B18" s="99"/>
      <c r="C18" s="56" t="s">
        <v>215</v>
      </c>
      <c r="D18" s="57">
        <v>1</v>
      </c>
      <c r="E18" s="65">
        <v>3.98406374502E-3</v>
      </c>
      <c r="F18" s="58">
        <v>1.264222503161E-3</v>
      </c>
    </row>
    <row r="19" spans="2:6" ht="14.5" customHeight="1">
      <c r="B19" s="99" t="s">
        <v>136</v>
      </c>
      <c r="C19" s="56" t="s">
        <v>210</v>
      </c>
      <c r="D19" s="57">
        <v>2</v>
      </c>
      <c r="E19" s="65">
        <v>3.703703703704E-3</v>
      </c>
      <c r="F19" s="58">
        <v>2.528445006321E-3</v>
      </c>
    </row>
    <row r="20" spans="2:6" ht="14.5" customHeight="1">
      <c r="B20" s="99"/>
      <c r="C20" s="56" t="s">
        <v>211</v>
      </c>
      <c r="D20" s="57">
        <v>173</v>
      </c>
      <c r="E20" s="65">
        <v>0.32037037037036997</v>
      </c>
      <c r="F20" s="58">
        <v>0.21871049304677601</v>
      </c>
    </row>
    <row r="21" spans="2:6" ht="14.5" customHeight="1">
      <c r="B21" s="99"/>
      <c r="C21" s="56" t="s">
        <v>212</v>
      </c>
      <c r="D21" s="57">
        <v>243</v>
      </c>
      <c r="E21" s="65">
        <v>0.45</v>
      </c>
      <c r="F21" s="58">
        <v>0.307206068268015</v>
      </c>
    </row>
    <row r="22" spans="2:6" ht="14.5" customHeight="1">
      <c r="B22" s="99"/>
      <c r="C22" s="56" t="s">
        <v>213</v>
      </c>
      <c r="D22" s="57">
        <v>98</v>
      </c>
      <c r="E22" s="65">
        <v>0.18148148148148199</v>
      </c>
      <c r="F22" s="58">
        <v>0.123893805309735</v>
      </c>
    </row>
    <row r="23" spans="2:6" ht="14.5" customHeight="1">
      <c r="B23" s="99"/>
      <c r="C23" s="56" t="s">
        <v>214</v>
      </c>
      <c r="D23" s="57">
        <v>21</v>
      </c>
      <c r="E23" s="65">
        <v>3.8888888888889001E-2</v>
      </c>
      <c r="F23" s="58">
        <v>2.6548672566372E-2</v>
      </c>
    </row>
    <row r="24" spans="2:6" ht="14.5" customHeight="1">
      <c r="B24" s="99"/>
      <c r="C24" s="56" t="s">
        <v>216</v>
      </c>
      <c r="D24" s="57">
        <v>1</v>
      </c>
      <c r="E24" s="65">
        <v>1.851851851852E-3</v>
      </c>
      <c r="F24" s="58">
        <v>1.264222503161E-3</v>
      </c>
    </row>
    <row r="25" spans="2:6" ht="14.5" customHeight="1">
      <c r="B25" s="99"/>
      <c r="C25" s="56" t="s">
        <v>215</v>
      </c>
      <c r="D25" s="57">
        <v>1</v>
      </c>
      <c r="E25" s="65">
        <v>1.851851851852E-3</v>
      </c>
      <c r="F25" s="58">
        <v>1.264222503161E-3</v>
      </c>
    </row>
    <row r="26" spans="2:6" ht="14.5" customHeight="1">
      <c r="B26" s="99"/>
      <c r="C26" s="56" t="s">
        <v>217</v>
      </c>
      <c r="D26" s="57">
        <v>1</v>
      </c>
      <c r="E26" s="65">
        <v>1.851851851852E-3</v>
      </c>
      <c r="F26" s="58">
        <v>1.264222503161E-3</v>
      </c>
    </row>
    <row r="27" spans="2:6" ht="14.5" customHeight="1">
      <c r="B27" s="98" t="s">
        <v>29</v>
      </c>
      <c r="C27" s="98"/>
      <c r="D27" s="59">
        <v>791</v>
      </c>
      <c r="E27" s="60">
        <v>1</v>
      </c>
      <c r="F27" s="60">
        <v>1</v>
      </c>
    </row>
    <row r="28" spans="2:6" ht="14.5" customHeight="1">
      <c r="B28" s="15"/>
    </row>
    <row r="29" spans="2:6" ht="14.5" customHeight="1">
      <c r="B29" s="15" t="s">
        <v>47</v>
      </c>
    </row>
    <row r="30" spans="2:6" ht="14.5" customHeight="1">
      <c r="B30" s="17" t="s">
        <v>18</v>
      </c>
    </row>
    <row r="31" spans="2:6" ht="14.5" customHeight="1">
      <c r="B31" s="16" t="s">
        <v>48</v>
      </c>
    </row>
    <row r="32" spans="2:6" ht="14.5" customHeight="1">
      <c r="B32" s="15" t="s">
        <v>17</v>
      </c>
    </row>
    <row r="33" spans="2:2" ht="14.5" customHeight="1">
      <c r="B33" s="15" t="s">
        <v>49</v>
      </c>
    </row>
  </sheetData>
  <mergeCells count="4">
    <mergeCell ref="B8:F10"/>
    <mergeCell ref="B27:C27"/>
    <mergeCell ref="B19:B26"/>
    <mergeCell ref="B13:B1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42"/>
  <sheetViews>
    <sheetView showGridLines="0" view="pageBreakPreview" zoomScale="115" zoomScaleNormal="100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40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9" t="s">
        <v>284</v>
      </c>
      <c r="C7" s="89"/>
      <c r="D7" s="89"/>
    </row>
    <row r="8" spans="2:4" s="25" customFormat="1" ht="15" customHeight="1">
      <c r="B8" s="89"/>
      <c r="C8" s="89"/>
      <c r="D8" s="89"/>
    </row>
    <row r="9" spans="2:4" s="25" customFormat="1" ht="33" customHeight="1">
      <c r="B9" s="89"/>
      <c r="C9" s="89"/>
      <c r="D9" s="89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35</v>
      </c>
      <c r="C11" s="27" t="s">
        <v>20</v>
      </c>
      <c r="D11" s="26" t="s">
        <v>19</v>
      </c>
    </row>
    <row r="12" spans="2:4" s="79" customFormat="1" ht="14">
      <c r="B12" s="23" t="s">
        <v>219</v>
      </c>
      <c r="C12" s="22">
        <v>490</v>
      </c>
      <c r="D12" s="21">
        <v>0.61946902654867297</v>
      </c>
    </row>
    <row r="13" spans="2:4" s="79" customFormat="1" ht="14">
      <c r="B13" s="23" t="s">
        <v>220</v>
      </c>
      <c r="C13" s="22">
        <v>85</v>
      </c>
      <c r="D13" s="21">
        <v>0.107458912768647</v>
      </c>
    </row>
    <row r="14" spans="2:4" s="79" customFormat="1" ht="14">
      <c r="B14" s="23" t="s">
        <v>221</v>
      </c>
      <c r="C14" s="22">
        <v>47</v>
      </c>
      <c r="D14" s="21">
        <v>5.9418457648546003E-2</v>
      </c>
    </row>
    <row r="15" spans="2:4" s="79" customFormat="1" ht="14">
      <c r="B15" s="23" t="s">
        <v>222</v>
      </c>
      <c r="C15" s="22">
        <v>46</v>
      </c>
      <c r="D15" s="21">
        <v>5.8154235145386E-2</v>
      </c>
    </row>
    <row r="16" spans="2:4" s="79" customFormat="1" ht="28">
      <c r="B16" s="23" t="s">
        <v>223</v>
      </c>
      <c r="C16" s="22">
        <v>32</v>
      </c>
      <c r="D16" s="21">
        <v>4.0455120101137998E-2</v>
      </c>
    </row>
    <row r="17" spans="2:4" s="79" customFormat="1" ht="14">
      <c r="B17" s="23" t="s">
        <v>224</v>
      </c>
      <c r="C17" s="22">
        <v>29</v>
      </c>
      <c r="D17" s="21">
        <v>3.6662452591656E-2</v>
      </c>
    </row>
    <row r="18" spans="2:4" s="79" customFormat="1" ht="14">
      <c r="B18" s="23" t="s">
        <v>225</v>
      </c>
      <c r="C18" s="22">
        <v>12</v>
      </c>
      <c r="D18" s="21">
        <v>1.5170670037927001E-2</v>
      </c>
    </row>
    <row r="19" spans="2:4" s="79" customFormat="1" ht="14">
      <c r="B19" s="23" t="s">
        <v>226</v>
      </c>
      <c r="C19" s="22">
        <v>9</v>
      </c>
      <c r="D19" s="21">
        <v>1.1378002528444999E-2</v>
      </c>
    </row>
    <row r="20" spans="2:4" s="79" customFormat="1" ht="14">
      <c r="B20" s="23" t="s">
        <v>227</v>
      </c>
      <c r="C20" s="22">
        <v>9</v>
      </c>
      <c r="D20" s="21">
        <v>1.1378002528444999E-2</v>
      </c>
    </row>
    <row r="21" spans="2:4" s="79" customFormat="1" ht="14">
      <c r="B21" s="23" t="s">
        <v>228</v>
      </c>
      <c r="C21" s="22">
        <v>6</v>
      </c>
      <c r="D21" s="21">
        <v>7.5853350189629999E-3</v>
      </c>
    </row>
    <row r="22" spans="2:4" s="79" customFormat="1" ht="14">
      <c r="B22" s="23" t="s">
        <v>229</v>
      </c>
      <c r="C22" s="22">
        <v>6</v>
      </c>
      <c r="D22" s="21">
        <v>7.5853350189629999E-3</v>
      </c>
    </row>
    <row r="23" spans="2:4" s="79" customFormat="1" ht="14">
      <c r="B23" s="23" t="s">
        <v>230</v>
      </c>
      <c r="C23" s="22">
        <v>4</v>
      </c>
      <c r="D23" s="21">
        <v>5.0568900126419999E-3</v>
      </c>
    </row>
    <row r="24" spans="2:4" s="79" customFormat="1" ht="14">
      <c r="B24" s="23" t="s">
        <v>231</v>
      </c>
      <c r="C24" s="22">
        <v>3</v>
      </c>
      <c r="D24" s="21">
        <v>3.792667509482E-3</v>
      </c>
    </row>
    <row r="25" spans="2:4" s="79" customFormat="1" ht="14">
      <c r="B25" s="23" t="s">
        <v>232</v>
      </c>
      <c r="C25" s="22">
        <v>2</v>
      </c>
      <c r="D25" s="21">
        <v>2.528445006321E-3</v>
      </c>
    </row>
    <row r="26" spans="2:4" s="79" customFormat="1" ht="14">
      <c r="B26" s="23" t="s">
        <v>233</v>
      </c>
      <c r="C26" s="22">
        <v>2</v>
      </c>
      <c r="D26" s="21">
        <v>2.528445006321E-3</v>
      </c>
    </row>
    <row r="27" spans="2:4" s="79" customFormat="1" ht="14">
      <c r="B27" s="23" t="s">
        <v>234</v>
      </c>
      <c r="C27" s="22">
        <v>1</v>
      </c>
      <c r="D27" s="21">
        <v>1.264222503161E-3</v>
      </c>
    </row>
    <row r="28" spans="2:4" s="79" customFormat="1" ht="14">
      <c r="B28" s="23" t="s">
        <v>235</v>
      </c>
      <c r="C28" s="22">
        <v>1</v>
      </c>
      <c r="D28" s="21">
        <v>1.264222503161E-3</v>
      </c>
    </row>
    <row r="29" spans="2:4" s="79" customFormat="1" ht="14">
      <c r="B29" s="23" t="s">
        <v>236</v>
      </c>
      <c r="C29" s="22">
        <v>1</v>
      </c>
      <c r="D29" s="21">
        <v>1.264222503161E-3</v>
      </c>
    </row>
    <row r="30" spans="2:4" s="79" customFormat="1" ht="14">
      <c r="B30" s="23" t="s">
        <v>237</v>
      </c>
      <c r="C30" s="22">
        <v>1</v>
      </c>
      <c r="D30" s="21">
        <v>1.264222503161E-3</v>
      </c>
    </row>
    <row r="31" spans="2:4" s="79" customFormat="1" ht="14">
      <c r="B31" s="23" t="s">
        <v>238</v>
      </c>
      <c r="C31" s="22">
        <v>1</v>
      </c>
      <c r="D31" s="21">
        <v>1.264222503161E-3</v>
      </c>
    </row>
    <row r="32" spans="2:4" s="79" customFormat="1" ht="14">
      <c r="B32" s="23" t="s">
        <v>239</v>
      </c>
      <c r="C32" s="22">
        <v>1</v>
      </c>
      <c r="D32" s="21">
        <v>1.264222503161E-3</v>
      </c>
    </row>
    <row r="33" spans="2:4" s="79" customFormat="1" ht="14">
      <c r="B33" s="23" t="s">
        <v>240</v>
      </c>
      <c r="C33" s="22">
        <v>1</v>
      </c>
      <c r="D33" s="21">
        <v>1.264222503161E-3</v>
      </c>
    </row>
    <row r="34" spans="2:4" s="79" customFormat="1" ht="14">
      <c r="B34" s="23" t="s">
        <v>241</v>
      </c>
      <c r="C34" s="22">
        <v>1</v>
      </c>
      <c r="D34" s="21">
        <v>1.264222503161E-3</v>
      </c>
    </row>
    <row r="35" spans="2:4" s="79" customFormat="1" ht="14">
      <c r="B35" s="23" t="s">
        <v>242</v>
      </c>
      <c r="C35" s="22">
        <v>1</v>
      </c>
      <c r="D35" s="21">
        <v>1.264222503161E-3</v>
      </c>
    </row>
    <row r="36" spans="2:4" s="79" customFormat="1" ht="14">
      <c r="B36" s="20" t="s">
        <v>29</v>
      </c>
      <c r="C36" s="19">
        <v>791</v>
      </c>
      <c r="D36" s="18">
        <v>1</v>
      </c>
    </row>
    <row r="37" spans="2:4">
      <c r="B37" s="15"/>
    </row>
    <row r="38" spans="2:4">
      <c r="B38" s="15" t="s">
        <v>47</v>
      </c>
    </row>
    <row r="39" spans="2:4">
      <c r="B39" s="17" t="s">
        <v>18</v>
      </c>
    </row>
    <row r="40" spans="2:4">
      <c r="B40" s="16" t="s">
        <v>48</v>
      </c>
    </row>
    <row r="41" spans="2:4">
      <c r="B41" s="15" t="s">
        <v>17</v>
      </c>
    </row>
    <row r="42" spans="2:4">
      <c r="B42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Quintana Roo_EdoUsa</vt:lpstr>
      <vt:lpstr>Quintana Roo_Cons</vt:lpstr>
      <vt:lpstr>Quintana RooXCons</vt:lpstr>
      <vt:lpstr>Quintana Roo_EdoMun</vt:lpstr>
      <vt:lpstr>Quintana Roo_USAMuni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Roo_GENERO_EUA</vt:lpstr>
      <vt:lpstr>Quintana Roo_Gen_Edad</vt:lpstr>
      <vt:lpstr>Quintana Roo_ocup_gral</vt:lpstr>
      <vt:lpstr>'Quintana Roo_educ_gral'!Área_de_impresión</vt:lpstr>
      <vt:lpstr>'Quintana Roo_EducCons'!Área_de_impresión</vt:lpstr>
      <vt:lpstr>'Quintana Roo_MUNICIPIO'!Área_de_impresión</vt:lpstr>
      <vt:lpstr>'Quintana Roo_NivelE_Cons'!Área_de_impresión</vt:lpstr>
      <vt:lpstr>'Quintana Roo_ocup_gral'!Área_de_impresión</vt:lpstr>
      <vt:lpstr>'Quintana Roo_USAMuni'!Área_de_impresión</vt:lpstr>
      <vt:lpstr>'Quintana Roo_Cons'!Títulos_a_imprimir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Roo_GENERO_EUA'!Títulos_a_imprimir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Roo_USAMuni'!Títulos_a_imprimir</vt:lpstr>
      <vt:lpstr>'Quintana RooXCons'!Títulos_a_imprimir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2020-06-03T23:03:53Z</dcterms:created>
  <dcterms:modified xsi:type="dcterms:W3CDTF">2024-12-26T14:45:12Z</dcterms:modified>
</cp:coreProperties>
</file>