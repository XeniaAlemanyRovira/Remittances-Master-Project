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3\República Mexicana\Finales_RM\"/>
    </mc:Choice>
  </mc:AlternateContent>
  <xr:revisionPtr revIDLastSave="0" documentId="13_ncr:1_{CDC89338-7100-48EE-B1C5-98D4520E9585}" xr6:coauthVersionLast="47" xr6:coauthVersionMax="47" xr10:uidLastSave="{00000000-0000-0000-0000-000000000000}"/>
  <bookViews>
    <workbookView xWindow="-110" yWindow="-110" windowWidth="19420" windowHeight="10420" tabRatio="828" firstSheet="9" activeTab="12" xr2:uid="{00000000-000D-0000-FFFF-FFFF00000000}"/>
  </bookViews>
  <sheets>
    <sheet name="Índice" sheetId="1" r:id="rId1"/>
    <sheet name="Tabasco_EdoUsa" sheetId="2" r:id="rId2"/>
    <sheet name="Tabasco_Cons" sheetId="15" r:id="rId3"/>
    <sheet name="TabascoXCons" sheetId="16" r:id="rId4"/>
    <sheet name="Tabasco_EdoMun" sheetId="5" r:id="rId5"/>
    <sheet name="Tabasco_USAMuni" sheetId="6" r:id="rId6"/>
    <sheet name="Tabasco_MUNICIPIO" sheetId="7" r:id="rId7"/>
    <sheet name="Tabasco_educ_gral" sheetId="8" r:id="rId8"/>
    <sheet name="Tabasco_NivelE_Cons" sheetId="9" r:id="rId9"/>
    <sheet name="Tabasco_EducCons" sheetId="10" r:id="rId10"/>
    <sheet name="Tabasco_GenGral" sheetId="11" r:id="rId11"/>
    <sheet name="Tabasco_GENERO" sheetId="12" r:id="rId12"/>
    <sheet name="Tabasco_GENERO_EUA" sheetId="17" r:id="rId13"/>
    <sheet name="Tabasco_Gen_Edad" sheetId="13" r:id="rId14"/>
    <sheet name="Tabasco_ocup_gral" sheetId="14" r:id="rId15"/>
  </sheets>
  <definedNames>
    <definedName name="_xlnm._FilterDatabase" localSheetId="2" hidden="1">Tabasco_Cons!$B$11:$D$11</definedName>
    <definedName name="_xlnm._FilterDatabase" localSheetId="4" hidden="1">Tabasco_EdoMun!$B$11:$D$11</definedName>
    <definedName name="_xlnm._FilterDatabase" localSheetId="1" hidden="1">Tabasco_EdoUsa!$B$11:$D$11</definedName>
    <definedName name="_xlnm._FilterDatabase" localSheetId="7" hidden="1">Tabasco_educ_gral!$B$11:$D$11</definedName>
    <definedName name="_xlnm._FilterDatabase" localSheetId="9" hidden="1">Tabasco_EducCons!$B$9:$E$9</definedName>
    <definedName name="_xlnm._FilterDatabase" localSheetId="11" hidden="1">Tabasco_GENERO!$B$12:$E$143</definedName>
    <definedName name="_xlnm._FilterDatabase" localSheetId="12" hidden="1">Tabasco_GENERO_EUA!$B$12:$E$145</definedName>
    <definedName name="_xlnm._FilterDatabase" localSheetId="10" hidden="1">Tabasco_GenGral!$B$11:$D$11</definedName>
    <definedName name="_xlnm._FilterDatabase" localSheetId="6" hidden="1">Tabasco_MUNICIPIO!$B$9:$E$9</definedName>
    <definedName name="_xlnm._FilterDatabase" localSheetId="8" hidden="1">Tabasco_NivelE_Cons!$B$9:$E$9</definedName>
    <definedName name="_xlnm._FilterDatabase" localSheetId="14" hidden="1">Tabasco_ocup_gral!$B$11:$D$11</definedName>
    <definedName name="_xlnm._FilterDatabase" localSheetId="5" hidden="1">Tabasco_USAMuni!$B$9:$E$9</definedName>
    <definedName name="_xlnm._FilterDatabase" localSheetId="3" hidden="1">TabascoXCons!$B$11:$D$11</definedName>
    <definedName name="_xlnm.Print_Area" localSheetId="7">Tabasco_educ_gral!$A$1:$F$43</definedName>
    <definedName name="_xlnm.Print_Area" localSheetId="9">Tabasco_EducCons!$A$1:$E$592</definedName>
    <definedName name="_xlnm.Print_Area" localSheetId="6">Tabasco_MUNICIPIO!$A$1:$E$572</definedName>
    <definedName name="_xlnm.Print_Area" localSheetId="8">Tabasco_NivelE_Cons!$A$1:$E$501</definedName>
    <definedName name="_xlnm.Print_Area" localSheetId="5">Tabasco_USAMuni!$A$1:$E$493</definedName>
    <definedName name="_xlnm.Print_Titles" localSheetId="2">Tabasco_Cons!$1:$11</definedName>
    <definedName name="_xlnm.Print_Titles" localSheetId="4">Tabasco_EdoMun!$1:$11</definedName>
    <definedName name="_xlnm.Print_Titles" localSheetId="1">Tabasco_EdoUsa!$1:$11</definedName>
    <definedName name="_xlnm.Print_Titles" localSheetId="7">Tabasco_educ_gral!$1:$11</definedName>
    <definedName name="_xlnm.Print_Titles" localSheetId="9">Tabasco_EducCons!$1:$9</definedName>
    <definedName name="_xlnm.Print_Titles" localSheetId="13">Tabasco_Gen_Edad!$1:$12</definedName>
    <definedName name="_xlnm.Print_Titles" localSheetId="11">Tabasco_GENERO!$1:$12</definedName>
    <definedName name="_xlnm.Print_Titles" localSheetId="12">Tabasco_GENERO_EUA!$1:$12</definedName>
    <definedName name="_xlnm.Print_Titles" localSheetId="10">Tabasco_GenGral!$1:$11</definedName>
    <definedName name="_xlnm.Print_Titles" localSheetId="6">Tabasco_MUNICIPIO!$1:$9</definedName>
    <definedName name="_xlnm.Print_Titles" localSheetId="8">Tabasco_NivelE_Cons!$1:$9</definedName>
    <definedName name="_xlnm.Print_Titles" localSheetId="14">Tabasco_ocup_gral!$1:$11</definedName>
    <definedName name="_xlnm.Print_Titles" localSheetId="5">Tabasco_USAMuni!$1:$9</definedName>
    <definedName name="_xlnm.Print_Titles" localSheetId="3">TabascoXCons!$1:$11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6" l="1"/>
  <c r="D14" i="16"/>
  <c r="D20" i="16"/>
  <c r="D21" i="16"/>
  <c r="D19" i="16"/>
  <c r="D18" i="16"/>
  <c r="D17" i="16"/>
  <c r="D16" i="16"/>
  <c r="D13" i="16"/>
  <c r="D12" i="16"/>
  <c r="C22" i="16"/>
  <c r="D22" i="16" l="1"/>
</calcChain>
</file>

<file path=xl/sharedStrings.xml><?xml version="1.0" encoding="utf-8"?>
<sst xmlns="http://schemas.openxmlformats.org/spreadsheetml/2006/main" count="3086" uniqueCount="329">
  <si>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</si>
  <si>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</si>
  <si>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</si>
  <si>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</si>
  <si>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</si>
  <si>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</si>
  <si>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</si>
  <si>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</si>
  <si>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</si>
  <si>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</si>
  <si>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</si>
  <si>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</si>
  <si>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</si>
  <si>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</si>
  <si>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</si>
  <si>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</si>
  <si>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</si>
  <si>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</si>
  <si>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Fuente: Expedición de Matrículas Consulares de Alta Seguridad en los Consulados de México en E.E.U.U.</t>
  </si>
  <si>
    <t>Porcentaje de Matrículas</t>
  </si>
  <si>
    <t>Número de Matrículas</t>
  </si>
  <si>
    <t xml:space="preserve">Estado 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</si>
  <si>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</si>
  <si>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</si>
  <si>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</si>
  <si>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</si>
  <si>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</si>
  <si>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</si>
  <si>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</si>
  <si>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TOTAL</t>
  </si>
  <si>
    <t>Género</t>
  </si>
  <si>
    <t>Porcentaje con respecto al total de Matrículas</t>
  </si>
  <si>
    <t>Porcentaje con respecto al Género</t>
  </si>
  <si>
    <t>Edad Cumplida</t>
  </si>
  <si>
    <t>MATRÍCULAS CONSULARES EXPEDIDAS A ORIGINARIOS DE TABASCO POR GÉNERO Y EDAD EN EE.UU.</t>
  </si>
  <si>
    <t>Ocupación</t>
  </si>
  <si>
    <t>5.3 Por Estado de la Unión Americana</t>
  </si>
  <si>
    <t>MATRÍCULAS CONSULARES DE ALTA SEGURIDAD EXPEDIDAS A ORIGINARIOS DE TABASCO EN LOS CONSULADOS DE MÉXICO EN EE.UU.</t>
  </si>
  <si>
    <t>MATRÍCULAS CONSULARES EXPEDIDAS A ORIGINARIOS DE TABASCO POR GÉNERO EN EE.UU</t>
  </si>
  <si>
    <t>MATRÍCULAS CONSULARES EXPEDIDAS EN EE.UU. A ORIGINARIOS DE TABASCO POR NIVEL DE EDUCACIÓN</t>
  </si>
  <si>
    <t>MATRÍCULAS CONSULARES EXPEDIDAS A ORIGINARIOS DE TABASCO POR GÉNERO Y POR ESTADO DE LA UNIÓN AMERICANA</t>
  </si>
  <si>
    <t>MATRÍCULAS CONSULARES DE ALTA SEGURIDAD EXPEDIDAS POR MUNICIPIO A ORIGINARIOS DEL ESTADO DE TABASCO EN LOS CONSULADOS DE MÉXICO EN EE.UU.</t>
  </si>
  <si>
    <t>MATRÍCULAS CONSULARES DE ALTA SEGURIDAD EXPEDIDAS A ORIGINARIOS DE TABASCO POR ESTADO DE LA UNIÓN AMERICANA</t>
  </si>
  <si>
    <t>LOS 10 CONSULADOS  DE MÉXICO EN EE.UU., CON MAYOR NÚMERO DE EXPEDICIÓN DE  MATRÍCULAS CONSULARES DE ALTA SEGURIDAD A ORIGINARIOS DE TABASCO</t>
  </si>
  <si>
    <t>TOTAL TOP 10</t>
  </si>
  <si>
    <t xml:space="preserve">  Matrículas consulares expedidas a originarios de Tabasco en el 2023</t>
  </si>
  <si>
    <t>Tamaño de la muestra: 789,030</t>
  </si>
  <si>
    <t>Elaborado por: Análisis de Información, Instituto de Mexicanas y Mexicanos en el Exterior</t>
  </si>
  <si>
    <t>Noviembre de 2024</t>
  </si>
  <si>
    <t>RALEIGH</t>
  </si>
  <si>
    <t>DALLAS</t>
  </si>
  <si>
    <t>ORLANDO</t>
  </si>
  <si>
    <t>ATLANTA</t>
  </si>
  <si>
    <t>HOUSTON</t>
  </si>
  <si>
    <t>AUSTIN</t>
  </si>
  <si>
    <t>CHICAGO</t>
  </si>
  <si>
    <t>MCALLEN</t>
  </si>
  <si>
    <t>INDIANAPOLIS</t>
  </si>
  <si>
    <t>WASHINGTON</t>
  </si>
  <si>
    <t>NUEVA ORLEANS</t>
  </si>
  <si>
    <t>LOS ANGELES</t>
  </si>
  <si>
    <t>LITTLE ROCK</t>
  </si>
  <si>
    <t>DENVER</t>
  </si>
  <si>
    <t>KANSAS CITY</t>
  </si>
  <si>
    <t>OKLAHOMA CITY</t>
  </si>
  <si>
    <t>MIAMI</t>
  </si>
  <si>
    <t>FILADELFIA</t>
  </si>
  <si>
    <t>PRESIDIO</t>
  </si>
  <si>
    <t>NUEVA YORK</t>
  </si>
  <si>
    <t>PHOENIX</t>
  </si>
  <si>
    <t>DETROIT</t>
  </si>
  <si>
    <t>BOSTON</t>
  </si>
  <si>
    <t>SAN ANTONIO</t>
  </si>
  <si>
    <t>SAINT PAUL</t>
  </si>
  <si>
    <t>SAN FRANCISCO</t>
  </si>
  <si>
    <t>SAN JOSE</t>
  </si>
  <si>
    <t>MILWAUKEE</t>
  </si>
  <si>
    <t>BROWNSVILLE</t>
  </si>
  <si>
    <t>FRESNO</t>
  </si>
  <si>
    <t>SANTA ANA</t>
  </si>
  <si>
    <t>SAN BERNARDINO</t>
  </si>
  <si>
    <t>LAS VEGAS</t>
  </si>
  <si>
    <t>SACRAMENTO</t>
  </si>
  <si>
    <t>SALT LAKE CITY</t>
  </si>
  <si>
    <t>PORTLAND</t>
  </si>
  <si>
    <t>BOISE</t>
  </si>
  <si>
    <t>SAN DIEGO</t>
  </si>
  <si>
    <t>SEATTLE</t>
  </si>
  <si>
    <t>OMAHA</t>
  </si>
  <si>
    <t>ALBUQUERQUE</t>
  </si>
  <si>
    <t>OXNARD</t>
  </si>
  <si>
    <t>LAREDO</t>
  </si>
  <si>
    <t>EL PASO</t>
  </si>
  <si>
    <t>TUCSON</t>
  </si>
  <si>
    <t>DEL RIO</t>
  </si>
  <si>
    <t>YUMA</t>
  </si>
  <si>
    <t>ALABAMA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</si>
  <si>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</si>
  <si>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</si>
  <si>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</si>
  <si>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</si>
  <si>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</si>
  <si>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</si>
  <si>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</si>
  <si>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</si>
  <si>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</si>
  <si>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</si>
  <si>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</si>
  <si>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</si>
  <si>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</si>
  <si>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</si>
  <si>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</si>
  <si>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</si>
  <si>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</si>
  <si>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</si>
  <si>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</si>
  <si>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</si>
  <si>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</si>
  <si>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</si>
  <si>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</si>
  <si>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NEBRASKA</t>
  </si>
  <si>
    <t>NEVADA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</si>
  <si>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</si>
  <si>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</si>
  <si>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</si>
  <si>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</si>
  <si>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</si>
  <si>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</si>
  <si>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</si>
  <si>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</si>
  <si>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</si>
  <si>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</si>
  <si>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</si>
  <si>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TENNESSEE</t>
  </si>
  <si>
    <t>TEXAS</t>
  </si>
  <si>
    <t>UTAH</t>
  </si>
  <si>
    <t>VERMONT</t>
  </si>
  <si>
    <t>VIRGINIA</t>
  </si>
  <si>
    <t>WEST VIRGINIA</t>
  </si>
  <si>
    <t>WISCONSIN</t>
  </si>
  <si>
    <t>WYOMING</t>
  </si>
  <si>
    <t>FEMENINO</t>
  </si>
  <si>
    <t>MASCULINO</t>
  </si>
  <si>
    <t>ARIZONA Total</t>
  </si>
  <si>
    <t>ARKANSAS Total</t>
  </si>
  <si>
    <t>CALIFORNIA Total</t>
  </si>
  <si>
    <t>COLORADO Total</t>
  </si>
  <si>
    <t>CONNECTICUT Total</t>
  </si>
  <si>
    <t>DELAWARE Total</t>
  </si>
  <si>
    <t>FLORIDA Total</t>
  </si>
  <si>
    <t>GEORGIA Total</t>
  </si>
  <si>
    <t>HAWAII Total</t>
  </si>
  <si>
    <t>IDAHO Total</t>
  </si>
  <si>
    <t>ILLINOIS Total</t>
  </si>
  <si>
    <t>INDIANA Total</t>
  </si>
  <si>
    <t>IOWA Total</t>
  </si>
  <si>
    <t>KANSAS Total</t>
  </si>
  <si>
    <t>KENTUCKY Total</t>
  </si>
  <si>
    <t>LOUISIANA Total</t>
  </si>
  <si>
    <t>MAINE Total</t>
  </si>
  <si>
    <t>MARYLAND Total</t>
  </si>
  <si>
    <t>MASSACHUSETTS Total</t>
  </si>
  <si>
    <t>MICHIGAN Total</t>
  </si>
  <si>
    <t>MINNESOTA Total</t>
  </si>
  <si>
    <t>MISSISSIPPI Total</t>
  </si>
  <si>
    <t>MISSOURI Total</t>
  </si>
  <si>
    <t>NEBRASKA Total</t>
  </si>
  <si>
    <t>NEVADA Total</t>
  </si>
  <si>
    <t>NEW JERSEY Total</t>
  </si>
  <si>
    <t>NEW MEXICO Total</t>
  </si>
  <si>
    <t>NEW YORK Total</t>
  </si>
  <si>
    <t>NORTH CAROLINA Total</t>
  </si>
  <si>
    <t>NORTH DAKOTA Total</t>
  </si>
  <si>
    <t>OHIO Total</t>
  </si>
  <si>
    <t>OKLAHOMA Total</t>
  </si>
  <si>
    <t>OREGON Total</t>
  </si>
  <si>
    <t>PENNSYLVANIA Total</t>
  </si>
  <si>
    <t>RHODE ISLAND Total</t>
  </si>
  <si>
    <t>SOUTH CAROLINA Total</t>
  </si>
  <si>
    <t>TENNESSEE Total</t>
  </si>
  <si>
    <t>TEXAS Total</t>
  </si>
  <si>
    <t>UTAH Total</t>
  </si>
  <si>
    <t>VERMONT Total</t>
  </si>
  <si>
    <t>VIRGINIA Total</t>
  </si>
  <si>
    <t>WASHINGTON Total</t>
  </si>
  <si>
    <t>WEST VIRGINIA Total</t>
  </si>
  <si>
    <t>WISCONSIN Total</t>
  </si>
  <si>
    <t>BALANCÁN</t>
  </si>
  <si>
    <t>CENTLA</t>
  </si>
  <si>
    <t>CENTRO</t>
  </si>
  <si>
    <t>COMALCALCO</t>
  </si>
  <si>
    <t>CUNDUACÁN</t>
  </si>
  <si>
    <t>CÁRDENAS</t>
  </si>
  <si>
    <t>EMILIANO ZAPATA</t>
  </si>
  <si>
    <t>HUIMANGUILLO</t>
  </si>
  <si>
    <t>JALAPA</t>
  </si>
  <si>
    <t>JALPA DE MÉNDEZ</t>
  </si>
  <si>
    <t>MACUSPANA</t>
  </si>
  <si>
    <t>PARAÍSO</t>
  </si>
  <si>
    <t>TACOTALPA</t>
  </si>
  <si>
    <t>TEAPA</t>
  </si>
  <si>
    <t>TENOSIQUE</t>
  </si>
  <si>
    <t>JONUTA</t>
  </si>
  <si>
    <t>NO SE REGISTRÓ EL MUNICIPIO/CONDADO/ALCALDÍA DE NACIMIENTO</t>
  </si>
  <si>
    <t>NACAJUCA</t>
  </si>
  <si>
    <t>COATZACOALCOS</t>
  </si>
  <si>
    <t>BOCA DEL RÍO</t>
  </si>
  <si>
    <t>NO SE CAPTURO EL GRADO DE ESTUDIOS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</si>
  <si>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</si>
  <si>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</si>
  <si>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</si>
  <si>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</si>
  <si>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</si>
  <si>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</si>
  <si>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</si>
  <si>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</si>
  <si>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</si>
  <si>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</si>
  <si>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</si>
  <si>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</si>
  <si>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</si>
  <si>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</si>
  <si>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</si>
  <si>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</si>
  <si>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</si>
  <si>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</si>
  <si>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</si>
  <si>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</si>
  <si>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</si>
  <si>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POSGRADO [MAESTRIA]</t>
  </si>
  <si>
    <t>POSGRADO [DOCTORADO]</t>
  </si>
  <si>
    <t>KINDERGARTEN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</si>
  <si>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</si>
  <si>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</si>
  <si>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</si>
  <si>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</si>
  <si>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</si>
  <si>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</si>
  <si>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HASTA 10 AÑOS</t>
  </si>
  <si>
    <t>MAS DE 75 AÑOS</t>
  </si>
  <si>
    <t>EMPLEADO(A)</t>
  </si>
  <si>
    <t>HOGAR</t>
  </si>
  <si>
    <t>CONSTRUCCIÓN, TRAB. DE LA IND. DE LA</t>
  </si>
  <si>
    <t>OBRERO(A)</t>
  </si>
  <si>
    <t>ALIMENTOS Y BEBIDAS, ESP. EN PREPARACIÓN DE</t>
  </si>
  <si>
    <t>AGROPECUARIA, TRAB. DE LA INDUSTRIA</t>
  </si>
  <si>
    <t>ESTUDIANTE</t>
  </si>
  <si>
    <t>JARDINERO(A)</t>
  </si>
  <si>
    <t>PINTOR(A)</t>
  </si>
  <si>
    <t>LIMPIEZA, EMPLEADO DE</t>
  </si>
  <si>
    <t>CARPINTERO/TAPICERO</t>
  </si>
  <si>
    <t>OPERARIO(A)</t>
  </si>
  <si>
    <t>DESEMPLEADO</t>
  </si>
  <si>
    <t>MECÁNICO(A)</t>
  </si>
  <si>
    <t>SOLDADOR</t>
  </si>
  <si>
    <t>PROFESIONISTA</t>
  </si>
  <si>
    <t>VENDEDOR(A)</t>
  </si>
  <si>
    <t>MESERO(A)</t>
  </si>
  <si>
    <t>SIN ESPECIFICAR</t>
  </si>
  <si>
    <t>TÉCNICO(A) EN MANTENIMIENTO</t>
  </si>
  <si>
    <t>CHOFER</t>
  </si>
  <si>
    <t>CAJERO(A)/COBRADOR(A)</t>
  </si>
  <si>
    <t>EMPRESARIO(A)</t>
  </si>
  <si>
    <t>AEROCOMERCIAL, TRAB. DE LA INDUSTRIA</t>
  </si>
  <si>
    <t>CARNICERO(A)</t>
  </si>
  <si>
    <t>BELLEZA, PROFESIONAL DE SERVICIOS DE</t>
  </si>
  <si>
    <t>JUBILADO(A)/PENSIONADO(A)</t>
  </si>
  <si>
    <t>GERENTE/DIRECTOR(A)</t>
  </si>
  <si>
    <t>HERRERO(A)/CERRAJERO(A)/JOYERO(A)</t>
  </si>
  <si>
    <t>TURISMO, SERV. RELACIONADOS CON</t>
  </si>
  <si>
    <t>ADMINISTRADOR(A)/CONTADOR(A)</t>
  </si>
  <si>
    <t>ARTESANO(A)</t>
  </si>
  <si>
    <t>AUXILIARES ADMINISTRATIVOS Y DE OFICINA</t>
  </si>
  <si>
    <t>DEPORTISTA/ENTRENADOR DEPORTIVO</t>
  </si>
  <si>
    <t>DISCAPACITADO</t>
  </si>
  <si>
    <t>ENFERMERO(A)/TRAB. DE APOYO EN SALUD</t>
  </si>
  <si>
    <t>EXTRACCIÓN, TRAB. DE LA INDUSTRIA DE LA</t>
  </si>
  <si>
    <t>INVESTIGADOR(A)</t>
  </si>
  <si>
    <t>MÉDICO(A) /ESP. EN SALUD</t>
  </si>
  <si>
    <t>NO SE CAPTURO LA OCUPACION</t>
  </si>
  <si>
    <t>RECICLAJE, TRAB. DE LA INDUSTRIA DEL</t>
  </si>
  <si>
    <t>TRABAJADOR(A) DOMÉSTICO(A)</t>
  </si>
  <si>
    <t>VETERINARIO</t>
  </si>
  <si>
    <t>ATLANTA Total</t>
  </si>
  <si>
    <t>AUSTIN Total</t>
  </si>
  <si>
    <t>BOISE Total</t>
  </si>
  <si>
    <t>BOSTON Total</t>
  </si>
  <si>
    <t>BROWNSVILLE Total</t>
  </si>
  <si>
    <t>CHICAGO Total</t>
  </si>
  <si>
    <t>DALLAS Total</t>
  </si>
  <si>
    <t>DEL RIO Total</t>
  </si>
  <si>
    <t>DENVER Total</t>
  </si>
  <si>
    <t>DETROIT Total</t>
  </si>
  <si>
    <t>EL PASO Total</t>
  </si>
  <si>
    <t>FILADELFIA Total</t>
  </si>
  <si>
    <t>FRESNO Total</t>
  </si>
  <si>
    <t>HOUSTON Total</t>
  </si>
  <si>
    <t>INDIANAPOLIS Total</t>
  </si>
  <si>
    <t>KANSAS CITY Total</t>
  </si>
  <si>
    <t>LAREDO Total</t>
  </si>
  <si>
    <t>LAS VEGAS Total</t>
  </si>
  <si>
    <t>LITTLE ROCK Total</t>
  </si>
  <si>
    <t>LOS ANGELES Total</t>
  </si>
  <si>
    <t>MCALLEN Total</t>
  </si>
  <si>
    <t>MIAMI Total</t>
  </si>
  <si>
    <t>MILWAUKEE Total</t>
  </si>
  <si>
    <t>NUEVA ORLEANS Total</t>
  </si>
  <si>
    <t>NUEVA YORK Total</t>
  </si>
  <si>
    <t>OKLAHOMA CITY Total</t>
  </si>
  <si>
    <t>OMAHA Total</t>
  </si>
  <si>
    <t>ORLANDO Total</t>
  </si>
  <si>
    <t>OXNARD Total</t>
  </si>
  <si>
    <t>PHOENIX Total</t>
  </si>
  <si>
    <t>PORTLAND Total</t>
  </si>
  <si>
    <t>PRESIDIO Total</t>
  </si>
  <si>
    <t>RALEIGH Total</t>
  </si>
  <si>
    <t>SACRAMENTO Total</t>
  </si>
  <si>
    <t>SAINT PAUL Total</t>
  </si>
  <si>
    <t>SALT LAKE CITY Total</t>
  </si>
  <si>
    <t>SAN ANTONIO Total</t>
  </si>
  <si>
    <t>SAN BERNARDINO Total</t>
  </si>
  <si>
    <t>SAN DIEGO Total</t>
  </si>
  <si>
    <t>SAN FRANCISCO Total</t>
  </si>
  <si>
    <t>SAN JOSE Total</t>
  </si>
  <si>
    <t>SANTA ANA Total</t>
  </si>
  <si>
    <t>SEATTLE Total</t>
  </si>
  <si>
    <t>TUCSON Total</t>
  </si>
  <si>
    <t>MATRÍCULAS CONSULARES EXPEDIDAS A ORIGINARIOS DE TABASCO POR 
GÉNERO Y CONSULADO</t>
  </si>
  <si>
    <t>MATRÍCULAS CONSULARES EXPEDIDAS EN EE.UU. ORIGINARIOS DE TABASCO POR PERFIL OCUPACIONAL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</si>
</sst>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.0%"/>
    <numFmt numFmtId="165" formatCode="#,###"/>
  </numFmts>
  <fonts count="25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"/>
      <name val="Montserrat"/>
    </font>
    <font>
      <sz val="12"/>
      <color theme="1"/>
      <name val="Montserrat"/>
    </font>
    <font>
      <b/>
      <sz val="12"/>
      <color theme="0"/>
      <name val="Montserrat"/>
    </font>
    <font>
      <u/>
      <sz val="12"/>
      <color theme="10"/>
      <name val="Montserrat"/>
    </font>
    <font>
      <b/>
      <sz val="9"/>
      <color rgb="FFFFFFFF"/>
      <name val="Montserrat"/>
    </font>
  </fonts>
  <fills count="12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05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ill="1"/>
    <xf numFmtId="3" fontId="0" fillId="3" borderId="0" xfId="0" applyNumberForma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164" fontId="6" fillId="4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vertical="center" wrapText="1"/>
    </xf>
    <xf numFmtId="164" fontId="7" fillId="3" borderId="9" xfId="0" applyNumberFormat="1" applyFont="1" applyFill="1" applyBorder="1" applyAlignment="1">
      <alignment horizontal="right" vertical="center" wrapText="1"/>
    </xf>
    <xf numFmtId="3" fontId="7" fillId="3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center" wrapText="1"/>
    </xf>
    <xf numFmtId="0" fontId="9" fillId="3" borderId="0" xfId="0" applyFont="1" applyFill="1"/>
    <xf numFmtId="0" fontId="10" fillId="0" borderId="0" xfId="0" applyFont="1"/>
    <xf numFmtId="0" fontId="6" fillId="2" borderId="10" xfId="0" applyFont="1" applyFill="1" applyBorder="1" applyAlignment="1">
      <alignment horizontal="center" vertical="center" wrapText="1"/>
    </xf>
    <xf numFmtId="1" fontId="6" fillId="2" borderId="10" xfId="0" applyNumberFormat="1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164" fontId="6" fillId="5" borderId="9" xfId="2" applyNumberFormat="1" applyFont="1" applyFill="1" applyBorder="1" applyAlignment="1">
      <alignment horizontal="right" vertical="top" wrapText="1"/>
    </xf>
    <xf numFmtId="165" fontId="6" fillId="5" borderId="9" xfId="2" applyNumberFormat="1" applyFont="1" applyFill="1" applyBorder="1" applyAlignment="1">
      <alignment horizontal="right" vertical="top" wrapText="1"/>
    </xf>
    <xf numFmtId="49" fontId="6" fillId="5" borderId="9" xfId="2" applyNumberFormat="1" applyFont="1" applyFill="1" applyBorder="1" applyAlignment="1">
      <alignment vertical="top" wrapText="1"/>
    </xf>
    <xf numFmtId="0" fontId="15" fillId="3" borderId="0" xfId="0" applyFont="1" applyFill="1"/>
    <xf numFmtId="0" fontId="16" fillId="2" borderId="10" xfId="3" applyFont="1" applyFill="1" applyBorder="1" applyAlignment="1">
      <alignment horizontal="center" vertical="center" wrapText="1"/>
    </xf>
    <xf numFmtId="1" fontId="16" fillId="2" borderId="10" xfId="3" applyNumberFormat="1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10" fillId="3" borderId="0" xfId="0" applyFont="1" applyFill="1"/>
    <xf numFmtId="0" fontId="17" fillId="3" borderId="0" xfId="0" applyFont="1" applyFill="1"/>
    <xf numFmtId="0" fontId="15" fillId="3" borderId="0" xfId="0" applyFont="1" applyFill="1" applyAlignment="1">
      <alignment vertical="center"/>
    </xf>
    <xf numFmtId="3" fontId="10" fillId="3" borderId="0" xfId="0" applyNumberFormat="1" applyFont="1" applyFill="1"/>
    <xf numFmtId="1" fontId="10" fillId="3" borderId="0" xfId="0" applyNumberFormat="1" applyFont="1" applyFill="1"/>
    <xf numFmtId="0" fontId="18" fillId="3" borderId="0" xfId="0" applyFont="1" applyFill="1"/>
    <xf numFmtId="0" fontId="19" fillId="0" borderId="0" xfId="0" applyFont="1" applyAlignment="1">
      <alignment vertical="top"/>
    </xf>
    <xf numFmtId="0" fontId="19" fillId="0" borderId="0" xfId="0" applyFont="1" applyAlignment="1">
      <alignment horizontal="justify" vertical="center"/>
    </xf>
    <xf numFmtId="3" fontId="9" fillId="3" borderId="0" xfId="0" applyNumberFormat="1" applyFont="1" applyFill="1"/>
    <xf numFmtId="0" fontId="3" fillId="3" borderId="0" xfId="0" applyFont="1" applyFill="1"/>
    <xf numFmtId="0" fontId="10" fillId="3" borderId="0" xfId="0" applyFont="1" applyFill="1" applyAlignment="1">
      <alignment vertical="center"/>
    </xf>
    <xf numFmtId="0" fontId="10" fillId="0" borderId="0" xfId="0" applyFont="1" applyAlignment="1">
      <alignment vertical="center"/>
    </xf>
    <xf numFmtId="0" fontId="20" fillId="3" borderId="16" xfId="0" applyFont="1" applyFill="1" applyBorder="1" applyAlignment="1">
      <alignment horizontal="center" vertical="distributed"/>
    </xf>
    <xf numFmtId="0" fontId="21" fillId="0" borderId="4" xfId="0" applyFont="1" applyBorder="1"/>
    <xf numFmtId="0" fontId="24" fillId="6" borderId="9" xfId="3" applyFont="1" applyFill="1" applyBorder="1" applyAlignment="1">
      <alignment horizontal="center" vertical="center" wrapText="1"/>
    </xf>
    <xf numFmtId="49" fontId="7" fillId="7" borderId="9" xfId="0" applyNumberFormat="1" applyFont="1" applyFill="1" applyBorder="1" applyAlignment="1">
      <alignment horizontal="left" vertical="center" wrapText="1"/>
    </xf>
    <xf numFmtId="3" fontId="7" fillId="7" borderId="9" xfId="0" applyNumberFormat="1" applyFont="1" applyFill="1" applyBorder="1" applyAlignment="1">
      <alignment horizontal="right" vertical="center" wrapText="1"/>
    </xf>
    <xf numFmtId="164" fontId="7" fillId="7" borderId="9" xfId="0" applyNumberFormat="1" applyFont="1" applyFill="1" applyBorder="1" applyAlignment="1">
      <alignment horizontal="right" vertical="center" wrapText="1"/>
    </xf>
    <xf numFmtId="3" fontId="24" fillId="8" borderId="9" xfId="0" applyNumberFormat="1" applyFont="1" applyFill="1" applyBorder="1" applyAlignment="1">
      <alignment horizontal="right" vertical="center" wrapText="1"/>
    </xf>
    <xf numFmtId="164" fontId="24" fillId="8" borderId="9" xfId="0" applyNumberFormat="1" applyFont="1" applyFill="1" applyBorder="1" applyAlignment="1">
      <alignment horizontal="right" vertical="center" wrapText="1"/>
    </xf>
    <xf numFmtId="49" fontId="24" fillId="9" borderId="12" xfId="0" applyNumberFormat="1" applyFont="1" applyFill="1" applyBorder="1" applyAlignment="1">
      <alignment vertical="center" wrapText="1"/>
    </xf>
    <xf numFmtId="3" fontId="24" fillId="9" borderId="9" xfId="0" applyNumberFormat="1" applyFont="1" applyFill="1" applyBorder="1" applyAlignment="1">
      <alignment horizontal="right" vertical="center" wrapText="1"/>
    </xf>
    <xf numFmtId="164" fontId="24" fillId="9" borderId="9" xfId="0" applyNumberFormat="1" applyFont="1" applyFill="1" applyBorder="1" applyAlignment="1">
      <alignment horizontal="right" vertical="center" wrapText="1"/>
    </xf>
    <xf numFmtId="164" fontId="7" fillId="10" borderId="9" xfId="0" applyNumberFormat="1" applyFont="1" applyFill="1" applyBorder="1" applyAlignment="1">
      <alignment horizontal="right" vertical="center" wrapText="1"/>
    </xf>
    <xf numFmtId="3" fontId="6" fillId="11" borderId="9" xfId="0" applyNumberFormat="1" applyFont="1" applyFill="1" applyBorder="1" applyAlignment="1">
      <alignment horizontal="right" wrapText="1"/>
    </xf>
    <xf numFmtId="164" fontId="6" fillId="11" borderId="9" xfId="0" applyNumberFormat="1" applyFont="1" applyFill="1" applyBorder="1" applyAlignment="1">
      <alignment horizontal="right" wrapText="1"/>
    </xf>
    <xf numFmtId="49" fontId="8" fillId="3" borderId="9" xfId="0" applyNumberFormat="1" applyFont="1" applyFill="1" applyBorder="1" applyAlignment="1">
      <alignment vertical="top" wrapText="1"/>
    </xf>
    <xf numFmtId="165" fontId="7" fillId="3" borderId="9" xfId="0" applyNumberFormat="1" applyFont="1" applyFill="1" applyBorder="1" applyAlignment="1">
      <alignment horizontal="right" vertical="top" wrapText="1"/>
    </xf>
    <xf numFmtId="164" fontId="7" fillId="3" borderId="9" xfId="0" applyNumberFormat="1" applyFont="1" applyFill="1" applyBorder="1" applyAlignment="1">
      <alignment horizontal="right" vertical="top" wrapText="1"/>
    </xf>
    <xf numFmtId="0" fontId="6" fillId="2" borderId="9" xfId="0" applyFont="1" applyFill="1" applyBorder="1" applyAlignment="1">
      <alignment horizontal="center" vertical="center" wrapText="1"/>
    </xf>
    <xf numFmtId="1" fontId="6" fillId="2" borderId="9" xfId="0" applyNumberFormat="1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16" fillId="2" borderId="9" xfId="3" applyFont="1" applyFill="1" applyBorder="1" applyAlignment="1">
      <alignment horizontal="center" vertical="center" wrapText="1"/>
    </xf>
    <xf numFmtId="0" fontId="6" fillId="2" borderId="9" xfId="3" applyFont="1" applyFill="1" applyBorder="1" applyAlignment="1">
      <alignment horizontal="center" vertical="center" wrapText="1"/>
    </xf>
    <xf numFmtId="1" fontId="16" fillId="2" borderId="9" xfId="3" applyNumberFormat="1" applyFont="1" applyFill="1" applyBorder="1" applyAlignment="1">
      <alignment horizontal="center" vertical="center" wrapText="1"/>
    </xf>
    <xf numFmtId="165" fontId="7" fillId="3" borderId="9" xfId="0" applyNumberFormat="1" applyFont="1" applyFill="1" applyBorder="1" applyAlignment="1">
      <alignment horizontal="right" vertical="center" wrapText="1"/>
    </xf>
    <xf numFmtId="49" fontId="6" fillId="5" borderId="9" xfId="2" applyNumberFormat="1" applyFont="1" applyFill="1" applyBorder="1" applyAlignment="1">
      <alignment vertical="center" wrapText="1"/>
    </xf>
    <xf numFmtId="165" fontId="6" fillId="5" borderId="9" xfId="2" applyNumberFormat="1" applyFont="1" applyFill="1" applyBorder="1" applyAlignment="1">
      <alignment horizontal="right" vertical="center" wrapText="1"/>
    </xf>
    <xf numFmtId="164" fontId="6" fillId="5" borderId="9" xfId="2" applyNumberFormat="1" applyFont="1" applyFill="1" applyBorder="1" applyAlignment="1">
      <alignment horizontal="right" vertical="center" wrapText="1"/>
    </xf>
    <xf numFmtId="3" fontId="6" fillId="11" borderId="9" xfId="0" applyNumberFormat="1" applyFont="1" applyFill="1" applyBorder="1" applyAlignment="1">
      <alignment horizontal="right" vertical="center" wrapText="1"/>
    </xf>
    <xf numFmtId="164" fontId="6" fillId="11" borderId="9" xfId="0" applyNumberFormat="1" applyFont="1" applyFill="1" applyBorder="1" applyAlignment="1">
      <alignment horizontal="right" vertical="center" wrapText="1"/>
    </xf>
    <xf numFmtId="0" fontId="23" fillId="0" borderId="4" xfId="1" applyFont="1" applyBorder="1" applyAlignment="1">
      <alignment horizontal="left"/>
    </xf>
    <xf numFmtId="0" fontId="23" fillId="0" borderId="0" xfId="1" applyFont="1" applyBorder="1" applyAlignment="1">
      <alignment horizontal="left"/>
    </xf>
    <xf numFmtId="0" fontId="22" fillId="2" borderId="1" xfId="0" applyFont="1" applyFill="1" applyBorder="1" applyAlignment="1">
      <alignment horizontal="center" wrapText="1"/>
    </xf>
    <xf numFmtId="0" fontId="22" fillId="2" borderId="2" xfId="0" applyFont="1" applyFill="1" applyBorder="1" applyAlignment="1">
      <alignment horizontal="center" wrapText="1"/>
    </xf>
    <xf numFmtId="0" fontId="22" fillId="2" borderId="3" xfId="0" applyFont="1" applyFill="1" applyBorder="1" applyAlignment="1">
      <alignment horizontal="center" wrapText="1"/>
    </xf>
    <xf numFmtId="0" fontId="21" fillId="0" borderId="4" xfId="0" applyFont="1" applyBorder="1" applyAlignment="1">
      <alignment horizontal="left" wrapText="1"/>
    </xf>
    <xf numFmtId="0" fontId="21" fillId="0" borderId="0" xfId="0" applyFont="1" applyAlignment="1">
      <alignment horizontal="left" wrapText="1"/>
    </xf>
    <xf numFmtId="0" fontId="21" fillId="0" borderId="5" xfId="0" applyFont="1" applyBorder="1" applyAlignment="1">
      <alignment horizontal="left" wrapText="1"/>
    </xf>
    <xf numFmtId="0" fontId="23" fillId="0" borderId="5" xfId="1" applyFont="1" applyBorder="1" applyAlignment="1">
      <alignment horizontal="left"/>
    </xf>
    <xf numFmtId="0" fontId="12" fillId="0" borderId="0" xfId="0" applyFont="1" applyAlignment="1">
      <alignment horizontal="center" vertical="center" wrapText="1"/>
    </xf>
    <xf numFmtId="49" fontId="8" fillId="3" borderId="9" xfId="0" applyNumberFormat="1" applyFont="1" applyFill="1" applyBorder="1" applyAlignment="1">
      <alignment horizontal="center" vertical="center" wrapText="1"/>
    </xf>
    <xf numFmtId="49" fontId="6" fillId="11" borderId="9" xfId="0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49" fontId="8" fillId="3" borderId="10" xfId="0" applyNumberFormat="1" applyFont="1" applyFill="1" applyBorder="1" applyAlignment="1">
      <alignment horizontal="center" vertical="center" wrapText="1"/>
    </xf>
    <xf numFmtId="49" fontId="8" fillId="3" borderId="15" xfId="0" applyNumberFormat="1" applyFont="1" applyFill="1" applyBorder="1" applyAlignment="1">
      <alignment horizontal="center" vertical="center" wrapText="1"/>
    </xf>
    <xf numFmtId="49" fontId="8" fillId="3" borderId="14" xfId="0" applyNumberFormat="1" applyFont="1" applyFill="1" applyBorder="1" applyAlignment="1">
      <alignment horizontal="center" vertical="center" wrapText="1"/>
    </xf>
    <xf numFmtId="49" fontId="6" fillId="11" borderId="13" xfId="0" applyNumberFormat="1" applyFont="1" applyFill="1" applyBorder="1" applyAlignment="1">
      <alignment horizontal="center" vertical="center" wrapText="1"/>
    </xf>
    <xf numFmtId="49" fontId="6" fillId="11" borderId="12" xfId="0" applyNumberFormat="1" applyFont="1" applyFill="1" applyBorder="1" applyAlignment="1">
      <alignment horizontal="center" vertical="center" wrapText="1"/>
    </xf>
    <xf numFmtId="49" fontId="24" fillId="8" borderId="13" xfId="0" applyNumberFormat="1" applyFont="1" applyFill="1" applyBorder="1" applyAlignment="1">
      <alignment horizontal="center" vertical="center" wrapText="1"/>
    </xf>
    <xf numFmtId="49" fontId="24" fillId="8" borderId="12" xfId="0" applyNumberFormat="1" applyFont="1" applyFill="1" applyBorder="1" applyAlignment="1">
      <alignment horizontal="center" vertical="center" wrapText="1"/>
    </xf>
    <xf numFmtId="49" fontId="7" fillId="7" borderId="10" xfId="0" applyNumberFormat="1" applyFont="1" applyFill="1" applyBorder="1" applyAlignment="1">
      <alignment horizontal="center" vertical="center" wrapText="1"/>
    </xf>
    <xf numFmtId="49" fontId="7" fillId="7" borderId="15" xfId="0" applyNumberFormat="1" applyFont="1" applyFill="1" applyBorder="1" applyAlignment="1">
      <alignment horizontal="center" vertical="center" wrapText="1"/>
    </xf>
    <xf numFmtId="49" fontId="7" fillId="7" borderId="14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381716</xdr:colOff>
      <xdr:row>1</xdr:row>
      <xdr:rowOff>206067</xdr:rowOff>
    </xdr:from>
    <xdr:to>
      <xdr:col>3</xdr:col>
      <xdr:colOff>893813</xdr:colOff>
      <xdr:row>2</xdr:row>
      <xdr:rowOff>206067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867866" y="739467"/>
          <a:ext cx="512097" cy="20955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442912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123825</xdr:colOff>
      <xdr:row>0</xdr:row>
      <xdr:rowOff>171450</xdr:rowOff>
    </xdr:from>
    <xdr:to>
      <xdr:col>1</xdr:col>
      <xdr:colOff>429184</xdr:colOff>
      <xdr:row>3</xdr:row>
      <xdr:rowOff>314324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BCAA35E2-9AA5-41DA-B16B-C67A51A376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825" y="171450"/>
          <a:ext cx="924484" cy="71437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161925</xdr:colOff>
      <xdr:row>8</xdr:row>
      <xdr:rowOff>0</xdr:rowOff>
    </xdr:from>
    <xdr:to>
      <xdr:col>5</xdr:col>
      <xdr:colOff>54897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320992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142875</xdr:colOff>
      <xdr:row>1</xdr:row>
      <xdr:rowOff>9525</xdr:rowOff>
    </xdr:from>
    <xdr:to>
      <xdr:col>1</xdr:col>
      <xdr:colOff>448234</xdr:colOff>
      <xdr:row>3</xdr:row>
      <xdr:rowOff>342899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D3806F9-BAEA-49C4-9E0E-DF08EC101D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200025"/>
          <a:ext cx="924484" cy="714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209550</xdr:colOff>
      <xdr:row>7</xdr:row>
      <xdr:rowOff>171450</xdr:rowOff>
    </xdr:from>
    <xdr:to>
      <xdr:col>5</xdr:col>
      <xdr:colOff>102522</xdr:colOff>
      <xdr:row>8</xdr:row>
      <xdr:rowOff>165305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3257550" y="150495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104775</xdr:colOff>
      <xdr:row>1</xdr:row>
      <xdr:rowOff>0</xdr:rowOff>
    </xdr:from>
    <xdr:to>
      <xdr:col>1</xdr:col>
      <xdr:colOff>410134</xdr:colOff>
      <xdr:row>3</xdr:row>
      <xdr:rowOff>333374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FAC2BBDF-675F-4444-A3CD-763B12BEFA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190500"/>
          <a:ext cx="924484" cy="71437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161925</xdr:colOff>
      <xdr:row>7</xdr:row>
      <xdr:rowOff>133350</xdr:rowOff>
    </xdr:from>
    <xdr:to>
      <xdr:col>5</xdr:col>
      <xdr:colOff>54897</xdr:colOff>
      <xdr:row>8</xdr:row>
      <xdr:rowOff>127205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4591050" y="165735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114300</xdr:colOff>
      <xdr:row>1</xdr:row>
      <xdr:rowOff>28575</xdr:rowOff>
    </xdr:from>
    <xdr:to>
      <xdr:col>1</xdr:col>
      <xdr:colOff>419659</xdr:colOff>
      <xdr:row>3</xdr:row>
      <xdr:rowOff>361949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83300EDA-937E-4F98-97E5-E34519BF7E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0" y="219075"/>
          <a:ext cx="924484" cy="71437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TABASCO POR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530413</xdr:colOff>
      <xdr:row>6</xdr:row>
      <xdr:rowOff>321235</xdr:rowOff>
    </xdr:from>
    <xdr:to>
      <xdr:col>4</xdr:col>
      <xdr:colOff>1042510</xdr:colOff>
      <xdr:row>7</xdr:row>
      <xdr:rowOff>176884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/>
      </xdr:nvSpPr>
      <xdr:spPr>
        <a:xfrm>
          <a:off x="5625354" y="1740647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89297</xdr:colOff>
      <xdr:row>1</xdr:row>
      <xdr:rowOff>9923</xdr:rowOff>
    </xdr:from>
    <xdr:to>
      <xdr:col>1</xdr:col>
      <xdr:colOff>1013781</xdr:colOff>
      <xdr:row>3</xdr:row>
      <xdr:rowOff>347266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E0DF80A-C81B-4032-8FAA-8124FCE37A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750" y="158751"/>
          <a:ext cx="924484" cy="71437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TABASCO EN LOS CONSULADOS DE MÉXICO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487829</xdr:colOff>
      <xdr:row>7</xdr:row>
      <xdr:rowOff>116915</xdr:rowOff>
    </xdr:from>
    <xdr:to>
      <xdr:col>4</xdr:col>
      <xdr:colOff>998058</xdr:colOff>
      <xdr:row>7</xdr:row>
      <xdr:rowOff>301270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5336241" y="1865033"/>
          <a:ext cx="510229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19050</xdr:colOff>
      <xdr:row>0</xdr:row>
      <xdr:rowOff>133350</xdr:rowOff>
    </xdr:from>
    <xdr:to>
      <xdr:col>1</xdr:col>
      <xdr:colOff>943534</xdr:colOff>
      <xdr:row>3</xdr:row>
      <xdr:rowOff>314324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E37CFF5D-607F-4E6E-A5F4-172915E758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33350"/>
          <a:ext cx="924484" cy="71437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442912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104775</xdr:colOff>
      <xdr:row>0</xdr:row>
      <xdr:rowOff>171450</xdr:rowOff>
    </xdr:from>
    <xdr:to>
      <xdr:col>1</xdr:col>
      <xdr:colOff>410134</xdr:colOff>
      <xdr:row>3</xdr:row>
      <xdr:rowOff>314324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AE59F95-98D0-47FF-B473-91F04DA055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171450"/>
          <a:ext cx="924484" cy="714374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TABASCO POR NIVEL DE EDUCACIÓN Y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519020</xdr:colOff>
      <xdr:row>7</xdr:row>
      <xdr:rowOff>28388</xdr:rowOff>
    </xdr:from>
    <xdr:to>
      <xdr:col>4</xdr:col>
      <xdr:colOff>1029249</xdr:colOff>
      <xdr:row>7</xdr:row>
      <xdr:rowOff>212743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5367432" y="1776506"/>
          <a:ext cx="510229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47625</xdr:colOff>
      <xdr:row>1</xdr:row>
      <xdr:rowOff>0</xdr:rowOff>
    </xdr:from>
    <xdr:to>
      <xdr:col>1</xdr:col>
      <xdr:colOff>972109</xdr:colOff>
      <xdr:row>3</xdr:row>
      <xdr:rowOff>333374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4E0D6BC1-1A7F-499E-A9AB-E62B8DA1D4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0" y="152400"/>
          <a:ext cx="924484" cy="71437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TABASCO POR CONSULADO Y NIVEL DE EDUCACIÓN EN EE.UU. 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551448</xdr:colOff>
      <xdr:row>7</xdr:row>
      <xdr:rowOff>140368</xdr:rowOff>
    </xdr:from>
    <xdr:to>
      <xdr:col>4</xdr:col>
      <xdr:colOff>1063545</xdr:colOff>
      <xdr:row>7</xdr:row>
      <xdr:rowOff>324723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9885948" y="1473868"/>
          <a:ext cx="512097" cy="5100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30079</xdr:colOff>
      <xdr:row>0</xdr:row>
      <xdr:rowOff>130342</xdr:rowOff>
    </xdr:from>
    <xdr:to>
      <xdr:col>1</xdr:col>
      <xdr:colOff>954563</xdr:colOff>
      <xdr:row>3</xdr:row>
      <xdr:rowOff>313321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7A074C86-634E-48E7-947A-A8345B00C6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263" y="130342"/>
          <a:ext cx="924484" cy="71437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 editAs="oneCell">
    <xdr:from>
      <xdr:col>0</xdr:col>
      <xdr:colOff>95250</xdr:colOff>
      <xdr:row>1</xdr:row>
      <xdr:rowOff>0</xdr:rowOff>
    </xdr:from>
    <xdr:to>
      <xdr:col>1</xdr:col>
      <xdr:colOff>400609</xdr:colOff>
      <xdr:row>3</xdr:row>
      <xdr:rowOff>333374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371FF64F-E9CB-4A68-B0FA-9F4DB39CEB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250" y="190500"/>
          <a:ext cx="924484" cy="714374"/>
        </a:xfrm>
        <a:prstGeom prst="rect">
          <a:avLst/>
        </a:prstGeom>
      </xdr:spPr>
    </xdr:pic>
    <xdr:clientData/>
  </xdr:twoCellAnchor>
  <xdr:twoCellAnchor>
    <xdr:from>
      <xdr:col>4</xdr:col>
      <xdr:colOff>454025</xdr:colOff>
      <xdr:row>7</xdr:row>
      <xdr:rowOff>184150</xdr:rowOff>
    </xdr:from>
    <xdr:to>
      <xdr:col>5</xdr:col>
      <xdr:colOff>318422</xdr:colOff>
      <xdr:row>8</xdr:row>
      <xdr:rowOff>178004</xdr:rowOff>
    </xdr:to>
    <xdr:sp macro="" textlink="">
      <xdr:nvSpPr>
        <xdr:cNvPr id="6" name="Rectángulo redondeado 1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7D02E6CB-64B0-4C48-89B0-AD4E054AE004}"/>
            </a:ext>
          </a:extLst>
        </xdr:cNvPr>
        <xdr:cNvSpPr/>
      </xdr:nvSpPr>
      <xdr:spPr>
        <a:xfrm>
          <a:off x="5095875" y="1708150"/>
          <a:ext cx="512097" cy="184354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298450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298450" y="97254"/>
          <a:ext cx="5670550" cy="11568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612322</xdr:colOff>
      <xdr:row>9</xdr:row>
      <xdr:rowOff>32399</xdr:rowOff>
    </xdr:from>
    <xdr:to>
      <xdr:col>5</xdr:col>
      <xdr:colOff>22888</xdr:colOff>
      <xdr:row>10</xdr:row>
      <xdr:rowOff>22365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/>
      </xdr:nvSpPr>
      <xdr:spPr>
        <a:xfrm>
          <a:off x="5433138" y="1743011"/>
          <a:ext cx="512097" cy="177874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371669</xdr:colOff>
      <xdr:row>0</xdr:row>
      <xdr:rowOff>126351</xdr:rowOff>
    </xdr:from>
    <xdr:to>
      <xdr:col>1</xdr:col>
      <xdr:colOff>896103</xdr:colOff>
      <xdr:row>3</xdr:row>
      <xdr:rowOff>306159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FE455BA8-2E95-43B8-B2C0-128E28ECC7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1669" y="126351"/>
          <a:ext cx="924484" cy="681458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722475</xdr:colOff>
      <xdr:row>9</xdr:row>
      <xdr:rowOff>25919</xdr:rowOff>
    </xdr:from>
    <xdr:to>
      <xdr:col>5</xdr:col>
      <xdr:colOff>133041</xdr:colOff>
      <xdr:row>10</xdr:row>
      <xdr:rowOff>15885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/>
      </xdr:nvSpPr>
      <xdr:spPr>
        <a:xfrm>
          <a:off x="5543291" y="1736531"/>
          <a:ext cx="512097" cy="177874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87475</xdr:colOff>
      <xdr:row>0</xdr:row>
      <xdr:rowOff>87474</xdr:rowOff>
    </xdr:from>
    <xdr:to>
      <xdr:col>1</xdr:col>
      <xdr:colOff>1011959</xdr:colOff>
      <xdr:row>3</xdr:row>
      <xdr:rowOff>267282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17F2E46-B9EA-46BE-A761-3D34E66FCB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6531" y="87474"/>
          <a:ext cx="924484" cy="71437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717981</xdr:colOff>
      <xdr:row>9</xdr:row>
      <xdr:rowOff>31534</xdr:rowOff>
    </xdr:from>
    <xdr:to>
      <xdr:col>6</xdr:col>
      <xdr:colOff>144874</xdr:colOff>
      <xdr:row>10</xdr:row>
      <xdr:rowOff>22161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6737781" y="1746034"/>
          <a:ext cx="582593" cy="18112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95250</xdr:colOff>
      <xdr:row>0</xdr:row>
      <xdr:rowOff>114300</xdr:rowOff>
    </xdr:from>
    <xdr:to>
      <xdr:col>1</xdr:col>
      <xdr:colOff>1019734</xdr:colOff>
      <xdr:row>3</xdr:row>
      <xdr:rowOff>304799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56240761-1134-46B7-9D15-167B954EA0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0" y="114300"/>
          <a:ext cx="924484" cy="714374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4</xdr:col>
      <xdr:colOff>623957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57151" y="193261"/>
          <a:ext cx="6762197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855180</xdr:colOff>
      <xdr:row>1</xdr:row>
      <xdr:rowOff>147707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3702" y="340968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45417</xdr:colOff>
      <xdr:row>8</xdr:row>
      <xdr:rowOff>85173</xdr:rowOff>
    </xdr:from>
    <xdr:to>
      <xdr:col>4</xdr:col>
      <xdr:colOff>584433</xdr:colOff>
      <xdr:row>8</xdr:row>
      <xdr:rowOff>272289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SpPr/>
      </xdr:nvSpPr>
      <xdr:spPr>
        <a:xfrm>
          <a:off x="6240808" y="1818999"/>
          <a:ext cx="539016" cy="18711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142875</xdr:colOff>
      <xdr:row>1</xdr:row>
      <xdr:rowOff>9525</xdr:rowOff>
    </xdr:from>
    <xdr:to>
      <xdr:col>1</xdr:col>
      <xdr:colOff>448234</xdr:colOff>
      <xdr:row>3</xdr:row>
      <xdr:rowOff>342899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3D3A3DC7-4146-43A9-A18C-B96C6F2C84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200025"/>
          <a:ext cx="924484" cy="7143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9"/>
  <sheetViews>
    <sheetView showGridLines="0" view="pageBreakPreview" zoomScaleNormal="100" zoomScaleSheetLayoutView="100" workbookViewId="0">
      <selection activeCell="A6" sqref="A6:D6"/>
    </sheetView>
  </sheetViews>
  <sheetFormatPr baseColWidth="10" defaultColWidth="11.453125" defaultRowHeight="16.5"/>
  <cols>
    <col min="1" max="1" width="5.1796875" style="1" customWidth="1"/>
    <col min="2" max="2" width="20" style="1" customWidth="1"/>
    <col min="3" max="3" width="24.7265625" style="1" customWidth="1"/>
    <col min="4" max="4" width="20.453125" style="1" customWidth="1"/>
    <col min="5" max="16384" width="11.453125" style="1"/>
  </cols>
  <sheetData>
    <row r="1" spans="1:4" ht="42" customHeight="1" thickBot="1">
      <c r="A1" s="84" t="s">
        <v>45</v>
      </c>
      <c r="B1" s="85"/>
      <c r="C1" s="85"/>
      <c r="D1" s="86"/>
    </row>
    <row r="2" spans="1:4">
      <c r="A2" s="2"/>
      <c r="B2" s="3"/>
      <c r="C2" s="3"/>
      <c r="D2" s="4"/>
    </row>
    <row r="3" spans="1:4">
      <c r="A3" s="87" t="s">
        <v>0</v>
      </c>
      <c r="B3" s="88"/>
      <c r="C3" s="88"/>
      <c r="D3" s="89"/>
    </row>
    <row r="4" spans="1:4">
      <c r="A4" s="87"/>
      <c r="B4" s="88"/>
      <c r="C4" s="88"/>
      <c r="D4" s="89"/>
    </row>
    <row r="5" spans="1:4">
      <c r="A5" s="5"/>
      <c r="B5" s="6"/>
      <c r="C5" s="6"/>
      <c r="D5" s="7"/>
    </row>
    <row r="6" spans="1:4" ht="18.5">
      <c r="A6" s="82" t="s">
        <v>1</v>
      </c>
      <c r="B6" s="83"/>
      <c r="C6" s="83"/>
      <c r="D6" s="90"/>
    </row>
    <row r="7" spans="1:4">
      <c r="A7" s="8"/>
      <c r="D7" s="9"/>
    </row>
    <row r="8" spans="1:4" ht="18.5">
      <c r="A8" s="82" t="s">
        <v>2</v>
      </c>
      <c r="B8" s="83"/>
      <c r="C8" s="83"/>
      <c r="D8" s="90"/>
    </row>
    <row r="9" spans="1:4" ht="18.5">
      <c r="A9" s="8"/>
      <c r="B9" s="82" t="s">
        <v>3</v>
      </c>
      <c r="C9" s="83"/>
      <c r="D9" s="83"/>
    </row>
    <row r="10" spans="1:4">
      <c r="A10" s="8"/>
      <c r="D10" s="9"/>
    </row>
    <row r="11" spans="1:4" ht="18.5">
      <c r="A11" s="54" t="s">
        <v>4</v>
      </c>
      <c r="D11" s="9"/>
    </row>
    <row r="12" spans="1:4" ht="18.5">
      <c r="A12" s="8"/>
      <c r="B12" s="82" t="s">
        <v>5</v>
      </c>
      <c r="C12" s="83"/>
      <c r="D12" s="83"/>
    </row>
    <row r="13" spans="1:4" ht="18.5">
      <c r="A13" s="8"/>
      <c r="B13" s="82" t="s">
        <v>6</v>
      </c>
      <c r="C13" s="83"/>
      <c r="D13" s="83"/>
    </row>
    <row r="14" spans="1:4" ht="18.5">
      <c r="A14" s="8"/>
      <c r="B14" s="82" t="s">
        <v>7</v>
      </c>
      <c r="C14" s="83"/>
      <c r="D14" s="83"/>
    </row>
    <row r="15" spans="1:4">
      <c r="A15" s="8"/>
      <c r="D15" s="9"/>
    </row>
    <row r="16" spans="1:4" ht="18.5">
      <c r="A16" s="54" t="s">
        <v>8</v>
      </c>
      <c r="D16" s="9"/>
    </row>
    <row r="17" spans="1:4" ht="18.5">
      <c r="A17" s="8"/>
      <c r="B17" s="82" t="s">
        <v>9</v>
      </c>
      <c r="C17" s="83"/>
      <c r="D17" s="83"/>
    </row>
    <row r="18" spans="1:4" ht="18.5">
      <c r="A18" s="8"/>
      <c r="B18" s="82" t="s">
        <v>10</v>
      </c>
      <c r="C18" s="83"/>
      <c r="D18" s="83"/>
    </row>
    <row r="19" spans="1:4" ht="18.5">
      <c r="A19" s="8"/>
      <c r="B19" s="82" t="s">
        <v>11</v>
      </c>
      <c r="C19" s="83"/>
      <c r="D19" s="83"/>
    </row>
    <row r="20" spans="1:4">
      <c r="A20" s="8"/>
      <c r="D20" s="9"/>
    </row>
    <row r="21" spans="1:4" ht="18.5">
      <c r="A21" s="54" t="s">
        <v>12</v>
      </c>
      <c r="D21" s="9"/>
    </row>
    <row r="22" spans="1:4" ht="18.5">
      <c r="A22" s="8"/>
      <c r="B22" s="82" t="s">
        <v>13</v>
      </c>
      <c r="C22" s="83"/>
      <c r="D22" s="83"/>
    </row>
    <row r="23" spans="1:4" ht="18.5">
      <c r="A23" s="8"/>
      <c r="B23" s="82" t="s">
        <v>14</v>
      </c>
      <c r="C23" s="83"/>
      <c r="D23" s="83"/>
    </row>
    <row r="24" spans="1:4" ht="18.5">
      <c r="A24" s="8"/>
      <c r="B24" s="82" t="s">
        <v>36</v>
      </c>
      <c r="C24" s="83"/>
      <c r="D24" s="83"/>
    </row>
    <row r="25" spans="1:4">
      <c r="A25" s="8"/>
      <c r="D25" s="9"/>
    </row>
    <row r="26" spans="1:4" ht="18.5">
      <c r="A26" s="82" t="s">
        <v>15</v>
      </c>
      <c r="B26" s="83"/>
      <c r="C26" s="83"/>
      <c r="D26" s="90"/>
    </row>
    <row r="27" spans="1:4">
      <c r="A27" s="8"/>
      <c r="D27" s="9"/>
    </row>
    <row r="28" spans="1:4" ht="18.5">
      <c r="A28" s="82" t="s">
        <v>16</v>
      </c>
      <c r="B28" s="83"/>
      <c r="C28" s="83"/>
      <c r="D28" s="90"/>
    </row>
    <row r="29" spans="1:4" ht="17" thickBot="1">
      <c r="A29" s="10"/>
      <c r="B29" s="11"/>
      <c r="C29" s="11"/>
      <c r="D29" s="12"/>
    </row>
  </sheetData>
  <mergeCells count="16"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 xr:uid="{00000000-0004-0000-0000-000000000000}"/>
    <hyperlink ref="A8" location="Aguascalientes_Cons_2018!A1" display="2. Por Circunscripción Consular" xr:uid="{00000000-0004-0000-0000-000001000000}"/>
    <hyperlink ref="B9" location="AguascalientesXCons2018!A1" display="2.1 Top ten por circunscripción consular" xr:uid="{00000000-0004-0000-0000-000002000000}"/>
    <hyperlink ref="B12" location="Aguascalientes_EdoMun!A1" display="3.1 Municipio general" xr:uid="{00000000-0004-0000-0000-000003000000}"/>
    <hyperlink ref="B13" location="Aguascalientes_USAMuni2016!A1" display="3.2 Por Estado de USA" xr:uid="{00000000-0004-0000-0000-000004000000}"/>
    <hyperlink ref="B14" location="Aguascalientes_MUNICIPIO!A1" display="3.3 Por Circunscripción Consular" xr:uid="{00000000-0004-0000-0000-000005000000}"/>
    <hyperlink ref="B17" location="Aguascalientes_educ_gral!A1" display="4.1 Educación general" xr:uid="{00000000-0004-0000-0000-000006000000}"/>
    <hyperlink ref="B18" location="Aguascalientes_NivelE_Cons!A1" display="4.2 Por Estado de USA" xr:uid="{00000000-0004-0000-0000-000007000000}"/>
    <hyperlink ref="B22" location="Aguascalientes_GenGral!A1" display="5.1 Género General" xr:uid="{00000000-0004-0000-0000-000009000000}"/>
    <hyperlink ref="B23" location="Aguascalientes_GENERO!A1" display="5.3 Por Circunscripción Consular" xr:uid="{00000000-0004-0000-0000-00000A000000}"/>
    <hyperlink ref="A26" location="Aguascalientes_Gen_Edad!A1" display="6. Por estructura de Edad" xr:uid="{00000000-0004-0000-0000-00000B000000}"/>
    <hyperlink ref="A28" location="Aguascalientes_ocup_gral!A1" display="7. Por Ocupación" xr:uid="{00000000-0004-0000-0000-00000C000000}"/>
    <hyperlink ref="B13:D13" location="Tabasco_USAMuni!A1" display="3.2 Por Estado de USA" xr:uid="{00000000-0004-0000-0000-00000D000000}"/>
    <hyperlink ref="A8:D8" location="Tabasco_Cons!A1" display="2. Por Circunscripción Consular" xr:uid="{00000000-0004-0000-0000-00000E000000}"/>
    <hyperlink ref="B9:D9" location="TabascoXCons!A1" display="2.1 Top ten por circunscripción consular" xr:uid="{00000000-0004-0000-0000-00000F000000}"/>
    <hyperlink ref="A6:D6" location="Tabasco_EdoUsa!A1" display="1. Por Estados de USA" xr:uid="{00000000-0004-0000-0000-000010000000}"/>
    <hyperlink ref="B12:D12" location="Tabasco_EdoMun!A1" display="3.1 Municipio general" xr:uid="{00000000-0004-0000-0000-000011000000}"/>
    <hyperlink ref="B14:D14" location="Tabasco_MUNICIPIO!A1" display="3.3 Por Circunscripción Consular" xr:uid="{00000000-0004-0000-0000-000012000000}"/>
    <hyperlink ref="B17:D17" location="Tabasco_educ_gral!A1" display="4.1 Educación general" xr:uid="{00000000-0004-0000-0000-000013000000}"/>
    <hyperlink ref="B18:D18" location="Tabasco_NivelE_Cons!A1" display="4.2 Por Estado de USA" xr:uid="{00000000-0004-0000-0000-000014000000}"/>
    <hyperlink ref="B22:D22" location="Tabasco_GenGral!A1" display="5.1 Género General" xr:uid="{00000000-0004-0000-0000-000016000000}"/>
    <hyperlink ref="B23:D23" location="Tabasco_GENERO!A1" display="5.2 Por Circunscripción Consular" xr:uid="{00000000-0004-0000-0000-000017000000}"/>
    <hyperlink ref="A26:D26" location="Tabasco_Gen_Edad!A1" display="6. Por estructura de Edad" xr:uid="{00000000-0004-0000-0000-000018000000}"/>
    <hyperlink ref="A28:D28" location="Tabasco_ocup_gral!A1" display="7. Por Ocupación" xr:uid="{00000000-0004-0000-0000-000019000000}"/>
    <hyperlink ref="B24" location="Tabasco_GENERO_EUA!A1" display="5.3 Por Estado de la Unión Americana" xr:uid="{00000000-0004-0000-0000-00001A000000}"/>
    <hyperlink ref="B19:D19" location="Tabasco_EducCons!A1" display="4.3 Por Circunscripción Consular" xr:uid="{00000000-0004-0000-0000-000015000000}"/>
    <hyperlink ref="B19" location="Aguascalientes_EducCons!A1" display="4.3 Por Circunscripción Consular" xr:uid="{00000000-0004-0000-0000-000008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B1:E64"/>
  <sheetViews>
    <sheetView showGridLines="0" view="pageBreakPreview" zoomScale="115" zoomScaleNormal="100" zoomScaleSheetLayoutView="115" workbookViewId="0"/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2:5" s="25" customFormat="1" ht="15" customHeight="1">
      <c r="C1" s="31"/>
    </row>
    <row r="2" spans="2:5" s="25" customFormat="1" ht="15" customHeight="1">
      <c r="C2" s="31"/>
    </row>
    <row r="3" spans="2:5" s="25" customFormat="1" ht="15" customHeight="1">
      <c r="C3" s="31"/>
    </row>
    <row r="4" spans="2:5" s="25" customFormat="1" ht="30" customHeight="1">
      <c r="C4" s="31"/>
      <c r="D4" s="30"/>
    </row>
    <row r="5" spans="2:5" s="25" customFormat="1" ht="15" customHeight="1">
      <c r="C5" s="31"/>
      <c r="D5" s="30"/>
    </row>
    <row r="6" spans="2:5" s="25" customFormat="1" ht="15" customHeight="1">
      <c r="C6" s="31"/>
      <c r="D6" s="30"/>
    </row>
    <row r="7" spans="2:5" s="25" customFormat="1" ht="15" customHeight="1">
      <c r="B7" s="91" t="s">
        <v>42</v>
      </c>
      <c r="C7" s="91"/>
      <c r="D7" s="91"/>
    </row>
    <row r="8" spans="2:5" s="25" customFormat="1" ht="15" customHeight="1">
      <c r="B8" s="91"/>
      <c r="C8" s="91"/>
      <c r="D8" s="91"/>
    </row>
    <row r="9" spans="2:5" s="25" customFormat="1" ht="33" customHeight="1">
      <c r="B9" s="91"/>
      <c r="C9" s="91"/>
      <c r="D9" s="91"/>
    </row>
    <row r="10" spans="2:5" s="25" customFormat="1" ht="4.5" customHeight="1">
      <c r="B10" s="29"/>
      <c r="C10" s="29"/>
      <c r="D10" s="29"/>
    </row>
    <row r="11" spans="2:5" s="25" customFormat="1" ht="33" customHeight="1">
      <c r="B11" s="70" t="s">
        <v>21</v>
      </c>
      <c r="C11" s="71" t="s">
        <v>20</v>
      </c>
      <c r="D11" s="70" t="s">
        <v>19</v>
      </c>
    </row>
    <row r="12" spans="2:5">
      <c r="B12" s="67" t="s">
        <v>96</v>
      </c>
      <c r="C12" s="68">
        <v>85</v>
      </c>
      <c r="D12" s="69">
        <v>1.8318965517241E-2</v>
      </c>
    </row>
    <row r="13" spans="2:5">
      <c r="B13" s="67" t="s">
        <v>97</v>
      </c>
      <c r="C13" s="68">
        <v>67</v>
      </c>
      <c r="D13" s="69">
        <v>1.4439655172414001E-2</v>
      </c>
      <c r="E13" s="24"/>
    </row>
    <row r="14" spans="2:5">
      <c r="B14" s="67" t="s">
        <v>98</v>
      </c>
      <c r="C14" s="68">
        <v>54</v>
      </c>
      <c r="D14" s="69">
        <v>1.1637931034483E-2</v>
      </c>
      <c r="E14" s="24"/>
    </row>
    <row r="15" spans="2:5">
      <c r="B15" s="67" t="s">
        <v>99</v>
      </c>
      <c r="C15" s="68">
        <v>375</v>
      </c>
      <c r="D15" s="69">
        <v>8.0818965517241007E-2</v>
      </c>
    </row>
    <row r="16" spans="2:5">
      <c r="B16" s="67" t="s">
        <v>100</v>
      </c>
      <c r="C16" s="68">
        <v>102</v>
      </c>
      <c r="D16" s="69">
        <v>2.1982758620690001E-2</v>
      </c>
    </row>
    <row r="17" spans="2:4">
      <c r="B17" s="67" t="s">
        <v>101</v>
      </c>
      <c r="C17" s="68">
        <v>8</v>
      </c>
      <c r="D17" s="69">
        <v>1.724137931034E-3</v>
      </c>
    </row>
    <row r="18" spans="2:4">
      <c r="B18" s="67" t="s">
        <v>102</v>
      </c>
      <c r="C18" s="68">
        <v>8</v>
      </c>
      <c r="D18" s="69">
        <v>1.724137931034E-3</v>
      </c>
    </row>
    <row r="19" spans="2:4">
      <c r="B19" s="67" t="s">
        <v>103</v>
      </c>
      <c r="C19" s="68">
        <v>353</v>
      </c>
      <c r="D19" s="69">
        <v>7.6077586206897002E-2</v>
      </c>
    </row>
    <row r="20" spans="2:4">
      <c r="B20" s="67" t="s">
        <v>104</v>
      </c>
      <c r="C20" s="68">
        <v>169</v>
      </c>
      <c r="D20" s="69">
        <v>3.6422413793103001E-2</v>
      </c>
    </row>
    <row r="21" spans="2:4">
      <c r="B21" s="67" t="s">
        <v>105</v>
      </c>
      <c r="C21" s="68">
        <v>1</v>
      </c>
      <c r="D21" s="69">
        <v>2.1551724137899999E-4</v>
      </c>
    </row>
    <row r="22" spans="2:4">
      <c r="B22" s="67" t="s">
        <v>106</v>
      </c>
      <c r="C22" s="68">
        <v>14</v>
      </c>
      <c r="D22" s="69">
        <v>3.01724137931E-3</v>
      </c>
    </row>
    <row r="23" spans="2:4">
      <c r="B23" s="67" t="s">
        <v>107</v>
      </c>
      <c r="C23" s="68">
        <v>146</v>
      </c>
      <c r="D23" s="69">
        <v>3.1465517241378999E-2</v>
      </c>
    </row>
    <row r="24" spans="2:4">
      <c r="B24" s="67" t="s">
        <v>108</v>
      </c>
      <c r="C24" s="68">
        <v>174</v>
      </c>
      <c r="D24" s="69">
        <v>3.7499999999999999E-2</v>
      </c>
    </row>
    <row r="25" spans="2:4">
      <c r="B25" s="67" t="s">
        <v>109</v>
      </c>
      <c r="C25" s="68">
        <v>9</v>
      </c>
      <c r="D25" s="69">
        <v>1.9396551724139999E-3</v>
      </c>
    </row>
    <row r="26" spans="2:4">
      <c r="B26" s="67" t="s">
        <v>110</v>
      </c>
      <c r="C26" s="68">
        <v>33</v>
      </c>
      <c r="D26" s="69">
        <v>7.1120689655169997E-3</v>
      </c>
    </row>
    <row r="27" spans="2:4">
      <c r="B27" s="67" t="s">
        <v>111</v>
      </c>
      <c r="C27" s="68">
        <v>40</v>
      </c>
      <c r="D27" s="69">
        <v>8.6206896551720008E-3</v>
      </c>
    </row>
    <row r="28" spans="2:4">
      <c r="B28" s="67" t="s">
        <v>112</v>
      </c>
      <c r="C28" s="68">
        <v>99</v>
      </c>
      <c r="D28" s="69">
        <v>2.1336206896551999E-2</v>
      </c>
    </row>
    <row r="29" spans="2:4">
      <c r="B29" s="67" t="s">
        <v>113</v>
      </c>
      <c r="C29" s="68">
        <v>1</v>
      </c>
      <c r="D29" s="69">
        <v>2.1551724137899999E-4</v>
      </c>
    </row>
    <row r="30" spans="2:4">
      <c r="B30" s="67" t="s">
        <v>114</v>
      </c>
      <c r="C30" s="68">
        <v>39</v>
      </c>
      <c r="D30" s="69">
        <v>8.4051724137930005E-3</v>
      </c>
    </row>
    <row r="31" spans="2:4">
      <c r="B31" s="67" t="s">
        <v>115</v>
      </c>
      <c r="C31" s="68">
        <v>8</v>
      </c>
      <c r="D31" s="69">
        <v>1.724137931034E-3</v>
      </c>
    </row>
    <row r="32" spans="2:4">
      <c r="B32" s="67" t="s">
        <v>116</v>
      </c>
      <c r="C32" s="68">
        <v>24</v>
      </c>
      <c r="D32" s="69">
        <v>5.1724137931029998E-3</v>
      </c>
    </row>
    <row r="33" spans="2:4">
      <c r="B33" s="67" t="s">
        <v>117</v>
      </c>
      <c r="C33" s="68">
        <v>49</v>
      </c>
      <c r="D33" s="69">
        <v>1.0560344827586001E-2</v>
      </c>
    </row>
    <row r="34" spans="2:4">
      <c r="B34" s="67" t="s">
        <v>118</v>
      </c>
      <c r="C34" s="68">
        <v>63</v>
      </c>
      <c r="D34" s="69">
        <v>1.3577586206897E-2</v>
      </c>
    </row>
    <row r="35" spans="2:4">
      <c r="B35" s="67" t="s">
        <v>119</v>
      </c>
      <c r="C35" s="68">
        <v>66</v>
      </c>
      <c r="D35" s="69">
        <v>1.4224137931033999E-2</v>
      </c>
    </row>
    <row r="36" spans="2:4">
      <c r="B36" s="67" t="s">
        <v>120</v>
      </c>
      <c r="C36" s="68">
        <v>13</v>
      </c>
      <c r="D36" s="69">
        <v>2.8017241379310002E-3</v>
      </c>
    </row>
    <row r="37" spans="2:4">
      <c r="B37" s="67" t="s">
        <v>121</v>
      </c>
      <c r="C37" s="68">
        <v>32</v>
      </c>
      <c r="D37" s="69">
        <v>6.8965517241380003E-3</v>
      </c>
    </row>
    <row r="38" spans="2:4">
      <c r="B38" s="67" t="s">
        <v>122</v>
      </c>
      <c r="C38" s="68">
        <v>31</v>
      </c>
      <c r="D38" s="69">
        <v>6.6810344827590001E-3</v>
      </c>
    </row>
    <row r="39" spans="2:4">
      <c r="B39" s="67" t="s">
        <v>123</v>
      </c>
      <c r="C39" s="68">
        <v>16</v>
      </c>
      <c r="D39" s="69">
        <v>3.4482758620690002E-3</v>
      </c>
    </row>
    <row r="40" spans="2:4">
      <c r="B40" s="67" t="s">
        <v>124</v>
      </c>
      <c r="C40" s="68">
        <v>60</v>
      </c>
      <c r="D40" s="69">
        <v>1.2931034482759E-2</v>
      </c>
    </row>
    <row r="41" spans="2:4">
      <c r="B41" s="67" t="s">
        <v>125</v>
      </c>
      <c r="C41" s="68">
        <v>515</v>
      </c>
      <c r="D41" s="69">
        <v>0.110991379310345</v>
      </c>
    </row>
    <row r="42" spans="2:4">
      <c r="B42" s="67" t="s">
        <v>126</v>
      </c>
      <c r="C42" s="68">
        <v>2</v>
      </c>
      <c r="D42" s="69">
        <v>4.3103448275899999E-4</v>
      </c>
    </row>
    <row r="43" spans="2:4">
      <c r="B43" s="67" t="s">
        <v>127</v>
      </c>
      <c r="C43" s="68">
        <v>48</v>
      </c>
      <c r="D43" s="69">
        <v>1.0344827586207E-2</v>
      </c>
    </row>
    <row r="44" spans="2:4">
      <c r="B44" s="67" t="s">
        <v>128</v>
      </c>
      <c r="C44" s="68">
        <v>103</v>
      </c>
      <c r="D44" s="69">
        <v>2.2198275862068999E-2</v>
      </c>
    </row>
    <row r="45" spans="2:4">
      <c r="B45" s="67" t="s">
        <v>129</v>
      </c>
      <c r="C45" s="68">
        <v>25</v>
      </c>
      <c r="D45" s="69">
        <v>5.3879310344830001E-3</v>
      </c>
    </row>
    <row r="46" spans="2:4">
      <c r="B46" s="67" t="s">
        <v>130</v>
      </c>
      <c r="C46" s="68">
        <v>40</v>
      </c>
      <c r="D46" s="69">
        <v>8.6206896551720008E-3</v>
      </c>
    </row>
    <row r="47" spans="2:4">
      <c r="B47" s="67" t="s">
        <v>131</v>
      </c>
      <c r="C47" s="68">
        <v>5</v>
      </c>
      <c r="D47" s="69">
        <v>1.0775862068969999E-3</v>
      </c>
    </row>
    <row r="48" spans="2:4">
      <c r="B48" s="67" t="s">
        <v>132</v>
      </c>
      <c r="C48" s="68">
        <v>157</v>
      </c>
      <c r="D48" s="69">
        <v>3.3836206896552E-2</v>
      </c>
    </row>
    <row r="49" spans="2:4">
      <c r="B49" s="67" t="s">
        <v>133</v>
      </c>
      <c r="C49" s="68">
        <v>94</v>
      </c>
      <c r="D49" s="69">
        <v>2.0258620689655001E-2</v>
      </c>
    </row>
    <row r="50" spans="2:4">
      <c r="B50" s="67" t="s">
        <v>134</v>
      </c>
      <c r="C50" s="68">
        <v>1230</v>
      </c>
      <c r="D50" s="69">
        <v>0.26508620689655199</v>
      </c>
    </row>
    <row r="51" spans="2:4">
      <c r="B51" s="67" t="s">
        <v>135</v>
      </c>
      <c r="C51" s="68">
        <v>25</v>
      </c>
      <c r="D51" s="69">
        <v>5.3879310344830001E-3</v>
      </c>
    </row>
    <row r="52" spans="2:4">
      <c r="B52" s="67" t="s">
        <v>136</v>
      </c>
      <c r="C52" s="68">
        <v>36</v>
      </c>
      <c r="D52" s="69">
        <v>7.7586206896549997E-3</v>
      </c>
    </row>
    <row r="53" spans="2:4">
      <c r="B53" s="67" t="s">
        <v>137</v>
      </c>
      <c r="C53" s="68">
        <v>153</v>
      </c>
      <c r="D53" s="69">
        <v>3.2974137931034E-2</v>
      </c>
    </row>
    <row r="54" spans="2:4">
      <c r="B54" s="67" t="s">
        <v>58</v>
      </c>
      <c r="C54" s="68">
        <v>19</v>
      </c>
      <c r="D54" s="69">
        <v>4.0948275862070001E-3</v>
      </c>
    </row>
    <row r="55" spans="2:4">
      <c r="B55" s="67" t="s">
        <v>138</v>
      </c>
      <c r="C55" s="68">
        <v>2</v>
      </c>
      <c r="D55" s="69">
        <v>4.3103448275899999E-4</v>
      </c>
    </row>
    <row r="56" spans="2:4">
      <c r="B56" s="67" t="s">
        <v>139</v>
      </c>
      <c r="C56" s="68">
        <v>46</v>
      </c>
      <c r="D56" s="69">
        <v>9.9137931034480008E-3</v>
      </c>
    </row>
    <row r="57" spans="2:4">
      <c r="B57" s="67" t="s">
        <v>140</v>
      </c>
      <c r="C57" s="68">
        <v>1</v>
      </c>
      <c r="D57" s="69">
        <v>2.1551724137899999E-4</v>
      </c>
    </row>
    <row r="58" spans="2:4">
      <c r="B58" s="20" t="s">
        <v>29</v>
      </c>
      <c r="C58" s="19">
        <v>4640</v>
      </c>
      <c r="D58" s="18">
        <v>1</v>
      </c>
    </row>
    <row r="59" spans="2:4">
      <c r="B59" s="15"/>
    </row>
    <row r="60" spans="2:4">
      <c r="B60" s="15" t="s">
        <v>46</v>
      </c>
    </row>
    <row r="61" spans="2:4">
      <c r="B61" s="17" t="s">
        <v>18</v>
      </c>
    </row>
    <row r="62" spans="2:4">
      <c r="B62" s="16" t="s">
        <v>47</v>
      </c>
    </row>
    <row r="63" spans="2:4">
      <c r="B63" s="15" t="s">
        <v>17</v>
      </c>
    </row>
    <row r="64" spans="2:4">
      <c r="B64" s="15" t="s">
        <v>48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B1:E65"/>
  <sheetViews>
    <sheetView showGridLines="0" view="pageBreakPreview" zoomScale="115" zoomScaleNormal="100" zoomScaleSheetLayoutView="115" workbookViewId="0"/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2:5" s="25" customFormat="1" ht="15" customHeight="1">
      <c r="C1" s="31"/>
    </row>
    <row r="2" spans="2:5" s="25" customFormat="1" ht="15" customHeight="1">
      <c r="C2" s="31"/>
    </row>
    <row r="3" spans="2:5" s="25" customFormat="1" ht="15" customHeight="1">
      <c r="C3" s="31"/>
    </row>
    <row r="4" spans="2:5" s="25" customFormat="1" ht="30" customHeight="1">
      <c r="C4" s="31"/>
      <c r="D4" s="30"/>
    </row>
    <row r="5" spans="2:5" s="25" customFormat="1" ht="15" customHeight="1">
      <c r="C5" s="31"/>
      <c r="D5" s="30"/>
    </row>
    <row r="6" spans="2:5" s="25" customFormat="1" ht="15" customHeight="1">
      <c r="C6" s="31"/>
      <c r="D6" s="30"/>
    </row>
    <row r="7" spans="2:5" s="25" customFormat="1" ht="15" customHeight="1">
      <c r="B7" s="91" t="s">
        <v>37</v>
      </c>
      <c r="C7" s="91"/>
      <c r="D7" s="91"/>
    </row>
    <row r="8" spans="2:5" s="25" customFormat="1" ht="15" customHeight="1">
      <c r="B8" s="91"/>
      <c r="C8" s="91"/>
      <c r="D8" s="91"/>
    </row>
    <row r="9" spans="2:5" s="25" customFormat="1" ht="33" customHeight="1">
      <c r="B9" s="91"/>
      <c r="C9" s="91"/>
      <c r="D9" s="91"/>
    </row>
    <row r="10" spans="2:5" s="25" customFormat="1" ht="4.5" customHeight="1">
      <c r="B10" s="29"/>
      <c r="C10" s="29"/>
      <c r="D10" s="29"/>
    </row>
    <row r="11" spans="2:5" s="25" customFormat="1" ht="33" customHeight="1">
      <c r="B11" s="28" t="s">
        <v>22</v>
      </c>
      <c r="C11" s="27" t="s">
        <v>20</v>
      </c>
      <c r="D11" s="26" t="s">
        <v>19</v>
      </c>
    </row>
    <row r="12" spans="2:5">
      <c r="B12" s="23" t="s">
        <v>49</v>
      </c>
      <c r="C12" s="22">
        <v>722</v>
      </c>
      <c r="D12" s="21">
        <v>0.15560344827586201</v>
      </c>
    </row>
    <row r="13" spans="2:5">
      <c r="B13" s="23" t="s">
        <v>50</v>
      </c>
      <c r="C13" s="22">
        <v>385</v>
      </c>
      <c r="D13" s="21">
        <v>8.2974137931034003E-2</v>
      </c>
    </row>
    <row r="14" spans="2:5">
      <c r="B14" s="23" t="s">
        <v>51</v>
      </c>
      <c r="C14" s="22">
        <v>288</v>
      </c>
      <c r="D14" s="21">
        <v>6.2068965517240997E-2</v>
      </c>
      <c r="E14" s="24"/>
    </row>
    <row r="15" spans="2:5">
      <c r="B15" s="23" t="s">
        <v>52</v>
      </c>
      <c r="C15" s="22">
        <v>274</v>
      </c>
      <c r="D15" s="21">
        <v>5.9051724137931E-2</v>
      </c>
    </row>
    <row r="16" spans="2:5">
      <c r="B16" s="23" t="s">
        <v>53</v>
      </c>
      <c r="C16" s="22">
        <v>239</v>
      </c>
      <c r="D16" s="21">
        <v>5.1508620689654998E-2</v>
      </c>
    </row>
    <row r="17" spans="2:4">
      <c r="B17" s="23" t="s">
        <v>54</v>
      </c>
      <c r="C17" s="22">
        <v>229</v>
      </c>
      <c r="D17" s="21">
        <v>4.9353448275862001E-2</v>
      </c>
    </row>
    <row r="18" spans="2:4">
      <c r="B18" s="23" t="s">
        <v>55</v>
      </c>
      <c r="C18" s="22">
        <v>213</v>
      </c>
      <c r="D18" s="21">
        <v>4.5905172413793001E-2</v>
      </c>
    </row>
    <row r="19" spans="2:4">
      <c r="B19" s="23" t="s">
        <v>56</v>
      </c>
      <c r="C19" s="22">
        <v>187</v>
      </c>
      <c r="D19" s="21">
        <v>4.0301724137930997E-2</v>
      </c>
    </row>
    <row r="20" spans="2:4">
      <c r="B20" s="23" t="s">
        <v>57</v>
      </c>
      <c r="C20" s="22">
        <v>166</v>
      </c>
      <c r="D20" s="21">
        <v>3.5775862068965998E-2</v>
      </c>
    </row>
    <row r="21" spans="2:4">
      <c r="B21" s="23" t="s">
        <v>58</v>
      </c>
      <c r="C21" s="22">
        <v>166</v>
      </c>
      <c r="D21" s="21">
        <v>3.5775862068965998E-2</v>
      </c>
    </row>
    <row r="22" spans="2:4">
      <c r="B22" s="23" t="s">
        <v>59</v>
      </c>
      <c r="C22" s="22">
        <v>154</v>
      </c>
      <c r="D22" s="21">
        <v>3.3189655172413998E-2</v>
      </c>
    </row>
    <row r="23" spans="2:4">
      <c r="B23" s="23" t="s">
        <v>60</v>
      </c>
      <c r="C23" s="22">
        <v>130</v>
      </c>
      <c r="D23" s="21">
        <v>2.8017241379309998E-2</v>
      </c>
    </row>
    <row r="24" spans="2:4">
      <c r="B24" s="23" t="s">
        <v>61</v>
      </c>
      <c r="C24" s="22">
        <v>129</v>
      </c>
      <c r="D24" s="21">
        <v>2.7801724137931E-2</v>
      </c>
    </row>
    <row r="25" spans="2:4">
      <c r="B25" s="23" t="s">
        <v>62</v>
      </c>
      <c r="C25" s="22">
        <v>104</v>
      </c>
      <c r="D25" s="21">
        <v>2.2413793103448001E-2</v>
      </c>
    </row>
    <row r="26" spans="2:4">
      <c r="B26" s="23" t="s">
        <v>63</v>
      </c>
      <c r="C26" s="22">
        <v>91</v>
      </c>
      <c r="D26" s="21">
        <v>1.9612068965517E-2</v>
      </c>
    </row>
    <row r="27" spans="2:4">
      <c r="B27" s="23" t="s">
        <v>64</v>
      </c>
      <c r="C27" s="22">
        <v>85</v>
      </c>
      <c r="D27" s="21">
        <v>1.8318965517241E-2</v>
      </c>
    </row>
    <row r="28" spans="2:4">
      <c r="B28" s="23" t="s">
        <v>65</v>
      </c>
      <c r="C28" s="22">
        <v>75</v>
      </c>
      <c r="D28" s="21">
        <v>1.6163793103447999E-2</v>
      </c>
    </row>
    <row r="29" spans="2:4">
      <c r="B29" s="23" t="s">
        <v>66</v>
      </c>
      <c r="C29" s="22">
        <v>74</v>
      </c>
      <c r="D29" s="21">
        <v>1.5948275862069001E-2</v>
      </c>
    </row>
    <row r="30" spans="2:4">
      <c r="B30" s="23" t="s">
        <v>67</v>
      </c>
      <c r="C30" s="22">
        <v>72</v>
      </c>
      <c r="D30" s="21">
        <v>1.5517241379309999E-2</v>
      </c>
    </row>
    <row r="31" spans="2:4">
      <c r="B31" s="23" t="s">
        <v>68</v>
      </c>
      <c r="C31" s="22">
        <v>71</v>
      </c>
      <c r="D31" s="21">
        <v>1.5301724137930999E-2</v>
      </c>
    </row>
    <row r="32" spans="2:4">
      <c r="B32" s="23" t="s">
        <v>69</v>
      </c>
      <c r="C32" s="22">
        <v>64</v>
      </c>
      <c r="D32" s="21">
        <v>1.3793103448276001E-2</v>
      </c>
    </row>
    <row r="33" spans="2:4">
      <c r="B33" s="23" t="s">
        <v>70</v>
      </c>
      <c r="C33" s="22">
        <v>62</v>
      </c>
      <c r="D33" s="21">
        <v>1.3362068965516999E-2</v>
      </c>
    </row>
    <row r="34" spans="2:4">
      <c r="B34" s="23" t="s">
        <v>71</v>
      </c>
      <c r="C34" s="22">
        <v>55</v>
      </c>
      <c r="D34" s="21">
        <v>1.1853448275862001E-2</v>
      </c>
    </row>
    <row r="35" spans="2:4">
      <c r="B35" s="23" t="s">
        <v>72</v>
      </c>
      <c r="C35" s="22">
        <v>52</v>
      </c>
      <c r="D35" s="21">
        <v>1.1206896551724001E-2</v>
      </c>
    </row>
    <row r="36" spans="2:4">
      <c r="B36" s="23" t="s">
        <v>73</v>
      </c>
      <c r="C36" s="22">
        <v>51</v>
      </c>
      <c r="D36" s="21">
        <v>1.0991379310345E-2</v>
      </c>
    </row>
    <row r="37" spans="2:4">
      <c r="B37" s="23" t="s">
        <v>74</v>
      </c>
      <c r="C37" s="22">
        <v>49</v>
      </c>
      <c r="D37" s="21">
        <v>1.0560344827586001E-2</v>
      </c>
    </row>
    <row r="38" spans="2:4">
      <c r="B38" s="23" t="s">
        <v>75</v>
      </c>
      <c r="C38" s="22">
        <v>48</v>
      </c>
      <c r="D38" s="21">
        <v>1.0344827586207E-2</v>
      </c>
    </row>
    <row r="39" spans="2:4">
      <c r="B39" s="23" t="s">
        <v>76</v>
      </c>
      <c r="C39" s="22">
        <v>42</v>
      </c>
      <c r="D39" s="21">
        <v>9.0517241379310005E-3</v>
      </c>
    </row>
    <row r="40" spans="2:4">
      <c r="B40" s="23" t="s">
        <v>77</v>
      </c>
      <c r="C40" s="22">
        <v>37</v>
      </c>
      <c r="D40" s="21">
        <v>7.9741379310340008E-3</v>
      </c>
    </row>
    <row r="41" spans="2:4">
      <c r="B41" s="23" t="s">
        <v>78</v>
      </c>
      <c r="C41" s="22">
        <v>32</v>
      </c>
      <c r="D41" s="21">
        <v>6.8965517241380003E-3</v>
      </c>
    </row>
    <row r="42" spans="2:4">
      <c r="B42" s="23" t="s">
        <v>79</v>
      </c>
      <c r="C42" s="22">
        <v>31</v>
      </c>
      <c r="D42" s="21">
        <v>6.6810344827590001E-3</v>
      </c>
    </row>
    <row r="43" spans="2:4">
      <c r="B43" s="23" t="s">
        <v>80</v>
      </c>
      <c r="C43" s="22">
        <v>30</v>
      </c>
      <c r="D43" s="21">
        <v>6.4655172413789997E-3</v>
      </c>
    </row>
    <row r="44" spans="2:4">
      <c r="B44" s="23" t="s">
        <v>81</v>
      </c>
      <c r="C44" s="22">
        <v>28</v>
      </c>
      <c r="D44" s="21">
        <v>6.0344827586210001E-3</v>
      </c>
    </row>
    <row r="45" spans="2:4">
      <c r="B45" s="23" t="s">
        <v>82</v>
      </c>
      <c r="C45" s="22">
        <v>28</v>
      </c>
      <c r="D45" s="21">
        <v>6.0344827586210001E-3</v>
      </c>
    </row>
    <row r="46" spans="2:4">
      <c r="B46" s="23" t="s">
        <v>83</v>
      </c>
      <c r="C46" s="22">
        <v>26</v>
      </c>
      <c r="D46" s="21">
        <v>5.6034482758620004E-3</v>
      </c>
    </row>
    <row r="47" spans="2:4">
      <c r="B47" s="23" t="s">
        <v>84</v>
      </c>
      <c r="C47" s="22">
        <v>24</v>
      </c>
      <c r="D47" s="21">
        <v>5.1724137931029998E-3</v>
      </c>
    </row>
    <row r="48" spans="2:4">
      <c r="B48" s="23" t="s">
        <v>85</v>
      </c>
      <c r="C48" s="22">
        <v>23</v>
      </c>
      <c r="D48" s="21">
        <v>4.9568965517240004E-3</v>
      </c>
    </row>
    <row r="49" spans="2:4">
      <c r="B49" s="23" t="s">
        <v>86</v>
      </c>
      <c r="C49" s="22">
        <v>18</v>
      </c>
      <c r="D49" s="21">
        <v>3.8793103448279999E-3</v>
      </c>
    </row>
    <row r="50" spans="2:4">
      <c r="B50" s="23" t="s">
        <v>87</v>
      </c>
      <c r="C50" s="22">
        <v>17</v>
      </c>
      <c r="D50" s="21">
        <v>3.663793103448E-3</v>
      </c>
    </row>
    <row r="51" spans="2:4">
      <c r="B51" s="23" t="s">
        <v>88</v>
      </c>
      <c r="C51" s="22">
        <v>16</v>
      </c>
      <c r="D51" s="21">
        <v>3.4482758620690002E-3</v>
      </c>
    </row>
    <row r="52" spans="2:4">
      <c r="B52" s="23" t="s">
        <v>89</v>
      </c>
      <c r="C52" s="22">
        <v>15</v>
      </c>
      <c r="D52" s="21">
        <v>3.2327586206899999E-3</v>
      </c>
    </row>
    <row r="53" spans="2:4">
      <c r="B53" s="23" t="s">
        <v>90</v>
      </c>
      <c r="C53" s="22">
        <v>14</v>
      </c>
      <c r="D53" s="21">
        <v>3.01724137931E-3</v>
      </c>
    </row>
    <row r="54" spans="2:4">
      <c r="B54" s="23" t="s">
        <v>91</v>
      </c>
      <c r="C54" s="22">
        <v>10</v>
      </c>
      <c r="D54" s="21">
        <v>2.1551724137930002E-3</v>
      </c>
    </row>
    <row r="55" spans="2:4">
      <c r="B55" s="23" t="s">
        <v>92</v>
      </c>
      <c r="C55" s="22">
        <v>8</v>
      </c>
      <c r="D55" s="21">
        <v>1.724137931034E-3</v>
      </c>
    </row>
    <row r="56" spans="2:4">
      <c r="B56" s="23" t="s">
        <v>93</v>
      </c>
      <c r="C56" s="22">
        <v>3</v>
      </c>
      <c r="D56" s="21">
        <v>6.4655172413799998E-4</v>
      </c>
    </row>
    <row r="57" spans="2:4">
      <c r="B57" s="23" t="s">
        <v>94</v>
      </c>
      <c r="C57" s="22">
        <v>2</v>
      </c>
      <c r="D57" s="21">
        <v>4.3103448275899999E-4</v>
      </c>
    </row>
    <row r="58" spans="2:4">
      <c r="B58" s="23" t="s">
        <v>95</v>
      </c>
      <c r="C58" s="22">
        <v>1</v>
      </c>
      <c r="D58" s="21">
        <v>2.1551724137899999E-4</v>
      </c>
    </row>
    <row r="59" spans="2:4">
      <c r="B59" s="20" t="s">
        <v>29</v>
      </c>
      <c r="C59" s="19">
        <v>4640</v>
      </c>
      <c r="D59" s="18">
        <v>1</v>
      </c>
    </row>
    <row r="60" spans="2:4">
      <c r="B60" s="16"/>
    </row>
    <row r="61" spans="2:4">
      <c r="B61" s="15" t="s">
        <v>46</v>
      </c>
    </row>
    <row r="62" spans="2:4">
      <c r="B62" s="17" t="s">
        <v>18</v>
      </c>
    </row>
    <row r="63" spans="2:4">
      <c r="B63" s="16" t="s">
        <v>47</v>
      </c>
    </row>
    <row r="64" spans="2:4">
      <c r="B64" s="15" t="s">
        <v>17</v>
      </c>
    </row>
    <row r="65" spans="2:2">
      <c r="B65" s="15" t="s">
        <v>48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1:E29"/>
  <sheetViews>
    <sheetView showGridLines="0" view="pageBreakPreview" zoomScale="115" zoomScaleNormal="100" zoomScaleSheetLayoutView="115" workbookViewId="0"/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2:5" s="25" customFormat="1" ht="15" customHeight="1">
      <c r="C1" s="31"/>
    </row>
    <row r="2" spans="2:5" s="25" customFormat="1" ht="15" customHeight="1">
      <c r="C2" s="31"/>
    </row>
    <row r="3" spans="2:5" s="25" customFormat="1" ht="15" customHeight="1">
      <c r="C3" s="31"/>
    </row>
    <row r="4" spans="2:5" s="25" customFormat="1" ht="30" customHeight="1">
      <c r="C4" s="31"/>
      <c r="D4" s="30"/>
    </row>
    <row r="5" spans="2:5" s="25" customFormat="1" ht="15" customHeight="1">
      <c r="C5" s="31"/>
      <c r="D5" s="30"/>
    </row>
    <row r="6" spans="2:5" s="25" customFormat="1" ht="15" customHeight="1">
      <c r="C6" s="31"/>
      <c r="D6" s="30"/>
    </row>
    <row r="7" spans="2:5" s="25" customFormat="1" ht="15" customHeight="1">
      <c r="B7" s="91" t="s">
        <v>43</v>
      </c>
      <c r="C7" s="91"/>
      <c r="D7" s="91"/>
    </row>
    <row r="8" spans="2:5" s="25" customFormat="1" ht="15" customHeight="1">
      <c r="B8" s="91"/>
      <c r="C8" s="91"/>
      <c r="D8" s="91"/>
    </row>
    <row r="9" spans="2:5" s="25" customFormat="1" ht="33" customHeight="1">
      <c r="B9" s="91"/>
      <c r="C9" s="91"/>
      <c r="D9" s="91"/>
    </row>
    <row r="10" spans="2:5" s="25" customFormat="1" ht="4.5" customHeight="1">
      <c r="B10" s="29"/>
      <c r="C10" s="29"/>
      <c r="D10" s="29"/>
    </row>
    <row r="11" spans="2:5" s="25" customFormat="1" ht="33" customHeight="1">
      <c r="B11" s="70" t="s">
        <v>22</v>
      </c>
      <c r="C11" s="71" t="s">
        <v>20</v>
      </c>
      <c r="D11" s="70" t="s">
        <v>19</v>
      </c>
    </row>
    <row r="12" spans="2:5">
      <c r="B12" s="23" t="s">
        <v>49</v>
      </c>
      <c r="C12" s="22">
        <v>722</v>
      </c>
      <c r="D12" s="21">
        <f>C12/$C$22</f>
        <v>0.25165562913907286</v>
      </c>
    </row>
    <row r="13" spans="2:5">
      <c r="B13" s="23" t="s">
        <v>50</v>
      </c>
      <c r="C13" s="22">
        <v>385</v>
      </c>
      <c r="D13" s="21">
        <f t="shared" ref="D13:D21" si="0">C13/$C$22</f>
        <v>0.13419309864064133</v>
      </c>
    </row>
    <row r="14" spans="2:5">
      <c r="B14" s="23" t="s">
        <v>51</v>
      </c>
      <c r="C14" s="22">
        <v>288</v>
      </c>
      <c r="D14" s="21">
        <f>C14/$C$22</f>
        <v>0.10038340885325897</v>
      </c>
      <c r="E14" s="24"/>
    </row>
    <row r="15" spans="2:5">
      <c r="B15" s="23" t="s">
        <v>52</v>
      </c>
      <c r="C15" s="22">
        <v>274</v>
      </c>
      <c r="D15" s="21">
        <f>C15/$C$22</f>
        <v>9.5503659811781105E-2</v>
      </c>
      <c r="E15" s="24"/>
    </row>
    <row r="16" spans="2:5">
      <c r="B16" s="23" t="s">
        <v>53</v>
      </c>
      <c r="C16" s="22">
        <v>239</v>
      </c>
      <c r="D16" s="21">
        <f t="shared" si="0"/>
        <v>8.3304287208086442E-2</v>
      </c>
    </row>
    <row r="17" spans="2:4">
      <c r="B17" s="23" t="s">
        <v>54</v>
      </c>
      <c r="C17" s="22">
        <v>229</v>
      </c>
      <c r="D17" s="21">
        <f t="shared" si="0"/>
        <v>7.9818752178459393E-2</v>
      </c>
    </row>
    <row r="18" spans="2:4">
      <c r="B18" s="23" t="s">
        <v>55</v>
      </c>
      <c r="C18" s="22">
        <v>213</v>
      </c>
      <c r="D18" s="21">
        <f t="shared" si="0"/>
        <v>7.4241896131056112E-2</v>
      </c>
    </row>
    <row r="19" spans="2:4">
      <c r="B19" s="23" t="s">
        <v>56</v>
      </c>
      <c r="C19" s="22">
        <v>187</v>
      </c>
      <c r="D19" s="21">
        <f t="shared" si="0"/>
        <v>6.5179505054025796E-2</v>
      </c>
    </row>
    <row r="20" spans="2:4">
      <c r="B20" s="23" t="s">
        <v>57</v>
      </c>
      <c r="C20" s="22">
        <v>166</v>
      </c>
      <c r="D20" s="21">
        <f>C20/$C$22</f>
        <v>5.7859881491808991E-2</v>
      </c>
    </row>
    <row r="21" spans="2:4">
      <c r="B21" s="23" t="s">
        <v>58</v>
      </c>
      <c r="C21" s="22">
        <v>166</v>
      </c>
      <c r="D21" s="21">
        <f t="shared" si="0"/>
        <v>5.7859881491808991E-2</v>
      </c>
    </row>
    <row r="22" spans="2:4">
      <c r="B22" s="20" t="s">
        <v>44</v>
      </c>
      <c r="C22" s="19">
        <f>SUM(C12:C21)</f>
        <v>2869</v>
      </c>
      <c r="D22" s="18">
        <f t="shared" ref="D22" si="1">C22/$C$22</f>
        <v>1</v>
      </c>
    </row>
    <row r="23" spans="2:4">
      <c r="B23" s="20" t="s">
        <v>29</v>
      </c>
      <c r="C23" s="19">
        <v>4640</v>
      </c>
    </row>
    <row r="24" spans="2:4">
      <c r="B24" s="15"/>
    </row>
    <row r="25" spans="2:4">
      <c r="B25" s="15" t="s">
        <v>46</v>
      </c>
    </row>
    <row r="26" spans="2:4">
      <c r="B26" s="17" t="s">
        <v>18</v>
      </c>
    </row>
    <row r="27" spans="2:4">
      <c r="B27" s="16" t="s">
        <v>47</v>
      </c>
    </row>
    <row r="28" spans="2:4">
      <c r="B28" s="15" t="s">
        <v>17</v>
      </c>
    </row>
    <row r="29" spans="2:4">
      <c r="B29" s="15" t="s">
        <v>48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B1:E38"/>
  <sheetViews>
    <sheetView showGridLines="0" view="pageBreakPreview" topLeftCell="A23" zoomScale="115" zoomScaleNormal="100" zoomScaleSheetLayoutView="115" workbookViewId="0"/>
  </sheetViews>
  <sheetFormatPr baseColWidth="10" defaultColWidth="11.453125" defaultRowHeight="14.5"/>
  <cols>
    <col min="1" max="1" width="9.26953125" style="13" customWidth="1"/>
    <col min="2" max="2" width="32.81640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2:5" s="25" customFormat="1" ht="15" customHeight="1">
      <c r="C1" s="31"/>
    </row>
    <row r="2" spans="2:5" s="25" customFormat="1" ht="15" customHeight="1">
      <c r="C2" s="31"/>
    </row>
    <row r="3" spans="2:5" s="25" customFormat="1" ht="15" customHeight="1">
      <c r="C3" s="31"/>
    </row>
    <row r="4" spans="2:5" s="25" customFormat="1" ht="30" customHeight="1">
      <c r="C4" s="31"/>
      <c r="D4" s="30"/>
    </row>
    <row r="5" spans="2:5" s="25" customFormat="1" ht="15" customHeight="1">
      <c r="C5" s="31"/>
      <c r="D5" s="30"/>
    </row>
    <row r="6" spans="2:5" s="25" customFormat="1" ht="15" customHeight="1">
      <c r="C6" s="31"/>
      <c r="D6" s="30"/>
    </row>
    <row r="7" spans="2:5" s="25" customFormat="1" ht="15" customHeight="1">
      <c r="B7" s="91" t="s">
        <v>41</v>
      </c>
      <c r="C7" s="91"/>
      <c r="D7" s="91"/>
    </row>
    <row r="8" spans="2:5" s="25" customFormat="1" ht="15" customHeight="1">
      <c r="B8" s="91"/>
      <c r="C8" s="91"/>
      <c r="D8" s="91"/>
    </row>
    <row r="9" spans="2:5" s="25" customFormat="1" ht="33" customHeight="1">
      <c r="B9" s="91"/>
      <c r="C9" s="91"/>
      <c r="D9" s="91"/>
    </row>
    <row r="10" spans="2:5" s="25" customFormat="1" ht="4.5" customHeight="1">
      <c r="B10" s="72"/>
      <c r="C10" s="72"/>
      <c r="D10" s="72"/>
    </row>
    <row r="11" spans="2:5" s="25" customFormat="1" ht="33" customHeight="1">
      <c r="B11" s="70" t="s">
        <v>23</v>
      </c>
      <c r="C11" s="71" t="s">
        <v>20</v>
      </c>
      <c r="D11" s="70" t="s">
        <v>19</v>
      </c>
    </row>
    <row r="12" spans="2:5">
      <c r="B12" s="23" t="s">
        <v>192</v>
      </c>
      <c r="C12" s="22">
        <v>1201</v>
      </c>
      <c r="D12" s="21">
        <v>0.25883620689655201</v>
      </c>
    </row>
    <row r="13" spans="2:5">
      <c r="B13" s="23" t="s">
        <v>194</v>
      </c>
      <c r="C13" s="22">
        <v>1124</v>
      </c>
      <c r="D13" s="21">
        <v>0.24224137931034501</v>
      </c>
    </row>
    <row r="14" spans="2:5">
      <c r="B14" s="23" t="s">
        <v>189</v>
      </c>
      <c r="C14" s="22">
        <v>445</v>
      </c>
      <c r="D14" s="21">
        <v>9.5905172413792997E-2</v>
      </c>
      <c r="E14" s="24"/>
    </row>
    <row r="15" spans="2:5">
      <c r="B15" s="23" t="s">
        <v>190</v>
      </c>
      <c r="C15" s="22">
        <v>374</v>
      </c>
      <c r="D15" s="21">
        <v>8.0603448275861994E-2</v>
      </c>
      <c r="E15" s="24"/>
    </row>
    <row r="16" spans="2:5">
      <c r="B16" s="23" t="s">
        <v>187</v>
      </c>
      <c r="C16" s="22">
        <v>284</v>
      </c>
      <c r="D16" s="21">
        <v>6.1206896551723997E-2</v>
      </c>
    </row>
    <row r="17" spans="2:4">
      <c r="B17" s="23" t="s">
        <v>201</v>
      </c>
      <c r="C17" s="22">
        <v>221</v>
      </c>
      <c r="D17" s="21">
        <v>4.7629310344828001E-2</v>
      </c>
    </row>
    <row r="18" spans="2:4">
      <c r="B18" s="23" t="s">
        <v>191</v>
      </c>
      <c r="C18" s="22">
        <v>220</v>
      </c>
      <c r="D18" s="21">
        <v>4.7413793103448003E-2</v>
      </c>
    </row>
    <row r="19" spans="2:4">
      <c r="B19" s="23" t="s">
        <v>196</v>
      </c>
      <c r="C19" s="22">
        <v>198</v>
      </c>
      <c r="D19" s="21">
        <v>4.2672413793102999E-2</v>
      </c>
    </row>
    <row r="20" spans="2:4">
      <c r="B20" s="23" t="s">
        <v>197</v>
      </c>
      <c r="C20" s="22">
        <v>164</v>
      </c>
      <c r="D20" s="21">
        <v>3.5344827586207002E-2</v>
      </c>
    </row>
    <row r="21" spans="2:4">
      <c r="B21" s="23" t="s">
        <v>198</v>
      </c>
      <c r="C21" s="22">
        <v>80</v>
      </c>
      <c r="D21" s="21">
        <v>1.7241379310345001E-2</v>
      </c>
    </row>
    <row r="22" spans="2:4">
      <c r="B22" s="23" t="s">
        <v>199</v>
      </c>
      <c r="C22" s="22">
        <v>65</v>
      </c>
      <c r="D22" s="21">
        <v>1.4008620689654999E-2</v>
      </c>
    </row>
    <row r="23" spans="2:4">
      <c r="B23" s="23" t="s">
        <v>195</v>
      </c>
      <c r="C23" s="22">
        <v>63</v>
      </c>
      <c r="D23" s="21">
        <v>1.3577586206897E-2</v>
      </c>
    </row>
    <row r="24" spans="2:4">
      <c r="B24" s="23" t="s">
        <v>200</v>
      </c>
      <c r="C24" s="22">
        <v>60</v>
      </c>
      <c r="D24" s="21">
        <v>1.2931034482759E-2</v>
      </c>
    </row>
    <row r="25" spans="2:4">
      <c r="B25" s="23" t="s">
        <v>193</v>
      </c>
      <c r="C25" s="22">
        <v>41</v>
      </c>
      <c r="D25" s="21">
        <v>8.8362068965520003E-3</v>
      </c>
    </row>
    <row r="26" spans="2:4">
      <c r="B26" s="23" t="s">
        <v>188</v>
      </c>
      <c r="C26" s="22">
        <v>33</v>
      </c>
      <c r="D26" s="21">
        <v>7.1120689655169997E-3</v>
      </c>
    </row>
    <row r="27" spans="2:4">
      <c r="B27" s="23" t="s">
        <v>202</v>
      </c>
      <c r="C27" s="22">
        <v>31</v>
      </c>
      <c r="D27" s="21">
        <v>6.6810344827590001E-3</v>
      </c>
    </row>
    <row r="28" spans="2:4">
      <c r="B28" s="23" t="s">
        <v>204</v>
      </c>
      <c r="C28" s="22">
        <v>27</v>
      </c>
      <c r="D28" s="21">
        <v>5.8189655172409998E-3</v>
      </c>
    </row>
    <row r="29" spans="2:4" ht="42">
      <c r="B29" s="23" t="s">
        <v>203</v>
      </c>
      <c r="C29" s="22">
        <v>7</v>
      </c>
      <c r="D29" s="21">
        <v>1.508620689655E-3</v>
      </c>
    </row>
    <row r="30" spans="2:4">
      <c r="B30" s="23" t="s">
        <v>206</v>
      </c>
      <c r="C30" s="22">
        <v>1</v>
      </c>
      <c r="D30" s="21">
        <v>2.1551724137899999E-4</v>
      </c>
    </row>
    <row r="31" spans="2:4">
      <c r="B31" s="23" t="s">
        <v>205</v>
      </c>
      <c r="C31" s="22">
        <v>1</v>
      </c>
      <c r="D31" s="21">
        <v>2.1551724137899999E-4</v>
      </c>
    </row>
    <row r="32" spans="2:4">
      <c r="B32" s="20" t="s">
        <v>29</v>
      </c>
      <c r="C32" s="19">
        <v>4640</v>
      </c>
      <c r="D32" s="18">
        <v>1</v>
      </c>
    </row>
    <row r="33" spans="2:2">
      <c r="B33" s="16"/>
    </row>
    <row r="34" spans="2:2">
      <c r="B34" s="15" t="s">
        <v>46</v>
      </c>
    </row>
    <row r="35" spans="2:2">
      <c r="B35" s="17" t="s">
        <v>18</v>
      </c>
    </row>
    <row r="36" spans="2:2">
      <c r="B36" s="16" t="s">
        <v>47</v>
      </c>
    </row>
    <row r="37" spans="2:2">
      <c r="B37" s="15" t="s">
        <v>17</v>
      </c>
    </row>
    <row r="38" spans="2:2">
      <c r="B38" s="15" t="s">
        <v>48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E493"/>
  <sheetViews>
    <sheetView showGridLines="0" view="pageBreakPreview" zoomScale="85" zoomScaleNormal="96" zoomScaleSheetLayoutView="85" workbookViewId="0"/>
  </sheetViews>
  <sheetFormatPr baseColWidth="10" defaultColWidth="35" defaultRowHeight="15" customHeight="1"/>
  <cols>
    <col min="1" max="1" width="1" style="32" customWidth="1"/>
    <col min="2" max="2" width="22.81640625" style="33" customWidth="1"/>
    <col min="3" max="3" width="35" style="33" customWidth="1"/>
    <col min="4" max="4" width="14.26953125" style="33" customWidth="1"/>
    <col min="5" max="5" width="16.81640625" style="33" customWidth="1"/>
    <col min="6" max="16384" width="35" style="32"/>
  </cols>
  <sheetData>
    <row r="1" spans="1:5" s="41" customFormat="1" ht="12" customHeight="1">
      <c r="B1" s="43"/>
      <c r="C1" s="37"/>
      <c r="D1" s="37"/>
      <c r="E1" s="37"/>
    </row>
    <row r="2" spans="1:5" s="41" customFormat="1" ht="15" customHeight="1">
      <c r="C2" s="45"/>
    </row>
    <row r="3" spans="1:5" s="41" customFormat="1" ht="15" customHeight="1">
      <c r="C3" s="45"/>
    </row>
    <row r="4" spans="1:5" s="41" customFormat="1" ht="30" customHeight="1">
      <c r="C4" s="45"/>
      <c r="D4" s="44"/>
    </row>
    <row r="5" spans="1:5" s="41" customFormat="1" ht="15" customHeight="1">
      <c r="C5" s="45"/>
      <c r="D5" s="44"/>
    </row>
    <row r="6" spans="1:5" s="41" customFormat="1" ht="24" customHeight="1">
      <c r="B6" s="43"/>
      <c r="C6" s="37"/>
      <c r="D6" s="37"/>
      <c r="E6" s="37"/>
    </row>
    <row r="7" spans="1:5" s="41" customFormat="1" ht="26.25" customHeight="1">
      <c r="A7" s="42"/>
      <c r="B7" s="94"/>
      <c r="C7" s="94"/>
      <c r="D7" s="94"/>
      <c r="E7" s="94"/>
    </row>
    <row r="8" spans="1:5" s="41" customFormat="1" ht="33" customHeight="1">
      <c r="A8" s="42"/>
      <c r="B8" s="94"/>
      <c r="C8" s="94"/>
      <c r="D8" s="94"/>
      <c r="E8" s="94"/>
    </row>
    <row r="9" spans="1:5" s="25" customFormat="1" ht="40.5" customHeight="1">
      <c r="B9" s="73" t="s">
        <v>25</v>
      </c>
      <c r="C9" s="74" t="s">
        <v>24</v>
      </c>
      <c r="D9" s="75" t="s">
        <v>20</v>
      </c>
      <c r="E9" s="73" t="s">
        <v>19</v>
      </c>
    </row>
    <row r="10" spans="1:5" ht="14.5">
      <c r="B10" s="92" t="s">
        <v>96</v>
      </c>
      <c r="C10" s="23" t="s">
        <v>187</v>
      </c>
      <c r="D10" s="76">
        <v>17</v>
      </c>
      <c r="E10" s="21">
        <v>3.663793103448E-3</v>
      </c>
    </row>
    <row r="11" spans="1:5" ht="14.5">
      <c r="B11" s="92"/>
      <c r="C11" s="23" t="s">
        <v>188</v>
      </c>
      <c r="D11" s="76">
        <v>1</v>
      </c>
      <c r="E11" s="21">
        <v>2.1551724137899999E-4</v>
      </c>
    </row>
    <row r="12" spans="1:5" ht="14.5">
      <c r="B12" s="92"/>
      <c r="C12" s="23" t="s">
        <v>189</v>
      </c>
      <c r="D12" s="76">
        <v>5</v>
      </c>
      <c r="E12" s="21">
        <v>1.0775862068969999E-3</v>
      </c>
    </row>
    <row r="13" spans="1:5" ht="14.5">
      <c r="B13" s="92"/>
      <c r="C13" s="23" t="s">
        <v>190</v>
      </c>
      <c r="D13" s="76">
        <v>4</v>
      </c>
      <c r="E13" s="21">
        <v>8.6206896551700002E-4</v>
      </c>
    </row>
    <row r="14" spans="1:5" ht="14.5">
      <c r="B14" s="92"/>
      <c r="C14" s="23" t="s">
        <v>191</v>
      </c>
      <c r="D14" s="76">
        <v>3</v>
      </c>
      <c r="E14" s="21">
        <v>6.4655172413799998E-4</v>
      </c>
    </row>
    <row r="15" spans="1:5" ht="14.5">
      <c r="B15" s="92"/>
      <c r="C15" s="23" t="s">
        <v>192</v>
      </c>
      <c r="D15" s="76">
        <v>10</v>
      </c>
      <c r="E15" s="21">
        <v>2.1551724137930002E-3</v>
      </c>
    </row>
    <row r="16" spans="1:5" ht="14.5">
      <c r="B16" s="92"/>
      <c r="C16" s="23" t="s">
        <v>193</v>
      </c>
      <c r="D16" s="76">
        <v>1</v>
      </c>
      <c r="E16" s="21">
        <v>2.1551724137899999E-4</v>
      </c>
    </row>
    <row r="17" spans="2:5" ht="14.5">
      <c r="B17" s="92"/>
      <c r="C17" s="23" t="s">
        <v>194</v>
      </c>
      <c r="D17" s="76">
        <v>20</v>
      </c>
      <c r="E17" s="21">
        <v>4.3103448275860004E-3</v>
      </c>
    </row>
    <row r="18" spans="2:5" ht="14.5">
      <c r="B18" s="92"/>
      <c r="C18" s="23" t="s">
        <v>195</v>
      </c>
      <c r="D18" s="76">
        <v>2</v>
      </c>
      <c r="E18" s="21">
        <v>4.3103448275899999E-4</v>
      </c>
    </row>
    <row r="19" spans="2:5" ht="14.5">
      <c r="B19" s="92"/>
      <c r="C19" s="23" t="s">
        <v>196</v>
      </c>
      <c r="D19" s="76">
        <v>1</v>
      </c>
      <c r="E19" s="21">
        <v>2.1551724137899999E-4</v>
      </c>
    </row>
    <row r="20" spans="2:5" ht="14.5">
      <c r="B20" s="92"/>
      <c r="C20" s="23" t="s">
        <v>197</v>
      </c>
      <c r="D20" s="76">
        <v>8</v>
      </c>
      <c r="E20" s="21">
        <v>1.724137931034E-3</v>
      </c>
    </row>
    <row r="21" spans="2:5" ht="14.5">
      <c r="B21" s="92"/>
      <c r="C21" s="23" t="s">
        <v>198</v>
      </c>
      <c r="D21" s="76">
        <v>1</v>
      </c>
      <c r="E21" s="21">
        <v>2.1551724137899999E-4</v>
      </c>
    </row>
    <row r="22" spans="2:5" ht="14.5">
      <c r="B22" s="92"/>
      <c r="C22" s="23" t="s">
        <v>199</v>
      </c>
      <c r="D22" s="76">
        <v>5</v>
      </c>
      <c r="E22" s="21">
        <v>1.0775862068969999E-3</v>
      </c>
    </row>
    <row r="23" spans="2:5" ht="14.5">
      <c r="B23" s="92"/>
      <c r="C23" s="23" t="s">
        <v>200</v>
      </c>
      <c r="D23" s="76">
        <v>1</v>
      </c>
      <c r="E23" s="21">
        <v>2.1551724137899999E-4</v>
      </c>
    </row>
    <row r="24" spans="2:5" ht="14.5">
      <c r="B24" s="92"/>
      <c r="C24" s="23" t="s">
        <v>201</v>
      </c>
      <c r="D24" s="76">
        <v>6</v>
      </c>
      <c r="E24" s="21">
        <v>1.293103448276E-3</v>
      </c>
    </row>
    <row r="25" spans="2:5" ht="14.5">
      <c r="B25" s="92"/>
      <c r="C25" s="77" t="s">
        <v>29</v>
      </c>
      <c r="D25" s="78">
        <v>85</v>
      </c>
      <c r="E25" s="79">
        <v>1.8318965517241E-2</v>
      </c>
    </row>
    <row r="26" spans="2:5" ht="14.5">
      <c r="B26" s="92" t="s">
        <v>97</v>
      </c>
      <c r="C26" s="23" t="s">
        <v>187</v>
      </c>
      <c r="D26" s="76">
        <v>4</v>
      </c>
      <c r="E26" s="21">
        <v>8.6206896551700002E-4</v>
      </c>
    </row>
    <row r="27" spans="2:5" ht="14.5">
      <c r="B27" s="92"/>
      <c r="C27" s="23" t="s">
        <v>189</v>
      </c>
      <c r="D27" s="76">
        <v>11</v>
      </c>
      <c r="E27" s="21">
        <v>2.370689655172E-3</v>
      </c>
    </row>
    <row r="28" spans="2:5" ht="14.5">
      <c r="B28" s="92"/>
      <c r="C28" s="23" t="s">
        <v>190</v>
      </c>
      <c r="D28" s="76">
        <v>3</v>
      </c>
      <c r="E28" s="21">
        <v>6.4655172413799998E-4</v>
      </c>
    </row>
    <row r="29" spans="2:5" ht="14.5">
      <c r="B29" s="92"/>
      <c r="C29" s="23" t="s">
        <v>191</v>
      </c>
      <c r="D29" s="76">
        <v>1</v>
      </c>
      <c r="E29" s="21">
        <v>2.1551724137899999E-4</v>
      </c>
    </row>
    <row r="30" spans="2:5" ht="14.5">
      <c r="B30" s="92"/>
      <c r="C30" s="23" t="s">
        <v>192</v>
      </c>
      <c r="D30" s="76">
        <v>17</v>
      </c>
      <c r="E30" s="21">
        <v>3.663793103448E-3</v>
      </c>
    </row>
    <row r="31" spans="2:5" ht="14.5">
      <c r="B31" s="92"/>
      <c r="C31" s="23" t="s">
        <v>193</v>
      </c>
      <c r="D31" s="76">
        <v>1</v>
      </c>
      <c r="E31" s="21">
        <v>2.1551724137899999E-4</v>
      </c>
    </row>
    <row r="32" spans="2:5" ht="14.5">
      <c r="B32" s="92"/>
      <c r="C32" s="23" t="s">
        <v>194</v>
      </c>
      <c r="D32" s="76">
        <v>14</v>
      </c>
      <c r="E32" s="21">
        <v>3.01724137931E-3</v>
      </c>
    </row>
    <row r="33" spans="2:5" ht="14.5">
      <c r="B33" s="92"/>
      <c r="C33" s="23" t="s">
        <v>195</v>
      </c>
      <c r="D33" s="76">
        <v>5</v>
      </c>
      <c r="E33" s="21">
        <v>1.0775862068969999E-3</v>
      </c>
    </row>
    <row r="34" spans="2:5" ht="14.5">
      <c r="B34" s="92"/>
      <c r="C34" s="23" t="s">
        <v>196</v>
      </c>
      <c r="D34" s="76">
        <v>1</v>
      </c>
      <c r="E34" s="21">
        <v>2.1551724137899999E-4</v>
      </c>
    </row>
    <row r="35" spans="2:5" ht="14.5">
      <c r="B35" s="92"/>
      <c r="C35" s="23" t="s">
        <v>202</v>
      </c>
      <c r="D35" s="76">
        <v>2</v>
      </c>
      <c r="E35" s="21">
        <v>4.3103448275899999E-4</v>
      </c>
    </row>
    <row r="36" spans="2:5" ht="14.5">
      <c r="B36" s="92"/>
      <c r="C36" s="23" t="s">
        <v>197</v>
      </c>
      <c r="D36" s="76">
        <v>3</v>
      </c>
      <c r="E36" s="21">
        <v>6.4655172413799998E-4</v>
      </c>
    </row>
    <row r="37" spans="2:5" ht="14.5">
      <c r="B37" s="92"/>
      <c r="C37" s="23" t="s">
        <v>199</v>
      </c>
      <c r="D37" s="76">
        <v>1</v>
      </c>
      <c r="E37" s="21">
        <v>2.1551724137899999E-4</v>
      </c>
    </row>
    <row r="38" spans="2:5" ht="14.5">
      <c r="B38" s="92"/>
      <c r="C38" s="23" t="s">
        <v>200</v>
      </c>
      <c r="D38" s="76">
        <v>2</v>
      </c>
      <c r="E38" s="21">
        <v>4.3103448275899999E-4</v>
      </c>
    </row>
    <row r="39" spans="2:5" ht="14.5">
      <c r="B39" s="92"/>
      <c r="C39" s="23" t="s">
        <v>201</v>
      </c>
      <c r="D39" s="76">
        <v>2</v>
      </c>
      <c r="E39" s="21">
        <v>4.3103448275899999E-4</v>
      </c>
    </row>
    <row r="40" spans="2:5" ht="14.5">
      <c r="B40" s="92"/>
      <c r="C40" s="77" t="s">
        <v>29</v>
      </c>
      <c r="D40" s="78">
        <v>67</v>
      </c>
      <c r="E40" s="79">
        <v>1.4439655172414001E-2</v>
      </c>
    </row>
    <row r="41" spans="2:5" ht="14.5">
      <c r="B41" s="92" t="s">
        <v>98</v>
      </c>
      <c r="C41" s="23" t="s">
        <v>187</v>
      </c>
      <c r="D41" s="76">
        <v>3</v>
      </c>
      <c r="E41" s="21">
        <v>6.4655172413799998E-4</v>
      </c>
    </row>
    <row r="42" spans="2:5" ht="14.5">
      <c r="B42" s="92"/>
      <c r="C42" s="23" t="s">
        <v>188</v>
      </c>
      <c r="D42" s="76">
        <v>1</v>
      </c>
      <c r="E42" s="21">
        <v>2.1551724137899999E-4</v>
      </c>
    </row>
    <row r="43" spans="2:5" ht="14.5">
      <c r="B43" s="92"/>
      <c r="C43" s="23" t="s">
        <v>189</v>
      </c>
      <c r="D43" s="76">
        <v>7</v>
      </c>
      <c r="E43" s="21">
        <v>1.508620689655E-3</v>
      </c>
    </row>
    <row r="44" spans="2:5" ht="14.5">
      <c r="B44" s="92"/>
      <c r="C44" s="23" t="s">
        <v>190</v>
      </c>
      <c r="D44" s="76">
        <v>4</v>
      </c>
      <c r="E44" s="21">
        <v>8.6206896551700002E-4</v>
      </c>
    </row>
    <row r="45" spans="2:5" ht="14.5">
      <c r="B45" s="92"/>
      <c r="C45" s="23" t="s">
        <v>191</v>
      </c>
      <c r="D45" s="76">
        <v>4</v>
      </c>
      <c r="E45" s="21">
        <v>8.6206896551700002E-4</v>
      </c>
    </row>
    <row r="46" spans="2:5" ht="14.5">
      <c r="B46" s="92"/>
      <c r="C46" s="23" t="s">
        <v>192</v>
      </c>
      <c r="D46" s="76">
        <v>11</v>
      </c>
      <c r="E46" s="21">
        <v>2.370689655172E-3</v>
      </c>
    </row>
    <row r="47" spans="2:5" ht="14.5">
      <c r="B47" s="92"/>
      <c r="C47" s="23" t="s">
        <v>193</v>
      </c>
      <c r="D47" s="76">
        <v>1</v>
      </c>
      <c r="E47" s="21">
        <v>2.1551724137899999E-4</v>
      </c>
    </row>
    <row r="48" spans="2:5" ht="14.5">
      <c r="B48" s="92"/>
      <c r="C48" s="23" t="s">
        <v>194</v>
      </c>
      <c r="D48" s="76">
        <v>13</v>
      </c>
      <c r="E48" s="21">
        <v>2.8017241379310002E-3</v>
      </c>
    </row>
    <row r="49" spans="2:5" ht="14.5">
      <c r="B49" s="92"/>
      <c r="C49" s="23" t="s">
        <v>195</v>
      </c>
      <c r="D49" s="76">
        <v>1</v>
      </c>
      <c r="E49" s="21">
        <v>2.1551724137899999E-4</v>
      </c>
    </row>
    <row r="50" spans="2:5" ht="14.5">
      <c r="B50" s="92"/>
      <c r="C50" s="23" t="s">
        <v>196</v>
      </c>
      <c r="D50" s="76">
        <v>1</v>
      </c>
      <c r="E50" s="21">
        <v>2.1551724137899999E-4</v>
      </c>
    </row>
    <row r="51" spans="2:5" ht="14.5">
      <c r="B51" s="92"/>
      <c r="C51" s="23" t="s">
        <v>197</v>
      </c>
      <c r="D51" s="76">
        <v>3</v>
      </c>
      <c r="E51" s="21">
        <v>6.4655172413799998E-4</v>
      </c>
    </row>
    <row r="52" spans="2:5" ht="42">
      <c r="B52" s="92"/>
      <c r="C52" s="23" t="s">
        <v>203</v>
      </c>
      <c r="D52" s="76">
        <v>1</v>
      </c>
      <c r="E52" s="21">
        <v>2.1551724137899999E-4</v>
      </c>
    </row>
    <row r="53" spans="2:5" ht="14.5">
      <c r="B53" s="92"/>
      <c r="C53" s="23" t="s">
        <v>201</v>
      </c>
      <c r="D53" s="76">
        <v>4</v>
      </c>
      <c r="E53" s="21">
        <v>8.6206896551700002E-4</v>
      </c>
    </row>
    <row r="54" spans="2:5" ht="14.5">
      <c r="B54" s="92"/>
      <c r="C54" s="77" t="s">
        <v>29</v>
      </c>
      <c r="D54" s="78">
        <v>54</v>
      </c>
      <c r="E54" s="79">
        <v>1.1637931034483E-2</v>
      </c>
    </row>
    <row r="55" spans="2:5" ht="14.5">
      <c r="B55" s="92" t="s">
        <v>99</v>
      </c>
      <c r="C55" s="23" t="s">
        <v>187</v>
      </c>
      <c r="D55" s="76">
        <v>26</v>
      </c>
      <c r="E55" s="21">
        <v>5.6034482758620004E-3</v>
      </c>
    </row>
    <row r="56" spans="2:5" ht="14.5">
      <c r="B56" s="92"/>
      <c r="C56" s="23" t="s">
        <v>188</v>
      </c>
      <c r="D56" s="76">
        <v>10</v>
      </c>
      <c r="E56" s="21">
        <v>2.1551724137930002E-3</v>
      </c>
    </row>
    <row r="57" spans="2:5" ht="14.5">
      <c r="B57" s="92"/>
      <c r="C57" s="23" t="s">
        <v>189</v>
      </c>
      <c r="D57" s="76">
        <v>59</v>
      </c>
      <c r="E57" s="21">
        <v>1.2715517241378999E-2</v>
      </c>
    </row>
    <row r="58" spans="2:5" ht="14.5">
      <c r="B58" s="92"/>
      <c r="C58" s="23" t="s">
        <v>190</v>
      </c>
      <c r="D58" s="76">
        <v>62</v>
      </c>
      <c r="E58" s="21">
        <v>1.3362068965516999E-2</v>
      </c>
    </row>
    <row r="59" spans="2:5" ht="14.5">
      <c r="B59" s="92"/>
      <c r="C59" s="23" t="s">
        <v>191</v>
      </c>
      <c r="D59" s="76">
        <v>12</v>
      </c>
      <c r="E59" s="21">
        <v>2.5862068965519999E-3</v>
      </c>
    </row>
    <row r="60" spans="2:5" ht="14.5">
      <c r="B60" s="92"/>
      <c r="C60" s="23" t="s">
        <v>192</v>
      </c>
      <c r="D60" s="76">
        <v>62</v>
      </c>
      <c r="E60" s="21">
        <v>1.3362068965516999E-2</v>
      </c>
    </row>
    <row r="61" spans="2:5" ht="14.5">
      <c r="B61" s="92"/>
      <c r="C61" s="23" t="s">
        <v>193</v>
      </c>
      <c r="D61" s="76">
        <v>8</v>
      </c>
      <c r="E61" s="21">
        <v>1.724137931034E-3</v>
      </c>
    </row>
    <row r="62" spans="2:5" ht="14.5">
      <c r="B62" s="92"/>
      <c r="C62" s="23" t="s">
        <v>194</v>
      </c>
      <c r="D62" s="76">
        <v>56</v>
      </c>
      <c r="E62" s="21">
        <v>1.2068965517240999E-2</v>
      </c>
    </row>
    <row r="63" spans="2:5" ht="14.5">
      <c r="B63" s="92"/>
      <c r="C63" s="23" t="s">
        <v>195</v>
      </c>
      <c r="D63" s="76">
        <v>9</v>
      </c>
      <c r="E63" s="21">
        <v>1.9396551724139999E-3</v>
      </c>
    </row>
    <row r="64" spans="2:5" ht="14.5">
      <c r="B64" s="92"/>
      <c r="C64" s="23" t="s">
        <v>196</v>
      </c>
      <c r="D64" s="76">
        <v>3</v>
      </c>
      <c r="E64" s="21">
        <v>6.4655172413799998E-4</v>
      </c>
    </row>
    <row r="65" spans="2:5" ht="14.5">
      <c r="B65" s="92"/>
      <c r="C65" s="23" t="s">
        <v>202</v>
      </c>
      <c r="D65" s="76">
        <v>4</v>
      </c>
      <c r="E65" s="21">
        <v>8.6206896551700002E-4</v>
      </c>
    </row>
    <row r="66" spans="2:5" ht="14.5">
      <c r="B66" s="92"/>
      <c r="C66" s="23" t="s">
        <v>197</v>
      </c>
      <c r="D66" s="76">
        <v>22</v>
      </c>
      <c r="E66" s="21">
        <v>4.7413793103450001E-3</v>
      </c>
    </row>
    <row r="67" spans="2:5" ht="14.5">
      <c r="B67" s="92"/>
      <c r="C67" s="23" t="s">
        <v>204</v>
      </c>
      <c r="D67" s="76">
        <v>2</v>
      </c>
      <c r="E67" s="21">
        <v>4.3103448275899999E-4</v>
      </c>
    </row>
    <row r="68" spans="2:5" ht="14.5">
      <c r="B68" s="92"/>
      <c r="C68" s="23" t="s">
        <v>198</v>
      </c>
      <c r="D68" s="76">
        <v>7</v>
      </c>
      <c r="E68" s="21">
        <v>1.508620689655E-3</v>
      </c>
    </row>
    <row r="69" spans="2:5" ht="14.5">
      <c r="B69" s="92"/>
      <c r="C69" s="23" t="s">
        <v>199</v>
      </c>
      <c r="D69" s="76">
        <v>3</v>
      </c>
      <c r="E69" s="21">
        <v>6.4655172413799998E-4</v>
      </c>
    </row>
    <row r="70" spans="2:5" ht="14.5">
      <c r="B70" s="92"/>
      <c r="C70" s="23" t="s">
        <v>200</v>
      </c>
      <c r="D70" s="76">
        <v>8</v>
      </c>
      <c r="E70" s="21">
        <v>1.724137931034E-3</v>
      </c>
    </row>
    <row r="71" spans="2:5" ht="14.5">
      <c r="B71" s="92"/>
      <c r="C71" s="23" t="s">
        <v>201</v>
      </c>
      <c r="D71" s="76">
        <v>22</v>
      </c>
      <c r="E71" s="21">
        <v>4.7413793103450001E-3</v>
      </c>
    </row>
    <row r="72" spans="2:5" ht="14.5">
      <c r="B72" s="92"/>
      <c r="C72" s="77" t="s">
        <v>29</v>
      </c>
      <c r="D72" s="78">
        <v>375</v>
      </c>
      <c r="E72" s="79">
        <v>8.0818965517241007E-2</v>
      </c>
    </row>
    <row r="73" spans="2:5" ht="14.5">
      <c r="B73" s="92" t="s">
        <v>100</v>
      </c>
      <c r="C73" s="23" t="s">
        <v>187</v>
      </c>
      <c r="D73" s="76">
        <v>10</v>
      </c>
      <c r="E73" s="21">
        <v>2.1551724137930002E-3</v>
      </c>
    </row>
    <row r="74" spans="2:5" ht="14.5">
      <c r="B74" s="92"/>
      <c r="C74" s="23" t="s">
        <v>189</v>
      </c>
      <c r="D74" s="76">
        <v>6</v>
      </c>
      <c r="E74" s="21">
        <v>1.293103448276E-3</v>
      </c>
    </row>
    <row r="75" spans="2:5" ht="14.5">
      <c r="B75" s="92"/>
      <c r="C75" s="23" t="s">
        <v>190</v>
      </c>
      <c r="D75" s="76">
        <v>33</v>
      </c>
      <c r="E75" s="21">
        <v>7.1120689655169997E-3</v>
      </c>
    </row>
    <row r="76" spans="2:5" ht="14.5">
      <c r="B76" s="92"/>
      <c r="C76" s="23" t="s">
        <v>191</v>
      </c>
      <c r="D76" s="76">
        <v>2</v>
      </c>
      <c r="E76" s="21">
        <v>4.3103448275899999E-4</v>
      </c>
    </row>
    <row r="77" spans="2:5" ht="14.5">
      <c r="B77" s="92"/>
      <c r="C77" s="23" t="s">
        <v>192</v>
      </c>
      <c r="D77" s="76">
        <v>25</v>
      </c>
      <c r="E77" s="21">
        <v>5.3879310344830001E-3</v>
      </c>
    </row>
    <row r="78" spans="2:5" ht="14.5">
      <c r="B78" s="92"/>
      <c r="C78" s="23" t="s">
        <v>194</v>
      </c>
      <c r="D78" s="76">
        <v>14</v>
      </c>
      <c r="E78" s="21">
        <v>3.01724137931E-3</v>
      </c>
    </row>
    <row r="79" spans="2:5" ht="14.5">
      <c r="B79" s="92"/>
      <c r="C79" s="23" t="s">
        <v>195</v>
      </c>
      <c r="D79" s="76">
        <v>2</v>
      </c>
      <c r="E79" s="21">
        <v>4.3103448275899999E-4</v>
      </c>
    </row>
    <row r="80" spans="2:5" ht="14.5">
      <c r="B80" s="92"/>
      <c r="C80" s="23" t="s">
        <v>197</v>
      </c>
      <c r="D80" s="76">
        <v>2</v>
      </c>
      <c r="E80" s="21">
        <v>4.3103448275899999E-4</v>
      </c>
    </row>
    <row r="81" spans="2:5" ht="14.5">
      <c r="B81" s="92"/>
      <c r="C81" s="23" t="s">
        <v>204</v>
      </c>
      <c r="D81" s="76">
        <v>1</v>
      </c>
      <c r="E81" s="21">
        <v>2.1551724137899999E-4</v>
      </c>
    </row>
    <row r="82" spans="2:5" ht="14.5">
      <c r="B82" s="92"/>
      <c r="C82" s="23" t="s">
        <v>198</v>
      </c>
      <c r="D82" s="76">
        <v>1</v>
      </c>
      <c r="E82" s="21">
        <v>2.1551724137899999E-4</v>
      </c>
    </row>
    <row r="83" spans="2:5" ht="14.5">
      <c r="B83" s="92"/>
      <c r="C83" s="23" t="s">
        <v>199</v>
      </c>
      <c r="D83" s="76">
        <v>3</v>
      </c>
      <c r="E83" s="21">
        <v>6.4655172413799998E-4</v>
      </c>
    </row>
    <row r="84" spans="2:5" ht="14.5">
      <c r="B84" s="92"/>
      <c r="C84" s="23" t="s">
        <v>201</v>
      </c>
      <c r="D84" s="76">
        <v>3</v>
      </c>
      <c r="E84" s="21">
        <v>6.4655172413799998E-4</v>
      </c>
    </row>
    <row r="85" spans="2:5" ht="14.5">
      <c r="B85" s="92"/>
      <c r="C85" s="77" t="s">
        <v>29</v>
      </c>
      <c r="D85" s="78">
        <v>102</v>
      </c>
      <c r="E85" s="79">
        <v>2.1982758620690001E-2</v>
      </c>
    </row>
    <row r="86" spans="2:5" ht="14.5">
      <c r="B86" s="92" t="s">
        <v>101</v>
      </c>
      <c r="C86" s="23" t="s">
        <v>189</v>
      </c>
      <c r="D86" s="76">
        <v>2</v>
      </c>
      <c r="E86" s="21">
        <v>4.3103448275899999E-4</v>
      </c>
    </row>
    <row r="87" spans="2:5" ht="14.5">
      <c r="B87" s="92"/>
      <c r="C87" s="23" t="s">
        <v>194</v>
      </c>
      <c r="D87" s="76">
        <v>1</v>
      </c>
      <c r="E87" s="21">
        <v>2.1551724137899999E-4</v>
      </c>
    </row>
    <row r="88" spans="2:5" ht="14.5">
      <c r="B88" s="92"/>
      <c r="C88" s="23" t="s">
        <v>196</v>
      </c>
      <c r="D88" s="76">
        <v>1</v>
      </c>
      <c r="E88" s="21">
        <v>2.1551724137899999E-4</v>
      </c>
    </row>
    <row r="89" spans="2:5" ht="14.5">
      <c r="B89" s="92"/>
      <c r="C89" s="23" t="s">
        <v>201</v>
      </c>
      <c r="D89" s="76">
        <v>4</v>
      </c>
      <c r="E89" s="21">
        <v>8.6206896551700002E-4</v>
      </c>
    </row>
    <row r="90" spans="2:5" ht="14.5">
      <c r="B90" s="92"/>
      <c r="C90" s="77" t="s">
        <v>29</v>
      </c>
      <c r="D90" s="78">
        <v>8</v>
      </c>
      <c r="E90" s="79">
        <v>1.724137931034E-3</v>
      </c>
    </row>
    <row r="91" spans="2:5" ht="14.5">
      <c r="B91" s="92" t="s">
        <v>102</v>
      </c>
      <c r="C91" s="23" t="s">
        <v>194</v>
      </c>
      <c r="D91" s="76">
        <v>5</v>
      </c>
      <c r="E91" s="21">
        <v>1.0775862068969999E-3</v>
      </c>
    </row>
    <row r="92" spans="2:5" ht="14.5">
      <c r="B92" s="92"/>
      <c r="C92" s="23" t="s">
        <v>197</v>
      </c>
      <c r="D92" s="76">
        <v>1</v>
      </c>
      <c r="E92" s="21">
        <v>2.1551724137899999E-4</v>
      </c>
    </row>
    <row r="93" spans="2:5" ht="14.5">
      <c r="B93" s="92"/>
      <c r="C93" s="23" t="s">
        <v>198</v>
      </c>
      <c r="D93" s="76">
        <v>1</v>
      </c>
      <c r="E93" s="21">
        <v>2.1551724137899999E-4</v>
      </c>
    </row>
    <row r="94" spans="2:5" ht="14.5">
      <c r="B94" s="92"/>
      <c r="C94" s="23" t="s">
        <v>199</v>
      </c>
      <c r="D94" s="76">
        <v>1</v>
      </c>
      <c r="E94" s="21">
        <v>2.1551724137899999E-4</v>
      </c>
    </row>
    <row r="95" spans="2:5" ht="14.5">
      <c r="B95" s="92"/>
      <c r="C95" s="77" t="s">
        <v>29</v>
      </c>
      <c r="D95" s="78">
        <v>8</v>
      </c>
      <c r="E95" s="79">
        <v>1.724137931034E-3</v>
      </c>
    </row>
    <row r="96" spans="2:5" ht="14.5">
      <c r="B96" s="92" t="s">
        <v>103</v>
      </c>
      <c r="C96" s="23" t="s">
        <v>187</v>
      </c>
      <c r="D96" s="76">
        <v>21</v>
      </c>
      <c r="E96" s="21">
        <v>4.5258620689659999E-3</v>
      </c>
    </row>
    <row r="97" spans="2:5" ht="14.5">
      <c r="B97" s="92"/>
      <c r="C97" s="23" t="s">
        <v>188</v>
      </c>
      <c r="D97" s="76">
        <v>1</v>
      </c>
      <c r="E97" s="21">
        <v>2.1551724137899999E-4</v>
      </c>
    </row>
    <row r="98" spans="2:5" ht="14.5">
      <c r="B98" s="92"/>
      <c r="C98" s="23" t="s">
        <v>189</v>
      </c>
      <c r="D98" s="76">
        <v>29</v>
      </c>
      <c r="E98" s="21">
        <v>6.2500000000000003E-3</v>
      </c>
    </row>
    <row r="99" spans="2:5" ht="14.5">
      <c r="B99" s="92"/>
      <c r="C99" s="23" t="s">
        <v>190</v>
      </c>
      <c r="D99" s="76">
        <v>18</v>
      </c>
      <c r="E99" s="21">
        <v>3.8793103448279999E-3</v>
      </c>
    </row>
    <row r="100" spans="2:5" ht="14.5">
      <c r="B100" s="92"/>
      <c r="C100" s="23" t="s">
        <v>191</v>
      </c>
      <c r="D100" s="76">
        <v>8</v>
      </c>
      <c r="E100" s="21">
        <v>1.724137931034E-3</v>
      </c>
    </row>
    <row r="101" spans="2:5" ht="14.5">
      <c r="B101" s="92"/>
      <c r="C101" s="23" t="s">
        <v>192</v>
      </c>
      <c r="D101" s="76">
        <v>89</v>
      </c>
      <c r="E101" s="21">
        <v>1.9181034482758999E-2</v>
      </c>
    </row>
    <row r="102" spans="2:5" ht="14.5">
      <c r="B102" s="92"/>
      <c r="C102" s="23" t="s">
        <v>193</v>
      </c>
      <c r="D102" s="76">
        <v>3</v>
      </c>
      <c r="E102" s="21">
        <v>6.4655172413799998E-4</v>
      </c>
    </row>
    <row r="103" spans="2:5" ht="14.5">
      <c r="B103" s="92"/>
      <c r="C103" s="23" t="s">
        <v>194</v>
      </c>
      <c r="D103" s="76">
        <v>117</v>
      </c>
      <c r="E103" s="21">
        <v>2.5215517241379E-2</v>
      </c>
    </row>
    <row r="104" spans="2:5" ht="14.5">
      <c r="B104" s="92"/>
      <c r="C104" s="23" t="s">
        <v>195</v>
      </c>
      <c r="D104" s="76">
        <v>5</v>
      </c>
      <c r="E104" s="21">
        <v>1.0775862068969999E-3</v>
      </c>
    </row>
    <row r="105" spans="2:5" ht="14.5">
      <c r="B105" s="92"/>
      <c r="C105" s="23" t="s">
        <v>196</v>
      </c>
      <c r="D105" s="76">
        <v>10</v>
      </c>
      <c r="E105" s="21">
        <v>2.1551724137930002E-3</v>
      </c>
    </row>
    <row r="106" spans="2:5" ht="14.5">
      <c r="B106" s="92"/>
      <c r="C106" s="23" t="s">
        <v>202</v>
      </c>
      <c r="D106" s="76">
        <v>2</v>
      </c>
      <c r="E106" s="21">
        <v>4.3103448275899999E-4</v>
      </c>
    </row>
    <row r="107" spans="2:5" ht="14.5">
      <c r="B107" s="92"/>
      <c r="C107" s="23" t="s">
        <v>197</v>
      </c>
      <c r="D107" s="76">
        <v>15</v>
      </c>
      <c r="E107" s="21">
        <v>3.2327586206899999E-3</v>
      </c>
    </row>
    <row r="108" spans="2:5" ht="14.5">
      <c r="B108" s="92"/>
      <c r="C108" s="23" t="s">
        <v>204</v>
      </c>
      <c r="D108" s="76">
        <v>4</v>
      </c>
      <c r="E108" s="21">
        <v>8.6206896551700002E-4</v>
      </c>
    </row>
    <row r="109" spans="2:5" ht="42">
      <c r="B109" s="92"/>
      <c r="C109" s="23" t="s">
        <v>203</v>
      </c>
      <c r="D109" s="76">
        <v>3</v>
      </c>
      <c r="E109" s="21">
        <v>6.4655172413799998E-4</v>
      </c>
    </row>
    <row r="110" spans="2:5" ht="14.5">
      <c r="B110" s="92"/>
      <c r="C110" s="23" t="s">
        <v>198</v>
      </c>
      <c r="D110" s="76">
        <v>2</v>
      </c>
      <c r="E110" s="21">
        <v>4.3103448275899999E-4</v>
      </c>
    </row>
    <row r="111" spans="2:5" ht="14.5">
      <c r="B111" s="92"/>
      <c r="C111" s="23" t="s">
        <v>199</v>
      </c>
      <c r="D111" s="76">
        <v>6</v>
      </c>
      <c r="E111" s="21">
        <v>1.293103448276E-3</v>
      </c>
    </row>
    <row r="112" spans="2:5" ht="14.5">
      <c r="B112" s="92"/>
      <c r="C112" s="23" t="s">
        <v>200</v>
      </c>
      <c r="D112" s="76">
        <v>8</v>
      </c>
      <c r="E112" s="21">
        <v>1.724137931034E-3</v>
      </c>
    </row>
    <row r="113" spans="2:5" ht="14.5">
      <c r="B113" s="92"/>
      <c r="C113" s="23" t="s">
        <v>201</v>
      </c>
      <c r="D113" s="76">
        <v>12</v>
      </c>
      <c r="E113" s="21">
        <v>2.5862068965519999E-3</v>
      </c>
    </row>
    <row r="114" spans="2:5" ht="14.5">
      <c r="B114" s="92"/>
      <c r="C114" s="77" t="s">
        <v>29</v>
      </c>
      <c r="D114" s="78">
        <v>353</v>
      </c>
      <c r="E114" s="79">
        <v>7.6077586206897002E-2</v>
      </c>
    </row>
    <row r="115" spans="2:5" ht="14.5">
      <c r="B115" s="92" t="s">
        <v>104</v>
      </c>
      <c r="C115" s="23" t="s">
        <v>187</v>
      </c>
      <c r="D115" s="76">
        <v>4</v>
      </c>
      <c r="E115" s="21">
        <v>8.6206896551700002E-4</v>
      </c>
    </row>
    <row r="116" spans="2:5" ht="14.5">
      <c r="B116" s="92"/>
      <c r="C116" s="23" t="s">
        <v>188</v>
      </c>
      <c r="D116" s="76">
        <v>1</v>
      </c>
      <c r="E116" s="21">
        <v>2.1551724137899999E-4</v>
      </c>
    </row>
    <row r="117" spans="2:5" ht="14.5">
      <c r="B117" s="92"/>
      <c r="C117" s="23" t="s">
        <v>189</v>
      </c>
      <c r="D117" s="76">
        <v>9</v>
      </c>
      <c r="E117" s="21">
        <v>1.9396551724139999E-3</v>
      </c>
    </row>
    <row r="118" spans="2:5" ht="14.5">
      <c r="B118" s="92"/>
      <c r="C118" s="23" t="s">
        <v>190</v>
      </c>
      <c r="D118" s="76">
        <v>6</v>
      </c>
      <c r="E118" s="21">
        <v>1.293103448276E-3</v>
      </c>
    </row>
    <row r="119" spans="2:5" ht="14.5">
      <c r="B119" s="92"/>
      <c r="C119" s="23" t="s">
        <v>191</v>
      </c>
      <c r="D119" s="76">
        <v>4</v>
      </c>
      <c r="E119" s="21">
        <v>8.6206896551700002E-4</v>
      </c>
    </row>
    <row r="120" spans="2:5" ht="14.5">
      <c r="B120" s="92"/>
      <c r="C120" s="23" t="s">
        <v>192</v>
      </c>
      <c r="D120" s="76">
        <v>54</v>
      </c>
      <c r="E120" s="21">
        <v>1.1637931034483E-2</v>
      </c>
    </row>
    <row r="121" spans="2:5" ht="14.5">
      <c r="B121" s="92"/>
      <c r="C121" s="23" t="s">
        <v>193</v>
      </c>
      <c r="D121" s="76">
        <v>1</v>
      </c>
      <c r="E121" s="21">
        <v>2.1551724137899999E-4</v>
      </c>
    </row>
    <row r="122" spans="2:5" ht="14.5">
      <c r="B122" s="92"/>
      <c r="C122" s="23" t="s">
        <v>194</v>
      </c>
      <c r="D122" s="76">
        <v>56</v>
      </c>
      <c r="E122" s="21">
        <v>1.2068965517240999E-2</v>
      </c>
    </row>
    <row r="123" spans="2:5" ht="14.5">
      <c r="B123" s="92"/>
      <c r="C123" s="23" t="s">
        <v>195</v>
      </c>
      <c r="D123" s="76">
        <v>1</v>
      </c>
      <c r="E123" s="21">
        <v>2.1551724137899999E-4</v>
      </c>
    </row>
    <row r="124" spans="2:5" ht="14.5">
      <c r="B124" s="92"/>
      <c r="C124" s="23" t="s">
        <v>196</v>
      </c>
      <c r="D124" s="76">
        <v>9</v>
      </c>
      <c r="E124" s="21">
        <v>1.9396551724139999E-3</v>
      </c>
    </row>
    <row r="125" spans="2:5" ht="14.5">
      <c r="B125" s="92"/>
      <c r="C125" s="23" t="s">
        <v>202</v>
      </c>
      <c r="D125" s="76">
        <v>1</v>
      </c>
      <c r="E125" s="21">
        <v>2.1551724137899999E-4</v>
      </c>
    </row>
    <row r="126" spans="2:5" ht="14.5">
      <c r="B126" s="92"/>
      <c r="C126" s="23" t="s">
        <v>204</v>
      </c>
      <c r="D126" s="76">
        <v>1</v>
      </c>
      <c r="E126" s="21">
        <v>2.1551724137899999E-4</v>
      </c>
    </row>
    <row r="127" spans="2:5" ht="42">
      <c r="B127" s="92"/>
      <c r="C127" s="23" t="s">
        <v>203</v>
      </c>
      <c r="D127" s="76">
        <v>1</v>
      </c>
      <c r="E127" s="21">
        <v>2.1551724137899999E-4</v>
      </c>
    </row>
    <row r="128" spans="2:5" ht="14.5">
      <c r="B128" s="92"/>
      <c r="C128" s="23" t="s">
        <v>198</v>
      </c>
      <c r="D128" s="76">
        <v>3</v>
      </c>
      <c r="E128" s="21">
        <v>6.4655172413799998E-4</v>
      </c>
    </row>
    <row r="129" spans="2:5" ht="14.5">
      <c r="B129" s="92"/>
      <c r="C129" s="23" t="s">
        <v>200</v>
      </c>
      <c r="D129" s="76">
        <v>1</v>
      </c>
      <c r="E129" s="21">
        <v>2.1551724137899999E-4</v>
      </c>
    </row>
    <row r="130" spans="2:5" ht="14.5">
      <c r="B130" s="92"/>
      <c r="C130" s="23" t="s">
        <v>201</v>
      </c>
      <c r="D130" s="76">
        <v>17</v>
      </c>
      <c r="E130" s="21">
        <v>3.663793103448E-3</v>
      </c>
    </row>
    <row r="131" spans="2:5" ht="14.5">
      <c r="B131" s="92"/>
      <c r="C131" s="77" t="s">
        <v>29</v>
      </c>
      <c r="D131" s="78">
        <v>169</v>
      </c>
      <c r="E131" s="79">
        <v>3.6422413793103001E-2</v>
      </c>
    </row>
    <row r="132" spans="2:5" ht="14.5">
      <c r="B132" s="92" t="s">
        <v>105</v>
      </c>
      <c r="C132" s="23" t="s">
        <v>195</v>
      </c>
      <c r="D132" s="76">
        <v>1</v>
      </c>
      <c r="E132" s="21">
        <v>2.1551724137899999E-4</v>
      </c>
    </row>
    <row r="133" spans="2:5" ht="14.5">
      <c r="B133" s="92"/>
      <c r="C133" s="77" t="s">
        <v>29</v>
      </c>
      <c r="D133" s="78">
        <v>1</v>
      </c>
      <c r="E133" s="79">
        <v>2.1551724137899999E-4</v>
      </c>
    </row>
    <row r="134" spans="2:5" ht="14.5">
      <c r="B134" s="92" t="s">
        <v>106</v>
      </c>
      <c r="C134" s="23" t="s">
        <v>187</v>
      </c>
      <c r="D134" s="76">
        <v>2</v>
      </c>
      <c r="E134" s="21">
        <v>4.3103448275899999E-4</v>
      </c>
    </row>
    <row r="135" spans="2:5" ht="14.5">
      <c r="B135" s="92"/>
      <c r="C135" s="23" t="s">
        <v>189</v>
      </c>
      <c r="D135" s="76">
        <v>1</v>
      </c>
      <c r="E135" s="21">
        <v>2.1551724137899999E-4</v>
      </c>
    </row>
    <row r="136" spans="2:5" ht="14.5">
      <c r="B136" s="92"/>
      <c r="C136" s="23" t="s">
        <v>190</v>
      </c>
      <c r="D136" s="76">
        <v>1</v>
      </c>
      <c r="E136" s="21">
        <v>2.1551724137899999E-4</v>
      </c>
    </row>
    <row r="137" spans="2:5" ht="14.5">
      <c r="B137" s="92"/>
      <c r="C137" s="23" t="s">
        <v>192</v>
      </c>
      <c r="D137" s="76">
        <v>1</v>
      </c>
      <c r="E137" s="21">
        <v>2.1551724137899999E-4</v>
      </c>
    </row>
    <row r="138" spans="2:5" ht="14.5">
      <c r="B138" s="92"/>
      <c r="C138" s="23" t="s">
        <v>194</v>
      </c>
      <c r="D138" s="76">
        <v>1</v>
      </c>
      <c r="E138" s="21">
        <v>2.1551724137899999E-4</v>
      </c>
    </row>
    <row r="139" spans="2:5" ht="14.5">
      <c r="B139" s="92"/>
      <c r="C139" s="23" t="s">
        <v>197</v>
      </c>
      <c r="D139" s="76">
        <v>4</v>
      </c>
      <c r="E139" s="21">
        <v>8.6206896551700002E-4</v>
      </c>
    </row>
    <row r="140" spans="2:5" ht="14.5">
      <c r="B140" s="92"/>
      <c r="C140" s="23" t="s">
        <v>200</v>
      </c>
      <c r="D140" s="76">
        <v>1</v>
      </c>
      <c r="E140" s="21">
        <v>2.1551724137899999E-4</v>
      </c>
    </row>
    <row r="141" spans="2:5" ht="14.5">
      <c r="B141" s="92"/>
      <c r="C141" s="23" t="s">
        <v>201</v>
      </c>
      <c r="D141" s="76">
        <v>3</v>
      </c>
      <c r="E141" s="21">
        <v>6.4655172413799998E-4</v>
      </c>
    </row>
    <row r="142" spans="2:5" ht="14.5">
      <c r="B142" s="92"/>
      <c r="C142" s="77" t="s">
        <v>29</v>
      </c>
      <c r="D142" s="78">
        <v>14</v>
      </c>
      <c r="E142" s="79">
        <v>3.01724137931E-3</v>
      </c>
    </row>
    <row r="143" spans="2:5" ht="14.5">
      <c r="B143" s="92" t="s">
        <v>107</v>
      </c>
      <c r="C143" s="23" t="s">
        <v>187</v>
      </c>
      <c r="D143" s="76">
        <v>11</v>
      </c>
      <c r="E143" s="21">
        <v>2.370689655172E-3</v>
      </c>
    </row>
    <row r="144" spans="2:5" ht="14.5">
      <c r="B144" s="92"/>
      <c r="C144" s="23" t="s">
        <v>189</v>
      </c>
      <c r="D144" s="76">
        <v>17</v>
      </c>
      <c r="E144" s="21">
        <v>3.663793103448E-3</v>
      </c>
    </row>
    <row r="145" spans="2:5" ht="14.5">
      <c r="B145" s="92"/>
      <c r="C145" s="23" t="s">
        <v>190</v>
      </c>
      <c r="D145" s="76">
        <v>10</v>
      </c>
      <c r="E145" s="21">
        <v>2.1551724137930002E-3</v>
      </c>
    </row>
    <row r="146" spans="2:5" ht="14.5">
      <c r="B146" s="92"/>
      <c r="C146" s="23" t="s">
        <v>191</v>
      </c>
      <c r="D146" s="76">
        <v>3</v>
      </c>
      <c r="E146" s="21">
        <v>6.4655172413799998E-4</v>
      </c>
    </row>
    <row r="147" spans="2:5" ht="14.5">
      <c r="B147" s="92"/>
      <c r="C147" s="23" t="s">
        <v>192</v>
      </c>
      <c r="D147" s="76">
        <v>44</v>
      </c>
      <c r="E147" s="21">
        <v>9.4827586206900003E-3</v>
      </c>
    </row>
    <row r="148" spans="2:5" ht="14.5">
      <c r="B148" s="92"/>
      <c r="C148" s="23" t="s">
        <v>194</v>
      </c>
      <c r="D148" s="76">
        <v>34</v>
      </c>
      <c r="E148" s="21">
        <v>7.327586206897E-3</v>
      </c>
    </row>
    <row r="149" spans="2:5" ht="14.5">
      <c r="B149" s="92"/>
      <c r="C149" s="23" t="s">
        <v>195</v>
      </c>
      <c r="D149" s="76">
        <v>2</v>
      </c>
      <c r="E149" s="21">
        <v>4.3103448275899999E-4</v>
      </c>
    </row>
    <row r="150" spans="2:5" ht="14.5">
      <c r="B150" s="92"/>
      <c r="C150" s="23" t="s">
        <v>196</v>
      </c>
      <c r="D150" s="76">
        <v>1</v>
      </c>
      <c r="E150" s="21">
        <v>2.1551724137899999E-4</v>
      </c>
    </row>
    <row r="151" spans="2:5" ht="14.5">
      <c r="B151" s="92"/>
      <c r="C151" s="23" t="s">
        <v>197</v>
      </c>
      <c r="D151" s="76">
        <v>8</v>
      </c>
      <c r="E151" s="21">
        <v>1.724137931034E-3</v>
      </c>
    </row>
    <row r="152" spans="2:5" ht="14.5">
      <c r="B152" s="92"/>
      <c r="C152" s="23" t="s">
        <v>204</v>
      </c>
      <c r="D152" s="76">
        <v>1</v>
      </c>
      <c r="E152" s="21">
        <v>2.1551724137899999E-4</v>
      </c>
    </row>
    <row r="153" spans="2:5" ht="14.5">
      <c r="B153" s="92"/>
      <c r="C153" s="23" t="s">
        <v>198</v>
      </c>
      <c r="D153" s="76">
        <v>5</v>
      </c>
      <c r="E153" s="21">
        <v>1.0775862068969999E-3</v>
      </c>
    </row>
    <row r="154" spans="2:5" ht="14.5">
      <c r="B154" s="92"/>
      <c r="C154" s="23" t="s">
        <v>199</v>
      </c>
      <c r="D154" s="76">
        <v>2</v>
      </c>
      <c r="E154" s="21">
        <v>4.3103448275899999E-4</v>
      </c>
    </row>
    <row r="155" spans="2:5" ht="14.5">
      <c r="B155" s="92"/>
      <c r="C155" s="23" t="s">
        <v>200</v>
      </c>
      <c r="D155" s="76">
        <v>4</v>
      </c>
      <c r="E155" s="21">
        <v>8.6206896551700002E-4</v>
      </c>
    </row>
    <row r="156" spans="2:5" ht="14.5">
      <c r="B156" s="92"/>
      <c r="C156" s="23" t="s">
        <v>201</v>
      </c>
      <c r="D156" s="76">
        <v>4</v>
      </c>
      <c r="E156" s="21">
        <v>8.6206896551700002E-4</v>
      </c>
    </row>
    <row r="157" spans="2:5" ht="14.5">
      <c r="B157" s="92"/>
      <c r="C157" s="77" t="s">
        <v>29</v>
      </c>
      <c r="D157" s="78">
        <v>146</v>
      </c>
      <c r="E157" s="79">
        <v>3.1465517241378999E-2</v>
      </c>
    </row>
    <row r="158" spans="2:5" ht="14.5">
      <c r="B158" s="92" t="s">
        <v>108</v>
      </c>
      <c r="C158" s="23" t="s">
        <v>187</v>
      </c>
      <c r="D158" s="76">
        <v>9</v>
      </c>
      <c r="E158" s="21">
        <v>1.9396551724139999E-3</v>
      </c>
    </row>
    <row r="159" spans="2:5" ht="14.5">
      <c r="B159" s="92"/>
      <c r="C159" s="23" t="s">
        <v>188</v>
      </c>
      <c r="D159" s="76">
        <v>1</v>
      </c>
      <c r="E159" s="21">
        <v>2.1551724137899999E-4</v>
      </c>
    </row>
    <row r="160" spans="2:5" ht="14.5">
      <c r="B160" s="92"/>
      <c r="C160" s="23" t="s">
        <v>189</v>
      </c>
      <c r="D160" s="76">
        <v>15</v>
      </c>
      <c r="E160" s="21">
        <v>3.2327586206899999E-3</v>
      </c>
    </row>
    <row r="161" spans="2:5" ht="14.5">
      <c r="B161" s="92"/>
      <c r="C161" s="23" t="s">
        <v>190</v>
      </c>
      <c r="D161" s="76">
        <v>9</v>
      </c>
      <c r="E161" s="21">
        <v>1.9396551724139999E-3</v>
      </c>
    </row>
    <row r="162" spans="2:5" ht="14.5">
      <c r="B162" s="92"/>
      <c r="C162" s="23" t="s">
        <v>191</v>
      </c>
      <c r="D162" s="76">
        <v>7</v>
      </c>
      <c r="E162" s="21">
        <v>1.508620689655E-3</v>
      </c>
    </row>
    <row r="163" spans="2:5" ht="14.5">
      <c r="B163" s="92"/>
      <c r="C163" s="23" t="s">
        <v>192</v>
      </c>
      <c r="D163" s="76">
        <v>55</v>
      </c>
      <c r="E163" s="21">
        <v>1.1853448275862001E-2</v>
      </c>
    </row>
    <row r="164" spans="2:5" ht="14.5">
      <c r="B164" s="92"/>
      <c r="C164" s="23" t="s">
        <v>193</v>
      </c>
      <c r="D164" s="76">
        <v>1</v>
      </c>
      <c r="E164" s="21">
        <v>2.1551724137899999E-4</v>
      </c>
    </row>
    <row r="165" spans="2:5" ht="14.5">
      <c r="B165" s="92"/>
      <c r="C165" s="23" t="s">
        <v>194</v>
      </c>
      <c r="D165" s="76">
        <v>53</v>
      </c>
      <c r="E165" s="21">
        <v>1.1422413793102999E-2</v>
      </c>
    </row>
    <row r="166" spans="2:5" ht="14.5">
      <c r="B166" s="92"/>
      <c r="C166" s="23" t="s">
        <v>195</v>
      </c>
      <c r="D166" s="76">
        <v>2</v>
      </c>
      <c r="E166" s="21">
        <v>4.3103448275899999E-4</v>
      </c>
    </row>
    <row r="167" spans="2:5" ht="14.5">
      <c r="B167" s="92"/>
      <c r="C167" s="23" t="s">
        <v>196</v>
      </c>
      <c r="D167" s="76">
        <v>7</v>
      </c>
      <c r="E167" s="21">
        <v>1.508620689655E-3</v>
      </c>
    </row>
    <row r="168" spans="2:5" ht="14.5">
      <c r="B168" s="92"/>
      <c r="C168" s="23" t="s">
        <v>202</v>
      </c>
      <c r="D168" s="76">
        <v>4</v>
      </c>
      <c r="E168" s="21">
        <v>8.6206896551700002E-4</v>
      </c>
    </row>
    <row r="169" spans="2:5" ht="14.5">
      <c r="B169" s="92"/>
      <c r="C169" s="23" t="s">
        <v>197</v>
      </c>
      <c r="D169" s="76">
        <v>2</v>
      </c>
      <c r="E169" s="21">
        <v>4.3103448275899999E-4</v>
      </c>
    </row>
    <row r="170" spans="2:5" ht="14.5">
      <c r="B170" s="92"/>
      <c r="C170" s="23" t="s">
        <v>204</v>
      </c>
      <c r="D170" s="76">
        <v>1</v>
      </c>
      <c r="E170" s="21">
        <v>2.1551724137899999E-4</v>
      </c>
    </row>
    <row r="171" spans="2:5" ht="14.5">
      <c r="B171" s="92"/>
      <c r="C171" s="23" t="s">
        <v>199</v>
      </c>
      <c r="D171" s="76">
        <v>4</v>
      </c>
      <c r="E171" s="21">
        <v>8.6206896551700002E-4</v>
      </c>
    </row>
    <row r="172" spans="2:5" ht="14.5">
      <c r="B172" s="92"/>
      <c r="C172" s="23" t="s">
        <v>200</v>
      </c>
      <c r="D172" s="76">
        <v>1</v>
      </c>
      <c r="E172" s="21">
        <v>2.1551724137899999E-4</v>
      </c>
    </row>
    <row r="173" spans="2:5" ht="14.5">
      <c r="B173" s="92"/>
      <c r="C173" s="23" t="s">
        <v>201</v>
      </c>
      <c r="D173" s="76">
        <v>3</v>
      </c>
      <c r="E173" s="21">
        <v>6.4655172413799998E-4</v>
      </c>
    </row>
    <row r="174" spans="2:5" ht="14.5">
      <c r="B174" s="92"/>
      <c r="C174" s="77" t="s">
        <v>29</v>
      </c>
      <c r="D174" s="78">
        <v>174</v>
      </c>
      <c r="E174" s="79">
        <v>3.7499999999999999E-2</v>
      </c>
    </row>
    <row r="175" spans="2:5" ht="14.5">
      <c r="B175" s="92" t="s">
        <v>109</v>
      </c>
      <c r="C175" s="23" t="s">
        <v>187</v>
      </c>
      <c r="D175" s="76">
        <v>2</v>
      </c>
      <c r="E175" s="21">
        <v>4.3103448275899999E-4</v>
      </c>
    </row>
    <row r="176" spans="2:5" ht="14.5">
      <c r="B176" s="92"/>
      <c r="C176" s="23" t="s">
        <v>189</v>
      </c>
      <c r="D176" s="76">
        <v>1</v>
      </c>
      <c r="E176" s="21">
        <v>2.1551724137899999E-4</v>
      </c>
    </row>
    <row r="177" spans="2:5" ht="14.5">
      <c r="B177" s="92"/>
      <c r="C177" s="23" t="s">
        <v>191</v>
      </c>
      <c r="D177" s="76">
        <v>1</v>
      </c>
      <c r="E177" s="21">
        <v>2.1551724137899999E-4</v>
      </c>
    </row>
    <row r="178" spans="2:5" ht="14.5">
      <c r="B178" s="92"/>
      <c r="C178" s="23" t="s">
        <v>192</v>
      </c>
      <c r="D178" s="76">
        <v>2</v>
      </c>
      <c r="E178" s="21">
        <v>4.3103448275899999E-4</v>
      </c>
    </row>
    <row r="179" spans="2:5" ht="14.5">
      <c r="B179" s="92"/>
      <c r="C179" s="23" t="s">
        <v>194</v>
      </c>
      <c r="D179" s="76">
        <v>2</v>
      </c>
      <c r="E179" s="21">
        <v>4.3103448275899999E-4</v>
      </c>
    </row>
    <row r="180" spans="2:5" ht="14.5">
      <c r="B180" s="92"/>
      <c r="C180" s="23" t="s">
        <v>196</v>
      </c>
      <c r="D180" s="76">
        <v>1</v>
      </c>
      <c r="E180" s="21">
        <v>2.1551724137899999E-4</v>
      </c>
    </row>
    <row r="181" spans="2:5" ht="14.5">
      <c r="B181" s="92"/>
      <c r="C181" s="77" t="s">
        <v>29</v>
      </c>
      <c r="D181" s="78">
        <v>9</v>
      </c>
      <c r="E181" s="79">
        <v>1.9396551724139999E-3</v>
      </c>
    </row>
    <row r="182" spans="2:5" ht="14.5">
      <c r="B182" s="92" t="s">
        <v>110</v>
      </c>
      <c r="C182" s="23" t="s">
        <v>189</v>
      </c>
      <c r="D182" s="76">
        <v>7</v>
      </c>
      <c r="E182" s="21">
        <v>1.508620689655E-3</v>
      </c>
    </row>
    <row r="183" spans="2:5" ht="14.5">
      <c r="B183" s="92"/>
      <c r="C183" s="23" t="s">
        <v>190</v>
      </c>
      <c r="D183" s="76">
        <v>1</v>
      </c>
      <c r="E183" s="21">
        <v>2.1551724137899999E-4</v>
      </c>
    </row>
    <row r="184" spans="2:5" ht="14.5">
      <c r="B184" s="92"/>
      <c r="C184" s="23" t="s">
        <v>191</v>
      </c>
      <c r="D184" s="76">
        <v>4</v>
      </c>
      <c r="E184" s="21">
        <v>8.6206896551700002E-4</v>
      </c>
    </row>
    <row r="185" spans="2:5" ht="14.5">
      <c r="B185" s="92"/>
      <c r="C185" s="23" t="s">
        <v>192</v>
      </c>
      <c r="D185" s="76">
        <v>12</v>
      </c>
      <c r="E185" s="21">
        <v>2.5862068965519999E-3</v>
      </c>
    </row>
    <row r="186" spans="2:5" ht="14.5">
      <c r="B186" s="92"/>
      <c r="C186" s="23" t="s">
        <v>194</v>
      </c>
      <c r="D186" s="76">
        <v>3</v>
      </c>
      <c r="E186" s="21">
        <v>6.4655172413799998E-4</v>
      </c>
    </row>
    <row r="187" spans="2:5" ht="42">
      <c r="B187" s="92"/>
      <c r="C187" s="23" t="s">
        <v>203</v>
      </c>
      <c r="D187" s="76">
        <v>1</v>
      </c>
      <c r="E187" s="21">
        <v>2.1551724137899999E-4</v>
      </c>
    </row>
    <row r="188" spans="2:5" ht="14.5">
      <c r="B188" s="92"/>
      <c r="C188" s="23" t="s">
        <v>201</v>
      </c>
      <c r="D188" s="76">
        <v>5</v>
      </c>
      <c r="E188" s="21">
        <v>1.0775862068969999E-3</v>
      </c>
    </row>
    <row r="189" spans="2:5" ht="14.5">
      <c r="B189" s="92"/>
      <c r="C189" s="77" t="s">
        <v>29</v>
      </c>
      <c r="D189" s="78">
        <v>33</v>
      </c>
      <c r="E189" s="79">
        <v>7.1120689655169997E-3</v>
      </c>
    </row>
    <row r="190" spans="2:5" ht="14.5">
      <c r="B190" s="92" t="s">
        <v>111</v>
      </c>
      <c r="C190" s="23" t="s">
        <v>187</v>
      </c>
      <c r="D190" s="76">
        <v>2</v>
      </c>
      <c r="E190" s="21">
        <v>4.3103448275899999E-4</v>
      </c>
    </row>
    <row r="191" spans="2:5" ht="14.5">
      <c r="B191" s="92"/>
      <c r="C191" s="23" t="s">
        <v>189</v>
      </c>
      <c r="D191" s="76">
        <v>2</v>
      </c>
      <c r="E191" s="21">
        <v>4.3103448275899999E-4</v>
      </c>
    </row>
    <row r="192" spans="2:5" ht="14.5">
      <c r="B192" s="92"/>
      <c r="C192" s="23" t="s">
        <v>190</v>
      </c>
      <c r="D192" s="76">
        <v>4</v>
      </c>
      <c r="E192" s="21">
        <v>8.6206896551700002E-4</v>
      </c>
    </row>
    <row r="193" spans="2:5" ht="14.5">
      <c r="B193" s="92"/>
      <c r="C193" s="23" t="s">
        <v>191</v>
      </c>
      <c r="D193" s="76">
        <v>2</v>
      </c>
      <c r="E193" s="21">
        <v>4.3103448275899999E-4</v>
      </c>
    </row>
    <row r="194" spans="2:5" ht="14.5">
      <c r="B194" s="92"/>
      <c r="C194" s="23" t="s">
        <v>192</v>
      </c>
      <c r="D194" s="76">
        <v>10</v>
      </c>
      <c r="E194" s="21">
        <v>2.1551724137930002E-3</v>
      </c>
    </row>
    <row r="195" spans="2:5" ht="14.5">
      <c r="B195" s="92"/>
      <c r="C195" s="23" t="s">
        <v>193</v>
      </c>
      <c r="D195" s="76">
        <v>1</v>
      </c>
      <c r="E195" s="21">
        <v>2.1551724137899999E-4</v>
      </c>
    </row>
    <row r="196" spans="2:5" ht="14.5">
      <c r="B196" s="92"/>
      <c r="C196" s="23" t="s">
        <v>194</v>
      </c>
      <c r="D196" s="76">
        <v>15</v>
      </c>
      <c r="E196" s="21">
        <v>3.2327586206899999E-3</v>
      </c>
    </row>
    <row r="197" spans="2:5" ht="14.5">
      <c r="B197" s="92"/>
      <c r="C197" s="23" t="s">
        <v>200</v>
      </c>
      <c r="D197" s="76">
        <v>1</v>
      </c>
      <c r="E197" s="21">
        <v>2.1551724137899999E-4</v>
      </c>
    </row>
    <row r="198" spans="2:5" ht="14.5">
      <c r="B198" s="92"/>
      <c r="C198" s="23" t="s">
        <v>201</v>
      </c>
      <c r="D198" s="76">
        <v>3</v>
      </c>
      <c r="E198" s="21">
        <v>6.4655172413799998E-4</v>
      </c>
    </row>
    <row r="199" spans="2:5" ht="14.5">
      <c r="B199" s="92"/>
      <c r="C199" s="77" t="s">
        <v>29</v>
      </c>
      <c r="D199" s="78">
        <v>40</v>
      </c>
      <c r="E199" s="79">
        <v>8.6206896551720008E-3</v>
      </c>
    </row>
    <row r="200" spans="2:5" ht="14.5">
      <c r="B200" s="92" t="s">
        <v>112</v>
      </c>
      <c r="C200" s="23" t="s">
        <v>187</v>
      </c>
      <c r="D200" s="76">
        <v>10</v>
      </c>
      <c r="E200" s="21">
        <v>2.1551724137930002E-3</v>
      </c>
    </row>
    <row r="201" spans="2:5" ht="14.5">
      <c r="B201" s="92"/>
      <c r="C201" s="23" t="s">
        <v>188</v>
      </c>
      <c r="D201" s="76">
        <v>2</v>
      </c>
      <c r="E201" s="21">
        <v>4.3103448275899999E-4</v>
      </c>
    </row>
    <row r="202" spans="2:5" ht="14.5">
      <c r="B202" s="92"/>
      <c r="C202" s="23" t="s">
        <v>189</v>
      </c>
      <c r="D202" s="76">
        <v>7</v>
      </c>
      <c r="E202" s="21">
        <v>1.508620689655E-3</v>
      </c>
    </row>
    <row r="203" spans="2:5" ht="14.5">
      <c r="B203" s="92"/>
      <c r="C203" s="23" t="s">
        <v>190</v>
      </c>
      <c r="D203" s="76">
        <v>5</v>
      </c>
      <c r="E203" s="21">
        <v>1.0775862068969999E-3</v>
      </c>
    </row>
    <row r="204" spans="2:5" ht="14.5">
      <c r="B204" s="92"/>
      <c r="C204" s="23" t="s">
        <v>191</v>
      </c>
      <c r="D204" s="76">
        <v>1</v>
      </c>
      <c r="E204" s="21">
        <v>2.1551724137899999E-4</v>
      </c>
    </row>
    <row r="205" spans="2:5" ht="14.5">
      <c r="B205" s="92"/>
      <c r="C205" s="23" t="s">
        <v>192</v>
      </c>
      <c r="D205" s="76">
        <v>24</v>
      </c>
      <c r="E205" s="21">
        <v>5.1724137931029998E-3</v>
      </c>
    </row>
    <row r="206" spans="2:5" ht="14.5">
      <c r="B206" s="92"/>
      <c r="C206" s="23" t="s">
        <v>194</v>
      </c>
      <c r="D206" s="76">
        <v>13</v>
      </c>
      <c r="E206" s="21">
        <v>2.8017241379310002E-3</v>
      </c>
    </row>
    <row r="207" spans="2:5" ht="14.5">
      <c r="B207" s="92"/>
      <c r="C207" s="23" t="s">
        <v>195</v>
      </c>
      <c r="D207" s="76">
        <v>1</v>
      </c>
      <c r="E207" s="21">
        <v>2.1551724137899999E-4</v>
      </c>
    </row>
    <row r="208" spans="2:5" ht="14.5">
      <c r="B208" s="92"/>
      <c r="C208" s="23" t="s">
        <v>196</v>
      </c>
      <c r="D208" s="76">
        <v>1</v>
      </c>
      <c r="E208" s="21">
        <v>2.1551724137899999E-4</v>
      </c>
    </row>
    <row r="209" spans="2:5" ht="14.5">
      <c r="B209" s="92"/>
      <c r="C209" s="23" t="s">
        <v>197</v>
      </c>
      <c r="D209" s="76">
        <v>8</v>
      </c>
      <c r="E209" s="21">
        <v>1.724137931034E-3</v>
      </c>
    </row>
    <row r="210" spans="2:5" ht="14.5">
      <c r="B210" s="92"/>
      <c r="C210" s="23" t="s">
        <v>198</v>
      </c>
      <c r="D210" s="76">
        <v>4</v>
      </c>
      <c r="E210" s="21">
        <v>8.6206896551700002E-4</v>
      </c>
    </row>
    <row r="211" spans="2:5" ht="14.5">
      <c r="B211" s="92"/>
      <c r="C211" s="23" t="s">
        <v>201</v>
      </c>
      <c r="D211" s="76">
        <v>23</v>
      </c>
      <c r="E211" s="21">
        <v>4.9568965517240004E-3</v>
      </c>
    </row>
    <row r="212" spans="2:5" ht="14.5">
      <c r="B212" s="92"/>
      <c r="C212" s="77" t="s">
        <v>29</v>
      </c>
      <c r="D212" s="78">
        <v>99</v>
      </c>
      <c r="E212" s="79">
        <v>2.1336206896551999E-2</v>
      </c>
    </row>
    <row r="213" spans="2:5" ht="14.5">
      <c r="B213" s="92" t="s">
        <v>113</v>
      </c>
      <c r="C213" s="23" t="s">
        <v>194</v>
      </c>
      <c r="D213" s="76">
        <v>1</v>
      </c>
      <c r="E213" s="21">
        <v>2.1551724137899999E-4</v>
      </c>
    </row>
    <row r="214" spans="2:5" ht="14.5">
      <c r="B214" s="92"/>
      <c r="C214" s="77" t="s">
        <v>29</v>
      </c>
      <c r="D214" s="78">
        <v>1</v>
      </c>
      <c r="E214" s="79">
        <v>2.1551724137899999E-4</v>
      </c>
    </row>
    <row r="215" spans="2:5" ht="14.5">
      <c r="B215" s="92" t="s">
        <v>114</v>
      </c>
      <c r="C215" s="23" t="s">
        <v>189</v>
      </c>
      <c r="D215" s="76">
        <v>2</v>
      </c>
      <c r="E215" s="21">
        <v>4.3103448275899999E-4</v>
      </c>
    </row>
    <row r="216" spans="2:5" ht="14.5">
      <c r="B216" s="92"/>
      <c r="C216" s="23" t="s">
        <v>192</v>
      </c>
      <c r="D216" s="76">
        <v>17</v>
      </c>
      <c r="E216" s="21">
        <v>3.663793103448E-3</v>
      </c>
    </row>
    <row r="217" spans="2:5" ht="14.5">
      <c r="B217" s="92"/>
      <c r="C217" s="23" t="s">
        <v>193</v>
      </c>
      <c r="D217" s="76">
        <v>1</v>
      </c>
      <c r="E217" s="21">
        <v>2.1551724137899999E-4</v>
      </c>
    </row>
    <row r="218" spans="2:5" ht="14.5">
      <c r="B218" s="92"/>
      <c r="C218" s="23" t="s">
        <v>194</v>
      </c>
      <c r="D218" s="76">
        <v>18</v>
      </c>
      <c r="E218" s="21">
        <v>3.8793103448279999E-3</v>
      </c>
    </row>
    <row r="219" spans="2:5" ht="14.5">
      <c r="B219" s="92"/>
      <c r="C219" s="23" t="s">
        <v>201</v>
      </c>
      <c r="D219" s="76">
        <v>1</v>
      </c>
      <c r="E219" s="21">
        <v>2.1551724137899999E-4</v>
      </c>
    </row>
    <row r="220" spans="2:5" ht="14.5">
      <c r="B220" s="92"/>
      <c r="C220" s="77" t="s">
        <v>29</v>
      </c>
      <c r="D220" s="78">
        <v>39</v>
      </c>
      <c r="E220" s="79">
        <v>8.4051724137930005E-3</v>
      </c>
    </row>
    <row r="221" spans="2:5" ht="14.5">
      <c r="B221" s="92" t="s">
        <v>115</v>
      </c>
      <c r="C221" s="23" t="s">
        <v>187</v>
      </c>
      <c r="D221" s="76">
        <v>2</v>
      </c>
      <c r="E221" s="21">
        <v>4.3103448275899999E-4</v>
      </c>
    </row>
    <row r="222" spans="2:5" ht="14.5">
      <c r="B222" s="92"/>
      <c r="C222" s="23" t="s">
        <v>189</v>
      </c>
      <c r="D222" s="76">
        <v>2</v>
      </c>
      <c r="E222" s="21">
        <v>4.3103448275899999E-4</v>
      </c>
    </row>
    <row r="223" spans="2:5" ht="14.5">
      <c r="B223" s="92"/>
      <c r="C223" s="23" t="s">
        <v>192</v>
      </c>
      <c r="D223" s="76">
        <v>3</v>
      </c>
      <c r="E223" s="21">
        <v>6.4655172413799998E-4</v>
      </c>
    </row>
    <row r="224" spans="2:5" ht="14.5">
      <c r="B224" s="92"/>
      <c r="C224" s="23" t="s">
        <v>196</v>
      </c>
      <c r="D224" s="76">
        <v>1</v>
      </c>
      <c r="E224" s="21">
        <v>2.1551724137899999E-4</v>
      </c>
    </row>
    <row r="225" spans="2:5" ht="14.5">
      <c r="B225" s="92"/>
      <c r="C225" s="77" t="s">
        <v>29</v>
      </c>
      <c r="D225" s="78">
        <v>8</v>
      </c>
      <c r="E225" s="79">
        <v>1.724137931034E-3</v>
      </c>
    </row>
    <row r="226" spans="2:5" ht="14.5">
      <c r="B226" s="92" t="s">
        <v>116</v>
      </c>
      <c r="C226" s="23" t="s">
        <v>187</v>
      </c>
      <c r="D226" s="76">
        <v>5</v>
      </c>
      <c r="E226" s="21">
        <v>1.0775862068969999E-3</v>
      </c>
    </row>
    <row r="227" spans="2:5" ht="14.5">
      <c r="B227" s="92"/>
      <c r="C227" s="23" t="s">
        <v>189</v>
      </c>
      <c r="D227" s="76">
        <v>1</v>
      </c>
      <c r="E227" s="21">
        <v>2.1551724137899999E-4</v>
      </c>
    </row>
    <row r="228" spans="2:5" ht="14.5">
      <c r="B228" s="92"/>
      <c r="C228" s="23" t="s">
        <v>191</v>
      </c>
      <c r="D228" s="76">
        <v>5</v>
      </c>
      <c r="E228" s="21">
        <v>1.0775862068969999E-3</v>
      </c>
    </row>
    <row r="229" spans="2:5" ht="14.5">
      <c r="B229" s="92"/>
      <c r="C229" s="23" t="s">
        <v>192</v>
      </c>
      <c r="D229" s="76">
        <v>4</v>
      </c>
      <c r="E229" s="21">
        <v>8.6206896551700002E-4</v>
      </c>
    </row>
    <row r="230" spans="2:5" ht="14.5">
      <c r="B230" s="92"/>
      <c r="C230" s="23" t="s">
        <v>194</v>
      </c>
      <c r="D230" s="76">
        <v>5</v>
      </c>
      <c r="E230" s="21">
        <v>1.0775862068969999E-3</v>
      </c>
    </row>
    <row r="231" spans="2:5" ht="14.5">
      <c r="B231" s="92"/>
      <c r="C231" s="23" t="s">
        <v>195</v>
      </c>
      <c r="D231" s="76">
        <v>1</v>
      </c>
      <c r="E231" s="21">
        <v>2.1551724137899999E-4</v>
      </c>
    </row>
    <row r="232" spans="2:5" ht="14.5">
      <c r="B232" s="92"/>
      <c r="C232" s="23" t="s">
        <v>197</v>
      </c>
      <c r="D232" s="76">
        <v>1</v>
      </c>
      <c r="E232" s="21">
        <v>2.1551724137899999E-4</v>
      </c>
    </row>
    <row r="233" spans="2:5" ht="14.5">
      <c r="B233" s="92"/>
      <c r="C233" s="23" t="s">
        <v>201</v>
      </c>
      <c r="D233" s="76">
        <v>2</v>
      </c>
      <c r="E233" s="21">
        <v>4.3103448275899999E-4</v>
      </c>
    </row>
    <row r="234" spans="2:5" ht="14.5">
      <c r="B234" s="92"/>
      <c r="C234" s="77" t="s">
        <v>29</v>
      </c>
      <c r="D234" s="78">
        <v>24</v>
      </c>
      <c r="E234" s="79">
        <v>5.1724137931029998E-3</v>
      </c>
    </row>
    <row r="235" spans="2:5" ht="14.5">
      <c r="B235" s="92" t="s">
        <v>117</v>
      </c>
      <c r="C235" s="23" t="s">
        <v>187</v>
      </c>
      <c r="D235" s="76">
        <v>3</v>
      </c>
      <c r="E235" s="21">
        <v>6.4655172413799998E-4</v>
      </c>
    </row>
    <row r="236" spans="2:5" ht="14.5">
      <c r="B236" s="92"/>
      <c r="C236" s="23" t="s">
        <v>189</v>
      </c>
      <c r="D236" s="76">
        <v>5</v>
      </c>
      <c r="E236" s="21">
        <v>1.0775862068969999E-3</v>
      </c>
    </row>
    <row r="237" spans="2:5" ht="14.5">
      <c r="B237" s="92"/>
      <c r="C237" s="23" t="s">
        <v>190</v>
      </c>
      <c r="D237" s="76">
        <v>2</v>
      </c>
      <c r="E237" s="21">
        <v>4.3103448275899999E-4</v>
      </c>
    </row>
    <row r="238" spans="2:5" ht="14.5">
      <c r="B238" s="92"/>
      <c r="C238" s="23" t="s">
        <v>192</v>
      </c>
      <c r="D238" s="76">
        <v>7</v>
      </c>
      <c r="E238" s="21">
        <v>1.508620689655E-3</v>
      </c>
    </row>
    <row r="239" spans="2:5" ht="14.5">
      <c r="B239" s="92"/>
      <c r="C239" s="23" t="s">
        <v>194</v>
      </c>
      <c r="D239" s="76">
        <v>25</v>
      </c>
      <c r="E239" s="21">
        <v>5.3879310344830001E-3</v>
      </c>
    </row>
    <row r="240" spans="2:5" ht="14.5">
      <c r="B240" s="92"/>
      <c r="C240" s="23" t="s">
        <v>195</v>
      </c>
      <c r="D240" s="76">
        <v>1</v>
      </c>
      <c r="E240" s="21">
        <v>2.1551724137899999E-4</v>
      </c>
    </row>
    <row r="241" spans="2:5" ht="14.5">
      <c r="B241" s="92"/>
      <c r="C241" s="23" t="s">
        <v>196</v>
      </c>
      <c r="D241" s="76">
        <v>1</v>
      </c>
      <c r="E241" s="21">
        <v>2.1551724137899999E-4</v>
      </c>
    </row>
    <row r="242" spans="2:5" ht="14.5">
      <c r="B242" s="92"/>
      <c r="C242" s="23" t="s">
        <v>197</v>
      </c>
      <c r="D242" s="76">
        <v>2</v>
      </c>
      <c r="E242" s="21">
        <v>4.3103448275899999E-4</v>
      </c>
    </row>
    <row r="243" spans="2:5" ht="14.5">
      <c r="B243" s="92"/>
      <c r="C243" s="23" t="s">
        <v>200</v>
      </c>
      <c r="D243" s="76">
        <v>1</v>
      </c>
      <c r="E243" s="21">
        <v>2.1551724137899999E-4</v>
      </c>
    </row>
    <row r="244" spans="2:5" ht="14.5">
      <c r="B244" s="92"/>
      <c r="C244" s="23" t="s">
        <v>201</v>
      </c>
      <c r="D244" s="76">
        <v>2</v>
      </c>
      <c r="E244" s="21">
        <v>4.3103448275899999E-4</v>
      </c>
    </row>
    <row r="245" spans="2:5" ht="14.5">
      <c r="B245" s="92"/>
      <c r="C245" s="77" t="s">
        <v>29</v>
      </c>
      <c r="D245" s="78">
        <v>49</v>
      </c>
      <c r="E245" s="79">
        <v>1.0560344827586001E-2</v>
      </c>
    </row>
    <row r="246" spans="2:5" ht="14.5">
      <c r="B246" s="92" t="s">
        <v>118</v>
      </c>
      <c r="C246" s="23" t="s">
        <v>187</v>
      </c>
      <c r="D246" s="76">
        <v>9</v>
      </c>
      <c r="E246" s="21">
        <v>1.9396551724139999E-3</v>
      </c>
    </row>
    <row r="247" spans="2:5" ht="14.5">
      <c r="B247" s="92"/>
      <c r="C247" s="23" t="s">
        <v>189</v>
      </c>
      <c r="D247" s="76">
        <v>9</v>
      </c>
      <c r="E247" s="21">
        <v>1.9396551724139999E-3</v>
      </c>
    </row>
    <row r="248" spans="2:5" ht="14.5">
      <c r="B248" s="92"/>
      <c r="C248" s="23" t="s">
        <v>190</v>
      </c>
      <c r="D248" s="76">
        <v>2</v>
      </c>
      <c r="E248" s="21">
        <v>4.3103448275899999E-4</v>
      </c>
    </row>
    <row r="249" spans="2:5" ht="14.5">
      <c r="B249" s="92"/>
      <c r="C249" s="23" t="s">
        <v>191</v>
      </c>
      <c r="D249" s="76">
        <v>4</v>
      </c>
      <c r="E249" s="21">
        <v>8.6206896551700002E-4</v>
      </c>
    </row>
    <row r="250" spans="2:5" ht="14.5">
      <c r="B250" s="92"/>
      <c r="C250" s="23" t="s">
        <v>192</v>
      </c>
      <c r="D250" s="76">
        <v>8</v>
      </c>
      <c r="E250" s="21">
        <v>1.724137931034E-3</v>
      </c>
    </row>
    <row r="251" spans="2:5" ht="14.5">
      <c r="B251" s="92"/>
      <c r="C251" s="23" t="s">
        <v>194</v>
      </c>
      <c r="D251" s="76">
        <v>20</v>
      </c>
      <c r="E251" s="21">
        <v>4.3103448275860004E-3</v>
      </c>
    </row>
    <row r="252" spans="2:5" ht="14.5">
      <c r="B252" s="92"/>
      <c r="C252" s="23" t="s">
        <v>195</v>
      </c>
      <c r="D252" s="76">
        <v>1</v>
      </c>
      <c r="E252" s="21">
        <v>2.1551724137899999E-4</v>
      </c>
    </row>
    <row r="253" spans="2:5" ht="14.5">
      <c r="B253" s="92"/>
      <c r="C253" s="23" t="s">
        <v>197</v>
      </c>
      <c r="D253" s="76">
        <v>1</v>
      </c>
      <c r="E253" s="21">
        <v>2.1551724137899999E-4</v>
      </c>
    </row>
    <row r="254" spans="2:5" ht="14.5">
      <c r="B254" s="92"/>
      <c r="C254" s="23" t="s">
        <v>199</v>
      </c>
      <c r="D254" s="76">
        <v>3</v>
      </c>
      <c r="E254" s="21">
        <v>6.4655172413799998E-4</v>
      </c>
    </row>
    <row r="255" spans="2:5" ht="14.5">
      <c r="B255" s="92"/>
      <c r="C255" s="23" t="s">
        <v>201</v>
      </c>
      <c r="D255" s="76">
        <v>6</v>
      </c>
      <c r="E255" s="21">
        <v>1.293103448276E-3</v>
      </c>
    </row>
    <row r="256" spans="2:5" ht="14.5">
      <c r="B256" s="92"/>
      <c r="C256" s="77" t="s">
        <v>29</v>
      </c>
      <c r="D256" s="78">
        <v>63</v>
      </c>
      <c r="E256" s="79">
        <v>1.3577586206897E-2</v>
      </c>
    </row>
    <row r="257" spans="2:5" ht="14.5">
      <c r="B257" s="92" t="s">
        <v>119</v>
      </c>
      <c r="C257" s="23" t="s">
        <v>187</v>
      </c>
      <c r="D257" s="76">
        <v>5</v>
      </c>
      <c r="E257" s="21">
        <v>1.0775862068969999E-3</v>
      </c>
    </row>
    <row r="258" spans="2:5" ht="14.5">
      <c r="B258" s="92"/>
      <c r="C258" s="23" t="s">
        <v>189</v>
      </c>
      <c r="D258" s="76">
        <v>13</v>
      </c>
      <c r="E258" s="21">
        <v>2.8017241379310002E-3</v>
      </c>
    </row>
    <row r="259" spans="2:5" ht="14.5">
      <c r="B259" s="92"/>
      <c r="C259" s="23" t="s">
        <v>191</v>
      </c>
      <c r="D259" s="76">
        <v>26</v>
      </c>
      <c r="E259" s="21">
        <v>5.6034482758620004E-3</v>
      </c>
    </row>
    <row r="260" spans="2:5" ht="14.5">
      <c r="B260" s="92"/>
      <c r="C260" s="23" t="s">
        <v>192</v>
      </c>
      <c r="D260" s="76">
        <v>12</v>
      </c>
      <c r="E260" s="21">
        <v>2.5862068965519999E-3</v>
      </c>
    </row>
    <row r="261" spans="2:5" ht="14.5">
      <c r="B261" s="92"/>
      <c r="C261" s="23" t="s">
        <v>194</v>
      </c>
      <c r="D261" s="76">
        <v>3</v>
      </c>
      <c r="E261" s="21">
        <v>6.4655172413799998E-4</v>
      </c>
    </row>
    <row r="262" spans="2:5" ht="14.5">
      <c r="B262" s="92"/>
      <c r="C262" s="23" t="s">
        <v>196</v>
      </c>
      <c r="D262" s="76">
        <v>1</v>
      </c>
      <c r="E262" s="21">
        <v>2.1551724137899999E-4</v>
      </c>
    </row>
    <row r="263" spans="2:5" ht="14.5">
      <c r="B263" s="92"/>
      <c r="C263" s="23" t="s">
        <v>197</v>
      </c>
      <c r="D263" s="76">
        <v>2</v>
      </c>
      <c r="E263" s="21">
        <v>4.3103448275899999E-4</v>
      </c>
    </row>
    <row r="264" spans="2:5" ht="14.5">
      <c r="B264" s="92"/>
      <c r="C264" s="23" t="s">
        <v>199</v>
      </c>
      <c r="D264" s="76">
        <v>1</v>
      </c>
      <c r="E264" s="21">
        <v>2.1551724137899999E-4</v>
      </c>
    </row>
    <row r="265" spans="2:5" ht="14.5">
      <c r="B265" s="92"/>
      <c r="C265" s="23" t="s">
        <v>200</v>
      </c>
      <c r="D265" s="76">
        <v>1</v>
      </c>
      <c r="E265" s="21">
        <v>2.1551724137899999E-4</v>
      </c>
    </row>
    <row r="266" spans="2:5" ht="14.5">
      <c r="B266" s="92"/>
      <c r="C266" s="23" t="s">
        <v>201</v>
      </c>
      <c r="D266" s="76">
        <v>2</v>
      </c>
      <c r="E266" s="21">
        <v>4.3103448275899999E-4</v>
      </c>
    </row>
    <row r="267" spans="2:5" ht="14.5">
      <c r="B267" s="92"/>
      <c r="C267" s="77" t="s">
        <v>29</v>
      </c>
      <c r="D267" s="78">
        <v>66</v>
      </c>
      <c r="E267" s="79">
        <v>1.4224137931033999E-2</v>
      </c>
    </row>
    <row r="268" spans="2:5" ht="14.5">
      <c r="B268" s="92" t="s">
        <v>120</v>
      </c>
      <c r="C268" s="23" t="s">
        <v>187</v>
      </c>
      <c r="D268" s="76">
        <v>2</v>
      </c>
      <c r="E268" s="21">
        <v>4.3103448275899999E-4</v>
      </c>
    </row>
    <row r="269" spans="2:5" ht="14.5">
      <c r="B269" s="92"/>
      <c r="C269" s="23" t="s">
        <v>190</v>
      </c>
      <c r="D269" s="76">
        <v>1</v>
      </c>
      <c r="E269" s="21">
        <v>2.1551724137899999E-4</v>
      </c>
    </row>
    <row r="270" spans="2:5" ht="14.5">
      <c r="B270" s="92"/>
      <c r="C270" s="23" t="s">
        <v>191</v>
      </c>
      <c r="D270" s="76">
        <v>3</v>
      </c>
      <c r="E270" s="21">
        <v>6.4655172413799998E-4</v>
      </c>
    </row>
    <row r="271" spans="2:5" ht="14.5">
      <c r="B271" s="92"/>
      <c r="C271" s="23" t="s">
        <v>192</v>
      </c>
      <c r="D271" s="76">
        <v>4</v>
      </c>
      <c r="E271" s="21">
        <v>8.6206896551700002E-4</v>
      </c>
    </row>
    <row r="272" spans="2:5" ht="14.5">
      <c r="B272" s="92"/>
      <c r="C272" s="23" t="s">
        <v>202</v>
      </c>
      <c r="D272" s="76">
        <v>1</v>
      </c>
      <c r="E272" s="21">
        <v>2.1551724137899999E-4</v>
      </c>
    </row>
    <row r="273" spans="2:5" ht="14.5">
      <c r="B273" s="92"/>
      <c r="C273" s="23" t="s">
        <v>199</v>
      </c>
      <c r="D273" s="76">
        <v>1</v>
      </c>
      <c r="E273" s="21">
        <v>2.1551724137899999E-4</v>
      </c>
    </row>
    <row r="274" spans="2:5" ht="14.5">
      <c r="B274" s="92"/>
      <c r="C274" s="23" t="s">
        <v>201</v>
      </c>
      <c r="D274" s="76">
        <v>1</v>
      </c>
      <c r="E274" s="21">
        <v>2.1551724137899999E-4</v>
      </c>
    </row>
    <row r="275" spans="2:5" ht="14.5">
      <c r="B275" s="92"/>
      <c r="C275" s="77" t="s">
        <v>29</v>
      </c>
      <c r="D275" s="78">
        <v>13</v>
      </c>
      <c r="E275" s="79">
        <v>2.8017241379310002E-3</v>
      </c>
    </row>
    <row r="276" spans="2:5" ht="14.5">
      <c r="B276" s="92" t="s">
        <v>121</v>
      </c>
      <c r="C276" s="23" t="s">
        <v>187</v>
      </c>
      <c r="D276" s="76">
        <v>4</v>
      </c>
      <c r="E276" s="21">
        <v>8.6206896551700002E-4</v>
      </c>
    </row>
    <row r="277" spans="2:5" ht="14.5">
      <c r="B277" s="92"/>
      <c r="C277" s="23" t="s">
        <v>189</v>
      </c>
      <c r="D277" s="76">
        <v>5</v>
      </c>
      <c r="E277" s="21">
        <v>1.0775862068969999E-3</v>
      </c>
    </row>
    <row r="278" spans="2:5" ht="14.5">
      <c r="B278" s="92"/>
      <c r="C278" s="23" t="s">
        <v>190</v>
      </c>
      <c r="D278" s="76">
        <v>1</v>
      </c>
      <c r="E278" s="21">
        <v>2.1551724137899999E-4</v>
      </c>
    </row>
    <row r="279" spans="2:5" ht="14.5">
      <c r="B279" s="92"/>
      <c r="C279" s="23" t="s">
        <v>191</v>
      </c>
      <c r="D279" s="76">
        <v>5</v>
      </c>
      <c r="E279" s="21">
        <v>1.0775862068969999E-3</v>
      </c>
    </row>
    <row r="280" spans="2:5" ht="14.5">
      <c r="B280" s="92"/>
      <c r="C280" s="23" t="s">
        <v>192</v>
      </c>
      <c r="D280" s="76">
        <v>8</v>
      </c>
      <c r="E280" s="21">
        <v>1.724137931034E-3</v>
      </c>
    </row>
    <row r="281" spans="2:5" ht="14.5">
      <c r="B281" s="92"/>
      <c r="C281" s="23" t="s">
        <v>194</v>
      </c>
      <c r="D281" s="76">
        <v>3</v>
      </c>
      <c r="E281" s="21">
        <v>6.4655172413799998E-4</v>
      </c>
    </row>
    <row r="282" spans="2:5" ht="14.5">
      <c r="B282" s="92"/>
      <c r="C282" s="23" t="s">
        <v>196</v>
      </c>
      <c r="D282" s="76">
        <v>2</v>
      </c>
      <c r="E282" s="21">
        <v>4.3103448275899999E-4</v>
      </c>
    </row>
    <row r="283" spans="2:5" ht="14.5">
      <c r="B283" s="92"/>
      <c r="C283" s="23" t="s">
        <v>199</v>
      </c>
      <c r="D283" s="76">
        <v>1</v>
      </c>
      <c r="E283" s="21">
        <v>2.1551724137899999E-4</v>
      </c>
    </row>
    <row r="284" spans="2:5" ht="14.5">
      <c r="B284" s="92"/>
      <c r="C284" s="23" t="s">
        <v>201</v>
      </c>
      <c r="D284" s="76">
        <v>3</v>
      </c>
      <c r="E284" s="21">
        <v>6.4655172413799998E-4</v>
      </c>
    </row>
    <row r="285" spans="2:5" ht="14.5">
      <c r="B285" s="92"/>
      <c r="C285" s="77" t="s">
        <v>29</v>
      </c>
      <c r="D285" s="78">
        <v>32</v>
      </c>
      <c r="E285" s="79">
        <v>6.8965517241380003E-3</v>
      </c>
    </row>
    <row r="286" spans="2:5" ht="14.5">
      <c r="B286" s="92" t="s">
        <v>122</v>
      </c>
      <c r="C286" s="23" t="s">
        <v>189</v>
      </c>
      <c r="D286" s="76">
        <v>4</v>
      </c>
      <c r="E286" s="21">
        <v>8.6206896551700002E-4</v>
      </c>
    </row>
    <row r="287" spans="2:5" ht="14.5">
      <c r="B287" s="92"/>
      <c r="C287" s="23" t="s">
        <v>190</v>
      </c>
      <c r="D287" s="76">
        <v>2</v>
      </c>
      <c r="E287" s="21">
        <v>4.3103448275899999E-4</v>
      </c>
    </row>
    <row r="288" spans="2:5" ht="14.5">
      <c r="B288" s="92"/>
      <c r="C288" s="23" t="s">
        <v>192</v>
      </c>
      <c r="D288" s="76">
        <v>10</v>
      </c>
      <c r="E288" s="21">
        <v>2.1551724137930002E-3</v>
      </c>
    </row>
    <row r="289" spans="2:5" ht="14.5">
      <c r="B289" s="92"/>
      <c r="C289" s="23" t="s">
        <v>193</v>
      </c>
      <c r="D289" s="76">
        <v>1</v>
      </c>
      <c r="E289" s="21">
        <v>2.1551724137899999E-4</v>
      </c>
    </row>
    <row r="290" spans="2:5" ht="14.5">
      <c r="B290" s="92"/>
      <c r="C290" s="23" t="s">
        <v>194</v>
      </c>
      <c r="D290" s="76">
        <v>9</v>
      </c>
      <c r="E290" s="21">
        <v>1.9396551724139999E-3</v>
      </c>
    </row>
    <row r="291" spans="2:5" ht="14.5">
      <c r="B291" s="92"/>
      <c r="C291" s="23" t="s">
        <v>196</v>
      </c>
      <c r="D291" s="76">
        <v>1</v>
      </c>
      <c r="E291" s="21">
        <v>2.1551724137899999E-4</v>
      </c>
    </row>
    <row r="292" spans="2:5" ht="14.5">
      <c r="B292" s="92"/>
      <c r="C292" s="23" t="s">
        <v>197</v>
      </c>
      <c r="D292" s="76">
        <v>1</v>
      </c>
      <c r="E292" s="21">
        <v>2.1551724137899999E-4</v>
      </c>
    </row>
    <row r="293" spans="2:5" ht="14.5">
      <c r="B293" s="92"/>
      <c r="C293" s="23" t="s">
        <v>204</v>
      </c>
      <c r="D293" s="76">
        <v>1</v>
      </c>
      <c r="E293" s="21">
        <v>2.1551724137899999E-4</v>
      </c>
    </row>
    <row r="294" spans="2:5" ht="14.5">
      <c r="B294" s="92"/>
      <c r="C294" s="23" t="s">
        <v>201</v>
      </c>
      <c r="D294" s="76">
        <v>2</v>
      </c>
      <c r="E294" s="21">
        <v>4.3103448275899999E-4</v>
      </c>
    </row>
    <row r="295" spans="2:5" ht="14.5">
      <c r="B295" s="92"/>
      <c r="C295" s="77" t="s">
        <v>29</v>
      </c>
      <c r="D295" s="78">
        <v>31</v>
      </c>
      <c r="E295" s="79">
        <v>6.6810344827590001E-3</v>
      </c>
    </row>
    <row r="296" spans="2:5" ht="14.5">
      <c r="B296" s="92" t="s">
        <v>123</v>
      </c>
      <c r="C296" s="23" t="s">
        <v>189</v>
      </c>
      <c r="D296" s="76">
        <v>2</v>
      </c>
      <c r="E296" s="21">
        <v>4.3103448275899999E-4</v>
      </c>
    </row>
    <row r="297" spans="2:5" ht="14.5">
      <c r="B297" s="92"/>
      <c r="C297" s="23" t="s">
        <v>192</v>
      </c>
      <c r="D297" s="76">
        <v>4</v>
      </c>
      <c r="E297" s="21">
        <v>8.6206896551700002E-4</v>
      </c>
    </row>
    <row r="298" spans="2:5" ht="14.5">
      <c r="B298" s="92"/>
      <c r="C298" s="23" t="s">
        <v>193</v>
      </c>
      <c r="D298" s="76">
        <v>1</v>
      </c>
      <c r="E298" s="21">
        <v>2.1551724137899999E-4</v>
      </c>
    </row>
    <row r="299" spans="2:5" ht="14.5">
      <c r="B299" s="92"/>
      <c r="C299" s="23" t="s">
        <v>194</v>
      </c>
      <c r="D299" s="76">
        <v>8</v>
      </c>
      <c r="E299" s="21">
        <v>1.724137931034E-3</v>
      </c>
    </row>
    <row r="300" spans="2:5" ht="14.5">
      <c r="B300" s="92"/>
      <c r="C300" s="23" t="s">
        <v>200</v>
      </c>
      <c r="D300" s="76">
        <v>1</v>
      </c>
      <c r="E300" s="21">
        <v>2.1551724137899999E-4</v>
      </c>
    </row>
    <row r="301" spans="2:5" ht="14.5">
      <c r="B301" s="92"/>
      <c r="C301" s="77" t="s">
        <v>29</v>
      </c>
      <c r="D301" s="78">
        <v>16</v>
      </c>
      <c r="E301" s="79">
        <v>3.4482758620690002E-3</v>
      </c>
    </row>
    <row r="302" spans="2:5" ht="14.5">
      <c r="B302" s="92" t="s">
        <v>124</v>
      </c>
      <c r="C302" s="23" t="s">
        <v>187</v>
      </c>
      <c r="D302" s="76">
        <v>1</v>
      </c>
      <c r="E302" s="21">
        <v>2.1551724137899999E-4</v>
      </c>
    </row>
    <row r="303" spans="2:5" ht="14.5">
      <c r="B303" s="92"/>
      <c r="C303" s="23" t="s">
        <v>188</v>
      </c>
      <c r="D303" s="76">
        <v>1</v>
      </c>
      <c r="E303" s="21">
        <v>2.1551724137899999E-4</v>
      </c>
    </row>
    <row r="304" spans="2:5" ht="14.5">
      <c r="B304" s="92"/>
      <c r="C304" s="23" t="s">
        <v>189</v>
      </c>
      <c r="D304" s="76">
        <v>4</v>
      </c>
      <c r="E304" s="21">
        <v>8.6206896551700002E-4</v>
      </c>
    </row>
    <row r="305" spans="2:5" ht="14.5">
      <c r="B305" s="92"/>
      <c r="C305" s="23" t="s">
        <v>190</v>
      </c>
      <c r="D305" s="76">
        <v>1</v>
      </c>
      <c r="E305" s="21">
        <v>2.1551724137899999E-4</v>
      </c>
    </row>
    <row r="306" spans="2:5" ht="14.5">
      <c r="B306" s="92"/>
      <c r="C306" s="23" t="s">
        <v>191</v>
      </c>
      <c r="D306" s="76">
        <v>3</v>
      </c>
      <c r="E306" s="21">
        <v>6.4655172413799998E-4</v>
      </c>
    </row>
    <row r="307" spans="2:5" ht="14.5">
      <c r="B307" s="92"/>
      <c r="C307" s="23" t="s">
        <v>192</v>
      </c>
      <c r="D307" s="76">
        <v>20</v>
      </c>
      <c r="E307" s="21">
        <v>4.3103448275860004E-3</v>
      </c>
    </row>
    <row r="308" spans="2:5" ht="14.5">
      <c r="B308" s="92"/>
      <c r="C308" s="23" t="s">
        <v>193</v>
      </c>
      <c r="D308" s="76">
        <v>3</v>
      </c>
      <c r="E308" s="21">
        <v>6.4655172413799998E-4</v>
      </c>
    </row>
    <row r="309" spans="2:5" ht="14.5">
      <c r="B309" s="92"/>
      <c r="C309" s="23" t="s">
        <v>194</v>
      </c>
      <c r="D309" s="76">
        <v>22</v>
      </c>
      <c r="E309" s="21">
        <v>4.7413793103450001E-3</v>
      </c>
    </row>
    <row r="310" spans="2:5" ht="14.5">
      <c r="B310" s="92"/>
      <c r="C310" s="23" t="s">
        <v>197</v>
      </c>
      <c r="D310" s="76">
        <v>1</v>
      </c>
      <c r="E310" s="21">
        <v>2.1551724137899999E-4</v>
      </c>
    </row>
    <row r="311" spans="2:5" ht="14.5">
      <c r="B311" s="92"/>
      <c r="C311" s="23" t="s">
        <v>199</v>
      </c>
      <c r="D311" s="76">
        <v>1</v>
      </c>
      <c r="E311" s="21">
        <v>2.1551724137899999E-4</v>
      </c>
    </row>
    <row r="312" spans="2:5" ht="14.5">
      <c r="B312" s="92"/>
      <c r="C312" s="23" t="s">
        <v>200</v>
      </c>
      <c r="D312" s="76">
        <v>1</v>
      </c>
      <c r="E312" s="21">
        <v>2.1551724137899999E-4</v>
      </c>
    </row>
    <row r="313" spans="2:5" ht="14.5">
      <c r="B313" s="92"/>
      <c r="C313" s="23" t="s">
        <v>201</v>
      </c>
      <c r="D313" s="76">
        <v>2</v>
      </c>
      <c r="E313" s="21">
        <v>4.3103448275899999E-4</v>
      </c>
    </row>
    <row r="314" spans="2:5" ht="14.5">
      <c r="B314" s="92"/>
      <c r="C314" s="77" t="s">
        <v>29</v>
      </c>
      <c r="D314" s="78">
        <v>60</v>
      </c>
      <c r="E314" s="79">
        <v>1.2931034482759E-2</v>
      </c>
    </row>
    <row r="315" spans="2:5" ht="14.5">
      <c r="B315" s="92" t="s">
        <v>125</v>
      </c>
      <c r="C315" s="23" t="s">
        <v>187</v>
      </c>
      <c r="D315" s="76">
        <v>17</v>
      </c>
      <c r="E315" s="21">
        <v>3.663793103448E-3</v>
      </c>
    </row>
    <row r="316" spans="2:5" ht="14.5">
      <c r="B316" s="92"/>
      <c r="C316" s="23" t="s">
        <v>188</v>
      </c>
      <c r="D316" s="76">
        <v>3</v>
      </c>
      <c r="E316" s="21">
        <v>6.4655172413799998E-4</v>
      </c>
    </row>
    <row r="317" spans="2:5" ht="14.5">
      <c r="B317" s="92"/>
      <c r="C317" s="23" t="s">
        <v>189</v>
      </c>
      <c r="D317" s="76">
        <v>40</v>
      </c>
      <c r="E317" s="21">
        <v>8.6206896551720008E-3</v>
      </c>
    </row>
    <row r="318" spans="2:5" ht="14.5">
      <c r="B318" s="92"/>
      <c r="C318" s="23" t="s">
        <v>205</v>
      </c>
      <c r="D318" s="76">
        <v>1</v>
      </c>
      <c r="E318" s="21">
        <v>2.1551724137899999E-4</v>
      </c>
    </row>
    <row r="319" spans="2:5" ht="14.5">
      <c r="B319" s="92"/>
      <c r="C319" s="23" t="s">
        <v>190</v>
      </c>
      <c r="D319" s="76">
        <v>49</v>
      </c>
      <c r="E319" s="21">
        <v>1.0560344827586001E-2</v>
      </c>
    </row>
    <row r="320" spans="2:5" ht="14.5">
      <c r="B320" s="92"/>
      <c r="C320" s="23" t="s">
        <v>191</v>
      </c>
      <c r="D320" s="76">
        <v>13</v>
      </c>
      <c r="E320" s="21">
        <v>2.8017241379310002E-3</v>
      </c>
    </row>
    <row r="321" spans="2:5" ht="14.5">
      <c r="B321" s="92"/>
      <c r="C321" s="23" t="s">
        <v>192</v>
      </c>
      <c r="D321" s="76">
        <v>81</v>
      </c>
      <c r="E321" s="21">
        <v>1.7456896551723999E-2</v>
      </c>
    </row>
    <row r="322" spans="2:5" ht="14.5">
      <c r="B322" s="92"/>
      <c r="C322" s="23" t="s">
        <v>194</v>
      </c>
      <c r="D322" s="76">
        <v>84</v>
      </c>
      <c r="E322" s="21">
        <v>1.8103448275862001E-2</v>
      </c>
    </row>
    <row r="323" spans="2:5" ht="14.5">
      <c r="B323" s="92"/>
      <c r="C323" s="23" t="s">
        <v>195</v>
      </c>
      <c r="D323" s="76">
        <v>4</v>
      </c>
      <c r="E323" s="21">
        <v>8.6206896551700002E-4</v>
      </c>
    </row>
    <row r="324" spans="2:5" ht="14.5">
      <c r="B324" s="92"/>
      <c r="C324" s="23" t="s">
        <v>196</v>
      </c>
      <c r="D324" s="76">
        <v>144</v>
      </c>
      <c r="E324" s="21">
        <v>3.1034482758621001E-2</v>
      </c>
    </row>
    <row r="325" spans="2:5" ht="14.5">
      <c r="B325" s="92"/>
      <c r="C325" s="23" t="s">
        <v>202</v>
      </c>
      <c r="D325" s="76">
        <v>1</v>
      </c>
      <c r="E325" s="21">
        <v>2.1551724137899999E-4</v>
      </c>
    </row>
    <row r="326" spans="2:5" ht="14.5">
      <c r="B326" s="92"/>
      <c r="C326" s="23" t="s">
        <v>197</v>
      </c>
      <c r="D326" s="76">
        <v>12</v>
      </c>
      <c r="E326" s="21">
        <v>2.5862068965519999E-3</v>
      </c>
    </row>
    <row r="327" spans="2:5" ht="14.5">
      <c r="B327" s="92"/>
      <c r="C327" s="23" t="s">
        <v>204</v>
      </c>
      <c r="D327" s="76">
        <v>6</v>
      </c>
      <c r="E327" s="21">
        <v>1.293103448276E-3</v>
      </c>
    </row>
    <row r="328" spans="2:5" ht="14.5">
      <c r="B328" s="92"/>
      <c r="C328" s="23" t="s">
        <v>198</v>
      </c>
      <c r="D328" s="76">
        <v>40</v>
      </c>
      <c r="E328" s="21">
        <v>8.6206896551720008E-3</v>
      </c>
    </row>
    <row r="329" spans="2:5" ht="14.5">
      <c r="B329" s="92"/>
      <c r="C329" s="23" t="s">
        <v>199</v>
      </c>
      <c r="D329" s="76">
        <v>5</v>
      </c>
      <c r="E329" s="21">
        <v>1.0775862068969999E-3</v>
      </c>
    </row>
    <row r="330" spans="2:5" ht="14.5">
      <c r="B330" s="92"/>
      <c r="C330" s="23" t="s">
        <v>200</v>
      </c>
      <c r="D330" s="76">
        <v>2</v>
      </c>
      <c r="E330" s="21">
        <v>4.3103448275899999E-4</v>
      </c>
    </row>
    <row r="331" spans="2:5" ht="14.5">
      <c r="B331" s="92"/>
      <c r="C331" s="23" t="s">
        <v>201</v>
      </c>
      <c r="D331" s="76">
        <v>13</v>
      </c>
      <c r="E331" s="21">
        <v>2.8017241379310002E-3</v>
      </c>
    </row>
    <row r="332" spans="2:5" ht="14.5">
      <c r="B332" s="92"/>
      <c r="C332" s="77" t="s">
        <v>29</v>
      </c>
      <c r="D332" s="78">
        <v>515</v>
      </c>
      <c r="E332" s="79">
        <v>0.110991379310345</v>
      </c>
    </row>
    <row r="333" spans="2:5" ht="14.5">
      <c r="B333" s="92" t="s">
        <v>126</v>
      </c>
      <c r="C333" s="23" t="s">
        <v>187</v>
      </c>
      <c r="D333" s="76">
        <v>1</v>
      </c>
      <c r="E333" s="21">
        <v>2.1551724137899999E-4</v>
      </c>
    </row>
    <row r="334" spans="2:5" ht="14.5">
      <c r="B334" s="92"/>
      <c r="C334" s="23" t="s">
        <v>201</v>
      </c>
      <c r="D334" s="76">
        <v>1</v>
      </c>
      <c r="E334" s="21">
        <v>2.1551724137899999E-4</v>
      </c>
    </row>
    <row r="335" spans="2:5" ht="14.5">
      <c r="B335" s="92"/>
      <c r="C335" s="77" t="s">
        <v>29</v>
      </c>
      <c r="D335" s="78">
        <v>2</v>
      </c>
      <c r="E335" s="79">
        <v>4.3103448275899999E-4</v>
      </c>
    </row>
    <row r="336" spans="2:5" ht="14.5">
      <c r="B336" s="92" t="s">
        <v>127</v>
      </c>
      <c r="C336" s="23" t="s">
        <v>187</v>
      </c>
      <c r="D336" s="76">
        <v>6</v>
      </c>
      <c r="E336" s="21">
        <v>1.293103448276E-3</v>
      </c>
    </row>
    <row r="337" spans="2:5" ht="14.5">
      <c r="B337" s="92"/>
      <c r="C337" s="23" t="s">
        <v>189</v>
      </c>
      <c r="D337" s="76">
        <v>5</v>
      </c>
      <c r="E337" s="21">
        <v>1.0775862068969999E-3</v>
      </c>
    </row>
    <row r="338" spans="2:5" ht="14.5">
      <c r="B338" s="92"/>
      <c r="C338" s="23" t="s">
        <v>190</v>
      </c>
      <c r="D338" s="76">
        <v>10</v>
      </c>
      <c r="E338" s="21">
        <v>2.1551724137930002E-3</v>
      </c>
    </row>
    <row r="339" spans="2:5" ht="14.5">
      <c r="B339" s="92"/>
      <c r="C339" s="23" t="s">
        <v>191</v>
      </c>
      <c r="D339" s="76">
        <v>1</v>
      </c>
      <c r="E339" s="21">
        <v>2.1551724137899999E-4</v>
      </c>
    </row>
    <row r="340" spans="2:5" ht="14.5">
      <c r="B340" s="92"/>
      <c r="C340" s="23" t="s">
        <v>192</v>
      </c>
      <c r="D340" s="76">
        <v>17</v>
      </c>
      <c r="E340" s="21">
        <v>3.663793103448E-3</v>
      </c>
    </row>
    <row r="341" spans="2:5" ht="14.5">
      <c r="B341" s="92"/>
      <c r="C341" s="23" t="s">
        <v>193</v>
      </c>
      <c r="D341" s="76">
        <v>1</v>
      </c>
      <c r="E341" s="21">
        <v>2.1551724137899999E-4</v>
      </c>
    </row>
    <row r="342" spans="2:5" ht="14.5">
      <c r="B342" s="92"/>
      <c r="C342" s="23" t="s">
        <v>194</v>
      </c>
      <c r="D342" s="76">
        <v>6</v>
      </c>
      <c r="E342" s="21">
        <v>1.293103448276E-3</v>
      </c>
    </row>
    <row r="343" spans="2:5" ht="14.5">
      <c r="B343" s="92"/>
      <c r="C343" s="23" t="s">
        <v>201</v>
      </c>
      <c r="D343" s="76">
        <v>2</v>
      </c>
      <c r="E343" s="21">
        <v>4.3103448275899999E-4</v>
      </c>
    </row>
    <row r="344" spans="2:5" ht="14.5">
      <c r="B344" s="92"/>
      <c r="C344" s="77" t="s">
        <v>29</v>
      </c>
      <c r="D344" s="78">
        <v>48</v>
      </c>
      <c r="E344" s="79">
        <v>1.0344827586207E-2</v>
      </c>
    </row>
    <row r="345" spans="2:5" ht="14.5">
      <c r="B345" s="92" t="s">
        <v>128</v>
      </c>
      <c r="C345" s="23" t="s">
        <v>187</v>
      </c>
      <c r="D345" s="76">
        <v>16</v>
      </c>
      <c r="E345" s="21">
        <v>3.4482758620690002E-3</v>
      </c>
    </row>
    <row r="346" spans="2:5" ht="14.5">
      <c r="B346" s="92"/>
      <c r="C346" s="23" t="s">
        <v>189</v>
      </c>
      <c r="D346" s="76">
        <v>5</v>
      </c>
      <c r="E346" s="21">
        <v>1.0775862068969999E-3</v>
      </c>
    </row>
    <row r="347" spans="2:5" ht="14.5">
      <c r="B347" s="92"/>
      <c r="C347" s="23" t="s">
        <v>190</v>
      </c>
      <c r="D347" s="76">
        <v>12</v>
      </c>
      <c r="E347" s="21">
        <v>2.5862068965519999E-3</v>
      </c>
    </row>
    <row r="348" spans="2:5" ht="14.5">
      <c r="B348" s="92"/>
      <c r="C348" s="23" t="s">
        <v>191</v>
      </c>
      <c r="D348" s="76">
        <v>10</v>
      </c>
      <c r="E348" s="21">
        <v>2.1551724137930002E-3</v>
      </c>
    </row>
    <row r="349" spans="2:5" ht="14.5">
      <c r="B349" s="92"/>
      <c r="C349" s="23" t="s">
        <v>192</v>
      </c>
      <c r="D349" s="76">
        <v>27</v>
      </c>
      <c r="E349" s="21">
        <v>5.8189655172409998E-3</v>
      </c>
    </row>
    <row r="350" spans="2:5" ht="14.5">
      <c r="B350" s="92"/>
      <c r="C350" s="23" t="s">
        <v>193</v>
      </c>
      <c r="D350" s="76">
        <v>1</v>
      </c>
      <c r="E350" s="21">
        <v>2.1551724137899999E-4</v>
      </c>
    </row>
    <row r="351" spans="2:5" ht="14.5">
      <c r="B351" s="92"/>
      <c r="C351" s="23" t="s">
        <v>194</v>
      </c>
      <c r="D351" s="76">
        <v>11</v>
      </c>
      <c r="E351" s="21">
        <v>2.370689655172E-3</v>
      </c>
    </row>
    <row r="352" spans="2:5" ht="14.5">
      <c r="B352" s="92"/>
      <c r="C352" s="23" t="s">
        <v>195</v>
      </c>
      <c r="D352" s="76">
        <v>2</v>
      </c>
      <c r="E352" s="21">
        <v>4.3103448275899999E-4</v>
      </c>
    </row>
    <row r="353" spans="2:5" ht="14.5">
      <c r="B353" s="92"/>
      <c r="C353" s="23" t="s">
        <v>202</v>
      </c>
      <c r="D353" s="76">
        <v>1</v>
      </c>
      <c r="E353" s="21">
        <v>2.1551724137899999E-4</v>
      </c>
    </row>
    <row r="354" spans="2:5" ht="14.5">
      <c r="B354" s="92"/>
      <c r="C354" s="23" t="s">
        <v>199</v>
      </c>
      <c r="D354" s="76">
        <v>13</v>
      </c>
      <c r="E354" s="21">
        <v>2.8017241379310002E-3</v>
      </c>
    </row>
    <row r="355" spans="2:5" ht="14.5">
      <c r="B355" s="92"/>
      <c r="C355" s="23" t="s">
        <v>200</v>
      </c>
      <c r="D355" s="76">
        <v>1</v>
      </c>
      <c r="E355" s="21">
        <v>2.1551724137899999E-4</v>
      </c>
    </row>
    <row r="356" spans="2:5" ht="14.5">
      <c r="B356" s="92"/>
      <c r="C356" s="23" t="s">
        <v>201</v>
      </c>
      <c r="D356" s="76">
        <v>4</v>
      </c>
      <c r="E356" s="21">
        <v>8.6206896551700002E-4</v>
      </c>
    </row>
    <row r="357" spans="2:5" ht="14.5">
      <c r="B357" s="92"/>
      <c r="C357" s="77" t="s">
        <v>29</v>
      </c>
      <c r="D357" s="78">
        <v>103</v>
      </c>
      <c r="E357" s="79">
        <v>2.2198275862068999E-2</v>
      </c>
    </row>
    <row r="358" spans="2:5" ht="14.5">
      <c r="B358" s="92" t="s">
        <v>129</v>
      </c>
      <c r="C358" s="23" t="s">
        <v>187</v>
      </c>
      <c r="D358" s="76">
        <v>4</v>
      </c>
      <c r="E358" s="21">
        <v>8.6206896551700002E-4</v>
      </c>
    </row>
    <row r="359" spans="2:5" ht="14.5">
      <c r="B359" s="92"/>
      <c r="C359" s="23" t="s">
        <v>189</v>
      </c>
      <c r="D359" s="76">
        <v>3</v>
      </c>
      <c r="E359" s="21">
        <v>6.4655172413799998E-4</v>
      </c>
    </row>
    <row r="360" spans="2:5" ht="14.5">
      <c r="B360" s="92"/>
      <c r="C360" s="23" t="s">
        <v>190</v>
      </c>
      <c r="D360" s="76">
        <v>1</v>
      </c>
      <c r="E360" s="21">
        <v>2.1551724137899999E-4</v>
      </c>
    </row>
    <row r="361" spans="2:5" ht="14.5">
      <c r="B361" s="92"/>
      <c r="C361" s="23" t="s">
        <v>192</v>
      </c>
      <c r="D361" s="76">
        <v>9</v>
      </c>
      <c r="E361" s="21">
        <v>1.9396551724139999E-3</v>
      </c>
    </row>
    <row r="362" spans="2:5" ht="14.5">
      <c r="B362" s="92"/>
      <c r="C362" s="23" t="s">
        <v>194</v>
      </c>
      <c r="D362" s="76">
        <v>5</v>
      </c>
      <c r="E362" s="21">
        <v>1.0775862068969999E-3</v>
      </c>
    </row>
    <row r="363" spans="2:5" ht="14.5">
      <c r="B363" s="92"/>
      <c r="C363" s="23" t="s">
        <v>197</v>
      </c>
      <c r="D363" s="76">
        <v>1</v>
      </c>
      <c r="E363" s="21">
        <v>2.1551724137899999E-4</v>
      </c>
    </row>
    <row r="364" spans="2:5" ht="14.5">
      <c r="B364" s="92"/>
      <c r="C364" s="23" t="s">
        <v>200</v>
      </c>
      <c r="D364" s="76">
        <v>1</v>
      </c>
      <c r="E364" s="21">
        <v>2.1551724137899999E-4</v>
      </c>
    </row>
    <row r="365" spans="2:5" ht="14.5">
      <c r="B365" s="92"/>
      <c r="C365" s="23" t="s">
        <v>201</v>
      </c>
      <c r="D365" s="76">
        <v>1</v>
      </c>
      <c r="E365" s="21">
        <v>2.1551724137899999E-4</v>
      </c>
    </row>
    <row r="366" spans="2:5" ht="14.5">
      <c r="B366" s="92"/>
      <c r="C366" s="77" t="s">
        <v>29</v>
      </c>
      <c r="D366" s="78">
        <v>25</v>
      </c>
      <c r="E366" s="79">
        <v>5.3879310344830001E-3</v>
      </c>
    </row>
    <row r="367" spans="2:5" ht="14.5">
      <c r="B367" s="92" t="s">
        <v>130</v>
      </c>
      <c r="C367" s="23" t="s">
        <v>188</v>
      </c>
      <c r="D367" s="76">
        <v>1</v>
      </c>
      <c r="E367" s="21">
        <v>2.1551724137899999E-4</v>
      </c>
    </row>
    <row r="368" spans="2:5" ht="14.5">
      <c r="B368" s="92"/>
      <c r="C368" s="23" t="s">
        <v>189</v>
      </c>
      <c r="D368" s="76">
        <v>2</v>
      </c>
      <c r="E368" s="21">
        <v>4.3103448275899999E-4</v>
      </c>
    </row>
    <row r="369" spans="2:5" ht="14.5">
      <c r="B369" s="92"/>
      <c r="C369" s="23" t="s">
        <v>190</v>
      </c>
      <c r="D369" s="76">
        <v>2</v>
      </c>
      <c r="E369" s="21">
        <v>4.3103448275899999E-4</v>
      </c>
    </row>
    <row r="370" spans="2:5" ht="14.5">
      <c r="B370" s="92"/>
      <c r="C370" s="23" t="s">
        <v>192</v>
      </c>
      <c r="D370" s="76">
        <v>13</v>
      </c>
      <c r="E370" s="21">
        <v>2.8017241379310002E-3</v>
      </c>
    </row>
    <row r="371" spans="2:5" ht="14.5">
      <c r="B371" s="92"/>
      <c r="C371" s="23" t="s">
        <v>194</v>
      </c>
      <c r="D371" s="76">
        <v>17</v>
      </c>
      <c r="E371" s="21">
        <v>3.663793103448E-3</v>
      </c>
    </row>
    <row r="372" spans="2:5" ht="14.5">
      <c r="B372" s="92"/>
      <c r="C372" s="23" t="s">
        <v>195</v>
      </c>
      <c r="D372" s="76">
        <v>1</v>
      </c>
      <c r="E372" s="21">
        <v>2.1551724137899999E-4</v>
      </c>
    </row>
    <row r="373" spans="2:5" ht="14.5">
      <c r="B373" s="92"/>
      <c r="C373" s="23" t="s">
        <v>204</v>
      </c>
      <c r="D373" s="76">
        <v>1</v>
      </c>
      <c r="E373" s="21">
        <v>2.1551724137899999E-4</v>
      </c>
    </row>
    <row r="374" spans="2:5" ht="14.5">
      <c r="B374" s="92"/>
      <c r="C374" s="23" t="s">
        <v>198</v>
      </c>
      <c r="D374" s="76">
        <v>1</v>
      </c>
      <c r="E374" s="21">
        <v>2.1551724137899999E-4</v>
      </c>
    </row>
    <row r="375" spans="2:5" ht="14.5">
      <c r="B375" s="92"/>
      <c r="C375" s="23" t="s">
        <v>201</v>
      </c>
      <c r="D375" s="76">
        <v>2</v>
      </c>
      <c r="E375" s="21">
        <v>4.3103448275899999E-4</v>
      </c>
    </row>
    <row r="376" spans="2:5" ht="14.5">
      <c r="B376" s="92"/>
      <c r="C376" s="77" t="s">
        <v>29</v>
      </c>
      <c r="D376" s="78">
        <v>40</v>
      </c>
      <c r="E376" s="79">
        <v>8.6206896551720008E-3</v>
      </c>
    </row>
    <row r="377" spans="2:5" ht="14.5">
      <c r="B377" s="92" t="s">
        <v>131</v>
      </c>
      <c r="C377" s="23" t="s">
        <v>187</v>
      </c>
      <c r="D377" s="76">
        <v>1</v>
      </c>
      <c r="E377" s="21">
        <v>2.1551724137899999E-4</v>
      </c>
    </row>
    <row r="378" spans="2:5" ht="14.5">
      <c r="B378" s="92"/>
      <c r="C378" s="23" t="s">
        <v>190</v>
      </c>
      <c r="D378" s="76">
        <v>2</v>
      </c>
      <c r="E378" s="21">
        <v>4.3103448275899999E-4</v>
      </c>
    </row>
    <row r="379" spans="2:5" ht="14.5">
      <c r="B379" s="92"/>
      <c r="C379" s="23" t="s">
        <v>191</v>
      </c>
      <c r="D379" s="76">
        <v>1</v>
      </c>
      <c r="E379" s="21">
        <v>2.1551724137899999E-4</v>
      </c>
    </row>
    <row r="380" spans="2:5" ht="14.5">
      <c r="B380" s="92"/>
      <c r="C380" s="23" t="s">
        <v>194</v>
      </c>
      <c r="D380" s="76">
        <v>1</v>
      </c>
      <c r="E380" s="21">
        <v>2.1551724137899999E-4</v>
      </c>
    </row>
    <row r="381" spans="2:5" ht="14.5">
      <c r="B381" s="92"/>
      <c r="C381" s="77" t="s">
        <v>29</v>
      </c>
      <c r="D381" s="78">
        <v>5</v>
      </c>
      <c r="E381" s="79">
        <v>1.0775862068969999E-3</v>
      </c>
    </row>
    <row r="382" spans="2:5" ht="14.5">
      <c r="B382" s="92" t="s">
        <v>132</v>
      </c>
      <c r="C382" s="23" t="s">
        <v>187</v>
      </c>
      <c r="D382" s="76">
        <v>4</v>
      </c>
      <c r="E382" s="21">
        <v>8.6206896551700002E-4</v>
      </c>
    </row>
    <row r="383" spans="2:5" ht="14.5">
      <c r="B383" s="92"/>
      <c r="C383" s="23" t="s">
        <v>188</v>
      </c>
      <c r="D383" s="76">
        <v>2</v>
      </c>
      <c r="E383" s="21">
        <v>4.3103448275899999E-4</v>
      </c>
    </row>
    <row r="384" spans="2:5" ht="14.5">
      <c r="B384" s="92"/>
      <c r="C384" s="23" t="s">
        <v>189</v>
      </c>
      <c r="D384" s="76">
        <v>9</v>
      </c>
      <c r="E384" s="21">
        <v>1.9396551724139999E-3</v>
      </c>
    </row>
    <row r="385" spans="2:5" ht="14.5">
      <c r="B385" s="92"/>
      <c r="C385" s="23" t="s">
        <v>190</v>
      </c>
      <c r="D385" s="76">
        <v>21</v>
      </c>
      <c r="E385" s="21">
        <v>4.5258620689659999E-3</v>
      </c>
    </row>
    <row r="386" spans="2:5" ht="14.5">
      <c r="B386" s="92"/>
      <c r="C386" s="23" t="s">
        <v>191</v>
      </c>
      <c r="D386" s="76">
        <v>8</v>
      </c>
      <c r="E386" s="21">
        <v>1.724137931034E-3</v>
      </c>
    </row>
    <row r="387" spans="2:5" ht="14.5">
      <c r="B387" s="92"/>
      <c r="C387" s="23" t="s">
        <v>192</v>
      </c>
      <c r="D387" s="76">
        <v>29</v>
      </c>
      <c r="E387" s="21">
        <v>6.2500000000000003E-3</v>
      </c>
    </row>
    <row r="388" spans="2:5" ht="14.5">
      <c r="B388" s="92"/>
      <c r="C388" s="23" t="s">
        <v>194</v>
      </c>
      <c r="D388" s="76">
        <v>63</v>
      </c>
      <c r="E388" s="21">
        <v>1.3577586206897E-2</v>
      </c>
    </row>
    <row r="389" spans="2:5" ht="14.5">
      <c r="B389" s="92"/>
      <c r="C389" s="23" t="s">
        <v>195</v>
      </c>
      <c r="D389" s="76">
        <v>5</v>
      </c>
      <c r="E389" s="21">
        <v>1.0775862068969999E-3</v>
      </c>
    </row>
    <row r="390" spans="2:5" ht="14.5">
      <c r="B390" s="92"/>
      <c r="C390" s="23" t="s">
        <v>196</v>
      </c>
      <c r="D390" s="76">
        <v>1</v>
      </c>
      <c r="E390" s="21">
        <v>2.1551724137899999E-4</v>
      </c>
    </row>
    <row r="391" spans="2:5" ht="14.5">
      <c r="B391" s="92"/>
      <c r="C391" s="23" t="s">
        <v>197</v>
      </c>
      <c r="D391" s="76">
        <v>2</v>
      </c>
      <c r="E391" s="21">
        <v>4.3103448275899999E-4</v>
      </c>
    </row>
    <row r="392" spans="2:5" ht="14.5">
      <c r="B392" s="92"/>
      <c r="C392" s="23" t="s">
        <v>198</v>
      </c>
      <c r="D392" s="76">
        <v>2</v>
      </c>
      <c r="E392" s="21">
        <v>4.3103448275899999E-4</v>
      </c>
    </row>
    <row r="393" spans="2:5" ht="14.5">
      <c r="B393" s="92"/>
      <c r="C393" s="23" t="s">
        <v>199</v>
      </c>
      <c r="D393" s="76">
        <v>1</v>
      </c>
      <c r="E393" s="21">
        <v>2.1551724137899999E-4</v>
      </c>
    </row>
    <row r="394" spans="2:5" ht="14.5">
      <c r="B394" s="92"/>
      <c r="C394" s="23" t="s">
        <v>200</v>
      </c>
      <c r="D394" s="76">
        <v>3</v>
      </c>
      <c r="E394" s="21">
        <v>6.4655172413799998E-4</v>
      </c>
    </row>
    <row r="395" spans="2:5" ht="14.5">
      <c r="B395" s="92"/>
      <c r="C395" s="23" t="s">
        <v>201</v>
      </c>
      <c r="D395" s="76">
        <v>7</v>
      </c>
      <c r="E395" s="21">
        <v>1.508620689655E-3</v>
      </c>
    </row>
    <row r="396" spans="2:5" ht="14.5">
      <c r="B396" s="92"/>
      <c r="C396" s="77" t="s">
        <v>29</v>
      </c>
      <c r="D396" s="78">
        <v>157</v>
      </c>
      <c r="E396" s="79">
        <v>3.3836206896552E-2</v>
      </c>
    </row>
    <row r="397" spans="2:5" ht="14.5">
      <c r="B397" s="92" t="s">
        <v>133</v>
      </c>
      <c r="C397" s="23" t="s">
        <v>187</v>
      </c>
      <c r="D397" s="76">
        <v>10</v>
      </c>
      <c r="E397" s="21">
        <v>2.1551724137930002E-3</v>
      </c>
    </row>
    <row r="398" spans="2:5" ht="14.5">
      <c r="B398" s="92"/>
      <c r="C398" s="23" t="s">
        <v>189</v>
      </c>
      <c r="D398" s="76">
        <v>15</v>
      </c>
      <c r="E398" s="21">
        <v>3.2327586206899999E-3</v>
      </c>
    </row>
    <row r="399" spans="2:5" ht="14.5">
      <c r="B399" s="92"/>
      <c r="C399" s="23" t="s">
        <v>190</v>
      </c>
      <c r="D399" s="76">
        <v>6</v>
      </c>
      <c r="E399" s="21">
        <v>1.293103448276E-3</v>
      </c>
    </row>
    <row r="400" spans="2:5" ht="14.5">
      <c r="B400" s="92"/>
      <c r="C400" s="23" t="s">
        <v>191</v>
      </c>
      <c r="D400" s="76">
        <v>3</v>
      </c>
      <c r="E400" s="21">
        <v>6.4655172413799998E-4</v>
      </c>
    </row>
    <row r="401" spans="2:5" ht="14.5">
      <c r="B401" s="92"/>
      <c r="C401" s="23" t="s">
        <v>192</v>
      </c>
      <c r="D401" s="76">
        <v>20</v>
      </c>
      <c r="E401" s="21">
        <v>4.3103448275860004E-3</v>
      </c>
    </row>
    <row r="402" spans="2:5" ht="14.5">
      <c r="B402" s="92"/>
      <c r="C402" s="23" t="s">
        <v>194</v>
      </c>
      <c r="D402" s="76">
        <v>26</v>
      </c>
      <c r="E402" s="21">
        <v>5.6034482758620004E-3</v>
      </c>
    </row>
    <row r="403" spans="2:5" ht="14.5">
      <c r="B403" s="92"/>
      <c r="C403" s="23" t="s">
        <v>195</v>
      </c>
      <c r="D403" s="76">
        <v>4</v>
      </c>
      <c r="E403" s="21">
        <v>8.6206896551700002E-4</v>
      </c>
    </row>
    <row r="404" spans="2:5" ht="14.5">
      <c r="B404" s="92"/>
      <c r="C404" s="23" t="s">
        <v>202</v>
      </c>
      <c r="D404" s="76">
        <v>1</v>
      </c>
      <c r="E404" s="21">
        <v>2.1551724137899999E-4</v>
      </c>
    </row>
    <row r="405" spans="2:5" ht="14.5">
      <c r="B405" s="92"/>
      <c r="C405" s="23" t="s">
        <v>197</v>
      </c>
      <c r="D405" s="76">
        <v>6</v>
      </c>
      <c r="E405" s="21">
        <v>1.293103448276E-3</v>
      </c>
    </row>
    <row r="406" spans="2:5" ht="14.5">
      <c r="B406" s="92"/>
      <c r="C406" s="23" t="s">
        <v>199</v>
      </c>
      <c r="D406" s="76">
        <v>1</v>
      </c>
      <c r="E406" s="21">
        <v>2.1551724137899999E-4</v>
      </c>
    </row>
    <row r="407" spans="2:5" ht="14.5">
      <c r="B407" s="92"/>
      <c r="C407" s="23" t="s">
        <v>200</v>
      </c>
      <c r="D407" s="76">
        <v>1</v>
      </c>
      <c r="E407" s="21">
        <v>2.1551724137899999E-4</v>
      </c>
    </row>
    <row r="408" spans="2:5" ht="14.5">
      <c r="B408" s="92"/>
      <c r="C408" s="23" t="s">
        <v>201</v>
      </c>
      <c r="D408" s="76">
        <v>1</v>
      </c>
      <c r="E408" s="21">
        <v>2.1551724137899999E-4</v>
      </c>
    </row>
    <row r="409" spans="2:5" ht="14.5">
      <c r="B409" s="92"/>
      <c r="C409" s="77" t="s">
        <v>29</v>
      </c>
      <c r="D409" s="78">
        <v>94</v>
      </c>
      <c r="E409" s="79">
        <v>2.0258620689655001E-2</v>
      </c>
    </row>
    <row r="410" spans="2:5" ht="14.5">
      <c r="B410" s="92" t="s">
        <v>134</v>
      </c>
      <c r="C410" s="23" t="s">
        <v>187</v>
      </c>
      <c r="D410" s="76">
        <v>66</v>
      </c>
      <c r="E410" s="21">
        <v>1.4224137931033999E-2</v>
      </c>
    </row>
    <row r="411" spans="2:5" ht="14.5">
      <c r="B411" s="92"/>
      <c r="C411" s="23" t="s">
        <v>206</v>
      </c>
      <c r="D411" s="76">
        <v>1</v>
      </c>
      <c r="E411" s="21">
        <v>2.1551724137899999E-4</v>
      </c>
    </row>
    <row r="412" spans="2:5" ht="14.5">
      <c r="B412" s="92"/>
      <c r="C412" s="23" t="s">
        <v>188</v>
      </c>
      <c r="D412" s="76">
        <v>8</v>
      </c>
      <c r="E412" s="21">
        <v>1.724137931034E-3</v>
      </c>
    </row>
    <row r="413" spans="2:5" ht="14.5">
      <c r="B413" s="92"/>
      <c r="C413" s="23" t="s">
        <v>189</v>
      </c>
      <c r="D413" s="76">
        <v>118</v>
      </c>
      <c r="E413" s="21">
        <v>2.5431034482759001E-2</v>
      </c>
    </row>
    <row r="414" spans="2:5" ht="14.5">
      <c r="B414" s="92"/>
      <c r="C414" s="23" t="s">
        <v>190</v>
      </c>
      <c r="D414" s="76">
        <v>85</v>
      </c>
      <c r="E414" s="21">
        <v>1.8318965517241E-2</v>
      </c>
    </row>
    <row r="415" spans="2:5" ht="14.5">
      <c r="B415" s="92"/>
      <c r="C415" s="23" t="s">
        <v>191</v>
      </c>
      <c r="D415" s="76">
        <v>78</v>
      </c>
      <c r="E415" s="21">
        <v>1.6810344827586001E-2</v>
      </c>
    </row>
    <row r="416" spans="2:5" ht="14.5">
      <c r="B416" s="92"/>
      <c r="C416" s="23" t="s">
        <v>192</v>
      </c>
      <c r="D416" s="76">
        <v>368</v>
      </c>
      <c r="E416" s="21">
        <v>7.9310344827586005E-2</v>
      </c>
    </row>
    <row r="417" spans="2:5" ht="14.5">
      <c r="B417" s="92"/>
      <c r="C417" s="23" t="s">
        <v>193</v>
      </c>
      <c r="D417" s="76">
        <v>12</v>
      </c>
      <c r="E417" s="21">
        <v>2.5862068965519999E-3</v>
      </c>
    </row>
    <row r="418" spans="2:5" ht="14.5">
      <c r="B418" s="92"/>
      <c r="C418" s="23" t="s">
        <v>194</v>
      </c>
      <c r="D418" s="76">
        <v>311</v>
      </c>
      <c r="E418" s="21">
        <v>6.7025862068966005E-2</v>
      </c>
    </row>
    <row r="419" spans="2:5" ht="14.5">
      <c r="B419" s="92"/>
      <c r="C419" s="23" t="s">
        <v>195</v>
      </c>
      <c r="D419" s="76">
        <v>13</v>
      </c>
      <c r="E419" s="21">
        <v>2.8017241379310002E-3</v>
      </c>
    </row>
    <row r="420" spans="2:5" ht="14.5">
      <c r="B420" s="92"/>
      <c r="C420" s="23" t="s">
        <v>196</v>
      </c>
      <c r="D420" s="76">
        <v>9</v>
      </c>
      <c r="E420" s="21">
        <v>1.9396551724139999E-3</v>
      </c>
    </row>
    <row r="421" spans="2:5" ht="14.5">
      <c r="B421" s="92"/>
      <c r="C421" s="23" t="s">
        <v>202</v>
      </c>
      <c r="D421" s="76">
        <v>13</v>
      </c>
      <c r="E421" s="21">
        <v>2.8017241379310002E-3</v>
      </c>
    </row>
    <row r="422" spans="2:5" ht="14.5">
      <c r="B422" s="92"/>
      <c r="C422" s="23" t="s">
        <v>197</v>
      </c>
      <c r="D422" s="76">
        <v>54</v>
      </c>
      <c r="E422" s="21">
        <v>1.1637931034483E-2</v>
      </c>
    </row>
    <row r="423" spans="2:5" ht="14.5">
      <c r="B423" s="92"/>
      <c r="C423" s="23" t="s">
        <v>204</v>
      </c>
      <c r="D423" s="76">
        <v>8</v>
      </c>
      <c r="E423" s="21">
        <v>1.724137931034E-3</v>
      </c>
    </row>
    <row r="424" spans="2:5" ht="42">
      <c r="B424" s="92"/>
      <c r="C424" s="23" t="s">
        <v>203</v>
      </c>
      <c r="D424" s="76">
        <v>1</v>
      </c>
      <c r="E424" s="21">
        <v>2.1551724137899999E-4</v>
      </c>
    </row>
    <row r="425" spans="2:5" ht="14.5">
      <c r="B425" s="92"/>
      <c r="C425" s="23" t="s">
        <v>198</v>
      </c>
      <c r="D425" s="76">
        <v>9</v>
      </c>
      <c r="E425" s="21">
        <v>1.9396551724139999E-3</v>
      </c>
    </row>
    <row r="426" spans="2:5" ht="14.5">
      <c r="B426" s="92"/>
      <c r="C426" s="23" t="s">
        <v>199</v>
      </c>
      <c r="D426" s="76">
        <v>10</v>
      </c>
      <c r="E426" s="21">
        <v>2.1551724137930002E-3</v>
      </c>
    </row>
    <row r="427" spans="2:5" ht="14.5">
      <c r="B427" s="92"/>
      <c r="C427" s="23" t="s">
        <v>200</v>
      </c>
      <c r="D427" s="76">
        <v>19</v>
      </c>
      <c r="E427" s="21">
        <v>4.0948275862070001E-3</v>
      </c>
    </row>
    <row r="428" spans="2:5" ht="14.5">
      <c r="B428" s="92"/>
      <c r="C428" s="23" t="s">
        <v>201</v>
      </c>
      <c r="D428" s="76">
        <v>47</v>
      </c>
      <c r="E428" s="21">
        <v>1.0129310344828E-2</v>
      </c>
    </row>
    <row r="429" spans="2:5" ht="14.5">
      <c r="B429" s="92"/>
      <c r="C429" s="77" t="s">
        <v>29</v>
      </c>
      <c r="D429" s="78">
        <v>1230</v>
      </c>
      <c r="E429" s="79">
        <v>0.26508620689655199</v>
      </c>
    </row>
    <row r="430" spans="2:5" ht="14.5">
      <c r="B430" s="92" t="s">
        <v>135</v>
      </c>
      <c r="C430" s="23" t="s">
        <v>189</v>
      </c>
      <c r="D430" s="76">
        <v>5</v>
      </c>
      <c r="E430" s="21">
        <v>1.0775862068969999E-3</v>
      </c>
    </row>
    <row r="431" spans="2:5" ht="14.5">
      <c r="B431" s="92"/>
      <c r="C431" s="23" t="s">
        <v>191</v>
      </c>
      <c r="D431" s="76">
        <v>2</v>
      </c>
      <c r="E431" s="21">
        <v>4.3103448275899999E-4</v>
      </c>
    </row>
    <row r="432" spans="2:5" ht="14.5">
      <c r="B432" s="92"/>
      <c r="C432" s="23" t="s">
        <v>192</v>
      </c>
      <c r="D432" s="76">
        <v>11</v>
      </c>
      <c r="E432" s="21">
        <v>2.370689655172E-3</v>
      </c>
    </row>
    <row r="433" spans="2:5" ht="14.5">
      <c r="B433" s="92"/>
      <c r="C433" s="23" t="s">
        <v>194</v>
      </c>
      <c r="D433" s="76">
        <v>6</v>
      </c>
      <c r="E433" s="21">
        <v>1.293103448276E-3</v>
      </c>
    </row>
    <row r="434" spans="2:5" ht="14.5">
      <c r="B434" s="92"/>
      <c r="C434" s="23" t="s">
        <v>198</v>
      </c>
      <c r="D434" s="76">
        <v>1</v>
      </c>
      <c r="E434" s="21">
        <v>2.1551724137899999E-4</v>
      </c>
    </row>
    <row r="435" spans="2:5" ht="14.5">
      <c r="B435" s="92"/>
      <c r="C435" s="77" t="s">
        <v>29</v>
      </c>
      <c r="D435" s="78">
        <v>25</v>
      </c>
      <c r="E435" s="79">
        <v>5.3879310344830001E-3</v>
      </c>
    </row>
    <row r="436" spans="2:5" ht="14.5">
      <c r="B436" s="92" t="s">
        <v>136</v>
      </c>
      <c r="C436" s="23" t="s">
        <v>187</v>
      </c>
      <c r="D436" s="76">
        <v>1</v>
      </c>
      <c r="E436" s="21">
        <v>2.1551724137899999E-4</v>
      </c>
    </row>
    <row r="437" spans="2:5" ht="14.5">
      <c r="B437" s="92"/>
      <c r="C437" s="23" t="s">
        <v>189</v>
      </c>
      <c r="D437" s="76">
        <v>3</v>
      </c>
      <c r="E437" s="21">
        <v>6.4655172413799998E-4</v>
      </c>
    </row>
    <row r="438" spans="2:5" ht="14.5">
      <c r="B438" s="92"/>
      <c r="C438" s="23" t="s">
        <v>190</v>
      </c>
      <c r="D438" s="76">
        <v>2</v>
      </c>
      <c r="E438" s="21">
        <v>4.3103448275899999E-4</v>
      </c>
    </row>
    <row r="439" spans="2:5" ht="14.5">
      <c r="B439" s="92"/>
      <c r="C439" s="23" t="s">
        <v>192</v>
      </c>
      <c r="D439" s="76">
        <v>22</v>
      </c>
      <c r="E439" s="21">
        <v>4.7413793103450001E-3</v>
      </c>
    </row>
    <row r="440" spans="2:5" ht="14.5">
      <c r="B440" s="92"/>
      <c r="C440" s="23" t="s">
        <v>194</v>
      </c>
      <c r="D440" s="76">
        <v>8</v>
      </c>
      <c r="E440" s="21">
        <v>1.724137931034E-3</v>
      </c>
    </row>
    <row r="441" spans="2:5" ht="14.5">
      <c r="B441" s="92"/>
      <c r="C441" s="77" t="s">
        <v>29</v>
      </c>
      <c r="D441" s="78">
        <v>36</v>
      </c>
      <c r="E441" s="79">
        <v>7.7586206896549997E-3</v>
      </c>
    </row>
    <row r="442" spans="2:5" ht="14.5">
      <c r="B442" s="92" t="s">
        <v>137</v>
      </c>
      <c r="C442" s="23" t="s">
        <v>187</v>
      </c>
      <c r="D442" s="76">
        <v>4</v>
      </c>
      <c r="E442" s="21">
        <v>8.6206896551700002E-4</v>
      </c>
    </row>
    <row r="443" spans="2:5" ht="14.5">
      <c r="B443" s="92"/>
      <c r="C443" s="23" t="s">
        <v>189</v>
      </c>
      <c r="D443" s="76">
        <v>7</v>
      </c>
      <c r="E443" s="21">
        <v>1.508620689655E-3</v>
      </c>
    </row>
    <row r="444" spans="2:5" ht="14.5">
      <c r="B444" s="92"/>
      <c r="C444" s="23" t="s">
        <v>190</v>
      </c>
      <c r="D444" s="76">
        <v>11</v>
      </c>
      <c r="E444" s="21">
        <v>2.370689655172E-3</v>
      </c>
    </row>
    <row r="445" spans="2:5" ht="14.5">
      <c r="B445" s="92"/>
      <c r="C445" s="23" t="s">
        <v>191</v>
      </c>
      <c r="D445" s="76">
        <v>4</v>
      </c>
      <c r="E445" s="21">
        <v>8.6206896551700002E-4</v>
      </c>
    </row>
    <row r="446" spans="2:5" ht="14.5">
      <c r="B446" s="92"/>
      <c r="C446" s="23" t="s">
        <v>192</v>
      </c>
      <c r="D446" s="76">
        <v>81</v>
      </c>
      <c r="E446" s="21">
        <v>1.7456896551723999E-2</v>
      </c>
    </row>
    <row r="447" spans="2:5" ht="14.5">
      <c r="B447" s="92"/>
      <c r="C447" s="23" t="s">
        <v>193</v>
      </c>
      <c r="D447" s="76">
        <v>1</v>
      </c>
      <c r="E447" s="21">
        <v>2.1551724137899999E-4</v>
      </c>
    </row>
    <row r="448" spans="2:5" ht="14.5">
      <c r="B448" s="92"/>
      <c r="C448" s="23" t="s">
        <v>194</v>
      </c>
      <c r="D448" s="76">
        <v>34</v>
      </c>
      <c r="E448" s="21">
        <v>7.327586206897E-3</v>
      </c>
    </row>
    <row r="449" spans="2:5" ht="14.5">
      <c r="B449" s="92"/>
      <c r="C449" s="23" t="s">
        <v>196</v>
      </c>
      <c r="D449" s="76">
        <v>1</v>
      </c>
      <c r="E449" s="21">
        <v>2.1551724137899999E-4</v>
      </c>
    </row>
    <row r="450" spans="2:5" ht="14.5">
      <c r="B450" s="92"/>
      <c r="C450" s="23" t="s">
        <v>197</v>
      </c>
      <c r="D450" s="76">
        <v>2</v>
      </c>
      <c r="E450" s="21">
        <v>4.3103448275899999E-4</v>
      </c>
    </row>
    <row r="451" spans="2:5" ht="14.5">
      <c r="B451" s="92"/>
      <c r="C451" s="23" t="s">
        <v>198</v>
      </c>
      <c r="D451" s="76">
        <v>1</v>
      </c>
      <c r="E451" s="21">
        <v>2.1551724137899999E-4</v>
      </c>
    </row>
    <row r="452" spans="2:5" ht="14.5">
      <c r="B452" s="92"/>
      <c r="C452" s="23" t="s">
        <v>199</v>
      </c>
      <c r="D452" s="76">
        <v>2</v>
      </c>
      <c r="E452" s="21">
        <v>4.3103448275899999E-4</v>
      </c>
    </row>
    <row r="453" spans="2:5" ht="14.5">
      <c r="B453" s="92"/>
      <c r="C453" s="23" t="s">
        <v>200</v>
      </c>
      <c r="D453" s="76">
        <v>1</v>
      </c>
      <c r="E453" s="21">
        <v>2.1551724137899999E-4</v>
      </c>
    </row>
    <row r="454" spans="2:5" ht="14.5">
      <c r="B454" s="92"/>
      <c r="C454" s="23" t="s">
        <v>201</v>
      </c>
      <c r="D454" s="76">
        <v>4</v>
      </c>
      <c r="E454" s="21">
        <v>8.6206896551700002E-4</v>
      </c>
    </row>
    <row r="455" spans="2:5" ht="14.5">
      <c r="B455" s="92"/>
      <c r="C455" s="77" t="s">
        <v>29</v>
      </c>
      <c r="D455" s="78">
        <v>153</v>
      </c>
      <c r="E455" s="79">
        <v>3.2974137931034E-2</v>
      </c>
    </row>
    <row r="456" spans="2:5" ht="14.5">
      <c r="B456" s="92" t="s">
        <v>58</v>
      </c>
      <c r="C456" s="23" t="s">
        <v>187</v>
      </c>
      <c r="D456" s="76">
        <v>1</v>
      </c>
      <c r="E456" s="21">
        <v>2.1551724137899999E-4</v>
      </c>
    </row>
    <row r="457" spans="2:5" ht="14.5">
      <c r="B457" s="92"/>
      <c r="C457" s="23" t="s">
        <v>189</v>
      </c>
      <c r="D457" s="76">
        <v>3</v>
      </c>
      <c r="E457" s="21">
        <v>6.4655172413799998E-4</v>
      </c>
    </row>
    <row r="458" spans="2:5" ht="14.5">
      <c r="B458" s="92"/>
      <c r="C458" s="23" t="s">
        <v>190</v>
      </c>
      <c r="D458" s="76">
        <v>3</v>
      </c>
      <c r="E458" s="21">
        <v>6.4655172413799998E-4</v>
      </c>
    </row>
    <row r="459" spans="2:5" ht="14.5">
      <c r="B459" s="92"/>
      <c r="C459" s="23" t="s">
        <v>192</v>
      </c>
      <c r="D459" s="76">
        <v>2</v>
      </c>
      <c r="E459" s="21">
        <v>4.3103448275899999E-4</v>
      </c>
    </row>
    <row r="460" spans="2:5" ht="14.5">
      <c r="B460" s="92"/>
      <c r="C460" s="23" t="s">
        <v>193</v>
      </c>
      <c r="D460" s="76">
        <v>2</v>
      </c>
      <c r="E460" s="21">
        <v>4.3103448275899999E-4</v>
      </c>
    </row>
    <row r="461" spans="2:5" ht="14.5">
      <c r="B461" s="92"/>
      <c r="C461" s="23" t="s">
        <v>194</v>
      </c>
      <c r="D461" s="76">
        <v>2</v>
      </c>
      <c r="E461" s="21">
        <v>4.3103448275899999E-4</v>
      </c>
    </row>
    <row r="462" spans="2:5" ht="14.5">
      <c r="B462" s="92"/>
      <c r="C462" s="23" t="s">
        <v>202</v>
      </c>
      <c r="D462" s="76">
        <v>1</v>
      </c>
      <c r="E462" s="21">
        <v>2.1551724137899999E-4</v>
      </c>
    </row>
    <row r="463" spans="2:5" ht="14.5">
      <c r="B463" s="92"/>
      <c r="C463" s="23" t="s">
        <v>197</v>
      </c>
      <c r="D463" s="76">
        <v>1</v>
      </c>
      <c r="E463" s="21">
        <v>2.1551724137899999E-4</v>
      </c>
    </row>
    <row r="464" spans="2:5" ht="14.5">
      <c r="B464" s="92"/>
      <c r="C464" s="23" t="s">
        <v>204</v>
      </c>
      <c r="D464" s="76">
        <v>1</v>
      </c>
      <c r="E464" s="21">
        <v>2.1551724137899999E-4</v>
      </c>
    </row>
    <row r="465" spans="2:5" ht="14.5">
      <c r="B465" s="92"/>
      <c r="C465" s="23" t="s">
        <v>198</v>
      </c>
      <c r="D465" s="76">
        <v>1</v>
      </c>
      <c r="E465" s="21">
        <v>2.1551724137899999E-4</v>
      </c>
    </row>
    <row r="466" spans="2:5" ht="14.5">
      <c r="B466" s="92"/>
      <c r="C466" s="23" t="s">
        <v>201</v>
      </c>
      <c r="D466" s="76">
        <v>2</v>
      </c>
      <c r="E466" s="21">
        <v>4.3103448275899999E-4</v>
      </c>
    </row>
    <row r="467" spans="2:5" ht="14.5">
      <c r="B467" s="92"/>
      <c r="C467" s="77" t="s">
        <v>29</v>
      </c>
      <c r="D467" s="78">
        <v>19</v>
      </c>
      <c r="E467" s="79">
        <v>4.0948275862070001E-3</v>
      </c>
    </row>
    <row r="468" spans="2:5" ht="14.5">
      <c r="B468" s="92" t="s">
        <v>138</v>
      </c>
      <c r="C468" s="23" t="s">
        <v>189</v>
      </c>
      <c r="D468" s="76">
        <v>1</v>
      </c>
      <c r="E468" s="21">
        <v>2.1551724137899999E-4</v>
      </c>
    </row>
    <row r="469" spans="2:5" ht="14.5">
      <c r="B469" s="92"/>
      <c r="C469" s="23" t="s">
        <v>192</v>
      </c>
      <c r="D469" s="76">
        <v>1</v>
      </c>
      <c r="E469" s="21">
        <v>2.1551724137899999E-4</v>
      </c>
    </row>
    <row r="470" spans="2:5" ht="14.5">
      <c r="B470" s="92"/>
      <c r="C470" s="77" t="s">
        <v>29</v>
      </c>
      <c r="D470" s="78">
        <v>2</v>
      </c>
      <c r="E470" s="79">
        <v>4.3103448275899999E-4</v>
      </c>
    </row>
    <row r="471" spans="2:5" ht="14.5">
      <c r="B471" s="92" t="s">
        <v>139</v>
      </c>
      <c r="C471" s="23" t="s">
        <v>188</v>
      </c>
      <c r="D471" s="76">
        <v>1</v>
      </c>
      <c r="E471" s="21">
        <v>2.1551724137899999E-4</v>
      </c>
    </row>
    <row r="472" spans="2:5" ht="14.5">
      <c r="B472" s="92"/>
      <c r="C472" s="23" t="s">
        <v>189</v>
      </c>
      <c r="D472" s="76">
        <v>4</v>
      </c>
      <c r="E472" s="21">
        <v>8.6206896551700002E-4</v>
      </c>
    </row>
    <row r="473" spans="2:5" ht="14.5">
      <c r="B473" s="92"/>
      <c r="C473" s="23" t="s">
        <v>190</v>
      </c>
      <c r="D473" s="76">
        <v>1</v>
      </c>
      <c r="E473" s="21">
        <v>2.1551724137899999E-4</v>
      </c>
    </row>
    <row r="474" spans="2:5" ht="14.5">
      <c r="B474" s="92"/>
      <c r="C474" s="23" t="s">
        <v>191</v>
      </c>
      <c r="D474" s="76">
        <v>2</v>
      </c>
      <c r="E474" s="21">
        <v>4.3103448275899999E-4</v>
      </c>
    </row>
    <row r="475" spans="2:5" ht="14.5">
      <c r="B475" s="92"/>
      <c r="C475" s="23" t="s">
        <v>192</v>
      </c>
      <c r="D475" s="76">
        <v>7</v>
      </c>
      <c r="E475" s="21">
        <v>1.508620689655E-3</v>
      </c>
    </row>
    <row r="476" spans="2:5" ht="14.5">
      <c r="B476" s="92"/>
      <c r="C476" s="23" t="s">
        <v>193</v>
      </c>
      <c r="D476" s="76">
        <v>1</v>
      </c>
      <c r="E476" s="21">
        <v>2.1551724137899999E-4</v>
      </c>
    </row>
    <row r="477" spans="2:5" ht="14.5">
      <c r="B477" s="92"/>
      <c r="C477" s="23" t="s">
        <v>194</v>
      </c>
      <c r="D477" s="76">
        <v>19</v>
      </c>
      <c r="E477" s="21">
        <v>4.0948275862070001E-3</v>
      </c>
    </row>
    <row r="478" spans="2:5" ht="14.5">
      <c r="B478" s="92"/>
      <c r="C478" s="23" t="s">
        <v>196</v>
      </c>
      <c r="D478" s="76">
        <v>1</v>
      </c>
      <c r="E478" s="21">
        <v>2.1551724137899999E-4</v>
      </c>
    </row>
    <row r="479" spans="2:5" ht="14.5">
      <c r="B479" s="92"/>
      <c r="C479" s="23" t="s">
        <v>197</v>
      </c>
      <c r="D479" s="76">
        <v>2</v>
      </c>
      <c r="E479" s="21">
        <v>4.3103448275899999E-4</v>
      </c>
    </row>
    <row r="480" spans="2:5" ht="14.5">
      <c r="B480" s="92"/>
      <c r="C480" s="23" t="s">
        <v>198</v>
      </c>
      <c r="D480" s="76">
        <v>1</v>
      </c>
      <c r="E480" s="21">
        <v>2.1551724137899999E-4</v>
      </c>
    </row>
    <row r="481" spans="2:5" ht="14.5">
      <c r="B481" s="92"/>
      <c r="C481" s="23" t="s">
        <v>199</v>
      </c>
      <c r="D481" s="76">
        <v>1</v>
      </c>
      <c r="E481" s="21">
        <v>2.1551724137899999E-4</v>
      </c>
    </row>
    <row r="482" spans="2:5" ht="14.5">
      <c r="B482" s="92"/>
      <c r="C482" s="23" t="s">
        <v>200</v>
      </c>
      <c r="D482" s="76">
        <v>1</v>
      </c>
      <c r="E482" s="21">
        <v>2.1551724137899999E-4</v>
      </c>
    </row>
    <row r="483" spans="2:5" ht="14.5">
      <c r="B483" s="92"/>
      <c r="C483" s="23" t="s">
        <v>201</v>
      </c>
      <c r="D483" s="76">
        <v>5</v>
      </c>
      <c r="E483" s="21">
        <v>1.0775862068969999E-3</v>
      </c>
    </row>
    <row r="484" spans="2:5" ht="14.5">
      <c r="B484" s="92"/>
      <c r="C484" s="77" t="s">
        <v>29</v>
      </c>
      <c r="D484" s="78">
        <v>46</v>
      </c>
      <c r="E484" s="79">
        <v>9.9137931034480008E-3</v>
      </c>
    </row>
    <row r="485" spans="2:5" ht="14.5">
      <c r="B485" s="92" t="s">
        <v>140</v>
      </c>
      <c r="C485" s="23" t="s">
        <v>187</v>
      </c>
      <c r="D485" s="76">
        <v>1</v>
      </c>
      <c r="E485" s="21">
        <v>2.1551724137899999E-4</v>
      </c>
    </row>
    <row r="486" spans="2:5" ht="14.5">
      <c r="B486" s="92"/>
      <c r="C486" s="77" t="s">
        <v>29</v>
      </c>
      <c r="D486" s="78">
        <v>1</v>
      </c>
      <c r="E486" s="79">
        <v>2.1551724137899999E-4</v>
      </c>
    </row>
    <row r="487" spans="2:5" ht="14.5">
      <c r="B487" s="93" t="s">
        <v>29</v>
      </c>
      <c r="C487" s="93"/>
      <c r="D487" s="80">
        <v>4640</v>
      </c>
      <c r="E487" s="81">
        <v>1</v>
      </c>
    </row>
    <row r="489" spans="2:5" ht="15" customHeight="1">
      <c r="B489" s="15" t="s">
        <v>46</v>
      </c>
    </row>
    <row r="490" spans="2:5" ht="15" customHeight="1">
      <c r="B490" s="17" t="s">
        <v>18</v>
      </c>
    </row>
    <row r="491" spans="2:5" ht="15" customHeight="1">
      <c r="B491" s="16" t="s">
        <v>47</v>
      </c>
    </row>
    <row r="492" spans="2:5" ht="15" customHeight="1">
      <c r="B492" s="15" t="s">
        <v>17</v>
      </c>
    </row>
    <row r="493" spans="2:5" ht="15" customHeight="1">
      <c r="B493" s="15" t="s">
        <v>48</v>
      </c>
    </row>
  </sheetData>
  <mergeCells count="48">
    <mergeCell ref="B367:B376"/>
    <mergeCell ref="B377:B381"/>
    <mergeCell ref="B382:B396"/>
    <mergeCell ref="B315:B332"/>
    <mergeCell ref="B333:B335"/>
    <mergeCell ref="B336:B344"/>
    <mergeCell ref="B345:B357"/>
    <mergeCell ref="B358:B366"/>
    <mergeCell ref="B268:B275"/>
    <mergeCell ref="B276:B285"/>
    <mergeCell ref="B286:B295"/>
    <mergeCell ref="B296:B301"/>
    <mergeCell ref="B302:B314"/>
    <mergeCell ref="B221:B225"/>
    <mergeCell ref="B226:B234"/>
    <mergeCell ref="B235:B245"/>
    <mergeCell ref="B246:B256"/>
    <mergeCell ref="B257:B267"/>
    <mergeCell ref="B182:B189"/>
    <mergeCell ref="B190:B199"/>
    <mergeCell ref="B200:B212"/>
    <mergeCell ref="B213:B214"/>
    <mergeCell ref="B215:B220"/>
    <mergeCell ref="B7:E8"/>
    <mergeCell ref="B134:B142"/>
    <mergeCell ref="B143:B157"/>
    <mergeCell ref="B158:B174"/>
    <mergeCell ref="B175:B181"/>
    <mergeCell ref="B10:B25"/>
    <mergeCell ref="B26:B40"/>
    <mergeCell ref="B41:B54"/>
    <mergeCell ref="B55:B72"/>
    <mergeCell ref="B73:B85"/>
    <mergeCell ref="B86:B90"/>
    <mergeCell ref="B91:B95"/>
    <mergeCell ref="B96:B114"/>
    <mergeCell ref="B115:B131"/>
    <mergeCell ref="B132:B133"/>
    <mergeCell ref="B397:B409"/>
    <mergeCell ref="B410:B429"/>
    <mergeCell ref="B430:B435"/>
    <mergeCell ref="B436:B441"/>
    <mergeCell ref="B442:B455"/>
    <mergeCell ref="B456:B467"/>
    <mergeCell ref="B468:B470"/>
    <mergeCell ref="B471:B484"/>
    <mergeCell ref="B485:B486"/>
    <mergeCell ref="B487:C48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E572"/>
  <sheetViews>
    <sheetView showGridLines="0" view="pageBreakPreview" topLeftCell="A550" zoomScale="85" zoomScaleNormal="100" zoomScaleSheetLayoutView="85" workbookViewId="0"/>
  </sheetViews>
  <sheetFormatPr baseColWidth="10" defaultColWidth="35" defaultRowHeight="15" customHeight="1"/>
  <cols>
    <col min="1" max="1" width="1" style="32" customWidth="1"/>
    <col min="2" max="2" width="22.81640625" style="33" customWidth="1"/>
    <col min="3" max="3" width="31.453125" style="33" customWidth="1"/>
    <col min="4" max="4" width="14.26953125" style="33" customWidth="1"/>
    <col min="5" max="5" width="16.81640625" style="33" customWidth="1"/>
    <col min="6" max="16384" width="35" style="32"/>
  </cols>
  <sheetData>
    <row r="1" spans="1:5" s="41" customFormat="1" ht="12" customHeight="1">
      <c r="B1" s="43"/>
      <c r="C1" s="37"/>
      <c r="D1" s="37"/>
      <c r="E1" s="37"/>
    </row>
    <row r="2" spans="1:5" s="41" customFormat="1" ht="15" customHeight="1">
      <c r="C2" s="45"/>
    </row>
    <row r="3" spans="1:5" s="41" customFormat="1" ht="15" customHeight="1">
      <c r="C3" s="45"/>
    </row>
    <row r="4" spans="1:5" s="41" customFormat="1" ht="30" customHeight="1">
      <c r="C4" s="45"/>
      <c r="D4" s="44"/>
    </row>
    <row r="5" spans="1:5" s="41" customFormat="1" ht="15" customHeight="1">
      <c r="C5" s="45"/>
      <c r="D5" s="44"/>
    </row>
    <row r="6" spans="1:5" s="41" customFormat="1" ht="24" customHeight="1">
      <c r="B6" s="43"/>
      <c r="C6" s="37"/>
      <c r="D6" s="37"/>
      <c r="E6" s="37"/>
    </row>
    <row r="7" spans="1:5" s="41" customFormat="1" ht="26.25" customHeight="1">
      <c r="A7" s="42"/>
      <c r="B7" s="94"/>
      <c r="C7" s="94"/>
      <c r="D7" s="94"/>
      <c r="E7" s="94"/>
    </row>
    <row r="8" spans="1:5" s="41" customFormat="1" ht="33" customHeight="1">
      <c r="A8" s="42"/>
      <c r="B8" s="94"/>
      <c r="C8" s="94"/>
      <c r="D8" s="94"/>
      <c r="E8" s="94"/>
    </row>
    <row r="9" spans="1:5" s="25" customFormat="1" ht="40.5" customHeight="1">
      <c r="B9" s="38" t="s">
        <v>22</v>
      </c>
      <c r="C9" s="40" t="s">
        <v>24</v>
      </c>
      <c r="D9" s="39" t="s">
        <v>20</v>
      </c>
      <c r="E9" s="38" t="s">
        <v>19</v>
      </c>
    </row>
    <row r="10" spans="1:5" ht="15" customHeight="1">
      <c r="B10" s="95" t="s">
        <v>89</v>
      </c>
      <c r="C10" s="67" t="s">
        <v>189</v>
      </c>
      <c r="D10" s="68">
        <v>1</v>
      </c>
      <c r="E10" s="69">
        <v>2.1551724137899999E-4</v>
      </c>
    </row>
    <row r="11" spans="1:5" ht="15" customHeight="1">
      <c r="B11" s="96"/>
      <c r="C11" s="67" t="s">
        <v>192</v>
      </c>
      <c r="D11" s="68">
        <v>3</v>
      </c>
      <c r="E11" s="69">
        <v>6.4655172413799998E-4</v>
      </c>
    </row>
    <row r="12" spans="1:5" ht="15" customHeight="1">
      <c r="B12" s="96"/>
      <c r="C12" s="67" t="s">
        <v>193</v>
      </c>
      <c r="D12" s="68">
        <v>1</v>
      </c>
      <c r="E12" s="69">
        <v>2.1551724137899999E-4</v>
      </c>
    </row>
    <row r="13" spans="1:5" ht="15" customHeight="1">
      <c r="B13" s="96"/>
      <c r="C13" s="67" t="s">
        <v>194</v>
      </c>
      <c r="D13" s="68">
        <v>7</v>
      </c>
      <c r="E13" s="69">
        <v>1.508620689655E-3</v>
      </c>
    </row>
    <row r="14" spans="1:5" ht="15" customHeight="1">
      <c r="B14" s="96"/>
      <c r="C14" s="67" t="s">
        <v>197</v>
      </c>
      <c r="D14" s="68">
        <v>1</v>
      </c>
      <c r="E14" s="69">
        <v>2.1551724137899999E-4</v>
      </c>
    </row>
    <row r="15" spans="1:5" ht="15" customHeight="1">
      <c r="B15" s="96"/>
      <c r="C15" s="67" t="s">
        <v>204</v>
      </c>
      <c r="D15" s="68">
        <v>1</v>
      </c>
      <c r="E15" s="69">
        <v>2.1551724137899999E-4</v>
      </c>
    </row>
    <row r="16" spans="1:5" ht="15" customHeight="1">
      <c r="B16" s="96"/>
      <c r="C16" s="67" t="s">
        <v>200</v>
      </c>
      <c r="D16" s="68">
        <v>1</v>
      </c>
      <c r="E16" s="69">
        <v>2.1551724137899999E-4</v>
      </c>
    </row>
    <row r="17" spans="2:5" ht="15" customHeight="1">
      <c r="B17" s="97"/>
      <c r="C17" s="36" t="s">
        <v>29</v>
      </c>
      <c r="D17" s="35">
        <v>15</v>
      </c>
      <c r="E17" s="34">
        <v>3.2327586206899999E-3</v>
      </c>
    </row>
    <row r="18" spans="2:5" ht="15" customHeight="1">
      <c r="B18" s="95" t="s">
        <v>52</v>
      </c>
      <c r="C18" s="67" t="s">
        <v>187</v>
      </c>
      <c r="D18" s="68">
        <v>25</v>
      </c>
      <c r="E18" s="69">
        <v>5.3879310344830001E-3</v>
      </c>
    </row>
    <row r="19" spans="2:5" ht="15" customHeight="1">
      <c r="B19" s="96"/>
      <c r="C19" s="67" t="s">
        <v>188</v>
      </c>
      <c r="D19" s="68">
        <v>1</v>
      </c>
      <c r="E19" s="69">
        <v>2.1551724137899999E-4</v>
      </c>
    </row>
    <row r="20" spans="2:5" ht="15" customHeight="1">
      <c r="B20" s="96"/>
      <c r="C20" s="67" t="s">
        <v>189</v>
      </c>
      <c r="D20" s="68">
        <v>20</v>
      </c>
      <c r="E20" s="69">
        <v>4.3103448275860004E-3</v>
      </c>
    </row>
    <row r="21" spans="2:5" ht="15" customHeight="1">
      <c r="B21" s="96"/>
      <c r="C21" s="67" t="s">
        <v>190</v>
      </c>
      <c r="D21" s="68">
        <v>14</v>
      </c>
      <c r="E21" s="69">
        <v>3.01724137931E-3</v>
      </c>
    </row>
    <row r="22" spans="2:5" ht="15" customHeight="1">
      <c r="B22" s="96"/>
      <c r="C22" s="67" t="s">
        <v>191</v>
      </c>
      <c r="D22" s="68">
        <v>9</v>
      </c>
      <c r="E22" s="69">
        <v>1.9396551724139999E-3</v>
      </c>
    </row>
    <row r="23" spans="2:5" ht="15" customHeight="1">
      <c r="B23" s="96"/>
      <c r="C23" s="67" t="s">
        <v>192</v>
      </c>
      <c r="D23" s="68">
        <v>62</v>
      </c>
      <c r="E23" s="69">
        <v>1.3362068965516999E-2</v>
      </c>
    </row>
    <row r="24" spans="2:5" ht="15" customHeight="1">
      <c r="B24" s="96"/>
      <c r="C24" s="67" t="s">
        <v>193</v>
      </c>
      <c r="D24" s="68">
        <v>2</v>
      </c>
      <c r="E24" s="69">
        <v>4.3103448275899999E-4</v>
      </c>
    </row>
    <row r="25" spans="2:5" ht="15" customHeight="1">
      <c r="B25" s="96"/>
      <c r="C25" s="67" t="s">
        <v>194</v>
      </c>
      <c r="D25" s="68">
        <v>80</v>
      </c>
      <c r="E25" s="69">
        <v>1.7241379310345001E-2</v>
      </c>
    </row>
    <row r="26" spans="2:5" ht="15" customHeight="1">
      <c r="B26" s="96"/>
      <c r="C26" s="67" t="s">
        <v>195</v>
      </c>
      <c r="D26" s="68">
        <v>6</v>
      </c>
      <c r="E26" s="69">
        <v>1.293103448276E-3</v>
      </c>
    </row>
    <row r="27" spans="2:5" ht="15" customHeight="1">
      <c r="B27" s="96"/>
      <c r="C27" s="67" t="s">
        <v>196</v>
      </c>
      <c r="D27" s="68">
        <v>9</v>
      </c>
      <c r="E27" s="69">
        <v>1.9396551724139999E-3</v>
      </c>
    </row>
    <row r="28" spans="2:5" ht="15" customHeight="1">
      <c r="B28" s="96"/>
      <c r="C28" s="67" t="s">
        <v>202</v>
      </c>
      <c r="D28" s="68">
        <v>2</v>
      </c>
      <c r="E28" s="69">
        <v>4.3103448275899999E-4</v>
      </c>
    </row>
    <row r="29" spans="2:5" ht="15" customHeight="1">
      <c r="B29" s="96"/>
      <c r="C29" s="67" t="s">
        <v>197</v>
      </c>
      <c r="D29" s="68">
        <v>13</v>
      </c>
      <c r="E29" s="69">
        <v>2.8017241379310002E-3</v>
      </c>
    </row>
    <row r="30" spans="2:5" ht="15" customHeight="1">
      <c r="B30" s="96"/>
      <c r="C30" s="67" t="s">
        <v>204</v>
      </c>
      <c r="D30" s="68">
        <v>1</v>
      </c>
      <c r="E30" s="69">
        <v>2.1551724137899999E-4</v>
      </c>
    </row>
    <row r="31" spans="2:5" ht="15" customHeight="1">
      <c r="B31" s="96"/>
      <c r="C31" s="67" t="s">
        <v>203</v>
      </c>
      <c r="D31" s="68">
        <v>1</v>
      </c>
      <c r="E31" s="69">
        <v>2.1551724137899999E-4</v>
      </c>
    </row>
    <row r="32" spans="2:5" ht="15" customHeight="1">
      <c r="B32" s="96"/>
      <c r="C32" s="67" t="s">
        <v>198</v>
      </c>
      <c r="D32" s="68">
        <v>4</v>
      </c>
      <c r="E32" s="69">
        <v>8.6206896551700002E-4</v>
      </c>
    </row>
    <row r="33" spans="2:5" ht="15" customHeight="1">
      <c r="B33" s="96"/>
      <c r="C33" s="67" t="s">
        <v>199</v>
      </c>
      <c r="D33" s="68">
        <v>5</v>
      </c>
      <c r="E33" s="69">
        <v>1.0775862068969999E-3</v>
      </c>
    </row>
    <row r="34" spans="2:5" ht="15" customHeight="1">
      <c r="B34" s="96"/>
      <c r="C34" s="67" t="s">
        <v>200</v>
      </c>
      <c r="D34" s="68">
        <v>1</v>
      </c>
      <c r="E34" s="69">
        <v>2.1551724137899999E-4</v>
      </c>
    </row>
    <row r="35" spans="2:5" ht="15" customHeight="1">
      <c r="B35" s="96"/>
      <c r="C35" s="67" t="s">
        <v>201</v>
      </c>
      <c r="D35" s="68">
        <v>19</v>
      </c>
      <c r="E35" s="69">
        <v>4.0948275862070001E-3</v>
      </c>
    </row>
    <row r="36" spans="2:5" ht="15" customHeight="1">
      <c r="B36" s="97"/>
      <c r="C36" s="36" t="s">
        <v>29</v>
      </c>
      <c r="D36" s="35">
        <v>274</v>
      </c>
      <c r="E36" s="34">
        <v>5.9051724137931E-2</v>
      </c>
    </row>
    <row r="37" spans="2:5" ht="15" customHeight="1">
      <c r="B37" s="95" t="s">
        <v>54</v>
      </c>
      <c r="C37" s="67" t="s">
        <v>187</v>
      </c>
      <c r="D37" s="68">
        <v>4</v>
      </c>
      <c r="E37" s="69">
        <v>8.6206896551700002E-4</v>
      </c>
    </row>
    <row r="38" spans="2:5" ht="15" customHeight="1">
      <c r="B38" s="96"/>
      <c r="C38" s="67" t="s">
        <v>188</v>
      </c>
      <c r="D38" s="68">
        <v>1</v>
      </c>
      <c r="E38" s="69">
        <v>2.1551724137899999E-4</v>
      </c>
    </row>
    <row r="39" spans="2:5" ht="15" customHeight="1">
      <c r="B39" s="96"/>
      <c r="C39" s="67" t="s">
        <v>189</v>
      </c>
      <c r="D39" s="68">
        <v>18</v>
      </c>
      <c r="E39" s="69">
        <v>3.8793103448279999E-3</v>
      </c>
    </row>
    <row r="40" spans="2:5" ht="15" customHeight="1">
      <c r="B40" s="96"/>
      <c r="C40" s="67" t="s">
        <v>190</v>
      </c>
      <c r="D40" s="68">
        <v>10</v>
      </c>
      <c r="E40" s="69">
        <v>2.1551724137930002E-3</v>
      </c>
    </row>
    <row r="41" spans="2:5" ht="15" customHeight="1">
      <c r="B41" s="96"/>
      <c r="C41" s="67" t="s">
        <v>191</v>
      </c>
      <c r="D41" s="68">
        <v>5</v>
      </c>
      <c r="E41" s="69">
        <v>1.0775862068969999E-3</v>
      </c>
    </row>
    <row r="42" spans="2:5" ht="15" customHeight="1">
      <c r="B42" s="96"/>
      <c r="C42" s="67" t="s">
        <v>192</v>
      </c>
      <c r="D42" s="68">
        <v>71</v>
      </c>
      <c r="E42" s="69">
        <v>1.5301724137930999E-2</v>
      </c>
    </row>
    <row r="43" spans="2:5" ht="15" customHeight="1">
      <c r="B43" s="96"/>
      <c r="C43" s="67" t="s">
        <v>194</v>
      </c>
      <c r="D43" s="68">
        <v>94</v>
      </c>
      <c r="E43" s="69">
        <v>2.0258620689655001E-2</v>
      </c>
    </row>
    <row r="44" spans="2:5" ht="15" customHeight="1">
      <c r="B44" s="96"/>
      <c r="C44" s="67" t="s">
        <v>196</v>
      </c>
      <c r="D44" s="68">
        <v>1</v>
      </c>
      <c r="E44" s="69">
        <v>2.1551724137899999E-4</v>
      </c>
    </row>
    <row r="45" spans="2:5" ht="15" customHeight="1">
      <c r="B45" s="96"/>
      <c r="C45" s="67" t="s">
        <v>202</v>
      </c>
      <c r="D45" s="68">
        <v>2</v>
      </c>
      <c r="E45" s="69">
        <v>4.3103448275899999E-4</v>
      </c>
    </row>
    <row r="46" spans="2:5" ht="15" customHeight="1">
      <c r="B46" s="96"/>
      <c r="C46" s="67" t="s">
        <v>197</v>
      </c>
      <c r="D46" s="68">
        <v>12</v>
      </c>
      <c r="E46" s="69">
        <v>2.5862068965519999E-3</v>
      </c>
    </row>
    <row r="47" spans="2:5" ht="15" customHeight="1">
      <c r="B47" s="96"/>
      <c r="C47" s="67" t="s">
        <v>204</v>
      </c>
      <c r="D47" s="68">
        <v>2</v>
      </c>
      <c r="E47" s="69">
        <v>4.3103448275899999E-4</v>
      </c>
    </row>
    <row r="48" spans="2:5" ht="15" customHeight="1">
      <c r="B48" s="96"/>
      <c r="C48" s="67" t="s">
        <v>199</v>
      </c>
      <c r="D48" s="68">
        <v>1</v>
      </c>
      <c r="E48" s="69">
        <v>2.1551724137899999E-4</v>
      </c>
    </row>
    <row r="49" spans="2:5" ht="15" customHeight="1">
      <c r="B49" s="96"/>
      <c r="C49" s="67" t="s">
        <v>200</v>
      </c>
      <c r="D49" s="68">
        <v>1</v>
      </c>
      <c r="E49" s="69">
        <v>2.1551724137899999E-4</v>
      </c>
    </row>
    <row r="50" spans="2:5" ht="15" customHeight="1">
      <c r="B50" s="96"/>
      <c r="C50" s="67" t="s">
        <v>201</v>
      </c>
      <c r="D50" s="68">
        <v>7</v>
      </c>
      <c r="E50" s="69">
        <v>1.508620689655E-3</v>
      </c>
    </row>
    <row r="51" spans="2:5" ht="15" customHeight="1">
      <c r="B51" s="97"/>
      <c r="C51" s="36" t="s">
        <v>29</v>
      </c>
      <c r="D51" s="35">
        <v>229</v>
      </c>
      <c r="E51" s="34">
        <v>4.9353448275862001E-2</v>
      </c>
    </row>
    <row r="52" spans="2:5" ht="15" customHeight="1">
      <c r="B52" s="95" t="s">
        <v>85</v>
      </c>
      <c r="C52" s="67" t="s">
        <v>187</v>
      </c>
      <c r="D52" s="68">
        <v>2</v>
      </c>
      <c r="E52" s="69">
        <v>4.3103448275899999E-4</v>
      </c>
    </row>
    <row r="53" spans="2:5" ht="15" customHeight="1">
      <c r="B53" s="96"/>
      <c r="C53" s="67" t="s">
        <v>189</v>
      </c>
      <c r="D53" s="68">
        <v>1</v>
      </c>
      <c r="E53" s="69">
        <v>2.1551724137899999E-4</v>
      </c>
    </row>
    <row r="54" spans="2:5" ht="15" customHeight="1">
      <c r="B54" s="96"/>
      <c r="C54" s="67" t="s">
        <v>190</v>
      </c>
      <c r="D54" s="68">
        <v>2</v>
      </c>
      <c r="E54" s="69">
        <v>4.3103448275899999E-4</v>
      </c>
    </row>
    <row r="55" spans="2:5" ht="15" customHeight="1">
      <c r="B55" s="96"/>
      <c r="C55" s="67" t="s">
        <v>192</v>
      </c>
      <c r="D55" s="68">
        <v>4</v>
      </c>
      <c r="E55" s="69">
        <v>8.6206896551700002E-4</v>
      </c>
    </row>
    <row r="56" spans="2:5" ht="15" customHeight="1">
      <c r="B56" s="96"/>
      <c r="C56" s="67" t="s">
        <v>193</v>
      </c>
      <c r="D56" s="68">
        <v>1</v>
      </c>
      <c r="E56" s="69">
        <v>2.1551724137899999E-4</v>
      </c>
    </row>
    <row r="57" spans="2:5" ht="15" customHeight="1">
      <c r="B57" s="96"/>
      <c r="C57" s="67" t="s">
        <v>194</v>
      </c>
      <c r="D57" s="68">
        <v>3</v>
      </c>
      <c r="E57" s="69">
        <v>6.4655172413799998E-4</v>
      </c>
    </row>
    <row r="58" spans="2:5" ht="15" customHeight="1">
      <c r="B58" s="96"/>
      <c r="C58" s="67" t="s">
        <v>197</v>
      </c>
      <c r="D58" s="68">
        <v>6</v>
      </c>
      <c r="E58" s="69">
        <v>1.293103448276E-3</v>
      </c>
    </row>
    <row r="59" spans="2:5" ht="15" customHeight="1">
      <c r="B59" s="96"/>
      <c r="C59" s="67" t="s">
        <v>200</v>
      </c>
      <c r="D59" s="68">
        <v>1</v>
      </c>
      <c r="E59" s="69">
        <v>2.1551724137899999E-4</v>
      </c>
    </row>
    <row r="60" spans="2:5" ht="15" customHeight="1">
      <c r="B60" s="96"/>
      <c r="C60" s="67" t="s">
        <v>201</v>
      </c>
      <c r="D60" s="68">
        <v>3</v>
      </c>
      <c r="E60" s="69">
        <v>6.4655172413799998E-4</v>
      </c>
    </row>
    <row r="61" spans="2:5" ht="15" customHeight="1">
      <c r="B61" s="97"/>
      <c r="C61" s="36" t="s">
        <v>29</v>
      </c>
      <c r="D61" s="35">
        <v>23</v>
      </c>
      <c r="E61" s="34">
        <v>4.9568965517240004E-3</v>
      </c>
    </row>
    <row r="62" spans="2:5" ht="15" customHeight="1">
      <c r="B62" s="95" t="s">
        <v>71</v>
      </c>
      <c r="C62" s="67" t="s">
        <v>187</v>
      </c>
      <c r="D62" s="68">
        <v>4</v>
      </c>
      <c r="E62" s="69">
        <v>8.6206896551700002E-4</v>
      </c>
    </row>
    <row r="63" spans="2:5" ht="15" customHeight="1">
      <c r="B63" s="96"/>
      <c r="C63" s="67" t="s">
        <v>189</v>
      </c>
      <c r="D63" s="68">
        <v>6</v>
      </c>
      <c r="E63" s="69">
        <v>1.293103448276E-3</v>
      </c>
    </row>
    <row r="64" spans="2:5" ht="15" customHeight="1">
      <c r="B64" s="96"/>
      <c r="C64" s="67" t="s">
        <v>190</v>
      </c>
      <c r="D64" s="68">
        <v>4</v>
      </c>
      <c r="E64" s="69">
        <v>8.6206896551700002E-4</v>
      </c>
    </row>
    <row r="65" spans="2:5" ht="15" customHeight="1">
      <c r="B65" s="96"/>
      <c r="C65" s="67" t="s">
        <v>191</v>
      </c>
      <c r="D65" s="68">
        <v>1</v>
      </c>
      <c r="E65" s="69">
        <v>2.1551724137899999E-4</v>
      </c>
    </row>
    <row r="66" spans="2:5" ht="15" customHeight="1">
      <c r="B66" s="96"/>
      <c r="C66" s="67" t="s">
        <v>192</v>
      </c>
      <c r="D66" s="68">
        <v>25</v>
      </c>
      <c r="E66" s="69">
        <v>5.3879310344830001E-3</v>
      </c>
    </row>
    <row r="67" spans="2:5" ht="15" customHeight="1">
      <c r="B67" s="96"/>
      <c r="C67" s="67" t="s">
        <v>194</v>
      </c>
      <c r="D67" s="68">
        <v>9</v>
      </c>
      <c r="E67" s="69">
        <v>1.9396551724139999E-3</v>
      </c>
    </row>
    <row r="68" spans="2:5" ht="15" customHeight="1">
      <c r="B68" s="96"/>
      <c r="C68" s="67" t="s">
        <v>196</v>
      </c>
      <c r="D68" s="68">
        <v>2</v>
      </c>
      <c r="E68" s="69">
        <v>4.3103448275899999E-4</v>
      </c>
    </row>
    <row r="69" spans="2:5" ht="15" customHeight="1">
      <c r="B69" s="96"/>
      <c r="C69" s="67" t="s">
        <v>201</v>
      </c>
      <c r="D69" s="68">
        <v>4</v>
      </c>
      <c r="E69" s="69">
        <v>8.6206896551700002E-4</v>
      </c>
    </row>
    <row r="70" spans="2:5" ht="15" customHeight="1">
      <c r="B70" s="97"/>
      <c r="C70" s="36" t="s">
        <v>29</v>
      </c>
      <c r="D70" s="35">
        <v>55</v>
      </c>
      <c r="E70" s="34">
        <v>1.1853448275862001E-2</v>
      </c>
    </row>
    <row r="71" spans="2:5" ht="15" customHeight="1">
      <c r="B71" s="95" t="s">
        <v>77</v>
      </c>
      <c r="C71" s="67" t="s">
        <v>187</v>
      </c>
      <c r="D71" s="68">
        <v>1</v>
      </c>
      <c r="E71" s="69">
        <v>2.1551724137899999E-4</v>
      </c>
    </row>
    <row r="72" spans="2:5" ht="15" customHeight="1">
      <c r="B72" s="96"/>
      <c r="C72" s="67" t="s">
        <v>189</v>
      </c>
      <c r="D72" s="68">
        <v>7</v>
      </c>
      <c r="E72" s="69">
        <v>1.508620689655E-3</v>
      </c>
    </row>
    <row r="73" spans="2:5" ht="15" customHeight="1">
      <c r="B73" s="96"/>
      <c r="C73" s="67" t="s">
        <v>190</v>
      </c>
      <c r="D73" s="68">
        <v>5</v>
      </c>
      <c r="E73" s="69">
        <v>1.0775862068969999E-3</v>
      </c>
    </row>
    <row r="74" spans="2:5" ht="15" customHeight="1">
      <c r="B74" s="96"/>
      <c r="C74" s="67" t="s">
        <v>191</v>
      </c>
      <c r="D74" s="68">
        <v>3</v>
      </c>
      <c r="E74" s="69">
        <v>6.4655172413799998E-4</v>
      </c>
    </row>
    <row r="75" spans="2:5" ht="15" customHeight="1">
      <c r="B75" s="96"/>
      <c r="C75" s="67" t="s">
        <v>192</v>
      </c>
      <c r="D75" s="68">
        <v>9</v>
      </c>
      <c r="E75" s="69">
        <v>1.9396551724139999E-3</v>
      </c>
    </row>
    <row r="76" spans="2:5" ht="15" customHeight="1">
      <c r="B76" s="96"/>
      <c r="C76" s="67" t="s">
        <v>194</v>
      </c>
      <c r="D76" s="68">
        <v>6</v>
      </c>
      <c r="E76" s="69">
        <v>1.293103448276E-3</v>
      </c>
    </row>
    <row r="77" spans="2:5" ht="15" customHeight="1">
      <c r="B77" s="96"/>
      <c r="C77" s="67" t="s">
        <v>195</v>
      </c>
      <c r="D77" s="68">
        <v>1</v>
      </c>
      <c r="E77" s="69">
        <v>2.1551724137899999E-4</v>
      </c>
    </row>
    <row r="78" spans="2:5" ht="15" customHeight="1">
      <c r="B78" s="96"/>
      <c r="C78" s="67" t="s">
        <v>202</v>
      </c>
      <c r="D78" s="68">
        <v>2</v>
      </c>
      <c r="E78" s="69">
        <v>4.3103448275899999E-4</v>
      </c>
    </row>
    <row r="79" spans="2:5" ht="15" customHeight="1">
      <c r="B79" s="96"/>
      <c r="C79" s="67" t="s">
        <v>200</v>
      </c>
      <c r="D79" s="68">
        <v>1</v>
      </c>
      <c r="E79" s="69">
        <v>2.1551724137899999E-4</v>
      </c>
    </row>
    <row r="80" spans="2:5" ht="15" customHeight="1">
      <c r="B80" s="96"/>
      <c r="C80" s="67" t="s">
        <v>201</v>
      </c>
      <c r="D80" s="68">
        <v>2</v>
      </c>
      <c r="E80" s="69">
        <v>4.3103448275899999E-4</v>
      </c>
    </row>
    <row r="81" spans="2:5" ht="15" customHeight="1">
      <c r="B81" s="97"/>
      <c r="C81" s="36" t="s">
        <v>29</v>
      </c>
      <c r="D81" s="35">
        <v>37</v>
      </c>
      <c r="E81" s="34">
        <v>7.9741379310340008E-3</v>
      </c>
    </row>
    <row r="82" spans="2:5" ht="15" customHeight="1">
      <c r="B82" s="95" t="s">
        <v>55</v>
      </c>
      <c r="C82" s="67" t="s">
        <v>187</v>
      </c>
      <c r="D82" s="68">
        <v>16</v>
      </c>
      <c r="E82" s="69">
        <v>3.4482758620690002E-3</v>
      </c>
    </row>
    <row r="83" spans="2:5" ht="15" customHeight="1">
      <c r="B83" s="96"/>
      <c r="C83" s="67" t="s">
        <v>189</v>
      </c>
      <c r="D83" s="68">
        <v>24</v>
      </c>
      <c r="E83" s="69">
        <v>5.1724137931029998E-3</v>
      </c>
    </row>
    <row r="84" spans="2:5" ht="15" customHeight="1">
      <c r="B84" s="96"/>
      <c r="C84" s="67" t="s">
        <v>190</v>
      </c>
      <c r="D84" s="68">
        <v>16</v>
      </c>
      <c r="E84" s="69">
        <v>3.4482758620690002E-3</v>
      </c>
    </row>
    <row r="85" spans="2:5" ht="15" customHeight="1">
      <c r="B85" s="96"/>
      <c r="C85" s="67" t="s">
        <v>191</v>
      </c>
      <c r="D85" s="68">
        <v>8</v>
      </c>
      <c r="E85" s="69">
        <v>1.724137931034E-3</v>
      </c>
    </row>
    <row r="86" spans="2:5" ht="15" customHeight="1">
      <c r="B86" s="96"/>
      <c r="C86" s="67" t="s">
        <v>192</v>
      </c>
      <c r="D86" s="68">
        <v>61</v>
      </c>
      <c r="E86" s="69">
        <v>1.3146551724138001E-2</v>
      </c>
    </row>
    <row r="87" spans="2:5" ht="15" customHeight="1">
      <c r="B87" s="96"/>
      <c r="C87" s="67" t="s">
        <v>193</v>
      </c>
      <c r="D87" s="68">
        <v>1</v>
      </c>
      <c r="E87" s="69">
        <v>2.1551724137899999E-4</v>
      </c>
    </row>
    <row r="88" spans="2:5" ht="15" customHeight="1">
      <c r="B88" s="96"/>
      <c r="C88" s="67" t="s">
        <v>194</v>
      </c>
      <c r="D88" s="68">
        <v>54</v>
      </c>
      <c r="E88" s="69">
        <v>1.1637931034483E-2</v>
      </c>
    </row>
    <row r="89" spans="2:5" ht="15" customHeight="1">
      <c r="B89" s="96"/>
      <c r="C89" s="67" t="s">
        <v>195</v>
      </c>
      <c r="D89" s="68">
        <v>3</v>
      </c>
      <c r="E89" s="69">
        <v>6.4655172413799998E-4</v>
      </c>
    </row>
    <row r="90" spans="2:5" ht="15" customHeight="1">
      <c r="B90" s="96"/>
      <c r="C90" s="67" t="s">
        <v>196</v>
      </c>
      <c r="D90" s="68">
        <v>4</v>
      </c>
      <c r="E90" s="69">
        <v>8.6206896551700002E-4</v>
      </c>
    </row>
    <row r="91" spans="2:5" ht="15" customHeight="1">
      <c r="B91" s="96"/>
      <c r="C91" s="67" t="s">
        <v>197</v>
      </c>
      <c r="D91" s="68">
        <v>7</v>
      </c>
      <c r="E91" s="69">
        <v>1.508620689655E-3</v>
      </c>
    </row>
    <row r="92" spans="2:5" ht="15" customHeight="1">
      <c r="B92" s="96"/>
      <c r="C92" s="67" t="s">
        <v>204</v>
      </c>
      <c r="D92" s="68">
        <v>1</v>
      </c>
      <c r="E92" s="69">
        <v>2.1551724137899999E-4</v>
      </c>
    </row>
    <row r="93" spans="2:5" ht="15" customHeight="1">
      <c r="B93" s="96"/>
      <c r="C93" s="67" t="s">
        <v>198</v>
      </c>
      <c r="D93" s="68">
        <v>5</v>
      </c>
      <c r="E93" s="69">
        <v>1.0775862068969999E-3</v>
      </c>
    </row>
    <row r="94" spans="2:5" ht="15" customHeight="1">
      <c r="B94" s="96"/>
      <c r="C94" s="67" t="s">
        <v>199</v>
      </c>
      <c r="D94" s="68">
        <v>2</v>
      </c>
      <c r="E94" s="69">
        <v>4.3103448275899999E-4</v>
      </c>
    </row>
    <row r="95" spans="2:5" ht="15" customHeight="1">
      <c r="B95" s="96"/>
      <c r="C95" s="67" t="s">
        <v>200</v>
      </c>
      <c r="D95" s="68">
        <v>6</v>
      </c>
      <c r="E95" s="69">
        <v>1.293103448276E-3</v>
      </c>
    </row>
    <row r="96" spans="2:5" ht="15" customHeight="1">
      <c r="B96" s="96"/>
      <c r="C96" s="67" t="s">
        <v>201</v>
      </c>
      <c r="D96" s="68">
        <v>5</v>
      </c>
      <c r="E96" s="69">
        <v>1.0775862068969999E-3</v>
      </c>
    </row>
    <row r="97" spans="2:5" ht="15" customHeight="1">
      <c r="B97" s="97"/>
      <c r="C97" s="36" t="s">
        <v>29</v>
      </c>
      <c r="D97" s="35">
        <v>213</v>
      </c>
      <c r="E97" s="34">
        <v>4.5905172413793001E-2</v>
      </c>
    </row>
    <row r="98" spans="2:5" ht="15" customHeight="1">
      <c r="B98" s="95" t="s">
        <v>50</v>
      </c>
      <c r="C98" s="67" t="s">
        <v>187</v>
      </c>
      <c r="D98" s="68">
        <v>19</v>
      </c>
      <c r="E98" s="69">
        <v>4.0948275862070001E-3</v>
      </c>
    </row>
    <row r="99" spans="2:5" ht="15" customHeight="1">
      <c r="B99" s="96"/>
      <c r="C99" s="67" t="s">
        <v>188</v>
      </c>
      <c r="D99" s="68">
        <v>3</v>
      </c>
      <c r="E99" s="69">
        <v>6.4655172413799998E-4</v>
      </c>
    </row>
    <row r="100" spans="2:5" ht="15" customHeight="1">
      <c r="B100" s="96"/>
      <c r="C100" s="67" t="s">
        <v>189</v>
      </c>
      <c r="D100" s="68">
        <v>44</v>
      </c>
      <c r="E100" s="69">
        <v>9.4827586206900003E-3</v>
      </c>
    </row>
    <row r="101" spans="2:5" ht="15" customHeight="1">
      <c r="B101" s="96"/>
      <c r="C101" s="67" t="s">
        <v>190</v>
      </c>
      <c r="D101" s="68">
        <v>15</v>
      </c>
      <c r="E101" s="69">
        <v>3.2327586206899999E-3</v>
      </c>
    </row>
    <row r="102" spans="2:5" ht="15" customHeight="1">
      <c r="B102" s="96"/>
      <c r="C102" s="67" t="s">
        <v>191</v>
      </c>
      <c r="D102" s="68">
        <v>8</v>
      </c>
      <c r="E102" s="69">
        <v>1.724137931034E-3</v>
      </c>
    </row>
    <row r="103" spans="2:5" ht="15" customHeight="1">
      <c r="B103" s="96"/>
      <c r="C103" s="67" t="s">
        <v>192</v>
      </c>
      <c r="D103" s="68">
        <v>135</v>
      </c>
      <c r="E103" s="69">
        <v>2.9094827586207E-2</v>
      </c>
    </row>
    <row r="104" spans="2:5" ht="15" customHeight="1">
      <c r="B104" s="96"/>
      <c r="C104" s="67" t="s">
        <v>193</v>
      </c>
      <c r="D104" s="68">
        <v>5</v>
      </c>
      <c r="E104" s="69">
        <v>1.0775862068969999E-3</v>
      </c>
    </row>
    <row r="105" spans="2:5" ht="15" customHeight="1">
      <c r="B105" s="96"/>
      <c r="C105" s="67" t="s">
        <v>194</v>
      </c>
      <c r="D105" s="68">
        <v>93</v>
      </c>
      <c r="E105" s="69">
        <v>2.0043103448275999E-2</v>
      </c>
    </row>
    <row r="106" spans="2:5" ht="15" customHeight="1">
      <c r="B106" s="96"/>
      <c r="C106" s="67" t="s">
        <v>195</v>
      </c>
      <c r="D106" s="68">
        <v>5</v>
      </c>
      <c r="E106" s="69">
        <v>1.0775862068969999E-3</v>
      </c>
    </row>
    <row r="107" spans="2:5" ht="15" customHeight="1">
      <c r="B107" s="96"/>
      <c r="C107" s="67" t="s">
        <v>196</v>
      </c>
      <c r="D107" s="68">
        <v>5</v>
      </c>
      <c r="E107" s="69">
        <v>1.0775862068969999E-3</v>
      </c>
    </row>
    <row r="108" spans="2:5" ht="15" customHeight="1">
      <c r="B108" s="96"/>
      <c r="C108" s="67" t="s">
        <v>202</v>
      </c>
      <c r="D108" s="68">
        <v>4</v>
      </c>
      <c r="E108" s="69">
        <v>8.6206896551700002E-4</v>
      </c>
    </row>
    <row r="109" spans="2:5" ht="15" customHeight="1">
      <c r="B109" s="96"/>
      <c r="C109" s="67" t="s">
        <v>197</v>
      </c>
      <c r="D109" s="68">
        <v>19</v>
      </c>
      <c r="E109" s="69">
        <v>4.0948275862070001E-3</v>
      </c>
    </row>
    <row r="110" spans="2:5" ht="15" customHeight="1">
      <c r="B110" s="96"/>
      <c r="C110" s="67" t="s">
        <v>204</v>
      </c>
      <c r="D110" s="68">
        <v>2</v>
      </c>
      <c r="E110" s="69">
        <v>4.3103448275899999E-4</v>
      </c>
    </row>
    <row r="111" spans="2:5" ht="15" customHeight="1">
      <c r="B111" s="96"/>
      <c r="C111" s="67" t="s">
        <v>198</v>
      </c>
      <c r="D111" s="68">
        <v>1</v>
      </c>
      <c r="E111" s="69">
        <v>2.1551724137899999E-4</v>
      </c>
    </row>
    <row r="112" spans="2:5" ht="15" customHeight="1">
      <c r="B112" s="96"/>
      <c r="C112" s="67" t="s">
        <v>199</v>
      </c>
      <c r="D112" s="68">
        <v>4</v>
      </c>
      <c r="E112" s="69">
        <v>8.6206896551700002E-4</v>
      </c>
    </row>
    <row r="113" spans="2:5" ht="15" customHeight="1">
      <c r="B113" s="96"/>
      <c r="C113" s="67" t="s">
        <v>200</v>
      </c>
      <c r="D113" s="68">
        <v>6</v>
      </c>
      <c r="E113" s="69">
        <v>1.293103448276E-3</v>
      </c>
    </row>
    <row r="114" spans="2:5" ht="15" customHeight="1">
      <c r="B114" s="96"/>
      <c r="C114" s="67" t="s">
        <v>201</v>
      </c>
      <c r="D114" s="68">
        <v>17</v>
      </c>
      <c r="E114" s="69">
        <v>3.663793103448E-3</v>
      </c>
    </row>
    <row r="115" spans="2:5" ht="15" customHeight="1">
      <c r="B115" s="97"/>
      <c r="C115" s="36" t="s">
        <v>29</v>
      </c>
      <c r="D115" s="35">
        <v>385</v>
      </c>
      <c r="E115" s="34">
        <v>8.2974137931034003E-2</v>
      </c>
    </row>
    <row r="116" spans="2:5" ht="15" customHeight="1">
      <c r="B116" s="95" t="s">
        <v>94</v>
      </c>
      <c r="C116" s="67" t="s">
        <v>192</v>
      </c>
      <c r="D116" s="68">
        <v>2</v>
      </c>
      <c r="E116" s="69">
        <v>4.3103448275899999E-4</v>
      </c>
    </row>
    <row r="117" spans="2:5" ht="15" customHeight="1">
      <c r="B117" s="97"/>
      <c r="C117" s="36" t="s">
        <v>29</v>
      </c>
      <c r="D117" s="35">
        <v>2</v>
      </c>
      <c r="E117" s="34">
        <v>4.3103448275899999E-4</v>
      </c>
    </row>
    <row r="118" spans="2:5" ht="15" customHeight="1">
      <c r="B118" s="95" t="s">
        <v>62</v>
      </c>
      <c r="C118" s="67" t="s">
        <v>187</v>
      </c>
      <c r="D118" s="68">
        <v>12</v>
      </c>
      <c r="E118" s="69">
        <v>2.5862068965519999E-3</v>
      </c>
    </row>
    <row r="119" spans="2:5" ht="15" customHeight="1">
      <c r="B119" s="96"/>
      <c r="C119" s="67" t="s">
        <v>189</v>
      </c>
      <c r="D119" s="68">
        <v>6</v>
      </c>
      <c r="E119" s="69">
        <v>1.293103448276E-3</v>
      </c>
    </row>
    <row r="120" spans="2:5" ht="15" customHeight="1">
      <c r="B120" s="96"/>
      <c r="C120" s="67" t="s">
        <v>190</v>
      </c>
      <c r="D120" s="68">
        <v>33</v>
      </c>
      <c r="E120" s="69">
        <v>7.1120689655169997E-3</v>
      </c>
    </row>
    <row r="121" spans="2:5" ht="15" customHeight="1">
      <c r="B121" s="96"/>
      <c r="C121" s="67" t="s">
        <v>191</v>
      </c>
      <c r="D121" s="68">
        <v>2</v>
      </c>
      <c r="E121" s="69">
        <v>4.3103448275899999E-4</v>
      </c>
    </row>
    <row r="122" spans="2:5" ht="15" customHeight="1">
      <c r="B122" s="96"/>
      <c r="C122" s="67" t="s">
        <v>192</v>
      </c>
      <c r="D122" s="68">
        <v>25</v>
      </c>
      <c r="E122" s="69">
        <v>5.3879310344830001E-3</v>
      </c>
    </row>
    <row r="123" spans="2:5" ht="15" customHeight="1">
      <c r="B123" s="96"/>
      <c r="C123" s="67" t="s">
        <v>194</v>
      </c>
      <c r="D123" s="68">
        <v>14</v>
      </c>
      <c r="E123" s="69">
        <v>3.01724137931E-3</v>
      </c>
    </row>
    <row r="124" spans="2:5" ht="15" customHeight="1">
      <c r="B124" s="96"/>
      <c r="C124" s="67" t="s">
        <v>195</v>
      </c>
      <c r="D124" s="68">
        <v>2</v>
      </c>
      <c r="E124" s="69">
        <v>4.3103448275899999E-4</v>
      </c>
    </row>
    <row r="125" spans="2:5" ht="15" customHeight="1">
      <c r="B125" s="96"/>
      <c r="C125" s="67" t="s">
        <v>197</v>
      </c>
      <c r="D125" s="68">
        <v>2</v>
      </c>
      <c r="E125" s="69">
        <v>4.3103448275899999E-4</v>
      </c>
    </row>
    <row r="126" spans="2:5" ht="15" customHeight="1">
      <c r="B126" s="96"/>
      <c r="C126" s="67" t="s">
        <v>198</v>
      </c>
      <c r="D126" s="68">
        <v>1</v>
      </c>
      <c r="E126" s="69">
        <v>2.1551724137899999E-4</v>
      </c>
    </row>
    <row r="127" spans="2:5" ht="15" customHeight="1">
      <c r="B127" s="96"/>
      <c r="C127" s="67" t="s">
        <v>199</v>
      </c>
      <c r="D127" s="68">
        <v>3</v>
      </c>
      <c r="E127" s="69">
        <v>6.4655172413799998E-4</v>
      </c>
    </row>
    <row r="128" spans="2:5" ht="15" customHeight="1">
      <c r="B128" s="96"/>
      <c r="C128" s="67" t="s">
        <v>201</v>
      </c>
      <c r="D128" s="68">
        <v>4</v>
      </c>
      <c r="E128" s="69">
        <v>8.6206896551700002E-4</v>
      </c>
    </row>
    <row r="129" spans="2:5" ht="15" customHeight="1">
      <c r="B129" s="97"/>
      <c r="C129" s="36" t="s">
        <v>29</v>
      </c>
      <c r="D129" s="35">
        <v>104</v>
      </c>
      <c r="E129" s="34">
        <v>2.2413793103448001E-2</v>
      </c>
    </row>
    <row r="130" spans="2:5" ht="15" customHeight="1">
      <c r="B130" s="95" t="s">
        <v>70</v>
      </c>
      <c r="C130" s="67" t="s">
        <v>187</v>
      </c>
      <c r="D130" s="68">
        <v>9</v>
      </c>
      <c r="E130" s="69">
        <v>1.9396551724139999E-3</v>
      </c>
    </row>
    <row r="131" spans="2:5" ht="15" customHeight="1">
      <c r="B131" s="96"/>
      <c r="C131" s="67" t="s">
        <v>189</v>
      </c>
      <c r="D131" s="68">
        <v>5</v>
      </c>
      <c r="E131" s="69">
        <v>1.0775862068969999E-3</v>
      </c>
    </row>
    <row r="132" spans="2:5" ht="15" customHeight="1">
      <c r="B132" s="96"/>
      <c r="C132" s="67" t="s">
        <v>190</v>
      </c>
      <c r="D132" s="68">
        <v>4</v>
      </c>
      <c r="E132" s="69">
        <v>8.6206896551700002E-4</v>
      </c>
    </row>
    <row r="133" spans="2:5" ht="15" customHeight="1">
      <c r="B133" s="96"/>
      <c r="C133" s="67" t="s">
        <v>191</v>
      </c>
      <c r="D133" s="68">
        <v>6</v>
      </c>
      <c r="E133" s="69">
        <v>1.293103448276E-3</v>
      </c>
    </row>
    <row r="134" spans="2:5" ht="15" customHeight="1">
      <c r="B134" s="96"/>
      <c r="C134" s="67" t="s">
        <v>192</v>
      </c>
      <c r="D134" s="68">
        <v>19</v>
      </c>
      <c r="E134" s="69">
        <v>4.0948275862070001E-3</v>
      </c>
    </row>
    <row r="135" spans="2:5" ht="15" customHeight="1">
      <c r="B135" s="96"/>
      <c r="C135" s="67" t="s">
        <v>194</v>
      </c>
      <c r="D135" s="68">
        <v>11</v>
      </c>
      <c r="E135" s="69">
        <v>2.370689655172E-3</v>
      </c>
    </row>
    <row r="136" spans="2:5" ht="15" customHeight="1">
      <c r="B136" s="96"/>
      <c r="C136" s="67" t="s">
        <v>195</v>
      </c>
      <c r="D136" s="68">
        <v>1</v>
      </c>
      <c r="E136" s="69">
        <v>2.1551724137899999E-4</v>
      </c>
    </row>
    <row r="137" spans="2:5" ht="15" customHeight="1">
      <c r="B137" s="96"/>
      <c r="C137" s="67" t="s">
        <v>197</v>
      </c>
      <c r="D137" s="68">
        <v>1</v>
      </c>
      <c r="E137" s="69">
        <v>2.1551724137899999E-4</v>
      </c>
    </row>
    <row r="138" spans="2:5" ht="15" customHeight="1">
      <c r="B138" s="96"/>
      <c r="C138" s="67" t="s">
        <v>200</v>
      </c>
      <c r="D138" s="68">
        <v>1</v>
      </c>
      <c r="E138" s="69">
        <v>2.1551724137899999E-4</v>
      </c>
    </row>
    <row r="139" spans="2:5" ht="15" customHeight="1">
      <c r="B139" s="96"/>
      <c r="C139" s="67" t="s">
        <v>201</v>
      </c>
      <c r="D139" s="68">
        <v>5</v>
      </c>
      <c r="E139" s="69">
        <v>1.0775862068969999E-3</v>
      </c>
    </row>
    <row r="140" spans="2:5" ht="15" customHeight="1">
      <c r="B140" s="97"/>
      <c r="C140" s="36" t="s">
        <v>29</v>
      </c>
      <c r="D140" s="35">
        <v>62</v>
      </c>
      <c r="E140" s="34">
        <v>1.3362068965516999E-2</v>
      </c>
    </row>
    <row r="141" spans="2:5" ht="15" customHeight="1">
      <c r="B141" s="95" t="s">
        <v>92</v>
      </c>
      <c r="C141" s="67" t="s">
        <v>187</v>
      </c>
      <c r="D141" s="68">
        <v>2</v>
      </c>
      <c r="E141" s="69">
        <v>4.3103448275899999E-4</v>
      </c>
    </row>
    <row r="142" spans="2:5" ht="15" customHeight="1">
      <c r="B142" s="96"/>
      <c r="C142" s="67" t="s">
        <v>189</v>
      </c>
      <c r="D142" s="68">
        <v>2</v>
      </c>
      <c r="E142" s="69">
        <v>4.3103448275899999E-4</v>
      </c>
    </row>
    <row r="143" spans="2:5" ht="15" customHeight="1">
      <c r="B143" s="96"/>
      <c r="C143" s="67" t="s">
        <v>191</v>
      </c>
      <c r="D143" s="68">
        <v>1</v>
      </c>
      <c r="E143" s="69">
        <v>2.1551724137899999E-4</v>
      </c>
    </row>
    <row r="144" spans="2:5" ht="15" customHeight="1">
      <c r="B144" s="96"/>
      <c r="C144" s="67" t="s">
        <v>192</v>
      </c>
      <c r="D144" s="68">
        <v>3</v>
      </c>
      <c r="E144" s="69">
        <v>6.4655172413799998E-4</v>
      </c>
    </row>
    <row r="145" spans="2:5" ht="15" customHeight="1">
      <c r="B145" s="97"/>
      <c r="C145" s="36" t="s">
        <v>29</v>
      </c>
      <c r="D145" s="35">
        <v>8</v>
      </c>
      <c r="E145" s="34">
        <v>1.724137931034E-3</v>
      </c>
    </row>
    <row r="146" spans="2:5" ht="15" customHeight="1">
      <c r="B146" s="95" t="s">
        <v>66</v>
      </c>
      <c r="C146" s="67" t="s">
        <v>188</v>
      </c>
      <c r="D146" s="68">
        <v>1</v>
      </c>
      <c r="E146" s="69">
        <v>2.1551724137899999E-4</v>
      </c>
    </row>
    <row r="147" spans="2:5" ht="15" customHeight="1">
      <c r="B147" s="96"/>
      <c r="C147" s="67" t="s">
        <v>189</v>
      </c>
      <c r="D147" s="68">
        <v>6</v>
      </c>
      <c r="E147" s="69">
        <v>1.293103448276E-3</v>
      </c>
    </row>
    <row r="148" spans="2:5" ht="15" customHeight="1">
      <c r="B148" s="96"/>
      <c r="C148" s="67" t="s">
        <v>190</v>
      </c>
      <c r="D148" s="68">
        <v>5</v>
      </c>
      <c r="E148" s="69">
        <v>1.0775862068969999E-3</v>
      </c>
    </row>
    <row r="149" spans="2:5" ht="15" customHeight="1">
      <c r="B149" s="96"/>
      <c r="C149" s="67" t="s">
        <v>192</v>
      </c>
      <c r="D149" s="68">
        <v>20</v>
      </c>
      <c r="E149" s="69">
        <v>4.3103448275860004E-3</v>
      </c>
    </row>
    <row r="150" spans="2:5" ht="15" customHeight="1">
      <c r="B150" s="96"/>
      <c r="C150" s="67" t="s">
        <v>193</v>
      </c>
      <c r="D150" s="68">
        <v>1</v>
      </c>
      <c r="E150" s="69">
        <v>2.1551724137899999E-4</v>
      </c>
    </row>
    <row r="151" spans="2:5" ht="15" customHeight="1">
      <c r="B151" s="96"/>
      <c r="C151" s="67" t="s">
        <v>194</v>
      </c>
      <c r="D151" s="68">
        <v>30</v>
      </c>
      <c r="E151" s="69">
        <v>6.4655172413789997E-3</v>
      </c>
    </row>
    <row r="152" spans="2:5" ht="15" customHeight="1">
      <c r="B152" s="96"/>
      <c r="C152" s="67" t="s">
        <v>195</v>
      </c>
      <c r="D152" s="68">
        <v>1</v>
      </c>
      <c r="E152" s="69">
        <v>2.1551724137899999E-4</v>
      </c>
    </row>
    <row r="153" spans="2:5" ht="15" customHeight="1">
      <c r="B153" s="96"/>
      <c r="C153" s="67" t="s">
        <v>196</v>
      </c>
      <c r="D153" s="68">
        <v>1</v>
      </c>
      <c r="E153" s="69">
        <v>2.1551724137899999E-4</v>
      </c>
    </row>
    <row r="154" spans="2:5" ht="15" customHeight="1">
      <c r="B154" s="96"/>
      <c r="C154" s="67" t="s">
        <v>197</v>
      </c>
      <c r="D154" s="68">
        <v>2</v>
      </c>
      <c r="E154" s="69">
        <v>4.3103448275899999E-4</v>
      </c>
    </row>
    <row r="155" spans="2:5" ht="15" customHeight="1">
      <c r="B155" s="96"/>
      <c r="C155" s="67" t="s">
        <v>204</v>
      </c>
      <c r="D155" s="68">
        <v>1</v>
      </c>
      <c r="E155" s="69">
        <v>2.1551724137899999E-4</v>
      </c>
    </row>
    <row r="156" spans="2:5" ht="15" customHeight="1">
      <c r="B156" s="96"/>
      <c r="C156" s="67" t="s">
        <v>198</v>
      </c>
      <c r="D156" s="68">
        <v>2</v>
      </c>
      <c r="E156" s="69">
        <v>4.3103448275899999E-4</v>
      </c>
    </row>
    <row r="157" spans="2:5" ht="15" customHeight="1">
      <c r="B157" s="96"/>
      <c r="C157" s="67" t="s">
        <v>199</v>
      </c>
      <c r="D157" s="68">
        <v>1</v>
      </c>
      <c r="E157" s="69">
        <v>2.1551724137899999E-4</v>
      </c>
    </row>
    <row r="158" spans="2:5" ht="15" customHeight="1">
      <c r="B158" s="96"/>
      <c r="C158" s="67" t="s">
        <v>201</v>
      </c>
      <c r="D158" s="68">
        <v>3</v>
      </c>
      <c r="E158" s="69">
        <v>6.4655172413799998E-4</v>
      </c>
    </row>
    <row r="159" spans="2:5" ht="15" customHeight="1">
      <c r="B159" s="97"/>
      <c r="C159" s="36" t="s">
        <v>29</v>
      </c>
      <c r="D159" s="35">
        <v>74</v>
      </c>
      <c r="E159" s="34">
        <v>1.5948275862069001E-2</v>
      </c>
    </row>
    <row r="160" spans="2:5" ht="15" customHeight="1">
      <c r="B160" s="95" t="s">
        <v>78</v>
      </c>
      <c r="C160" s="67" t="s">
        <v>187</v>
      </c>
      <c r="D160" s="68">
        <v>5</v>
      </c>
      <c r="E160" s="69">
        <v>1.0775862068969999E-3</v>
      </c>
    </row>
    <row r="161" spans="2:5" ht="15" customHeight="1">
      <c r="B161" s="96"/>
      <c r="C161" s="67" t="s">
        <v>188</v>
      </c>
      <c r="D161" s="68">
        <v>1</v>
      </c>
      <c r="E161" s="69">
        <v>2.1551724137899999E-4</v>
      </c>
    </row>
    <row r="162" spans="2:5" ht="15" customHeight="1">
      <c r="B162" s="96"/>
      <c r="C162" s="67" t="s">
        <v>189</v>
      </c>
      <c r="D162" s="68">
        <v>4</v>
      </c>
      <c r="E162" s="69">
        <v>8.6206896551700002E-4</v>
      </c>
    </row>
    <row r="163" spans="2:5" ht="15" customHeight="1">
      <c r="B163" s="96"/>
      <c r="C163" s="67" t="s">
        <v>190</v>
      </c>
      <c r="D163" s="68">
        <v>2</v>
      </c>
      <c r="E163" s="69">
        <v>4.3103448275899999E-4</v>
      </c>
    </row>
    <row r="164" spans="2:5" ht="15" customHeight="1">
      <c r="B164" s="96"/>
      <c r="C164" s="67" t="s">
        <v>191</v>
      </c>
      <c r="D164" s="68">
        <v>1</v>
      </c>
      <c r="E164" s="69">
        <v>2.1551724137899999E-4</v>
      </c>
    </row>
    <row r="165" spans="2:5" ht="15" customHeight="1">
      <c r="B165" s="96"/>
      <c r="C165" s="67" t="s">
        <v>192</v>
      </c>
      <c r="D165" s="68">
        <v>6</v>
      </c>
      <c r="E165" s="69">
        <v>1.293103448276E-3</v>
      </c>
    </row>
    <row r="166" spans="2:5" ht="15" customHeight="1">
      <c r="B166" s="96"/>
      <c r="C166" s="67" t="s">
        <v>193</v>
      </c>
      <c r="D166" s="68">
        <v>1</v>
      </c>
      <c r="E166" s="69">
        <v>2.1551724137899999E-4</v>
      </c>
    </row>
    <row r="167" spans="2:5" ht="15" customHeight="1">
      <c r="B167" s="96"/>
      <c r="C167" s="67" t="s">
        <v>194</v>
      </c>
      <c r="D167" s="68">
        <v>2</v>
      </c>
      <c r="E167" s="69">
        <v>4.3103448275899999E-4</v>
      </c>
    </row>
    <row r="168" spans="2:5" ht="15" customHeight="1">
      <c r="B168" s="96"/>
      <c r="C168" s="67" t="s">
        <v>202</v>
      </c>
      <c r="D168" s="68">
        <v>3</v>
      </c>
      <c r="E168" s="69">
        <v>6.4655172413799998E-4</v>
      </c>
    </row>
    <row r="169" spans="2:5" ht="15" customHeight="1">
      <c r="B169" s="96"/>
      <c r="C169" s="67" t="s">
        <v>204</v>
      </c>
      <c r="D169" s="68">
        <v>1</v>
      </c>
      <c r="E169" s="69">
        <v>2.1551724137899999E-4</v>
      </c>
    </row>
    <row r="170" spans="2:5" ht="15" customHeight="1">
      <c r="B170" s="96"/>
      <c r="C170" s="67" t="s">
        <v>198</v>
      </c>
      <c r="D170" s="68">
        <v>3</v>
      </c>
      <c r="E170" s="69">
        <v>6.4655172413799998E-4</v>
      </c>
    </row>
    <row r="171" spans="2:5" ht="15" customHeight="1">
      <c r="B171" s="96"/>
      <c r="C171" s="67" t="s">
        <v>199</v>
      </c>
      <c r="D171" s="68">
        <v>1</v>
      </c>
      <c r="E171" s="69">
        <v>2.1551724137899999E-4</v>
      </c>
    </row>
    <row r="172" spans="2:5" ht="15" customHeight="1">
      <c r="B172" s="96"/>
      <c r="C172" s="67" t="s">
        <v>201</v>
      </c>
      <c r="D172" s="68">
        <v>2</v>
      </c>
      <c r="E172" s="69">
        <v>4.3103448275899999E-4</v>
      </c>
    </row>
    <row r="173" spans="2:5" ht="15" customHeight="1">
      <c r="B173" s="97"/>
      <c r="C173" s="36" t="s">
        <v>29</v>
      </c>
      <c r="D173" s="35">
        <v>32</v>
      </c>
      <c r="E173" s="34">
        <v>6.8965517241380003E-3</v>
      </c>
    </row>
    <row r="174" spans="2:5" ht="15" customHeight="1">
      <c r="B174" s="95" t="s">
        <v>53</v>
      </c>
      <c r="C174" s="67" t="s">
        <v>187</v>
      </c>
      <c r="D174" s="68">
        <v>17</v>
      </c>
      <c r="E174" s="69">
        <v>3.663793103448E-3</v>
      </c>
    </row>
    <row r="175" spans="2:5" ht="15" customHeight="1">
      <c r="B175" s="96"/>
      <c r="C175" s="67" t="s">
        <v>206</v>
      </c>
      <c r="D175" s="68">
        <v>1</v>
      </c>
      <c r="E175" s="69">
        <v>2.1551724137899999E-4</v>
      </c>
    </row>
    <row r="176" spans="2:5" ht="15" customHeight="1">
      <c r="B176" s="96"/>
      <c r="C176" s="67" t="s">
        <v>188</v>
      </c>
      <c r="D176" s="68">
        <v>2</v>
      </c>
      <c r="E176" s="69">
        <v>4.3103448275899999E-4</v>
      </c>
    </row>
    <row r="177" spans="2:5" ht="15" customHeight="1">
      <c r="B177" s="96"/>
      <c r="C177" s="67" t="s">
        <v>189</v>
      </c>
      <c r="D177" s="68">
        <v>16</v>
      </c>
      <c r="E177" s="69">
        <v>3.4482758620690002E-3</v>
      </c>
    </row>
    <row r="178" spans="2:5" ht="15" customHeight="1">
      <c r="B178" s="96"/>
      <c r="C178" s="67" t="s">
        <v>190</v>
      </c>
      <c r="D178" s="68">
        <v>24</v>
      </c>
      <c r="E178" s="69">
        <v>5.1724137931029998E-3</v>
      </c>
    </row>
    <row r="179" spans="2:5" ht="15" customHeight="1">
      <c r="B179" s="96"/>
      <c r="C179" s="67" t="s">
        <v>191</v>
      </c>
      <c r="D179" s="68">
        <v>6</v>
      </c>
      <c r="E179" s="69">
        <v>1.293103448276E-3</v>
      </c>
    </row>
    <row r="180" spans="2:5" ht="15" customHeight="1">
      <c r="B180" s="96"/>
      <c r="C180" s="67" t="s">
        <v>192</v>
      </c>
      <c r="D180" s="68">
        <v>60</v>
      </c>
      <c r="E180" s="69">
        <v>1.2931034482759E-2</v>
      </c>
    </row>
    <row r="181" spans="2:5" ht="15" customHeight="1">
      <c r="B181" s="96"/>
      <c r="C181" s="67" t="s">
        <v>193</v>
      </c>
      <c r="D181" s="68">
        <v>4</v>
      </c>
      <c r="E181" s="69">
        <v>8.6206896551700002E-4</v>
      </c>
    </row>
    <row r="182" spans="2:5" ht="15" customHeight="1">
      <c r="B182" s="96"/>
      <c r="C182" s="67" t="s">
        <v>194</v>
      </c>
      <c r="D182" s="68">
        <v>57</v>
      </c>
      <c r="E182" s="69">
        <v>1.2284482758621E-2</v>
      </c>
    </row>
    <row r="183" spans="2:5" ht="15" customHeight="1">
      <c r="B183" s="96"/>
      <c r="C183" s="67" t="s">
        <v>195</v>
      </c>
      <c r="D183" s="68">
        <v>2</v>
      </c>
      <c r="E183" s="69">
        <v>4.3103448275899999E-4</v>
      </c>
    </row>
    <row r="184" spans="2:5" ht="15" customHeight="1">
      <c r="B184" s="96"/>
      <c r="C184" s="67" t="s">
        <v>196</v>
      </c>
      <c r="D184" s="68">
        <v>1</v>
      </c>
      <c r="E184" s="69">
        <v>2.1551724137899999E-4</v>
      </c>
    </row>
    <row r="185" spans="2:5" ht="15" customHeight="1">
      <c r="B185" s="96"/>
      <c r="C185" s="67" t="s">
        <v>202</v>
      </c>
      <c r="D185" s="68">
        <v>3</v>
      </c>
      <c r="E185" s="69">
        <v>6.4655172413799998E-4</v>
      </c>
    </row>
    <row r="186" spans="2:5" ht="15" customHeight="1">
      <c r="B186" s="96"/>
      <c r="C186" s="67" t="s">
        <v>197</v>
      </c>
      <c r="D186" s="68">
        <v>13</v>
      </c>
      <c r="E186" s="69">
        <v>2.8017241379310002E-3</v>
      </c>
    </row>
    <row r="187" spans="2:5" ht="15" customHeight="1">
      <c r="B187" s="96"/>
      <c r="C187" s="67" t="s">
        <v>204</v>
      </c>
      <c r="D187" s="68">
        <v>3</v>
      </c>
      <c r="E187" s="69">
        <v>6.4655172413799998E-4</v>
      </c>
    </row>
    <row r="188" spans="2:5" ht="15" customHeight="1">
      <c r="B188" s="96"/>
      <c r="C188" s="67" t="s">
        <v>203</v>
      </c>
      <c r="D188" s="68">
        <v>1</v>
      </c>
      <c r="E188" s="69">
        <v>2.1551724137899999E-4</v>
      </c>
    </row>
    <row r="189" spans="2:5" ht="15" customHeight="1">
      <c r="B189" s="96"/>
      <c r="C189" s="67" t="s">
        <v>198</v>
      </c>
      <c r="D189" s="68">
        <v>6</v>
      </c>
      <c r="E189" s="69">
        <v>1.293103448276E-3</v>
      </c>
    </row>
    <row r="190" spans="2:5" ht="15" customHeight="1">
      <c r="B190" s="96"/>
      <c r="C190" s="67" t="s">
        <v>199</v>
      </c>
      <c r="D190" s="68">
        <v>3</v>
      </c>
      <c r="E190" s="69">
        <v>6.4655172413799998E-4</v>
      </c>
    </row>
    <row r="191" spans="2:5" ht="15" customHeight="1">
      <c r="B191" s="96"/>
      <c r="C191" s="67" t="s">
        <v>200</v>
      </c>
      <c r="D191" s="68">
        <v>3</v>
      </c>
      <c r="E191" s="69">
        <v>6.4655172413799998E-4</v>
      </c>
    </row>
    <row r="192" spans="2:5" ht="15" customHeight="1">
      <c r="B192" s="96"/>
      <c r="C192" s="67" t="s">
        <v>201</v>
      </c>
      <c r="D192" s="68">
        <v>17</v>
      </c>
      <c r="E192" s="69">
        <v>3.663793103448E-3</v>
      </c>
    </row>
    <row r="193" spans="2:5" ht="15" customHeight="1">
      <c r="B193" s="97"/>
      <c r="C193" s="36" t="s">
        <v>29</v>
      </c>
      <c r="D193" s="35">
        <v>239</v>
      </c>
      <c r="E193" s="34">
        <v>5.1508620689654998E-2</v>
      </c>
    </row>
    <row r="194" spans="2:5" ht="15" customHeight="1">
      <c r="B194" s="95" t="s">
        <v>57</v>
      </c>
      <c r="C194" s="67" t="s">
        <v>187</v>
      </c>
      <c r="D194" s="68">
        <v>10</v>
      </c>
      <c r="E194" s="69">
        <v>2.1551724137930002E-3</v>
      </c>
    </row>
    <row r="195" spans="2:5" ht="15" customHeight="1">
      <c r="B195" s="96"/>
      <c r="C195" s="67" t="s">
        <v>188</v>
      </c>
      <c r="D195" s="68">
        <v>1</v>
      </c>
      <c r="E195" s="69">
        <v>2.1551724137899999E-4</v>
      </c>
    </row>
    <row r="196" spans="2:5" ht="15" customHeight="1">
      <c r="B196" s="96"/>
      <c r="C196" s="67" t="s">
        <v>189</v>
      </c>
      <c r="D196" s="68">
        <v>13</v>
      </c>
      <c r="E196" s="69">
        <v>2.8017241379310002E-3</v>
      </c>
    </row>
    <row r="197" spans="2:5" ht="15" customHeight="1">
      <c r="B197" s="96"/>
      <c r="C197" s="67" t="s">
        <v>190</v>
      </c>
      <c r="D197" s="68">
        <v>10</v>
      </c>
      <c r="E197" s="69">
        <v>2.1551724137930002E-3</v>
      </c>
    </row>
    <row r="198" spans="2:5" ht="15" customHeight="1">
      <c r="B198" s="96"/>
      <c r="C198" s="67" t="s">
        <v>191</v>
      </c>
      <c r="D198" s="68">
        <v>6</v>
      </c>
      <c r="E198" s="69">
        <v>1.293103448276E-3</v>
      </c>
    </row>
    <row r="199" spans="2:5" ht="15" customHeight="1">
      <c r="B199" s="96"/>
      <c r="C199" s="67" t="s">
        <v>192</v>
      </c>
      <c r="D199" s="68">
        <v>52</v>
      </c>
      <c r="E199" s="69">
        <v>1.1206896551724001E-2</v>
      </c>
    </row>
    <row r="200" spans="2:5" ht="15" customHeight="1">
      <c r="B200" s="96"/>
      <c r="C200" s="67" t="s">
        <v>193</v>
      </c>
      <c r="D200" s="68">
        <v>2</v>
      </c>
      <c r="E200" s="69">
        <v>4.3103448275899999E-4</v>
      </c>
    </row>
    <row r="201" spans="2:5" ht="15" customHeight="1">
      <c r="B201" s="96"/>
      <c r="C201" s="67" t="s">
        <v>194</v>
      </c>
      <c r="D201" s="68">
        <v>51</v>
      </c>
      <c r="E201" s="69">
        <v>1.0991379310345E-2</v>
      </c>
    </row>
    <row r="202" spans="2:5" ht="15" customHeight="1">
      <c r="B202" s="96"/>
      <c r="C202" s="67" t="s">
        <v>195</v>
      </c>
      <c r="D202" s="68">
        <v>1</v>
      </c>
      <c r="E202" s="69">
        <v>2.1551724137899999E-4</v>
      </c>
    </row>
    <row r="203" spans="2:5" ht="15" customHeight="1">
      <c r="B203" s="96"/>
      <c r="C203" s="67" t="s">
        <v>196</v>
      </c>
      <c r="D203" s="68">
        <v>4</v>
      </c>
      <c r="E203" s="69">
        <v>8.6206896551700002E-4</v>
      </c>
    </row>
    <row r="204" spans="2:5" ht="15" customHeight="1">
      <c r="B204" s="96"/>
      <c r="C204" s="67" t="s">
        <v>202</v>
      </c>
      <c r="D204" s="68">
        <v>4</v>
      </c>
      <c r="E204" s="69">
        <v>8.6206896551700002E-4</v>
      </c>
    </row>
    <row r="205" spans="2:5" ht="15" customHeight="1">
      <c r="B205" s="96"/>
      <c r="C205" s="67" t="s">
        <v>197</v>
      </c>
      <c r="D205" s="68">
        <v>2</v>
      </c>
      <c r="E205" s="69">
        <v>4.3103448275899999E-4</v>
      </c>
    </row>
    <row r="206" spans="2:5" ht="15" customHeight="1">
      <c r="B206" s="96"/>
      <c r="C206" s="67" t="s">
        <v>204</v>
      </c>
      <c r="D206" s="68">
        <v>1</v>
      </c>
      <c r="E206" s="69">
        <v>2.1551724137899999E-4</v>
      </c>
    </row>
    <row r="207" spans="2:5" ht="15" customHeight="1">
      <c r="B207" s="96"/>
      <c r="C207" s="67" t="s">
        <v>199</v>
      </c>
      <c r="D207" s="68">
        <v>4</v>
      </c>
      <c r="E207" s="69">
        <v>8.6206896551700002E-4</v>
      </c>
    </row>
    <row r="208" spans="2:5" ht="15" customHeight="1">
      <c r="B208" s="96"/>
      <c r="C208" s="67" t="s">
        <v>200</v>
      </c>
      <c r="D208" s="68">
        <v>1</v>
      </c>
      <c r="E208" s="69">
        <v>2.1551724137899999E-4</v>
      </c>
    </row>
    <row r="209" spans="2:5" ht="15" customHeight="1">
      <c r="B209" s="96"/>
      <c r="C209" s="67" t="s">
        <v>201</v>
      </c>
      <c r="D209" s="68">
        <v>4</v>
      </c>
      <c r="E209" s="69">
        <v>8.6206896551700002E-4</v>
      </c>
    </row>
    <row r="210" spans="2:5" ht="15" customHeight="1">
      <c r="B210" s="97"/>
      <c r="C210" s="36" t="s">
        <v>29</v>
      </c>
      <c r="D210" s="35">
        <v>166</v>
      </c>
      <c r="E210" s="34">
        <v>3.5775862068965998E-2</v>
      </c>
    </row>
    <row r="211" spans="2:5" ht="15" customHeight="1">
      <c r="B211" s="95" t="s">
        <v>63</v>
      </c>
      <c r="C211" s="67" t="s">
        <v>187</v>
      </c>
      <c r="D211" s="68">
        <v>4</v>
      </c>
      <c r="E211" s="69">
        <v>8.6206896551700002E-4</v>
      </c>
    </row>
    <row r="212" spans="2:5" ht="15" customHeight="1">
      <c r="B212" s="96"/>
      <c r="C212" s="67" t="s">
        <v>189</v>
      </c>
      <c r="D212" s="68">
        <v>19</v>
      </c>
      <c r="E212" s="69">
        <v>4.0948275862070001E-3</v>
      </c>
    </row>
    <row r="213" spans="2:5" ht="15" customHeight="1">
      <c r="B213" s="96"/>
      <c r="C213" s="67" t="s">
        <v>190</v>
      </c>
      <c r="D213" s="68">
        <v>1</v>
      </c>
      <c r="E213" s="69">
        <v>2.1551724137899999E-4</v>
      </c>
    </row>
    <row r="214" spans="2:5" ht="15" customHeight="1">
      <c r="B214" s="96"/>
      <c r="C214" s="67" t="s">
        <v>191</v>
      </c>
      <c r="D214" s="68">
        <v>30</v>
      </c>
      <c r="E214" s="69">
        <v>6.4655172413789997E-3</v>
      </c>
    </row>
    <row r="215" spans="2:5" ht="15" customHeight="1">
      <c r="B215" s="96"/>
      <c r="C215" s="67" t="s">
        <v>192</v>
      </c>
      <c r="D215" s="68">
        <v>19</v>
      </c>
      <c r="E215" s="69">
        <v>4.0948275862070001E-3</v>
      </c>
    </row>
    <row r="216" spans="2:5" ht="15" customHeight="1">
      <c r="B216" s="96"/>
      <c r="C216" s="67" t="s">
        <v>194</v>
      </c>
      <c r="D216" s="68">
        <v>8</v>
      </c>
      <c r="E216" s="69">
        <v>1.724137931034E-3</v>
      </c>
    </row>
    <row r="217" spans="2:5" ht="15" customHeight="1">
      <c r="B217" s="96"/>
      <c r="C217" s="67" t="s">
        <v>196</v>
      </c>
      <c r="D217" s="68">
        <v>1</v>
      </c>
      <c r="E217" s="69">
        <v>2.1551724137899999E-4</v>
      </c>
    </row>
    <row r="218" spans="2:5" ht="15" customHeight="1">
      <c r="B218" s="96"/>
      <c r="C218" s="67" t="s">
        <v>197</v>
      </c>
      <c r="D218" s="68">
        <v>2</v>
      </c>
      <c r="E218" s="69">
        <v>4.3103448275899999E-4</v>
      </c>
    </row>
    <row r="219" spans="2:5" ht="15" customHeight="1">
      <c r="B219" s="96"/>
      <c r="C219" s="67" t="s">
        <v>203</v>
      </c>
      <c r="D219" s="68">
        <v>1</v>
      </c>
      <c r="E219" s="69">
        <v>2.1551724137899999E-4</v>
      </c>
    </row>
    <row r="220" spans="2:5" ht="15" customHeight="1">
      <c r="B220" s="96"/>
      <c r="C220" s="67" t="s">
        <v>201</v>
      </c>
      <c r="D220" s="68">
        <v>6</v>
      </c>
      <c r="E220" s="69">
        <v>1.293103448276E-3</v>
      </c>
    </row>
    <row r="221" spans="2:5" ht="15" customHeight="1">
      <c r="B221" s="97"/>
      <c r="C221" s="36" t="s">
        <v>29</v>
      </c>
      <c r="D221" s="35">
        <v>91</v>
      </c>
      <c r="E221" s="34">
        <v>1.9612068965517E-2</v>
      </c>
    </row>
    <row r="222" spans="2:5" ht="15" customHeight="1">
      <c r="B222" s="95" t="s">
        <v>91</v>
      </c>
      <c r="C222" s="67" t="s">
        <v>187</v>
      </c>
      <c r="D222" s="68">
        <v>1</v>
      </c>
      <c r="E222" s="69">
        <v>2.1551724137899999E-4</v>
      </c>
    </row>
    <row r="223" spans="2:5" ht="15" customHeight="1">
      <c r="B223" s="96"/>
      <c r="C223" s="67" t="s">
        <v>189</v>
      </c>
      <c r="D223" s="68">
        <v>2</v>
      </c>
      <c r="E223" s="69">
        <v>4.3103448275899999E-4</v>
      </c>
    </row>
    <row r="224" spans="2:5" ht="15" customHeight="1">
      <c r="B224" s="96"/>
      <c r="C224" s="67" t="s">
        <v>190</v>
      </c>
      <c r="D224" s="68">
        <v>2</v>
      </c>
      <c r="E224" s="69">
        <v>4.3103448275899999E-4</v>
      </c>
    </row>
    <row r="225" spans="2:5" ht="15" customHeight="1">
      <c r="B225" s="96"/>
      <c r="C225" s="67" t="s">
        <v>192</v>
      </c>
      <c r="D225" s="68">
        <v>2</v>
      </c>
      <c r="E225" s="69">
        <v>4.3103448275899999E-4</v>
      </c>
    </row>
    <row r="226" spans="2:5" ht="15" customHeight="1">
      <c r="B226" s="96"/>
      <c r="C226" s="67" t="s">
        <v>194</v>
      </c>
      <c r="D226" s="68">
        <v>2</v>
      </c>
      <c r="E226" s="69">
        <v>4.3103448275899999E-4</v>
      </c>
    </row>
    <row r="227" spans="2:5" ht="15" customHeight="1">
      <c r="B227" s="96"/>
      <c r="C227" s="67" t="s">
        <v>197</v>
      </c>
      <c r="D227" s="68">
        <v>1</v>
      </c>
      <c r="E227" s="69">
        <v>2.1551724137899999E-4</v>
      </c>
    </row>
    <row r="228" spans="2:5" ht="15" customHeight="1">
      <c r="B228" s="97"/>
      <c r="C228" s="36" t="s">
        <v>29</v>
      </c>
      <c r="D228" s="35">
        <v>10</v>
      </c>
      <c r="E228" s="34">
        <v>2.1551724137930002E-3</v>
      </c>
    </row>
    <row r="229" spans="2:5" ht="15" customHeight="1">
      <c r="B229" s="95" t="s">
        <v>81</v>
      </c>
      <c r="C229" s="67" t="s">
        <v>187</v>
      </c>
      <c r="D229" s="68">
        <v>4</v>
      </c>
      <c r="E229" s="69">
        <v>8.6206896551700002E-4</v>
      </c>
    </row>
    <row r="230" spans="2:5" ht="15" customHeight="1">
      <c r="B230" s="96"/>
      <c r="C230" s="67" t="s">
        <v>189</v>
      </c>
      <c r="D230" s="68">
        <v>5</v>
      </c>
      <c r="E230" s="69">
        <v>1.0775862068969999E-3</v>
      </c>
    </row>
    <row r="231" spans="2:5" ht="15" customHeight="1">
      <c r="B231" s="96"/>
      <c r="C231" s="67" t="s">
        <v>190</v>
      </c>
      <c r="D231" s="68">
        <v>1</v>
      </c>
      <c r="E231" s="69">
        <v>2.1551724137899999E-4</v>
      </c>
    </row>
    <row r="232" spans="2:5" ht="15" customHeight="1">
      <c r="B232" s="96"/>
      <c r="C232" s="67" t="s">
        <v>191</v>
      </c>
      <c r="D232" s="68">
        <v>4</v>
      </c>
      <c r="E232" s="69">
        <v>8.6206896551700002E-4</v>
      </c>
    </row>
    <row r="233" spans="2:5" ht="15" customHeight="1">
      <c r="B233" s="96"/>
      <c r="C233" s="67" t="s">
        <v>192</v>
      </c>
      <c r="D233" s="68">
        <v>7</v>
      </c>
      <c r="E233" s="69">
        <v>1.508620689655E-3</v>
      </c>
    </row>
    <row r="234" spans="2:5" ht="15" customHeight="1">
      <c r="B234" s="96"/>
      <c r="C234" s="67" t="s">
        <v>194</v>
      </c>
      <c r="D234" s="68">
        <v>2</v>
      </c>
      <c r="E234" s="69">
        <v>4.3103448275899999E-4</v>
      </c>
    </row>
    <row r="235" spans="2:5" ht="15" customHeight="1">
      <c r="B235" s="96"/>
      <c r="C235" s="67" t="s">
        <v>196</v>
      </c>
      <c r="D235" s="68">
        <v>1</v>
      </c>
      <c r="E235" s="69">
        <v>2.1551724137899999E-4</v>
      </c>
    </row>
    <row r="236" spans="2:5" ht="15" customHeight="1">
      <c r="B236" s="96"/>
      <c r="C236" s="67" t="s">
        <v>199</v>
      </c>
      <c r="D236" s="68">
        <v>1</v>
      </c>
      <c r="E236" s="69">
        <v>2.1551724137899999E-4</v>
      </c>
    </row>
    <row r="237" spans="2:5" ht="15" customHeight="1">
      <c r="B237" s="96"/>
      <c r="C237" s="67" t="s">
        <v>201</v>
      </c>
      <c r="D237" s="68">
        <v>3</v>
      </c>
      <c r="E237" s="69">
        <v>6.4655172413799998E-4</v>
      </c>
    </row>
    <row r="238" spans="2:5" ht="15" customHeight="1">
      <c r="B238" s="97"/>
      <c r="C238" s="36" t="s">
        <v>29</v>
      </c>
      <c r="D238" s="35">
        <v>28</v>
      </c>
      <c r="E238" s="34">
        <v>6.0344827586210001E-3</v>
      </c>
    </row>
    <row r="239" spans="2:5" ht="15" customHeight="1">
      <c r="B239" s="95" t="s">
        <v>61</v>
      </c>
      <c r="C239" s="67" t="s">
        <v>187</v>
      </c>
      <c r="D239" s="68">
        <v>13</v>
      </c>
      <c r="E239" s="69">
        <v>2.8017241379310002E-3</v>
      </c>
    </row>
    <row r="240" spans="2:5" ht="15" customHeight="1">
      <c r="B240" s="96"/>
      <c r="C240" s="67" t="s">
        <v>188</v>
      </c>
      <c r="D240" s="68">
        <v>1</v>
      </c>
      <c r="E240" s="69">
        <v>2.1551724137899999E-4</v>
      </c>
    </row>
    <row r="241" spans="2:5" ht="15" customHeight="1">
      <c r="B241" s="96"/>
      <c r="C241" s="67" t="s">
        <v>189</v>
      </c>
      <c r="D241" s="68">
        <v>14</v>
      </c>
      <c r="E241" s="69">
        <v>3.01724137931E-3</v>
      </c>
    </row>
    <row r="242" spans="2:5" ht="15" customHeight="1">
      <c r="B242" s="96"/>
      <c r="C242" s="67" t="s">
        <v>190</v>
      </c>
      <c r="D242" s="68">
        <v>8</v>
      </c>
      <c r="E242" s="69">
        <v>1.724137931034E-3</v>
      </c>
    </row>
    <row r="243" spans="2:5" ht="15" customHeight="1">
      <c r="B243" s="96"/>
      <c r="C243" s="67" t="s">
        <v>191</v>
      </c>
      <c r="D243" s="68">
        <v>7</v>
      </c>
      <c r="E243" s="69">
        <v>1.508620689655E-3</v>
      </c>
    </row>
    <row r="244" spans="2:5" ht="15" customHeight="1">
      <c r="B244" s="96"/>
      <c r="C244" s="67" t="s">
        <v>192</v>
      </c>
      <c r="D244" s="68">
        <v>32</v>
      </c>
      <c r="E244" s="69">
        <v>6.8965517241380003E-3</v>
      </c>
    </row>
    <row r="245" spans="2:5" ht="15" customHeight="1">
      <c r="B245" s="96"/>
      <c r="C245" s="67" t="s">
        <v>193</v>
      </c>
      <c r="D245" s="68">
        <v>1</v>
      </c>
      <c r="E245" s="69">
        <v>2.1551724137899999E-4</v>
      </c>
    </row>
    <row r="246" spans="2:5" ht="15" customHeight="1">
      <c r="B246" s="96"/>
      <c r="C246" s="67" t="s">
        <v>194</v>
      </c>
      <c r="D246" s="68">
        <v>31</v>
      </c>
      <c r="E246" s="69">
        <v>6.6810344827590001E-3</v>
      </c>
    </row>
    <row r="247" spans="2:5" ht="15" customHeight="1">
      <c r="B247" s="96"/>
      <c r="C247" s="67" t="s">
        <v>195</v>
      </c>
      <c r="D247" s="68">
        <v>2</v>
      </c>
      <c r="E247" s="69">
        <v>4.3103448275899999E-4</v>
      </c>
    </row>
    <row r="248" spans="2:5" ht="15" customHeight="1">
      <c r="B248" s="96"/>
      <c r="C248" s="67" t="s">
        <v>196</v>
      </c>
      <c r="D248" s="68">
        <v>1</v>
      </c>
      <c r="E248" s="69">
        <v>2.1551724137899999E-4</v>
      </c>
    </row>
    <row r="249" spans="2:5" ht="15" customHeight="1">
      <c r="B249" s="96"/>
      <c r="C249" s="67" t="s">
        <v>197</v>
      </c>
      <c r="D249" s="68">
        <v>4</v>
      </c>
      <c r="E249" s="69">
        <v>8.6206896551700002E-4</v>
      </c>
    </row>
    <row r="250" spans="2:5" ht="15" customHeight="1">
      <c r="B250" s="96"/>
      <c r="C250" s="67" t="s">
        <v>203</v>
      </c>
      <c r="D250" s="68">
        <v>1</v>
      </c>
      <c r="E250" s="69">
        <v>2.1551724137899999E-4</v>
      </c>
    </row>
    <row r="251" spans="2:5" ht="15" customHeight="1">
      <c r="B251" s="96"/>
      <c r="C251" s="67" t="s">
        <v>199</v>
      </c>
      <c r="D251" s="68">
        <v>6</v>
      </c>
      <c r="E251" s="69">
        <v>1.293103448276E-3</v>
      </c>
    </row>
    <row r="252" spans="2:5" ht="15" customHeight="1">
      <c r="B252" s="96"/>
      <c r="C252" s="67" t="s">
        <v>200</v>
      </c>
      <c r="D252" s="68">
        <v>1</v>
      </c>
      <c r="E252" s="69">
        <v>2.1551724137899999E-4</v>
      </c>
    </row>
    <row r="253" spans="2:5" ht="15" customHeight="1">
      <c r="B253" s="96"/>
      <c r="C253" s="67" t="s">
        <v>201</v>
      </c>
      <c r="D253" s="68">
        <v>7</v>
      </c>
      <c r="E253" s="69">
        <v>1.508620689655E-3</v>
      </c>
    </row>
    <row r="254" spans="2:5" ht="15" customHeight="1">
      <c r="B254" s="97"/>
      <c r="C254" s="36" t="s">
        <v>29</v>
      </c>
      <c r="D254" s="35">
        <v>129</v>
      </c>
      <c r="E254" s="34">
        <v>2.7801724137931E-2</v>
      </c>
    </row>
    <row r="255" spans="2:5" ht="15" customHeight="1">
      <c r="B255" s="95" t="s">
        <v>60</v>
      </c>
      <c r="C255" s="67" t="s">
        <v>187</v>
      </c>
      <c r="D255" s="68">
        <v>11</v>
      </c>
      <c r="E255" s="69">
        <v>2.370689655172E-3</v>
      </c>
    </row>
    <row r="256" spans="2:5" ht="15" customHeight="1">
      <c r="B256" s="96"/>
      <c r="C256" s="67" t="s">
        <v>188</v>
      </c>
      <c r="D256" s="68">
        <v>6</v>
      </c>
      <c r="E256" s="69">
        <v>1.293103448276E-3</v>
      </c>
    </row>
    <row r="257" spans="2:5" ht="15" customHeight="1">
      <c r="B257" s="96"/>
      <c r="C257" s="67" t="s">
        <v>189</v>
      </c>
      <c r="D257" s="68">
        <v>29</v>
      </c>
      <c r="E257" s="69">
        <v>6.2500000000000003E-3</v>
      </c>
    </row>
    <row r="258" spans="2:5" ht="15" customHeight="1">
      <c r="B258" s="96"/>
      <c r="C258" s="67" t="s">
        <v>190</v>
      </c>
      <c r="D258" s="68">
        <v>9</v>
      </c>
      <c r="E258" s="69">
        <v>1.9396551724139999E-3</v>
      </c>
    </row>
    <row r="259" spans="2:5" ht="15" customHeight="1">
      <c r="B259" s="96"/>
      <c r="C259" s="67" t="s">
        <v>191</v>
      </c>
      <c r="D259" s="68">
        <v>5</v>
      </c>
      <c r="E259" s="69">
        <v>1.0775862068969999E-3</v>
      </c>
    </row>
    <row r="260" spans="2:5" ht="15" customHeight="1">
      <c r="B260" s="96"/>
      <c r="C260" s="67" t="s">
        <v>192</v>
      </c>
      <c r="D260" s="68">
        <v>13</v>
      </c>
      <c r="E260" s="69">
        <v>2.8017241379310002E-3</v>
      </c>
    </row>
    <row r="261" spans="2:5" ht="15" customHeight="1">
      <c r="B261" s="96"/>
      <c r="C261" s="67" t="s">
        <v>193</v>
      </c>
      <c r="D261" s="68">
        <v>4</v>
      </c>
      <c r="E261" s="69">
        <v>8.6206896551700002E-4</v>
      </c>
    </row>
    <row r="262" spans="2:5" ht="15" customHeight="1">
      <c r="B262" s="96"/>
      <c r="C262" s="67" t="s">
        <v>194</v>
      </c>
      <c r="D262" s="68">
        <v>27</v>
      </c>
      <c r="E262" s="69">
        <v>5.8189655172409998E-3</v>
      </c>
    </row>
    <row r="263" spans="2:5" ht="15" customHeight="1">
      <c r="B263" s="96"/>
      <c r="C263" s="67" t="s">
        <v>195</v>
      </c>
      <c r="D263" s="68">
        <v>3</v>
      </c>
      <c r="E263" s="69">
        <v>6.4655172413799998E-4</v>
      </c>
    </row>
    <row r="264" spans="2:5" ht="15" customHeight="1">
      <c r="B264" s="96"/>
      <c r="C264" s="67" t="s">
        <v>196</v>
      </c>
      <c r="D264" s="68">
        <v>1</v>
      </c>
      <c r="E264" s="69">
        <v>2.1551724137899999E-4</v>
      </c>
    </row>
    <row r="265" spans="2:5" ht="15" customHeight="1">
      <c r="B265" s="96"/>
      <c r="C265" s="67" t="s">
        <v>197</v>
      </c>
      <c r="D265" s="68">
        <v>7</v>
      </c>
      <c r="E265" s="69">
        <v>1.508620689655E-3</v>
      </c>
    </row>
    <row r="266" spans="2:5" ht="15" customHeight="1">
      <c r="B266" s="96"/>
      <c r="C266" s="67" t="s">
        <v>204</v>
      </c>
      <c r="D266" s="68">
        <v>1</v>
      </c>
      <c r="E266" s="69">
        <v>2.1551724137899999E-4</v>
      </c>
    </row>
    <row r="267" spans="2:5" ht="15" customHeight="1">
      <c r="B267" s="96"/>
      <c r="C267" s="67" t="s">
        <v>198</v>
      </c>
      <c r="D267" s="68">
        <v>3</v>
      </c>
      <c r="E267" s="69">
        <v>6.4655172413799998E-4</v>
      </c>
    </row>
    <row r="268" spans="2:5" ht="15" customHeight="1">
      <c r="B268" s="96"/>
      <c r="C268" s="67" t="s">
        <v>199</v>
      </c>
      <c r="D268" s="68">
        <v>2</v>
      </c>
      <c r="E268" s="69">
        <v>4.3103448275899999E-4</v>
      </c>
    </row>
    <row r="269" spans="2:5" ht="15" customHeight="1">
      <c r="B269" s="96"/>
      <c r="C269" s="67" t="s">
        <v>200</v>
      </c>
      <c r="D269" s="68">
        <v>3</v>
      </c>
      <c r="E269" s="69">
        <v>6.4655172413799998E-4</v>
      </c>
    </row>
    <row r="270" spans="2:5" ht="15" customHeight="1">
      <c r="B270" s="96"/>
      <c r="C270" s="67" t="s">
        <v>201</v>
      </c>
      <c r="D270" s="68">
        <v>6</v>
      </c>
      <c r="E270" s="69">
        <v>1.293103448276E-3</v>
      </c>
    </row>
    <row r="271" spans="2:5" ht="15" customHeight="1">
      <c r="B271" s="97"/>
      <c r="C271" s="36" t="s">
        <v>29</v>
      </c>
      <c r="D271" s="35">
        <v>130</v>
      </c>
      <c r="E271" s="34">
        <v>2.8017241379309998E-2</v>
      </c>
    </row>
    <row r="272" spans="2:5" ht="15" customHeight="1">
      <c r="B272" s="95" t="s">
        <v>56</v>
      </c>
      <c r="C272" s="67" t="s">
        <v>187</v>
      </c>
      <c r="D272" s="68">
        <v>15</v>
      </c>
      <c r="E272" s="69">
        <v>3.2327586206899999E-3</v>
      </c>
    </row>
    <row r="273" spans="2:5" ht="15" customHeight="1">
      <c r="B273" s="96"/>
      <c r="C273" s="67" t="s">
        <v>188</v>
      </c>
      <c r="D273" s="68">
        <v>2</v>
      </c>
      <c r="E273" s="69">
        <v>4.3103448275899999E-4</v>
      </c>
    </row>
    <row r="274" spans="2:5" ht="15" customHeight="1">
      <c r="B274" s="96"/>
      <c r="C274" s="67" t="s">
        <v>189</v>
      </c>
      <c r="D274" s="68">
        <v>19</v>
      </c>
      <c r="E274" s="69">
        <v>4.0948275862070001E-3</v>
      </c>
    </row>
    <row r="275" spans="2:5" ht="15" customHeight="1">
      <c r="B275" s="96"/>
      <c r="C275" s="67" t="s">
        <v>190</v>
      </c>
      <c r="D275" s="68">
        <v>18</v>
      </c>
      <c r="E275" s="69">
        <v>3.8793103448279999E-3</v>
      </c>
    </row>
    <row r="276" spans="2:5" ht="15" customHeight="1">
      <c r="B276" s="96"/>
      <c r="C276" s="67" t="s">
        <v>191</v>
      </c>
      <c r="D276" s="68">
        <v>48</v>
      </c>
      <c r="E276" s="69">
        <v>1.0344827586207E-2</v>
      </c>
    </row>
    <row r="277" spans="2:5" ht="15" customHeight="1">
      <c r="B277" s="96"/>
      <c r="C277" s="67" t="s">
        <v>192</v>
      </c>
      <c r="D277" s="68">
        <v>20</v>
      </c>
      <c r="E277" s="69">
        <v>4.3103448275860004E-3</v>
      </c>
    </row>
    <row r="278" spans="2:5" ht="15" customHeight="1">
      <c r="B278" s="96"/>
      <c r="C278" s="67" t="s">
        <v>193</v>
      </c>
      <c r="D278" s="68">
        <v>3</v>
      </c>
      <c r="E278" s="69">
        <v>6.4655172413799998E-4</v>
      </c>
    </row>
    <row r="279" spans="2:5" ht="15" customHeight="1">
      <c r="B279" s="96"/>
      <c r="C279" s="67" t="s">
        <v>194</v>
      </c>
      <c r="D279" s="68">
        <v>37</v>
      </c>
      <c r="E279" s="69">
        <v>7.9741379310340008E-3</v>
      </c>
    </row>
    <row r="280" spans="2:5" ht="15" customHeight="1">
      <c r="B280" s="96"/>
      <c r="C280" s="67" t="s">
        <v>195</v>
      </c>
      <c r="D280" s="68">
        <v>3</v>
      </c>
      <c r="E280" s="69">
        <v>6.4655172413799998E-4</v>
      </c>
    </row>
    <row r="281" spans="2:5" ht="15" customHeight="1">
      <c r="B281" s="96"/>
      <c r="C281" s="67" t="s">
        <v>196</v>
      </c>
      <c r="D281" s="68">
        <v>1</v>
      </c>
      <c r="E281" s="69">
        <v>2.1551724137899999E-4</v>
      </c>
    </row>
    <row r="282" spans="2:5" ht="15" customHeight="1">
      <c r="B282" s="96"/>
      <c r="C282" s="67" t="s">
        <v>202</v>
      </c>
      <c r="D282" s="68">
        <v>2</v>
      </c>
      <c r="E282" s="69">
        <v>4.3103448275899999E-4</v>
      </c>
    </row>
    <row r="283" spans="2:5" ht="15" customHeight="1">
      <c r="B283" s="96"/>
      <c r="C283" s="67" t="s">
        <v>197</v>
      </c>
      <c r="D283" s="68">
        <v>8</v>
      </c>
      <c r="E283" s="69">
        <v>1.724137931034E-3</v>
      </c>
    </row>
    <row r="284" spans="2:5" ht="15" customHeight="1">
      <c r="B284" s="96"/>
      <c r="C284" s="67" t="s">
        <v>204</v>
      </c>
      <c r="D284" s="68">
        <v>1</v>
      </c>
      <c r="E284" s="69">
        <v>2.1551724137899999E-4</v>
      </c>
    </row>
    <row r="285" spans="2:5" ht="15" customHeight="1">
      <c r="B285" s="96"/>
      <c r="C285" s="67" t="s">
        <v>198</v>
      </c>
      <c r="D285" s="68">
        <v>2</v>
      </c>
      <c r="E285" s="69">
        <v>4.3103448275899999E-4</v>
      </c>
    </row>
    <row r="286" spans="2:5" ht="15" customHeight="1">
      <c r="B286" s="96"/>
      <c r="C286" s="67" t="s">
        <v>199</v>
      </c>
      <c r="D286" s="68">
        <v>1</v>
      </c>
      <c r="E286" s="69">
        <v>2.1551724137899999E-4</v>
      </c>
    </row>
    <row r="287" spans="2:5" ht="15" customHeight="1">
      <c r="B287" s="96"/>
      <c r="C287" s="67" t="s">
        <v>200</v>
      </c>
      <c r="D287" s="68">
        <v>3</v>
      </c>
      <c r="E287" s="69">
        <v>6.4655172413799998E-4</v>
      </c>
    </row>
    <row r="288" spans="2:5" ht="15" customHeight="1">
      <c r="B288" s="96"/>
      <c r="C288" s="67" t="s">
        <v>201</v>
      </c>
      <c r="D288" s="68">
        <v>4</v>
      </c>
      <c r="E288" s="69">
        <v>8.6206896551700002E-4</v>
      </c>
    </row>
    <row r="289" spans="2:5" ht="15" customHeight="1">
      <c r="B289" s="97"/>
      <c r="C289" s="36" t="s">
        <v>29</v>
      </c>
      <c r="D289" s="35">
        <v>187</v>
      </c>
      <c r="E289" s="34">
        <v>4.0301724137930997E-2</v>
      </c>
    </row>
    <row r="290" spans="2:5" ht="15" customHeight="1">
      <c r="B290" s="95" t="s">
        <v>65</v>
      </c>
      <c r="C290" s="67" t="s">
        <v>187</v>
      </c>
      <c r="D290" s="68">
        <v>3</v>
      </c>
      <c r="E290" s="69">
        <v>6.4655172413799998E-4</v>
      </c>
    </row>
    <row r="291" spans="2:5" ht="15" customHeight="1">
      <c r="B291" s="96"/>
      <c r="C291" s="67" t="s">
        <v>189</v>
      </c>
      <c r="D291" s="68">
        <v>5</v>
      </c>
      <c r="E291" s="69">
        <v>1.0775862068969999E-3</v>
      </c>
    </row>
    <row r="292" spans="2:5" ht="15" customHeight="1">
      <c r="B292" s="96"/>
      <c r="C292" s="67" t="s">
        <v>190</v>
      </c>
      <c r="D292" s="68">
        <v>7</v>
      </c>
      <c r="E292" s="69">
        <v>1.508620689655E-3</v>
      </c>
    </row>
    <row r="293" spans="2:5" ht="15" customHeight="1">
      <c r="B293" s="96"/>
      <c r="C293" s="67" t="s">
        <v>191</v>
      </c>
      <c r="D293" s="68">
        <v>3</v>
      </c>
      <c r="E293" s="69">
        <v>6.4655172413799998E-4</v>
      </c>
    </row>
    <row r="294" spans="2:5" ht="15" customHeight="1">
      <c r="B294" s="96"/>
      <c r="C294" s="67" t="s">
        <v>192</v>
      </c>
      <c r="D294" s="68">
        <v>22</v>
      </c>
      <c r="E294" s="69">
        <v>4.7413793103450001E-3</v>
      </c>
    </row>
    <row r="295" spans="2:5" ht="15" customHeight="1">
      <c r="B295" s="96"/>
      <c r="C295" s="67" t="s">
        <v>193</v>
      </c>
      <c r="D295" s="68">
        <v>1</v>
      </c>
      <c r="E295" s="69">
        <v>2.1551724137899999E-4</v>
      </c>
    </row>
    <row r="296" spans="2:5" ht="15" customHeight="1">
      <c r="B296" s="96"/>
      <c r="C296" s="67" t="s">
        <v>194</v>
      </c>
      <c r="D296" s="68">
        <v>18</v>
      </c>
      <c r="E296" s="69">
        <v>3.8793103448279999E-3</v>
      </c>
    </row>
    <row r="297" spans="2:5" ht="15" customHeight="1">
      <c r="B297" s="96"/>
      <c r="C297" s="67" t="s">
        <v>195</v>
      </c>
      <c r="D297" s="68">
        <v>1</v>
      </c>
      <c r="E297" s="69">
        <v>2.1551724137899999E-4</v>
      </c>
    </row>
    <row r="298" spans="2:5" ht="15" customHeight="1">
      <c r="B298" s="96"/>
      <c r="C298" s="67" t="s">
        <v>196</v>
      </c>
      <c r="D298" s="68">
        <v>1</v>
      </c>
      <c r="E298" s="69">
        <v>2.1551724137899999E-4</v>
      </c>
    </row>
    <row r="299" spans="2:5" ht="15" customHeight="1">
      <c r="B299" s="96"/>
      <c r="C299" s="67" t="s">
        <v>202</v>
      </c>
      <c r="D299" s="68">
        <v>1</v>
      </c>
      <c r="E299" s="69">
        <v>2.1551724137899999E-4</v>
      </c>
    </row>
    <row r="300" spans="2:5" ht="15" customHeight="1">
      <c r="B300" s="96"/>
      <c r="C300" s="67" t="s">
        <v>197</v>
      </c>
      <c r="D300" s="68">
        <v>4</v>
      </c>
      <c r="E300" s="69">
        <v>8.6206896551700002E-4</v>
      </c>
    </row>
    <row r="301" spans="2:5" ht="15" customHeight="1">
      <c r="B301" s="96"/>
      <c r="C301" s="67" t="s">
        <v>198</v>
      </c>
      <c r="D301" s="68">
        <v>1</v>
      </c>
      <c r="E301" s="69">
        <v>2.1551724137899999E-4</v>
      </c>
    </row>
    <row r="302" spans="2:5" ht="15" customHeight="1">
      <c r="B302" s="96"/>
      <c r="C302" s="67" t="s">
        <v>200</v>
      </c>
      <c r="D302" s="68">
        <v>3</v>
      </c>
      <c r="E302" s="69">
        <v>6.4655172413799998E-4</v>
      </c>
    </row>
    <row r="303" spans="2:5" ht="15" customHeight="1">
      <c r="B303" s="96"/>
      <c r="C303" s="67" t="s">
        <v>201</v>
      </c>
      <c r="D303" s="68">
        <v>5</v>
      </c>
      <c r="E303" s="69">
        <v>1.0775862068969999E-3</v>
      </c>
    </row>
    <row r="304" spans="2:5" ht="15" customHeight="1">
      <c r="B304" s="97"/>
      <c r="C304" s="36" t="s">
        <v>29</v>
      </c>
      <c r="D304" s="35">
        <v>75</v>
      </c>
      <c r="E304" s="34">
        <v>1.6163793103447999E-2</v>
      </c>
    </row>
    <row r="305" spans="2:5" ht="15" customHeight="1">
      <c r="B305" s="95" t="s">
        <v>76</v>
      </c>
      <c r="C305" s="67" t="s">
        <v>188</v>
      </c>
      <c r="D305" s="68">
        <v>1</v>
      </c>
      <c r="E305" s="69">
        <v>2.1551724137899999E-4</v>
      </c>
    </row>
    <row r="306" spans="2:5" ht="15" customHeight="1">
      <c r="B306" s="96"/>
      <c r="C306" s="67" t="s">
        <v>189</v>
      </c>
      <c r="D306" s="68">
        <v>4</v>
      </c>
      <c r="E306" s="69">
        <v>8.6206896551700002E-4</v>
      </c>
    </row>
    <row r="307" spans="2:5" ht="15" customHeight="1">
      <c r="B307" s="96"/>
      <c r="C307" s="67" t="s">
        <v>190</v>
      </c>
      <c r="D307" s="68">
        <v>1</v>
      </c>
      <c r="E307" s="69">
        <v>2.1551724137899999E-4</v>
      </c>
    </row>
    <row r="308" spans="2:5" ht="15" customHeight="1">
      <c r="B308" s="96"/>
      <c r="C308" s="67" t="s">
        <v>192</v>
      </c>
      <c r="D308" s="68">
        <v>7</v>
      </c>
      <c r="E308" s="69">
        <v>1.508620689655E-3</v>
      </c>
    </row>
    <row r="309" spans="2:5" ht="15" customHeight="1">
      <c r="B309" s="96"/>
      <c r="C309" s="67" t="s">
        <v>193</v>
      </c>
      <c r="D309" s="68">
        <v>1</v>
      </c>
      <c r="E309" s="69">
        <v>2.1551724137899999E-4</v>
      </c>
    </row>
    <row r="310" spans="2:5" ht="15" customHeight="1">
      <c r="B310" s="96"/>
      <c r="C310" s="67" t="s">
        <v>194</v>
      </c>
      <c r="D310" s="68">
        <v>16</v>
      </c>
      <c r="E310" s="69">
        <v>3.4482758620690002E-3</v>
      </c>
    </row>
    <row r="311" spans="2:5" ht="15" customHeight="1">
      <c r="B311" s="96"/>
      <c r="C311" s="67" t="s">
        <v>196</v>
      </c>
      <c r="D311" s="68">
        <v>1</v>
      </c>
      <c r="E311" s="69">
        <v>2.1551724137899999E-4</v>
      </c>
    </row>
    <row r="312" spans="2:5" ht="15" customHeight="1">
      <c r="B312" s="96"/>
      <c r="C312" s="67" t="s">
        <v>197</v>
      </c>
      <c r="D312" s="68">
        <v>3</v>
      </c>
      <c r="E312" s="69">
        <v>6.4655172413799998E-4</v>
      </c>
    </row>
    <row r="313" spans="2:5" ht="15" customHeight="1">
      <c r="B313" s="96"/>
      <c r="C313" s="67" t="s">
        <v>198</v>
      </c>
      <c r="D313" s="68">
        <v>1</v>
      </c>
      <c r="E313" s="69">
        <v>2.1551724137899999E-4</v>
      </c>
    </row>
    <row r="314" spans="2:5" ht="15" customHeight="1">
      <c r="B314" s="96"/>
      <c r="C314" s="67" t="s">
        <v>199</v>
      </c>
      <c r="D314" s="68">
        <v>1</v>
      </c>
      <c r="E314" s="69">
        <v>2.1551724137899999E-4</v>
      </c>
    </row>
    <row r="315" spans="2:5" ht="15" customHeight="1">
      <c r="B315" s="96"/>
      <c r="C315" s="67" t="s">
        <v>200</v>
      </c>
      <c r="D315" s="68">
        <v>1</v>
      </c>
      <c r="E315" s="69">
        <v>2.1551724137899999E-4</v>
      </c>
    </row>
    <row r="316" spans="2:5" ht="15" customHeight="1">
      <c r="B316" s="96"/>
      <c r="C316" s="67" t="s">
        <v>201</v>
      </c>
      <c r="D316" s="68">
        <v>5</v>
      </c>
      <c r="E316" s="69">
        <v>1.0775862068969999E-3</v>
      </c>
    </row>
    <row r="317" spans="2:5" ht="15" customHeight="1">
      <c r="B317" s="97"/>
      <c r="C317" s="36" t="s">
        <v>29</v>
      </c>
      <c r="D317" s="35">
        <v>42</v>
      </c>
      <c r="E317" s="34">
        <v>9.0517241379310005E-3</v>
      </c>
    </row>
    <row r="318" spans="2:5" ht="15" customHeight="1">
      <c r="B318" s="95" t="s">
        <v>59</v>
      </c>
      <c r="C318" s="67" t="s">
        <v>187</v>
      </c>
      <c r="D318" s="68">
        <v>19</v>
      </c>
      <c r="E318" s="69">
        <v>4.0948275862070001E-3</v>
      </c>
    </row>
    <row r="319" spans="2:5" ht="15" customHeight="1">
      <c r="B319" s="96"/>
      <c r="C319" s="67" t="s">
        <v>188</v>
      </c>
      <c r="D319" s="68">
        <v>2</v>
      </c>
      <c r="E319" s="69">
        <v>4.3103448275899999E-4</v>
      </c>
    </row>
    <row r="320" spans="2:5" ht="15" customHeight="1">
      <c r="B320" s="96"/>
      <c r="C320" s="67" t="s">
        <v>189</v>
      </c>
      <c r="D320" s="68">
        <v>16</v>
      </c>
      <c r="E320" s="69">
        <v>3.4482758620690002E-3</v>
      </c>
    </row>
    <row r="321" spans="2:5" ht="15" customHeight="1">
      <c r="B321" s="96"/>
      <c r="C321" s="67" t="s">
        <v>190</v>
      </c>
      <c r="D321" s="68">
        <v>7</v>
      </c>
      <c r="E321" s="69">
        <v>1.508620689655E-3</v>
      </c>
    </row>
    <row r="322" spans="2:5" ht="15" customHeight="1">
      <c r="B322" s="96"/>
      <c r="C322" s="67" t="s">
        <v>191</v>
      </c>
      <c r="D322" s="68">
        <v>5</v>
      </c>
      <c r="E322" s="69">
        <v>1.0775862068969999E-3</v>
      </c>
    </row>
    <row r="323" spans="2:5" ht="15" customHeight="1">
      <c r="B323" s="96"/>
      <c r="C323" s="67" t="s">
        <v>192</v>
      </c>
      <c r="D323" s="68">
        <v>30</v>
      </c>
      <c r="E323" s="69">
        <v>6.4655172413789997E-3</v>
      </c>
    </row>
    <row r="324" spans="2:5" ht="15" customHeight="1">
      <c r="B324" s="96"/>
      <c r="C324" s="67" t="s">
        <v>194</v>
      </c>
      <c r="D324" s="68">
        <v>27</v>
      </c>
      <c r="E324" s="69">
        <v>5.8189655172409998E-3</v>
      </c>
    </row>
    <row r="325" spans="2:5" ht="15" customHeight="1">
      <c r="B325" s="96"/>
      <c r="C325" s="67" t="s">
        <v>195</v>
      </c>
      <c r="D325" s="68">
        <v>2</v>
      </c>
      <c r="E325" s="69">
        <v>4.3103448275899999E-4</v>
      </c>
    </row>
    <row r="326" spans="2:5" ht="15" customHeight="1">
      <c r="B326" s="96"/>
      <c r="C326" s="67" t="s">
        <v>196</v>
      </c>
      <c r="D326" s="68">
        <v>1</v>
      </c>
      <c r="E326" s="69">
        <v>2.1551724137899999E-4</v>
      </c>
    </row>
    <row r="327" spans="2:5" ht="15" customHeight="1">
      <c r="B327" s="96"/>
      <c r="C327" s="67" t="s">
        <v>197</v>
      </c>
      <c r="D327" s="68">
        <v>9</v>
      </c>
      <c r="E327" s="69">
        <v>1.9396551724139999E-3</v>
      </c>
    </row>
    <row r="328" spans="2:5" ht="15" customHeight="1">
      <c r="B328" s="96"/>
      <c r="C328" s="67" t="s">
        <v>198</v>
      </c>
      <c r="D328" s="68">
        <v>4</v>
      </c>
      <c r="E328" s="69">
        <v>8.6206896551700002E-4</v>
      </c>
    </row>
    <row r="329" spans="2:5" ht="15" customHeight="1">
      <c r="B329" s="96"/>
      <c r="C329" s="67" t="s">
        <v>199</v>
      </c>
      <c r="D329" s="68">
        <v>3</v>
      </c>
      <c r="E329" s="69">
        <v>6.4655172413799998E-4</v>
      </c>
    </row>
    <row r="330" spans="2:5" ht="15" customHeight="1">
      <c r="B330" s="96"/>
      <c r="C330" s="67" t="s">
        <v>201</v>
      </c>
      <c r="D330" s="68">
        <v>29</v>
      </c>
      <c r="E330" s="69">
        <v>6.2500000000000003E-3</v>
      </c>
    </row>
    <row r="331" spans="2:5" ht="15" customHeight="1">
      <c r="B331" s="97"/>
      <c r="C331" s="36" t="s">
        <v>29</v>
      </c>
      <c r="D331" s="35">
        <v>154</v>
      </c>
      <c r="E331" s="34">
        <v>3.3189655172413998E-2</v>
      </c>
    </row>
    <row r="332" spans="2:5" ht="15" customHeight="1">
      <c r="B332" s="95" t="s">
        <v>68</v>
      </c>
      <c r="C332" s="67" t="s">
        <v>187</v>
      </c>
      <c r="D332" s="68">
        <v>1</v>
      </c>
      <c r="E332" s="69">
        <v>2.1551724137899999E-4</v>
      </c>
    </row>
    <row r="333" spans="2:5" ht="15" customHeight="1">
      <c r="B333" s="96"/>
      <c r="C333" s="67" t="s">
        <v>188</v>
      </c>
      <c r="D333" s="68">
        <v>1</v>
      </c>
      <c r="E333" s="69">
        <v>2.1551724137899999E-4</v>
      </c>
    </row>
    <row r="334" spans="2:5" ht="15" customHeight="1">
      <c r="B334" s="96"/>
      <c r="C334" s="67" t="s">
        <v>189</v>
      </c>
      <c r="D334" s="68">
        <v>6</v>
      </c>
      <c r="E334" s="69">
        <v>1.293103448276E-3</v>
      </c>
    </row>
    <row r="335" spans="2:5" ht="15" customHeight="1">
      <c r="B335" s="96"/>
      <c r="C335" s="67" t="s">
        <v>190</v>
      </c>
      <c r="D335" s="68">
        <v>2</v>
      </c>
      <c r="E335" s="69">
        <v>4.3103448275899999E-4</v>
      </c>
    </row>
    <row r="336" spans="2:5" ht="15" customHeight="1">
      <c r="B336" s="96"/>
      <c r="C336" s="67" t="s">
        <v>191</v>
      </c>
      <c r="D336" s="68">
        <v>3</v>
      </c>
      <c r="E336" s="69">
        <v>6.4655172413799998E-4</v>
      </c>
    </row>
    <row r="337" spans="2:5" ht="15" customHeight="1">
      <c r="B337" s="96"/>
      <c r="C337" s="67" t="s">
        <v>192</v>
      </c>
      <c r="D337" s="68">
        <v>23</v>
      </c>
      <c r="E337" s="69">
        <v>4.9568965517240004E-3</v>
      </c>
    </row>
    <row r="338" spans="2:5" ht="15" customHeight="1">
      <c r="B338" s="96"/>
      <c r="C338" s="67" t="s">
        <v>193</v>
      </c>
      <c r="D338" s="68">
        <v>4</v>
      </c>
      <c r="E338" s="69">
        <v>8.6206896551700002E-4</v>
      </c>
    </row>
    <row r="339" spans="2:5" ht="15" customHeight="1">
      <c r="B339" s="96"/>
      <c r="C339" s="67" t="s">
        <v>194</v>
      </c>
      <c r="D339" s="68">
        <v>24</v>
      </c>
      <c r="E339" s="69">
        <v>5.1724137931029998E-3</v>
      </c>
    </row>
    <row r="340" spans="2:5" ht="15" customHeight="1">
      <c r="B340" s="96"/>
      <c r="C340" s="67" t="s">
        <v>197</v>
      </c>
      <c r="D340" s="68">
        <v>1</v>
      </c>
      <c r="E340" s="69">
        <v>2.1551724137899999E-4</v>
      </c>
    </row>
    <row r="341" spans="2:5" ht="15" customHeight="1">
      <c r="B341" s="96"/>
      <c r="C341" s="67" t="s">
        <v>204</v>
      </c>
      <c r="D341" s="68">
        <v>1</v>
      </c>
      <c r="E341" s="69">
        <v>2.1551724137899999E-4</v>
      </c>
    </row>
    <row r="342" spans="2:5" ht="15" customHeight="1">
      <c r="B342" s="96"/>
      <c r="C342" s="67" t="s">
        <v>199</v>
      </c>
      <c r="D342" s="68">
        <v>1</v>
      </c>
      <c r="E342" s="69">
        <v>2.1551724137899999E-4</v>
      </c>
    </row>
    <row r="343" spans="2:5" ht="15" customHeight="1">
      <c r="B343" s="96"/>
      <c r="C343" s="67" t="s">
        <v>200</v>
      </c>
      <c r="D343" s="68">
        <v>1</v>
      </c>
      <c r="E343" s="69">
        <v>2.1551724137899999E-4</v>
      </c>
    </row>
    <row r="344" spans="2:5" ht="15" customHeight="1">
      <c r="B344" s="96"/>
      <c r="C344" s="67" t="s">
        <v>201</v>
      </c>
      <c r="D344" s="68">
        <v>3</v>
      </c>
      <c r="E344" s="69">
        <v>6.4655172413799998E-4</v>
      </c>
    </row>
    <row r="345" spans="2:5" ht="15" customHeight="1">
      <c r="B345" s="97"/>
      <c r="C345" s="36" t="s">
        <v>29</v>
      </c>
      <c r="D345" s="35">
        <v>71</v>
      </c>
      <c r="E345" s="34">
        <v>1.5301724137930999E-2</v>
      </c>
    </row>
    <row r="346" spans="2:5" ht="15" customHeight="1">
      <c r="B346" s="95" t="s">
        <v>64</v>
      </c>
      <c r="C346" s="67" t="s">
        <v>187</v>
      </c>
      <c r="D346" s="68">
        <v>11</v>
      </c>
      <c r="E346" s="69">
        <v>2.370689655172E-3</v>
      </c>
    </row>
    <row r="347" spans="2:5" ht="15" customHeight="1">
      <c r="B347" s="96"/>
      <c r="C347" s="67" t="s">
        <v>189</v>
      </c>
      <c r="D347" s="68">
        <v>7</v>
      </c>
      <c r="E347" s="69">
        <v>1.508620689655E-3</v>
      </c>
    </row>
    <row r="348" spans="2:5" ht="15" customHeight="1">
      <c r="B348" s="96"/>
      <c r="C348" s="67" t="s">
        <v>190</v>
      </c>
      <c r="D348" s="68">
        <v>9</v>
      </c>
      <c r="E348" s="69">
        <v>1.9396551724139999E-3</v>
      </c>
    </row>
    <row r="349" spans="2:5" ht="15" customHeight="1">
      <c r="B349" s="96"/>
      <c r="C349" s="67" t="s">
        <v>191</v>
      </c>
      <c r="D349" s="68">
        <v>7</v>
      </c>
      <c r="E349" s="69">
        <v>1.508620689655E-3</v>
      </c>
    </row>
    <row r="350" spans="2:5" ht="15" customHeight="1">
      <c r="B350" s="96"/>
      <c r="C350" s="67" t="s">
        <v>192</v>
      </c>
      <c r="D350" s="68">
        <v>23</v>
      </c>
      <c r="E350" s="69">
        <v>4.9568965517240004E-3</v>
      </c>
    </row>
    <row r="351" spans="2:5" ht="15" customHeight="1">
      <c r="B351" s="96"/>
      <c r="C351" s="67" t="s">
        <v>193</v>
      </c>
      <c r="D351" s="68">
        <v>1</v>
      </c>
      <c r="E351" s="69">
        <v>2.1551724137899999E-4</v>
      </c>
    </row>
    <row r="352" spans="2:5" ht="15" customHeight="1">
      <c r="B352" s="96"/>
      <c r="C352" s="67" t="s">
        <v>194</v>
      </c>
      <c r="D352" s="68">
        <v>12</v>
      </c>
      <c r="E352" s="69">
        <v>2.5862068965519999E-3</v>
      </c>
    </row>
    <row r="353" spans="2:5" ht="15" customHeight="1">
      <c r="B353" s="96"/>
      <c r="C353" s="67" t="s">
        <v>195</v>
      </c>
      <c r="D353" s="68">
        <v>2</v>
      </c>
      <c r="E353" s="69">
        <v>4.3103448275899999E-4</v>
      </c>
    </row>
    <row r="354" spans="2:5" ht="15" customHeight="1">
      <c r="B354" s="96"/>
      <c r="C354" s="67" t="s">
        <v>202</v>
      </c>
      <c r="D354" s="68">
        <v>1</v>
      </c>
      <c r="E354" s="69">
        <v>2.1551724137899999E-4</v>
      </c>
    </row>
    <row r="355" spans="2:5" ht="15" customHeight="1">
      <c r="B355" s="96"/>
      <c r="C355" s="67" t="s">
        <v>199</v>
      </c>
      <c r="D355" s="68">
        <v>9</v>
      </c>
      <c r="E355" s="69">
        <v>1.9396551724139999E-3</v>
      </c>
    </row>
    <row r="356" spans="2:5" ht="15" customHeight="1">
      <c r="B356" s="96"/>
      <c r="C356" s="67" t="s">
        <v>200</v>
      </c>
      <c r="D356" s="68">
        <v>1</v>
      </c>
      <c r="E356" s="69">
        <v>2.1551724137899999E-4</v>
      </c>
    </row>
    <row r="357" spans="2:5" ht="15" customHeight="1">
      <c r="B357" s="96"/>
      <c r="C357" s="67" t="s">
        <v>201</v>
      </c>
      <c r="D357" s="68">
        <v>2</v>
      </c>
      <c r="E357" s="69">
        <v>4.3103448275899999E-4</v>
      </c>
    </row>
    <row r="358" spans="2:5" ht="15" customHeight="1">
      <c r="B358" s="97"/>
      <c r="C358" s="36" t="s">
        <v>29</v>
      </c>
      <c r="D358" s="35">
        <v>85</v>
      </c>
      <c r="E358" s="34">
        <v>1.8318965517241E-2</v>
      </c>
    </row>
    <row r="359" spans="2:5" ht="15" customHeight="1">
      <c r="B359" s="95" t="s">
        <v>88</v>
      </c>
      <c r="C359" s="67" t="s">
        <v>187</v>
      </c>
      <c r="D359" s="68">
        <v>2</v>
      </c>
      <c r="E359" s="69">
        <v>4.3103448275899999E-4</v>
      </c>
    </row>
    <row r="360" spans="2:5" ht="15" customHeight="1">
      <c r="B360" s="96"/>
      <c r="C360" s="67" t="s">
        <v>189</v>
      </c>
      <c r="D360" s="68">
        <v>1</v>
      </c>
      <c r="E360" s="69">
        <v>2.1551724137899999E-4</v>
      </c>
    </row>
    <row r="361" spans="2:5" ht="15" customHeight="1">
      <c r="B361" s="96"/>
      <c r="C361" s="67" t="s">
        <v>190</v>
      </c>
      <c r="D361" s="68">
        <v>1</v>
      </c>
      <c r="E361" s="69">
        <v>2.1551724137899999E-4</v>
      </c>
    </row>
    <row r="362" spans="2:5" ht="15" customHeight="1">
      <c r="B362" s="96"/>
      <c r="C362" s="67" t="s">
        <v>191</v>
      </c>
      <c r="D362" s="68">
        <v>4</v>
      </c>
      <c r="E362" s="69">
        <v>8.6206896551700002E-4</v>
      </c>
    </row>
    <row r="363" spans="2:5" ht="15" customHeight="1">
      <c r="B363" s="96"/>
      <c r="C363" s="67" t="s">
        <v>192</v>
      </c>
      <c r="D363" s="68">
        <v>5</v>
      </c>
      <c r="E363" s="69">
        <v>1.0775862068969999E-3</v>
      </c>
    </row>
    <row r="364" spans="2:5" ht="15" customHeight="1">
      <c r="B364" s="96"/>
      <c r="C364" s="67" t="s">
        <v>196</v>
      </c>
      <c r="D364" s="68">
        <v>1</v>
      </c>
      <c r="E364" s="69">
        <v>2.1551724137899999E-4</v>
      </c>
    </row>
    <row r="365" spans="2:5" ht="15" customHeight="1">
      <c r="B365" s="96"/>
      <c r="C365" s="67" t="s">
        <v>202</v>
      </c>
      <c r="D365" s="68">
        <v>1</v>
      </c>
      <c r="E365" s="69">
        <v>2.1551724137899999E-4</v>
      </c>
    </row>
    <row r="366" spans="2:5" ht="15" customHeight="1">
      <c r="B366" s="96"/>
      <c r="C366" s="67" t="s">
        <v>199</v>
      </c>
      <c r="D366" s="68">
        <v>1</v>
      </c>
      <c r="E366" s="69">
        <v>2.1551724137899999E-4</v>
      </c>
    </row>
    <row r="367" spans="2:5" ht="15" customHeight="1">
      <c r="B367" s="97"/>
      <c r="C367" s="36" t="s">
        <v>29</v>
      </c>
      <c r="D367" s="35">
        <v>16</v>
      </c>
      <c r="E367" s="34">
        <v>3.4482758620690002E-3</v>
      </c>
    </row>
    <row r="368" spans="2:5" ht="15" customHeight="1">
      <c r="B368" s="95" t="s">
        <v>51</v>
      </c>
      <c r="C368" s="67" t="s">
        <v>187</v>
      </c>
      <c r="D368" s="68">
        <v>17</v>
      </c>
      <c r="E368" s="69">
        <v>3.663793103448E-3</v>
      </c>
    </row>
    <row r="369" spans="2:5" ht="15" customHeight="1">
      <c r="B369" s="96"/>
      <c r="C369" s="67" t="s">
        <v>188</v>
      </c>
      <c r="D369" s="68">
        <v>2</v>
      </c>
      <c r="E369" s="69">
        <v>4.3103448275899999E-4</v>
      </c>
    </row>
    <row r="370" spans="2:5" ht="15" customHeight="1">
      <c r="B370" s="96"/>
      <c r="C370" s="67" t="s">
        <v>189</v>
      </c>
      <c r="D370" s="68">
        <v>24</v>
      </c>
      <c r="E370" s="69">
        <v>5.1724137931029998E-3</v>
      </c>
    </row>
    <row r="371" spans="2:5" ht="15" customHeight="1">
      <c r="B371" s="96"/>
      <c r="C371" s="67" t="s">
        <v>190</v>
      </c>
      <c r="D371" s="68">
        <v>11</v>
      </c>
      <c r="E371" s="69">
        <v>2.370689655172E-3</v>
      </c>
    </row>
    <row r="372" spans="2:5" ht="15" customHeight="1">
      <c r="B372" s="96"/>
      <c r="C372" s="67" t="s">
        <v>191</v>
      </c>
      <c r="D372" s="68">
        <v>5</v>
      </c>
      <c r="E372" s="69">
        <v>1.0775862068969999E-3</v>
      </c>
    </row>
    <row r="373" spans="2:5" ht="15" customHeight="1">
      <c r="B373" s="96"/>
      <c r="C373" s="67" t="s">
        <v>192</v>
      </c>
      <c r="D373" s="68">
        <v>73</v>
      </c>
      <c r="E373" s="69">
        <v>1.5732758620689999E-2</v>
      </c>
    </row>
    <row r="374" spans="2:5" ht="15" customHeight="1">
      <c r="B374" s="96"/>
      <c r="C374" s="67" t="s">
        <v>193</v>
      </c>
      <c r="D374" s="68">
        <v>2</v>
      </c>
      <c r="E374" s="69">
        <v>4.3103448275899999E-4</v>
      </c>
    </row>
    <row r="375" spans="2:5" ht="15" customHeight="1">
      <c r="B375" s="96"/>
      <c r="C375" s="67" t="s">
        <v>194</v>
      </c>
      <c r="D375" s="68">
        <v>100</v>
      </c>
      <c r="E375" s="69">
        <v>2.1551724137931001E-2</v>
      </c>
    </row>
    <row r="376" spans="2:5" ht="15" customHeight="1">
      <c r="B376" s="96"/>
      <c r="C376" s="67" t="s">
        <v>195</v>
      </c>
      <c r="D376" s="68">
        <v>4</v>
      </c>
      <c r="E376" s="69">
        <v>8.6206896551700002E-4</v>
      </c>
    </row>
    <row r="377" spans="2:5" ht="15" customHeight="1">
      <c r="B377" s="96"/>
      <c r="C377" s="67" t="s">
        <v>196</v>
      </c>
      <c r="D377" s="68">
        <v>10</v>
      </c>
      <c r="E377" s="69">
        <v>2.1551724137930002E-3</v>
      </c>
    </row>
    <row r="378" spans="2:5" ht="15" customHeight="1">
      <c r="B378" s="96"/>
      <c r="C378" s="67" t="s">
        <v>202</v>
      </c>
      <c r="D378" s="68">
        <v>1</v>
      </c>
      <c r="E378" s="69">
        <v>2.1551724137899999E-4</v>
      </c>
    </row>
    <row r="379" spans="2:5" ht="15" customHeight="1">
      <c r="B379" s="96"/>
      <c r="C379" s="67" t="s">
        <v>197</v>
      </c>
      <c r="D379" s="68">
        <v>10</v>
      </c>
      <c r="E379" s="69">
        <v>2.1551724137930002E-3</v>
      </c>
    </row>
    <row r="380" spans="2:5" ht="15" customHeight="1">
      <c r="B380" s="96"/>
      <c r="C380" s="67" t="s">
        <v>204</v>
      </c>
      <c r="D380" s="68">
        <v>4</v>
      </c>
      <c r="E380" s="69">
        <v>8.6206896551700002E-4</v>
      </c>
    </row>
    <row r="381" spans="2:5" ht="15" customHeight="1">
      <c r="B381" s="96"/>
      <c r="C381" s="67" t="s">
        <v>203</v>
      </c>
      <c r="D381" s="68">
        <v>3</v>
      </c>
      <c r="E381" s="69">
        <v>6.4655172413799998E-4</v>
      </c>
    </row>
    <row r="382" spans="2:5" ht="15" customHeight="1">
      <c r="B382" s="96"/>
      <c r="C382" s="67" t="s">
        <v>198</v>
      </c>
      <c r="D382" s="68">
        <v>1</v>
      </c>
      <c r="E382" s="69">
        <v>2.1551724137899999E-4</v>
      </c>
    </row>
    <row r="383" spans="2:5" ht="15" customHeight="1">
      <c r="B383" s="96"/>
      <c r="C383" s="67" t="s">
        <v>199</v>
      </c>
      <c r="D383" s="68">
        <v>6</v>
      </c>
      <c r="E383" s="69">
        <v>1.293103448276E-3</v>
      </c>
    </row>
    <row r="384" spans="2:5" ht="15" customHeight="1">
      <c r="B384" s="96"/>
      <c r="C384" s="67" t="s">
        <v>200</v>
      </c>
      <c r="D384" s="68">
        <v>5</v>
      </c>
      <c r="E384" s="69">
        <v>1.0775862068969999E-3</v>
      </c>
    </row>
    <row r="385" spans="2:5" ht="15" customHeight="1">
      <c r="B385" s="96"/>
      <c r="C385" s="67" t="s">
        <v>201</v>
      </c>
      <c r="D385" s="68">
        <v>10</v>
      </c>
      <c r="E385" s="69">
        <v>2.1551724137930002E-3</v>
      </c>
    </row>
    <row r="386" spans="2:5" ht="15" customHeight="1">
      <c r="B386" s="97"/>
      <c r="C386" s="36" t="s">
        <v>29</v>
      </c>
      <c r="D386" s="35">
        <v>288</v>
      </c>
      <c r="E386" s="34">
        <v>6.2068965517240997E-2</v>
      </c>
    </row>
    <row r="387" spans="2:5" ht="15" customHeight="1">
      <c r="B387" s="95" t="s">
        <v>90</v>
      </c>
      <c r="C387" s="67" t="s">
        <v>187</v>
      </c>
      <c r="D387" s="68">
        <v>3</v>
      </c>
      <c r="E387" s="69">
        <v>6.4655172413799998E-4</v>
      </c>
    </row>
    <row r="388" spans="2:5" ht="15" customHeight="1">
      <c r="B388" s="96"/>
      <c r="C388" s="67" t="s">
        <v>189</v>
      </c>
      <c r="D388" s="68">
        <v>1</v>
      </c>
      <c r="E388" s="69">
        <v>2.1551724137899999E-4</v>
      </c>
    </row>
    <row r="389" spans="2:5" ht="15" customHeight="1">
      <c r="B389" s="96"/>
      <c r="C389" s="67" t="s">
        <v>192</v>
      </c>
      <c r="D389" s="68">
        <v>2</v>
      </c>
      <c r="E389" s="69">
        <v>4.3103448275899999E-4</v>
      </c>
    </row>
    <row r="390" spans="2:5" ht="15" customHeight="1">
      <c r="B390" s="96"/>
      <c r="C390" s="67" t="s">
        <v>194</v>
      </c>
      <c r="D390" s="68">
        <v>4</v>
      </c>
      <c r="E390" s="69">
        <v>8.6206896551700002E-4</v>
      </c>
    </row>
    <row r="391" spans="2:5" ht="15" customHeight="1">
      <c r="B391" s="96"/>
      <c r="C391" s="67" t="s">
        <v>195</v>
      </c>
      <c r="D391" s="68">
        <v>2</v>
      </c>
      <c r="E391" s="69">
        <v>4.3103448275899999E-4</v>
      </c>
    </row>
    <row r="392" spans="2:5" ht="15" customHeight="1">
      <c r="B392" s="96"/>
      <c r="C392" s="67" t="s">
        <v>197</v>
      </c>
      <c r="D392" s="68">
        <v>1</v>
      </c>
      <c r="E392" s="69">
        <v>2.1551724137899999E-4</v>
      </c>
    </row>
    <row r="393" spans="2:5" ht="15" customHeight="1">
      <c r="B393" s="96"/>
      <c r="C393" s="67" t="s">
        <v>200</v>
      </c>
      <c r="D393" s="68">
        <v>1</v>
      </c>
      <c r="E393" s="69">
        <v>2.1551724137899999E-4</v>
      </c>
    </row>
    <row r="394" spans="2:5" ht="15" customHeight="1">
      <c r="B394" s="97"/>
      <c r="C394" s="36" t="s">
        <v>29</v>
      </c>
      <c r="D394" s="35">
        <v>14</v>
      </c>
      <c r="E394" s="34">
        <v>3.01724137931E-3</v>
      </c>
    </row>
    <row r="395" spans="2:5" ht="15" customHeight="1">
      <c r="B395" s="95" t="s">
        <v>69</v>
      </c>
      <c r="C395" s="67" t="s">
        <v>187</v>
      </c>
      <c r="D395" s="68">
        <v>4</v>
      </c>
      <c r="E395" s="69">
        <v>8.6206896551700002E-4</v>
      </c>
    </row>
    <row r="396" spans="2:5" ht="15" customHeight="1">
      <c r="B396" s="96"/>
      <c r="C396" s="67" t="s">
        <v>189</v>
      </c>
      <c r="D396" s="68">
        <v>10</v>
      </c>
      <c r="E396" s="69">
        <v>2.1551724137930002E-3</v>
      </c>
    </row>
    <row r="397" spans="2:5" ht="15" customHeight="1">
      <c r="B397" s="96"/>
      <c r="C397" s="67" t="s">
        <v>190</v>
      </c>
      <c r="D397" s="68">
        <v>4</v>
      </c>
      <c r="E397" s="69">
        <v>8.6206896551700002E-4</v>
      </c>
    </row>
    <row r="398" spans="2:5" ht="15" customHeight="1">
      <c r="B398" s="96"/>
      <c r="C398" s="67" t="s">
        <v>191</v>
      </c>
      <c r="D398" s="68">
        <v>1</v>
      </c>
      <c r="E398" s="69">
        <v>2.1551724137899999E-4</v>
      </c>
    </row>
    <row r="399" spans="2:5" ht="15" customHeight="1">
      <c r="B399" s="96"/>
      <c r="C399" s="67" t="s">
        <v>192</v>
      </c>
      <c r="D399" s="68">
        <v>16</v>
      </c>
      <c r="E399" s="69">
        <v>3.4482758620690002E-3</v>
      </c>
    </row>
    <row r="400" spans="2:5" ht="15" customHeight="1">
      <c r="B400" s="96"/>
      <c r="C400" s="67" t="s">
        <v>193</v>
      </c>
      <c r="D400" s="68">
        <v>1</v>
      </c>
      <c r="E400" s="69">
        <v>2.1551724137899999E-4</v>
      </c>
    </row>
    <row r="401" spans="2:5" ht="15" customHeight="1">
      <c r="B401" s="96"/>
      <c r="C401" s="67" t="s">
        <v>194</v>
      </c>
      <c r="D401" s="68">
        <v>14</v>
      </c>
      <c r="E401" s="69">
        <v>3.01724137931E-3</v>
      </c>
    </row>
    <row r="402" spans="2:5" ht="15" customHeight="1">
      <c r="B402" s="96"/>
      <c r="C402" s="67" t="s">
        <v>195</v>
      </c>
      <c r="D402" s="68">
        <v>5</v>
      </c>
      <c r="E402" s="69">
        <v>1.0775862068969999E-3</v>
      </c>
    </row>
    <row r="403" spans="2:5" ht="15" customHeight="1">
      <c r="B403" s="96"/>
      <c r="C403" s="67" t="s">
        <v>202</v>
      </c>
      <c r="D403" s="68">
        <v>2</v>
      </c>
      <c r="E403" s="69">
        <v>4.3103448275899999E-4</v>
      </c>
    </row>
    <row r="404" spans="2:5" ht="15" customHeight="1">
      <c r="B404" s="96"/>
      <c r="C404" s="67" t="s">
        <v>197</v>
      </c>
      <c r="D404" s="68">
        <v>3</v>
      </c>
      <c r="E404" s="69">
        <v>6.4655172413799998E-4</v>
      </c>
    </row>
    <row r="405" spans="2:5" ht="15" customHeight="1">
      <c r="B405" s="96"/>
      <c r="C405" s="67" t="s">
        <v>199</v>
      </c>
      <c r="D405" s="68">
        <v>1</v>
      </c>
      <c r="E405" s="69">
        <v>2.1551724137899999E-4</v>
      </c>
    </row>
    <row r="406" spans="2:5" ht="15" customHeight="1">
      <c r="B406" s="96"/>
      <c r="C406" s="67" t="s">
        <v>200</v>
      </c>
      <c r="D406" s="68">
        <v>1</v>
      </c>
      <c r="E406" s="69">
        <v>2.1551724137899999E-4</v>
      </c>
    </row>
    <row r="407" spans="2:5" ht="15" customHeight="1">
      <c r="B407" s="96"/>
      <c r="C407" s="67" t="s">
        <v>201</v>
      </c>
      <c r="D407" s="68">
        <v>2</v>
      </c>
      <c r="E407" s="69">
        <v>4.3103448275899999E-4</v>
      </c>
    </row>
    <row r="408" spans="2:5" ht="15" customHeight="1">
      <c r="B408" s="97"/>
      <c r="C408" s="36" t="s">
        <v>29</v>
      </c>
      <c r="D408" s="35">
        <v>64</v>
      </c>
      <c r="E408" s="34">
        <v>1.3793103448276001E-2</v>
      </c>
    </row>
    <row r="409" spans="2:5" ht="15" customHeight="1">
      <c r="B409" s="95" t="s">
        <v>84</v>
      </c>
      <c r="C409" s="67" t="s">
        <v>187</v>
      </c>
      <c r="D409" s="68">
        <v>4</v>
      </c>
      <c r="E409" s="69">
        <v>8.6206896551700002E-4</v>
      </c>
    </row>
    <row r="410" spans="2:5" ht="15" customHeight="1">
      <c r="B410" s="96"/>
      <c r="C410" s="67" t="s">
        <v>189</v>
      </c>
      <c r="D410" s="68">
        <v>3</v>
      </c>
      <c r="E410" s="69">
        <v>6.4655172413799998E-4</v>
      </c>
    </row>
    <row r="411" spans="2:5" ht="15" customHeight="1">
      <c r="B411" s="96"/>
      <c r="C411" s="67" t="s">
        <v>190</v>
      </c>
      <c r="D411" s="68">
        <v>1</v>
      </c>
      <c r="E411" s="69">
        <v>2.1551724137899999E-4</v>
      </c>
    </row>
    <row r="412" spans="2:5" ht="15" customHeight="1">
      <c r="B412" s="96"/>
      <c r="C412" s="67" t="s">
        <v>192</v>
      </c>
      <c r="D412" s="68">
        <v>9</v>
      </c>
      <c r="E412" s="69">
        <v>1.9396551724139999E-3</v>
      </c>
    </row>
    <row r="413" spans="2:5" ht="15" customHeight="1">
      <c r="B413" s="96"/>
      <c r="C413" s="67" t="s">
        <v>194</v>
      </c>
      <c r="D413" s="68">
        <v>5</v>
      </c>
      <c r="E413" s="69">
        <v>1.0775862068969999E-3</v>
      </c>
    </row>
    <row r="414" spans="2:5" ht="15" customHeight="1">
      <c r="B414" s="96"/>
      <c r="C414" s="67" t="s">
        <v>200</v>
      </c>
      <c r="D414" s="68">
        <v>1</v>
      </c>
      <c r="E414" s="69">
        <v>2.1551724137899999E-4</v>
      </c>
    </row>
    <row r="415" spans="2:5" ht="15" customHeight="1">
      <c r="B415" s="96"/>
      <c r="C415" s="67" t="s">
        <v>201</v>
      </c>
      <c r="D415" s="68">
        <v>1</v>
      </c>
      <c r="E415" s="69">
        <v>2.1551724137899999E-4</v>
      </c>
    </row>
    <row r="416" spans="2:5" ht="15" customHeight="1">
      <c r="B416" s="97"/>
      <c r="C416" s="36" t="s">
        <v>29</v>
      </c>
      <c r="D416" s="35">
        <v>24</v>
      </c>
      <c r="E416" s="34">
        <v>5.1724137931029998E-3</v>
      </c>
    </row>
    <row r="417" spans="2:5" ht="15" customHeight="1">
      <c r="B417" s="95" t="s">
        <v>67</v>
      </c>
      <c r="C417" s="67" t="s">
        <v>189</v>
      </c>
      <c r="D417" s="68">
        <v>6</v>
      </c>
      <c r="E417" s="69">
        <v>1.293103448276E-3</v>
      </c>
    </row>
    <row r="418" spans="2:5" ht="15" customHeight="1">
      <c r="B418" s="96"/>
      <c r="C418" s="67" t="s">
        <v>190</v>
      </c>
      <c r="D418" s="68">
        <v>5</v>
      </c>
      <c r="E418" s="69">
        <v>1.0775862068969999E-3</v>
      </c>
    </row>
    <row r="419" spans="2:5" ht="15" customHeight="1">
      <c r="B419" s="96"/>
      <c r="C419" s="67" t="s">
        <v>192</v>
      </c>
      <c r="D419" s="68">
        <v>56</v>
      </c>
      <c r="E419" s="69">
        <v>1.2068965517240999E-2</v>
      </c>
    </row>
    <row r="420" spans="2:5" ht="15" customHeight="1">
      <c r="B420" s="96"/>
      <c r="C420" s="67" t="s">
        <v>194</v>
      </c>
      <c r="D420" s="68">
        <v>4</v>
      </c>
      <c r="E420" s="69">
        <v>8.6206896551700002E-4</v>
      </c>
    </row>
    <row r="421" spans="2:5" ht="15" customHeight="1">
      <c r="B421" s="96"/>
      <c r="C421" s="67" t="s">
        <v>200</v>
      </c>
      <c r="D421" s="68">
        <v>1</v>
      </c>
      <c r="E421" s="69">
        <v>2.1551724137899999E-4</v>
      </c>
    </row>
    <row r="422" spans="2:5" ht="15" customHeight="1">
      <c r="B422" s="97"/>
      <c r="C422" s="36" t="s">
        <v>29</v>
      </c>
      <c r="D422" s="35">
        <v>72</v>
      </c>
      <c r="E422" s="34">
        <v>1.5517241379309999E-2</v>
      </c>
    </row>
    <row r="423" spans="2:5" ht="15" customHeight="1">
      <c r="B423" s="95" t="s">
        <v>49</v>
      </c>
      <c r="C423" s="67" t="s">
        <v>187</v>
      </c>
      <c r="D423" s="68">
        <v>24</v>
      </c>
      <c r="E423" s="69">
        <v>5.1724137931029998E-3</v>
      </c>
    </row>
    <row r="424" spans="2:5" ht="15" customHeight="1">
      <c r="B424" s="96"/>
      <c r="C424" s="67" t="s">
        <v>188</v>
      </c>
      <c r="D424" s="68">
        <v>5</v>
      </c>
      <c r="E424" s="69">
        <v>1.0775862068969999E-3</v>
      </c>
    </row>
    <row r="425" spans="2:5" ht="15" customHeight="1">
      <c r="B425" s="96"/>
      <c r="C425" s="67" t="s">
        <v>189</v>
      </c>
      <c r="D425" s="68">
        <v>51</v>
      </c>
      <c r="E425" s="69">
        <v>1.0991379310345E-2</v>
      </c>
    </row>
    <row r="426" spans="2:5" ht="15" customHeight="1">
      <c r="B426" s="96"/>
      <c r="C426" s="67" t="s">
        <v>205</v>
      </c>
      <c r="D426" s="68">
        <v>1</v>
      </c>
      <c r="E426" s="69">
        <v>2.1551724137899999E-4</v>
      </c>
    </row>
    <row r="427" spans="2:5" ht="15" customHeight="1">
      <c r="B427" s="96"/>
      <c r="C427" s="67" t="s">
        <v>190</v>
      </c>
      <c r="D427" s="68">
        <v>71</v>
      </c>
      <c r="E427" s="69">
        <v>1.5301724137930999E-2</v>
      </c>
    </row>
    <row r="428" spans="2:5" ht="15" customHeight="1">
      <c r="B428" s="96"/>
      <c r="C428" s="67" t="s">
        <v>191</v>
      </c>
      <c r="D428" s="68">
        <v>23</v>
      </c>
      <c r="E428" s="69">
        <v>4.9568965517240004E-3</v>
      </c>
    </row>
    <row r="429" spans="2:5" ht="15" customHeight="1">
      <c r="B429" s="96"/>
      <c r="C429" s="67" t="s">
        <v>192</v>
      </c>
      <c r="D429" s="68">
        <v>130</v>
      </c>
      <c r="E429" s="69">
        <v>2.8017241379309998E-2</v>
      </c>
    </row>
    <row r="430" spans="2:5" ht="15" customHeight="1">
      <c r="B430" s="96"/>
      <c r="C430" s="67" t="s">
        <v>194</v>
      </c>
      <c r="D430" s="68">
        <v>166</v>
      </c>
      <c r="E430" s="69">
        <v>3.5775862068965998E-2</v>
      </c>
    </row>
    <row r="431" spans="2:5" ht="15" customHeight="1">
      <c r="B431" s="96"/>
      <c r="C431" s="67" t="s">
        <v>195</v>
      </c>
      <c r="D431" s="68">
        <v>9</v>
      </c>
      <c r="E431" s="69">
        <v>1.9396551724139999E-3</v>
      </c>
    </row>
    <row r="432" spans="2:5" ht="15" customHeight="1">
      <c r="B432" s="96"/>
      <c r="C432" s="67" t="s">
        <v>196</v>
      </c>
      <c r="D432" s="68">
        <v>145</v>
      </c>
      <c r="E432" s="69">
        <v>3.125E-2</v>
      </c>
    </row>
    <row r="433" spans="2:5" ht="15" customHeight="1">
      <c r="B433" s="96"/>
      <c r="C433" s="67" t="s">
        <v>202</v>
      </c>
      <c r="D433" s="68">
        <v>1</v>
      </c>
      <c r="E433" s="69">
        <v>2.1551724137899999E-4</v>
      </c>
    </row>
    <row r="434" spans="2:5" ht="15" customHeight="1">
      <c r="B434" s="96"/>
      <c r="C434" s="67" t="s">
        <v>197</v>
      </c>
      <c r="D434" s="68">
        <v>15</v>
      </c>
      <c r="E434" s="69">
        <v>3.2327586206899999E-3</v>
      </c>
    </row>
    <row r="435" spans="2:5" ht="15" customHeight="1">
      <c r="B435" s="96"/>
      <c r="C435" s="67" t="s">
        <v>204</v>
      </c>
      <c r="D435" s="68">
        <v>6</v>
      </c>
      <c r="E435" s="69">
        <v>1.293103448276E-3</v>
      </c>
    </row>
    <row r="436" spans="2:5" ht="15" customHeight="1">
      <c r="B436" s="96"/>
      <c r="C436" s="67" t="s">
        <v>198</v>
      </c>
      <c r="D436" s="68">
        <v>42</v>
      </c>
      <c r="E436" s="69">
        <v>9.0517241379310005E-3</v>
      </c>
    </row>
    <row r="437" spans="2:5" ht="15" customHeight="1">
      <c r="B437" s="96"/>
      <c r="C437" s="67" t="s">
        <v>199</v>
      </c>
      <c r="D437" s="68">
        <v>6</v>
      </c>
      <c r="E437" s="69">
        <v>1.293103448276E-3</v>
      </c>
    </row>
    <row r="438" spans="2:5" ht="15" customHeight="1">
      <c r="B438" s="96"/>
      <c r="C438" s="67" t="s">
        <v>200</v>
      </c>
      <c r="D438" s="68">
        <v>5</v>
      </c>
      <c r="E438" s="69">
        <v>1.0775862068969999E-3</v>
      </c>
    </row>
    <row r="439" spans="2:5" ht="15" customHeight="1">
      <c r="B439" s="96"/>
      <c r="C439" s="67" t="s">
        <v>201</v>
      </c>
      <c r="D439" s="68">
        <v>22</v>
      </c>
      <c r="E439" s="69">
        <v>4.7413793103450001E-3</v>
      </c>
    </row>
    <row r="440" spans="2:5" ht="15" customHeight="1">
      <c r="B440" s="97"/>
      <c r="C440" s="36" t="s">
        <v>29</v>
      </c>
      <c r="D440" s="35">
        <v>722</v>
      </c>
      <c r="E440" s="34">
        <v>0.15560344827586201</v>
      </c>
    </row>
    <row r="441" spans="2:5" ht="15" customHeight="1">
      <c r="B441" s="95" t="s">
        <v>82</v>
      </c>
      <c r="C441" s="67" t="s">
        <v>189</v>
      </c>
      <c r="D441" s="68">
        <v>1</v>
      </c>
      <c r="E441" s="69">
        <v>2.1551724137899999E-4</v>
      </c>
    </row>
    <row r="442" spans="2:5" ht="15" customHeight="1">
      <c r="B442" s="96"/>
      <c r="C442" s="67" t="s">
        <v>190</v>
      </c>
      <c r="D442" s="68">
        <v>12</v>
      </c>
      <c r="E442" s="69">
        <v>2.5862068965519999E-3</v>
      </c>
    </row>
    <row r="443" spans="2:5" ht="15" customHeight="1">
      <c r="B443" s="96"/>
      <c r="C443" s="67" t="s">
        <v>191</v>
      </c>
      <c r="D443" s="68">
        <v>1</v>
      </c>
      <c r="E443" s="69">
        <v>2.1551724137899999E-4</v>
      </c>
    </row>
    <row r="444" spans="2:5" ht="15" customHeight="1">
      <c r="B444" s="96"/>
      <c r="C444" s="67" t="s">
        <v>192</v>
      </c>
      <c r="D444" s="68">
        <v>5</v>
      </c>
      <c r="E444" s="69">
        <v>1.0775862068969999E-3</v>
      </c>
    </row>
    <row r="445" spans="2:5" ht="15" customHeight="1">
      <c r="B445" s="96"/>
      <c r="C445" s="67" t="s">
        <v>194</v>
      </c>
      <c r="D445" s="68">
        <v>4</v>
      </c>
      <c r="E445" s="69">
        <v>8.6206896551700002E-4</v>
      </c>
    </row>
    <row r="446" spans="2:5" ht="15" customHeight="1">
      <c r="B446" s="96"/>
      <c r="C446" s="67" t="s">
        <v>195</v>
      </c>
      <c r="D446" s="68">
        <v>1</v>
      </c>
      <c r="E446" s="69">
        <v>2.1551724137899999E-4</v>
      </c>
    </row>
    <row r="447" spans="2:5" ht="15" customHeight="1">
      <c r="B447" s="96"/>
      <c r="C447" s="67" t="s">
        <v>196</v>
      </c>
      <c r="D447" s="68">
        <v>1</v>
      </c>
      <c r="E447" s="69">
        <v>2.1551724137899999E-4</v>
      </c>
    </row>
    <row r="448" spans="2:5" ht="15" customHeight="1">
      <c r="B448" s="96"/>
      <c r="C448" s="67" t="s">
        <v>197</v>
      </c>
      <c r="D448" s="68">
        <v>1</v>
      </c>
      <c r="E448" s="69">
        <v>2.1551724137899999E-4</v>
      </c>
    </row>
    <row r="449" spans="2:5" ht="15" customHeight="1">
      <c r="B449" s="96"/>
      <c r="C449" s="67" t="s">
        <v>198</v>
      </c>
      <c r="D449" s="68">
        <v>1</v>
      </c>
      <c r="E449" s="69">
        <v>2.1551724137899999E-4</v>
      </c>
    </row>
    <row r="450" spans="2:5" ht="15" customHeight="1">
      <c r="B450" s="96"/>
      <c r="C450" s="67" t="s">
        <v>200</v>
      </c>
      <c r="D450" s="68">
        <v>1</v>
      </c>
      <c r="E450" s="69">
        <v>2.1551724137899999E-4</v>
      </c>
    </row>
    <row r="451" spans="2:5" ht="15" customHeight="1">
      <c r="B451" s="97"/>
      <c r="C451" s="36" t="s">
        <v>29</v>
      </c>
      <c r="D451" s="35">
        <v>28</v>
      </c>
      <c r="E451" s="34">
        <v>6.0344827586210001E-3</v>
      </c>
    </row>
    <row r="452" spans="2:5" ht="15" customHeight="1">
      <c r="B452" s="95" t="s">
        <v>73</v>
      </c>
      <c r="C452" s="67" t="s">
        <v>187</v>
      </c>
      <c r="D452" s="68">
        <v>4</v>
      </c>
      <c r="E452" s="69">
        <v>8.6206896551700002E-4</v>
      </c>
    </row>
    <row r="453" spans="2:5" ht="15" customHeight="1">
      <c r="B453" s="96"/>
      <c r="C453" s="67" t="s">
        <v>189</v>
      </c>
      <c r="D453" s="68">
        <v>5</v>
      </c>
      <c r="E453" s="69">
        <v>1.0775862068969999E-3</v>
      </c>
    </row>
    <row r="454" spans="2:5" ht="15" customHeight="1">
      <c r="B454" s="96"/>
      <c r="C454" s="67" t="s">
        <v>190</v>
      </c>
      <c r="D454" s="68">
        <v>2</v>
      </c>
      <c r="E454" s="69">
        <v>4.3103448275899999E-4</v>
      </c>
    </row>
    <row r="455" spans="2:5" ht="15" customHeight="1">
      <c r="B455" s="96"/>
      <c r="C455" s="67" t="s">
        <v>192</v>
      </c>
      <c r="D455" s="68">
        <v>7</v>
      </c>
      <c r="E455" s="69">
        <v>1.508620689655E-3</v>
      </c>
    </row>
    <row r="456" spans="2:5" ht="15" customHeight="1">
      <c r="B456" s="96"/>
      <c r="C456" s="67" t="s">
        <v>194</v>
      </c>
      <c r="D456" s="68">
        <v>25</v>
      </c>
      <c r="E456" s="69">
        <v>5.3879310344830001E-3</v>
      </c>
    </row>
    <row r="457" spans="2:5" ht="15" customHeight="1">
      <c r="B457" s="96"/>
      <c r="C457" s="67" t="s">
        <v>195</v>
      </c>
      <c r="D457" s="68">
        <v>1</v>
      </c>
      <c r="E457" s="69">
        <v>2.1551724137899999E-4</v>
      </c>
    </row>
    <row r="458" spans="2:5" ht="15" customHeight="1">
      <c r="B458" s="96"/>
      <c r="C458" s="67" t="s">
        <v>196</v>
      </c>
      <c r="D458" s="68">
        <v>1</v>
      </c>
      <c r="E458" s="69">
        <v>2.1551724137899999E-4</v>
      </c>
    </row>
    <row r="459" spans="2:5" ht="15" customHeight="1">
      <c r="B459" s="96"/>
      <c r="C459" s="67" t="s">
        <v>197</v>
      </c>
      <c r="D459" s="68">
        <v>2</v>
      </c>
      <c r="E459" s="69">
        <v>4.3103448275899999E-4</v>
      </c>
    </row>
    <row r="460" spans="2:5" ht="15" customHeight="1">
      <c r="B460" s="96"/>
      <c r="C460" s="67" t="s">
        <v>200</v>
      </c>
      <c r="D460" s="68">
        <v>1</v>
      </c>
      <c r="E460" s="69">
        <v>2.1551724137899999E-4</v>
      </c>
    </row>
    <row r="461" spans="2:5" ht="15" customHeight="1">
      <c r="B461" s="96"/>
      <c r="C461" s="67" t="s">
        <v>201</v>
      </c>
      <c r="D461" s="68">
        <v>3</v>
      </c>
      <c r="E461" s="69">
        <v>6.4655172413799998E-4</v>
      </c>
    </row>
    <row r="462" spans="2:5" ht="15" customHeight="1">
      <c r="B462" s="97"/>
      <c r="C462" s="36" t="s">
        <v>29</v>
      </c>
      <c r="D462" s="35">
        <v>51</v>
      </c>
      <c r="E462" s="34">
        <v>1.0991379310345E-2</v>
      </c>
    </row>
    <row r="463" spans="2:5" ht="15" customHeight="1">
      <c r="B463" s="95" t="s">
        <v>83</v>
      </c>
      <c r="C463" s="67" t="s">
        <v>187</v>
      </c>
      <c r="D463" s="68">
        <v>1</v>
      </c>
      <c r="E463" s="69">
        <v>2.1551724137899999E-4</v>
      </c>
    </row>
    <row r="464" spans="2:5" ht="15" customHeight="1">
      <c r="B464" s="96"/>
      <c r="C464" s="67" t="s">
        <v>189</v>
      </c>
      <c r="D464" s="68">
        <v>5</v>
      </c>
      <c r="E464" s="69">
        <v>1.0775862068969999E-3</v>
      </c>
    </row>
    <row r="465" spans="2:5" ht="15" customHeight="1">
      <c r="B465" s="96"/>
      <c r="C465" s="67" t="s">
        <v>191</v>
      </c>
      <c r="D465" s="68">
        <v>2</v>
      </c>
      <c r="E465" s="69">
        <v>4.3103448275899999E-4</v>
      </c>
    </row>
    <row r="466" spans="2:5" ht="15" customHeight="1">
      <c r="B466" s="96"/>
      <c r="C466" s="67" t="s">
        <v>192</v>
      </c>
      <c r="D466" s="68">
        <v>11</v>
      </c>
      <c r="E466" s="69">
        <v>2.370689655172E-3</v>
      </c>
    </row>
    <row r="467" spans="2:5" ht="15" customHeight="1">
      <c r="B467" s="96"/>
      <c r="C467" s="67" t="s">
        <v>194</v>
      </c>
      <c r="D467" s="68">
        <v>6</v>
      </c>
      <c r="E467" s="69">
        <v>1.293103448276E-3</v>
      </c>
    </row>
    <row r="468" spans="2:5" ht="15" customHeight="1">
      <c r="B468" s="96"/>
      <c r="C468" s="67" t="s">
        <v>198</v>
      </c>
      <c r="D468" s="68">
        <v>1</v>
      </c>
      <c r="E468" s="69">
        <v>2.1551724137899999E-4</v>
      </c>
    </row>
    <row r="469" spans="2:5" ht="15" customHeight="1">
      <c r="B469" s="97"/>
      <c r="C469" s="36" t="s">
        <v>29</v>
      </c>
      <c r="D469" s="35">
        <v>26</v>
      </c>
      <c r="E469" s="34">
        <v>5.6034482758620004E-3</v>
      </c>
    </row>
    <row r="470" spans="2:5" ht="15" customHeight="1">
      <c r="B470" s="95" t="s">
        <v>72</v>
      </c>
      <c r="C470" s="67" t="s">
        <v>187</v>
      </c>
      <c r="D470" s="68">
        <v>5</v>
      </c>
      <c r="E470" s="69">
        <v>1.0775862068969999E-3</v>
      </c>
    </row>
    <row r="471" spans="2:5" ht="15" customHeight="1">
      <c r="B471" s="96"/>
      <c r="C471" s="67" t="s">
        <v>189</v>
      </c>
      <c r="D471" s="68">
        <v>2</v>
      </c>
      <c r="E471" s="69">
        <v>4.3103448275899999E-4</v>
      </c>
    </row>
    <row r="472" spans="2:5" ht="15" customHeight="1">
      <c r="B472" s="96"/>
      <c r="C472" s="67" t="s">
        <v>190</v>
      </c>
      <c r="D472" s="68">
        <v>6</v>
      </c>
      <c r="E472" s="69">
        <v>1.293103448276E-3</v>
      </c>
    </row>
    <row r="473" spans="2:5" ht="15" customHeight="1">
      <c r="B473" s="96"/>
      <c r="C473" s="67" t="s">
        <v>191</v>
      </c>
      <c r="D473" s="68">
        <v>7</v>
      </c>
      <c r="E473" s="69">
        <v>1.508620689655E-3</v>
      </c>
    </row>
    <row r="474" spans="2:5" ht="15" customHeight="1">
      <c r="B474" s="96"/>
      <c r="C474" s="67" t="s">
        <v>192</v>
      </c>
      <c r="D474" s="68">
        <v>9</v>
      </c>
      <c r="E474" s="69">
        <v>1.9396551724139999E-3</v>
      </c>
    </row>
    <row r="475" spans="2:5" ht="15" customHeight="1">
      <c r="B475" s="96"/>
      <c r="C475" s="67" t="s">
        <v>194</v>
      </c>
      <c r="D475" s="68">
        <v>14</v>
      </c>
      <c r="E475" s="69">
        <v>3.01724137931E-3</v>
      </c>
    </row>
    <row r="476" spans="2:5" ht="15" customHeight="1">
      <c r="B476" s="96"/>
      <c r="C476" s="67" t="s">
        <v>195</v>
      </c>
      <c r="D476" s="68">
        <v>2</v>
      </c>
      <c r="E476" s="69">
        <v>4.3103448275899999E-4</v>
      </c>
    </row>
    <row r="477" spans="2:5" ht="15" customHeight="1">
      <c r="B477" s="96"/>
      <c r="C477" s="67" t="s">
        <v>196</v>
      </c>
      <c r="D477" s="68">
        <v>1</v>
      </c>
      <c r="E477" s="69">
        <v>2.1551724137899999E-4</v>
      </c>
    </row>
    <row r="478" spans="2:5" ht="15" customHeight="1">
      <c r="B478" s="96"/>
      <c r="C478" s="67" t="s">
        <v>199</v>
      </c>
      <c r="D478" s="68">
        <v>1</v>
      </c>
      <c r="E478" s="69">
        <v>2.1551724137899999E-4</v>
      </c>
    </row>
    <row r="479" spans="2:5" ht="15" customHeight="1">
      <c r="B479" s="96"/>
      <c r="C479" s="67" t="s">
        <v>200</v>
      </c>
      <c r="D479" s="68">
        <v>4</v>
      </c>
      <c r="E479" s="69">
        <v>8.6206896551700002E-4</v>
      </c>
    </row>
    <row r="480" spans="2:5" ht="15" customHeight="1">
      <c r="B480" s="96"/>
      <c r="C480" s="67" t="s">
        <v>201</v>
      </c>
      <c r="D480" s="68">
        <v>1</v>
      </c>
      <c r="E480" s="69">
        <v>2.1551724137899999E-4</v>
      </c>
    </row>
    <row r="481" spans="2:5" ht="15" customHeight="1">
      <c r="B481" s="97"/>
      <c r="C481" s="36" t="s">
        <v>29</v>
      </c>
      <c r="D481" s="35">
        <v>52</v>
      </c>
      <c r="E481" s="34">
        <v>1.1206896551724001E-2</v>
      </c>
    </row>
    <row r="482" spans="2:5" ht="15" customHeight="1">
      <c r="B482" s="95" t="s">
        <v>80</v>
      </c>
      <c r="C482" s="67" t="s">
        <v>187</v>
      </c>
      <c r="D482" s="68">
        <v>2</v>
      </c>
      <c r="E482" s="69">
        <v>4.3103448275899999E-4</v>
      </c>
    </row>
    <row r="483" spans="2:5" ht="15" customHeight="1">
      <c r="B483" s="96"/>
      <c r="C483" s="67" t="s">
        <v>188</v>
      </c>
      <c r="D483" s="68">
        <v>1</v>
      </c>
      <c r="E483" s="69">
        <v>2.1551724137899999E-4</v>
      </c>
    </row>
    <row r="484" spans="2:5" ht="15" customHeight="1">
      <c r="B484" s="96"/>
      <c r="C484" s="67" t="s">
        <v>189</v>
      </c>
      <c r="D484" s="68">
        <v>5</v>
      </c>
      <c r="E484" s="69">
        <v>1.0775862068969999E-3</v>
      </c>
    </row>
    <row r="485" spans="2:5" ht="15" customHeight="1">
      <c r="B485" s="96"/>
      <c r="C485" s="67" t="s">
        <v>190</v>
      </c>
      <c r="D485" s="68">
        <v>5</v>
      </c>
      <c r="E485" s="69">
        <v>1.0775862068969999E-3</v>
      </c>
    </row>
    <row r="486" spans="2:5" ht="15" customHeight="1">
      <c r="B486" s="96"/>
      <c r="C486" s="67" t="s">
        <v>191</v>
      </c>
      <c r="D486" s="68">
        <v>3</v>
      </c>
      <c r="E486" s="69">
        <v>6.4655172413799998E-4</v>
      </c>
    </row>
    <row r="487" spans="2:5" ht="15" customHeight="1">
      <c r="B487" s="96"/>
      <c r="C487" s="67" t="s">
        <v>192</v>
      </c>
      <c r="D487" s="68">
        <v>6</v>
      </c>
      <c r="E487" s="69">
        <v>1.293103448276E-3</v>
      </c>
    </row>
    <row r="488" spans="2:5" ht="15" customHeight="1">
      <c r="B488" s="96"/>
      <c r="C488" s="67" t="s">
        <v>194</v>
      </c>
      <c r="D488" s="68">
        <v>2</v>
      </c>
      <c r="E488" s="69">
        <v>4.3103448275899999E-4</v>
      </c>
    </row>
    <row r="489" spans="2:5" ht="15" customHeight="1">
      <c r="B489" s="96"/>
      <c r="C489" s="67" t="s">
        <v>195</v>
      </c>
      <c r="D489" s="68">
        <v>2</v>
      </c>
      <c r="E489" s="69">
        <v>4.3103448275899999E-4</v>
      </c>
    </row>
    <row r="490" spans="2:5" ht="15" customHeight="1">
      <c r="B490" s="96"/>
      <c r="C490" s="67" t="s">
        <v>197</v>
      </c>
      <c r="D490" s="68">
        <v>3</v>
      </c>
      <c r="E490" s="69">
        <v>6.4655172413799998E-4</v>
      </c>
    </row>
    <row r="491" spans="2:5" ht="15" customHeight="1">
      <c r="B491" s="96"/>
      <c r="C491" s="67" t="s">
        <v>200</v>
      </c>
      <c r="D491" s="68">
        <v>1</v>
      </c>
      <c r="E491" s="69">
        <v>2.1551724137899999E-4</v>
      </c>
    </row>
    <row r="492" spans="2:5" ht="15" customHeight="1">
      <c r="B492" s="97"/>
      <c r="C492" s="36" t="s">
        <v>29</v>
      </c>
      <c r="D492" s="35">
        <v>30</v>
      </c>
      <c r="E492" s="34">
        <v>6.4655172413789997E-3</v>
      </c>
    </row>
    <row r="493" spans="2:5" ht="15" customHeight="1">
      <c r="B493" s="95" t="s">
        <v>86</v>
      </c>
      <c r="C493" s="67" t="s">
        <v>187</v>
      </c>
      <c r="D493" s="68">
        <v>1</v>
      </c>
      <c r="E493" s="69">
        <v>2.1551724137899999E-4</v>
      </c>
    </row>
    <row r="494" spans="2:5" ht="15" customHeight="1">
      <c r="B494" s="96"/>
      <c r="C494" s="67" t="s">
        <v>189</v>
      </c>
      <c r="D494" s="68">
        <v>5</v>
      </c>
      <c r="E494" s="69">
        <v>1.0775862068969999E-3</v>
      </c>
    </row>
    <row r="495" spans="2:5" ht="15" customHeight="1">
      <c r="B495" s="96"/>
      <c r="C495" s="67" t="s">
        <v>190</v>
      </c>
      <c r="D495" s="68">
        <v>4</v>
      </c>
      <c r="E495" s="69">
        <v>8.6206896551700002E-4</v>
      </c>
    </row>
    <row r="496" spans="2:5" ht="15" customHeight="1">
      <c r="B496" s="96"/>
      <c r="C496" s="67" t="s">
        <v>191</v>
      </c>
      <c r="D496" s="68">
        <v>1</v>
      </c>
      <c r="E496" s="69">
        <v>2.1551724137899999E-4</v>
      </c>
    </row>
    <row r="497" spans="2:5" ht="15" customHeight="1">
      <c r="B497" s="96"/>
      <c r="C497" s="67" t="s">
        <v>192</v>
      </c>
      <c r="D497" s="68">
        <v>4</v>
      </c>
      <c r="E497" s="69">
        <v>8.6206896551700002E-4</v>
      </c>
    </row>
    <row r="498" spans="2:5" ht="15" customHeight="1">
      <c r="B498" s="96"/>
      <c r="C498" s="67" t="s">
        <v>194</v>
      </c>
      <c r="D498" s="68">
        <v>2</v>
      </c>
      <c r="E498" s="69">
        <v>4.3103448275899999E-4</v>
      </c>
    </row>
    <row r="499" spans="2:5" ht="15" customHeight="1">
      <c r="B499" s="96"/>
      <c r="C499" s="67" t="s">
        <v>197</v>
      </c>
      <c r="D499" s="68">
        <v>1</v>
      </c>
      <c r="E499" s="69">
        <v>2.1551724137899999E-4</v>
      </c>
    </row>
    <row r="500" spans="2:5" ht="15" customHeight="1">
      <c r="B500" s="97"/>
      <c r="C500" s="36" t="s">
        <v>29</v>
      </c>
      <c r="D500" s="35">
        <v>18</v>
      </c>
      <c r="E500" s="34">
        <v>3.8793103448279999E-3</v>
      </c>
    </row>
    <row r="501" spans="2:5" ht="15" customHeight="1">
      <c r="B501" s="95" t="s">
        <v>74</v>
      </c>
      <c r="C501" s="67" t="s">
        <v>188</v>
      </c>
      <c r="D501" s="68">
        <v>2</v>
      </c>
      <c r="E501" s="69">
        <v>4.3103448275899999E-4</v>
      </c>
    </row>
    <row r="502" spans="2:5" ht="15" customHeight="1">
      <c r="B502" s="96"/>
      <c r="C502" s="67" t="s">
        <v>189</v>
      </c>
      <c r="D502" s="68">
        <v>1</v>
      </c>
      <c r="E502" s="69">
        <v>2.1551724137899999E-4</v>
      </c>
    </row>
    <row r="503" spans="2:5" ht="15" customHeight="1">
      <c r="B503" s="96"/>
      <c r="C503" s="67" t="s">
        <v>190</v>
      </c>
      <c r="D503" s="68">
        <v>19</v>
      </c>
      <c r="E503" s="69">
        <v>4.0948275862070001E-3</v>
      </c>
    </row>
    <row r="504" spans="2:5" ht="15" customHeight="1">
      <c r="B504" s="96"/>
      <c r="C504" s="67" t="s">
        <v>192</v>
      </c>
      <c r="D504" s="68">
        <v>10</v>
      </c>
      <c r="E504" s="69">
        <v>2.1551724137930002E-3</v>
      </c>
    </row>
    <row r="505" spans="2:5" ht="15" customHeight="1">
      <c r="B505" s="96"/>
      <c r="C505" s="67" t="s">
        <v>193</v>
      </c>
      <c r="D505" s="68">
        <v>2</v>
      </c>
      <c r="E505" s="69">
        <v>4.3103448275899999E-4</v>
      </c>
    </row>
    <row r="506" spans="2:5" ht="15" customHeight="1">
      <c r="B506" s="96"/>
      <c r="C506" s="67" t="s">
        <v>194</v>
      </c>
      <c r="D506" s="68">
        <v>6</v>
      </c>
      <c r="E506" s="69">
        <v>1.293103448276E-3</v>
      </c>
    </row>
    <row r="507" spans="2:5" ht="15" customHeight="1">
      <c r="B507" s="96"/>
      <c r="C507" s="67" t="s">
        <v>195</v>
      </c>
      <c r="D507" s="68">
        <v>2</v>
      </c>
      <c r="E507" s="69">
        <v>4.3103448275899999E-4</v>
      </c>
    </row>
    <row r="508" spans="2:5" ht="15" customHeight="1">
      <c r="B508" s="96"/>
      <c r="C508" s="67" t="s">
        <v>196</v>
      </c>
      <c r="D508" s="68">
        <v>1</v>
      </c>
      <c r="E508" s="69">
        <v>2.1551724137899999E-4</v>
      </c>
    </row>
    <row r="509" spans="2:5" ht="15" customHeight="1">
      <c r="B509" s="96"/>
      <c r="C509" s="67" t="s">
        <v>197</v>
      </c>
      <c r="D509" s="68">
        <v>3</v>
      </c>
      <c r="E509" s="69">
        <v>6.4655172413799998E-4</v>
      </c>
    </row>
    <row r="510" spans="2:5" ht="15" customHeight="1">
      <c r="B510" s="96"/>
      <c r="C510" s="67" t="s">
        <v>201</v>
      </c>
      <c r="D510" s="68">
        <v>3</v>
      </c>
      <c r="E510" s="69">
        <v>6.4655172413799998E-4</v>
      </c>
    </row>
    <row r="511" spans="2:5" ht="15" customHeight="1">
      <c r="B511" s="97"/>
      <c r="C511" s="36" t="s">
        <v>29</v>
      </c>
      <c r="D511" s="35">
        <v>49</v>
      </c>
      <c r="E511" s="34">
        <v>1.0560344827586001E-2</v>
      </c>
    </row>
    <row r="512" spans="2:5" ht="15" customHeight="1">
      <c r="B512" s="95" t="s">
        <v>75</v>
      </c>
      <c r="C512" s="67" t="s">
        <v>187</v>
      </c>
      <c r="D512" s="68">
        <v>1</v>
      </c>
      <c r="E512" s="69">
        <v>2.1551724137899999E-4</v>
      </c>
    </row>
    <row r="513" spans="2:5" ht="15" customHeight="1">
      <c r="B513" s="96"/>
      <c r="C513" s="67" t="s">
        <v>189</v>
      </c>
      <c r="D513" s="68">
        <v>5</v>
      </c>
      <c r="E513" s="69">
        <v>1.0775862068969999E-3</v>
      </c>
    </row>
    <row r="514" spans="2:5" ht="15" customHeight="1">
      <c r="B514" s="96"/>
      <c r="C514" s="67" t="s">
        <v>190</v>
      </c>
      <c r="D514" s="68">
        <v>8</v>
      </c>
      <c r="E514" s="69">
        <v>1.724137931034E-3</v>
      </c>
    </row>
    <row r="515" spans="2:5" ht="15" customHeight="1">
      <c r="B515" s="96"/>
      <c r="C515" s="67" t="s">
        <v>191</v>
      </c>
      <c r="D515" s="68">
        <v>1</v>
      </c>
      <c r="E515" s="69">
        <v>2.1551724137899999E-4</v>
      </c>
    </row>
    <row r="516" spans="2:5" ht="15" customHeight="1">
      <c r="B516" s="96"/>
      <c r="C516" s="67" t="s">
        <v>192</v>
      </c>
      <c r="D516" s="68">
        <v>13</v>
      </c>
      <c r="E516" s="69">
        <v>2.8017241379310002E-3</v>
      </c>
    </row>
    <row r="517" spans="2:5" ht="15" customHeight="1">
      <c r="B517" s="96"/>
      <c r="C517" s="67" t="s">
        <v>194</v>
      </c>
      <c r="D517" s="68">
        <v>7</v>
      </c>
      <c r="E517" s="69">
        <v>1.508620689655E-3</v>
      </c>
    </row>
    <row r="518" spans="2:5" ht="15" customHeight="1">
      <c r="B518" s="96"/>
      <c r="C518" s="67" t="s">
        <v>196</v>
      </c>
      <c r="D518" s="68">
        <v>1</v>
      </c>
      <c r="E518" s="69">
        <v>2.1551724137899999E-4</v>
      </c>
    </row>
    <row r="519" spans="2:5" ht="15" customHeight="1">
      <c r="B519" s="96"/>
      <c r="C519" s="67" t="s">
        <v>197</v>
      </c>
      <c r="D519" s="68">
        <v>4</v>
      </c>
      <c r="E519" s="69">
        <v>8.6206896551700002E-4</v>
      </c>
    </row>
    <row r="520" spans="2:5" ht="15" customHeight="1">
      <c r="B520" s="96"/>
      <c r="C520" s="67" t="s">
        <v>200</v>
      </c>
      <c r="D520" s="68">
        <v>2</v>
      </c>
      <c r="E520" s="69">
        <v>4.3103448275899999E-4</v>
      </c>
    </row>
    <row r="521" spans="2:5" ht="15" customHeight="1">
      <c r="B521" s="96"/>
      <c r="C521" s="67" t="s">
        <v>201</v>
      </c>
      <c r="D521" s="68">
        <v>6</v>
      </c>
      <c r="E521" s="69">
        <v>1.293103448276E-3</v>
      </c>
    </row>
    <row r="522" spans="2:5" ht="15" customHeight="1">
      <c r="B522" s="97"/>
      <c r="C522" s="36" t="s">
        <v>29</v>
      </c>
      <c r="D522" s="35">
        <v>48</v>
      </c>
      <c r="E522" s="34">
        <v>1.0344827586207E-2</v>
      </c>
    </row>
    <row r="523" spans="2:5" ht="15" customHeight="1">
      <c r="B523" s="95" t="s">
        <v>79</v>
      </c>
      <c r="C523" s="67" t="s">
        <v>187</v>
      </c>
      <c r="D523" s="68">
        <v>3</v>
      </c>
      <c r="E523" s="69">
        <v>6.4655172413799998E-4</v>
      </c>
    </row>
    <row r="524" spans="2:5" ht="15" customHeight="1">
      <c r="B524" s="96"/>
      <c r="C524" s="67" t="s">
        <v>189</v>
      </c>
      <c r="D524" s="68">
        <v>8</v>
      </c>
      <c r="E524" s="69">
        <v>1.724137931034E-3</v>
      </c>
    </row>
    <row r="525" spans="2:5" ht="15" customHeight="1">
      <c r="B525" s="96"/>
      <c r="C525" s="67" t="s">
        <v>190</v>
      </c>
      <c r="D525" s="68">
        <v>3</v>
      </c>
      <c r="E525" s="69">
        <v>6.4655172413799998E-4</v>
      </c>
    </row>
    <row r="526" spans="2:5" ht="15" customHeight="1">
      <c r="B526" s="96"/>
      <c r="C526" s="67" t="s">
        <v>191</v>
      </c>
      <c r="D526" s="68">
        <v>1</v>
      </c>
      <c r="E526" s="69">
        <v>2.1551724137899999E-4</v>
      </c>
    </row>
    <row r="527" spans="2:5" ht="15" customHeight="1">
      <c r="B527" s="96"/>
      <c r="C527" s="67" t="s">
        <v>192</v>
      </c>
      <c r="D527" s="68">
        <v>5</v>
      </c>
      <c r="E527" s="69">
        <v>1.0775862068969999E-3</v>
      </c>
    </row>
    <row r="528" spans="2:5" ht="15" customHeight="1">
      <c r="B528" s="96"/>
      <c r="C528" s="67" t="s">
        <v>193</v>
      </c>
      <c r="D528" s="68">
        <v>1</v>
      </c>
      <c r="E528" s="69">
        <v>2.1551724137899999E-4</v>
      </c>
    </row>
    <row r="529" spans="2:5" ht="15" customHeight="1">
      <c r="B529" s="96"/>
      <c r="C529" s="67" t="s">
        <v>194</v>
      </c>
      <c r="D529" s="68">
        <v>3</v>
      </c>
      <c r="E529" s="69">
        <v>6.4655172413799998E-4</v>
      </c>
    </row>
    <row r="530" spans="2:5" ht="15" customHeight="1">
      <c r="B530" s="96"/>
      <c r="C530" s="67" t="s">
        <v>202</v>
      </c>
      <c r="D530" s="68">
        <v>1</v>
      </c>
      <c r="E530" s="69">
        <v>2.1551724137899999E-4</v>
      </c>
    </row>
    <row r="531" spans="2:5" ht="15" customHeight="1">
      <c r="B531" s="96"/>
      <c r="C531" s="67" t="s">
        <v>197</v>
      </c>
      <c r="D531" s="68">
        <v>2</v>
      </c>
      <c r="E531" s="69">
        <v>4.3103448275899999E-4</v>
      </c>
    </row>
    <row r="532" spans="2:5" ht="15" customHeight="1">
      <c r="B532" s="96"/>
      <c r="C532" s="67" t="s">
        <v>201</v>
      </c>
      <c r="D532" s="68">
        <v>4</v>
      </c>
      <c r="E532" s="69">
        <v>8.6206896551700002E-4</v>
      </c>
    </row>
    <row r="533" spans="2:5" ht="15" customHeight="1">
      <c r="B533" s="97"/>
      <c r="C533" s="36" t="s">
        <v>29</v>
      </c>
      <c r="D533" s="35">
        <v>31</v>
      </c>
      <c r="E533" s="34">
        <v>6.6810344827590001E-3</v>
      </c>
    </row>
    <row r="534" spans="2:5" ht="15" customHeight="1">
      <c r="B534" s="95" t="s">
        <v>87</v>
      </c>
      <c r="C534" s="67" t="s">
        <v>187</v>
      </c>
      <c r="D534" s="68">
        <v>1</v>
      </c>
      <c r="E534" s="69">
        <v>2.1551724137899999E-4</v>
      </c>
    </row>
    <row r="535" spans="2:5" ht="15" customHeight="1">
      <c r="B535" s="96"/>
      <c r="C535" s="67" t="s">
        <v>189</v>
      </c>
      <c r="D535" s="68">
        <v>3</v>
      </c>
      <c r="E535" s="69">
        <v>6.4655172413799998E-4</v>
      </c>
    </row>
    <row r="536" spans="2:5" ht="15" customHeight="1">
      <c r="B536" s="96"/>
      <c r="C536" s="67" t="s">
        <v>190</v>
      </c>
      <c r="D536" s="68">
        <v>3</v>
      </c>
      <c r="E536" s="69">
        <v>6.4655172413799998E-4</v>
      </c>
    </row>
    <row r="537" spans="2:5" ht="15" customHeight="1">
      <c r="B537" s="96"/>
      <c r="C537" s="67" t="s">
        <v>192</v>
      </c>
      <c r="D537" s="68">
        <v>1</v>
      </c>
      <c r="E537" s="69">
        <v>2.1551724137899999E-4</v>
      </c>
    </row>
    <row r="538" spans="2:5" ht="15" customHeight="1">
      <c r="B538" s="96"/>
      <c r="C538" s="67" t="s">
        <v>193</v>
      </c>
      <c r="D538" s="68">
        <v>1</v>
      </c>
      <c r="E538" s="69">
        <v>2.1551724137899999E-4</v>
      </c>
    </row>
    <row r="539" spans="2:5" ht="15" customHeight="1">
      <c r="B539" s="96"/>
      <c r="C539" s="67" t="s">
        <v>194</v>
      </c>
      <c r="D539" s="68">
        <v>2</v>
      </c>
      <c r="E539" s="69">
        <v>4.3103448275899999E-4</v>
      </c>
    </row>
    <row r="540" spans="2:5" ht="15" customHeight="1">
      <c r="B540" s="96"/>
      <c r="C540" s="67" t="s">
        <v>202</v>
      </c>
      <c r="D540" s="68">
        <v>1</v>
      </c>
      <c r="E540" s="69">
        <v>2.1551724137899999E-4</v>
      </c>
    </row>
    <row r="541" spans="2:5" ht="15" customHeight="1">
      <c r="B541" s="96"/>
      <c r="C541" s="67" t="s">
        <v>197</v>
      </c>
      <c r="D541" s="68">
        <v>1</v>
      </c>
      <c r="E541" s="69">
        <v>2.1551724137899999E-4</v>
      </c>
    </row>
    <row r="542" spans="2:5" ht="15" customHeight="1">
      <c r="B542" s="96"/>
      <c r="C542" s="67" t="s">
        <v>204</v>
      </c>
      <c r="D542" s="68">
        <v>1</v>
      </c>
      <c r="E542" s="69">
        <v>2.1551724137899999E-4</v>
      </c>
    </row>
    <row r="543" spans="2:5" ht="15" customHeight="1">
      <c r="B543" s="96"/>
      <c r="C543" s="67" t="s">
        <v>198</v>
      </c>
      <c r="D543" s="68">
        <v>1</v>
      </c>
      <c r="E543" s="69">
        <v>2.1551724137899999E-4</v>
      </c>
    </row>
    <row r="544" spans="2:5" ht="15" customHeight="1">
      <c r="B544" s="96"/>
      <c r="C544" s="67" t="s">
        <v>201</v>
      </c>
      <c r="D544" s="68">
        <v>2</v>
      </c>
      <c r="E544" s="69">
        <v>4.3103448275899999E-4</v>
      </c>
    </row>
    <row r="545" spans="2:5" ht="15" customHeight="1">
      <c r="B545" s="97"/>
      <c r="C545" s="36" t="s">
        <v>29</v>
      </c>
      <c r="D545" s="35">
        <v>17</v>
      </c>
      <c r="E545" s="34">
        <v>3.663793103448E-3</v>
      </c>
    </row>
    <row r="546" spans="2:5" ht="15" customHeight="1">
      <c r="B546" s="95" t="s">
        <v>93</v>
      </c>
      <c r="C546" s="67" t="s">
        <v>192</v>
      </c>
      <c r="D546" s="68">
        <v>1</v>
      </c>
      <c r="E546" s="69">
        <v>2.1551724137899999E-4</v>
      </c>
    </row>
    <row r="547" spans="2:5" ht="15" customHeight="1">
      <c r="B547" s="96"/>
      <c r="C547" s="67" t="s">
        <v>196</v>
      </c>
      <c r="D547" s="68">
        <v>1</v>
      </c>
      <c r="E547" s="69">
        <v>2.1551724137899999E-4</v>
      </c>
    </row>
    <row r="548" spans="2:5" ht="15" customHeight="1">
      <c r="B548" s="96"/>
      <c r="C548" s="67" t="s">
        <v>200</v>
      </c>
      <c r="D548" s="68">
        <v>1</v>
      </c>
      <c r="E548" s="69">
        <v>2.1551724137899999E-4</v>
      </c>
    </row>
    <row r="549" spans="2:5" ht="15" customHeight="1">
      <c r="B549" s="97"/>
      <c r="C549" s="36" t="s">
        <v>29</v>
      </c>
      <c r="D549" s="35">
        <v>3</v>
      </c>
      <c r="E549" s="34">
        <v>6.4655172413799998E-4</v>
      </c>
    </row>
    <row r="550" spans="2:5" ht="15" customHeight="1">
      <c r="B550" s="95" t="s">
        <v>58</v>
      </c>
      <c r="C550" s="67" t="s">
        <v>187</v>
      </c>
      <c r="D550" s="68">
        <v>4</v>
      </c>
      <c r="E550" s="69">
        <v>8.6206896551700002E-4</v>
      </c>
    </row>
    <row r="551" spans="2:5" ht="15" customHeight="1">
      <c r="B551" s="96"/>
      <c r="C551" s="67" t="s">
        <v>189</v>
      </c>
      <c r="D551" s="68">
        <v>9</v>
      </c>
      <c r="E551" s="69">
        <v>1.9396551724139999E-3</v>
      </c>
    </row>
    <row r="552" spans="2:5" ht="15" customHeight="1">
      <c r="B552" s="96"/>
      <c r="C552" s="67" t="s">
        <v>190</v>
      </c>
      <c r="D552" s="68">
        <v>10</v>
      </c>
      <c r="E552" s="69">
        <v>2.1551724137930002E-3</v>
      </c>
    </row>
    <row r="553" spans="2:5" ht="15" customHeight="1">
      <c r="B553" s="96"/>
      <c r="C553" s="67" t="s">
        <v>191</v>
      </c>
      <c r="D553" s="68">
        <v>3</v>
      </c>
      <c r="E553" s="69">
        <v>6.4655172413799998E-4</v>
      </c>
    </row>
    <row r="554" spans="2:5" ht="15" customHeight="1">
      <c r="B554" s="96"/>
      <c r="C554" s="67" t="s">
        <v>192</v>
      </c>
      <c r="D554" s="68">
        <v>83</v>
      </c>
      <c r="E554" s="69">
        <v>1.7887931034482999E-2</v>
      </c>
    </row>
    <row r="555" spans="2:5" ht="15" customHeight="1">
      <c r="B555" s="96"/>
      <c r="C555" s="67" t="s">
        <v>193</v>
      </c>
      <c r="D555" s="68">
        <v>1</v>
      </c>
      <c r="E555" s="69">
        <v>2.1551724137899999E-4</v>
      </c>
    </row>
    <row r="556" spans="2:5" ht="15" customHeight="1">
      <c r="B556" s="96"/>
      <c r="C556" s="67" t="s">
        <v>194</v>
      </c>
      <c r="D556" s="68">
        <v>45</v>
      </c>
      <c r="E556" s="69">
        <v>9.6982758620690005E-3</v>
      </c>
    </row>
    <row r="557" spans="2:5" ht="15" customHeight="1">
      <c r="B557" s="96"/>
      <c r="C557" s="67" t="s">
        <v>196</v>
      </c>
      <c r="D557" s="68">
        <v>1</v>
      </c>
      <c r="E557" s="69">
        <v>2.1551724137899999E-4</v>
      </c>
    </row>
    <row r="558" spans="2:5" ht="15" customHeight="1">
      <c r="B558" s="96"/>
      <c r="C558" s="67" t="s">
        <v>197</v>
      </c>
      <c r="D558" s="68">
        <v>1</v>
      </c>
      <c r="E558" s="69">
        <v>2.1551724137899999E-4</v>
      </c>
    </row>
    <row r="559" spans="2:5" ht="15" customHeight="1">
      <c r="B559" s="96"/>
      <c r="C559" s="67" t="s">
        <v>198</v>
      </c>
      <c r="D559" s="68">
        <v>1</v>
      </c>
      <c r="E559" s="69">
        <v>2.1551724137899999E-4</v>
      </c>
    </row>
    <row r="560" spans="2:5" ht="15" customHeight="1">
      <c r="B560" s="96"/>
      <c r="C560" s="67" t="s">
        <v>199</v>
      </c>
      <c r="D560" s="68">
        <v>2</v>
      </c>
      <c r="E560" s="69">
        <v>4.3103448275899999E-4</v>
      </c>
    </row>
    <row r="561" spans="2:5" ht="15" customHeight="1">
      <c r="B561" s="96"/>
      <c r="C561" s="67" t="s">
        <v>200</v>
      </c>
      <c r="D561" s="68">
        <v>1</v>
      </c>
      <c r="E561" s="69">
        <v>2.1551724137899999E-4</v>
      </c>
    </row>
    <row r="562" spans="2:5" ht="15" customHeight="1">
      <c r="B562" s="96"/>
      <c r="C562" s="67" t="s">
        <v>201</v>
      </c>
      <c r="D562" s="68">
        <v>5</v>
      </c>
      <c r="E562" s="69">
        <v>1.0775862068969999E-3</v>
      </c>
    </row>
    <row r="563" spans="2:5" ht="15" customHeight="1">
      <c r="B563" s="97"/>
      <c r="C563" s="36" t="s">
        <v>29</v>
      </c>
      <c r="D563" s="35">
        <v>166</v>
      </c>
      <c r="E563" s="34">
        <v>3.5775862068965998E-2</v>
      </c>
    </row>
    <row r="564" spans="2:5" ht="15" customHeight="1">
      <c r="B564" s="95" t="s">
        <v>95</v>
      </c>
      <c r="C564" s="67" t="s">
        <v>189</v>
      </c>
      <c r="D564" s="68">
        <v>1</v>
      </c>
      <c r="E564" s="69">
        <v>2.1551724137899999E-4</v>
      </c>
    </row>
    <row r="565" spans="2:5" ht="15" customHeight="1">
      <c r="B565" s="97"/>
      <c r="C565" s="36" t="s">
        <v>29</v>
      </c>
      <c r="D565" s="35">
        <v>1</v>
      </c>
      <c r="E565" s="34">
        <v>2.1551724137899999E-4</v>
      </c>
    </row>
    <row r="566" spans="2:5" ht="15" customHeight="1">
      <c r="B566" s="98" t="s">
        <v>29</v>
      </c>
      <c r="C566" s="99"/>
      <c r="D566" s="65">
        <v>4640</v>
      </c>
      <c r="E566" s="66">
        <v>1</v>
      </c>
    </row>
    <row r="568" spans="2:5" ht="15" customHeight="1">
      <c r="B568" s="15" t="s">
        <v>46</v>
      </c>
    </row>
    <row r="569" spans="2:5" ht="15" customHeight="1">
      <c r="B569" s="17" t="s">
        <v>18</v>
      </c>
    </row>
    <row r="570" spans="2:5" ht="15" customHeight="1">
      <c r="B570" s="16" t="s">
        <v>47</v>
      </c>
    </row>
    <row r="571" spans="2:5" ht="15" customHeight="1">
      <c r="B571" s="15" t="s">
        <v>17</v>
      </c>
    </row>
    <row r="572" spans="2:5" ht="15" customHeight="1">
      <c r="B572" s="15" t="s">
        <v>48</v>
      </c>
    </row>
  </sheetData>
  <mergeCells count="49">
    <mergeCell ref="B37:B51"/>
    <mergeCell ref="B7:E8"/>
    <mergeCell ref="B368:B386"/>
    <mergeCell ref="B387:B394"/>
    <mergeCell ref="B10:B17"/>
    <mergeCell ref="B18:B36"/>
    <mergeCell ref="B52:B61"/>
    <mergeCell ref="B62:B70"/>
    <mergeCell ref="B71:B81"/>
    <mergeCell ref="B272:B289"/>
    <mergeCell ref="B290:B304"/>
    <mergeCell ref="B305:B317"/>
    <mergeCell ref="B318:B331"/>
    <mergeCell ref="B332:B345"/>
    <mergeCell ref="B346:B358"/>
    <mergeCell ref="B211:B221"/>
    <mergeCell ref="B229:B238"/>
    <mergeCell ref="B239:B254"/>
    <mergeCell ref="B255:B271"/>
    <mergeCell ref="B222:B228"/>
    <mergeCell ref="B141:B145"/>
    <mergeCell ref="B146:B159"/>
    <mergeCell ref="B160:B173"/>
    <mergeCell ref="B174:B193"/>
    <mergeCell ref="B194:B210"/>
    <mergeCell ref="B82:B97"/>
    <mergeCell ref="B98:B115"/>
    <mergeCell ref="B116:B117"/>
    <mergeCell ref="B118:B129"/>
    <mergeCell ref="B130:B140"/>
    <mergeCell ref="B359:B367"/>
    <mergeCell ref="B417:B422"/>
    <mergeCell ref="B423:B440"/>
    <mergeCell ref="B441:B451"/>
    <mergeCell ref="B452:B462"/>
    <mergeCell ref="B395:B408"/>
    <mergeCell ref="B409:B416"/>
    <mergeCell ref="B463:B469"/>
    <mergeCell ref="B470:B481"/>
    <mergeCell ref="B482:B492"/>
    <mergeCell ref="B493:B500"/>
    <mergeCell ref="B501:B511"/>
    <mergeCell ref="B512:B522"/>
    <mergeCell ref="B566:C566"/>
    <mergeCell ref="B523:B533"/>
    <mergeCell ref="B534:B545"/>
    <mergeCell ref="B546:B549"/>
    <mergeCell ref="B550:B563"/>
    <mergeCell ref="B564:B56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E73"/>
  <sheetViews>
    <sheetView showGridLines="0" view="pageBreakPreview" topLeftCell="A17" zoomScale="115" zoomScaleNormal="100" zoomScaleSheetLayoutView="115" workbookViewId="0"/>
  </sheetViews>
  <sheetFormatPr baseColWidth="10" defaultColWidth="11.453125" defaultRowHeight="14.5"/>
  <cols>
    <col min="1" max="1" width="9.26953125" style="13" customWidth="1"/>
    <col min="2" max="2" width="36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2:5" s="25" customFormat="1" ht="15" customHeight="1">
      <c r="C1" s="31"/>
    </row>
    <row r="2" spans="2:5" s="25" customFormat="1" ht="15" customHeight="1">
      <c r="C2" s="31"/>
    </row>
    <row r="3" spans="2:5" s="25" customFormat="1" ht="15" customHeight="1">
      <c r="C3" s="31"/>
    </row>
    <row r="4" spans="2:5" s="25" customFormat="1" ht="30" customHeight="1">
      <c r="C4" s="31"/>
      <c r="D4" s="30"/>
    </row>
    <row r="5" spans="2:5" s="25" customFormat="1" ht="15" customHeight="1">
      <c r="C5" s="31"/>
      <c r="D5" s="30"/>
    </row>
    <row r="6" spans="2:5" s="25" customFormat="1" ht="15" customHeight="1">
      <c r="C6" s="31"/>
      <c r="D6" s="30"/>
    </row>
    <row r="7" spans="2:5" s="25" customFormat="1" ht="15" customHeight="1">
      <c r="B7" s="91" t="s">
        <v>39</v>
      </c>
      <c r="C7" s="91"/>
      <c r="D7" s="91"/>
    </row>
    <row r="8" spans="2:5" s="25" customFormat="1" ht="15" customHeight="1">
      <c r="B8" s="91"/>
      <c r="C8" s="91"/>
      <c r="D8" s="91"/>
    </row>
    <row r="9" spans="2:5" s="25" customFormat="1" ht="33" customHeight="1">
      <c r="B9" s="91"/>
      <c r="C9" s="91"/>
      <c r="D9" s="91"/>
    </row>
    <row r="10" spans="2:5" s="25" customFormat="1" ht="4.5" customHeight="1">
      <c r="B10" s="29"/>
      <c r="C10" s="29"/>
      <c r="D10" s="29"/>
    </row>
    <row r="11" spans="2:5" s="25" customFormat="1" ht="33" customHeight="1">
      <c r="B11" s="28" t="s">
        <v>27</v>
      </c>
      <c r="C11" s="27" t="s">
        <v>26</v>
      </c>
      <c r="D11" s="26" t="s">
        <v>19</v>
      </c>
    </row>
    <row r="12" spans="2:5" ht="28.5" customHeight="1">
      <c r="B12" s="23" t="s">
        <v>207</v>
      </c>
      <c r="C12" s="22">
        <v>1</v>
      </c>
      <c r="D12" s="21">
        <v>2.1551724137899999E-4</v>
      </c>
    </row>
    <row r="13" spans="2:5">
      <c r="B13" s="23" t="s">
        <v>208</v>
      </c>
      <c r="C13" s="22">
        <v>52</v>
      </c>
      <c r="D13" s="21">
        <v>1.1206896551724001E-2</v>
      </c>
    </row>
    <row r="14" spans="2:5">
      <c r="B14" s="23" t="s">
        <v>209</v>
      </c>
      <c r="C14" s="22">
        <v>18</v>
      </c>
      <c r="D14" s="21">
        <v>3.8793103448279999E-3</v>
      </c>
      <c r="E14" s="24"/>
    </row>
    <row r="15" spans="2:5">
      <c r="B15" s="23" t="s">
        <v>210</v>
      </c>
      <c r="C15" s="22">
        <v>31</v>
      </c>
      <c r="D15" s="21">
        <v>6.6810344827590001E-3</v>
      </c>
      <c r="E15" s="24"/>
    </row>
    <row r="16" spans="2:5">
      <c r="B16" s="23" t="s">
        <v>211</v>
      </c>
      <c r="C16" s="22">
        <v>49</v>
      </c>
      <c r="D16" s="21">
        <v>1.0560344827586001E-2</v>
      </c>
    </row>
    <row r="17" spans="2:4">
      <c r="B17" s="23" t="s">
        <v>212</v>
      </c>
      <c r="C17" s="22">
        <v>22</v>
      </c>
      <c r="D17" s="21">
        <v>4.7413793103450001E-3</v>
      </c>
    </row>
    <row r="18" spans="2:4">
      <c r="B18" s="23" t="s">
        <v>213</v>
      </c>
      <c r="C18" s="22">
        <v>34</v>
      </c>
      <c r="D18" s="21">
        <v>7.327586206897E-3</v>
      </c>
    </row>
    <row r="19" spans="2:4">
      <c r="B19" s="23" t="s">
        <v>214</v>
      </c>
      <c r="C19" s="22">
        <v>243</v>
      </c>
      <c r="D19" s="21">
        <v>5.2370689655171998E-2</v>
      </c>
    </row>
    <row r="20" spans="2:4">
      <c r="B20" s="23" t="s">
        <v>215</v>
      </c>
      <c r="C20" s="22">
        <v>396</v>
      </c>
      <c r="D20" s="21">
        <v>8.5344827586206998E-2</v>
      </c>
    </row>
    <row r="21" spans="2:4">
      <c r="B21" s="23" t="s">
        <v>216</v>
      </c>
      <c r="C21" s="22">
        <v>32</v>
      </c>
      <c r="D21" s="21">
        <v>6.8965517241380003E-3</v>
      </c>
    </row>
    <row r="22" spans="2:4">
      <c r="B22" s="23" t="s">
        <v>217</v>
      </c>
      <c r="C22" s="22">
        <v>76</v>
      </c>
      <c r="D22" s="21">
        <v>1.6379310344828001E-2</v>
      </c>
    </row>
    <row r="23" spans="2:4">
      <c r="B23" s="23" t="s">
        <v>218</v>
      </c>
      <c r="C23" s="22">
        <v>254</v>
      </c>
      <c r="D23" s="21">
        <v>5.4741379310344999E-2</v>
      </c>
    </row>
    <row r="24" spans="2:4">
      <c r="B24" s="23" t="s">
        <v>219</v>
      </c>
      <c r="C24" s="22">
        <v>1507</v>
      </c>
      <c r="D24" s="21">
        <v>0.32478448275862098</v>
      </c>
    </row>
    <row r="25" spans="2:4">
      <c r="B25" s="23" t="s">
        <v>220</v>
      </c>
      <c r="C25" s="22">
        <v>39</v>
      </c>
      <c r="D25" s="21">
        <v>8.4051724137930005E-3</v>
      </c>
    </row>
    <row r="26" spans="2:4">
      <c r="B26" s="23" t="s">
        <v>221</v>
      </c>
      <c r="C26" s="22">
        <v>245</v>
      </c>
      <c r="D26" s="21">
        <v>5.2801724137931001E-2</v>
      </c>
    </row>
    <row r="27" spans="2:4">
      <c r="B27" s="23" t="s">
        <v>222</v>
      </c>
      <c r="C27" s="22">
        <v>1306</v>
      </c>
      <c r="D27" s="21">
        <v>0.28146551724137903</v>
      </c>
    </row>
    <row r="28" spans="2:4">
      <c r="B28" s="23" t="s">
        <v>223</v>
      </c>
      <c r="C28" s="22">
        <v>13</v>
      </c>
      <c r="D28" s="21">
        <v>2.8017241379310002E-3</v>
      </c>
    </row>
    <row r="29" spans="2:4">
      <c r="B29" s="23" t="s">
        <v>224</v>
      </c>
      <c r="C29" s="22">
        <v>11</v>
      </c>
      <c r="D29" s="21">
        <v>2.370689655172E-3</v>
      </c>
    </row>
    <row r="30" spans="2:4">
      <c r="B30" s="23" t="s">
        <v>225</v>
      </c>
      <c r="C30" s="22">
        <v>11</v>
      </c>
      <c r="D30" s="21">
        <v>2.370689655172E-3</v>
      </c>
    </row>
    <row r="31" spans="2:4">
      <c r="B31" s="23" t="s">
        <v>226</v>
      </c>
      <c r="C31" s="22">
        <v>8</v>
      </c>
      <c r="D31" s="21">
        <v>1.724137931034E-3</v>
      </c>
    </row>
    <row r="32" spans="2:4">
      <c r="B32" s="23" t="s">
        <v>227</v>
      </c>
      <c r="C32" s="22">
        <v>65</v>
      </c>
      <c r="D32" s="21">
        <v>1.4008620689654999E-2</v>
      </c>
    </row>
    <row r="33" spans="1:4">
      <c r="B33" s="23" t="s">
        <v>228</v>
      </c>
      <c r="C33" s="22">
        <v>221</v>
      </c>
      <c r="D33" s="21">
        <v>4.7629310344828001E-2</v>
      </c>
    </row>
    <row r="34" spans="1:4">
      <c r="B34" s="23" t="s">
        <v>229</v>
      </c>
      <c r="C34" s="22">
        <v>4</v>
      </c>
      <c r="D34" s="21">
        <v>8.6206896551700002E-4</v>
      </c>
    </row>
    <row r="35" spans="1:4">
      <c r="B35" s="23" t="s">
        <v>230</v>
      </c>
      <c r="C35" s="22">
        <v>1</v>
      </c>
      <c r="D35" s="21">
        <v>2.1551724137899999E-4</v>
      </c>
    </row>
    <row r="36" spans="1:4">
      <c r="B36" s="23" t="s">
        <v>231</v>
      </c>
      <c r="C36" s="22">
        <v>1</v>
      </c>
      <c r="D36" s="21">
        <v>2.1551724137899999E-4</v>
      </c>
    </row>
    <row r="37" spans="1:4">
      <c r="B37" s="20" t="s">
        <v>29</v>
      </c>
      <c r="C37" s="19">
        <v>4640</v>
      </c>
      <c r="D37" s="18">
        <v>1</v>
      </c>
    </row>
    <row r="38" spans="1:4">
      <c r="B38" s="46"/>
    </row>
    <row r="39" spans="1:4">
      <c r="B39" s="15" t="s">
        <v>46</v>
      </c>
    </row>
    <row r="40" spans="1:4">
      <c r="B40" s="17" t="s">
        <v>18</v>
      </c>
    </row>
    <row r="41" spans="1:4">
      <c r="B41" s="16" t="s">
        <v>47</v>
      </c>
    </row>
    <row r="42" spans="1:4">
      <c r="B42" s="15" t="s">
        <v>17</v>
      </c>
    </row>
    <row r="43" spans="1:4">
      <c r="A43" s="46"/>
      <c r="B43" s="15" t="s">
        <v>48</v>
      </c>
    </row>
    <row r="44" spans="1:4">
      <c r="A44" s="46"/>
    </row>
    <row r="48" spans="1:4">
      <c r="C48" s="13"/>
    </row>
    <row r="49" spans="3:3">
      <c r="C49" s="13"/>
    </row>
    <row r="50" spans="3:3">
      <c r="C50" s="13"/>
    </row>
    <row r="51" spans="3:3">
      <c r="C51" s="13"/>
    </row>
    <row r="52" spans="3:3">
      <c r="C52" s="13"/>
    </row>
    <row r="53" spans="3:3">
      <c r="C53" s="13"/>
    </row>
    <row r="54" spans="3:3">
      <c r="C54" s="13"/>
    </row>
    <row r="55" spans="3:3">
      <c r="C55" s="13"/>
    </row>
    <row r="56" spans="3:3">
      <c r="C56" s="13"/>
    </row>
    <row r="57" spans="3:3">
      <c r="C57" s="13"/>
    </row>
    <row r="58" spans="3:3">
      <c r="C58" s="13"/>
    </row>
    <row r="59" spans="3:3">
      <c r="C59" s="13"/>
    </row>
    <row r="60" spans="3:3">
      <c r="C60" s="13"/>
    </row>
    <row r="61" spans="3:3">
      <c r="C61" s="13"/>
    </row>
    <row r="62" spans="3:3">
      <c r="C62" s="13"/>
    </row>
    <row r="63" spans="3:3">
      <c r="C63" s="13"/>
    </row>
    <row r="64" spans="3:3">
      <c r="C64" s="13"/>
    </row>
    <row r="65" spans="3:3">
      <c r="C65" s="13"/>
    </row>
    <row r="66" spans="3:3">
      <c r="C66" s="13"/>
    </row>
    <row r="67" spans="3:3">
      <c r="C67" s="13"/>
    </row>
    <row r="68" spans="3:3">
      <c r="C68" s="13"/>
    </row>
    <row r="69" spans="3:3">
      <c r="C69" s="13"/>
    </row>
    <row r="70" spans="3:3">
      <c r="C70" s="13"/>
    </row>
    <row r="71" spans="3:3">
      <c r="C71" s="13"/>
    </row>
    <row r="72" spans="3:3">
      <c r="C72" s="13"/>
    </row>
    <row r="73" spans="3:3">
      <c r="C73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E501"/>
  <sheetViews>
    <sheetView showGridLines="0" view="pageBreakPreview" topLeftCell="A484" zoomScale="85" zoomScaleNormal="100" zoomScaleSheetLayoutView="85" workbookViewId="0">
      <selection activeCell="B501" sqref="B501"/>
    </sheetView>
  </sheetViews>
  <sheetFormatPr baseColWidth="10" defaultColWidth="35" defaultRowHeight="15" customHeight="1"/>
  <cols>
    <col min="1" max="1" width="1" style="32" customWidth="1"/>
    <col min="2" max="2" width="22.81640625" style="33" customWidth="1"/>
    <col min="3" max="3" width="31.453125" style="33" customWidth="1"/>
    <col min="4" max="4" width="14.26953125" style="33" customWidth="1"/>
    <col min="5" max="5" width="16.81640625" style="33" customWidth="1"/>
    <col min="6" max="16384" width="35" style="32"/>
  </cols>
  <sheetData>
    <row r="1" spans="1:5" s="41" customFormat="1" ht="12" customHeight="1">
      <c r="B1" s="43"/>
      <c r="C1" s="37"/>
      <c r="D1" s="37"/>
      <c r="E1" s="37"/>
    </row>
    <row r="2" spans="1:5" s="41" customFormat="1" ht="15" customHeight="1">
      <c r="C2" s="45"/>
    </row>
    <row r="3" spans="1:5" s="41" customFormat="1" ht="15" customHeight="1">
      <c r="C3" s="45"/>
    </row>
    <row r="4" spans="1:5" s="41" customFormat="1" ht="30" customHeight="1">
      <c r="C4" s="45"/>
      <c r="D4" s="44"/>
    </row>
    <row r="5" spans="1:5" s="41" customFormat="1" ht="15" customHeight="1">
      <c r="C5" s="45"/>
      <c r="D5" s="44"/>
    </row>
    <row r="6" spans="1:5" s="41" customFormat="1" ht="24" customHeight="1">
      <c r="B6" s="43"/>
      <c r="C6" s="37"/>
      <c r="D6" s="37"/>
      <c r="E6" s="37"/>
    </row>
    <row r="7" spans="1:5" s="41" customFormat="1" ht="26.25" customHeight="1">
      <c r="A7" s="42"/>
      <c r="B7" s="94"/>
      <c r="C7" s="94"/>
      <c r="D7" s="94"/>
      <c r="E7" s="94"/>
    </row>
    <row r="8" spans="1:5" s="41" customFormat="1" ht="33" customHeight="1">
      <c r="A8" s="42"/>
      <c r="B8" s="94"/>
      <c r="C8" s="94"/>
      <c r="D8" s="94"/>
      <c r="E8" s="94"/>
    </row>
    <row r="9" spans="1:5" s="25" customFormat="1" ht="40.5" customHeight="1">
      <c r="B9" s="38" t="s">
        <v>28</v>
      </c>
      <c r="C9" s="40" t="s">
        <v>25</v>
      </c>
      <c r="D9" s="39" t="s">
        <v>20</v>
      </c>
      <c r="E9" s="38" t="s">
        <v>19</v>
      </c>
    </row>
    <row r="10" spans="1:5" ht="14.5">
      <c r="B10" s="95" t="s">
        <v>207</v>
      </c>
      <c r="C10" s="67" t="s">
        <v>104</v>
      </c>
      <c r="D10" s="68">
        <v>1</v>
      </c>
      <c r="E10" s="69">
        <v>2.1551724137899999E-4</v>
      </c>
    </row>
    <row r="11" spans="1:5" ht="14.5">
      <c r="B11" s="97"/>
      <c r="C11" s="36" t="s">
        <v>29</v>
      </c>
      <c r="D11" s="35">
        <v>1</v>
      </c>
      <c r="E11" s="34">
        <v>2.1551724137899999E-4</v>
      </c>
    </row>
    <row r="12" spans="1:5" ht="14.5">
      <c r="B12" s="95" t="s">
        <v>208</v>
      </c>
      <c r="C12" s="67" t="s">
        <v>97</v>
      </c>
      <c r="D12" s="68">
        <v>1</v>
      </c>
      <c r="E12" s="69">
        <v>2.1551724137899999E-4</v>
      </c>
    </row>
    <row r="13" spans="1:5" ht="14.5">
      <c r="B13" s="96"/>
      <c r="C13" s="67" t="s">
        <v>98</v>
      </c>
      <c r="D13" s="68">
        <v>1</v>
      </c>
      <c r="E13" s="69">
        <v>2.1551724137899999E-4</v>
      </c>
    </row>
    <row r="14" spans="1:5" ht="14.5">
      <c r="B14" s="96"/>
      <c r="C14" s="67" t="s">
        <v>99</v>
      </c>
      <c r="D14" s="68">
        <v>7</v>
      </c>
      <c r="E14" s="69">
        <v>1.508620689655E-3</v>
      </c>
    </row>
    <row r="15" spans="1:5" ht="14.5">
      <c r="B15" s="96"/>
      <c r="C15" s="67" t="s">
        <v>100</v>
      </c>
      <c r="D15" s="68">
        <v>1</v>
      </c>
      <c r="E15" s="69">
        <v>2.1551724137899999E-4</v>
      </c>
    </row>
    <row r="16" spans="1:5" ht="14.5">
      <c r="B16" s="96"/>
      <c r="C16" s="67" t="s">
        <v>103</v>
      </c>
      <c r="D16" s="68">
        <v>6</v>
      </c>
      <c r="E16" s="69">
        <v>1.293103448276E-3</v>
      </c>
    </row>
    <row r="17" spans="2:5" ht="14.5">
      <c r="B17" s="96"/>
      <c r="C17" s="67" t="s">
        <v>104</v>
      </c>
      <c r="D17" s="68">
        <v>1</v>
      </c>
      <c r="E17" s="69">
        <v>2.1551724137899999E-4</v>
      </c>
    </row>
    <row r="18" spans="2:5" ht="14.5">
      <c r="B18" s="96"/>
      <c r="C18" s="67" t="s">
        <v>108</v>
      </c>
      <c r="D18" s="68">
        <v>1</v>
      </c>
      <c r="E18" s="69">
        <v>2.1551724137899999E-4</v>
      </c>
    </row>
    <row r="19" spans="2:5" ht="14.5">
      <c r="B19" s="96"/>
      <c r="C19" s="67" t="s">
        <v>112</v>
      </c>
      <c r="D19" s="68">
        <v>2</v>
      </c>
      <c r="E19" s="69">
        <v>4.3103448275899999E-4</v>
      </c>
    </row>
    <row r="20" spans="2:5" ht="14.5">
      <c r="B20" s="96"/>
      <c r="C20" s="67" t="s">
        <v>117</v>
      </c>
      <c r="D20" s="68">
        <v>1</v>
      </c>
      <c r="E20" s="69">
        <v>2.1551724137899999E-4</v>
      </c>
    </row>
    <row r="21" spans="2:5" ht="14.5">
      <c r="B21" s="96"/>
      <c r="C21" s="67" t="s">
        <v>119</v>
      </c>
      <c r="D21" s="68">
        <v>1</v>
      </c>
      <c r="E21" s="69">
        <v>2.1551724137899999E-4</v>
      </c>
    </row>
    <row r="22" spans="2:5" ht="14.5">
      <c r="B22" s="96"/>
      <c r="C22" s="67" t="s">
        <v>122</v>
      </c>
      <c r="D22" s="68">
        <v>1</v>
      </c>
      <c r="E22" s="69">
        <v>2.1551724137899999E-4</v>
      </c>
    </row>
    <row r="23" spans="2:5" ht="14.5">
      <c r="B23" s="96"/>
      <c r="C23" s="67" t="s">
        <v>125</v>
      </c>
      <c r="D23" s="68">
        <v>9</v>
      </c>
      <c r="E23" s="69">
        <v>1.9396551724139999E-3</v>
      </c>
    </row>
    <row r="24" spans="2:5" ht="14.5">
      <c r="B24" s="96"/>
      <c r="C24" s="67" t="s">
        <v>126</v>
      </c>
      <c r="D24" s="68">
        <v>1</v>
      </c>
      <c r="E24" s="69">
        <v>2.1551724137899999E-4</v>
      </c>
    </row>
    <row r="25" spans="2:5" ht="14.5">
      <c r="B25" s="96"/>
      <c r="C25" s="67" t="s">
        <v>128</v>
      </c>
      <c r="D25" s="68">
        <v>1</v>
      </c>
      <c r="E25" s="69">
        <v>2.1551724137899999E-4</v>
      </c>
    </row>
    <row r="26" spans="2:5" ht="14.5">
      <c r="B26" s="96"/>
      <c r="C26" s="67" t="s">
        <v>132</v>
      </c>
      <c r="D26" s="68">
        <v>2</v>
      </c>
      <c r="E26" s="69">
        <v>4.3103448275899999E-4</v>
      </c>
    </row>
    <row r="27" spans="2:5" ht="14.5">
      <c r="B27" s="96"/>
      <c r="C27" s="67" t="s">
        <v>133</v>
      </c>
      <c r="D27" s="68">
        <v>2</v>
      </c>
      <c r="E27" s="69">
        <v>4.3103448275899999E-4</v>
      </c>
    </row>
    <row r="28" spans="2:5" ht="14.5">
      <c r="B28" s="96"/>
      <c r="C28" s="67" t="s">
        <v>134</v>
      </c>
      <c r="D28" s="68">
        <v>9</v>
      </c>
      <c r="E28" s="69">
        <v>1.9396551724139999E-3</v>
      </c>
    </row>
    <row r="29" spans="2:5" ht="14.5">
      <c r="B29" s="96"/>
      <c r="C29" s="67" t="s">
        <v>136</v>
      </c>
      <c r="D29" s="68">
        <v>1</v>
      </c>
      <c r="E29" s="69">
        <v>2.1551724137899999E-4</v>
      </c>
    </row>
    <row r="30" spans="2:5" ht="14.5">
      <c r="B30" s="96"/>
      <c r="C30" s="67" t="s">
        <v>137</v>
      </c>
      <c r="D30" s="68">
        <v>4</v>
      </c>
      <c r="E30" s="69">
        <v>8.6206896551700002E-4</v>
      </c>
    </row>
    <row r="31" spans="2:5" ht="14.5">
      <c r="B31" s="97"/>
      <c r="C31" s="36" t="s">
        <v>29</v>
      </c>
      <c r="D31" s="35">
        <v>52</v>
      </c>
      <c r="E31" s="34">
        <v>1.1206896551724001E-2</v>
      </c>
    </row>
    <row r="32" spans="2:5" ht="14.5">
      <c r="B32" s="95" t="s">
        <v>209</v>
      </c>
      <c r="C32" s="67" t="s">
        <v>97</v>
      </c>
      <c r="D32" s="68">
        <v>1</v>
      </c>
      <c r="E32" s="69">
        <v>2.1551724137899999E-4</v>
      </c>
    </row>
    <row r="33" spans="2:5" ht="14.5">
      <c r="B33" s="96"/>
      <c r="C33" s="67" t="s">
        <v>99</v>
      </c>
      <c r="D33" s="68">
        <v>2</v>
      </c>
      <c r="E33" s="69">
        <v>4.3103448275899999E-4</v>
      </c>
    </row>
    <row r="34" spans="2:5" ht="14.5">
      <c r="B34" s="96"/>
      <c r="C34" s="67" t="s">
        <v>104</v>
      </c>
      <c r="D34" s="68">
        <v>2</v>
      </c>
      <c r="E34" s="69">
        <v>4.3103448275899999E-4</v>
      </c>
    </row>
    <row r="35" spans="2:5" ht="14.5">
      <c r="B35" s="96"/>
      <c r="C35" s="67" t="s">
        <v>112</v>
      </c>
      <c r="D35" s="68">
        <v>1</v>
      </c>
      <c r="E35" s="69">
        <v>2.1551724137899999E-4</v>
      </c>
    </row>
    <row r="36" spans="2:5" ht="14.5">
      <c r="B36" s="96"/>
      <c r="C36" s="67" t="s">
        <v>118</v>
      </c>
      <c r="D36" s="68">
        <v>1</v>
      </c>
      <c r="E36" s="69">
        <v>2.1551724137899999E-4</v>
      </c>
    </row>
    <row r="37" spans="2:5" ht="14.5">
      <c r="B37" s="96"/>
      <c r="C37" s="67" t="s">
        <v>122</v>
      </c>
      <c r="D37" s="68">
        <v>1</v>
      </c>
      <c r="E37" s="69">
        <v>2.1551724137899999E-4</v>
      </c>
    </row>
    <row r="38" spans="2:5" ht="14.5">
      <c r="B38" s="96"/>
      <c r="C38" s="67" t="s">
        <v>125</v>
      </c>
      <c r="D38" s="68">
        <v>4</v>
      </c>
      <c r="E38" s="69">
        <v>8.6206896551700002E-4</v>
      </c>
    </row>
    <row r="39" spans="2:5" ht="14.5">
      <c r="B39" s="96"/>
      <c r="C39" s="67" t="s">
        <v>133</v>
      </c>
      <c r="D39" s="68">
        <v>1</v>
      </c>
      <c r="E39" s="69">
        <v>2.1551724137899999E-4</v>
      </c>
    </row>
    <row r="40" spans="2:5" ht="14.5">
      <c r="B40" s="96"/>
      <c r="C40" s="67" t="s">
        <v>134</v>
      </c>
      <c r="D40" s="68">
        <v>4</v>
      </c>
      <c r="E40" s="69">
        <v>8.6206896551700002E-4</v>
      </c>
    </row>
    <row r="41" spans="2:5" ht="14.5">
      <c r="B41" s="96"/>
      <c r="C41" s="67" t="s">
        <v>139</v>
      </c>
      <c r="D41" s="68">
        <v>1</v>
      </c>
      <c r="E41" s="69">
        <v>2.1551724137899999E-4</v>
      </c>
    </row>
    <row r="42" spans="2:5" ht="14.5">
      <c r="B42" s="97"/>
      <c r="C42" s="36" t="s">
        <v>29</v>
      </c>
      <c r="D42" s="35">
        <v>18</v>
      </c>
      <c r="E42" s="34">
        <v>3.8793103448279999E-3</v>
      </c>
    </row>
    <row r="43" spans="2:5" ht="14.5">
      <c r="B43" s="95" t="s">
        <v>210</v>
      </c>
      <c r="C43" s="67" t="s">
        <v>96</v>
      </c>
      <c r="D43" s="68">
        <v>1</v>
      </c>
      <c r="E43" s="69">
        <v>2.1551724137899999E-4</v>
      </c>
    </row>
    <row r="44" spans="2:5" ht="14.5">
      <c r="B44" s="96"/>
      <c r="C44" s="67" t="s">
        <v>99</v>
      </c>
      <c r="D44" s="68">
        <v>3</v>
      </c>
      <c r="E44" s="69">
        <v>6.4655172413799998E-4</v>
      </c>
    </row>
    <row r="45" spans="2:5" ht="14.5">
      <c r="B45" s="96"/>
      <c r="C45" s="67" t="s">
        <v>103</v>
      </c>
      <c r="D45" s="68">
        <v>6</v>
      </c>
      <c r="E45" s="69">
        <v>1.293103448276E-3</v>
      </c>
    </row>
    <row r="46" spans="2:5" ht="14.5">
      <c r="B46" s="96"/>
      <c r="C46" s="67" t="s">
        <v>104</v>
      </c>
      <c r="D46" s="68">
        <v>1</v>
      </c>
      <c r="E46" s="69">
        <v>2.1551724137899999E-4</v>
      </c>
    </row>
    <row r="47" spans="2:5" ht="14.5">
      <c r="B47" s="96"/>
      <c r="C47" s="67" t="s">
        <v>108</v>
      </c>
      <c r="D47" s="68">
        <v>2</v>
      </c>
      <c r="E47" s="69">
        <v>4.3103448275899999E-4</v>
      </c>
    </row>
    <row r="48" spans="2:5" ht="14.5">
      <c r="B48" s="96"/>
      <c r="C48" s="67" t="s">
        <v>111</v>
      </c>
      <c r="D48" s="68">
        <v>1</v>
      </c>
      <c r="E48" s="69">
        <v>2.1551724137899999E-4</v>
      </c>
    </row>
    <row r="49" spans="2:5" ht="14.5">
      <c r="B49" s="96"/>
      <c r="C49" s="67" t="s">
        <v>116</v>
      </c>
      <c r="D49" s="68">
        <v>1</v>
      </c>
      <c r="E49" s="69">
        <v>2.1551724137899999E-4</v>
      </c>
    </row>
    <row r="50" spans="2:5" ht="14.5">
      <c r="B50" s="96"/>
      <c r="C50" s="67" t="s">
        <v>125</v>
      </c>
      <c r="D50" s="68">
        <v>5</v>
      </c>
      <c r="E50" s="69">
        <v>1.0775862068969999E-3</v>
      </c>
    </row>
    <row r="51" spans="2:5" ht="14.5">
      <c r="B51" s="96"/>
      <c r="C51" s="67" t="s">
        <v>128</v>
      </c>
      <c r="D51" s="68">
        <v>1</v>
      </c>
      <c r="E51" s="69">
        <v>2.1551724137899999E-4</v>
      </c>
    </row>
    <row r="52" spans="2:5" ht="14.5">
      <c r="B52" s="96"/>
      <c r="C52" s="67" t="s">
        <v>129</v>
      </c>
      <c r="D52" s="68">
        <v>1</v>
      </c>
      <c r="E52" s="69">
        <v>2.1551724137899999E-4</v>
      </c>
    </row>
    <row r="53" spans="2:5" ht="14.5">
      <c r="B53" s="96"/>
      <c r="C53" s="67" t="s">
        <v>132</v>
      </c>
      <c r="D53" s="68">
        <v>1</v>
      </c>
      <c r="E53" s="69">
        <v>2.1551724137899999E-4</v>
      </c>
    </row>
    <row r="54" spans="2:5" ht="14.5">
      <c r="B54" s="96"/>
      <c r="C54" s="67" t="s">
        <v>133</v>
      </c>
      <c r="D54" s="68">
        <v>1</v>
      </c>
      <c r="E54" s="69">
        <v>2.1551724137899999E-4</v>
      </c>
    </row>
    <row r="55" spans="2:5" ht="14.5">
      <c r="B55" s="96"/>
      <c r="C55" s="67" t="s">
        <v>134</v>
      </c>
      <c r="D55" s="68">
        <v>7</v>
      </c>
      <c r="E55" s="69">
        <v>1.508620689655E-3</v>
      </c>
    </row>
    <row r="56" spans="2:5" ht="14.5">
      <c r="B56" s="97"/>
      <c r="C56" s="36" t="s">
        <v>29</v>
      </c>
      <c r="D56" s="35">
        <v>31</v>
      </c>
      <c r="E56" s="34">
        <v>6.6810344827590001E-3</v>
      </c>
    </row>
    <row r="57" spans="2:5" ht="14.5">
      <c r="B57" s="95" t="s">
        <v>211</v>
      </c>
      <c r="C57" s="67" t="s">
        <v>96</v>
      </c>
      <c r="D57" s="68">
        <v>3</v>
      </c>
      <c r="E57" s="69">
        <v>6.4655172413799998E-4</v>
      </c>
    </row>
    <row r="58" spans="2:5" ht="14.5">
      <c r="B58" s="96"/>
      <c r="C58" s="67" t="s">
        <v>98</v>
      </c>
      <c r="D58" s="68">
        <v>1</v>
      </c>
      <c r="E58" s="69">
        <v>2.1551724137899999E-4</v>
      </c>
    </row>
    <row r="59" spans="2:5" ht="14.5">
      <c r="B59" s="96"/>
      <c r="C59" s="67" t="s">
        <v>99</v>
      </c>
      <c r="D59" s="68">
        <v>6</v>
      </c>
      <c r="E59" s="69">
        <v>1.293103448276E-3</v>
      </c>
    </row>
    <row r="60" spans="2:5" ht="14.5">
      <c r="B60" s="96"/>
      <c r="C60" s="67" t="s">
        <v>103</v>
      </c>
      <c r="D60" s="68">
        <v>1</v>
      </c>
      <c r="E60" s="69">
        <v>2.1551724137899999E-4</v>
      </c>
    </row>
    <row r="61" spans="2:5" ht="14.5">
      <c r="B61" s="96"/>
      <c r="C61" s="67" t="s">
        <v>104</v>
      </c>
      <c r="D61" s="68">
        <v>1</v>
      </c>
      <c r="E61" s="69">
        <v>2.1551724137899999E-4</v>
      </c>
    </row>
    <row r="62" spans="2:5" ht="14.5">
      <c r="B62" s="96"/>
      <c r="C62" s="67" t="s">
        <v>106</v>
      </c>
      <c r="D62" s="68">
        <v>1</v>
      </c>
      <c r="E62" s="69">
        <v>2.1551724137899999E-4</v>
      </c>
    </row>
    <row r="63" spans="2:5" ht="14.5">
      <c r="B63" s="96"/>
      <c r="C63" s="67" t="s">
        <v>107</v>
      </c>
      <c r="D63" s="68">
        <v>1</v>
      </c>
      <c r="E63" s="69">
        <v>2.1551724137899999E-4</v>
      </c>
    </row>
    <row r="64" spans="2:5" ht="14.5">
      <c r="B64" s="96"/>
      <c r="C64" s="67" t="s">
        <v>108</v>
      </c>
      <c r="D64" s="68">
        <v>3</v>
      </c>
      <c r="E64" s="69">
        <v>6.4655172413799998E-4</v>
      </c>
    </row>
    <row r="65" spans="2:5" ht="14.5">
      <c r="B65" s="96"/>
      <c r="C65" s="67" t="s">
        <v>110</v>
      </c>
      <c r="D65" s="68">
        <v>1</v>
      </c>
      <c r="E65" s="69">
        <v>2.1551724137899999E-4</v>
      </c>
    </row>
    <row r="66" spans="2:5" ht="14.5">
      <c r="B66" s="96"/>
      <c r="C66" s="67" t="s">
        <v>112</v>
      </c>
      <c r="D66" s="68">
        <v>1</v>
      </c>
      <c r="E66" s="69">
        <v>2.1551724137899999E-4</v>
      </c>
    </row>
    <row r="67" spans="2:5" ht="14.5">
      <c r="B67" s="96"/>
      <c r="C67" s="67" t="s">
        <v>114</v>
      </c>
      <c r="D67" s="68">
        <v>2</v>
      </c>
      <c r="E67" s="69">
        <v>4.3103448275899999E-4</v>
      </c>
    </row>
    <row r="68" spans="2:5" ht="14.5">
      <c r="B68" s="96"/>
      <c r="C68" s="67" t="s">
        <v>121</v>
      </c>
      <c r="D68" s="68">
        <v>1</v>
      </c>
      <c r="E68" s="69">
        <v>2.1551724137899999E-4</v>
      </c>
    </row>
    <row r="69" spans="2:5" ht="14.5">
      <c r="B69" s="96"/>
      <c r="C69" s="67" t="s">
        <v>124</v>
      </c>
      <c r="D69" s="68">
        <v>1</v>
      </c>
      <c r="E69" s="69">
        <v>2.1551724137899999E-4</v>
      </c>
    </row>
    <row r="70" spans="2:5" ht="14.5">
      <c r="B70" s="96"/>
      <c r="C70" s="67" t="s">
        <v>125</v>
      </c>
      <c r="D70" s="68">
        <v>7</v>
      </c>
      <c r="E70" s="69">
        <v>1.508620689655E-3</v>
      </c>
    </row>
    <row r="71" spans="2:5" ht="14.5">
      <c r="B71" s="96"/>
      <c r="C71" s="67" t="s">
        <v>131</v>
      </c>
      <c r="D71" s="68">
        <v>1</v>
      </c>
      <c r="E71" s="69">
        <v>2.1551724137899999E-4</v>
      </c>
    </row>
    <row r="72" spans="2:5" ht="14.5">
      <c r="B72" s="96"/>
      <c r="C72" s="67" t="s">
        <v>132</v>
      </c>
      <c r="D72" s="68">
        <v>2</v>
      </c>
      <c r="E72" s="69">
        <v>4.3103448275899999E-4</v>
      </c>
    </row>
    <row r="73" spans="2:5" ht="14.5">
      <c r="B73" s="96"/>
      <c r="C73" s="67" t="s">
        <v>133</v>
      </c>
      <c r="D73" s="68">
        <v>1</v>
      </c>
      <c r="E73" s="69">
        <v>2.1551724137899999E-4</v>
      </c>
    </row>
    <row r="74" spans="2:5" ht="14.5">
      <c r="B74" s="96"/>
      <c r="C74" s="67" t="s">
        <v>134</v>
      </c>
      <c r="D74" s="68">
        <v>14</v>
      </c>
      <c r="E74" s="69">
        <v>3.01724137931E-3</v>
      </c>
    </row>
    <row r="75" spans="2:5" ht="14.5">
      <c r="B75" s="96"/>
      <c r="C75" s="67" t="s">
        <v>137</v>
      </c>
      <c r="D75" s="68">
        <v>1</v>
      </c>
      <c r="E75" s="69">
        <v>2.1551724137899999E-4</v>
      </c>
    </row>
    <row r="76" spans="2:5" ht="14.5">
      <c r="B76" s="97"/>
      <c r="C76" s="36" t="s">
        <v>29</v>
      </c>
      <c r="D76" s="35">
        <v>49</v>
      </c>
      <c r="E76" s="34">
        <v>1.0560344827586001E-2</v>
      </c>
    </row>
    <row r="77" spans="2:5" ht="14.5">
      <c r="B77" s="95" t="s">
        <v>212</v>
      </c>
      <c r="C77" s="67" t="s">
        <v>99</v>
      </c>
      <c r="D77" s="68">
        <v>3</v>
      </c>
      <c r="E77" s="69">
        <v>6.4655172413799998E-4</v>
      </c>
    </row>
    <row r="78" spans="2:5" ht="14.5">
      <c r="B78" s="96"/>
      <c r="C78" s="67" t="s">
        <v>100</v>
      </c>
      <c r="D78" s="68">
        <v>2</v>
      </c>
      <c r="E78" s="69">
        <v>4.3103448275899999E-4</v>
      </c>
    </row>
    <row r="79" spans="2:5" ht="14.5">
      <c r="B79" s="96"/>
      <c r="C79" s="67" t="s">
        <v>104</v>
      </c>
      <c r="D79" s="68">
        <v>2</v>
      </c>
      <c r="E79" s="69">
        <v>4.3103448275899999E-4</v>
      </c>
    </row>
    <row r="80" spans="2:5" ht="14.5">
      <c r="B80" s="96"/>
      <c r="C80" s="67" t="s">
        <v>107</v>
      </c>
      <c r="D80" s="68">
        <v>1</v>
      </c>
      <c r="E80" s="69">
        <v>2.1551724137899999E-4</v>
      </c>
    </row>
    <row r="81" spans="2:5" ht="14.5">
      <c r="B81" s="96"/>
      <c r="C81" s="67" t="s">
        <v>117</v>
      </c>
      <c r="D81" s="68">
        <v>1</v>
      </c>
      <c r="E81" s="69">
        <v>2.1551724137899999E-4</v>
      </c>
    </row>
    <row r="82" spans="2:5" ht="14.5">
      <c r="B82" s="96"/>
      <c r="C82" s="67" t="s">
        <v>125</v>
      </c>
      <c r="D82" s="68">
        <v>1</v>
      </c>
      <c r="E82" s="69">
        <v>2.1551724137899999E-4</v>
      </c>
    </row>
    <row r="83" spans="2:5" ht="14.5">
      <c r="B83" s="96"/>
      <c r="C83" s="67" t="s">
        <v>127</v>
      </c>
      <c r="D83" s="68">
        <v>1</v>
      </c>
      <c r="E83" s="69">
        <v>2.1551724137899999E-4</v>
      </c>
    </row>
    <row r="84" spans="2:5" ht="14.5">
      <c r="B84" s="96"/>
      <c r="C84" s="67" t="s">
        <v>134</v>
      </c>
      <c r="D84" s="68">
        <v>10</v>
      </c>
      <c r="E84" s="69">
        <v>2.1551724137930002E-3</v>
      </c>
    </row>
    <row r="85" spans="2:5" ht="14.5">
      <c r="B85" s="96"/>
      <c r="C85" s="67" t="s">
        <v>137</v>
      </c>
      <c r="D85" s="68">
        <v>1</v>
      </c>
      <c r="E85" s="69">
        <v>2.1551724137899999E-4</v>
      </c>
    </row>
    <row r="86" spans="2:5" ht="14.5">
      <c r="B86" s="97"/>
      <c r="C86" s="36" t="s">
        <v>29</v>
      </c>
      <c r="D86" s="35">
        <v>22</v>
      </c>
      <c r="E86" s="34">
        <v>4.7413793103450001E-3</v>
      </c>
    </row>
    <row r="87" spans="2:5" ht="14.5">
      <c r="B87" s="95" t="s">
        <v>213</v>
      </c>
      <c r="C87" s="67" t="s">
        <v>96</v>
      </c>
      <c r="D87" s="68">
        <v>1</v>
      </c>
      <c r="E87" s="69">
        <v>2.1551724137899999E-4</v>
      </c>
    </row>
    <row r="88" spans="2:5" ht="14.5">
      <c r="B88" s="96"/>
      <c r="C88" s="67" t="s">
        <v>97</v>
      </c>
      <c r="D88" s="68">
        <v>1</v>
      </c>
      <c r="E88" s="69">
        <v>2.1551724137899999E-4</v>
      </c>
    </row>
    <row r="89" spans="2:5" ht="14.5">
      <c r="B89" s="96"/>
      <c r="C89" s="67" t="s">
        <v>98</v>
      </c>
      <c r="D89" s="68">
        <v>1</v>
      </c>
      <c r="E89" s="69">
        <v>2.1551724137899999E-4</v>
      </c>
    </row>
    <row r="90" spans="2:5" ht="14.5">
      <c r="B90" s="96"/>
      <c r="C90" s="67" t="s">
        <v>99</v>
      </c>
      <c r="D90" s="68">
        <v>6</v>
      </c>
      <c r="E90" s="69">
        <v>1.293103448276E-3</v>
      </c>
    </row>
    <row r="91" spans="2:5" ht="14.5">
      <c r="B91" s="96"/>
      <c r="C91" s="67" t="s">
        <v>103</v>
      </c>
      <c r="D91" s="68">
        <v>1</v>
      </c>
      <c r="E91" s="69">
        <v>2.1551724137899999E-4</v>
      </c>
    </row>
    <row r="92" spans="2:5" ht="14.5">
      <c r="B92" s="96"/>
      <c r="C92" s="67" t="s">
        <v>104</v>
      </c>
      <c r="D92" s="68">
        <v>1</v>
      </c>
      <c r="E92" s="69">
        <v>2.1551724137899999E-4</v>
      </c>
    </row>
    <row r="93" spans="2:5" ht="14.5">
      <c r="B93" s="96"/>
      <c r="C93" s="67" t="s">
        <v>107</v>
      </c>
      <c r="D93" s="68">
        <v>1</v>
      </c>
      <c r="E93" s="69">
        <v>2.1551724137899999E-4</v>
      </c>
    </row>
    <row r="94" spans="2:5" ht="14.5">
      <c r="B94" s="96"/>
      <c r="C94" s="67" t="s">
        <v>108</v>
      </c>
      <c r="D94" s="68">
        <v>1</v>
      </c>
      <c r="E94" s="69">
        <v>2.1551724137899999E-4</v>
      </c>
    </row>
    <row r="95" spans="2:5" ht="14.5">
      <c r="B95" s="96"/>
      <c r="C95" s="67" t="s">
        <v>122</v>
      </c>
      <c r="D95" s="68">
        <v>1</v>
      </c>
      <c r="E95" s="69">
        <v>2.1551724137899999E-4</v>
      </c>
    </row>
    <row r="96" spans="2:5" ht="14.5">
      <c r="B96" s="96"/>
      <c r="C96" s="67" t="s">
        <v>125</v>
      </c>
      <c r="D96" s="68">
        <v>4</v>
      </c>
      <c r="E96" s="69">
        <v>8.6206896551700002E-4</v>
      </c>
    </row>
    <row r="97" spans="2:5" ht="14.5">
      <c r="B97" s="96"/>
      <c r="C97" s="67" t="s">
        <v>128</v>
      </c>
      <c r="D97" s="68">
        <v>1</v>
      </c>
      <c r="E97" s="69">
        <v>2.1551724137899999E-4</v>
      </c>
    </row>
    <row r="98" spans="2:5" ht="14.5">
      <c r="B98" s="96"/>
      <c r="C98" s="67" t="s">
        <v>129</v>
      </c>
      <c r="D98" s="68">
        <v>1</v>
      </c>
      <c r="E98" s="69">
        <v>2.1551724137899999E-4</v>
      </c>
    </row>
    <row r="99" spans="2:5" ht="14.5">
      <c r="B99" s="96"/>
      <c r="C99" s="67" t="s">
        <v>132</v>
      </c>
      <c r="D99" s="68">
        <v>1</v>
      </c>
      <c r="E99" s="69">
        <v>2.1551724137899999E-4</v>
      </c>
    </row>
    <row r="100" spans="2:5" ht="14.5">
      <c r="B100" s="96"/>
      <c r="C100" s="67" t="s">
        <v>134</v>
      </c>
      <c r="D100" s="68">
        <v>13</v>
      </c>
      <c r="E100" s="69">
        <v>2.8017241379310002E-3</v>
      </c>
    </row>
    <row r="101" spans="2:5" ht="14.5">
      <c r="B101" s="97"/>
      <c r="C101" s="36" t="s">
        <v>29</v>
      </c>
      <c r="D101" s="35">
        <v>34</v>
      </c>
      <c r="E101" s="34">
        <v>7.327586206897E-3</v>
      </c>
    </row>
    <row r="102" spans="2:5" ht="14.5">
      <c r="B102" s="95" t="s">
        <v>214</v>
      </c>
      <c r="C102" s="67" t="s">
        <v>96</v>
      </c>
      <c r="D102" s="68">
        <v>7</v>
      </c>
      <c r="E102" s="69">
        <v>1.508620689655E-3</v>
      </c>
    </row>
    <row r="103" spans="2:5" ht="14.5">
      <c r="B103" s="96"/>
      <c r="C103" s="67" t="s">
        <v>98</v>
      </c>
      <c r="D103" s="68">
        <v>2</v>
      </c>
      <c r="E103" s="69">
        <v>4.3103448275899999E-4</v>
      </c>
    </row>
    <row r="104" spans="2:5" ht="14.5">
      <c r="B104" s="96"/>
      <c r="C104" s="67" t="s">
        <v>99</v>
      </c>
      <c r="D104" s="68">
        <v>30</v>
      </c>
      <c r="E104" s="69">
        <v>6.4655172413789997E-3</v>
      </c>
    </row>
    <row r="105" spans="2:5" ht="14.5">
      <c r="B105" s="96"/>
      <c r="C105" s="67" t="s">
        <v>100</v>
      </c>
      <c r="D105" s="68">
        <v>3</v>
      </c>
      <c r="E105" s="69">
        <v>6.4655172413799998E-4</v>
      </c>
    </row>
    <row r="106" spans="2:5" ht="14.5">
      <c r="B106" s="96"/>
      <c r="C106" s="67" t="s">
        <v>103</v>
      </c>
      <c r="D106" s="68">
        <v>19</v>
      </c>
      <c r="E106" s="69">
        <v>4.0948275862070001E-3</v>
      </c>
    </row>
    <row r="107" spans="2:5" ht="14.5">
      <c r="B107" s="96"/>
      <c r="C107" s="67" t="s">
        <v>104</v>
      </c>
      <c r="D107" s="68">
        <v>4</v>
      </c>
      <c r="E107" s="69">
        <v>8.6206896551700002E-4</v>
      </c>
    </row>
    <row r="108" spans="2:5" ht="14.5">
      <c r="B108" s="96"/>
      <c r="C108" s="67" t="s">
        <v>106</v>
      </c>
      <c r="D108" s="68">
        <v>2</v>
      </c>
      <c r="E108" s="69">
        <v>4.3103448275899999E-4</v>
      </c>
    </row>
    <row r="109" spans="2:5" ht="14.5">
      <c r="B109" s="96"/>
      <c r="C109" s="67" t="s">
        <v>107</v>
      </c>
      <c r="D109" s="68">
        <v>8</v>
      </c>
      <c r="E109" s="69">
        <v>1.724137931034E-3</v>
      </c>
    </row>
    <row r="110" spans="2:5" ht="14.5">
      <c r="B110" s="96"/>
      <c r="C110" s="67" t="s">
        <v>108</v>
      </c>
      <c r="D110" s="68">
        <v>12</v>
      </c>
      <c r="E110" s="69">
        <v>2.5862068965519999E-3</v>
      </c>
    </row>
    <row r="111" spans="2:5" ht="14.5">
      <c r="B111" s="96"/>
      <c r="C111" s="67" t="s">
        <v>110</v>
      </c>
      <c r="D111" s="68">
        <v>2</v>
      </c>
      <c r="E111" s="69">
        <v>4.3103448275899999E-4</v>
      </c>
    </row>
    <row r="112" spans="2:5" ht="14.5">
      <c r="B112" s="96"/>
      <c r="C112" s="67" t="s">
        <v>111</v>
      </c>
      <c r="D112" s="68">
        <v>1</v>
      </c>
      <c r="E112" s="69">
        <v>2.1551724137899999E-4</v>
      </c>
    </row>
    <row r="113" spans="2:5" ht="14.5">
      <c r="B113" s="96"/>
      <c r="C113" s="67" t="s">
        <v>112</v>
      </c>
      <c r="D113" s="68">
        <v>5</v>
      </c>
      <c r="E113" s="69">
        <v>1.0775862068969999E-3</v>
      </c>
    </row>
    <row r="114" spans="2:5" ht="14.5">
      <c r="B114" s="96"/>
      <c r="C114" s="67" t="s">
        <v>114</v>
      </c>
      <c r="D114" s="68">
        <v>2</v>
      </c>
      <c r="E114" s="69">
        <v>4.3103448275899999E-4</v>
      </c>
    </row>
    <row r="115" spans="2:5" ht="14.5">
      <c r="B115" s="96"/>
      <c r="C115" s="67" t="s">
        <v>116</v>
      </c>
      <c r="D115" s="68">
        <v>1</v>
      </c>
      <c r="E115" s="69">
        <v>2.1551724137899999E-4</v>
      </c>
    </row>
    <row r="116" spans="2:5" ht="14.5">
      <c r="B116" s="96"/>
      <c r="C116" s="67" t="s">
        <v>117</v>
      </c>
      <c r="D116" s="68">
        <v>2</v>
      </c>
      <c r="E116" s="69">
        <v>4.3103448275899999E-4</v>
      </c>
    </row>
    <row r="117" spans="2:5" ht="14.5">
      <c r="B117" s="96"/>
      <c r="C117" s="67" t="s">
        <v>118</v>
      </c>
      <c r="D117" s="68">
        <v>3</v>
      </c>
      <c r="E117" s="69">
        <v>6.4655172413799998E-4</v>
      </c>
    </row>
    <row r="118" spans="2:5" ht="14.5">
      <c r="B118" s="96"/>
      <c r="C118" s="67" t="s">
        <v>119</v>
      </c>
      <c r="D118" s="68">
        <v>4</v>
      </c>
      <c r="E118" s="69">
        <v>8.6206896551700002E-4</v>
      </c>
    </row>
    <row r="119" spans="2:5" ht="14.5">
      <c r="B119" s="96"/>
      <c r="C119" s="67" t="s">
        <v>120</v>
      </c>
      <c r="D119" s="68">
        <v>1</v>
      </c>
      <c r="E119" s="69">
        <v>2.1551724137899999E-4</v>
      </c>
    </row>
    <row r="120" spans="2:5" ht="14.5">
      <c r="B120" s="96"/>
      <c r="C120" s="67" t="s">
        <v>121</v>
      </c>
      <c r="D120" s="68">
        <v>2</v>
      </c>
      <c r="E120" s="69">
        <v>4.3103448275899999E-4</v>
      </c>
    </row>
    <row r="121" spans="2:5" ht="14.5">
      <c r="B121" s="96"/>
      <c r="C121" s="67" t="s">
        <v>122</v>
      </c>
      <c r="D121" s="68">
        <v>2</v>
      </c>
      <c r="E121" s="69">
        <v>4.3103448275899999E-4</v>
      </c>
    </row>
    <row r="122" spans="2:5" ht="14.5">
      <c r="B122" s="96"/>
      <c r="C122" s="67" t="s">
        <v>124</v>
      </c>
      <c r="D122" s="68">
        <v>4</v>
      </c>
      <c r="E122" s="69">
        <v>8.6206896551700002E-4</v>
      </c>
    </row>
    <row r="123" spans="2:5" ht="14.5">
      <c r="B123" s="96"/>
      <c r="C123" s="67" t="s">
        <v>125</v>
      </c>
      <c r="D123" s="68">
        <v>20</v>
      </c>
      <c r="E123" s="69">
        <v>4.3103448275860004E-3</v>
      </c>
    </row>
    <row r="124" spans="2:5" ht="14.5">
      <c r="B124" s="96"/>
      <c r="C124" s="67" t="s">
        <v>127</v>
      </c>
      <c r="D124" s="68">
        <v>1</v>
      </c>
      <c r="E124" s="69">
        <v>2.1551724137899999E-4</v>
      </c>
    </row>
    <row r="125" spans="2:5" ht="14.5">
      <c r="B125" s="96"/>
      <c r="C125" s="67" t="s">
        <v>128</v>
      </c>
      <c r="D125" s="68">
        <v>6</v>
      </c>
      <c r="E125" s="69">
        <v>1.293103448276E-3</v>
      </c>
    </row>
    <row r="126" spans="2:5" ht="14.5">
      <c r="B126" s="96"/>
      <c r="C126" s="67" t="s">
        <v>129</v>
      </c>
      <c r="D126" s="68">
        <v>1</v>
      </c>
      <c r="E126" s="69">
        <v>2.1551724137899999E-4</v>
      </c>
    </row>
    <row r="127" spans="2:5" ht="14.5">
      <c r="B127" s="96"/>
      <c r="C127" s="67" t="s">
        <v>130</v>
      </c>
      <c r="D127" s="68">
        <v>2</v>
      </c>
      <c r="E127" s="69">
        <v>4.3103448275899999E-4</v>
      </c>
    </row>
    <row r="128" spans="2:5" ht="14.5">
      <c r="B128" s="96"/>
      <c r="C128" s="67" t="s">
        <v>132</v>
      </c>
      <c r="D128" s="68">
        <v>10</v>
      </c>
      <c r="E128" s="69">
        <v>2.1551724137930002E-3</v>
      </c>
    </row>
    <row r="129" spans="2:5" ht="14.5">
      <c r="B129" s="96"/>
      <c r="C129" s="67" t="s">
        <v>133</v>
      </c>
      <c r="D129" s="68">
        <v>3</v>
      </c>
      <c r="E129" s="69">
        <v>6.4655172413799998E-4</v>
      </c>
    </row>
    <row r="130" spans="2:5" ht="14.5">
      <c r="B130" s="96"/>
      <c r="C130" s="67" t="s">
        <v>134</v>
      </c>
      <c r="D130" s="68">
        <v>65</v>
      </c>
      <c r="E130" s="69">
        <v>1.4008620689654999E-2</v>
      </c>
    </row>
    <row r="131" spans="2:5" ht="14.5">
      <c r="B131" s="96"/>
      <c r="C131" s="67" t="s">
        <v>135</v>
      </c>
      <c r="D131" s="68">
        <v>2</v>
      </c>
      <c r="E131" s="69">
        <v>4.3103448275899999E-4</v>
      </c>
    </row>
    <row r="132" spans="2:5" ht="14.5">
      <c r="B132" s="96"/>
      <c r="C132" s="67" t="s">
        <v>136</v>
      </c>
      <c r="D132" s="68">
        <v>1</v>
      </c>
      <c r="E132" s="69">
        <v>2.1551724137899999E-4</v>
      </c>
    </row>
    <row r="133" spans="2:5" ht="14.5">
      <c r="B133" s="96"/>
      <c r="C133" s="67" t="s">
        <v>137</v>
      </c>
      <c r="D133" s="68">
        <v>13</v>
      </c>
      <c r="E133" s="69">
        <v>2.8017241379310002E-3</v>
      </c>
    </row>
    <row r="134" spans="2:5" ht="14.5">
      <c r="B134" s="96"/>
      <c r="C134" s="67" t="s">
        <v>58</v>
      </c>
      <c r="D134" s="68">
        <v>2</v>
      </c>
      <c r="E134" s="69">
        <v>4.3103448275899999E-4</v>
      </c>
    </row>
    <row r="135" spans="2:5" ht="14.5">
      <c r="B135" s="96"/>
      <c r="C135" s="67" t="s">
        <v>139</v>
      </c>
      <c r="D135" s="68">
        <v>1</v>
      </c>
      <c r="E135" s="69">
        <v>2.1551724137899999E-4</v>
      </c>
    </row>
    <row r="136" spans="2:5" ht="14.5">
      <c r="B136" s="97"/>
      <c r="C136" s="36" t="s">
        <v>29</v>
      </c>
      <c r="D136" s="35">
        <v>243</v>
      </c>
      <c r="E136" s="34">
        <v>5.2370689655171998E-2</v>
      </c>
    </row>
    <row r="137" spans="2:5" ht="14.5">
      <c r="B137" s="95" t="s">
        <v>215</v>
      </c>
      <c r="C137" s="67" t="s">
        <v>96</v>
      </c>
      <c r="D137" s="68">
        <v>4</v>
      </c>
      <c r="E137" s="69">
        <v>8.6206896551700002E-4</v>
      </c>
    </row>
    <row r="138" spans="2:5" ht="14.5">
      <c r="B138" s="96"/>
      <c r="C138" s="67" t="s">
        <v>97</v>
      </c>
      <c r="D138" s="68">
        <v>10</v>
      </c>
      <c r="E138" s="69">
        <v>2.1551724137930002E-3</v>
      </c>
    </row>
    <row r="139" spans="2:5" ht="14.5">
      <c r="B139" s="96"/>
      <c r="C139" s="67" t="s">
        <v>98</v>
      </c>
      <c r="D139" s="68">
        <v>3</v>
      </c>
      <c r="E139" s="69">
        <v>6.4655172413799998E-4</v>
      </c>
    </row>
    <row r="140" spans="2:5" ht="14.5">
      <c r="B140" s="96"/>
      <c r="C140" s="67" t="s">
        <v>99</v>
      </c>
      <c r="D140" s="68">
        <v>33</v>
      </c>
      <c r="E140" s="69">
        <v>7.1120689655169997E-3</v>
      </c>
    </row>
    <row r="141" spans="2:5" ht="14.5">
      <c r="B141" s="96"/>
      <c r="C141" s="67" t="s">
        <v>100</v>
      </c>
      <c r="D141" s="68">
        <v>7</v>
      </c>
      <c r="E141" s="69">
        <v>1.508620689655E-3</v>
      </c>
    </row>
    <row r="142" spans="2:5" ht="14.5">
      <c r="B142" s="96"/>
      <c r="C142" s="67" t="s">
        <v>102</v>
      </c>
      <c r="D142" s="68">
        <v>2</v>
      </c>
      <c r="E142" s="69">
        <v>4.3103448275899999E-4</v>
      </c>
    </row>
    <row r="143" spans="2:5" ht="14.5">
      <c r="B143" s="96"/>
      <c r="C143" s="67" t="s">
        <v>103</v>
      </c>
      <c r="D143" s="68">
        <v>31</v>
      </c>
      <c r="E143" s="69">
        <v>6.6810344827590001E-3</v>
      </c>
    </row>
    <row r="144" spans="2:5" ht="14.5">
      <c r="B144" s="96"/>
      <c r="C144" s="67" t="s">
        <v>104</v>
      </c>
      <c r="D144" s="68">
        <v>10</v>
      </c>
      <c r="E144" s="69">
        <v>2.1551724137930002E-3</v>
      </c>
    </row>
    <row r="145" spans="2:5" ht="14.5">
      <c r="B145" s="96"/>
      <c r="C145" s="67" t="s">
        <v>106</v>
      </c>
      <c r="D145" s="68">
        <v>1</v>
      </c>
      <c r="E145" s="69">
        <v>2.1551724137899999E-4</v>
      </c>
    </row>
    <row r="146" spans="2:5" ht="14.5">
      <c r="B146" s="96"/>
      <c r="C146" s="67" t="s">
        <v>107</v>
      </c>
      <c r="D146" s="68">
        <v>21</v>
      </c>
      <c r="E146" s="69">
        <v>4.5258620689659999E-3</v>
      </c>
    </row>
    <row r="147" spans="2:5" ht="14.5">
      <c r="B147" s="96"/>
      <c r="C147" s="67" t="s">
        <v>108</v>
      </c>
      <c r="D147" s="68">
        <v>18</v>
      </c>
      <c r="E147" s="69">
        <v>3.8793103448279999E-3</v>
      </c>
    </row>
    <row r="148" spans="2:5" ht="14.5">
      <c r="B148" s="96"/>
      <c r="C148" s="67" t="s">
        <v>109</v>
      </c>
      <c r="D148" s="68">
        <v>1</v>
      </c>
      <c r="E148" s="69">
        <v>2.1551724137899999E-4</v>
      </c>
    </row>
    <row r="149" spans="2:5" ht="14.5">
      <c r="B149" s="96"/>
      <c r="C149" s="67" t="s">
        <v>110</v>
      </c>
      <c r="D149" s="68">
        <v>3</v>
      </c>
      <c r="E149" s="69">
        <v>6.4655172413799998E-4</v>
      </c>
    </row>
    <row r="150" spans="2:5" ht="14.5">
      <c r="B150" s="96"/>
      <c r="C150" s="67" t="s">
        <v>111</v>
      </c>
      <c r="D150" s="68">
        <v>3</v>
      </c>
      <c r="E150" s="69">
        <v>6.4655172413799998E-4</v>
      </c>
    </row>
    <row r="151" spans="2:5" ht="14.5">
      <c r="B151" s="96"/>
      <c r="C151" s="67" t="s">
        <v>112</v>
      </c>
      <c r="D151" s="68">
        <v>5</v>
      </c>
      <c r="E151" s="69">
        <v>1.0775862068969999E-3</v>
      </c>
    </row>
    <row r="152" spans="2:5" ht="14.5">
      <c r="B152" s="96"/>
      <c r="C152" s="67" t="s">
        <v>114</v>
      </c>
      <c r="D152" s="68">
        <v>1</v>
      </c>
      <c r="E152" s="69">
        <v>2.1551724137899999E-4</v>
      </c>
    </row>
    <row r="153" spans="2:5" ht="14.5">
      <c r="B153" s="96"/>
      <c r="C153" s="67" t="s">
        <v>116</v>
      </c>
      <c r="D153" s="68">
        <v>2</v>
      </c>
      <c r="E153" s="69">
        <v>4.3103448275899999E-4</v>
      </c>
    </row>
    <row r="154" spans="2:5" ht="14.5">
      <c r="B154" s="96"/>
      <c r="C154" s="67" t="s">
        <v>117</v>
      </c>
      <c r="D154" s="68">
        <v>2</v>
      </c>
      <c r="E154" s="69">
        <v>4.3103448275899999E-4</v>
      </c>
    </row>
    <row r="155" spans="2:5" ht="14.5">
      <c r="B155" s="96"/>
      <c r="C155" s="67" t="s">
        <v>118</v>
      </c>
      <c r="D155" s="68">
        <v>5</v>
      </c>
      <c r="E155" s="69">
        <v>1.0775862068969999E-3</v>
      </c>
    </row>
    <row r="156" spans="2:5" ht="14.5">
      <c r="B156" s="96"/>
      <c r="C156" s="67" t="s">
        <v>119</v>
      </c>
      <c r="D156" s="68">
        <v>3</v>
      </c>
      <c r="E156" s="69">
        <v>6.4655172413799998E-4</v>
      </c>
    </row>
    <row r="157" spans="2:5" ht="14.5">
      <c r="B157" s="96"/>
      <c r="C157" s="67" t="s">
        <v>120</v>
      </c>
      <c r="D157" s="68">
        <v>1</v>
      </c>
      <c r="E157" s="69">
        <v>2.1551724137899999E-4</v>
      </c>
    </row>
    <row r="158" spans="2:5" ht="14.5">
      <c r="B158" s="96"/>
      <c r="C158" s="67" t="s">
        <v>121</v>
      </c>
      <c r="D158" s="68">
        <v>1</v>
      </c>
      <c r="E158" s="69">
        <v>2.1551724137899999E-4</v>
      </c>
    </row>
    <row r="159" spans="2:5" ht="14.5">
      <c r="B159" s="96"/>
      <c r="C159" s="67" t="s">
        <v>122</v>
      </c>
      <c r="D159" s="68">
        <v>3</v>
      </c>
      <c r="E159" s="69">
        <v>6.4655172413799998E-4</v>
      </c>
    </row>
    <row r="160" spans="2:5" ht="14.5">
      <c r="B160" s="96"/>
      <c r="C160" s="67" t="s">
        <v>124</v>
      </c>
      <c r="D160" s="68">
        <v>5</v>
      </c>
      <c r="E160" s="69">
        <v>1.0775862068969999E-3</v>
      </c>
    </row>
    <row r="161" spans="2:5" ht="14.5">
      <c r="B161" s="96"/>
      <c r="C161" s="67" t="s">
        <v>125</v>
      </c>
      <c r="D161" s="68">
        <v>58</v>
      </c>
      <c r="E161" s="69">
        <v>1.2500000000000001E-2</v>
      </c>
    </row>
    <row r="162" spans="2:5" ht="14.5">
      <c r="B162" s="96"/>
      <c r="C162" s="67" t="s">
        <v>127</v>
      </c>
      <c r="D162" s="68">
        <v>2</v>
      </c>
      <c r="E162" s="69">
        <v>4.3103448275899999E-4</v>
      </c>
    </row>
    <row r="163" spans="2:5" ht="14.5">
      <c r="B163" s="96"/>
      <c r="C163" s="67" t="s">
        <v>128</v>
      </c>
      <c r="D163" s="68">
        <v>7</v>
      </c>
      <c r="E163" s="69">
        <v>1.508620689655E-3</v>
      </c>
    </row>
    <row r="164" spans="2:5" ht="14.5">
      <c r="B164" s="96"/>
      <c r="C164" s="67" t="s">
        <v>129</v>
      </c>
      <c r="D164" s="68">
        <v>1</v>
      </c>
      <c r="E164" s="69">
        <v>2.1551724137899999E-4</v>
      </c>
    </row>
    <row r="165" spans="2:5" ht="14.5">
      <c r="B165" s="96"/>
      <c r="C165" s="67" t="s">
        <v>130</v>
      </c>
      <c r="D165" s="68">
        <v>6</v>
      </c>
      <c r="E165" s="69">
        <v>1.293103448276E-3</v>
      </c>
    </row>
    <row r="166" spans="2:5" ht="14.5">
      <c r="B166" s="96"/>
      <c r="C166" s="67" t="s">
        <v>132</v>
      </c>
      <c r="D166" s="68">
        <v>19</v>
      </c>
      <c r="E166" s="69">
        <v>4.0948275862070001E-3</v>
      </c>
    </row>
    <row r="167" spans="2:5" ht="14.5">
      <c r="B167" s="96"/>
      <c r="C167" s="67" t="s">
        <v>133</v>
      </c>
      <c r="D167" s="68">
        <v>5</v>
      </c>
      <c r="E167" s="69">
        <v>1.0775862068969999E-3</v>
      </c>
    </row>
    <row r="168" spans="2:5" ht="14.5">
      <c r="B168" s="96"/>
      <c r="C168" s="67" t="s">
        <v>134</v>
      </c>
      <c r="D168" s="68">
        <v>93</v>
      </c>
      <c r="E168" s="69">
        <v>2.0043103448275999E-2</v>
      </c>
    </row>
    <row r="169" spans="2:5" ht="14.5">
      <c r="B169" s="96"/>
      <c r="C169" s="67" t="s">
        <v>135</v>
      </c>
      <c r="D169" s="68">
        <v>1</v>
      </c>
      <c r="E169" s="69">
        <v>2.1551724137899999E-4</v>
      </c>
    </row>
    <row r="170" spans="2:5" ht="14.5">
      <c r="B170" s="96"/>
      <c r="C170" s="67" t="s">
        <v>136</v>
      </c>
      <c r="D170" s="68">
        <v>5</v>
      </c>
      <c r="E170" s="69">
        <v>1.0775862068969999E-3</v>
      </c>
    </row>
    <row r="171" spans="2:5" ht="14.5">
      <c r="B171" s="96"/>
      <c r="C171" s="67" t="s">
        <v>137</v>
      </c>
      <c r="D171" s="68">
        <v>15</v>
      </c>
      <c r="E171" s="69">
        <v>3.2327586206899999E-3</v>
      </c>
    </row>
    <row r="172" spans="2:5" ht="14.5">
      <c r="B172" s="96"/>
      <c r="C172" s="67" t="s">
        <v>58</v>
      </c>
      <c r="D172" s="68">
        <v>4</v>
      </c>
      <c r="E172" s="69">
        <v>8.6206896551700002E-4</v>
      </c>
    </row>
    <row r="173" spans="2:5" ht="14.5">
      <c r="B173" s="96"/>
      <c r="C173" s="67" t="s">
        <v>138</v>
      </c>
      <c r="D173" s="68">
        <v>1</v>
      </c>
      <c r="E173" s="69">
        <v>2.1551724137899999E-4</v>
      </c>
    </row>
    <row r="174" spans="2:5" ht="14.5">
      <c r="B174" s="96"/>
      <c r="C174" s="67" t="s">
        <v>139</v>
      </c>
      <c r="D174" s="68">
        <v>4</v>
      </c>
      <c r="E174" s="69">
        <v>8.6206896551700002E-4</v>
      </c>
    </row>
    <row r="175" spans="2:5" ht="14.5">
      <c r="B175" s="97"/>
      <c r="C175" s="36" t="s">
        <v>29</v>
      </c>
      <c r="D175" s="35">
        <v>396</v>
      </c>
      <c r="E175" s="34">
        <v>8.5344827586206998E-2</v>
      </c>
    </row>
    <row r="176" spans="2:5" ht="14.5">
      <c r="B176" s="95" t="s">
        <v>216</v>
      </c>
      <c r="C176" s="67" t="s">
        <v>96</v>
      </c>
      <c r="D176" s="68">
        <v>1</v>
      </c>
      <c r="E176" s="69">
        <v>2.1551724137899999E-4</v>
      </c>
    </row>
    <row r="177" spans="2:5" ht="14.5">
      <c r="B177" s="96"/>
      <c r="C177" s="67" t="s">
        <v>97</v>
      </c>
      <c r="D177" s="68">
        <v>1</v>
      </c>
      <c r="E177" s="69">
        <v>2.1551724137899999E-4</v>
      </c>
    </row>
    <row r="178" spans="2:5" ht="14.5">
      <c r="B178" s="96"/>
      <c r="C178" s="67" t="s">
        <v>99</v>
      </c>
      <c r="D178" s="68">
        <v>2</v>
      </c>
      <c r="E178" s="69">
        <v>4.3103448275899999E-4</v>
      </c>
    </row>
    <row r="179" spans="2:5" ht="14.5">
      <c r="B179" s="96"/>
      <c r="C179" s="67" t="s">
        <v>100</v>
      </c>
      <c r="D179" s="68">
        <v>1</v>
      </c>
      <c r="E179" s="69">
        <v>2.1551724137899999E-4</v>
      </c>
    </row>
    <row r="180" spans="2:5" ht="14.5">
      <c r="B180" s="96"/>
      <c r="C180" s="67" t="s">
        <v>103</v>
      </c>
      <c r="D180" s="68">
        <v>2</v>
      </c>
      <c r="E180" s="69">
        <v>4.3103448275899999E-4</v>
      </c>
    </row>
    <row r="181" spans="2:5" ht="14.5">
      <c r="B181" s="96"/>
      <c r="C181" s="67" t="s">
        <v>107</v>
      </c>
      <c r="D181" s="68">
        <v>1</v>
      </c>
      <c r="E181" s="69">
        <v>2.1551724137899999E-4</v>
      </c>
    </row>
    <row r="182" spans="2:5" ht="14.5">
      <c r="B182" s="96"/>
      <c r="C182" s="67" t="s">
        <v>108</v>
      </c>
      <c r="D182" s="68">
        <v>2</v>
      </c>
      <c r="E182" s="69">
        <v>4.3103448275899999E-4</v>
      </c>
    </row>
    <row r="183" spans="2:5" ht="14.5">
      <c r="B183" s="96"/>
      <c r="C183" s="67" t="s">
        <v>112</v>
      </c>
      <c r="D183" s="68">
        <v>1</v>
      </c>
      <c r="E183" s="69">
        <v>2.1551724137899999E-4</v>
      </c>
    </row>
    <row r="184" spans="2:5" ht="14.5">
      <c r="B184" s="96"/>
      <c r="C184" s="67" t="s">
        <v>118</v>
      </c>
      <c r="D184" s="68">
        <v>1</v>
      </c>
      <c r="E184" s="69">
        <v>2.1551724137899999E-4</v>
      </c>
    </row>
    <row r="185" spans="2:5" ht="14.5">
      <c r="B185" s="96"/>
      <c r="C185" s="67" t="s">
        <v>125</v>
      </c>
      <c r="D185" s="68">
        <v>4</v>
      </c>
      <c r="E185" s="69">
        <v>8.6206896551700002E-4</v>
      </c>
    </row>
    <row r="186" spans="2:5" ht="14.5">
      <c r="B186" s="96"/>
      <c r="C186" s="67" t="s">
        <v>129</v>
      </c>
      <c r="D186" s="68">
        <v>1</v>
      </c>
      <c r="E186" s="69">
        <v>2.1551724137899999E-4</v>
      </c>
    </row>
    <row r="187" spans="2:5" ht="14.5">
      <c r="B187" s="96"/>
      <c r="C187" s="67" t="s">
        <v>130</v>
      </c>
      <c r="D187" s="68">
        <v>2</v>
      </c>
      <c r="E187" s="69">
        <v>4.3103448275899999E-4</v>
      </c>
    </row>
    <row r="188" spans="2:5" ht="14.5">
      <c r="B188" s="96"/>
      <c r="C188" s="67" t="s">
        <v>132</v>
      </c>
      <c r="D188" s="68">
        <v>2</v>
      </c>
      <c r="E188" s="69">
        <v>4.3103448275899999E-4</v>
      </c>
    </row>
    <row r="189" spans="2:5" ht="14.5">
      <c r="B189" s="96"/>
      <c r="C189" s="67" t="s">
        <v>133</v>
      </c>
      <c r="D189" s="68">
        <v>1</v>
      </c>
      <c r="E189" s="69">
        <v>2.1551724137899999E-4</v>
      </c>
    </row>
    <row r="190" spans="2:5" ht="14.5">
      <c r="B190" s="96"/>
      <c r="C190" s="67" t="s">
        <v>134</v>
      </c>
      <c r="D190" s="68">
        <v>10</v>
      </c>
      <c r="E190" s="69">
        <v>2.1551724137930002E-3</v>
      </c>
    </row>
    <row r="191" spans="2:5" ht="14.5">
      <c r="B191" s="97"/>
      <c r="C191" s="36" t="s">
        <v>29</v>
      </c>
      <c r="D191" s="35">
        <v>32</v>
      </c>
      <c r="E191" s="34">
        <v>6.8965517241380003E-3</v>
      </c>
    </row>
    <row r="192" spans="2:5" ht="14.5">
      <c r="B192" s="95" t="s">
        <v>217</v>
      </c>
      <c r="C192" s="67" t="s">
        <v>97</v>
      </c>
      <c r="D192" s="68">
        <v>1</v>
      </c>
      <c r="E192" s="69">
        <v>2.1551724137899999E-4</v>
      </c>
    </row>
    <row r="193" spans="2:5" ht="14.5">
      <c r="B193" s="96"/>
      <c r="C193" s="67" t="s">
        <v>99</v>
      </c>
      <c r="D193" s="68">
        <v>1</v>
      </c>
      <c r="E193" s="69">
        <v>2.1551724137899999E-4</v>
      </c>
    </row>
    <row r="194" spans="2:5" ht="14.5">
      <c r="B194" s="96"/>
      <c r="C194" s="67" t="s">
        <v>100</v>
      </c>
      <c r="D194" s="68">
        <v>1</v>
      </c>
      <c r="E194" s="69">
        <v>2.1551724137899999E-4</v>
      </c>
    </row>
    <row r="195" spans="2:5" ht="14.5">
      <c r="B195" s="96"/>
      <c r="C195" s="67" t="s">
        <v>102</v>
      </c>
      <c r="D195" s="68">
        <v>1</v>
      </c>
      <c r="E195" s="69">
        <v>2.1551724137899999E-4</v>
      </c>
    </row>
    <row r="196" spans="2:5" ht="14.5">
      <c r="B196" s="96"/>
      <c r="C196" s="67" t="s">
        <v>103</v>
      </c>
      <c r="D196" s="68">
        <v>8</v>
      </c>
      <c r="E196" s="69">
        <v>1.724137931034E-3</v>
      </c>
    </row>
    <row r="197" spans="2:5" ht="14.5">
      <c r="B197" s="96"/>
      <c r="C197" s="67" t="s">
        <v>104</v>
      </c>
      <c r="D197" s="68">
        <v>3</v>
      </c>
      <c r="E197" s="69">
        <v>6.4655172413799998E-4</v>
      </c>
    </row>
    <row r="198" spans="2:5" ht="14.5">
      <c r="B198" s="96"/>
      <c r="C198" s="67" t="s">
        <v>105</v>
      </c>
      <c r="D198" s="68">
        <v>1</v>
      </c>
      <c r="E198" s="69">
        <v>2.1551724137899999E-4</v>
      </c>
    </row>
    <row r="199" spans="2:5" ht="14.5">
      <c r="B199" s="96"/>
      <c r="C199" s="67" t="s">
        <v>108</v>
      </c>
      <c r="D199" s="68">
        <v>4</v>
      </c>
      <c r="E199" s="69">
        <v>8.6206896551700002E-4</v>
      </c>
    </row>
    <row r="200" spans="2:5" ht="14.5">
      <c r="B200" s="96"/>
      <c r="C200" s="67" t="s">
        <v>109</v>
      </c>
      <c r="D200" s="68">
        <v>2</v>
      </c>
      <c r="E200" s="69">
        <v>4.3103448275899999E-4</v>
      </c>
    </row>
    <row r="201" spans="2:5" ht="14.5">
      <c r="B201" s="96"/>
      <c r="C201" s="67" t="s">
        <v>110</v>
      </c>
      <c r="D201" s="68">
        <v>1</v>
      </c>
      <c r="E201" s="69">
        <v>2.1551724137899999E-4</v>
      </c>
    </row>
    <row r="202" spans="2:5" ht="14.5">
      <c r="B202" s="96"/>
      <c r="C202" s="67" t="s">
        <v>112</v>
      </c>
      <c r="D202" s="68">
        <v>1</v>
      </c>
      <c r="E202" s="69">
        <v>2.1551724137899999E-4</v>
      </c>
    </row>
    <row r="203" spans="2:5" ht="14.5">
      <c r="B203" s="96"/>
      <c r="C203" s="67" t="s">
        <v>114</v>
      </c>
      <c r="D203" s="68">
        <v>1</v>
      </c>
      <c r="E203" s="69">
        <v>2.1551724137899999E-4</v>
      </c>
    </row>
    <row r="204" spans="2:5" ht="14.5">
      <c r="B204" s="96"/>
      <c r="C204" s="67" t="s">
        <v>116</v>
      </c>
      <c r="D204" s="68">
        <v>2</v>
      </c>
      <c r="E204" s="69">
        <v>4.3103448275899999E-4</v>
      </c>
    </row>
    <row r="205" spans="2:5" ht="14.5">
      <c r="B205" s="96"/>
      <c r="C205" s="67" t="s">
        <v>117</v>
      </c>
      <c r="D205" s="68">
        <v>1</v>
      </c>
      <c r="E205" s="69">
        <v>2.1551724137899999E-4</v>
      </c>
    </row>
    <row r="206" spans="2:5" ht="14.5">
      <c r="B206" s="96"/>
      <c r="C206" s="67" t="s">
        <v>118</v>
      </c>
      <c r="D206" s="68">
        <v>3</v>
      </c>
      <c r="E206" s="69">
        <v>6.4655172413799998E-4</v>
      </c>
    </row>
    <row r="207" spans="2:5" ht="14.5">
      <c r="B207" s="96"/>
      <c r="C207" s="67" t="s">
        <v>119</v>
      </c>
      <c r="D207" s="68">
        <v>1</v>
      </c>
      <c r="E207" s="69">
        <v>2.1551724137899999E-4</v>
      </c>
    </row>
    <row r="208" spans="2:5" ht="14.5">
      <c r="B208" s="96"/>
      <c r="C208" s="67" t="s">
        <v>123</v>
      </c>
      <c r="D208" s="68">
        <v>1</v>
      </c>
      <c r="E208" s="69">
        <v>2.1551724137899999E-4</v>
      </c>
    </row>
    <row r="209" spans="2:5" ht="14.5">
      <c r="B209" s="96"/>
      <c r="C209" s="67" t="s">
        <v>124</v>
      </c>
      <c r="D209" s="68">
        <v>1</v>
      </c>
      <c r="E209" s="69">
        <v>2.1551724137899999E-4</v>
      </c>
    </row>
    <row r="210" spans="2:5" ht="14.5">
      <c r="B210" s="96"/>
      <c r="C210" s="67" t="s">
        <v>125</v>
      </c>
      <c r="D210" s="68">
        <v>7</v>
      </c>
      <c r="E210" s="69">
        <v>1.508620689655E-3</v>
      </c>
    </row>
    <row r="211" spans="2:5" ht="14.5">
      <c r="B211" s="96"/>
      <c r="C211" s="67" t="s">
        <v>132</v>
      </c>
      <c r="D211" s="68">
        <v>3</v>
      </c>
      <c r="E211" s="69">
        <v>6.4655172413799998E-4</v>
      </c>
    </row>
    <row r="212" spans="2:5" ht="14.5">
      <c r="B212" s="96"/>
      <c r="C212" s="67" t="s">
        <v>133</v>
      </c>
      <c r="D212" s="68">
        <v>2</v>
      </c>
      <c r="E212" s="69">
        <v>4.3103448275899999E-4</v>
      </c>
    </row>
    <row r="213" spans="2:5" ht="14.5">
      <c r="B213" s="96"/>
      <c r="C213" s="67" t="s">
        <v>134</v>
      </c>
      <c r="D213" s="68">
        <v>25</v>
      </c>
      <c r="E213" s="69">
        <v>5.3879310344830001E-3</v>
      </c>
    </row>
    <row r="214" spans="2:5" ht="14.5">
      <c r="B214" s="96"/>
      <c r="C214" s="67" t="s">
        <v>135</v>
      </c>
      <c r="D214" s="68">
        <v>1</v>
      </c>
      <c r="E214" s="69">
        <v>2.1551724137899999E-4</v>
      </c>
    </row>
    <row r="215" spans="2:5" ht="14.5">
      <c r="B215" s="96"/>
      <c r="C215" s="67" t="s">
        <v>136</v>
      </c>
      <c r="D215" s="68">
        <v>1</v>
      </c>
      <c r="E215" s="69">
        <v>2.1551724137899999E-4</v>
      </c>
    </row>
    <row r="216" spans="2:5" ht="14.5">
      <c r="B216" s="96"/>
      <c r="C216" s="67" t="s">
        <v>137</v>
      </c>
      <c r="D216" s="68">
        <v>2</v>
      </c>
      <c r="E216" s="69">
        <v>4.3103448275899999E-4</v>
      </c>
    </row>
    <row r="217" spans="2:5" ht="14.5">
      <c r="B217" s="96"/>
      <c r="C217" s="67" t="s">
        <v>139</v>
      </c>
      <c r="D217" s="68">
        <v>1</v>
      </c>
      <c r="E217" s="69">
        <v>2.1551724137899999E-4</v>
      </c>
    </row>
    <row r="218" spans="2:5" ht="14.5">
      <c r="B218" s="97"/>
      <c r="C218" s="36" t="s">
        <v>29</v>
      </c>
      <c r="D218" s="35">
        <v>76</v>
      </c>
      <c r="E218" s="34">
        <v>1.6379310344828001E-2</v>
      </c>
    </row>
    <row r="219" spans="2:5" ht="14.5">
      <c r="B219" s="95" t="s">
        <v>218</v>
      </c>
      <c r="C219" s="67" t="s">
        <v>96</v>
      </c>
      <c r="D219" s="68">
        <v>1</v>
      </c>
      <c r="E219" s="69">
        <v>2.1551724137899999E-4</v>
      </c>
    </row>
    <row r="220" spans="2:5" ht="14.5">
      <c r="B220" s="96"/>
      <c r="C220" s="67" t="s">
        <v>97</v>
      </c>
      <c r="D220" s="68">
        <v>3</v>
      </c>
      <c r="E220" s="69">
        <v>6.4655172413799998E-4</v>
      </c>
    </row>
    <row r="221" spans="2:5" ht="14.5">
      <c r="B221" s="96"/>
      <c r="C221" s="67" t="s">
        <v>98</v>
      </c>
      <c r="D221" s="68">
        <v>2</v>
      </c>
      <c r="E221" s="69">
        <v>4.3103448275899999E-4</v>
      </c>
    </row>
    <row r="222" spans="2:5" ht="14.5">
      <c r="B222" s="96"/>
      <c r="C222" s="67" t="s">
        <v>99</v>
      </c>
      <c r="D222" s="68">
        <v>26</v>
      </c>
      <c r="E222" s="69">
        <v>5.6034482758620004E-3</v>
      </c>
    </row>
    <row r="223" spans="2:5" ht="14.5">
      <c r="B223" s="96"/>
      <c r="C223" s="67" t="s">
        <v>100</v>
      </c>
      <c r="D223" s="68">
        <v>8</v>
      </c>
      <c r="E223" s="69">
        <v>1.724137931034E-3</v>
      </c>
    </row>
    <row r="224" spans="2:5" ht="14.5">
      <c r="B224" s="96"/>
      <c r="C224" s="67" t="s">
        <v>103</v>
      </c>
      <c r="D224" s="68">
        <v>14</v>
      </c>
      <c r="E224" s="69">
        <v>3.01724137931E-3</v>
      </c>
    </row>
    <row r="225" spans="2:5" ht="14.5">
      <c r="B225" s="96"/>
      <c r="C225" s="67" t="s">
        <v>104</v>
      </c>
      <c r="D225" s="68">
        <v>6</v>
      </c>
      <c r="E225" s="69">
        <v>1.293103448276E-3</v>
      </c>
    </row>
    <row r="226" spans="2:5" ht="14.5">
      <c r="B226" s="96"/>
      <c r="C226" s="67" t="s">
        <v>106</v>
      </c>
      <c r="D226" s="68">
        <v>1</v>
      </c>
      <c r="E226" s="69">
        <v>2.1551724137899999E-4</v>
      </c>
    </row>
    <row r="227" spans="2:5" ht="14.5">
      <c r="B227" s="96"/>
      <c r="C227" s="67" t="s">
        <v>107</v>
      </c>
      <c r="D227" s="68">
        <v>4</v>
      </c>
      <c r="E227" s="69">
        <v>8.6206896551700002E-4</v>
      </c>
    </row>
    <row r="228" spans="2:5" ht="14.5">
      <c r="B228" s="96"/>
      <c r="C228" s="67" t="s">
        <v>108</v>
      </c>
      <c r="D228" s="68">
        <v>10</v>
      </c>
      <c r="E228" s="69">
        <v>2.1551724137930002E-3</v>
      </c>
    </row>
    <row r="229" spans="2:5" ht="14.5">
      <c r="B229" s="96"/>
      <c r="C229" s="67" t="s">
        <v>110</v>
      </c>
      <c r="D229" s="68">
        <v>2</v>
      </c>
      <c r="E229" s="69">
        <v>4.3103448275899999E-4</v>
      </c>
    </row>
    <row r="230" spans="2:5" ht="14.5">
      <c r="B230" s="96"/>
      <c r="C230" s="67" t="s">
        <v>111</v>
      </c>
      <c r="D230" s="68">
        <v>1</v>
      </c>
      <c r="E230" s="69">
        <v>2.1551724137899999E-4</v>
      </c>
    </row>
    <row r="231" spans="2:5" ht="14.5">
      <c r="B231" s="96"/>
      <c r="C231" s="67" t="s">
        <v>112</v>
      </c>
      <c r="D231" s="68">
        <v>8</v>
      </c>
      <c r="E231" s="69">
        <v>1.724137931034E-3</v>
      </c>
    </row>
    <row r="232" spans="2:5" ht="14.5">
      <c r="B232" s="96"/>
      <c r="C232" s="67" t="s">
        <v>114</v>
      </c>
      <c r="D232" s="68">
        <v>2</v>
      </c>
      <c r="E232" s="69">
        <v>4.3103448275899999E-4</v>
      </c>
    </row>
    <row r="233" spans="2:5" ht="14.5">
      <c r="B233" s="96"/>
      <c r="C233" s="67" t="s">
        <v>115</v>
      </c>
      <c r="D233" s="68">
        <v>1</v>
      </c>
      <c r="E233" s="69">
        <v>2.1551724137899999E-4</v>
      </c>
    </row>
    <row r="234" spans="2:5" ht="14.5">
      <c r="B234" s="96"/>
      <c r="C234" s="67" t="s">
        <v>116</v>
      </c>
      <c r="D234" s="68">
        <v>1</v>
      </c>
      <c r="E234" s="69">
        <v>2.1551724137899999E-4</v>
      </c>
    </row>
    <row r="235" spans="2:5" ht="14.5">
      <c r="B235" s="96"/>
      <c r="C235" s="67" t="s">
        <v>117</v>
      </c>
      <c r="D235" s="68">
        <v>2</v>
      </c>
      <c r="E235" s="69">
        <v>4.3103448275899999E-4</v>
      </c>
    </row>
    <row r="236" spans="2:5" ht="14.5">
      <c r="B236" s="96"/>
      <c r="C236" s="67" t="s">
        <v>118</v>
      </c>
      <c r="D236" s="68">
        <v>1</v>
      </c>
      <c r="E236" s="69">
        <v>2.1551724137899999E-4</v>
      </c>
    </row>
    <row r="237" spans="2:5" ht="14.5">
      <c r="B237" s="96"/>
      <c r="C237" s="67" t="s">
        <v>119</v>
      </c>
      <c r="D237" s="68">
        <v>5</v>
      </c>
      <c r="E237" s="69">
        <v>1.0775862068969999E-3</v>
      </c>
    </row>
    <row r="238" spans="2:5" ht="14.5">
      <c r="B238" s="96"/>
      <c r="C238" s="67" t="s">
        <v>121</v>
      </c>
      <c r="D238" s="68">
        <v>3</v>
      </c>
      <c r="E238" s="69">
        <v>6.4655172413799998E-4</v>
      </c>
    </row>
    <row r="239" spans="2:5" ht="14.5">
      <c r="B239" s="96"/>
      <c r="C239" s="67" t="s">
        <v>124</v>
      </c>
      <c r="D239" s="68">
        <v>3</v>
      </c>
      <c r="E239" s="69">
        <v>6.4655172413799998E-4</v>
      </c>
    </row>
    <row r="240" spans="2:5" ht="14.5">
      <c r="B240" s="96"/>
      <c r="C240" s="67" t="s">
        <v>125</v>
      </c>
      <c r="D240" s="68">
        <v>19</v>
      </c>
      <c r="E240" s="69">
        <v>4.0948275862070001E-3</v>
      </c>
    </row>
    <row r="241" spans="2:5" ht="14.5">
      <c r="B241" s="96"/>
      <c r="C241" s="67" t="s">
        <v>127</v>
      </c>
      <c r="D241" s="68">
        <v>3</v>
      </c>
      <c r="E241" s="69">
        <v>6.4655172413799998E-4</v>
      </c>
    </row>
    <row r="242" spans="2:5" ht="14.5">
      <c r="B242" s="96"/>
      <c r="C242" s="67" t="s">
        <v>128</v>
      </c>
      <c r="D242" s="68">
        <v>5</v>
      </c>
      <c r="E242" s="69">
        <v>1.0775862068969999E-3</v>
      </c>
    </row>
    <row r="243" spans="2:5" ht="14.5">
      <c r="B243" s="96"/>
      <c r="C243" s="67" t="s">
        <v>130</v>
      </c>
      <c r="D243" s="68">
        <v>2</v>
      </c>
      <c r="E243" s="69">
        <v>4.3103448275899999E-4</v>
      </c>
    </row>
    <row r="244" spans="2:5" ht="14.5">
      <c r="B244" s="96"/>
      <c r="C244" s="67" t="s">
        <v>132</v>
      </c>
      <c r="D244" s="68">
        <v>5</v>
      </c>
      <c r="E244" s="69">
        <v>1.0775862068969999E-3</v>
      </c>
    </row>
    <row r="245" spans="2:5" ht="14.5">
      <c r="B245" s="96"/>
      <c r="C245" s="67" t="s">
        <v>133</v>
      </c>
      <c r="D245" s="68">
        <v>2</v>
      </c>
      <c r="E245" s="69">
        <v>4.3103448275899999E-4</v>
      </c>
    </row>
    <row r="246" spans="2:5" ht="14.5">
      <c r="B246" s="96"/>
      <c r="C246" s="67" t="s">
        <v>134</v>
      </c>
      <c r="D246" s="68">
        <v>102</v>
      </c>
      <c r="E246" s="69">
        <v>2.1982758620690001E-2</v>
      </c>
    </row>
    <row r="247" spans="2:5" ht="14.5">
      <c r="B247" s="96"/>
      <c r="C247" s="67" t="s">
        <v>135</v>
      </c>
      <c r="D247" s="68">
        <v>2</v>
      </c>
      <c r="E247" s="69">
        <v>4.3103448275899999E-4</v>
      </c>
    </row>
    <row r="248" spans="2:5" ht="14.5">
      <c r="B248" s="96"/>
      <c r="C248" s="67" t="s">
        <v>137</v>
      </c>
      <c r="D248" s="68">
        <v>8</v>
      </c>
      <c r="E248" s="69">
        <v>1.724137931034E-3</v>
      </c>
    </row>
    <row r="249" spans="2:5" ht="14.5">
      <c r="B249" s="96"/>
      <c r="C249" s="67" t="s">
        <v>58</v>
      </c>
      <c r="D249" s="68">
        <v>1</v>
      </c>
      <c r="E249" s="69">
        <v>2.1551724137899999E-4</v>
      </c>
    </row>
    <row r="250" spans="2:5" ht="14.5">
      <c r="B250" s="96"/>
      <c r="C250" s="67" t="s">
        <v>139</v>
      </c>
      <c r="D250" s="68">
        <v>1</v>
      </c>
      <c r="E250" s="69">
        <v>2.1551724137899999E-4</v>
      </c>
    </row>
    <row r="251" spans="2:5" ht="14.5">
      <c r="B251" s="97"/>
      <c r="C251" s="36" t="s">
        <v>29</v>
      </c>
      <c r="D251" s="35">
        <v>254</v>
      </c>
      <c r="E251" s="34">
        <v>5.4741379310344999E-2</v>
      </c>
    </row>
    <row r="252" spans="2:5" ht="14.5">
      <c r="B252" s="95" t="s">
        <v>219</v>
      </c>
      <c r="C252" s="67" t="s">
        <v>96</v>
      </c>
      <c r="D252" s="68">
        <v>26</v>
      </c>
      <c r="E252" s="69">
        <v>5.6034482758620004E-3</v>
      </c>
    </row>
    <row r="253" spans="2:5" ht="14.5">
      <c r="B253" s="96"/>
      <c r="C253" s="67" t="s">
        <v>97</v>
      </c>
      <c r="D253" s="68">
        <v>17</v>
      </c>
      <c r="E253" s="69">
        <v>3.663793103448E-3</v>
      </c>
    </row>
    <row r="254" spans="2:5" ht="14.5">
      <c r="B254" s="96"/>
      <c r="C254" s="67" t="s">
        <v>98</v>
      </c>
      <c r="D254" s="68">
        <v>20</v>
      </c>
      <c r="E254" s="69">
        <v>4.3103448275860004E-3</v>
      </c>
    </row>
    <row r="255" spans="2:5" ht="14.5">
      <c r="B255" s="96"/>
      <c r="C255" s="67" t="s">
        <v>99</v>
      </c>
      <c r="D255" s="68">
        <v>112</v>
      </c>
      <c r="E255" s="69">
        <v>2.4137931034483001E-2</v>
      </c>
    </row>
    <row r="256" spans="2:5" ht="14.5">
      <c r="B256" s="96"/>
      <c r="C256" s="67" t="s">
        <v>100</v>
      </c>
      <c r="D256" s="68">
        <v>36</v>
      </c>
      <c r="E256" s="69">
        <v>7.7586206896549997E-3</v>
      </c>
    </row>
    <row r="257" spans="2:5" ht="14.5">
      <c r="B257" s="96"/>
      <c r="C257" s="67" t="s">
        <v>101</v>
      </c>
      <c r="D257" s="68">
        <v>4</v>
      </c>
      <c r="E257" s="69">
        <v>8.6206896551700002E-4</v>
      </c>
    </row>
    <row r="258" spans="2:5" ht="14.5">
      <c r="B258" s="96"/>
      <c r="C258" s="67" t="s">
        <v>102</v>
      </c>
      <c r="D258" s="68">
        <v>1</v>
      </c>
      <c r="E258" s="69">
        <v>2.1551724137899999E-4</v>
      </c>
    </row>
    <row r="259" spans="2:5" ht="14.5">
      <c r="B259" s="96"/>
      <c r="C259" s="67" t="s">
        <v>103</v>
      </c>
      <c r="D259" s="68">
        <v>129</v>
      </c>
      <c r="E259" s="69">
        <v>2.7801724137931E-2</v>
      </c>
    </row>
    <row r="260" spans="2:5" ht="14.5">
      <c r="B260" s="96"/>
      <c r="C260" s="67" t="s">
        <v>104</v>
      </c>
      <c r="D260" s="68">
        <v>60</v>
      </c>
      <c r="E260" s="69">
        <v>1.2931034482759E-2</v>
      </c>
    </row>
    <row r="261" spans="2:5" ht="14.5">
      <c r="B261" s="96"/>
      <c r="C261" s="67" t="s">
        <v>106</v>
      </c>
      <c r="D261" s="68">
        <v>2</v>
      </c>
      <c r="E261" s="69">
        <v>4.3103448275899999E-4</v>
      </c>
    </row>
    <row r="262" spans="2:5" ht="14.5">
      <c r="B262" s="96"/>
      <c r="C262" s="67" t="s">
        <v>107</v>
      </c>
      <c r="D262" s="68">
        <v>45</v>
      </c>
      <c r="E262" s="69">
        <v>9.6982758620690005E-3</v>
      </c>
    </row>
    <row r="263" spans="2:5" ht="14.5">
      <c r="B263" s="96"/>
      <c r="C263" s="67" t="s">
        <v>108</v>
      </c>
      <c r="D263" s="68">
        <v>48</v>
      </c>
      <c r="E263" s="69">
        <v>1.0344827586207E-2</v>
      </c>
    </row>
    <row r="264" spans="2:5" ht="14.5">
      <c r="B264" s="96"/>
      <c r="C264" s="67" t="s">
        <v>109</v>
      </c>
      <c r="D264" s="68">
        <v>2</v>
      </c>
      <c r="E264" s="69">
        <v>4.3103448275899999E-4</v>
      </c>
    </row>
    <row r="265" spans="2:5" ht="14.5">
      <c r="B265" s="96"/>
      <c r="C265" s="67" t="s">
        <v>110</v>
      </c>
      <c r="D265" s="68">
        <v>10</v>
      </c>
      <c r="E265" s="69">
        <v>2.1551724137930002E-3</v>
      </c>
    </row>
    <row r="266" spans="2:5" ht="14.5">
      <c r="B266" s="96"/>
      <c r="C266" s="67" t="s">
        <v>111</v>
      </c>
      <c r="D266" s="68">
        <v>16</v>
      </c>
      <c r="E266" s="69">
        <v>3.4482758620690002E-3</v>
      </c>
    </row>
    <row r="267" spans="2:5" ht="14.5">
      <c r="B267" s="96"/>
      <c r="C267" s="67" t="s">
        <v>112</v>
      </c>
      <c r="D267" s="68">
        <v>38</v>
      </c>
      <c r="E267" s="69">
        <v>8.1896551724140003E-3</v>
      </c>
    </row>
    <row r="268" spans="2:5" ht="14.5">
      <c r="B268" s="96"/>
      <c r="C268" s="67" t="s">
        <v>113</v>
      </c>
      <c r="D268" s="68">
        <v>1</v>
      </c>
      <c r="E268" s="69">
        <v>2.1551724137899999E-4</v>
      </c>
    </row>
    <row r="269" spans="2:5" ht="14.5">
      <c r="B269" s="96"/>
      <c r="C269" s="67" t="s">
        <v>114</v>
      </c>
      <c r="D269" s="68">
        <v>11</v>
      </c>
      <c r="E269" s="69">
        <v>2.370689655172E-3</v>
      </c>
    </row>
    <row r="270" spans="2:5" ht="14.5">
      <c r="B270" s="96"/>
      <c r="C270" s="67" t="s">
        <v>115</v>
      </c>
      <c r="D270" s="68">
        <v>1</v>
      </c>
      <c r="E270" s="69">
        <v>2.1551724137899999E-4</v>
      </c>
    </row>
    <row r="271" spans="2:5" ht="14.5">
      <c r="B271" s="96"/>
      <c r="C271" s="67" t="s">
        <v>116</v>
      </c>
      <c r="D271" s="68">
        <v>7</v>
      </c>
      <c r="E271" s="69">
        <v>1.508620689655E-3</v>
      </c>
    </row>
    <row r="272" spans="2:5" ht="14.5">
      <c r="B272" s="96"/>
      <c r="C272" s="67" t="s">
        <v>117</v>
      </c>
      <c r="D272" s="68">
        <v>21</v>
      </c>
      <c r="E272" s="69">
        <v>4.5258620689659999E-3</v>
      </c>
    </row>
    <row r="273" spans="2:5" ht="14.5">
      <c r="B273" s="96"/>
      <c r="C273" s="67" t="s">
        <v>118</v>
      </c>
      <c r="D273" s="68">
        <v>22</v>
      </c>
      <c r="E273" s="69">
        <v>4.7413793103450001E-3</v>
      </c>
    </row>
    <row r="274" spans="2:5" ht="14.5">
      <c r="B274" s="96"/>
      <c r="C274" s="67" t="s">
        <v>119</v>
      </c>
      <c r="D274" s="68">
        <v>16</v>
      </c>
      <c r="E274" s="69">
        <v>3.4482758620690002E-3</v>
      </c>
    </row>
    <row r="275" spans="2:5" ht="14.5">
      <c r="B275" s="96"/>
      <c r="C275" s="67" t="s">
        <v>120</v>
      </c>
      <c r="D275" s="68">
        <v>4</v>
      </c>
      <c r="E275" s="69">
        <v>8.6206896551700002E-4</v>
      </c>
    </row>
    <row r="276" spans="2:5" ht="14.5">
      <c r="B276" s="96"/>
      <c r="C276" s="67" t="s">
        <v>121</v>
      </c>
      <c r="D276" s="68">
        <v>12</v>
      </c>
      <c r="E276" s="69">
        <v>2.5862068965519999E-3</v>
      </c>
    </row>
    <row r="277" spans="2:5" ht="14.5">
      <c r="B277" s="96"/>
      <c r="C277" s="67" t="s">
        <v>122</v>
      </c>
      <c r="D277" s="68">
        <v>11</v>
      </c>
      <c r="E277" s="69">
        <v>2.370689655172E-3</v>
      </c>
    </row>
    <row r="278" spans="2:5" ht="14.5">
      <c r="B278" s="96"/>
      <c r="C278" s="67" t="s">
        <v>123</v>
      </c>
      <c r="D278" s="68">
        <v>7</v>
      </c>
      <c r="E278" s="69">
        <v>1.508620689655E-3</v>
      </c>
    </row>
    <row r="279" spans="2:5" ht="14.5">
      <c r="B279" s="96"/>
      <c r="C279" s="67" t="s">
        <v>124</v>
      </c>
      <c r="D279" s="68">
        <v>19</v>
      </c>
      <c r="E279" s="69">
        <v>4.0948275862070001E-3</v>
      </c>
    </row>
    <row r="280" spans="2:5" ht="14.5">
      <c r="B280" s="96"/>
      <c r="C280" s="67" t="s">
        <v>125</v>
      </c>
      <c r="D280" s="68">
        <v>200</v>
      </c>
      <c r="E280" s="69">
        <v>4.3103448275862002E-2</v>
      </c>
    </row>
    <row r="281" spans="2:5" ht="14.5">
      <c r="B281" s="96"/>
      <c r="C281" s="67" t="s">
        <v>127</v>
      </c>
      <c r="D281" s="68">
        <v>18</v>
      </c>
      <c r="E281" s="69">
        <v>3.8793103448279999E-3</v>
      </c>
    </row>
    <row r="282" spans="2:5" ht="14.5">
      <c r="B282" s="96"/>
      <c r="C282" s="67" t="s">
        <v>128</v>
      </c>
      <c r="D282" s="68">
        <v>37</v>
      </c>
      <c r="E282" s="69">
        <v>7.9741379310340008E-3</v>
      </c>
    </row>
    <row r="283" spans="2:5" ht="14.5">
      <c r="B283" s="96"/>
      <c r="C283" s="67" t="s">
        <v>129</v>
      </c>
      <c r="D283" s="68">
        <v>10</v>
      </c>
      <c r="E283" s="69">
        <v>2.1551724137930002E-3</v>
      </c>
    </row>
    <row r="284" spans="2:5" ht="14.5">
      <c r="B284" s="96"/>
      <c r="C284" s="67" t="s">
        <v>130</v>
      </c>
      <c r="D284" s="68">
        <v>14</v>
      </c>
      <c r="E284" s="69">
        <v>3.01724137931E-3</v>
      </c>
    </row>
    <row r="285" spans="2:5" ht="14.5">
      <c r="B285" s="96"/>
      <c r="C285" s="67" t="s">
        <v>131</v>
      </c>
      <c r="D285" s="68">
        <v>1</v>
      </c>
      <c r="E285" s="69">
        <v>2.1551724137899999E-4</v>
      </c>
    </row>
    <row r="286" spans="2:5" ht="14.5">
      <c r="B286" s="96"/>
      <c r="C286" s="67" t="s">
        <v>132</v>
      </c>
      <c r="D286" s="68">
        <v>66</v>
      </c>
      <c r="E286" s="69">
        <v>1.4224137931033999E-2</v>
      </c>
    </row>
    <row r="287" spans="2:5" ht="14.5">
      <c r="B287" s="96"/>
      <c r="C287" s="67" t="s">
        <v>133</v>
      </c>
      <c r="D287" s="68">
        <v>28</v>
      </c>
      <c r="E287" s="69">
        <v>6.0344827586210001E-3</v>
      </c>
    </row>
    <row r="288" spans="2:5" ht="14.5">
      <c r="B288" s="96"/>
      <c r="C288" s="67" t="s">
        <v>134</v>
      </c>
      <c r="D288" s="68">
        <v>346</v>
      </c>
      <c r="E288" s="69">
        <v>7.4568965517241001E-2</v>
      </c>
    </row>
    <row r="289" spans="2:5" ht="14.5">
      <c r="B289" s="96"/>
      <c r="C289" s="67" t="s">
        <v>135</v>
      </c>
      <c r="D289" s="68">
        <v>6</v>
      </c>
      <c r="E289" s="69">
        <v>1.293103448276E-3</v>
      </c>
    </row>
    <row r="290" spans="2:5" ht="14.5">
      <c r="B290" s="96"/>
      <c r="C290" s="67" t="s">
        <v>136</v>
      </c>
      <c r="D290" s="68">
        <v>14</v>
      </c>
      <c r="E290" s="69">
        <v>3.01724137931E-3</v>
      </c>
    </row>
    <row r="291" spans="2:5" ht="14.5">
      <c r="B291" s="96"/>
      <c r="C291" s="67" t="s">
        <v>137</v>
      </c>
      <c r="D291" s="68">
        <v>50</v>
      </c>
      <c r="E291" s="69">
        <v>1.0775862068966E-2</v>
      </c>
    </row>
    <row r="292" spans="2:5" ht="14.5">
      <c r="B292" s="96"/>
      <c r="C292" s="67" t="s">
        <v>58</v>
      </c>
      <c r="D292" s="68">
        <v>7</v>
      </c>
      <c r="E292" s="69">
        <v>1.508620689655E-3</v>
      </c>
    </row>
    <row r="293" spans="2:5" ht="14.5">
      <c r="B293" s="96"/>
      <c r="C293" s="67" t="s">
        <v>139</v>
      </c>
      <c r="D293" s="68">
        <v>11</v>
      </c>
      <c r="E293" s="69">
        <v>2.370689655172E-3</v>
      </c>
    </row>
    <row r="294" spans="2:5" ht="14.5">
      <c r="B294" s="96"/>
      <c r="C294" s="67" t="s">
        <v>140</v>
      </c>
      <c r="D294" s="68">
        <v>1</v>
      </c>
      <c r="E294" s="69">
        <v>2.1551724137899999E-4</v>
      </c>
    </row>
    <row r="295" spans="2:5" ht="14.5">
      <c r="B295" s="97"/>
      <c r="C295" s="36" t="s">
        <v>29</v>
      </c>
      <c r="D295" s="35">
        <v>1507</v>
      </c>
      <c r="E295" s="34">
        <v>0.32478448275862098</v>
      </c>
    </row>
    <row r="296" spans="2:5" ht="14.5">
      <c r="B296" s="95" t="s">
        <v>220</v>
      </c>
      <c r="C296" s="67" t="s">
        <v>96</v>
      </c>
      <c r="D296" s="68">
        <v>3</v>
      </c>
      <c r="E296" s="69">
        <v>6.4655172413799998E-4</v>
      </c>
    </row>
    <row r="297" spans="2:5" ht="14.5">
      <c r="B297" s="96"/>
      <c r="C297" s="67" t="s">
        <v>99</v>
      </c>
      <c r="D297" s="68">
        <v>5</v>
      </c>
      <c r="E297" s="69">
        <v>1.0775862068969999E-3</v>
      </c>
    </row>
    <row r="298" spans="2:5" ht="14.5">
      <c r="B298" s="96"/>
      <c r="C298" s="67" t="s">
        <v>100</v>
      </c>
      <c r="D298" s="68">
        <v>1</v>
      </c>
      <c r="E298" s="69">
        <v>2.1551724137899999E-4</v>
      </c>
    </row>
    <row r="299" spans="2:5" ht="14.5">
      <c r="B299" s="96"/>
      <c r="C299" s="67" t="s">
        <v>103</v>
      </c>
      <c r="D299" s="68">
        <v>3</v>
      </c>
      <c r="E299" s="69">
        <v>6.4655172413799998E-4</v>
      </c>
    </row>
    <row r="300" spans="2:5" ht="14.5">
      <c r="B300" s="96"/>
      <c r="C300" s="67" t="s">
        <v>104</v>
      </c>
      <c r="D300" s="68">
        <v>1</v>
      </c>
      <c r="E300" s="69">
        <v>2.1551724137899999E-4</v>
      </c>
    </row>
    <row r="301" spans="2:5" ht="14.5">
      <c r="B301" s="96"/>
      <c r="C301" s="67" t="s">
        <v>112</v>
      </c>
      <c r="D301" s="68">
        <v>1</v>
      </c>
      <c r="E301" s="69">
        <v>2.1551724137899999E-4</v>
      </c>
    </row>
    <row r="302" spans="2:5" ht="14.5">
      <c r="B302" s="96"/>
      <c r="C302" s="67" t="s">
        <v>114</v>
      </c>
      <c r="D302" s="68">
        <v>1</v>
      </c>
      <c r="E302" s="69">
        <v>2.1551724137899999E-4</v>
      </c>
    </row>
    <row r="303" spans="2:5" ht="14.5">
      <c r="B303" s="96"/>
      <c r="C303" s="67" t="s">
        <v>117</v>
      </c>
      <c r="D303" s="68">
        <v>2</v>
      </c>
      <c r="E303" s="69">
        <v>4.3103448275899999E-4</v>
      </c>
    </row>
    <row r="304" spans="2:5" ht="14.5">
      <c r="B304" s="96"/>
      <c r="C304" s="67" t="s">
        <v>118</v>
      </c>
      <c r="D304" s="68">
        <v>1</v>
      </c>
      <c r="E304" s="69">
        <v>2.1551724137899999E-4</v>
      </c>
    </row>
    <row r="305" spans="2:5" ht="14.5">
      <c r="B305" s="96"/>
      <c r="C305" s="67" t="s">
        <v>119</v>
      </c>
      <c r="D305" s="68">
        <v>1</v>
      </c>
      <c r="E305" s="69">
        <v>2.1551724137899999E-4</v>
      </c>
    </row>
    <row r="306" spans="2:5" ht="14.5">
      <c r="B306" s="96"/>
      <c r="C306" s="67" t="s">
        <v>122</v>
      </c>
      <c r="D306" s="68">
        <v>1</v>
      </c>
      <c r="E306" s="69">
        <v>2.1551724137899999E-4</v>
      </c>
    </row>
    <row r="307" spans="2:5" ht="14.5">
      <c r="B307" s="96"/>
      <c r="C307" s="67" t="s">
        <v>124</v>
      </c>
      <c r="D307" s="68">
        <v>1</v>
      </c>
      <c r="E307" s="69">
        <v>2.1551724137899999E-4</v>
      </c>
    </row>
    <row r="308" spans="2:5" ht="14.5">
      <c r="B308" s="96"/>
      <c r="C308" s="67" t="s">
        <v>127</v>
      </c>
      <c r="D308" s="68">
        <v>2</v>
      </c>
      <c r="E308" s="69">
        <v>4.3103448275899999E-4</v>
      </c>
    </row>
    <row r="309" spans="2:5" ht="14.5">
      <c r="B309" s="96"/>
      <c r="C309" s="67" t="s">
        <v>129</v>
      </c>
      <c r="D309" s="68">
        <v>1</v>
      </c>
      <c r="E309" s="69">
        <v>2.1551724137899999E-4</v>
      </c>
    </row>
    <row r="310" spans="2:5" ht="14.5">
      <c r="B310" s="96"/>
      <c r="C310" s="67" t="s">
        <v>134</v>
      </c>
      <c r="D310" s="68">
        <v>14</v>
      </c>
      <c r="E310" s="69">
        <v>3.01724137931E-3</v>
      </c>
    </row>
    <row r="311" spans="2:5" ht="14.5">
      <c r="B311" s="96"/>
      <c r="C311" s="67" t="s">
        <v>139</v>
      </c>
      <c r="D311" s="68">
        <v>1</v>
      </c>
      <c r="E311" s="69">
        <v>2.1551724137899999E-4</v>
      </c>
    </row>
    <row r="312" spans="2:5" ht="14.5">
      <c r="B312" s="97"/>
      <c r="C312" s="36" t="s">
        <v>29</v>
      </c>
      <c r="D312" s="35">
        <v>39</v>
      </c>
      <c r="E312" s="34">
        <v>8.4051724137930005E-3</v>
      </c>
    </row>
    <row r="313" spans="2:5" ht="14.5">
      <c r="B313" s="95" t="s">
        <v>221</v>
      </c>
      <c r="C313" s="67" t="s">
        <v>96</v>
      </c>
      <c r="D313" s="68">
        <v>5</v>
      </c>
      <c r="E313" s="69">
        <v>1.0775862068969999E-3</v>
      </c>
    </row>
    <row r="314" spans="2:5" ht="14.5">
      <c r="B314" s="96"/>
      <c r="C314" s="67" t="s">
        <v>97</v>
      </c>
      <c r="D314" s="68">
        <v>1</v>
      </c>
      <c r="E314" s="69">
        <v>2.1551724137899999E-4</v>
      </c>
    </row>
    <row r="315" spans="2:5" ht="14.5">
      <c r="B315" s="96"/>
      <c r="C315" s="67" t="s">
        <v>98</v>
      </c>
      <c r="D315" s="68">
        <v>5</v>
      </c>
      <c r="E315" s="69">
        <v>1.0775862068969999E-3</v>
      </c>
    </row>
    <row r="316" spans="2:5" ht="14.5">
      <c r="B316" s="96"/>
      <c r="C316" s="67" t="s">
        <v>99</v>
      </c>
      <c r="D316" s="68">
        <v>12</v>
      </c>
      <c r="E316" s="69">
        <v>2.5862068965519999E-3</v>
      </c>
    </row>
    <row r="317" spans="2:5" ht="14.5">
      <c r="B317" s="96"/>
      <c r="C317" s="67" t="s">
        <v>100</v>
      </c>
      <c r="D317" s="68">
        <v>7</v>
      </c>
      <c r="E317" s="69">
        <v>1.508620689655E-3</v>
      </c>
    </row>
    <row r="318" spans="2:5" ht="14.5">
      <c r="B318" s="96"/>
      <c r="C318" s="67" t="s">
        <v>102</v>
      </c>
      <c r="D318" s="68">
        <v>1</v>
      </c>
      <c r="E318" s="69">
        <v>2.1551724137899999E-4</v>
      </c>
    </row>
    <row r="319" spans="2:5" ht="14.5">
      <c r="B319" s="96"/>
      <c r="C319" s="67" t="s">
        <v>103</v>
      </c>
      <c r="D319" s="68">
        <v>12</v>
      </c>
      <c r="E319" s="69">
        <v>2.5862068965519999E-3</v>
      </c>
    </row>
    <row r="320" spans="2:5" ht="14.5">
      <c r="B320" s="96"/>
      <c r="C320" s="67" t="s">
        <v>104</v>
      </c>
      <c r="D320" s="68">
        <v>11</v>
      </c>
      <c r="E320" s="69">
        <v>2.370689655172E-3</v>
      </c>
    </row>
    <row r="321" spans="2:5" ht="14.5">
      <c r="B321" s="96"/>
      <c r="C321" s="67" t="s">
        <v>106</v>
      </c>
      <c r="D321" s="68">
        <v>1</v>
      </c>
      <c r="E321" s="69">
        <v>2.1551724137899999E-4</v>
      </c>
    </row>
    <row r="322" spans="2:5" ht="14.5">
      <c r="B322" s="96"/>
      <c r="C322" s="67" t="s">
        <v>107</v>
      </c>
      <c r="D322" s="68">
        <v>8</v>
      </c>
      <c r="E322" s="69">
        <v>1.724137931034E-3</v>
      </c>
    </row>
    <row r="323" spans="2:5" ht="14.5">
      <c r="B323" s="96"/>
      <c r="C323" s="67" t="s">
        <v>108</v>
      </c>
      <c r="D323" s="68">
        <v>10</v>
      </c>
      <c r="E323" s="69">
        <v>2.1551724137930002E-3</v>
      </c>
    </row>
    <row r="324" spans="2:5" ht="14.5">
      <c r="B324" s="96"/>
      <c r="C324" s="67" t="s">
        <v>110</v>
      </c>
      <c r="D324" s="68">
        <v>1</v>
      </c>
      <c r="E324" s="69">
        <v>2.1551724137899999E-4</v>
      </c>
    </row>
    <row r="325" spans="2:5" ht="14.5">
      <c r="B325" s="96"/>
      <c r="C325" s="67" t="s">
        <v>111</v>
      </c>
      <c r="D325" s="68">
        <v>1</v>
      </c>
      <c r="E325" s="69">
        <v>2.1551724137899999E-4</v>
      </c>
    </row>
    <row r="326" spans="2:5" ht="14.5">
      <c r="B326" s="96"/>
      <c r="C326" s="67" t="s">
        <v>112</v>
      </c>
      <c r="D326" s="68">
        <v>6</v>
      </c>
      <c r="E326" s="69">
        <v>1.293103448276E-3</v>
      </c>
    </row>
    <row r="327" spans="2:5" ht="14.5">
      <c r="B327" s="96"/>
      <c r="C327" s="67" t="s">
        <v>114</v>
      </c>
      <c r="D327" s="68">
        <v>2</v>
      </c>
      <c r="E327" s="69">
        <v>4.3103448275899999E-4</v>
      </c>
    </row>
    <row r="328" spans="2:5" ht="14.5">
      <c r="B328" s="96"/>
      <c r="C328" s="67" t="s">
        <v>116</v>
      </c>
      <c r="D328" s="68">
        <v>1</v>
      </c>
      <c r="E328" s="69">
        <v>2.1551724137899999E-4</v>
      </c>
    </row>
    <row r="329" spans="2:5" ht="14.5">
      <c r="B329" s="96"/>
      <c r="C329" s="67" t="s">
        <v>117</v>
      </c>
      <c r="D329" s="68">
        <v>2</v>
      </c>
      <c r="E329" s="69">
        <v>4.3103448275899999E-4</v>
      </c>
    </row>
    <row r="330" spans="2:5" ht="14.5">
      <c r="B330" s="96"/>
      <c r="C330" s="67" t="s">
        <v>118</v>
      </c>
      <c r="D330" s="68">
        <v>10</v>
      </c>
      <c r="E330" s="69">
        <v>2.1551724137930002E-3</v>
      </c>
    </row>
    <row r="331" spans="2:5" ht="14.5">
      <c r="B331" s="96"/>
      <c r="C331" s="67" t="s">
        <v>119</v>
      </c>
      <c r="D331" s="68">
        <v>6</v>
      </c>
      <c r="E331" s="69">
        <v>1.293103448276E-3</v>
      </c>
    </row>
    <row r="332" spans="2:5" ht="14.5">
      <c r="B332" s="96"/>
      <c r="C332" s="67" t="s">
        <v>124</v>
      </c>
      <c r="D332" s="68">
        <v>6</v>
      </c>
      <c r="E332" s="69">
        <v>1.293103448276E-3</v>
      </c>
    </row>
    <row r="333" spans="2:5" ht="14.5">
      <c r="B333" s="96"/>
      <c r="C333" s="67" t="s">
        <v>125</v>
      </c>
      <c r="D333" s="68">
        <v>25</v>
      </c>
      <c r="E333" s="69">
        <v>5.3879310344830001E-3</v>
      </c>
    </row>
    <row r="334" spans="2:5" ht="14.5">
      <c r="B334" s="96"/>
      <c r="C334" s="67" t="s">
        <v>127</v>
      </c>
      <c r="D334" s="68">
        <v>6</v>
      </c>
      <c r="E334" s="69">
        <v>1.293103448276E-3</v>
      </c>
    </row>
    <row r="335" spans="2:5" ht="14.5">
      <c r="B335" s="96"/>
      <c r="C335" s="67" t="s">
        <v>128</v>
      </c>
      <c r="D335" s="68">
        <v>6</v>
      </c>
      <c r="E335" s="69">
        <v>1.293103448276E-3</v>
      </c>
    </row>
    <row r="336" spans="2:5" ht="14.5">
      <c r="B336" s="96"/>
      <c r="C336" s="67" t="s">
        <v>129</v>
      </c>
      <c r="D336" s="68">
        <v>1</v>
      </c>
      <c r="E336" s="69">
        <v>2.1551724137899999E-4</v>
      </c>
    </row>
    <row r="337" spans="2:5" ht="14.5">
      <c r="B337" s="96"/>
      <c r="C337" s="67" t="s">
        <v>130</v>
      </c>
      <c r="D337" s="68">
        <v>4</v>
      </c>
      <c r="E337" s="69">
        <v>8.6206896551700002E-4</v>
      </c>
    </row>
    <row r="338" spans="2:5" ht="14.5">
      <c r="B338" s="96"/>
      <c r="C338" s="67" t="s">
        <v>132</v>
      </c>
      <c r="D338" s="68">
        <v>11</v>
      </c>
      <c r="E338" s="69">
        <v>2.370689655172E-3</v>
      </c>
    </row>
    <row r="339" spans="2:5" ht="14.5">
      <c r="B339" s="96"/>
      <c r="C339" s="67" t="s">
        <v>133</v>
      </c>
      <c r="D339" s="68">
        <v>4</v>
      </c>
      <c r="E339" s="69">
        <v>8.6206896551700002E-4</v>
      </c>
    </row>
    <row r="340" spans="2:5" ht="14.5">
      <c r="B340" s="96"/>
      <c r="C340" s="67" t="s">
        <v>134</v>
      </c>
      <c r="D340" s="68">
        <v>68</v>
      </c>
      <c r="E340" s="69">
        <v>1.4655172413792999E-2</v>
      </c>
    </row>
    <row r="341" spans="2:5" ht="14.5">
      <c r="B341" s="96"/>
      <c r="C341" s="67" t="s">
        <v>135</v>
      </c>
      <c r="D341" s="68">
        <v>2</v>
      </c>
      <c r="E341" s="69">
        <v>4.3103448275899999E-4</v>
      </c>
    </row>
    <row r="342" spans="2:5" ht="14.5">
      <c r="B342" s="96"/>
      <c r="C342" s="67" t="s">
        <v>136</v>
      </c>
      <c r="D342" s="68">
        <v>1</v>
      </c>
      <c r="E342" s="69">
        <v>2.1551724137899999E-4</v>
      </c>
    </row>
    <row r="343" spans="2:5" ht="14.5">
      <c r="B343" s="96"/>
      <c r="C343" s="67" t="s">
        <v>137</v>
      </c>
      <c r="D343" s="68">
        <v>6</v>
      </c>
      <c r="E343" s="69">
        <v>1.293103448276E-3</v>
      </c>
    </row>
    <row r="344" spans="2:5" ht="14.5">
      <c r="B344" s="96"/>
      <c r="C344" s="67" t="s">
        <v>58</v>
      </c>
      <c r="D344" s="68">
        <v>1</v>
      </c>
      <c r="E344" s="69">
        <v>2.1551724137899999E-4</v>
      </c>
    </row>
    <row r="345" spans="2:5" ht="14.5">
      <c r="B345" s="96"/>
      <c r="C345" s="67" t="s">
        <v>139</v>
      </c>
      <c r="D345" s="68">
        <v>2</v>
      </c>
      <c r="E345" s="69">
        <v>4.3103448275899999E-4</v>
      </c>
    </row>
    <row r="346" spans="2:5" ht="14.5">
      <c r="B346" s="97"/>
      <c r="C346" s="36" t="s">
        <v>29</v>
      </c>
      <c r="D346" s="35">
        <v>245</v>
      </c>
      <c r="E346" s="34">
        <v>5.2801724137931001E-2</v>
      </c>
    </row>
    <row r="347" spans="2:5" ht="14.5">
      <c r="B347" s="95" t="s">
        <v>222</v>
      </c>
      <c r="C347" s="67" t="s">
        <v>96</v>
      </c>
      <c r="D347" s="68">
        <v>28</v>
      </c>
      <c r="E347" s="69">
        <v>6.0344827586210001E-3</v>
      </c>
    </row>
    <row r="348" spans="2:5" ht="14.5">
      <c r="B348" s="96"/>
      <c r="C348" s="67" t="s">
        <v>97</v>
      </c>
      <c r="D348" s="68">
        <v>23</v>
      </c>
      <c r="E348" s="69">
        <v>4.9568965517240004E-3</v>
      </c>
    </row>
    <row r="349" spans="2:5" ht="14.5">
      <c r="B349" s="96"/>
      <c r="C349" s="67" t="s">
        <v>98</v>
      </c>
      <c r="D349" s="68">
        <v>18</v>
      </c>
      <c r="E349" s="69">
        <v>3.8793103448279999E-3</v>
      </c>
    </row>
    <row r="350" spans="2:5" ht="14.5">
      <c r="B350" s="96"/>
      <c r="C350" s="67" t="s">
        <v>99</v>
      </c>
      <c r="D350" s="68">
        <v>98</v>
      </c>
      <c r="E350" s="69">
        <v>2.1120689655172002E-2</v>
      </c>
    </row>
    <row r="351" spans="2:5" ht="14.5">
      <c r="B351" s="96"/>
      <c r="C351" s="67" t="s">
        <v>100</v>
      </c>
      <c r="D351" s="68">
        <v>30</v>
      </c>
      <c r="E351" s="69">
        <v>6.4655172413789997E-3</v>
      </c>
    </row>
    <row r="352" spans="2:5" ht="14.5">
      <c r="B352" s="96"/>
      <c r="C352" s="67" t="s">
        <v>101</v>
      </c>
      <c r="D352" s="68">
        <v>3</v>
      </c>
      <c r="E352" s="69">
        <v>6.4655172413799998E-4</v>
      </c>
    </row>
    <row r="353" spans="2:5" ht="14.5">
      <c r="B353" s="96"/>
      <c r="C353" s="67" t="s">
        <v>102</v>
      </c>
      <c r="D353" s="68">
        <v>2</v>
      </c>
      <c r="E353" s="69">
        <v>4.3103448275899999E-4</v>
      </c>
    </row>
    <row r="354" spans="2:5" ht="14.5">
      <c r="B354" s="96"/>
      <c r="C354" s="67" t="s">
        <v>103</v>
      </c>
      <c r="D354" s="68">
        <v>101</v>
      </c>
      <c r="E354" s="69">
        <v>2.176724137931E-2</v>
      </c>
    </row>
    <row r="355" spans="2:5" ht="14.5">
      <c r="B355" s="96"/>
      <c r="C355" s="67" t="s">
        <v>104</v>
      </c>
      <c r="D355" s="68">
        <v>55</v>
      </c>
      <c r="E355" s="69">
        <v>1.1853448275862001E-2</v>
      </c>
    </row>
    <row r="356" spans="2:5" ht="14.5">
      <c r="B356" s="96"/>
      <c r="C356" s="67" t="s">
        <v>106</v>
      </c>
      <c r="D356" s="68">
        <v>4</v>
      </c>
      <c r="E356" s="69">
        <v>8.6206896551700002E-4</v>
      </c>
    </row>
    <row r="357" spans="2:5" ht="14.5">
      <c r="B357" s="96"/>
      <c r="C357" s="67" t="s">
        <v>107</v>
      </c>
      <c r="D357" s="68">
        <v>49</v>
      </c>
      <c r="E357" s="69">
        <v>1.0560344827586001E-2</v>
      </c>
    </row>
    <row r="358" spans="2:5" ht="14.5">
      <c r="B358" s="96"/>
      <c r="C358" s="67" t="s">
        <v>108</v>
      </c>
      <c r="D358" s="68">
        <v>48</v>
      </c>
      <c r="E358" s="69">
        <v>1.0344827586207E-2</v>
      </c>
    </row>
    <row r="359" spans="2:5" ht="14.5">
      <c r="B359" s="96"/>
      <c r="C359" s="67" t="s">
        <v>109</v>
      </c>
      <c r="D359" s="68">
        <v>2</v>
      </c>
      <c r="E359" s="69">
        <v>4.3103448275899999E-4</v>
      </c>
    </row>
    <row r="360" spans="2:5" ht="14.5">
      <c r="B360" s="96"/>
      <c r="C360" s="67" t="s">
        <v>110</v>
      </c>
      <c r="D360" s="68">
        <v>9</v>
      </c>
      <c r="E360" s="69">
        <v>1.9396551724139999E-3</v>
      </c>
    </row>
    <row r="361" spans="2:5" ht="14.5">
      <c r="B361" s="96"/>
      <c r="C361" s="67" t="s">
        <v>111</v>
      </c>
      <c r="D361" s="68">
        <v>13</v>
      </c>
      <c r="E361" s="69">
        <v>2.8017241379310002E-3</v>
      </c>
    </row>
    <row r="362" spans="2:5" ht="14.5">
      <c r="B362" s="96"/>
      <c r="C362" s="67" t="s">
        <v>112</v>
      </c>
      <c r="D362" s="68">
        <v>23</v>
      </c>
      <c r="E362" s="69">
        <v>4.9568965517240004E-3</v>
      </c>
    </row>
    <row r="363" spans="2:5" ht="14.5">
      <c r="B363" s="96"/>
      <c r="C363" s="67" t="s">
        <v>114</v>
      </c>
      <c r="D363" s="68">
        <v>15</v>
      </c>
      <c r="E363" s="69">
        <v>3.2327586206899999E-3</v>
      </c>
    </row>
    <row r="364" spans="2:5" ht="14.5">
      <c r="B364" s="96"/>
      <c r="C364" s="67" t="s">
        <v>115</v>
      </c>
      <c r="D364" s="68">
        <v>5</v>
      </c>
      <c r="E364" s="69">
        <v>1.0775862068969999E-3</v>
      </c>
    </row>
    <row r="365" spans="2:5" ht="14.5">
      <c r="B365" s="96"/>
      <c r="C365" s="67" t="s">
        <v>116</v>
      </c>
      <c r="D365" s="68">
        <v>8</v>
      </c>
      <c r="E365" s="69">
        <v>1.724137931034E-3</v>
      </c>
    </row>
    <row r="366" spans="2:5" ht="14.5">
      <c r="B366" s="96"/>
      <c r="C366" s="67" t="s">
        <v>117</v>
      </c>
      <c r="D366" s="68">
        <v>13</v>
      </c>
      <c r="E366" s="69">
        <v>2.8017241379310002E-3</v>
      </c>
    </row>
    <row r="367" spans="2:5" ht="14.5">
      <c r="B367" s="96"/>
      <c r="C367" s="67" t="s">
        <v>118</v>
      </c>
      <c r="D367" s="68">
        <v>9</v>
      </c>
      <c r="E367" s="69">
        <v>1.9396551724139999E-3</v>
      </c>
    </row>
    <row r="368" spans="2:5" ht="14.5">
      <c r="B368" s="96"/>
      <c r="C368" s="67" t="s">
        <v>119</v>
      </c>
      <c r="D368" s="68">
        <v>21</v>
      </c>
      <c r="E368" s="69">
        <v>4.5258620689659999E-3</v>
      </c>
    </row>
    <row r="369" spans="2:5" ht="14.5">
      <c r="B369" s="96"/>
      <c r="C369" s="67" t="s">
        <v>120</v>
      </c>
      <c r="D369" s="68">
        <v>7</v>
      </c>
      <c r="E369" s="69">
        <v>1.508620689655E-3</v>
      </c>
    </row>
    <row r="370" spans="2:5" ht="14.5">
      <c r="B370" s="96"/>
      <c r="C370" s="67" t="s">
        <v>121</v>
      </c>
      <c r="D370" s="68">
        <v>9</v>
      </c>
      <c r="E370" s="69">
        <v>1.9396551724139999E-3</v>
      </c>
    </row>
    <row r="371" spans="2:5" ht="14.5">
      <c r="B371" s="96"/>
      <c r="C371" s="67" t="s">
        <v>122</v>
      </c>
      <c r="D371" s="68">
        <v>5</v>
      </c>
      <c r="E371" s="69">
        <v>1.0775862068969999E-3</v>
      </c>
    </row>
    <row r="372" spans="2:5" ht="14.5">
      <c r="B372" s="96"/>
      <c r="C372" s="67" t="s">
        <v>123</v>
      </c>
      <c r="D372" s="68">
        <v>8</v>
      </c>
      <c r="E372" s="69">
        <v>1.724137931034E-3</v>
      </c>
    </row>
    <row r="373" spans="2:5" ht="14.5">
      <c r="B373" s="96"/>
      <c r="C373" s="67" t="s">
        <v>124</v>
      </c>
      <c r="D373" s="68">
        <v>13</v>
      </c>
      <c r="E373" s="69">
        <v>2.8017241379310002E-3</v>
      </c>
    </row>
    <row r="374" spans="2:5" ht="14.5">
      <c r="B374" s="96"/>
      <c r="C374" s="67" t="s">
        <v>125</v>
      </c>
      <c r="D374" s="68">
        <v>125</v>
      </c>
      <c r="E374" s="69">
        <v>2.6939655172414E-2</v>
      </c>
    </row>
    <row r="375" spans="2:5" ht="14.5">
      <c r="B375" s="96"/>
      <c r="C375" s="67" t="s">
        <v>126</v>
      </c>
      <c r="D375" s="68">
        <v>1</v>
      </c>
      <c r="E375" s="69">
        <v>2.1551724137899999E-4</v>
      </c>
    </row>
    <row r="376" spans="2:5" ht="14.5">
      <c r="B376" s="96"/>
      <c r="C376" s="67" t="s">
        <v>127</v>
      </c>
      <c r="D376" s="68">
        <v>12</v>
      </c>
      <c r="E376" s="69">
        <v>2.5862068965519999E-3</v>
      </c>
    </row>
    <row r="377" spans="2:5" ht="14.5">
      <c r="B377" s="96"/>
      <c r="C377" s="67" t="s">
        <v>128</v>
      </c>
      <c r="D377" s="68">
        <v>35</v>
      </c>
      <c r="E377" s="69">
        <v>7.5431034482760003E-3</v>
      </c>
    </row>
    <row r="378" spans="2:5" ht="14.5">
      <c r="B378" s="96"/>
      <c r="C378" s="67" t="s">
        <v>129</v>
      </c>
      <c r="D378" s="68">
        <v>6</v>
      </c>
      <c r="E378" s="69">
        <v>1.293103448276E-3</v>
      </c>
    </row>
    <row r="379" spans="2:5" ht="14.5">
      <c r="B379" s="96"/>
      <c r="C379" s="67" t="s">
        <v>130</v>
      </c>
      <c r="D379" s="68">
        <v>8</v>
      </c>
      <c r="E379" s="69">
        <v>1.724137931034E-3</v>
      </c>
    </row>
    <row r="380" spans="2:5" ht="14.5">
      <c r="B380" s="96"/>
      <c r="C380" s="67" t="s">
        <v>131</v>
      </c>
      <c r="D380" s="68">
        <v>1</v>
      </c>
      <c r="E380" s="69">
        <v>2.1551724137899999E-4</v>
      </c>
    </row>
    <row r="381" spans="2:5" ht="14.5">
      <c r="B381" s="96"/>
      <c r="C381" s="67" t="s">
        <v>132</v>
      </c>
      <c r="D381" s="68">
        <v>31</v>
      </c>
      <c r="E381" s="69">
        <v>6.6810344827590001E-3</v>
      </c>
    </row>
    <row r="382" spans="2:5" ht="14.5">
      <c r="B382" s="96"/>
      <c r="C382" s="67" t="s">
        <v>133</v>
      </c>
      <c r="D382" s="68">
        <v>34</v>
      </c>
      <c r="E382" s="69">
        <v>7.327586206897E-3</v>
      </c>
    </row>
    <row r="383" spans="2:5" ht="14.5">
      <c r="B383" s="96"/>
      <c r="C383" s="67" t="s">
        <v>134</v>
      </c>
      <c r="D383" s="68">
        <v>356</v>
      </c>
      <c r="E383" s="69">
        <v>7.6724137931033998E-2</v>
      </c>
    </row>
    <row r="384" spans="2:5" ht="14.5">
      <c r="B384" s="96"/>
      <c r="C384" s="67" t="s">
        <v>135</v>
      </c>
      <c r="D384" s="68">
        <v>7</v>
      </c>
      <c r="E384" s="69">
        <v>1.508620689655E-3</v>
      </c>
    </row>
    <row r="385" spans="2:5" ht="14.5">
      <c r="B385" s="96"/>
      <c r="C385" s="67" t="s">
        <v>136</v>
      </c>
      <c r="D385" s="68">
        <v>10</v>
      </c>
      <c r="E385" s="69">
        <v>2.1551724137930002E-3</v>
      </c>
    </row>
    <row r="386" spans="2:5" ht="14.5">
      <c r="B386" s="96"/>
      <c r="C386" s="67" t="s">
        <v>137</v>
      </c>
      <c r="D386" s="68">
        <v>44</v>
      </c>
      <c r="E386" s="69">
        <v>9.4827586206900003E-3</v>
      </c>
    </row>
    <row r="387" spans="2:5" ht="14.5">
      <c r="B387" s="96"/>
      <c r="C387" s="67" t="s">
        <v>58</v>
      </c>
      <c r="D387" s="68">
        <v>3</v>
      </c>
      <c r="E387" s="69">
        <v>6.4655172413799998E-4</v>
      </c>
    </row>
    <row r="388" spans="2:5" ht="14.5">
      <c r="B388" s="96"/>
      <c r="C388" s="67" t="s">
        <v>139</v>
      </c>
      <c r="D388" s="68">
        <v>14</v>
      </c>
      <c r="E388" s="69">
        <v>3.01724137931E-3</v>
      </c>
    </row>
    <row r="389" spans="2:5" ht="14.5">
      <c r="B389" s="97"/>
      <c r="C389" s="36" t="s">
        <v>29</v>
      </c>
      <c r="D389" s="35">
        <v>1306</v>
      </c>
      <c r="E389" s="34">
        <v>0.28146551724137903</v>
      </c>
    </row>
    <row r="390" spans="2:5" ht="14.5">
      <c r="B390" s="95" t="s">
        <v>223</v>
      </c>
      <c r="C390" s="67" t="s">
        <v>96</v>
      </c>
      <c r="D390" s="68">
        <v>1</v>
      </c>
      <c r="E390" s="69">
        <v>2.1551724137899999E-4</v>
      </c>
    </row>
    <row r="391" spans="2:5" ht="14.5">
      <c r="B391" s="96"/>
      <c r="C391" s="67" t="s">
        <v>99</v>
      </c>
      <c r="D391" s="68">
        <v>2</v>
      </c>
      <c r="E391" s="69">
        <v>4.3103448275899999E-4</v>
      </c>
    </row>
    <row r="392" spans="2:5" ht="14.5">
      <c r="B392" s="96"/>
      <c r="C392" s="67" t="s">
        <v>104</v>
      </c>
      <c r="D392" s="68">
        <v>2</v>
      </c>
      <c r="E392" s="69">
        <v>4.3103448275899999E-4</v>
      </c>
    </row>
    <row r="393" spans="2:5" ht="14.5">
      <c r="B393" s="96"/>
      <c r="C393" s="67" t="s">
        <v>132</v>
      </c>
      <c r="D393" s="68">
        <v>1</v>
      </c>
      <c r="E393" s="69">
        <v>2.1551724137899999E-4</v>
      </c>
    </row>
    <row r="394" spans="2:5" ht="14.5">
      <c r="B394" s="96"/>
      <c r="C394" s="67" t="s">
        <v>134</v>
      </c>
      <c r="D394" s="68">
        <v>4</v>
      </c>
      <c r="E394" s="69">
        <v>8.6206896551700002E-4</v>
      </c>
    </row>
    <row r="395" spans="2:5" ht="14.5">
      <c r="B395" s="96"/>
      <c r="C395" s="67" t="s">
        <v>136</v>
      </c>
      <c r="D395" s="68">
        <v>1</v>
      </c>
      <c r="E395" s="69">
        <v>2.1551724137899999E-4</v>
      </c>
    </row>
    <row r="396" spans="2:5" ht="14.5">
      <c r="B396" s="96"/>
      <c r="C396" s="67" t="s">
        <v>137</v>
      </c>
      <c r="D396" s="68">
        <v>1</v>
      </c>
      <c r="E396" s="69">
        <v>2.1551724137899999E-4</v>
      </c>
    </row>
    <row r="397" spans="2:5" ht="14.5">
      <c r="B397" s="96"/>
      <c r="C397" s="67" t="s">
        <v>139</v>
      </c>
      <c r="D397" s="68">
        <v>1</v>
      </c>
      <c r="E397" s="69">
        <v>2.1551724137899999E-4</v>
      </c>
    </row>
    <row r="398" spans="2:5" ht="14.5">
      <c r="B398" s="97"/>
      <c r="C398" s="36" t="s">
        <v>29</v>
      </c>
      <c r="D398" s="35">
        <v>13</v>
      </c>
      <c r="E398" s="34">
        <v>2.8017241379310002E-3</v>
      </c>
    </row>
    <row r="399" spans="2:5" ht="14.5">
      <c r="B399" s="95" t="s">
        <v>224</v>
      </c>
      <c r="C399" s="67" t="s">
        <v>99</v>
      </c>
      <c r="D399" s="68">
        <v>2</v>
      </c>
      <c r="E399" s="69">
        <v>4.3103448275899999E-4</v>
      </c>
    </row>
    <row r="400" spans="2:5" ht="14.5">
      <c r="B400" s="96"/>
      <c r="C400" s="67" t="s">
        <v>110</v>
      </c>
      <c r="D400" s="68">
        <v>1</v>
      </c>
      <c r="E400" s="69">
        <v>2.1551724137899999E-4</v>
      </c>
    </row>
    <row r="401" spans="2:5" ht="14.5">
      <c r="B401" s="96"/>
      <c r="C401" s="67" t="s">
        <v>119</v>
      </c>
      <c r="D401" s="68">
        <v>1</v>
      </c>
      <c r="E401" s="69">
        <v>2.1551724137899999E-4</v>
      </c>
    </row>
    <row r="402" spans="2:5" ht="14.5">
      <c r="B402" s="96"/>
      <c r="C402" s="67" t="s">
        <v>125</v>
      </c>
      <c r="D402" s="68">
        <v>2</v>
      </c>
      <c r="E402" s="69">
        <v>4.3103448275899999E-4</v>
      </c>
    </row>
    <row r="403" spans="2:5" ht="14.5">
      <c r="B403" s="96"/>
      <c r="C403" s="67" t="s">
        <v>134</v>
      </c>
      <c r="D403" s="68">
        <v>4</v>
      </c>
      <c r="E403" s="69">
        <v>8.6206896551700002E-4</v>
      </c>
    </row>
    <row r="404" spans="2:5" ht="14.5">
      <c r="B404" s="96"/>
      <c r="C404" s="67" t="s">
        <v>135</v>
      </c>
      <c r="D404" s="68">
        <v>1</v>
      </c>
      <c r="E404" s="69">
        <v>2.1551724137899999E-4</v>
      </c>
    </row>
    <row r="405" spans="2:5" ht="14.5">
      <c r="B405" s="97"/>
      <c r="C405" s="36" t="s">
        <v>29</v>
      </c>
      <c r="D405" s="35">
        <v>11</v>
      </c>
      <c r="E405" s="34">
        <v>2.370689655172E-3</v>
      </c>
    </row>
    <row r="406" spans="2:5" ht="14.5">
      <c r="B406" s="95" t="s">
        <v>225</v>
      </c>
      <c r="C406" s="67" t="s">
        <v>97</v>
      </c>
      <c r="D406" s="68">
        <v>2</v>
      </c>
      <c r="E406" s="69">
        <v>4.3103448275899999E-4</v>
      </c>
    </row>
    <row r="407" spans="2:5" ht="14.5">
      <c r="B407" s="96"/>
      <c r="C407" s="67" t="s">
        <v>99</v>
      </c>
      <c r="D407" s="68">
        <v>2</v>
      </c>
      <c r="E407" s="69">
        <v>4.3103448275899999E-4</v>
      </c>
    </row>
    <row r="408" spans="2:5" ht="14.5">
      <c r="B408" s="96"/>
      <c r="C408" s="67" t="s">
        <v>104</v>
      </c>
      <c r="D408" s="68">
        <v>1</v>
      </c>
      <c r="E408" s="69">
        <v>2.1551724137899999E-4</v>
      </c>
    </row>
    <row r="409" spans="2:5" ht="14.5">
      <c r="B409" s="96"/>
      <c r="C409" s="67" t="s">
        <v>115</v>
      </c>
      <c r="D409" s="68">
        <v>1</v>
      </c>
      <c r="E409" s="69">
        <v>2.1551724137899999E-4</v>
      </c>
    </row>
    <row r="410" spans="2:5" ht="14.5">
      <c r="B410" s="96"/>
      <c r="C410" s="67" t="s">
        <v>119</v>
      </c>
      <c r="D410" s="68">
        <v>1</v>
      </c>
      <c r="E410" s="69">
        <v>2.1551724137899999E-4</v>
      </c>
    </row>
    <row r="411" spans="2:5" ht="14.5">
      <c r="B411" s="96"/>
      <c r="C411" s="67" t="s">
        <v>133</v>
      </c>
      <c r="D411" s="68">
        <v>1</v>
      </c>
      <c r="E411" s="69">
        <v>2.1551724137899999E-4</v>
      </c>
    </row>
    <row r="412" spans="2:5" ht="14.5">
      <c r="B412" s="96"/>
      <c r="C412" s="67" t="s">
        <v>134</v>
      </c>
      <c r="D412" s="68">
        <v>3</v>
      </c>
      <c r="E412" s="69">
        <v>6.4655172413799998E-4</v>
      </c>
    </row>
    <row r="413" spans="2:5" ht="14.5">
      <c r="B413" s="97"/>
      <c r="C413" s="36" t="s">
        <v>29</v>
      </c>
      <c r="D413" s="35">
        <v>11</v>
      </c>
      <c r="E413" s="34">
        <v>2.370689655172E-3</v>
      </c>
    </row>
    <row r="414" spans="2:5" ht="14.5">
      <c r="B414" s="95" t="s">
        <v>226</v>
      </c>
      <c r="C414" s="67" t="s">
        <v>102</v>
      </c>
      <c r="D414" s="68">
        <v>1</v>
      </c>
      <c r="E414" s="69">
        <v>2.1551724137899999E-4</v>
      </c>
    </row>
    <row r="415" spans="2:5" ht="14.5">
      <c r="B415" s="96"/>
      <c r="C415" s="67" t="s">
        <v>103</v>
      </c>
      <c r="D415" s="68">
        <v>1</v>
      </c>
      <c r="E415" s="69">
        <v>2.1551724137899999E-4</v>
      </c>
    </row>
    <row r="416" spans="2:5" ht="14.5">
      <c r="B416" s="96"/>
      <c r="C416" s="67" t="s">
        <v>108</v>
      </c>
      <c r="D416" s="68">
        <v>3</v>
      </c>
      <c r="E416" s="69">
        <v>6.4655172413799998E-4</v>
      </c>
    </row>
    <row r="417" spans="2:5" ht="14.5">
      <c r="B417" s="96"/>
      <c r="C417" s="67" t="s">
        <v>110</v>
      </c>
      <c r="D417" s="68">
        <v>1</v>
      </c>
      <c r="E417" s="69">
        <v>2.1551724137899999E-4</v>
      </c>
    </row>
    <row r="418" spans="2:5" ht="14.5">
      <c r="B418" s="96"/>
      <c r="C418" s="67" t="s">
        <v>119</v>
      </c>
      <c r="D418" s="68">
        <v>1</v>
      </c>
      <c r="E418" s="69">
        <v>2.1551724137899999E-4</v>
      </c>
    </row>
    <row r="419" spans="2:5" ht="14.5">
      <c r="B419" s="96"/>
      <c r="C419" s="67" t="s">
        <v>134</v>
      </c>
      <c r="D419" s="68">
        <v>1</v>
      </c>
      <c r="E419" s="69">
        <v>2.1551724137899999E-4</v>
      </c>
    </row>
    <row r="420" spans="2:5" ht="14.5">
      <c r="B420" s="97"/>
      <c r="C420" s="36" t="s">
        <v>29</v>
      </c>
      <c r="D420" s="35">
        <v>8</v>
      </c>
      <c r="E420" s="34">
        <v>1.724137931034E-3</v>
      </c>
    </row>
    <row r="421" spans="2:5" ht="14.5">
      <c r="B421" s="95" t="s">
        <v>227</v>
      </c>
      <c r="C421" s="67" t="s">
        <v>96</v>
      </c>
      <c r="D421" s="68">
        <v>1</v>
      </c>
      <c r="E421" s="69">
        <v>2.1551724137899999E-4</v>
      </c>
    </row>
    <row r="422" spans="2:5" ht="14.5">
      <c r="B422" s="96"/>
      <c r="C422" s="67" t="s">
        <v>99</v>
      </c>
      <c r="D422" s="68">
        <v>4</v>
      </c>
      <c r="E422" s="69">
        <v>8.6206896551700002E-4</v>
      </c>
    </row>
    <row r="423" spans="2:5" ht="14.5">
      <c r="B423" s="96"/>
      <c r="C423" s="67" t="s">
        <v>101</v>
      </c>
      <c r="D423" s="68">
        <v>1</v>
      </c>
      <c r="E423" s="69">
        <v>2.1551724137899999E-4</v>
      </c>
    </row>
    <row r="424" spans="2:5" ht="14.5">
      <c r="B424" s="96"/>
      <c r="C424" s="67" t="s">
        <v>103</v>
      </c>
      <c r="D424" s="68">
        <v>8</v>
      </c>
      <c r="E424" s="69">
        <v>1.724137931034E-3</v>
      </c>
    </row>
    <row r="425" spans="2:5" ht="14.5">
      <c r="B425" s="96"/>
      <c r="C425" s="67" t="s">
        <v>104</v>
      </c>
      <c r="D425" s="68">
        <v>1</v>
      </c>
      <c r="E425" s="69">
        <v>2.1551724137899999E-4</v>
      </c>
    </row>
    <row r="426" spans="2:5" ht="14.5">
      <c r="B426" s="96"/>
      <c r="C426" s="67" t="s">
        <v>106</v>
      </c>
      <c r="D426" s="68">
        <v>1</v>
      </c>
      <c r="E426" s="69">
        <v>2.1551724137899999E-4</v>
      </c>
    </row>
    <row r="427" spans="2:5" ht="14.5">
      <c r="B427" s="96"/>
      <c r="C427" s="67" t="s">
        <v>107</v>
      </c>
      <c r="D427" s="68">
        <v>2</v>
      </c>
      <c r="E427" s="69">
        <v>4.3103448275899999E-4</v>
      </c>
    </row>
    <row r="428" spans="2:5" ht="14.5">
      <c r="B428" s="96"/>
      <c r="C428" s="67" t="s">
        <v>108</v>
      </c>
      <c r="D428" s="68">
        <v>5</v>
      </c>
      <c r="E428" s="69">
        <v>1.0775862068969999E-3</v>
      </c>
    </row>
    <row r="429" spans="2:5" ht="14.5">
      <c r="B429" s="96"/>
      <c r="C429" s="67" t="s">
        <v>109</v>
      </c>
      <c r="D429" s="68">
        <v>1</v>
      </c>
      <c r="E429" s="69">
        <v>2.1551724137899999E-4</v>
      </c>
    </row>
    <row r="430" spans="2:5" ht="14.5">
      <c r="B430" s="96"/>
      <c r="C430" s="67" t="s">
        <v>111</v>
      </c>
      <c r="D430" s="68">
        <v>1</v>
      </c>
      <c r="E430" s="69">
        <v>2.1551724137899999E-4</v>
      </c>
    </row>
    <row r="431" spans="2:5" ht="14.5">
      <c r="B431" s="96"/>
      <c r="C431" s="67" t="s">
        <v>112</v>
      </c>
      <c r="D431" s="68">
        <v>2</v>
      </c>
      <c r="E431" s="69">
        <v>4.3103448275899999E-4</v>
      </c>
    </row>
    <row r="432" spans="2:5" ht="14.5">
      <c r="B432" s="96"/>
      <c r="C432" s="67" t="s">
        <v>114</v>
      </c>
      <c r="D432" s="68">
        <v>1</v>
      </c>
      <c r="E432" s="69">
        <v>2.1551724137899999E-4</v>
      </c>
    </row>
    <row r="433" spans="2:5" ht="14.5">
      <c r="B433" s="96"/>
      <c r="C433" s="67" t="s">
        <v>117</v>
      </c>
      <c r="D433" s="68">
        <v>1</v>
      </c>
      <c r="E433" s="69">
        <v>2.1551724137899999E-4</v>
      </c>
    </row>
    <row r="434" spans="2:5" ht="14.5">
      <c r="B434" s="96"/>
      <c r="C434" s="67" t="s">
        <v>118</v>
      </c>
      <c r="D434" s="68">
        <v>2</v>
      </c>
      <c r="E434" s="69">
        <v>4.3103448275899999E-4</v>
      </c>
    </row>
    <row r="435" spans="2:5" ht="14.5">
      <c r="B435" s="96"/>
      <c r="C435" s="67" t="s">
        <v>119</v>
      </c>
      <c r="D435" s="68">
        <v>4</v>
      </c>
      <c r="E435" s="69">
        <v>8.6206896551700002E-4</v>
      </c>
    </row>
    <row r="436" spans="2:5" ht="14.5">
      <c r="B436" s="96"/>
      <c r="C436" s="67" t="s">
        <v>121</v>
      </c>
      <c r="D436" s="68">
        <v>1</v>
      </c>
      <c r="E436" s="69">
        <v>2.1551724137899999E-4</v>
      </c>
    </row>
    <row r="437" spans="2:5" ht="14.5">
      <c r="B437" s="96"/>
      <c r="C437" s="67" t="s">
        <v>122</v>
      </c>
      <c r="D437" s="68">
        <v>1</v>
      </c>
      <c r="E437" s="69">
        <v>2.1551724137899999E-4</v>
      </c>
    </row>
    <row r="438" spans="2:5" ht="14.5">
      <c r="B438" s="96"/>
      <c r="C438" s="67" t="s">
        <v>124</v>
      </c>
      <c r="D438" s="68">
        <v>2</v>
      </c>
      <c r="E438" s="69">
        <v>4.3103448275899999E-4</v>
      </c>
    </row>
    <row r="439" spans="2:5" ht="14.5">
      <c r="B439" s="96"/>
      <c r="C439" s="67" t="s">
        <v>125</v>
      </c>
      <c r="D439" s="68">
        <v>6</v>
      </c>
      <c r="E439" s="69">
        <v>1.293103448276E-3</v>
      </c>
    </row>
    <row r="440" spans="2:5" ht="14.5">
      <c r="B440" s="96"/>
      <c r="C440" s="67" t="s">
        <v>127</v>
      </c>
      <c r="D440" s="68">
        <v>1</v>
      </c>
      <c r="E440" s="69">
        <v>2.1551724137899999E-4</v>
      </c>
    </row>
    <row r="441" spans="2:5" ht="14.5">
      <c r="B441" s="96"/>
      <c r="C441" s="67" t="s">
        <v>128</v>
      </c>
      <c r="D441" s="68">
        <v>1</v>
      </c>
      <c r="E441" s="69">
        <v>2.1551724137899999E-4</v>
      </c>
    </row>
    <row r="442" spans="2:5" ht="14.5">
      <c r="B442" s="96"/>
      <c r="C442" s="67" t="s">
        <v>129</v>
      </c>
      <c r="D442" s="68">
        <v>1</v>
      </c>
      <c r="E442" s="69">
        <v>2.1551724137899999E-4</v>
      </c>
    </row>
    <row r="443" spans="2:5" ht="14.5">
      <c r="B443" s="96"/>
      <c r="C443" s="67" t="s">
        <v>130</v>
      </c>
      <c r="D443" s="68">
        <v>1</v>
      </c>
      <c r="E443" s="69">
        <v>2.1551724137899999E-4</v>
      </c>
    </row>
    <row r="444" spans="2:5" ht="14.5">
      <c r="B444" s="96"/>
      <c r="C444" s="67" t="s">
        <v>132</v>
      </c>
      <c r="D444" s="68">
        <v>1</v>
      </c>
      <c r="E444" s="69">
        <v>2.1551724137899999E-4</v>
      </c>
    </row>
    <row r="445" spans="2:5" ht="14.5">
      <c r="B445" s="96"/>
      <c r="C445" s="67" t="s">
        <v>133</v>
      </c>
      <c r="D445" s="68">
        <v>3</v>
      </c>
      <c r="E445" s="69">
        <v>6.4655172413799998E-4</v>
      </c>
    </row>
    <row r="446" spans="2:5" ht="14.5">
      <c r="B446" s="96"/>
      <c r="C446" s="67" t="s">
        <v>134</v>
      </c>
      <c r="D446" s="68">
        <v>9</v>
      </c>
      <c r="E446" s="69">
        <v>1.9396551724139999E-3</v>
      </c>
    </row>
    <row r="447" spans="2:5" ht="14.5">
      <c r="B447" s="96"/>
      <c r="C447" s="67" t="s">
        <v>136</v>
      </c>
      <c r="D447" s="68">
        <v>1</v>
      </c>
      <c r="E447" s="69">
        <v>2.1551724137899999E-4</v>
      </c>
    </row>
    <row r="448" spans="2:5" ht="14.5">
      <c r="B448" s="96"/>
      <c r="C448" s="67" t="s">
        <v>137</v>
      </c>
      <c r="D448" s="68">
        <v>2</v>
      </c>
      <c r="E448" s="69">
        <v>4.3103448275899999E-4</v>
      </c>
    </row>
    <row r="449" spans="2:5" ht="14.5">
      <c r="B449" s="97"/>
      <c r="C449" s="36" t="s">
        <v>29</v>
      </c>
      <c r="D449" s="35">
        <v>65</v>
      </c>
      <c r="E449" s="34">
        <v>1.4008620689654999E-2</v>
      </c>
    </row>
    <row r="450" spans="2:5" ht="14.5">
      <c r="B450" s="95" t="s">
        <v>228</v>
      </c>
      <c r="C450" s="67" t="s">
        <v>96</v>
      </c>
      <c r="D450" s="68">
        <v>2</v>
      </c>
      <c r="E450" s="69">
        <v>4.3103448275899999E-4</v>
      </c>
    </row>
    <row r="451" spans="2:5" ht="14.5">
      <c r="B451" s="96"/>
      <c r="C451" s="67" t="s">
        <v>97</v>
      </c>
      <c r="D451" s="68">
        <v>6</v>
      </c>
      <c r="E451" s="69">
        <v>1.293103448276E-3</v>
      </c>
    </row>
    <row r="452" spans="2:5" ht="14.5">
      <c r="B452" s="96"/>
      <c r="C452" s="67" t="s">
        <v>98</v>
      </c>
      <c r="D452" s="68">
        <v>1</v>
      </c>
      <c r="E452" s="69">
        <v>2.1551724137899999E-4</v>
      </c>
    </row>
    <row r="453" spans="2:5" ht="14.5">
      <c r="B453" s="96"/>
      <c r="C453" s="67" t="s">
        <v>99</v>
      </c>
      <c r="D453" s="68">
        <v>19</v>
      </c>
      <c r="E453" s="69">
        <v>4.0948275862070001E-3</v>
      </c>
    </row>
    <row r="454" spans="2:5" ht="14.5">
      <c r="B454" s="96"/>
      <c r="C454" s="67" t="s">
        <v>100</v>
      </c>
      <c r="D454" s="68">
        <v>5</v>
      </c>
      <c r="E454" s="69">
        <v>1.0775862068969999E-3</v>
      </c>
    </row>
    <row r="455" spans="2:5" ht="14.5">
      <c r="B455" s="96"/>
      <c r="C455" s="67" t="s">
        <v>103</v>
      </c>
      <c r="D455" s="68">
        <v>11</v>
      </c>
      <c r="E455" s="69">
        <v>2.370689655172E-3</v>
      </c>
    </row>
    <row r="456" spans="2:5" ht="14.5">
      <c r="B456" s="96"/>
      <c r="C456" s="67" t="s">
        <v>104</v>
      </c>
      <c r="D456" s="68">
        <v>6</v>
      </c>
      <c r="E456" s="69">
        <v>1.293103448276E-3</v>
      </c>
    </row>
    <row r="457" spans="2:5" ht="14.5">
      <c r="B457" s="96"/>
      <c r="C457" s="67" t="s">
        <v>106</v>
      </c>
      <c r="D457" s="68">
        <v>1</v>
      </c>
      <c r="E457" s="69">
        <v>2.1551724137899999E-4</v>
      </c>
    </row>
    <row r="458" spans="2:5" ht="14.5">
      <c r="B458" s="96"/>
      <c r="C458" s="67" t="s">
        <v>107</v>
      </c>
      <c r="D458" s="68">
        <v>5</v>
      </c>
      <c r="E458" s="69">
        <v>1.0775862068969999E-3</v>
      </c>
    </row>
    <row r="459" spans="2:5" ht="14.5">
      <c r="B459" s="96"/>
      <c r="C459" s="67" t="s">
        <v>108</v>
      </c>
      <c r="D459" s="68">
        <v>7</v>
      </c>
      <c r="E459" s="69">
        <v>1.508620689655E-3</v>
      </c>
    </row>
    <row r="460" spans="2:5" ht="14.5">
      <c r="B460" s="96"/>
      <c r="C460" s="67" t="s">
        <v>109</v>
      </c>
      <c r="D460" s="68">
        <v>1</v>
      </c>
      <c r="E460" s="69">
        <v>2.1551724137899999E-4</v>
      </c>
    </row>
    <row r="461" spans="2:5" ht="14.5">
      <c r="B461" s="96"/>
      <c r="C461" s="67" t="s">
        <v>110</v>
      </c>
      <c r="D461" s="68">
        <v>2</v>
      </c>
      <c r="E461" s="69">
        <v>4.3103448275899999E-4</v>
      </c>
    </row>
    <row r="462" spans="2:5" ht="14.5">
      <c r="B462" s="96"/>
      <c r="C462" s="67" t="s">
        <v>111</v>
      </c>
      <c r="D462" s="68">
        <v>3</v>
      </c>
      <c r="E462" s="69">
        <v>6.4655172413799998E-4</v>
      </c>
    </row>
    <row r="463" spans="2:5" ht="14.5">
      <c r="B463" s="96"/>
      <c r="C463" s="67" t="s">
        <v>112</v>
      </c>
      <c r="D463" s="68">
        <v>5</v>
      </c>
      <c r="E463" s="69">
        <v>1.0775862068969999E-3</v>
      </c>
    </row>
    <row r="464" spans="2:5" ht="14.5">
      <c r="B464" s="96"/>
      <c r="C464" s="67" t="s">
        <v>116</v>
      </c>
      <c r="D464" s="68">
        <v>1</v>
      </c>
      <c r="E464" s="69">
        <v>2.1551724137899999E-4</v>
      </c>
    </row>
    <row r="465" spans="2:5" ht="14.5">
      <c r="B465" s="96"/>
      <c r="C465" s="67" t="s">
        <v>117</v>
      </c>
      <c r="D465" s="68">
        <v>1</v>
      </c>
      <c r="E465" s="69">
        <v>2.1551724137899999E-4</v>
      </c>
    </row>
    <row r="466" spans="2:5" ht="14.5">
      <c r="B466" s="96"/>
      <c r="C466" s="67" t="s">
        <v>118</v>
      </c>
      <c r="D466" s="68">
        <v>5</v>
      </c>
      <c r="E466" s="69">
        <v>1.0775862068969999E-3</v>
      </c>
    </row>
    <row r="467" spans="2:5" ht="14.5">
      <c r="B467" s="96"/>
      <c r="C467" s="67" t="s">
        <v>119</v>
      </c>
      <c r="D467" s="68">
        <v>1</v>
      </c>
      <c r="E467" s="69">
        <v>2.1551724137899999E-4</v>
      </c>
    </row>
    <row r="468" spans="2:5" ht="14.5">
      <c r="B468" s="96"/>
      <c r="C468" s="67" t="s">
        <v>121</v>
      </c>
      <c r="D468" s="68">
        <v>3</v>
      </c>
      <c r="E468" s="69">
        <v>6.4655172413799998E-4</v>
      </c>
    </row>
    <row r="469" spans="2:5" ht="14.5">
      <c r="B469" s="96"/>
      <c r="C469" s="67" t="s">
        <v>122</v>
      </c>
      <c r="D469" s="68">
        <v>5</v>
      </c>
      <c r="E469" s="69">
        <v>1.0775862068969999E-3</v>
      </c>
    </row>
    <row r="470" spans="2:5" ht="14.5">
      <c r="B470" s="96"/>
      <c r="C470" s="67" t="s">
        <v>124</v>
      </c>
      <c r="D470" s="68">
        <v>5</v>
      </c>
      <c r="E470" s="69">
        <v>1.0775862068969999E-3</v>
      </c>
    </row>
    <row r="471" spans="2:5" ht="14.5">
      <c r="B471" s="96"/>
      <c r="C471" s="67" t="s">
        <v>125</v>
      </c>
      <c r="D471" s="68">
        <v>19</v>
      </c>
      <c r="E471" s="69">
        <v>4.0948275862070001E-3</v>
      </c>
    </row>
    <row r="472" spans="2:5" ht="14.5">
      <c r="B472" s="96"/>
      <c r="C472" s="67" t="s">
        <v>127</v>
      </c>
      <c r="D472" s="68">
        <v>2</v>
      </c>
      <c r="E472" s="69">
        <v>4.3103448275899999E-4</v>
      </c>
    </row>
    <row r="473" spans="2:5" ht="14.5">
      <c r="B473" s="96"/>
      <c r="C473" s="67" t="s">
        <v>128</v>
      </c>
      <c r="D473" s="68">
        <v>3</v>
      </c>
      <c r="E473" s="69">
        <v>6.4655172413799998E-4</v>
      </c>
    </row>
    <row r="474" spans="2:5" ht="14.5">
      <c r="B474" s="96"/>
      <c r="C474" s="67" t="s">
        <v>129</v>
      </c>
      <c r="D474" s="68">
        <v>1</v>
      </c>
      <c r="E474" s="69">
        <v>2.1551724137899999E-4</v>
      </c>
    </row>
    <row r="475" spans="2:5" ht="14.5">
      <c r="B475" s="96"/>
      <c r="C475" s="67" t="s">
        <v>130</v>
      </c>
      <c r="D475" s="68">
        <v>1</v>
      </c>
      <c r="E475" s="69">
        <v>2.1551724137899999E-4</v>
      </c>
    </row>
    <row r="476" spans="2:5" ht="14.5">
      <c r="B476" s="96"/>
      <c r="C476" s="67" t="s">
        <v>131</v>
      </c>
      <c r="D476" s="68">
        <v>2</v>
      </c>
      <c r="E476" s="69">
        <v>4.3103448275899999E-4</v>
      </c>
    </row>
    <row r="477" spans="2:5" ht="14.5">
      <c r="B477" s="96"/>
      <c r="C477" s="67" t="s">
        <v>132</v>
      </c>
      <c r="D477" s="68">
        <v>2</v>
      </c>
      <c r="E477" s="69">
        <v>4.3103448275899999E-4</v>
      </c>
    </row>
    <row r="478" spans="2:5" ht="14.5">
      <c r="B478" s="96"/>
      <c r="C478" s="67" t="s">
        <v>133</v>
      </c>
      <c r="D478" s="68">
        <v>5</v>
      </c>
      <c r="E478" s="69">
        <v>1.0775862068969999E-3</v>
      </c>
    </row>
    <row r="479" spans="2:5" ht="14.5">
      <c r="B479" s="96"/>
      <c r="C479" s="67" t="s">
        <v>134</v>
      </c>
      <c r="D479" s="68">
        <v>70</v>
      </c>
      <c r="E479" s="69">
        <v>1.5086206896552001E-2</v>
      </c>
    </row>
    <row r="480" spans="2:5" ht="14.5">
      <c r="B480" s="96"/>
      <c r="C480" s="67" t="s">
        <v>135</v>
      </c>
      <c r="D480" s="68">
        <v>3</v>
      </c>
      <c r="E480" s="69">
        <v>6.4655172413799998E-4</v>
      </c>
    </row>
    <row r="481" spans="2:5" ht="14.5">
      <c r="B481" s="96"/>
      <c r="C481" s="67" t="s">
        <v>136</v>
      </c>
      <c r="D481" s="68">
        <v>1</v>
      </c>
      <c r="E481" s="69">
        <v>2.1551724137899999E-4</v>
      </c>
    </row>
    <row r="482" spans="2:5" ht="14.5">
      <c r="B482" s="96"/>
      <c r="C482" s="67" t="s">
        <v>137</v>
      </c>
      <c r="D482" s="68">
        <v>6</v>
      </c>
      <c r="E482" s="69">
        <v>1.293103448276E-3</v>
      </c>
    </row>
    <row r="483" spans="2:5" ht="14.5">
      <c r="B483" s="96"/>
      <c r="C483" s="67" t="s">
        <v>58</v>
      </c>
      <c r="D483" s="68">
        <v>1</v>
      </c>
      <c r="E483" s="69">
        <v>2.1551724137899999E-4</v>
      </c>
    </row>
    <row r="484" spans="2:5" ht="14.5">
      <c r="B484" s="96"/>
      <c r="C484" s="67" t="s">
        <v>138</v>
      </c>
      <c r="D484" s="68">
        <v>1</v>
      </c>
      <c r="E484" s="69">
        <v>2.1551724137899999E-4</v>
      </c>
    </row>
    <row r="485" spans="2:5" ht="14.5">
      <c r="B485" s="96"/>
      <c r="C485" s="67" t="s">
        <v>139</v>
      </c>
      <c r="D485" s="68">
        <v>9</v>
      </c>
      <c r="E485" s="69">
        <v>1.9396551724139999E-3</v>
      </c>
    </row>
    <row r="486" spans="2:5" ht="14.5">
      <c r="B486" s="97"/>
      <c r="C486" s="36" t="s">
        <v>29</v>
      </c>
      <c r="D486" s="35">
        <v>221</v>
      </c>
      <c r="E486" s="34">
        <v>4.7629310344828001E-2</v>
      </c>
    </row>
    <row r="487" spans="2:5" ht="14.5">
      <c r="B487" s="95" t="s">
        <v>229</v>
      </c>
      <c r="C487" s="67" t="s">
        <v>96</v>
      </c>
      <c r="D487" s="68">
        <v>1</v>
      </c>
      <c r="E487" s="69">
        <v>2.1551724137899999E-4</v>
      </c>
    </row>
    <row r="488" spans="2:5" ht="14.5">
      <c r="B488" s="96"/>
      <c r="C488" s="67" t="s">
        <v>133</v>
      </c>
      <c r="D488" s="68">
        <v>1</v>
      </c>
      <c r="E488" s="69">
        <v>2.1551724137899999E-4</v>
      </c>
    </row>
    <row r="489" spans="2:5" ht="14.5">
      <c r="B489" s="96"/>
      <c r="C489" s="67" t="s">
        <v>134</v>
      </c>
      <c r="D489" s="68">
        <v>2</v>
      </c>
      <c r="E489" s="69">
        <v>4.3103448275899999E-4</v>
      </c>
    </row>
    <row r="490" spans="2:5" ht="14.5">
      <c r="B490" s="97"/>
      <c r="C490" s="36" t="s">
        <v>29</v>
      </c>
      <c r="D490" s="35">
        <v>4</v>
      </c>
      <c r="E490" s="34">
        <v>8.6206896551700002E-4</v>
      </c>
    </row>
    <row r="491" spans="2:5" ht="14.5">
      <c r="B491" s="95" t="s">
        <v>230</v>
      </c>
      <c r="C491" s="67" t="s">
        <v>114</v>
      </c>
      <c r="D491" s="68">
        <v>1</v>
      </c>
      <c r="E491" s="69">
        <v>2.1551724137899999E-4</v>
      </c>
    </row>
    <row r="492" spans="2:5" ht="14.5">
      <c r="B492" s="97"/>
      <c r="C492" s="36" t="s">
        <v>29</v>
      </c>
      <c r="D492" s="35">
        <v>1</v>
      </c>
      <c r="E492" s="34">
        <v>2.1551724137899999E-4</v>
      </c>
    </row>
    <row r="493" spans="2:5" ht="14.5">
      <c r="B493" s="95" t="s">
        <v>231</v>
      </c>
      <c r="C493" s="67" t="s">
        <v>134</v>
      </c>
      <c r="D493" s="68">
        <v>1</v>
      </c>
      <c r="E493" s="69">
        <v>2.1551724137899999E-4</v>
      </c>
    </row>
    <row r="494" spans="2:5" ht="14.5">
      <c r="B494" s="97"/>
      <c r="C494" s="36" t="s">
        <v>29</v>
      </c>
      <c r="D494" s="35">
        <v>1</v>
      </c>
      <c r="E494" s="34">
        <v>2.1551724137899999E-4</v>
      </c>
    </row>
    <row r="495" spans="2:5">
      <c r="B495" s="98" t="s">
        <v>29</v>
      </c>
      <c r="C495" s="99"/>
      <c r="D495" s="65">
        <v>4640</v>
      </c>
      <c r="E495" s="66">
        <v>1</v>
      </c>
    </row>
    <row r="497" spans="2:2" ht="15" customHeight="1">
      <c r="B497" s="15" t="s">
        <v>46</v>
      </c>
    </row>
    <row r="498" spans="2:2" ht="15" customHeight="1">
      <c r="B498" s="17" t="s">
        <v>18</v>
      </c>
    </row>
    <row r="499" spans="2:2" ht="15" customHeight="1">
      <c r="B499" s="16" t="s">
        <v>47</v>
      </c>
    </row>
    <row r="500" spans="2:2" ht="15" customHeight="1">
      <c r="B500" s="15" t="s">
        <v>17</v>
      </c>
    </row>
    <row r="501" spans="2:2" ht="15" customHeight="1">
      <c r="B501" s="15" t="s">
        <v>48</v>
      </c>
    </row>
  </sheetData>
  <mergeCells count="27">
    <mergeCell ref="B7:E8"/>
    <mergeCell ref="B10:B11"/>
    <mergeCell ref="B12:B31"/>
    <mergeCell ref="B252:B295"/>
    <mergeCell ref="B296:B312"/>
    <mergeCell ref="B32:B42"/>
    <mergeCell ref="B43:B56"/>
    <mergeCell ref="B57:B76"/>
    <mergeCell ref="B77:B86"/>
    <mergeCell ref="B87:B101"/>
    <mergeCell ref="B102:B136"/>
    <mergeCell ref="B137:B175"/>
    <mergeCell ref="B176:B191"/>
    <mergeCell ref="B192:B218"/>
    <mergeCell ref="B219:B251"/>
    <mergeCell ref="B390:B398"/>
    <mergeCell ref="B399:B405"/>
    <mergeCell ref="B406:B413"/>
    <mergeCell ref="B414:B420"/>
    <mergeCell ref="B313:B346"/>
    <mergeCell ref="B347:B389"/>
    <mergeCell ref="B495:C495"/>
    <mergeCell ref="B421:B449"/>
    <mergeCell ref="B450:B486"/>
    <mergeCell ref="B487:B490"/>
    <mergeCell ref="B491:B492"/>
    <mergeCell ref="B493:B49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E592"/>
  <sheetViews>
    <sheetView showGridLines="0" view="pageBreakPreview" topLeftCell="A575" zoomScale="85" zoomScaleNormal="95" zoomScaleSheetLayoutView="85" workbookViewId="0">
      <selection activeCell="B587" sqref="B587"/>
    </sheetView>
  </sheetViews>
  <sheetFormatPr baseColWidth="10" defaultColWidth="35" defaultRowHeight="15" customHeight="1"/>
  <cols>
    <col min="1" max="1" width="1" style="32" customWidth="1"/>
    <col min="2" max="2" width="22.81640625" style="33" customWidth="1"/>
    <col min="3" max="3" width="38.7265625" style="33" bestFit="1" customWidth="1"/>
    <col min="4" max="4" width="14.26953125" style="33" customWidth="1"/>
    <col min="5" max="5" width="16.81640625" style="33" customWidth="1"/>
    <col min="6" max="16384" width="35" style="32"/>
  </cols>
  <sheetData>
    <row r="1" spans="1:5" s="41" customFormat="1" ht="12" customHeight="1">
      <c r="B1" s="43"/>
      <c r="C1" s="37"/>
      <c r="D1" s="37"/>
      <c r="E1" s="37"/>
    </row>
    <row r="2" spans="1:5" s="41" customFormat="1" ht="15" customHeight="1">
      <c r="C2" s="45"/>
    </row>
    <row r="3" spans="1:5" s="41" customFormat="1" ht="15" customHeight="1">
      <c r="C3" s="45"/>
    </row>
    <row r="4" spans="1:5" s="41" customFormat="1" ht="30" customHeight="1">
      <c r="C4" s="45"/>
      <c r="D4" s="44"/>
    </row>
    <row r="5" spans="1:5" s="41" customFormat="1" ht="15" customHeight="1">
      <c r="C5" s="45"/>
      <c r="D5" s="44"/>
    </row>
    <row r="6" spans="1:5" s="41" customFormat="1" ht="24" customHeight="1">
      <c r="B6" s="43"/>
      <c r="C6" s="37"/>
      <c r="D6" s="37"/>
      <c r="E6" s="37"/>
    </row>
    <row r="7" spans="1:5" s="41" customFormat="1" ht="26.25" customHeight="1">
      <c r="A7" s="42"/>
      <c r="B7" s="94"/>
      <c r="C7" s="94"/>
      <c r="D7" s="94"/>
      <c r="E7" s="94"/>
    </row>
    <row r="8" spans="1:5" s="41" customFormat="1" ht="33" customHeight="1">
      <c r="A8" s="42"/>
      <c r="B8" s="94"/>
      <c r="C8" s="94"/>
      <c r="D8" s="94"/>
      <c r="E8" s="94"/>
    </row>
    <row r="9" spans="1:5" s="25" customFormat="1" ht="40.5" customHeight="1">
      <c r="B9" s="38" t="s">
        <v>22</v>
      </c>
      <c r="C9" s="40" t="s">
        <v>27</v>
      </c>
      <c r="D9" s="39" t="s">
        <v>20</v>
      </c>
      <c r="E9" s="38" t="s">
        <v>19</v>
      </c>
    </row>
    <row r="10" spans="1:5" ht="15" customHeight="1">
      <c r="B10" s="95" t="s">
        <v>89</v>
      </c>
      <c r="C10" s="67" t="s">
        <v>215</v>
      </c>
      <c r="D10" s="68">
        <v>1</v>
      </c>
      <c r="E10" s="69">
        <v>2.1551724137899999E-4</v>
      </c>
    </row>
    <row r="11" spans="1:5" ht="15" customHeight="1">
      <c r="B11" s="96"/>
      <c r="C11" s="67" t="s">
        <v>217</v>
      </c>
      <c r="D11" s="68">
        <v>1</v>
      </c>
      <c r="E11" s="69">
        <v>2.1551724137899999E-4</v>
      </c>
    </row>
    <row r="12" spans="1:5" ht="15" customHeight="1">
      <c r="B12" s="96"/>
      <c r="C12" s="67" t="s">
        <v>219</v>
      </c>
      <c r="D12" s="68">
        <v>8</v>
      </c>
      <c r="E12" s="69">
        <v>1.724137931034E-3</v>
      </c>
    </row>
    <row r="13" spans="1:5" ht="15" customHeight="1">
      <c r="B13" s="96"/>
      <c r="C13" s="67" t="s">
        <v>222</v>
      </c>
      <c r="D13" s="68">
        <v>5</v>
      </c>
      <c r="E13" s="69">
        <v>1.0775862068969999E-3</v>
      </c>
    </row>
    <row r="14" spans="1:5" ht="15" customHeight="1">
      <c r="B14" s="97"/>
      <c r="C14" s="36" t="s">
        <v>29</v>
      </c>
      <c r="D14" s="35">
        <v>15</v>
      </c>
      <c r="E14" s="34">
        <v>3.2327586206899999E-3</v>
      </c>
    </row>
    <row r="15" spans="1:5" ht="15" customHeight="1">
      <c r="B15" s="95" t="s">
        <v>52</v>
      </c>
      <c r="C15" s="67" t="s">
        <v>207</v>
      </c>
      <c r="D15" s="68">
        <v>1</v>
      </c>
      <c r="E15" s="69">
        <v>2.1551724137899999E-4</v>
      </c>
    </row>
    <row r="16" spans="1:5" ht="15" customHeight="1">
      <c r="B16" s="96"/>
      <c r="C16" s="67" t="s">
        <v>208</v>
      </c>
      <c r="D16" s="68">
        <v>3</v>
      </c>
      <c r="E16" s="69">
        <v>6.4655172413799998E-4</v>
      </c>
    </row>
    <row r="17" spans="2:5" ht="15" customHeight="1">
      <c r="B17" s="96"/>
      <c r="C17" s="67" t="s">
        <v>209</v>
      </c>
      <c r="D17" s="68">
        <v>2</v>
      </c>
      <c r="E17" s="69">
        <v>4.3103448275899999E-4</v>
      </c>
    </row>
    <row r="18" spans="2:5" ht="15" customHeight="1">
      <c r="B18" s="96"/>
      <c r="C18" s="67" t="s">
        <v>210</v>
      </c>
      <c r="D18" s="68">
        <v>3</v>
      </c>
      <c r="E18" s="69">
        <v>6.4655172413799998E-4</v>
      </c>
    </row>
    <row r="19" spans="2:5" ht="15" customHeight="1">
      <c r="B19" s="96"/>
      <c r="C19" s="67" t="s">
        <v>211</v>
      </c>
      <c r="D19" s="68">
        <v>4</v>
      </c>
      <c r="E19" s="69">
        <v>8.6206896551700002E-4</v>
      </c>
    </row>
    <row r="20" spans="2:5" ht="15" customHeight="1">
      <c r="B20" s="96"/>
      <c r="C20" s="67" t="s">
        <v>212</v>
      </c>
      <c r="D20" s="68">
        <v>2</v>
      </c>
      <c r="E20" s="69">
        <v>4.3103448275899999E-4</v>
      </c>
    </row>
    <row r="21" spans="2:5" ht="15" customHeight="1">
      <c r="B21" s="96"/>
      <c r="C21" s="67" t="s">
        <v>214</v>
      </c>
      <c r="D21" s="68">
        <v>15</v>
      </c>
      <c r="E21" s="69">
        <v>3.2327586206899999E-3</v>
      </c>
    </row>
    <row r="22" spans="2:5" ht="15" customHeight="1">
      <c r="B22" s="96"/>
      <c r="C22" s="67" t="s">
        <v>215</v>
      </c>
      <c r="D22" s="68">
        <v>18</v>
      </c>
      <c r="E22" s="69">
        <v>3.8793103448279999E-3</v>
      </c>
    </row>
    <row r="23" spans="2:5" ht="15" customHeight="1">
      <c r="B23" s="96"/>
      <c r="C23" s="67" t="s">
        <v>216</v>
      </c>
      <c r="D23" s="68">
        <v>2</v>
      </c>
      <c r="E23" s="69">
        <v>4.3103448275899999E-4</v>
      </c>
    </row>
    <row r="24" spans="2:5" ht="15" customHeight="1">
      <c r="B24" s="96"/>
      <c r="C24" s="67" t="s">
        <v>217</v>
      </c>
      <c r="D24" s="68">
        <v>2</v>
      </c>
      <c r="E24" s="69">
        <v>4.3103448275899999E-4</v>
      </c>
    </row>
    <row r="25" spans="2:5" ht="15" customHeight="1">
      <c r="B25" s="96"/>
      <c r="C25" s="67" t="s">
        <v>218</v>
      </c>
      <c r="D25" s="68">
        <v>7</v>
      </c>
      <c r="E25" s="69">
        <v>1.508620689655E-3</v>
      </c>
    </row>
    <row r="26" spans="2:5" ht="15" customHeight="1">
      <c r="B26" s="96"/>
      <c r="C26" s="67" t="s">
        <v>219</v>
      </c>
      <c r="D26" s="68">
        <v>92</v>
      </c>
      <c r="E26" s="69">
        <v>1.9827586206897001E-2</v>
      </c>
    </row>
    <row r="27" spans="2:5" ht="15" customHeight="1">
      <c r="B27" s="96"/>
      <c r="C27" s="67" t="s">
        <v>220</v>
      </c>
      <c r="D27" s="68">
        <v>4</v>
      </c>
      <c r="E27" s="69">
        <v>8.6206896551700002E-4</v>
      </c>
    </row>
    <row r="28" spans="2:5" ht="15" customHeight="1">
      <c r="B28" s="96"/>
      <c r="C28" s="67" t="s">
        <v>221</v>
      </c>
      <c r="D28" s="68">
        <v>17</v>
      </c>
      <c r="E28" s="69">
        <v>3.663793103448E-3</v>
      </c>
    </row>
    <row r="29" spans="2:5" ht="15" customHeight="1">
      <c r="B29" s="96"/>
      <c r="C29" s="67" t="s">
        <v>222</v>
      </c>
      <c r="D29" s="68">
        <v>86</v>
      </c>
      <c r="E29" s="69">
        <v>1.8534482758621001E-2</v>
      </c>
    </row>
    <row r="30" spans="2:5" ht="15" customHeight="1">
      <c r="B30" s="96"/>
      <c r="C30" s="67" t="s">
        <v>223</v>
      </c>
      <c r="D30" s="68">
        <v>3</v>
      </c>
      <c r="E30" s="69">
        <v>6.4655172413799998E-4</v>
      </c>
    </row>
    <row r="31" spans="2:5" ht="15" customHeight="1">
      <c r="B31" s="96"/>
      <c r="C31" s="67" t="s">
        <v>227</v>
      </c>
      <c r="D31" s="68">
        <v>3</v>
      </c>
      <c r="E31" s="69">
        <v>6.4655172413799998E-4</v>
      </c>
    </row>
    <row r="32" spans="2:5" ht="15" customHeight="1">
      <c r="B32" s="96"/>
      <c r="C32" s="67" t="s">
        <v>228</v>
      </c>
      <c r="D32" s="68">
        <v>9</v>
      </c>
      <c r="E32" s="69">
        <v>1.9396551724139999E-3</v>
      </c>
    </row>
    <row r="33" spans="2:5" ht="15" customHeight="1">
      <c r="B33" s="96"/>
      <c r="C33" s="67" t="s">
        <v>229</v>
      </c>
      <c r="D33" s="68">
        <v>1</v>
      </c>
      <c r="E33" s="69">
        <v>2.1551724137899999E-4</v>
      </c>
    </row>
    <row r="34" spans="2:5" ht="15" customHeight="1">
      <c r="B34" s="97"/>
      <c r="C34" s="36" t="s">
        <v>29</v>
      </c>
      <c r="D34" s="35">
        <v>274</v>
      </c>
      <c r="E34" s="34">
        <v>5.9051724137931E-2</v>
      </c>
    </row>
    <row r="35" spans="2:5" ht="15" customHeight="1">
      <c r="B35" s="95" t="s">
        <v>54</v>
      </c>
      <c r="C35" s="67" t="s">
        <v>208</v>
      </c>
      <c r="D35" s="68">
        <v>1</v>
      </c>
      <c r="E35" s="69">
        <v>2.1551724137899999E-4</v>
      </c>
    </row>
    <row r="36" spans="2:5" ht="15" customHeight="1">
      <c r="B36" s="96"/>
      <c r="C36" s="67" t="s">
        <v>209</v>
      </c>
      <c r="D36" s="68">
        <v>1</v>
      </c>
      <c r="E36" s="69">
        <v>2.1551724137899999E-4</v>
      </c>
    </row>
    <row r="37" spans="2:5" ht="15" customHeight="1">
      <c r="B37" s="96"/>
      <c r="C37" s="67" t="s">
        <v>211</v>
      </c>
      <c r="D37" s="68">
        <v>3</v>
      </c>
      <c r="E37" s="69">
        <v>6.4655172413799998E-4</v>
      </c>
    </row>
    <row r="38" spans="2:5" ht="15" customHeight="1">
      <c r="B38" s="96"/>
      <c r="C38" s="67" t="s">
        <v>212</v>
      </c>
      <c r="D38" s="68">
        <v>1</v>
      </c>
      <c r="E38" s="69">
        <v>2.1551724137899999E-4</v>
      </c>
    </row>
    <row r="39" spans="2:5" ht="15" customHeight="1">
      <c r="B39" s="96"/>
      <c r="C39" s="67" t="s">
        <v>213</v>
      </c>
      <c r="D39" s="68">
        <v>2</v>
      </c>
      <c r="E39" s="69">
        <v>4.3103448275899999E-4</v>
      </c>
    </row>
    <row r="40" spans="2:5" ht="15" customHeight="1">
      <c r="B40" s="96"/>
      <c r="C40" s="67" t="s">
        <v>214</v>
      </c>
      <c r="D40" s="68">
        <v>9</v>
      </c>
      <c r="E40" s="69">
        <v>1.9396551724139999E-3</v>
      </c>
    </row>
    <row r="41" spans="2:5" ht="15" customHeight="1">
      <c r="B41" s="96"/>
      <c r="C41" s="67" t="s">
        <v>215</v>
      </c>
      <c r="D41" s="68">
        <v>23</v>
      </c>
      <c r="E41" s="69">
        <v>4.9568965517240004E-3</v>
      </c>
    </row>
    <row r="42" spans="2:5" ht="15" customHeight="1">
      <c r="B42" s="96"/>
      <c r="C42" s="67" t="s">
        <v>216</v>
      </c>
      <c r="D42" s="68">
        <v>2</v>
      </c>
      <c r="E42" s="69">
        <v>4.3103448275899999E-4</v>
      </c>
    </row>
    <row r="43" spans="2:5" ht="15" customHeight="1">
      <c r="B43" s="96"/>
      <c r="C43" s="67" t="s">
        <v>217</v>
      </c>
      <c r="D43" s="68">
        <v>5</v>
      </c>
      <c r="E43" s="69">
        <v>1.0775862068969999E-3</v>
      </c>
    </row>
    <row r="44" spans="2:5" ht="15" customHeight="1">
      <c r="B44" s="96"/>
      <c r="C44" s="67" t="s">
        <v>218</v>
      </c>
      <c r="D44" s="68">
        <v>27</v>
      </c>
      <c r="E44" s="69">
        <v>5.8189655172409998E-3</v>
      </c>
    </row>
    <row r="45" spans="2:5" ht="15" customHeight="1">
      <c r="B45" s="96"/>
      <c r="C45" s="67" t="s">
        <v>219</v>
      </c>
      <c r="D45" s="68">
        <v>69</v>
      </c>
      <c r="E45" s="69">
        <v>1.4870689655171999E-2</v>
      </c>
    </row>
    <row r="46" spans="2:5" ht="15" customHeight="1">
      <c r="B46" s="96"/>
      <c r="C46" s="67" t="s">
        <v>220</v>
      </c>
      <c r="D46" s="68">
        <v>3</v>
      </c>
      <c r="E46" s="69">
        <v>6.4655172413799998E-4</v>
      </c>
    </row>
    <row r="47" spans="2:5" ht="15" customHeight="1">
      <c r="B47" s="96"/>
      <c r="C47" s="67" t="s">
        <v>221</v>
      </c>
      <c r="D47" s="68">
        <v>14</v>
      </c>
      <c r="E47" s="69">
        <v>3.01724137931E-3</v>
      </c>
    </row>
    <row r="48" spans="2:5" ht="15" customHeight="1">
      <c r="B48" s="96"/>
      <c r="C48" s="67" t="s">
        <v>222</v>
      </c>
      <c r="D48" s="68">
        <v>57</v>
      </c>
      <c r="E48" s="69">
        <v>1.2284482758621E-2</v>
      </c>
    </row>
    <row r="49" spans="2:5" ht="15" customHeight="1">
      <c r="B49" s="96"/>
      <c r="C49" s="67" t="s">
        <v>228</v>
      </c>
      <c r="D49" s="68">
        <v>11</v>
      </c>
      <c r="E49" s="69">
        <v>2.370689655172E-3</v>
      </c>
    </row>
    <row r="50" spans="2:5" ht="15" customHeight="1">
      <c r="B50" s="96"/>
      <c r="C50" s="67" t="s">
        <v>231</v>
      </c>
      <c r="D50" s="68">
        <v>1</v>
      </c>
      <c r="E50" s="69">
        <v>2.1551724137899999E-4</v>
      </c>
    </row>
    <row r="51" spans="2:5" ht="15" customHeight="1">
      <c r="B51" s="97"/>
      <c r="C51" s="36" t="s">
        <v>29</v>
      </c>
      <c r="D51" s="35">
        <v>229</v>
      </c>
      <c r="E51" s="34">
        <v>4.9353448275862001E-2</v>
      </c>
    </row>
    <row r="52" spans="2:5" ht="15" customHeight="1">
      <c r="B52" s="95" t="s">
        <v>85</v>
      </c>
      <c r="C52" s="67" t="s">
        <v>211</v>
      </c>
      <c r="D52" s="68">
        <v>1</v>
      </c>
      <c r="E52" s="69">
        <v>2.1551724137899999E-4</v>
      </c>
    </row>
    <row r="53" spans="2:5" ht="15" customHeight="1">
      <c r="B53" s="96"/>
      <c r="C53" s="67" t="s">
        <v>214</v>
      </c>
      <c r="D53" s="68">
        <v>3</v>
      </c>
      <c r="E53" s="69">
        <v>6.4655172413799998E-4</v>
      </c>
    </row>
    <row r="54" spans="2:5" ht="15" customHeight="1">
      <c r="B54" s="96"/>
      <c r="C54" s="67" t="s">
        <v>215</v>
      </c>
      <c r="D54" s="68">
        <v>1</v>
      </c>
      <c r="E54" s="69">
        <v>2.1551724137899999E-4</v>
      </c>
    </row>
    <row r="55" spans="2:5" ht="15" customHeight="1">
      <c r="B55" s="96"/>
      <c r="C55" s="67" t="s">
        <v>216</v>
      </c>
      <c r="D55" s="68">
        <v>1</v>
      </c>
      <c r="E55" s="69">
        <v>2.1551724137899999E-4</v>
      </c>
    </row>
    <row r="56" spans="2:5" ht="15" customHeight="1">
      <c r="B56" s="96"/>
      <c r="C56" s="67" t="s">
        <v>218</v>
      </c>
      <c r="D56" s="68">
        <v>1</v>
      </c>
      <c r="E56" s="69">
        <v>2.1551724137899999E-4</v>
      </c>
    </row>
    <row r="57" spans="2:5" ht="15" customHeight="1">
      <c r="B57" s="96"/>
      <c r="C57" s="67" t="s">
        <v>219</v>
      </c>
      <c r="D57" s="68">
        <v>3</v>
      </c>
      <c r="E57" s="69">
        <v>6.4655172413799998E-4</v>
      </c>
    </row>
    <row r="58" spans="2:5" ht="15" customHeight="1">
      <c r="B58" s="96"/>
      <c r="C58" s="67" t="s">
        <v>220</v>
      </c>
      <c r="D58" s="68">
        <v>1</v>
      </c>
      <c r="E58" s="69">
        <v>2.1551724137899999E-4</v>
      </c>
    </row>
    <row r="59" spans="2:5" ht="15" customHeight="1">
      <c r="B59" s="96"/>
      <c r="C59" s="67" t="s">
        <v>221</v>
      </c>
      <c r="D59" s="68">
        <v>1</v>
      </c>
      <c r="E59" s="69">
        <v>2.1551724137899999E-4</v>
      </c>
    </row>
    <row r="60" spans="2:5" ht="15" customHeight="1">
      <c r="B60" s="96"/>
      <c r="C60" s="67" t="s">
        <v>222</v>
      </c>
      <c r="D60" s="68">
        <v>8</v>
      </c>
      <c r="E60" s="69">
        <v>1.724137931034E-3</v>
      </c>
    </row>
    <row r="61" spans="2:5" ht="15" customHeight="1">
      <c r="B61" s="96"/>
      <c r="C61" s="67" t="s">
        <v>227</v>
      </c>
      <c r="D61" s="68">
        <v>2</v>
      </c>
      <c r="E61" s="69">
        <v>4.3103448275899999E-4</v>
      </c>
    </row>
    <row r="62" spans="2:5" ht="15" customHeight="1">
      <c r="B62" s="96"/>
      <c r="C62" s="67" t="s">
        <v>228</v>
      </c>
      <c r="D62" s="68">
        <v>1</v>
      </c>
      <c r="E62" s="69">
        <v>2.1551724137899999E-4</v>
      </c>
    </row>
    <row r="63" spans="2:5" ht="15" customHeight="1">
      <c r="B63" s="97"/>
      <c r="C63" s="36" t="s">
        <v>29</v>
      </c>
      <c r="D63" s="35">
        <v>23</v>
      </c>
      <c r="E63" s="34">
        <v>4.9568965517240004E-3</v>
      </c>
    </row>
    <row r="64" spans="2:5" ht="15" customHeight="1">
      <c r="B64" s="95" t="s">
        <v>71</v>
      </c>
      <c r="C64" s="67" t="s">
        <v>208</v>
      </c>
      <c r="D64" s="68">
        <v>1</v>
      </c>
      <c r="E64" s="69">
        <v>2.1551724137899999E-4</v>
      </c>
    </row>
    <row r="65" spans="2:5" ht="15" customHeight="1">
      <c r="B65" s="96"/>
      <c r="C65" s="67" t="s">
        <v>211</v>
      </c>
      <c r="D65" s="68">
        <v>1</v>
      </c>
      <c r="E65" s="69">
        <v>2.1551724137899999E-4</v>
      </c>
    </row>
    <row r="66" spans="2:5" ht="15" customHeight="1">
      <c r="B66" s="96"/>
      <c r="C66" s="67" t="s">
        <v>214</v>
      </c>
      <c r="D66" s="68">
        <v>1</v>
      </c>
      <c r="E66" s="69">
        <v>2.1551724137899999E-4</v>
      </c>
    </row>
    <row r="67" spans="2:5" ht="15" customHeight="1">
      <c r="B67" s="96"/>
      <c r="C67" s="67" t="s">
        <v>215</v>
      </c>
      <c r="D67" s="68">
        <v>5</v>
      </c>
      <c r="E67" s="69">
        <v>1.0775862068969999E-3</v>
      </c>
    </row>
    <row r="68" spans="2:5" ht="15" customHeight="1">
      <c r="B68" s="96"/>
      <c r="C68" s="67" t="s">
        <v>217</v>
      </c>
      <c r="D68" s="68">
        <v>1</v>
      </c>
      <c r="E68" s="69">
        <v>2.1551724137899999E-4</v>
      </c>
    </row>
    <row r="69" spans="2:5" ht="15" customHeight="1">
      <c r="B69" s="96"/>
      <c r="C69" s="67" t="s">
        <v>218</v>
      </c>
      <c r="D69" s="68">
        <v>1</v>
      </c>
      <c r="E69" s="69">
        <v>2.1551724137899999E-4</v>
      </c>
    </row>
    <row r="70" spans="2:5" ht="15" customHeight="1">
      <c r="B70" s="96"/>
      <c r="C70" s="67" t="s">
        <v>219</v>
      </c>
      <c r="D70" s="68">
        <v>19</v>
      </c>
      <c r="E70" s="69">
        <v>4.0948275862070001E-3</v>
      </c>
    </row>
    <row r="71" spans="2:5" ht="15" customHeight="1">
      <c r="B71" s="96"/>
      <c r="C71" s="67" t="s">
        <v>221</v>
      </c>
      <c r="D71" s="68">
        <v>1</v>
      </c>
      <c r="E71" s="69">
        <v>2.1551724137899999E-4</v>
      </c>
    </row>
    <row r="72" spans="2:5" ht="15" customHeight="1">
      <c r="B72" s="96"/>
      <c r="C72" s="67" t="s">
        <v>222</v>
      </c>
      <c r="D72" s="68">
        <v>18</v>
      </c>
      <c r="E72" s="69">
        <v>3.8793103448279999E-3</v>
      </c>
    </row>
    <row r="73" spans="2:5" ht="15" customHeight="1">
      <c r="B73" s="96"/>
      <c r="C73" s="67" t="s">
        <v>223</v>
      </c>
      <c r="D73" s="68">
        <v>1</v>
      </c>
      <c r="E73" s="69">
        <v>2.1551724137899999E-4</v>
      </c>
    </row>
    <row r="74" spans="2:5" ht="15" customHeight="1">
      <c r="B74" s="96"/>
      <c r="C74" s="67" t="s">
        <v>225</v>
      </c>
      <c r="D74" s="68">
        <v>1</v>
      </c>
      <c r="E74" s="69">
        <v>2.1551724137899999E-4</v>
      </c>
    </row>
    <row r="75" spans="2:5" ht="15" customHeight="1">
      <c r="B75" s="96"/>
      <c r="C75" s="67" t="s">
        <v>227</v>
      </c>
      <c r="D75" s="68">
        <v>2</v>
      </c>
      <c r="E75" s="69">
        <v>4.3103448275899999E-4</v>
      </c>
    </row>
    <row r="76" spans="2:5" ht="15" customHeight="1">
      <c r="B76" s="96"/>
      <c r="C76" s="67" t="s">
        <v>228</v>
      </c>
      <c r="D76" s="68">
        <v>3</v>
      </c>
      <c r="E76" s="69">
        <v>6.4655172413799998E-4</v>
      </c>
    </row>
    <row r="77" spans="2:5" ht="15" customHeight="1">
      <c r="B77" s="97"/>
      <c r="C77" s="36" t="s">
        <v>29</v>
      </c>
      <c r="D77" s="35">
        <v>55</v>
      </c>
      <c r="E77" s="34">
        <v>1.1853448275862001E-2</v>
      </c>
    </row>
    <row r="78" spans="2:5" ht="15" customHeight="1">
      <c r="B78" s="95" t="s">
        <v>77</v>
      </c>
      <c r="C78" s="67" t="s">
        <v>210</v>
      </c>
      <c r="D78" s="68">
        <v>2</v>
      </c>
      <c r="E78" s="69">
        <v>4.3103448275899999E-4</v>
      </c>
    </row>
    <row r="79" spans="2:5" ht="15" customHeight="1">
      <c r="B79" s="96"/>
      <c r="C79" s="67" t="s">
        <v>211</v>
      </c>
      <c r="D79" s="68">
        <v>1</v>
      </c>
      <c r="E79" s="69">
        <v>2.1551724137899999E-4</v>
      </c>
    </row>
    <row r="80" spans="2:5" ht="15" customHeight="1">
      <c r="B80" s="96"/>
      <c r="C80" s="67" t="s">
        <v>214</v>
      </c>
      <c r="D80" s="68">
        <v>3</v>
      </c>
      <c r="E80" s="69">
        <v>6.4655172413799998E-4</v>
      </c>
    </row>
    <row r="81" spans="2:5" ht="15" customHeight="1">
      <c r="B81" s="96"/>
      <c r="C81" s="67" t="s">
        <v>215</v>
      </c>
      <c r="D81" s="68">
        <v>3</v>
      </c>
      <c r="E81" s="69">
        <v>6.4655172413799998E-4</v>
      </c>
    </row>
    <row r="82" spans="2:5" ht="15" customHeight="1">
      <c r="B82" s="96"/>
      <c r="C82" s="67" t="s">
        <v>218</v>
      </c>
      <c r="D82" s="68">
        <v>4</v>
      </c>
      <c r="E82" s="69">
        <v>8.6206896551700002E-4</v>
      </c>
    </row>
    <row r="83" spans="2:5" ht="15" customHeight="1">
      <c r="B83" s="96"/>
      <c r="C83" s="67" t="s">
        <v>219</v>
      </c>
      <c r="D83" s="68">
        <v>6</v>
      </c>
      <c r="E83" s="69">
        <v>1.293103448276E-3</v>
      </c>
    </row>
    <row r="84" spans="2:5" ht="15" customHeight="1">
      <c r="B84" s="96"/>
      <c r="C84" s="67" t="s">
        <v>221</v>
      </c>
      <c r="D84" s="68">
        <v>3</v>
      </c>
      <c r="E84" s="69">
        <v>6.4655172413799998E-4</v>
      </c>
    </row>
    <row r="85" spans="2:5" ht="15" customHeight="1">
      <c r="B85" s="96"/>
      <c r="C85" s="67" t="s">
        <v>222</v>
      </c>
      <c r="D85" s="68">
        <v>13</v>
      </c>
      <c r="E85" s="69">
        <v>2.8017241379310002E-3</v>
      </c>
    </row>
    <row r="86" spans="2:5" ht="15" customHeight="1">
      <c r="B86" s="96"/>
      <c r="C86" s="67" t="s">
        <v>228</v>
      </c>
      <c r="D86" s="68">
        <v>2</v>
      </c>
      <c r="E86" s="69">
        <v>4.3103448275899999E-4</v>
      </c>
    </row>
    <row r="87" spans="2:5" ht="15" customHeight="1">
      <c r="B87" s="97"/>
      <c r="C87" s="36" t="s">
        <v>29</v>
      </c>
      <c r="D87" s="35">
        <v>37</v>
      </c>
      <c r="E87" s="34">
        <v>7.9741379310340008E-3</v>
      </c>
    </row>
    <row r="88" spans="2:5" ht="15" customHeight="1">
      <c r="B88" s="95" t="s">
        <v>55</v>
      </c>
      <c r="C88" s="67" t="s">
        <v>208</v>
      </c>
      <c r="D88" s="68">
        <v>1</v>
      </c>
      <c r="E88" s="69">
        <v>2.1551724137899999E-4</v>
      </c>
    </row>
    <row r="89" spans="2:5" ht="15" customHeight="1">
      <c r="B89" s="96"/>
      <c r="C89" s="67" t="s">
        <v>211</v>
      </c>
      <c r="D89" s="68">
        <v>1</v>
      </c>
      <c r="E89" s="69">
        <v>2.1551724137899999E-4</v>
      </c>
    </row>
    <row r="90" spans="2:5" ht="15" customHeight="1">
      <c r="B90" s="96"/>
      <c r="C90" s="67" t="s">
        <v>212</v>
      </c>
      <c r="D90" s="68">
        <v>1</v>
      </c>
      <c r="E90" s="69">
        <v>2.1551724137899999E-4</v>
      </c>
    </row>
    <row r="91" spans="2:5" ht="15" customHeight="1">
      <c r="B91" s="96"/>
      <c r="C91" s="67" t="s">
        <v>213</v>
      </c>
      <c r="D91" s="68">
        <v>1</v>
      </c>
      <c r="E91" s="69">
        <v>2.1551724137899999E-4</v>
      </c>
    </row>
    <row r="92" spans="2:5" ht="15" customHeight="1">
      <c r="B92" s="96"/>
      <c r="C92" s="67" t="s">
        <v>214</v>
      </c>
      <c r="D92" s="68">
        <v>10</v>
      </c>
      <c r="E92" s="69">
        <v>2.1551724137930002E-3</v>
      </c>
    </row>
    <row r="93" spans="2:5" ht="15" customHeight="1">
      <c r="B93" s="96"/>
      <c r="C93" s="67" t="s">
        <v>215</v>
      </c>
      <c r="D93" s="68">
        <v>28</v>
      </c>
      <c r="E93" s="69">
        <v>6.0344827586210001E-3</v>
      </c>
    </row>
    <row r="94" spans="2:5" ht="15" customHeight="1">
      <c r="B94" s="96"/>
      <c r="C94" s="67" t="s">
        <v>216</v>
      </c>
      <c r="D94" s="68">
        <v>1</v>
      </c>
      <c r="E94" s="69">
        <v>2.1551724137899999E-4</v>
      </c>
    </row>
    <row r="95" spans="2:5" ht="15" customHeight="1">
      <c r="B95" s="96"/>
      <c r="C95" s="67" t="s">
        <v>217</v>
      </c>
      <c r="D95" s="68">
        <v>1</v>
      </c>
      <c r="E95" s="69">
        <v>2.1551724137899999E-4</v>
      </c>
    </row>
    <row r="96" spans="2:5" ht="15" customHeight="1">
      <c r="B96" s="96"/>
      <c r="C96" s="67" t="s">
        <v>218</v>
      </c>
      <c r="D96" s="68">
        <v>7</v>
      </c>
      <c r="E96" s="69">
        <v>1.508620689655E-3</v>
      </c>
    </row>
    <row r="97" spans="2:5" ht="15" customHeight="1">
      <c r="B97" s="96"/>
      <c r="C97" s="67" t="s">
        <v>219</v>
      </c>
      <c r="D97" s="68">
        <v>68</v>
      </c>
      <c r="E97" s="69">
        <v>1.4655172413792999E-2</v>
      </c>
    </row>
    <row r="98" spans="2:5" ht="15" customHeight="1">
      <c r="B98" s="96"/>
      <c r="C98" s="67" t="s">
        <v>221</v>
      </c>
      <c r="D98" s="68">
        <v>15</v>
      </c>
      <c r="E98" s="69">
        <v>3.2327586206899999E-3</v>
      </c>
    </row>
    <row r="99" spans="2:5" ht="15" customHeight="1">
      <c r="B99" s="96"/>
      <c r="C99" s="67" t="s">
        <v>222</v>
      </c>
      <c r="D99" s="68">
        <v>67</v>
      </c>
      <c r="E99" s="69">
        <v>1.4439655172414001E-2</v>
      </c>
    </row>
    <row r="100" spans="2:5" ht="15" customHeight="1">
      <c r="B100" s="96"/>
      <c r="C100" s="67" t="s">
        <v>227</v>
      </c>
      <c r="D100" s="68">
        <v>3</v>
      </c>
      <c r="E100" s="69">
        <v>6.4655172413799998E-4</v>
      </c>
    </row>
    <row r="101" spans="2:5" ht="15" customHeight="1">
      <c r="B101" s="96"/>
      <c r="C101" s="67" t="s">
        <v>228</v>
      </c>
      <c r="D101" s="68">
        <v>9</v>
      </c>
      <c r="E101" s="69">
        <v>1.9396551724139999E-3</v>
      </c>
    </row>
    <row r="102" spans="2:5" ht="15" customHeight="1">
      <c r="B102" s="97"/>
      <c r="C102" s="36" t="s">
        <v>29</v>
      </c>
      <c r="D102" s="35">
        <v>213</v>
      </c>
      <c r="E102" s="34">
        <v>4.5905172413793001E-2</v>
      </c>
    </row>
    <row r="103" spans="2:5" ht="15" customHeight="1">
      <c r="B103" s="95" t="s">
        <v>50</v>
      </c>
      <c r="C103" s="67" t="s">
        <v>208</v>
      </c>
      <c r="D103" s="68">
        <v>2</v>
      </c>
      <c r="E103" s="69">
        <v>4.3103448275899999E-4</v>
      </c>
    </row>
    <row r="104" spans="2:5" ht="15" customHeight="1">
      <c r="B104" s="96"/>
      <c r="C104" s="67" t="s">
        <v>209</v>
      </c>
      <c r="D104" s="68">
        <v>1</v>
      </c>
      <c r="E104" s="69">
        <v>2.1551724137899999E-4</v>
      </c>
    </row>
    <row r="105" spans="2:5" ht="15" customHeight="1">
      <c r="B105" s="96"/>
      <c r="C105" s="67" t="s">
        <v>210</v>
      </c>
      <c r="D105" s="68">
        <v>1</v>
      </c>
      <c r="E105" s="69">
        <v>2.1551724137899999E-4</v>
      </c>
    </row>
    <row r="106" spans="2:5" ht="15" customHeight="1">
      <c r="B106" s="96"/>
      <c r="C106" s="67" t="s">
        <v>211</v>
      </c>
      <c r="D106" s="68">
        <v>1</v>
      </c>
      <c r="E106" s="69">
        <v>2.1551724137899999E-4</v>
      </c>
    </row>
    <row r="107" spans="2:5" ht="15" customHeight="1">
      <c r="B107" s="96"/>
      <c r="C107" s="67" t="s">
        <v>212</v>
      </c>
      <c r="D107" s="68">
        <v>2</v>
      </c>
      <c r="E107" s="69">
        <v>4.3103448275899999E-4</v>
      </c>
    </row>
    <row r="108" spans="2:5" ht="15" customHeight="1">
      <c r="B108" s="96"/>
      <c r="C108" s="67" t="s">
        <v>213</v>
      </c>
      <c r="D108" s="68">
        <v>2</v>
      </c>
      <c r="E108" s="69">
        <v>4.3103448275899999E-4</v>
      </c>
    </row>
    <row r="109" spans="2:5" ht="15" customHeight="1">
      <c r="B109" s="96"/>
      <c r="C109" s="67" t="s">
        <v>214</v>
      </c>
      <c r="D109" s="68">
        <v>16</v>
      </c>
      <c r="E109" s="69">
        <v>3.4482758620690002E-3</v>
      </c>
    </row>
    <row r="110" spans="2:5" ht="15" customHeight="1">
      <c r="B110" s="96"/>
      <c r="C110" s="67" t="s">
        <v>215</v>
      </c>
      <c r="D110" s="68">
        <v>26</v>
      </c>
      <c r="E110" s="69">
        <v>5.6034482758620004E-3</v>
      </c>
    </row>
    <row r="111" spans="2:5" ht="15" customHeight="1">
      <c r="B111" s="96"/>
      <c r="C111" s="67" t="s">
        <v>216</v>
      </c>
      <c r="D111" s="68">
        <v>2</v>
      </c>
      <c r="E111" s="69">
        <v>4.3103448275899999E-4</v>
      </c>
    </row>
    <row r="112" spans="2:5" ht="15" customHeight="1">
      <c r="B112" s="96"/>
      <c r="C112" s="67" t="s">
        <v>217</v>
      </c>
      <c r="D112" s="68">
        <v>6</v>
      </c>
      <c r="E112" s="69">
        <v>1.293103448276E-3</v>
      </c>
    </row>
    <row r="113" spans="2:5" ht="15" customHeight="1">
      <c r="B113" s="96"/>
      <c r="C113" s="67" t="s">
        <v>218</v>
      </c>
      <c r="D113" s="68">
        <v>29</v>
      </c>
      <c r="E113" s="69">
        <v>6.2500000000000003E-3</v>
      </c>
    </row>
    <row r="114" spans="2:5" ht="15" customHeight="1">
      <c r="B114" s="96"/>
      <c r="C114" s="67" t="s">
        <v>219</v>
      </c>
      <c r="D114" s="68">
        <v>111</v>
      </c>
      <c r="E114" s="69">
        <v>2.3922413793103E-2</v>
      </c>
    </row>
    <row r="115" spans="2:5" ht="15" customHeight="1">
      <c r="B115" s="96"/>
      <c r="C115" s="67" t="s">
        <v>220</v>
      </c>
      <c r="D115" s="68">
        <v>4</v>
      </c>
      <c r="E115" s="69">
        <v>8.6206896551700002E-4</v>
      </c>
    </row>
    <row r="116" spans="2:5" ht="15" customHeight="1">
      <c r="B116" s="96"/>
      <c r="C116" s="67" t="s">
        <v>221</v>
      </c>
      <c r="D116" s="68">
        <v>14</v>
      </c>
      <c r="E116" s="69">
        <v>3.01724137931E-3</v>
      </c>
    </row>
    <row r="117" spans="2:5" ht="15" customHeight="1">
      <c r="B117" s="96"/>
      <c r="C117" s="67" t="s">
        <v>222</v>
      </c>
      <c r="D117" s="68">
        <v>137</v>
      </c>
      <c r="E117" s="69">
        <v>2.9525862068966E-2</v>
      </c>
    </row>
    <row r="118" spans="2:5" ht="15" customHeight="1">
      <c r="B118" s="96"/>
      <c r="C118" s="67" t="s">
        <v>223</v>
      </c>
      <c r="D118" s="68">
        <v>1</v>
      </c>
      <c r="E118" s="69">
        <v>2.1551724137899999E-4</v>
      </c>
    </row>
    <row r="119" spans="2:5" ht="15" customHeight="1">
      <c r="B119" s="96"/>
      <c r="C119" s="67" t="s">
        <v>224</v>
      </c>
      <c r="D119" s="68">
        <v>2</v>
      </c>
      <c r="E119" s="69">
        <v>4.3103448275899999E-4</v>
      </c>
    </row>
    <row r="120" spans="2:5" ht="15" customHeight="1">
      <c r="B120" s="96"/>
      <c r="C120" s="67" t="s">
        <v>225</v>
      </c>
      <c r="D120" s="68">
        <v>1</v>
      </c>
      <c r="E120" s="69">
        <v>2.1551724137899999E-4</v>
      </c>
    </row>
    <row r="121" spans="2:5" ht="15" customHeight="1">
      <c r="B121" s="96"/>
      <c r="C121" s="67" t="s">
        <v>227</v>
      </c>
      <c r="D121" s="68">
        <v>5</v>
      </c>
      <c r="E121" s="69">
        <v>1.0775862068969999E-3</v>
      </c>
    </row>
    <row r="122" spans="2:5" ht="15" customHeight="1">
      <c r="B122" s="96"/>
      <c r="C122" s="67" t="s">
        <v>228</v>
      </c>
      <c r="D122" s="68">
        <v>21</v>
      </c>
      <c r="E122" s="69">
        <v>4.5258620689659999E-3</v>
      </c>
    </row>
    <row r="123" spans="2:5" ht="15" customHeight="1">
      <c r="B123" s="96"/>
      <c r="C123" s="67" t="s">
        <v>229</v>
      </c>
      <c r="D123" s="68">
        <v>1</v>
      </c>
      <c r="E123" s="69">
        <v>2.1551724137899999E-4</v>
      </c>
    </row>
    <row r="124" spans="2:5" ht="15" customHeight="1">
      <c r="B124" s="97"/>
      <c r="C124" s="36" t="s">
        <v>29</v>
      </c>
      <c r="D124" s="35">
        <v>385</v>
      </c>
      <c r="E124" s="34">
        <v>8.2974137931034003E-2</v>
      </c>
    </row>
    <row r="125" spans="2:5" ht="15" customHeight="1">
      <c r="B125" s="95" t="s">
        <v>94</v>
      </c>
      <c r="C125" s="67" t="s">
        <v>219</v>
      </c>
      <c r="D125" s="68">
        <v>2</v>
      </c>
      <c r="E125" s="69">
        <v>4.3103448275899999E-4</v>
      </c>
    </row>
    <row r="126" spans="2:5" ht="15" customHeight="1">
      <c r="B126" s="97"/>
      <c r="C126" s="36" t="s">
        <v>29</v>
      </c>
      <c r="D126" s="35">
        <v>2</v>
      </c>
      <c r="E126" s="34">
        <v>4.3103448275899999E-4</v>
      </c>
    </row>
    <row r="127" spans="2:5" ht="15" customHeight="1">
      <c r="B127" s="95" t="s">
        <v>62</v>
      </c>
      <c r="C127" s="67" t="s">
        <v>208</v>
      </c>
      <c r="D127" s="68">
        <v>1</v>
      </c>
      <c r="E127" s="69">
        <v>2.1551724137899999E-4</v>
      </c>
    </row>
    <row r="128" spans="2:5" ht="15" customHeight="1">
      <c r="B128" s="96"/>
      <c r="C128" s="67" t="s">
        <v>212</v>
      </c>
      <c r="D128" s="68">
        <v>2</v>
      </c>
      <c r="E128" s="69">
        <v>4.3103448275899999E-4</v>
      </c>
    </row>
    <row r="129" spans="2:5" ht="15" customHeight="1">
      <c r="B129" s="96"/>
      <c r="C129" s="67" t="s">
        <v>214</v>
      </c>
      <c r="D129" s="68">
        <v>3</v>
      </c>
      <c r="E129" s="69">
        <v>6.4655172413799998E-4</v>
      </c>
    </row>
    <row r="130" spans="2:5" ht="15" customHeight="1">
      <c r="B130" s="96"/>
      <c r="C130" s="67" t="s">
        <v>215</v>
      </c>
      <c r="D130" s="68">
        <v>7</v>
      </c>
      <c r="E130" s="69">
        <v>1.508620689655E-3</v>
      </c>
    </row>
    <row r="131" spans="2:5" ht="15" customHeight="1">
      <c r="B131" s="96"/>
      <c r="C131" s="67" t="s">
        <v>216</v>
      </c>
      <c r="D131" s="68">
        <v>1</v>
      </c>
      <c r="E131" s="69">
        <v>2.1551724137899999E-4</v>
      </c>
    </row>
    <row r="132" spans="2:5" ht="15" customHeight="1">
      <c r="B132" s="96"/>
      <c r="C132" s="67" t="s">
        <v>217</v>
      </c>
      <c r="D132" s="68">
        <v>1</v>
      </c>
      <c r="E132" s="69">
        <v>2.1551724137899999E-4</v>
      </c>
    </row>
    <row r="133" spans="2:5" ht="15" customHeight="1">
      <c r="B133" s="96"/>
      <c r="C133" s="67" t="s">
        <v>218</v>
      </c>
      <c r="D133" s="68">
        <v>10</v>
      </c>
      <c r="E133" s="69">
        <v>2.1551724137930002E-3</v>
      </c>
    </row>
    <row r="134" spans="2:5" ht="15" customHeight="1">
      <c r="B134" s="96"/>
      <c r="C134" s="67" t="s">
        <v>219</v>
      </c>
      <c r="D134" s="68">
        <v>36</v>
      </c>
      <c r="E134" s="69">
        <v>7.7586206896549997E-3</v>
      </c>
    </row>
    <row r="135" spans="2:5" ht="15" customHeight="1">
      <c r="B135" s="96"/>
      <c r="C135" s="67" t="s">
        <v>220</v>
      </c>
      <c r="D135" s="68">
        <v>1</v>
      </c>
      <c r="E135" s="69">
        <v>2.1551724137899999E-4</v>
      </c>
    </row>
    <row r="136" spans="2:5" ht="15" customHeight="1">
      <c r="B136" s="96"/>
      <c r="C136" s="67" t="s">
        <v>221</v>
      </c>
      <c r="D136" s="68">
        <v>7</v>
      </c>
      <c r="E136" s="69">
        <v>1.508620689655E-3</v>
      </c>
    </row>
    <row r="137" spans="2:5" ht="15" customHeight="1">
      <c r="B137" s="96"/>
      <c r="C137" s="67" t="s">
        <v>222</v>
      </c>
      <c r="D137" s="68">
        <v>30</v>
      </c>
      <c r="E137" s="69">
        <v>6.4655172413789997E-3</v>
      </c>
    </row>
    <row r="138" spans="2:5" ht="15" customHeight="1">
      <c r="B138" s="96"/>
      <c r="C138" s="67" t="s">
        <v>228</v>
      </c>
      <c r="D138" s="68">
        <v>5</v>
      </c>
      <c r="E138" s="69">
        <v>1.0775862068969999E-3</v>
      </c>
    </row>
    <row r="139" spans="2:5" ht="15" customHeight="1">
      <c r="B139" s="97"/>
      <c r="C139" s="36" t="s">
        <v>29</v>
      </c>
      <c r="D139" s="35">
        <v>104</v>
      </c>
      <c r="E139" s="34">
        <v>2.2413793103448001E-2</v>
      </c>
    </row>
    <row r="140" spans="2:5" ht="15" customHeight="1">
      <c r="B140" s="95" t="s">
        <v>70</v>
      </c>
      <c r="C140" s="67" t="s">
        <v>210</v>
      </c>
      <c r="D140" s="68">
        <v>1</v>
      </c>
      <c r="E140" s="69">
        <v>2.1551724137899999E-4</v>
      </c>
    </row>
    <row r="141" spans="2:5" ht="15" customHeight="1">
      <c r="B141" s="96"/>
      <c r="C141" s="67" t="s">
        <v>212</v>
      </c>
      <c r="D141" s="68">
        <v>1</v>
      </c>
      <c r="E141" s="69">
        <v>2.1551724137899999E-4</v>
      </c>
    </row>
    <row r="142" spans="2:5" ht="15" customHeight="1">
      <c r="B142" s="96"/>
      <c r="C142" s="67" t="s">
        <v>214</v>
      </c>
      <c r="D142" s="68">
        <v>1</v>
      </c>
      <c r="E142" s="69">
        <v>2.1551724137899999E-4</v>
      </c>
    </row>
    <row r="143" spans="2:5" ht="15" customHeight="1">
      <c r="B143" s="96"/>
      <c r="C143" s="67" t="s">
        <v>215</v>
      </c>
      <c r="D143" s="68">
        <v>6</v>
      </c>
      <c r="E143" s="69">
        <v>1.293103448276E-3</v>
      </c>
    </row>
    <row r="144" spans="2:5" ht="15" customHeight="1">
      <c r="B144" s="96"/>
      <c r="C144" s="67" t="s">
        <v>217</v>
      </c>
      <c r="D144" s="68">
        <v>2</v>
      </c>
      <c r="E144" s="69">
        <v>4.3103448275899999E-4</v>
      </c>
    </row>
    <row r="145" spans="2:5" ht="15" customHeight="1">
      <c r="B145" s="96"/>
      <c r="C145" s="67" t="s">
        <v>218</v>
      </c>
      <c r="D145" s="68">
        <v>2</v>
      </c>
      <c r="E145" s="69">
        <v>4.3103448275899999E-4</v>
      </c>
    </row>
    <row r="146" spans="2:5" ht="15" customHeight="1">
      <c r="B146" s="96"/>
      <c r="C146" s="67" t="s">
        <v>219</v>
      </c>
      <c r="D146" s="68">
        <v>22</v>
      </c>
      <c r="E146" s="69">
        <v>4.7413793103450001E-3</v>
      </c>
    </row>
    <row r="147" spans="2:5" ht="15" customHeight="1">
      <c r="B147" s="96"/>
      <c r="C147" s="67" t="s">
        <v>221</v>
      </c>
      <c r="D147" s="68">
        <v>4</v>
      </c>
      <c r="E147" s="69">
        <v>8.6206896551700002E-4</v>
      </c>
    </row>
    <row r="148" spans="2:5" ht="15" customHeight="1">
      <c r="B148" s="96"/>
      <c r="C148" s="67" t="s">
        <v>222</v>
      </c>
      <c r="D148" s="68">
        <v>21</v>
      </c>
      <c r="E148" s="69">
        <v>4.5258620689659999E-3</v>
      </c>
    </row>
    <row r="149" spans="2:5" ht="15" customHeight="1">
      <c r="B149" s="96"/>
      <c r="C149" s="67" t="s">
        <v>228</v>
      </c>
      <c r="D149" s="68">
        <v>2</v>
      </c>
      <c r="E149" s="69">
        <v>4.3103448275899999E-4</v>
      </c>
    </row>
    <row r="150" spans="2:5" ht="15" customHeight="1">
      <c r="B150" s="97"/>
      <c r="C150" s="36" t="s">
        <v>29</v>
      </c>
      <c r="D150" s="35">
        <v>62</v>
      </c>
      <c r="E150" s="34">
        <v>1.3362068965516999E-2</v>
      </c>
    </row>
    <row r="151" spans="2:5" ht="15" customHeight="1">
      <c r="B151" s="95" t="s">
        <v>92</v>
      </c>
      <c r="C151" s="67" t="s">
        <v>218</v>
      </c>
      <c r="D151" s="68">
        <v>1</v>
      </c>
      <c r="E151" s="69">
        <v>2.1551724137899999E-4</v>
      </c>
    </row>
    <row r="152" spans="2:5" ht="15" customHeight="1">
      <c r="B152" s="96"/>
      <c r="C152" s="67" t="s">
        <v>219</v>
      </c>
      <c r="D152" s="68">
        <v>2</v>
      </c>
      <c r="E152" s="69">
        <v>4.3103448275899999E-4</v>
      </c>
    </row>
    <row r="153" spans="2:5" ht="15" customHeight="1">
      <c r="B153" s="96"/>
      <c r="C153" s="67" t="s">
        <v>222</v>
      </c>
      <c r="D153" s="68">
        <v>4</v>
      </c>
      <c r="E153" s="69">
        <v>8.6206896551700002E-4</v>
      </c>
    </row>
    <row r="154" spans="2:5" ht="15" customHeight="1">
      <c r="B154" s="96"/>
      <c r="C154" s="67" t="s">
        <v>228</v>
      </c>
      <c r="D154" s="68">
        <v>1</v>
      </c>
      <c r="E154" s="69">
        <v>2.1551724137899999E-4</v>
      </c>
    </row>
    <row r="155" spans="2:5" ht="15" customHeight="1">
      <c r="B155" s="97"/>
      <c r="C155" s="36" t="s">
        <v>29</v>
      </c>
      <c r="D155" s="35">
        <v>8</v>
      </c>
      <c r="E155" s="34">
        <v>1.724137931034E-3</v>
      </c>
    </row>
    <row r="156" spans="2:5" ht="15" customHeight="1">
      <c r="B156" s="95" t="s">
        <v>66</v>
      </c>
      <c r="C156" s="67" t="s">
        <v>208</v>
      </c>
      <c r="D156" s="68">
        <v>1</v>
      </c>
      <c r="E156" s="69">
        <v>2.1551724137899999E-4</v>
      </c>
    </row>
    <row r="157" spans="2:5" ht="15" customHeight="1">
      <c r="B157" s="96"/>
      <c r="C157" s="67" t="s">
        <v>209</v>
      </c>
      <c r="D157" s="68">
        <v>1</v>
      </c>
      <c r="E157" s="69">
        <v>2.1551724137899999E-4</v>
      </c>
    </row>
    <row r="158" spans="2:5" ht="15" customHeight="1">
      <c r="B158" s="96"/>
      <c r="C158" s="67" t="s">
        <v>214</v>
      </c>
      <c r="D158" s="68">
        <v>4</v>
      </c>
      <c r="E158" s="69">
        <v>8.6206896551700002E-4</v>
      </c>
    </row>
    <row r="159" spans="2:5" ht="15" customHeight="1">
      <c r="B159" s="96"/>
      <c r="C159" s="67" t="s">
        <v>215</v>
      </c>
      <c r="D159" s="68">
        <v>11</v>
      </c>
      <c r="E159" s="69">
        <v>2.370689655172E-3</v>
      </c>
    </row>
    <row r="160" spans="2:5" ht="15" customHeight="1">
      <c r="B160" s="96"/>
      <c r="C160" s="67" t="s">
        <v>216</v>
      </c>
      <c r="D160" s="68">
        <v>2</v>
      </c>
      <c r="E160" s="69">
        <v>4.3103448275899999E-4</v>
      </c>
    </row>
    <row r="161" spans="2:5" ht="15" customHeight="1">
      <c r="B161" s="96"/>
      <c r="C161" s="67" t="s">
        <v>217</v>
      </c>
      <c r="D161" s="68">
        <v>1</v>
      </c>
      <c r="E161" s="69">
        <v>2.1551724137899999E-4</v>
      </c>
    </row>
    <row r="162" spans="2:5" ht="15" customHeight="1">
      <c r="B162" s="96"/>
      <c r="C162" s="67" t="s">
        <v>218</v>
      </c>
      <c r="D162" s="68">
        <v>2</v>
      </c>
      <c r="E162" s="69">
        <v>4.3103448275899999E-4</v>
      </c>
    </row>
    <row r="163" spans="2:5" ht="15" customHeight="1">
      <c r="B163" s="96"/>
      <c r="C163" s="67" t="s">
        <v>219</v>
      </c>
      <c r="D163" s="68">
        <v>24</v>
      </c>
      <c r="E163" s="69">
        <v>5.1724137931029998E-3</v>
      </c>
    </row>
    <row r="164" spans="2:5" ht="15" customHeight="1">
      <c r="B164" s="96"/>
      <c r="C164" s="67" t="s">
        <v>220</v>
      </c>
      <c r="D164" s="68">
        <v>3</v>
      </c>
      <c r="E164" s="69">
        <v>6.4655172413799998E-4</v>
      </c>
    </row>
    <row r="165" spans="2:5" ht="15" customHeight="1">
      <c r="B165" s="96"/>
      <c r="C165" s="67" t="s">
        <v>221</v>
      </c>
      <c r="D165" s="68">
        <v>6</v>
      </c>
      <c r="E165" s="69">
        <v>1.293103448276E-3</v>
      </c>
    </row>
    <row r="166" spans="2:5" ht="15" customHeight="1">
      <c r="B166" s="96"/>
      <c r="C166" s="67" t="s">
        <v>222</v>
      </c>
      <c r="D166" s="68">
        <v>13</v>
      </c>
      <c r="E166" s="69">
        <v>2.8017241379310002E-3</v>
      </c>
    </row>
    <row r="167" spans="2:5" ht="15" customHeight="1">
      <c r="B167" s="96"/>
      <c r="C167" s="67" t="s">
        <v>223</v>
      </c>
      <c r="D167" s="68">
        <v>1</v>
      </c>
      <c r="E167" s="69">
        <v>2.1551724137899999E-4</v>
      </c>
    </row>
    <row r="168" spans="2:5" ht="15" customHeight="1">
      <c r="B168" s="96"/>
      <c r="C168" s="67" t="s">
        <v>226</v>
      </c>
      <c r="D168" s="68">
        <v>1</v>
      </c>
      <c r="E168" s="69">
        <v>2.1551724137899999E-4</v>
      </c>
    </row>
    <row r="169" spans="2:5" ht="15" customHeight="1">
      <c r="B169" s="96"/>
      <c r="C169" s="67" t="s">
        <v>227</v>
      </c>
      <c r="D169" s="68">
        <v>1</v>
      </c>
      <c r="E169" s="69">
        <v>2.1551724137899999E-4</v>
      </c>
    </row>
    <row r="170" spans="2:5" ht="15" customHeight="1">
      <c r="B170" s="96"/>
      <c r="C170" s="67" t="s">
        <v>228</v>
      </c>
      <c r="D170" s="68">
        <v>3</v>
      </c>
      <c r="E170" s="69">
        <v>6.4655172413799998E-4</v>
      </c>
    </row>
    <row r="171" spans="2:5" ht="15" customHeight="1">
      <c r="B171" s="97"/>
      <c r="C171" s="36" t="s">
        <v>29</v>
      </c>
      <c r="D171" s="35">
        <v>74</v>
      </c>
      <c r="E171" s="34">
        <v>1.5948275862069001E-2</v>
      </c>
    </row>
    <row r="172" spans="2:5" ht="15" customHeight="1">
      <c r="B172" s="95" t="s">
        <v>78</v>
      </c>
      <c r="C172" s="67" t="s">
        <v>209</v>
      </c>
      <c r="D172" s="68">
        <v>1</v>
      </c>
      <c r="E172" s="69">
        <v>2.1551724137899999E-4</v>
      </c>
    </row>
    <row r="173" spans="2:5" ht="15" customHeight="1">
      <c r="B173" s="96"/>
      <c r="C173" s="67" t="s">
        <v>210</v>
      </c>
      <c r="D173" s="68">
        <v>1</v>
      </c>
      <c r="E173" s="69">
        <v>2.1551724137899999E-4</v>
      </c>
    </row>
    <row r="174" spans="2:5" ht="15" customHeight="1">
      <c r="B174" s="96"/>
      <c r="C174" s="67" t="s">
        <v>211</v>
      </c>
      <c r="D174" s="68">
        <v>1</v>
      </c>
      <c r="E174" s="69">
        <v>2.1551724137899999E-4</v>
      </c>
    </row>
    <row r="175" spans="2:5" ht="15" customHeight="1">
      <c r="B175" s="96"/>
      <c r="C175" s="67" t="s">
        <v>213</v>
      </c>
      <c r="D175" s="68">
        <v>1</v>
      </c>
      <c r="E175" s="69">
        <v>2.1551724137899999E-4</v>
      </c>
    </row>
    <row r="176" spans="2:5" ht="15" customHeight="1">
      <c r="B176" s="96"/>
      <c r="C176" s="67" t="s">
        <v>214</v>
      </c>
      <c r="D176" s="68">
        <v>2</v>
      </c>
      <c r="E176" s="69">
        <v>4.3103448275899999E-4</v>
      </c>
    </row>
    <row r="177" spans="2:5" ht="15" customHeight="1">
      <c r="B177" s="96"/>
      <c r="C177" s="67" t="s">
        <v>215</v>
      </c>
      <c r="D177" s="68">
        <v>4</v>
      </c>
      <c r="E177" s="69">
        <v>8.6206896551700002E-4</v>
      </c>
    </row>
    <row r="178" spans="2:5" ht="15" customHeight="1">
      <c r="B178" s="96"/>
      <c r="C178" s="67" t="s">
        <v>216</v>
      </c>
      <c r="D178" s="68">
        <v>1</v>
      </c>
      <c r="E178" s="69">
        <v>2.1551724137899999E-4</v>
      </c>
    </row>
    <row r="179" spans="2:5" ht="15" customHeight="1">
      <c r="B179" s="96"/>
      <c r="C179" s="67" t="s">
        <v>217</v>
      </c>
      <c r="D179" s="68">
        <v>1</v>
      </c>
      <c r="E179" s="69">
        <v>2.1551724137899999E-4</v>
      </c>
    </row>
    <row r="180" spans="2:5" ht="15" customHeight="1">
      <c r="B180" s="96"/>
      <c r="C180" s="67" t="s">
        <v>218</v>
      </c>
      <c r="D180" s="68">
        <v>5</v>
      </c>
      <c r="E180" s="69">
        <v>1.0775862068969999E-3</v>
      </c>
    </row>
    <row r="181" spans="2:5" ht="15" customHeight="1">
      <c r="B181" s="96"/>
      <c r="C181" s="67" t="s">
        <v>219</v>
      </c>
      <c r="D181" s="68">
        <v>8</v>
      </c>
      <c r="E181" s="69">
        <v>1.724137931034E-3</v>
      </c>
    </row>
    <row r="182" spans="2:5" ht="15" customHeight="1">
      <c r="B182" s="96"/>
      <c r="C182" s="67" t="s">
        <v>221</v>
      </c>
      <c r="D182" s="68">
        <v>2</v>
      </c>
      <c r="E182" s="69">
        <v>4.3103448275899999E-4</v>
      </c>
    </row>
    <row r="183" spans="2:5" ht="15" customHeight="1">
      <c r="B183" s="96"/>
      <c r="C183" s="67" t="s">
        <v>222</v>
      </c>
      <c r="D183" s="68">
        <v>4</v>
      </c>
      <c r="E183" s="69">
        <v>8.6206896551700002E-4</v>
      </c>
    </row>
    <row r="184" spans="2:5" ht="15" customHeight="1">
      <c r="B184" s="96"/>
      <c r="C184" s="67" t="s">
        <v>228</v>
      </c>
      <c r="D184" s="68">
        <v>1</v>
      </c>
      <c r="E184" s="69">
        <v>2.1551724137899999E-4</v>
      </c>
    </row>
    <row r="185" spans="2:5" ht="15" customHeight="1">
      <c r="B185" s="97"/>
      <c r="C185" s="36" t="s">
        <v>29</v>
      </c>
      <c r="D185" s="35">
        <v>32</v>
      </c>
      <c r="E185" s="34">
        <v>6.8965517241380003E-3</v>
      </c>
    </row>
    <row r="186" spans="2:5" ht="15" customHeight="1">
      <c r="B186" s="95" t="s">
        <v>53</v>
      </c>
      <c r="C186" s="67" t="s">
        <v>208</v>
      </c>
      <c r="D186" s="68">
        <v>1</v>
      </c>
      <c r="E186" s="69">
        <v>2.1551724137899999E-4</v>
      </c>
    </row>
    <row r="187" spans="2:5" ht="15" customHeight="1">
      <c r="B187" s="96"/>
      <c r="C187" s="67" t="s">
        <v>209</v>
      </c>
      <c r="D187" s="68">
        <v>2</v>
      </c>
      <c r="E187" s="69">
        <v>4.3103448275899999E-4</v>
      </c>
    </row>
    <row r="188" spans="2:5" ht="15" customHeight="1">
      <c r="B188" s="96"/>
      <c r="C188" s="67" t="s">
        <v>210</v>
      </c>
      <c r="D188" s="68">
        <v>2</v>
      </c>
      <c r="E188" s="69">
        <v>4.3103448275899999E-4</v>
      </c>
    </row>
    <row r="189" spans="2:5" ht="15" customHeight="1">
      <c r="B189" s="96"/>
      <c r="C189" s="67" t="s">
        <v>211</v>
      </c>
      <c r="D189" s="68">
        <v>5</v>
      </c>
      <c r="E189" s="69">
        <v>1.0775862068969999E-3</v>
      </c>
    </row>
    <row r="190" spans="2:5" ht="15" customHeight="1">
      <c r="B190" s="96"/>
      <c r="C190" s="67" t="s">
        <v>212</v>
      </c>
      <c r="D190" s="68">
        <v>4</v>
      </c>
      <c r="E190" s="69">
        <v>8.6206896551700002E-4</v>
      </c>
    </row>
    <row r="191" spans="2:5" ht="15" customHeight="1">
      <c r="B191" s="96"/>
      <c r="C191" s="67" t="s">
        <v>213</v>
      </c>
      <c r="D191" s="68">
        <v>6</v>
      </c>
      <c r="E191" s="69">
        <v>1.293103448276E-3</v>
      </c>
    </row>
    <row r="192" spans="2:5" ht="15" customHeight="1">
      <c r="B192" s="96"/>
      <c r="C192" s="67" t="s">
        <v>214</v>
      </c>
      <c r="D192" s="68">
        <v>14</v>
      </c>
      <c r="E192" s="69">
        <v>3.01724137931E-3</v>
      </c>
    </row>
    <row r="193" spans="2:5" ht="15" customHeight="1">
      <c r="B193" s="96"/>
      <c r="C193" s="67" t="s">
        <v>215</v>
      </c>
      <c r="D193" s="68">
        <v>15</v>
      </c>
      <c r="E193" s="69">
        <v>3.2327586206899999E-3</v>
      </c>
    </row>
    <row r="194" spans="2:5" ht="15" customHeight="1">
      <c r="B194" s="96"/>
      <c r="C194" s="67" t="s">
        <v>216</v>
      </c>
      <c r="D194" s="68">
        <v>3</v>
      </c>
      <c r="E194" s="69">
        <v>6.4655172413799998E-4</v>
      </c>
    </row>
    <row r="195" spans="2:5" ht="15" customHeight="1">
      <c r="B195" s="96"/>
      <c r="C195" s="67" t="s">
        <v>217</v>
      </c>
      <c r="D195" s="68">
        <v>5</v>
      </c>
      <c r="E195" s="69">
        <v>1.0775862068969999E-3</v>
      </c>
    </row>
    <row r="196" spans="2:5" ht="15" customHeight="1">
      <c r="B196" s="96"/>
      <c r="C196" s="67" t="s">
        <v>218</v>
      </c>
      <c r="D196" s="68">
        <v>15</v>
      </c>
      <c r="E196" s="69">
        <v>3.2327586206899999E-3</v>
      </c>
    </row>
    <row r="197" spans="2:5" ht="15" customHeight="1">
      <c r="B197" s="96"/>
      <c r="C197" s="67" t="s">
        <v>219</v>
      </c>
      <c r="D197" s="68">
        <v>73</v>
      </c>
      <c r="E197" s="69">
        <v>1.5732758620689999E-2</v>
      </c>
    </row>
    <row r="198" spans="2:5" ht="15" customHeight="1">
      <c r="B198" s="96"/>
      <c r="C198" s="67" t="s">
        <v>220</v>
      </c>
      <c r="D198" s="68">
        <v>2</v>
      </c>
      <c r="E198" s="69">
        <v>4.3103448275899999E-4</v>
      </c>
    </row>
    <row r="199" spans="2:5" ht="15" customHeight="1">
      <c r="B199" s="96"/>
      <c r="C199" s="67" t="s">
        <v>221</v>
      </c>
      <c r="D199" s="68">
        <v>16</v>
      </c>
      <c r="E199" s="69">
        <v>3.4482758620690002E-3</v>
      </c>
    </row>
    <row r="200" spans="2:5" ht="15" customHeight="1">
      <c r="B200" s="96"/>
      <c r="C200" s="67" t="s">
        <v>222</v>
      </c>
      <c r="D200" s="68">
        <v>64</v>
      </c>
      <c r="E200" s="69">
        <v>1.3793103448276001E-2</v>
      </c>
    </row>
    <row r="201" spans="2:5" ht="15" customHeight="1">
      <c r="B201" s="96"/>
      <c r="C201" s="67" t="s">
        <v>223</v>
      </c>
      <c r="D201" s="68">
        <v>1</v>
      </c>
      <c r="E201" s="69">
        <v>2.1551724137899999E-4</v>
      </c>
    </row>
    <row r="202" spans="2:5" ht="15" customHeight="1">
      <c r="B202" s="96"/>
      <c r="C202" s="67" t="s">
        <v>224</v>
      </c>
      <c r="D202" s="68">
        <v>1</v>
      </c>
      <c r="E202" s="69">
        <v>2.1551724137899999E-4</v>
      </c>
    </row>
    <row r="203" spans="2:5" ht="15" customHeight="1">
      <c r="B203" s="96"/>
      <c r="C203" s="67" t="s">
        <v>228</v>
      </c>
      <c r="D203" s="68">
        <v>10</v>
      </c>
      <c r="E203" s="69">
        <v>2.1551724137930002E-3</v>
      </c>
    </row>
    <row r="204" spans="2:5" ht="15" customHeight="1">
      <c r="B204" s="97"/>
      <c r="C204" s="36" t="s">
        <v>29</v>
      </c>
      <c r="D204" s="35">
        <v>239</v>
      </c>
      <c r="E204" s="34">
        <v>5.1508620689654998E-2</v>
      </c>
    </row>
    <row r="205" spans="2:5" ht="15" customHeight="1">
      <c r="B205" s="95" t="s">
        <v>57</v>
      </c>
      <c r="C205" s="67" t="s">
        <v>210</v>
      </c>
      <c r="D205" s="68">
        <v>3</v>
      </c>
      <c r="E205" s="69">
        <v>6.4655172413799998E-4</v>
      </c>
    </row>
    <row r="206" spans="2:5" ht="15" customHeight="1">
      <c r="B206" s="96"/>
      <c r="C206" s="67" t="s">
        <v>211</v>
      </c>
      <c r="D206" s="68">
        <v>3</v>
      </c>
      <c r="E206" s="69">
        <v>6.4655172413799998E-4</v>
      </c>
    </row>
    <row r="207" spans="2:5" ht="15" customHeight="1">
      <c r="B207" s="96"/>
      <c r="C207" s="67" t="s">
        <v>213</v>
      </c>
      <c r="D207" s="68">
        <v>1</v>
      </c>
      <c r="E207" s="69">
        <v>2.1551724137899999E-4</v>
      </c>
    </row>
    <row r="208" spans="2:5" ht="15" customHeight="1">
      <c r="B208" s="96"/>
      <c r="C208" s="67" t="s">
        <v>214</v>
      </c>
      <c r="D208" s="68">
        <v>12</v>
      </c>
      <c r="E208" s="69">
        <v>2.5862068965519999E-3</v>
      </c>
    </row>
    <row r="209" spans="2:5" ht="15" customHeight="1">
      <c r="B209" s="96"/>
      <c r="C209" s="67" t="s">
        <v>215</v>
      </c>
      <c r="D209" s="68">
        <v>14</v>
      </c>
      <c r="E209" s="69">
        <v>3.01724137931E-3</v>
      </c>
    </row>
    <row r="210" spans="2:5" ht="15" customHeight="1">
      <c r="B210" s="96"/>
      <c r="C210" s="67" t="s">
        <v>216</v>
      </c>
      <c r="D210" s="68">
        <v>2</v>
      </c>
      <c r="E210" s="69">
        <v>4.3103448275899999E-4</v>
      </c>
    </row>
    <row r="211" spans="2:5" ht="15" customHeight="1">
      <c r="B211" s="96"/>
      <c r="C211" s="67" t="s">
        <v>217</v>
      </c>
      <c r="D211" s="68">
        <v>4</v>
      </c>
      <c r="E211" s="69">
        <v>8.6206896551700002E-4</v>
      </c>
    </row>
    <row r="212" spans="2:5" ht="15" customHeight="1">
      <c r="B212" s="96"/>
      <c r="C212" s="67" t="s">
        <v>218</v>
      </c>
      <c r="D212" s="68">
        <v>9</v>
      </c>
      <c r="E212" s="69">
        <v>1.9396551724139999E-3</v>
      </c>
    </row>
    <row r="213" spans="2:5" ht="15" customHeight="1">
      <c r="B213" s="96"/>
      <c r="C213" s="67" t="s">
        <v>219</v>
      </c>
      <c r="D213" s="68">
        <v>49</v>
      </c>
      <c r="E213" s="69">
        <v>1.0560344827586001E-2</v>
      </c>
    </row>
    <row r="214" spans="2:5" ht="15" customHeight="1">
      <c r="B214" s="96"/>
      <c r="C214" s="67" t="s">
        <v>221</v>
      </c>
      <c r="D214" s="68">
        <v>10</v>
      </c>
      <c r="E214" s="69">
        <v>2.1551724137930002E-3</v>
      </c>
    </row>
    <row r="215" spans="2:5" ht="15" customHeight="1">
      <c r="B215" s="96"/>
      <c r="C215" s="67" t="s">
        <v>222</v>
      </c>
      <c r="D215" s="68">
        <v>44</v>
      </c>
      <c r="E215" s="69">
        <v>9.4827586206900003E-3</v>
      </c>
    </row>
    <row r="216" spans="2:5" ht="15" customHeight="1">
      <c r="B216" s="96"/>
      <c r="C216" s="67" t="s">
        <v>226</v>
      </c>
      <c r="D216" s="68">
        <v>3</v>
      </c>
      <c r="E216" s="69">
        <v>6.4655172413799998E-4</v>
      </c>
    </row>
    <row r="217" spans="2:5" ht="15" customHeight="1">
      <c r="B217" s="96"/>
      <c r="C217" s="67" t="s">
        <v>227</v>
      </c>
      <c r="D217" s="68">
        <v>5</v>
      </c>
      <c r="E217" s="69">
        <v>1.0775862068969999E-3</v>
      </c>
    </row>
    <row r="218" spans="2:5" ht="15" customHeight="1">
      <c r="B218" s="96"/>
      <c r="C218" s="67" t="s">
        <v>228</v>
      </c>
      <c r="D218" s="68">
        <v>7</v>
      </c>
      <c r="E218" s="69">
        <v>1.508620689655E-3</v>
      </c>
    </row>
    <row r="219" spans="2:5" ht="15" customHeight="1">
      <c r="B219" s="97"/>
      <c r="C219" s="36" t="s">
        <v>29</v>
      </c>
      <c r="D219" s="35">
        <v>166</v>
      </c>
      <c r="E219" s="34">
        <v>3.5775862068965998E-2</v>
      </c>
    </row>
    <row r="220" spans="2:5" ht="15" customHeight="1">
      <c r="B220" s="95" t="s">
        <v>63</v>
      </c>
      <c r="C220" s="67" t="s">
        <v>208</v>
      </c>
      <c r="D220" s="68">
        <v>1</v>
      </c>
      <c r="E220" s="69">
        <v>2.1551724137899999E-4</v>
      </c>
    </row>
    <row r="221" spans="2:5" ht="15" customHeight="1">
      <c r="B221" s="96"/>
      <c r="C221" s="67" t="s">
        <v>211</v>
      </c>
      <c r="D221" s="68">
        <v>1</v>
      </c>
      <c r="E221" s="69">
        <v>2.1551724137899999E-4</v>
      </c>
    </row>
    <row r="222" spans="2:5" ht="15" customHeight="1">
      <c r="B222" s="96"/>
      <c r="C222" s="67" t="s">
        <v>214</v>
      </c>
      <c r="D222" s="68">
        <v>7</v>
      </c>
      <c r="E222" s="69">
        <v>1.508620689655E-3</v>
      </c>
    </row>
    <row r="223" spans="2:5" ht="15" customHeight="1">
      <c r="B223" s="96"/>
      <c r="C223" s="67" t="s">
        <v>215</v>
      </c>
      <c r="D223" s="68">
        <v>4</v>
      </c>
      <c r="E223" s="69">
        <v>8.6206896551700002E-4</v>
      </c>
    </row>
    <row r="224" spans="2:5" ht="15" customHeight="1">
      <c r="B224" s="96"/>
      <c r="C224" s="67" t="s">
        <v>217</v>
      </c>
      <c r="D224" s="68">
        <v>2</v>
      </c>
      <c r="E224" s="69">
        <v>4.3103448275899999E-4</v>
      </c>
    </row>
    <row r="225" spans="2:5" ht="15" customHeight="1">
      <c r="B225" s="96"/>
      <c r="C225" s="67" t="s">
        <v>218</v>
      </c>
      <c r="D225" s="68">
        <v>6</v>
      </c>
      <c r="E225" s="69">
        <v>1.293103448276E-3</v>
      </c>
    </row>
    <row r="226" spans="2:5" ht="15" customHeight="1">
      <c r="B226" s="96"/>
      <c r="C226" s="67" t="s">
        <v>219</v>
      </c>
      <c r="D226" s="68">
        <v>21</v>
      </c>
      <c r="E226" s="69">
        <v>4.5258620689659999E-3</v>
      </c>
    </row>
    <row r="227" spans="2:5" ht="15" customHeight="1">
      <c r="B227" s="96"/>
      <c r="C227" s="67" t="s">
        <v>220</v>
      </c>
      <c r="D227" s="68">
        <v>1</v>
      </c>
      <c r="E227" s="69">
        <v>2.1551724137899999E-4</v>
      </c>
    </row>
    <row r="228" spans="2:5" ht="15" customHeight="1">
      <c r="B228" s="96"/>
      <c r="C228" s="67" t="s">
        <v>221</v>
      </c>
      <c r="D228" s="68">
        <v>5</v>
      </c>
      <c r="E228" s="69">
        <v>1.0775862068969999E-3</v>
      </c>
    </row>
    <row r="229" spans="2:5" ht="15" customHeight="1">
      <c r="B229" s="96"/>
      <c r="C229" s="67" t="s">
        <v>222</v>
      </c>
      <c r="D229" s="68">
        <v>31</v>
      </c>
      <c r="E229" s="69">
        <v>6.6810344827590001E-3</v>
      </c>
    </row>
    <row r="230" spans="2:5" ht="15" customHeight="1">
      <c r="B230" s="96"/>
      <c r="C230" s="67" t="s">
        <v>224</v>
      </c>
      <c r="D230" s="68">
        <v>2</v>
      </c>
      <c r="E230" s="69">
        <v>4.3103448275899999E-4</v>
      </c>
    </row>
    <row r="231" spans="2:5" ht="15" customHeight="1">
      <c r="B231" s="96"/>
      <c r="C231" s="67" t="s">
        <v>225</v>
      </c>
      <c r="D231" s="68">
        <v>1</v>
      </c>
      <c r="E231" s="69">
        <v>2.1551724137899999E-4</v>
      </c>
    </row>
    <row r="232" spans="2:5" ht="15" customHeight="1">
      <c r="B232" s="96"/>
      <c r="C232" s="67" t="s">
        <v>226</v>
      </c>
      <c r="D232" s="68">
        <v>2</v>
      </c>
      <c r="E232" s="69">
        <v>4.3103448275899999E-4</v>
      </c>
    </row>
    <row r="233" spans="2:5" ht="15" customHeight="1">
      <c r="B233" s="96"/>
      <c r="C233" s="67" t="s">
        <v>227</v>
      </c>
      <c r="D233" s="68">
        <v>4</v>
      </c>
      <c r="E233" s="69">
        <v>8.6206896551700002E-4</v>
      </c>
    </row>
    <row r="234" spans="2:5" ht="15" customHeight="1">
      <c r="B234" s="96"/>
      <c r="C234" s="67" t="s">
        <v>228</v>
      </c>
      <c r="D234" s="68">
        <v>3</v>
      </c>
      <c r="E234" s="69">
        <v>6.4655172413799998E-4</v>
      </c>
    </row>
    <row r="235" spans="2:5" ht="15" customHeight="1">
      <c r="B235" s="97"/>
      <c r="C235" s="36" t="s">
        <v>29</v>
      </c>
      <c r="D235" s="35">
        <v>91</v>
      </c>
      <c r="E235" s="34">
        <v>1.9612068965517E-2</v>
      </c>
    </row>
    <row r="236" spans="2:5" ht="15" customHeight="1">
      <c r="B236" s="95" t="s">
        <v>91</v>
      </c>
      <c r="C236" s="67" t="s">
        <v>208</v>
      </c>
      <c r="D236" s="68">
        <v>1</v>
      </c>
      <c r="E236" s="69">
        <v>2.1551724137899999E-4</v>
      </c>
    </row>
    <row r="237" spans="2:5" ht="15" customHeight="1">
      <c r="B237" s="96"/>
      <c r="C237" s="67" t="s">
        <v>214</v>
      </c>
      <c r="D237" s="68">
        <v>1</v>
      </c>
      <c r="E237" s="69">
        <v>2.1551724137899999E-4</v>
      </c>
    </row>
    <row r="238" spans="2:5" ht="15" customHeight="1">
      <c r="B238" s="96"/>
      <c r="C238" s="67" t="s">
        <v>218</v>
      </c>
      <c r="D238" s="68">
        <v>1</v>
      </c>
      <c r="E238" s="69">
        <v>2.1551724137899999E-4</v>
      </c>
    </row>
    <row r="239" spans="2:5" ht="15" customHeight="1">
      <c r="B239" s="96"/>
      <c r="C239" s="67" t="s">
        <v>219</v>
      </c>
      <c r="D239" s="68">
        <v>2</v>
      </c>
      <c r="E239" s="69">
        <v>4.3103448275899999E-4</v>
      </c>
    </row>
    <row r="240" spans="2:5" ht="15" customHeight="1">
      <c r="B240" s="96"/>
      <c r="C240" s="67" t="s">
        <v>221</v>
      </c>
      <c r="D240" s="68">
        <v>1</v>
      </c>
      <c r="E240" s="69">
        <v>2.1551724137899999E-4</v>
      </c>
    </row>
    <row r="241" spans="2:5" ht="15" customHeight="1">
      <c r="B241" s="96"/>
      <c r="C241" s="67" t="s">
        <v>222</v>
      </c>
      <c r="D241" s="68">
        <v>1</v>
      </c>
      <c r="E241" s="69">
        <v>2.1551724137899999E-4</v>
      </c>
    </row>
    <row r="242" spans="2:5" ht="15" customHeight="1">
      <c r="B242" s="96"/>
      <c r="C242" s="67" t="s">
        <v>227</v>
      </c>
      <c r="D242" s="68">
        <v>1</v>
      </c>
      <c r="E242" s="69">
        <v>2.1551724137899999E-4</v>
      </c>
    </row>
    <row r="243" spans="2:5" ht="15" customHeight="1">
      <c r="B243" s="96"/>
      <c r="C243" s="67" t="s">
        <v>228</v>
      </c>
      <c r="D243" s="68">
        <v>2</v>
      </c>
      <c r="E243" s="69">
        <v>4.3103448275899999E-4</v>
      </c>
    </row>
    <row r="244" spans="2:5" ht="15" customHeight="1">
      <c r="B244" s="97"/>
      <c r="C244" s="36" t="s">
        <v>29</v>
      </c>
      <c r="D244" s="35">
        <v>10</v>
      </c>
      <c r="E244" s="34">
        <v>2.1551724137930002E-3</v>
      </c>
    </row>
    <row r="245" spans="2:5" ht="15" customHeight="1">
      <c r="B245" s="95" t="s">
        <v>81</v>
      </c>
      <c r="C245" s="67" t="s">
        <v>211</v>
      </c>
      <c r="D245" s="68">
        <v>1</v>
      </c>
      <c r="E245" s="69">
        <v>2.1551724137899999E-4</v>
      </c>
    </row>
    <row r="246" spans="2:5" ht="15" customHeight="1">
      <c r="B246" s="96"/>
      <c r="C246" s="67" t="s">
        <v>214</v>
      </c>
      <c r="D246" s="68">
        <v>2</v>
      </c>
      <c r="E246" s="69">
        <v>4.3103448275899999E-4</v>
      </c>
    </row>
    <row r="247" spans="2:5" ht="15" customHeight="1">
      <c r="B247" s="96"/>
      <c r="C247" s="67" t="s">
        <v>215</v>
      </c>
      <c r="D247" s="68">
        <v>1</v>
      </c>
      <c r="E247" s="69">
        <v>2.1551724137899999E-4</v>
      </c>
    </row>
    <row r="248" spans="2:5" ht="15" customHeight="1">
      <c r="B248" s="96"/>
      <c r="C248" s="67" t="s">
        <v>218</v>
      </c>
      <c r="D248" s="68">
        <v>3</v>
      </c>
      <c r="E248" s="69">
        <v>6.4655172413799998E-4</v>
      </c>
    </row>
    <row r="249" spans="2:5" ht="15" customHeight="1">
      <c r="B249" s="96"/>
      <c r="C249" s="67" t="s">
        <v>219</v>
      </c>
      <c r="D249" s="68">
        <v>10</v>
      </c>
      <c r="E249" s="69">
        <v>2.1551724137930002E-3</v>
      </c>
    </row>
    <row r="250" spans="2:5" ht="15" customHeight="1">
      <c r="B250" s="96"/>
      <c r="C250" s="67" t="s">
        <v>222</v>
      </c>
      <c r="D250" s="68">
        <v>8</v>
      </c>
      <c r="E250" s="69">
        <v>1.724137931034E-3</v>
      </c>
    </row>
    <row r="251" spans="2:5" ht="15" customHeight="1">
      <c r="B251" s="96"/>
      <c r="C251" s="67" t="s">
        <v>227</v>
      </c>
      <c r="D251" s="68">
        <v>1</v>
      </c>
      <c r="E251" s="69">
        <v>2.1551724137899999E-4</v>
      </c>
    </row>
    <row r="252" spans="2:5" ht="15" customHeight="1">
      <c r="B252" s="96"/>
      <c r="C252" s="67" t="s">
        <v>228</v>
      </c>
      <c r="D252" s="68">
        <v>2</v>
      </c>
      <c r="E252" s="69">
        <v>4.3103448275899999E-4</v>
      </c>
    </row>
    <row r="253" spans="2:5" ht="15" customHeight="1">
      <c r="B253" s="97"/>
      <c r="C253" s="36" t="s">
        <v>29</v>
      </c>
      <c r="D253" s="35">
        <v>28</v>
      </c>
      <c r="E253" s="34">
        <v>6.0344827586210001E-3</v>
      </c>
    </row>
    <row r="254" spans="2:5" ht="15" customHeight="1">
      <c r="B254" s="95" t="s">
        <v>61</v>
      </c>
      <c r="C254" s="67" t="s">
        <v>208</v>
      </c>
      <c r="D254" s="68">
        <v>1</v>
      </c>
      <c r="E254" s="69">
        <v>2.1551724137899999E-4</v>
      </c>
    </row>
    <row r="255" spans="2:5" ht="15" customHeight="1">
      <c r="B255" s="96"/>
      <c r="C255" s="67" t="s">
        <v>209</v>
      </c>
      <c r="D255" s="68">
        <v>1</v>
      </c>
      <c r="E255" s="69">
        <v>2.1551724137899999E-4</v>
      </c>
    </row>
    <row r="256" spans="2:5" ht="15" customHeight="1">
      <c r="B256" s="96"/>
      <c r="C256" s="67" t="s">
        <v>211</v>
      </c>
      <c r="D256" s="68">
        <v>2</v>
      </c>
      <c r="E256" s="69">
        <v>4.3103448275899999E-4</v>
      </c>
    </row>
    <row r="257" spans="2:5" ht="15" customHeight="1">
      <c r="B257" s="96"/>
      <c r="C257" s="67" t="s">
        <v>213</v>
      </c>
      <c r="D257" s="68">
        <v>2</v>
      </c>
      <c r="E257" s="69">
        <v>4.3103448275899999E-4</v>
      </c>
    </row>
    <row r="258" spans="2:5" ht="15" customHeight="1">
      <c r="B258" s="96"/>
      <c r="C258" s="67" t="s">
        <v>214</v>
      </c>
      <c r="D258" s="68">
        <v>7</v>
      </c>
      <c r="E258" s="69">
        <v>1.508620689655E-3</v>
      </c>
    </row>
    <row r="259" spans="2:5" ht="15" customHeight="1">
      <c r="B259" s="96"/>
      <c r="C259" s="67" t="s">
        <v>215</v>
      </c>
      <c r="D259" s="68">
        <v>6</v>
      </c>
      <c r="E259" s="69">
        <v>1.293103448276E-3</v>
      </c>
    </row>
    <row r="260" spans="2:5" ht="15" customHeight="1">
      <c r="B260" s="96"/>
      <c r="C260" s="67" t="s">
        <v>217</v>
      </c>
      <c r="D260" s="68">
        <v>3</v>
      </c>
      <c r="E260" s="69">
        <v>6.4655172413799998E-4</v>
      </c>
    </row>
    <row r="261" spans="2:5" ht="15" customHeight="1">
      <c r="B261" s="96"/>
      <c r="C261" s="67" t="s">
        <v>218</v>
      </c>
      <c r="D261" s="68">
        <v>4</v>
      </c>
      <c r="E261" s="69">
        <v>8.6206896551700002E-4</v>
      </c>
    </row>
    <row r="262" spans="2:5" ht="15" customHeight="1">
      <c r="B262" s="96"/>
      <c r="C262" s="67" t="s">
        <v>219</v>
      </c>
      <c r="D262" s="68">
        <v>42</v>
      </c>
      <c r="E262" s="69">
        <v>9.0517241379310005E-3</v>
      </c>
    </row>
    <row r="263" spans="2:5" ht="15" customHeight="1">
      <c r="B263" s="96"/>
      <c r="C263" s="67" t="s">
        <v>221</v>
      </c>
      <c r="D263" s="68">
        <v>8</v>
      </c>
      <c r="E263" s="69">
        <v>1.724137931034E-3</v>
      </c>
    </row>
    <row r="264" spans="2:5" ht="15" customHeight="1">
      <c r="B264" s="96"/>
      <c r="C264" s="67" t="s">
        <v>222</v>
      </c>
      <c r="D264" s="68">
        <v>42</v>
      </c>
      <c r="E264" s="69">
        <v>9.0517241379310005E-3</v>
      </c>
    </row>
    <row r="265" spans="2:5" ht="15" customHeight="1">
      <c r="B265" s="96"/>
      <c r="C265" s="67" t="s">
        <v>225</v>
      </c>
      <c r="D265" s="68">
        <v>1</v>
      </c>
      <c r="E265" s="69">
        <v>2.1551724137899999E-4</v>
      </c>
    </row>
    <row r="266" spans="2:5" ht="15" customHeight="1">
      <c r="B266" s="96"/>
      <c r="C266" s="67" t="s">
        <v>227</v>
      </c>
      <c r="D266" s="68">
        <v>2</v>
      </c>
      <c r="E266" s="69">
        <v>4.3103448275899999E-4</v>
      </c>
    </row>
    <row r="267" spans="2:5" ht="15" customHeight="1">
      <c r="B267" s="96"/>
      <c r="C267" s="67" t="s">
        <v>228</v>
      </c>
      <c r="D267" s="68">
        <v>8</v>
      </c>
      <c r="E267" s="69">
        <v>1.724137931034E-3</v>
      </c>
    </row>
    <row r="268" spans="2:5" ht="15" customHeight="1">
      <c r="B268" s="97"/>
      <c r="C268" s="36" t="s">
        <v>29</v>
      </c>
      <c r="D268" s="35">
        <v>129</v>
      </c>
      <c r="E268" s="34">
        <v>2.7801724137931E-2</v>
      </c>
    </row>
    <row r="269" spans="2:5" ht="15" customHeight="1">
      <c r="B269" s="95" t="s">
        <v>60</v>
      </c>
      <c r="C269" s="67" t="s">
        <v>208</v>
      </c>
      <c r="D269" s="68">
        <v>3</v>
      </c>
      <c r="E269" s="69">
        <v>6.4655172413799998E-4</v>
      </c>
    </row>
    <row r="270" spans="2:5" ht="15" customHeight="1">
      <c r="B270" s="96"/>
      <c r="C270" s="67" t="s">
        <v>211</v>
      </c>
      <c r="D270" s="68">
        <v>2</v>
      </c>
      <c r="E270" s="69">
        <v>4.3103448275899999E-4</v>
      </c>
    </row>
    <row r="271" spans="2:5" ht="15" customHeight="1">
      <c r="B271" s="96"/>
      <c r="C271" s="67" t="s">
        <v>212</v>
      </c>
      <c r="D271" s="68">
        <v>2</v>
      </c>
      <c r="E271" s="69">
        <v>4.3103448275899999E-4</v>
      </c>
    </row>
    <row r="272" spans="2:5" ht="15" customHeight="1">
      <c r="B272" s="96"/>
      <c r="C272" s="67" t="s">
        <v>213</v>
      </c>
      <c r="D272" s="68">
        <v>1</v>
      </c>
      <c r="E272" s="69">
        <v>2.1551724137899999E-4</v>
      </c>
    </row>
    <row r="273" spans="2:5" ht="15" customHeight="1">
      <c r="B273" s="96"/>
      <c r="C273" s="67" t="s">
        <v>214</v>
      </c>
      <c r="D273" s="68">
        <v>9</v>
      </c>
      <c r="E273" s="69">
        <v>1.9396551724139999E-3</v>
      </c>
    </row>
    <row r="274" spans="2:5" ht="15" customHeight="1">
      <c r="B274" s="96"/>
      <c r="C274" s="67" t="s">
        <v>215</v>
      </c>
      <c r="D274" s="68">
        <v>18</v>
      </c>
      <c r="E274" s="69">
        <v>3.8793103448279999E-3</v>
      </c>
    </row>
    <row r="275" spans="2:5" ht="15" customHeight="1">
      <c r="B275" s="96"/>
      <c r="C275" s="67" t="s">
        <v>218</v>
      </c>
      <c r="D275" s="68">
        <v>9</v>
      </c>
      <c r="E275" s="69">
        <v>1.9396551724139999E-3</v>
      </c>
    </row>
    <row r="276" spans="2:5" ht="15" customHeight="1">
      <c r="B276" s="96"/>
      <c r="C276" s="67" t="s">
        <v>219</v>
      </c>
      <c r="D276" s="68">
        <v>35</v>
      </c>
      <c r="E276" s="69">
        <v>7.5431034482760003E-3</v>
      </c>
    </row>
    <row r="277" spans="2:5" ht="15" customHeight="1">
      <c r="B277" s="96"/>
      <c r="C277" s="67" t="s">
        <v>220</v>
      </c>
      <c r="D277" s="68">
        <v>2</v>
      </c>
      <c r="E277" s="69">
        <v>4.3103448275899999E-4</v>
      </c>
    </row>
    <row r="278" spans="2:5" ht="15" customHeight="1">
      <c r="B278" s="96"/>
      <c r="C278" s="67" t="s">
        <v>221</v>
      </c>
      <c r="D278" s="68">
        <v>2</v>
      </c>
      <c r="E278" s="69">
        <v>4.3103448275899999E-4</v>
      </c>
    </row>
    <row r="279" spans="2:5" ht="15" customHeight="1">
      <c r="B279" s="96"/>
      <c r="C279" s="67" t="s">
        <v>222</v>
      </c>
      <c r="D279" s="68">
        <v>36</v>
      </c>
      <c r="E279" s="69">
        <v>7.7586206896549997E-3</v>
      </c>
    </row>
    <row r="280" spans="2:5" ht="15" customHeight="1">
      <c r="B280" s="96"/>
      <c r="C280" s="67" t="s">
        <v>224</v>
      </c>
      <c r="D280" s="68">
        <v>2</v>
      </c>
      <c r="E280" s="69">
        <v>4.3103448275899999E-4</v>
      </c>
    </row>
    <row r="281" spans="2:5" ht="15" customHeight="1">
      <c r="B281" s="96"/>
      <c r="C281" s="67" t="s">
        <v>225</v>
      </c>
      <c r="D281" s="68">
        <v>1</v>
      </c>
      <c r="E281" s="69">
        <v>2.1551724137899999E-4</v>
      </c>
    </row>
    <row r="282" spans="2:5" ht="15" customHeight="1">
      <c r="B282" s="96"/>
      <c r="C282" s="67" t="s">
        <v>227</v>
      </c>
      <c r="D282" s="68">
        <v>1</v>
      </c>
      <c r="E282" s="69">
        <v>2.1551724137899999E-4</v>
      </c>
    </row>
    <row r="283" spans="2:5" ht="15" customHeight="1">
      <c r="B283" s="96"/>
      <c r="C283" s="67" t="s">
        <v>228</v>
      </c>
      <c r="D283" s="68">
        <v>7</v>
      </c>
      <c r="E283" s="69">
        <v>1.508620689655E-3</v>
      </c>
    </row>
    <row r="284" spans="2:5" ht="15" customHeight="1">
      <c r="B284" s="97"/>
      <c r="C284" s="36" t="s">
        <v>29</v>
      </c>
      <c r="D284" s="35">
        <v>130</v>
      </c>
      <c r="E284" s="34">
        <v>2.8017241379309998E-2</v>
      </c>
    </row>
    <row r="285" spans="2:5" ht="15" customHeight="1">
      <c r="B285" s="95" t="s">
        <v>56</v>
      </c>
      <c r="C285" s="67" t="s">
        <v>208</v>
      </c>
      <c r="D285" s="68">
        <v>2</v>
      </c>
      <c r="E285" s="69">
        <v>4.3103448275899999E-4</v>
      </c>
    </row>
    <row r="286" spans="2:5" ht="15" customHeight="1">
      <c r="B286" s="96"/>
      <c r="C286" s="67" t="s">
        <v>210</v>
      </c>
      <c r="D286" s="68">
        <v>1</v>
      </c>
      <c r="E286" s="69">
        <v>2.1551724137899999E-4</v>
      </c>
    </row>
    <row r="287" spans="2:5" ht="15" customHeight="1">
      <c r="B287" s="96"/>
      <c r="C287" s="67" t="s">
        <v>211</v>
      </c>
      <c r="D287" s="68">
        <v>2</v>
      </c>
      <c r="E287" s="69">
        <v>4.3103448275899999E-4</v>
      </c>
    </row>
    <row r="288" spans="2:5" ht="15" customHeight="1">
      <c r="B288" s="96"/>
      <c r="C288" s="67" t="s">
        <v>212</v>
      </c>
      <c r="D288" s="68">
        <v>3</v>
      </c>
      <c r="E288" s="69">
        <v>6.4655172413799998E-4</v>
      </c>
    </row>
    <row r="289" spans="2:5" ht="15" customHeight="1">
      <c r="B289" s="96"/>
      <c r="C289" s="67" t="s">
        <v>213</v>
      </c>
      <c r="D289" s="68">
        <v>3</v>
      </c>
      <c r="E289" s="69">
        <v>6.4655172413799998E-4</v>
      </c>
    </row>
    <row r="290" spans="2:5" ht="15" customHeight="1">
      <c r="B290" s="96"/>
      <c r="C290" s="67" t="s">
        <v>214</v>
      </c>
      <c r="D290" s="68">
        <v>12</v>
      </c>
      <c r="E290" s="69">
        <v>2.5862068965519999E-3</v>
      </c>
    </row>
    <row r="291" spans="2:5" ht="15" customHeight="1">
      <c r="B291" s="96"/>
      <c r="C291" s="67" t="s">
        <v>215</v>
      </c>
      <c r="D291" s="68">
        <v>14</v>
      </c>
      <c r="E291" s="69">
        <v>3.01724137931E-3</v>
      </c>
    </row>
    <row r="292" spans="2:5" ht="15" customHeight="1">
      <c r="B292" s="96"/>
      <c r="C292" s="67" t="s">
        <v>216</v>
      </c>
      <c r="D292" s="68">
        <v>2</v>
      </c>
      <c r="E292" s="69">
        <v>4.3103448275899999E-4</v>
      </c>
    </row>
    <row r="293" spans="2:5" ht="15" customHeight="1">
      <c r="B293" s="96"/>
      <c r="C293" s="67" t="s">
        <v>217</v>
      </c>
      <c r="D293" s="68">
        <v>8</v>
      </c>
      <c r="E293" s="69">
        <v>1.724137931034E-3</v>
      </c>
    </row>
    <row r="294" spans="2:5" ht="15" customHeight="1">
      <c r="B294" s="96"/>
      <c r="C294" s="67" t="s">
        <v>218</v>
      </c>
      <c r="D294" s="68">
        <v>12</v>
      </c>
      <c r="E294" s="69">
        <v>2.5862068965519999E-3</v>
      </c>
    </row>
    <row r="295" spans="2:5" ht="15" customHeight="1">
      <c r="B295" s="96"/>
      <c r="C295" s="67" t="s">
        <v>219</v>
      </c>
      <c r="D295" s="68">
        <v>50</v>
      </c>
      <c r="E295" s="69">
        <v>1.0775862068966E-2</v>
      </c>
    </row>
    <row r="296" spans="2:5" ht="15" customHeight="1">
      <c r="B296" s="96"/>
      <c r="C296" s="67" t="s">
        <v>220</v>
      </c>
      <c r="D296" s="68">
        <v>3</v>
      </c>
      <c r="E296" s="69">
        <v>6.4655172413799998E-4</v>
      </c>
    </row>
    <row r="297" spans="2:5" ht="15" customHeight="1">
      <c r="B297" s="96"/>
      <c r="C297" s="67" t="s">
        <v>221</v>
      </c>
      <c r="D297" s="68">
        <v>9</v>
      </c>
      <c r="E297" s="69">
        <v>1.9396551724139999E-3</v>
      </c>
    </row>
    <row r="298" spans="2:5" ht="15" customHeight="1">
      <c r="B298" s="96"/>
      <c r="C298" s="67" t="s">
        <v>222</v>
      </c>
      <c r="D298" s="68">
        <v>48</v>
      </c>
      <c r="E298" s="69">
        <v>1.0344827586207E-2</v>
      </c>
    </row>
    <row r="299" spans="2:5" ht="15" customHeight="1">
      <c r="B299" s="96"/>
      <c r="C299" s="67" t="s">
        <v>223</v>
      </c>
      <c r="D299" s="68">
        <v>2</v>
      </c>
      <c r="E299" s="69">
        <v>4.3103448275899999E-4</v>
      </c>
    </row>
    <row r="300" spans="2:5" ht="15" customHeight="1">
      <c r="B300" s="96"/>
      <c r="C300" s="67" t="s">
        <v>224</v>
      </c>
      <c r="D300" s="68">
        <v>1</v>
      </c>
      <c r="E300" s="69">
        <v>2.1551724137899999E-4</v>
      </c>
    </row>
    <row r="301" spans="2:5" ht="15" customHeight="1">
      <c r="B301" s="96"/>
      <c r="C301" s="67" t="s">
        <v>225</v>
      </c>
      <c r="D301" s="68">
        <v>2</v>
      </c>
      <c r="E301" s="69">
        <v>4.3103448275899999E-4</v>
      </c>
    </row>
    <row r="302" spans="2:5" ht="15" customHeight="1">
      <c r="B302" s="96"/>
      <c r="C302" s="67" t="s">
        <v>226</v>
      </c>
      <c r="D302" s="68">
        <v>1</v>
      </c>
      <c r="E302" s="69">
        <v>2.1551724137899999E-4</v>
      </c>
    </row>
    <row r="303" spans="2:5" ht="15" customHeight="1">
      <c r="B303" s="96"/>
      <c r="C303" s="67" t="s">
        <v>227</v>
      </c>
      <c r="D303" s="68">
        <v>2</v>
      </c>
      <c r="E303" s="69">
        <v>4.3103448275899999E-4</v>
      </c>
    </row>
    <row r="304" spans="2:5" ht="15" customHeight="1">
      <c r="B304" s="96"/>
      <c r="C304" s="67" t="s">
        <v>228</v>
      </c>
      <c r="D304" s="68">
        <v>10</v>
      </c>
      <c r="E304" s="69">
        <v>2.1551724137930002E-3</v>
      </c>
    </row>
    <row r="305" spans="2:5" ht="15" customHeight="1">
      <c r="B305" s="97"/>
      <c r="C305" s="36" t="s">
        <v>29</v>
      </c>
      <c r="D305" s="35">
        <v>187</v>
      </c>
      <c r="E305" s="34">
        <v>4.0301724137930997E-2</v>
      </c>
    </row>
    <row r="306" spans="2:5" ht="15" customHeight="1">
      <c r="B306" s="95" t="s">
        <v>65</v>
      </c>
      <c r="C306" s="67" t="s">
        <v>208</v>
      </c>
      <c r="D306" s="68">
        <v>2</v>
      </c>
      <c r="E306" s="69">
        <v>4.3103448275899999E-4</v>
      </c>
    </row>
    <row r="307" spans="2:5" ht="15" customHeight="1">
      <c r="B307" s="96"/>
      <c r="C307" s="67" t="s">
        <v>210</v>
      </c>
      <c r="D307" s="68">
        <v>3</v>
      </c>
      <c r="E307" s="69">
        <v>6.4655172413799998E-4</v>
      </c>
    </row>
    <row r="308" spans="2:5" ht="15" customHeight="1">
      <c r="B308" s="96"/>
      <c r="C308" s="67" t="s">
        <v>214</v>
      </c>
      <c r="D308" s="68">
        <v>8</v>
      </c>
      <c r="E308" s="69">
        <v>1.724137931034E-3</v>
      </c>
    </row>
    <row r="309" spans="2:5" ht="15" customHeight="1">
      <c r="B309" s="96"/>
      <c r="C309" s="67" t="s">
        <v>215</v>
      </c>
      <c r="D309" s="68">
        <v>9</v>
      </c>
      <c r="E309" s="69">
        <v>1.9396551724139999E-3</v>
      </c>
    </row>
    <row r="310" spans="2:5" ht="15" customHeight="1">
      <c r="B310" s="96"/>
      <c r="C310" s="67" t="s">
        <v>217</v>
      </c>
      <c r="D310" s="68">
        <v>4</v>
      </c>
      <c r="E310" s="69">
        <v>8.6206896551700002E-4</v>
      </c>
    </row>
    <row r="311" spans="2:5" ht="15" customHeight="1">
      <c r="B311" s="96"/>
      <c r="C311" s="67" t="s">
        <v>218</v>
      </c>
      <c r="D311" s="68">
        <v>5</v>
      </c>
      <c r="E311" s="69">
        <v>1.0775862068969999E-3</v>
      </c>
    </row>
    <row r="312" spans="2:5" ht="15" customHeight="1">
      <c r="B312" s="96"/>
      <c r="C312" s="67" t="s">
        <v>219</v>
      </c>
      <c r="D312" s="68">
        <v>21</v>
      </c>
      <c r="E312" s="69">
        <v>4.5258620689659999E-3</v>
      </c>
    </row>
    <row r="313" spans="2:5" ht="15" customHeight="1">
      <c r="B313" s="96"/>
      <c r="C313" s="67" t="s">
        <v>220</v>
      </c>
      <c r="D313" s="68">
        <v>1</v>
      </c>
      <c r="E313" s="69">
        <v>2.1551724137899999E-4</v>
      </c>
    </row>
    <row r="314" spans="2:5" ht="15" customHeight="1">
      <c r="B314" s="96"/>
      <c r="C314" s="67" t="s">
        <v>221</v>
      </c>
      <c r="D314" s="68">
        <v>2</v>
      </c>
      <c r="E314" s="69">
        <v>4.3103448275899999E-4</v>
      </c>
    </row>
    <row r="315" spans="2:5" ht="15" customHeight="1">
      <c r="B315" s="96"/>
      <c r="C315" s="67" t="s">
        <v>222</v>
      </c>
      <c r="D315" s="68">
        <v>15</v>
      </c>
      <c r="E315" s="69">
        <v>3.2327586206899999E-3</v>
      </c>
    </row>
    <row r="316" spans="2:5" ht="15" customHeight="1">
      <c r="B316" s="96"/>
      <c r="C316" s="67" t="s">
        <v>227</v>
      </c>
      <c r="D316" s="68">
        <v>1</v>
      </c>
      <c r="E316" s="69">
        <v>2.1551724137899999E-4</v>
      </c>
    </row>
    <row r="317" spans="2:5" ht="15" customHeight="1">
      <c r="B317" s="96"/>
      <c r="C317" s="67" t="s">
        <v>228</v>
      </c>
      <c r="D317" s="68">
        <v>4</v>
      </c>
      <c r="E317" s="69">
        <v>8.6206896551700002E-4</v>
      </c>
    </row>
    <row r="318" spans="2:5" ht="15" customHeight="1">
      <c r="B318" s="97"/>
      <c r="C318" s="36" t="s">
        <v>29</v>
      </c>
      <c r="D318" s="35">
        <v>75</v>
      </c>
      <c r="E318" s="34">
        <v>1.6163793103447999E-2</v>
      </c>
    </row>
    <row r="319" spans="2:5" ht="15" customHeight="1">
      <c r="B319" s="95" t="s">
        <v>76</v>
      </c>
      <c r="C319" s="67" t="s">
        <v>209</v>
      </c>
      <c r="D319" s="68">
        <v>1</v>
      </c>
      <c r="E319" s="69">
        <v>2.1551724137899999E-4</v>
      </c>
    </row>
    <row r="320" spans="2:5" ht="15" customHeight="1">
      <c r="B320" s="96"/>
      <c r="C320" s="67" t="s">
        <v>214</v>
      </c>
      <c r="D320" s="68">
        <v>1</v>
      </c>
      <c r="E320" s="69">
        <v>2.1551724137899999E-4</v>
      </c>
    </row>
    <row r="321" spans="2:5" ht="15" customHeight="1">
      <c r="B321" s="96"/>
      <c r="C321" s="67" t="s">
        <v>215</v>
      </c>
      <c r="D321" s="68">
        <v>3</v>
      </c>
      <c r="E321" s="69">
        <v>6.4655172413799998E-4</v>
      </c>
    </row>
    <row r="322" spans="2:5" ht="15" customHeight="1">
      <c r="B322" s="96"/>
      <c r="C322" s="67" t="s">
        <v>217</v>
      </c>
      <c r="D322" s="68">
        <v>1</v>
      </c>
      <c r="E322" s="69">
        <v>2.1551724137899999E-4</v>
      </c>
    </row>
    <row r="323" spans="2:5" ht="15" customHeight="1">
      <c r="B323" s="96"/>
      <c r="C323" s="67" t="s">
        <v>218</v>
      </c>
      <c r="D323" s="68">
        <v>1</v>
      </c>
      <c r="E323" s="69">
        <v>2.1551724137899999E-4</v>
      </c>
    </row>
    <row r="324" spans="2:5" ht="15" customHeight="1">
      <c r="B324" s="96"/>
      <c r="C324" s="67" t="s">
        <v>219</v>
      </c>
      <c r="D324" s="68">
        <v>10</v>
      </c>
      <c r="E324" s="69">
        <v>2.1551724137930002E-3</v>
      </c>
    </row>
    <row r="325" spans="2:5" ht="15" customHeight="1">
      <c r="B325" s="96"/>
      <c r="C325" s="67" t="s">
        <v>220</v>
      </c>
      <c r="D325" s="68">
        <v>1</v>
      </c>
      <c r="E325" s="69">
        <v>2.1551724137899999E-4</v>
      </c>
    </row>
    <row r="326" spans="2:5" ht="15" customHeight="1">
      <c r="B326" s="96"/>
      <c r="C326" s="67" t="s">
        <v>221</v>
      </c>
      <c r="D326" s="68">
        <v>2</v>
      </c>
      <c r="E326" s="69">
        <v>4.3103448275899999E-4</v>
      </c>
    </row>
    <row r="327" spans="2:5" ht="15" customHeight="1">
      <c r="B327" s="96"/>
      <c r="C327" s="67" t="s">
        <v>222</v>
      </c>
      <c r="D327" s="68">
        <v>13</v>
      </c>
      <c r="E327" s="69">
        <v>2.8017241379310002E-3</v>
      </c>
    </row>
    <row r="328" spans="2:5" ht="15" customHeight="1">
      <c r="B328" s="96"/>
      <c r="C328" s="67" t="s">
        <v>223</v>
      </c>
      <c r="D328" s="68">
        <v>1</v>
      </c>
      <c r="E328" s="69">
        <v>2.1551724137899999E-4</v>
      </c>
    </row>
    <row r="329" spans="2:5" ht="15" customHeight="1">
      <c r="B329" s="96"/>
      <c r="C329" s="67" t="s">
        <v>228</v>
      </c>
      <c r="D329" s="68">
        <v>8</v>
      </c>
      <c r="E329" s="69">
        <v>1.724137931034E-3</v>
      </c>
    </row>
    <row r="330" spans="2:5" ht="15" customHeight="1">
      <c r="B330" s="97"/>
      <c r="C330" s="36" t="s">
        <v>29</v>
      </c>
      <c r="D330" s="35">
        <v>42</v>
      </c>
      <c r="E330" s="34">
        <v>9.0517241379310005E-3</v>
      </c>
    </row>
    <row r="331" spans="2:5" ht="15" customHeight="1">
      <c r="B331" s="95" t="s">
        <v>59</v>
      </c>
      <c r="C331" s="67" t="s">
        <v>208</v>
      </c>
      <c r="D331" s="68">
        <v>2</v>
      </c>
      <c r="E331" s="69">
        <v>4.3103448275899999E-4</v>
      </c>
    </row>
    <row r="332" spans="2:5" ht="15" customHeight="1">
      <c r="B332" s="96"/>
      <c r="C332" s="67" t="s">
        <v>209</v>
      </c>
      <c r="D332" s="68">
        <v>2</v>
      </c>
      <c r="E332" s="69">
        <v>4.3103448275899999E-4</v>
      </c>
    </row>
    <row r="333" spans="2:5" ht="15" customHeight="1">
      <c r="B333" s="96"/>
      <c r="C333" s="67" t="s">
        <v>211</v>
      </c>
      <c r="D333" s="68">
        <v>1</v>
      </c>
      <c r="E333" s="69">
        <v>2.1551724137899999E-4</v>
      </c>
    </row>
    <row r="334" spans="2:5" ht="15" customHeight="1">
      <c r="B334" s="96"/>
      <c r="C334" s="67" t="s">
        <v>214</v>
      </c>
      <c r="D334" s="68">
        <v>8</v>
      </c>
      <c r="E334" s="69">
        <v>1.724137931034E-3</v>
      </c>
    </row>
    <row r="335" spans="2:5" ht="15" customHeight="1">
      <c r="B335" s="96"/>
      <c r="C335" s="67" t="s">
        <v>215</v>
      </c>
      <c r="D335" s="68">
        <v>10</v>
      </c>
      <c r="E335" s="69">
        <v>2.1551724137930002E-3</v>
      </c>
    </row>
    <row r="336" spans="2:5" ht="15" customHeight="1">
      <c r="B336" s="96"/>
      <c r="C336" s="67" t="s">
        <v>216</v>
      </c>
      <c r="D336" s="68">
        <v>2</v>
      </c>
      <c r="E336" s="69">
        <v>4.3103448275899999E-4</v>
      </c>
    </row>
    <row r="337" spans="2:5" ht="15" customHeight="1">
      <c r="B337" s="96"/>
      <c r="C337" s="67" t="s">
        <v>217</v>
      </c>
      <c r="D337" s="68">
        <v>3</v>
      </c>
      <c r="E337" s="69">
        <v>6.4655172413799998E-4</v>
      </c>
    </row>
    <row r="338" spans="2:5" ht="15" customHeight="1">
      <c r="B338" s="96"/>
      <c r="C338" s="67" t="s">
        <v>218</v>
      </c>
      <c r="D338" s="68">
        <v>8</v>
      </c>
      <c r="E338" s="69">
        <v>1.724137931034E-3</v>
      </c>
    </row>
    <row r="339" spans="2:5" ht="15" customHeight="1">
      <c r="B339" s="96"/>
      <c r="C339" s="67" t="s">
        <v>219</v>
      </c>
      <c r="D339" s="68">
        <v>58</v>
      </c>
      <c r="E339" s="69">
        <v>1.2500000000000001E-2</v>
      </c>
    </row>
    <row r="340" spans="2:5" ht="15" customHeight="1">
      <c r="B340" s="96"/>
      <c r="C340" s="67" t="s">
        <v>220</v>
      </c>
      <c r="D340" s="68">
        <v>2</v>
      </c>
      <c r="E340" s="69">
        <v>4.3103448275899999E-4</v>
      </c>
    </row>
    <row r="341" spans="2:5" ht="15" customHeight="1">
      <c r="B341" s="96"/>
      <c r="C341" s="67" t="s">
        <v>221</v>
      </c>
      <c r="D341" s="68">
        <v>13</v>
      </c>
      <c r="E341" s="69">
        <v>2.8017241379310002E-3</v>
      </c>
    </row>
    <row r="342" spans="2:5" ht="15" customHeight="1">
      <c r="B342" s="96"/>
      <c r="C342" s="67" t="s">
        <v>222</v>
      </c>
      <c r="D342" s="68">
        <v>33</v>
      </c>
      <c r="E342" s="69">
        <v>7.1120689655169997E-3</v>
      </c>
    </row>
    <row r="343" spans="2:5" ht="15" customHeight="1">
      <c r="B343" s="96"/>
      <c r="C343" s="67" t="s">
        <v>227</v>
      </c>
      <c r="D343" s="68">
        <v>4</v>
      </c>
      <c r="E343" s="69">
        <v>8.6206896551700002E-4</v>
      </c>
    </row>
    <row r="344" spans="2:5" ht="15" customHeight="1">
      <c r="B344" s="96"/>
      <c r="C344" s="67" t="s">
        <v>228</v>
      </c>
      <c r="D344" s="68">
        <v>8</v>
      </c>
      <c r="E344" s="69">
        <v>1.724137931034E-3</v>
      </c>
    </row>
    <row r="345" spans="2:5" ht="15" customHeight="1">
      <c r="B345" s="97"/>
      <c r="C345" s="36" t="s">
        <v>29</v>
      </c>
      <c r="D345" s="35">
        <v>154</v>
      </c>
      <c r="E345" s="34">
        <v>3.3189655172413998E-2</v>
      </c>
    </row>
    <row r="346" spans="2:5" ht="15" customHeight="1">
      <c r="B346" s="95" t="s">
        <v>68</v>
      </c>
      <c r="C346" s="67" t="s">
        <v>211</v>
      </c>
      <c r="D346" s="68">
        <v>1</v>
      </c>
      <c r="E346" s="69">
        <v>2.1551724137899999E-4</v>
      </c>
    </row>
    <row r="347" spans="2:5" ht="15" customHeight="1">
      <c r="B347" s="96"/>
      <c r="C347" s="67" t="s">
        <v>213</v>
      </c>
      <c r="D347" s="68">
        <v>1</v>
      </c>
      <c r="E347" s="69">
        <v>2.1551724137899999E-4</v>
      </c>
    </row>
    <row r="348" spans="2:5" ht="15" customHeight="1">
      <c r="B348" s="96"/>
      <c r="C348" s="67" t="s">
        <v>214</v>
      </c>
      <c r="D348" s="68">
        <v>4</v>
      </c>
      <c r="E348" s="69">
        <v>8.6206896551700002E-4</v>
      </c>
    </row>
    <row r="349" spans="2:5" ht="15" customHeight="1">
      <c r="B349" s="96"/>
      <c r="C349" s="67" t="s">
        <v>215</v>
      </c>
      <c r="D349" s="68">
        <v>5</v>
      </c>
      <c r="E349" s="69">
        <v>1.0775862068969999E-3</v>
      </c>
    </row>
    <row r="350" spans="2:5" ht="15" customHeight="1">
      <c r="B350" s="96"/>
      <c r="C350" s="67" t="s">
        <v>217</v>
      </c>
      <c r="D350" s="68">
        <v>1</v>
      </c>
      <c r="E350" s="69">
        <v>2.1551724137899999E-4</v>
      </c>
    </row>
    <row r="351" spans="2:5" ht="15" customHeight="1">
      <c r="B351" s="96"/>
      <c r="C351" s="67" t="s">
        <v>218</v>
      </c>
      <c r="D351" s="68">
        <v>2</v>
      </c>
      <c r="E351" s="69">
        <v>4.3103448275899999E-4</v>
      </c>
    </row>
    <row r="352" spans="2:5" ht="15" customHeight="1">
      <c r="B352" s="96"/>
      <c r="C352" s="67" t="s">
        <v>219</v>
      </c>
      <c r="D352" s="68">
        <v>23</v>
      </c>
      <c r="E352" s="69">
        <v>4.9568965517240004E-3</v>
      </c>
    </row>
    <row r="353" spans="2:5" ht="15" customHeight="1">
      <c r="B353" s="96"/>
      <c r="C353" s="67" t="s">
        <v>220</v>
      </c>
      <c r="D353" s="68">
        <v>1</v>
      </c>
      <c r="E353" s="69">
        <v>2.1551724137899999E-4</v>
      </c>
    </row>
    <row r="354" spans="2:5" ht="15" customHeight="1">
      <c r="B354" s="96"/>
      <c r="C354" s="67" t="s">
        <v>221</v>
      </c>
      <c r="D354" s="68">
        <v>6</v>
      </c>
      <c r="E354" s="69">
        <v>1.293103448276E-3</v>
      </c>
    </row>
    <row r="355" spans="2:5" ht="15" customHeight="1">
      <c r="B355" s="96"/>
      <c r="C355" s="67" t="s">
        <v>222</v>
      </c>
      <c r="D355" s="68">
        <v>16</v>
      </c>
      <c r="E355" s="69">
        <v>3.4482758620690002E-3</v>
      </c>
    </row>
    <row r="356" spans="2:5" ht="15" customHeight="1">
      <c r="B356" s="96"/>
      <c r="C356" s="67" t="s">
        <v>227</v>
      </c>
      <c r="D356" s="68">
        <v>3</v>
      </c>
      <c r="E356" s="69">
        <v>6.4655172413799998E-4</v>
      </c>
    </row>
    <row r="357" spans="2:5" ht="15" customHeight="1">
      <c r="B357" s="96"/>
      <c r="C357" s="67" t="s">
        <v>228</v>
      </c>
      <c r="D357" s="68">
        <v>8</v>
      </c>
      <c r="E357" s="69">
        <v>1.724137931034E-3</v>
      </c>
    </row>
    <row r="358" spans="2:5" ht="15" customHeight="1">
      <c r="B358" s="97"/>
      <c r="C358" s="36" t="s">
        <v>29</v>
      </c>
      <c r="D358" s="35">
        <v>71</v>
      </c>
      <c r="E358" s="34">
        <v>1.5301724137930999E-2</v>
      </c>
    </row>
    <row r="359" spans="2:5" ht="15" customHeight="1">
      <c r="B359" s="95" t="s">
        <v>64</v>
      </c>
      <c r="C359" s="67" t="s">
        <v>208</v>
      </c>
      <c r="D359" s="68">
        <v>1</v>
      </c>
      <c r="E359" s="69">
        <v>2.1551724137899999E-4</v>
      </c>
    </row>
    <row r="360" spans="2:5" ht="15" customHeight="1">
      <c r="B360" s="96"/>
      <c r="C360" s="67" t="s">
        <v>210</v>
      </c>
      <c r="D360" s="68">
        <v>1</v>
      </c>
      <c r="E360" s="69">
        <v>2.1551724137899999E-4</v>
      </c>
    </row>
    <row r="361" spans="2:5" ht="15" customHeight="1">
      <c r="B361" s="96"/>
      <c r="C361" s="67" t="s">
        <v>214</v>
      </c>
      <c r="D361" s="68">
        <v>1</v>
      </c>
      <c r="E361" s="69">
        <v>2.1551724137899999E-4</v>
      </c>
    </row>
    <row r="362" spans="2:5" ht="15" customHeight="1">
      <c r="B362" s="96"/>
      <c r="C362" s="67" t="s">
        <v>215</v>
      </c>
      <c r="D362" s="68">
        <v>6</v>
      </c>
      <c r="E362" s="69">
        <v>1.293103448276E-3</v>
      </c>
    </row>
    <row r="363" spans="2:5" ht="15" customHeight="1">
      <c r="B363" s="96"/>
      <c r="C363" s="67" t="s">
        <v>218</v>
      </c>
      <c r="D363" s="68">
        <v>5</v>
      </c>
      <c r="E363" s="69">
        <v>1.0775862068969999E-3</v>
      </c>
    </row>
    <row r="364" spans="2:5" ht="15" customHeight="1">
      <c r="B364" s="96"/>
      <c r="C364" s="67" t="s">
        <v>219</v>
      </c>
      <c r="D364" s="68">
        <v>34</v>
      </c>
      <c r="E364" s="69">
        <v>7.327586206897E-3</v>
      </c>
    </row>
    <row r="365" spans="2:5" ht="15" customHeight="1">
      <c r="B365" s="96"/>
      <c r="C365" s="67" t="s">
        <v>221</v>
      </c>
      <c r="D365" s="68">
        <v>6</v>
      </c>
      <c r="E365" s="69">
        <v>1.293103448276E-3</v>
      </c>
    </row>
    <row r="366" spans="2:5" ht="15" customHeight="1">
      <c r="B366" s="96"/>
      <c r="C366" s="67" t="s">
        <v>222</v>
      </c>
      <c r="D366" s="68">
        <v>26</v>
      </c>
      <c r="E366" s="69">
        <v>5.6034482758620004E-3</v>
      </c>
    </row>
    <row r="367" spans="2:5" ht="15" customHeight="1">
      <c r="B367" s="96"/>
      <c r="C367" s="67" t="s">
        <v>227</v>
      </c>
      <c r="D367" s="68">
        <v>1</v>
      </c>
      <c r="E367" s="69">
        <v>2.1551724137899999E-4</v>
      </c>
    </row>
    <row r="368" spans="2:5" ht="15" customHeight="1">
      <c r="B368" s="96"/>
      <c r="C368" s="67" t="s">
        <v>228</v>
      </c>
      <c r="D368" s="68">
        <v>4</v>
      </c>
      <c r="E368" s="69">
        <v>8.6206896551700002E-4</v>
      </c>
    </row>
    <row r="369" spans="2:5" ht="15" customHeight="1">
      <c r="B369" s="97"/>
      <c r="C369" s="36" t="s">
        <v>29</v>
      </c>
      <c r="D369" s="35">
        <v>85</v>
      </c>
      <c r="E369" s="34">
        <v>1.8318965517241E-2</v>
      </c>
    </row>
    <row r="370" spans="2:5" ht="15" customHeight="1">
      <c r="B370" s="95" t="s">
        <v>88</v>
      </c>
      <c r="C370" s="67" t="s">
        <v>215</v>
      </c>
      <c r="D370" s="68">
        <v>2</v>
      </c>
      <c r="E370" s="69">
        <v>4.3103448275899999E-4</v>
      </c>
    </row>
    <row r="371" spans="2:5" ht="15" customHeight="1">
      <c r="B371" s="96"/>
      <c r="C371" s="67" t="s">
        <v>219</v>
      </c>
      <c r="D371" s="68">
        <v>6</v>
      </c>
      <c r="E371" s="69">
        <v>1.293103448276E-3</v>
      </c>
    </row>
    <row r="372" spans="2:5" ht="15" customHeight="1">
      <c r="B372" s="96"/>
      <c r="C372" s="67" t="s">
        <v>222</v>
      </c>
      <c r="D372" s="68">
        <v>7</v>
      </c>
      <c r="E372" s="69">
        <v>1.508620689655E-3</v>
      </c>
    </row>
    <row r="373" spans="2:5" ht="15" customHeight="1">
      <c r="B373" s="96"/>
      <c r="C373" s="67" t="s">
        <v>227</v>
      </c>
      <c r="D373" s="68">
        <v>1</v>
      </c>
      <c r="E373" s="69">
        <v>2.1551724137899999E-4</v>
      </c>
    </row>
    <row r="374" spans="2:5" ht="15" customHeight="1">
      <c r="B374" s="97"/>
      <c r="C374" s="36" t="s">
        <v>29</v>
      </c>
      <c r="D374" s="35">
        <v>16</v>
      </c>
      <c r="E374" s="34">
        <v>3.4482758620690002E-3</v>
      </c>
    </row>
    <row r="375" spans="2:5" ht="15" customHeight="1">
      <c r="B375" s="95" t="s">
        <v>51</v>
      </c>
      <c r="C375" s="67" t="s">
        <v>208</v>
      </c>
      <c r="D375" s="68">
        <v>4</v>
      </c>
      <c r="E375" s="69">
        <v>8.6206896551700002E-4</v>
      </c>
    </row>
    <row r="376" spans="2:5" ht="15" customHeight="1">
      <c r="B376" s="96"/>
      <c r="C376" s="67" t="s">
        <v>210</v>
      </c>
      <c r="D376" s="68">
        <v>3</v>
      </c>
      <c r="E376" s="69">
        <v>6.4655172413799998E-4</v>
      </c>
    </row>
    <row r="377" spans="2:5" ht="15" customHeight="1">
      <c r="B377" s="96"/>
      <c r="C377" s="67" t="s">
        <v>211</v>
      </c>
      <c r="D377" s="68">
        <v>1</v>
      </c>
      <c r="E377" s="69">
        <v>2.1551724137899999E-4</v>
      </c>
    </row>
    <row r="378" spans="2:5" ht="15" customHeight="1">
      <c r="B378" s="96"/>
      <c r="C378" s="67" t="s">
        <v>213</v>
      </c>
      <c r="D378" s="68">
        <v>1</v>
      </c>
      <c r="E378" s="69">
        <v>2.1551724137899999E-4</v>
      </c>
    </row>
    <row r="379" spans="2:5" ht="15" customHeight="1">
      <c r="B379" s="96"/>
      <c r="C379" s="67" t="s">
        <v>214</v>
      </c>
      <c r="D379" s="68">
        <v>11</v>
      </c>
      <c r="E379" s="69">
        <v>2.370689655172E-3</v>
      </c>
    </row>
    <row r="380" spans="2:5" ht="15" customHeight="1">
      <c r="B380" s="96"/>
      <c r="C380" s="67" t="s">
        <v>215</v>
      </c>
      <c r="D380" s="68">
        <v>21</v>
      </c>
      <c r="E380" s="69">
        <v>4.5258620689659999E-3</v>
      </c>
    </row>
    <row r="381" spans="2:5" ht="15" customHeight="1">
      <c r="B381" s="96"/>
      <c r="C381" s="67" t="s">
        <v>216</v>
      </c>
      <c r="D381" s="68">
        <v>2</v>
      </c>
      <c r="E381" s="69">
        <v>4.3103448275899999E-4</v>
      </c>
    </row>
    <row r="382" spans="2:5" ht="15" customHeight="1">
      <c r="B382" s="96"/>
      <c r="C382" s="67" t="s">
        <v>217</v>
      </c>
      <c r="D382" s="68">
        <v>5</v>
      </c>
      <c r="E382" s="69">
        <v>1.0775862068969999E-3</v>
      </c>
    </row>
    <row r="383" spans="2:5" ht="15" customHeight="1">
      <c r="B383" s="96"/>
      <c r="C383" s="67" t="s">
        <v>218</v>
      </c>
      <c r="D383" s="68">
        <v>10</v>
      </c>
      <c r="E383" s="69">
        <v>2.1551724137930002E-3</v>
      </c>
    </row>
    <row r="384" spans="2:5" ht="15" customHeight="1">
      <c r="B384" s="96"/>
      <c r="C384" s="67" t="s">
        <v>219</v>
      </c>
      <c r="D384" s="68">
        <v>109</v>
      </c>
      <c r="E384" s="69">
        <v>2.3491379310344999E-2</v>
      </c>
    </row>
    <row r="385" spans="2:5" ht="15" customHeight="1">
      <c r="B385" s="96"/>
      <c r="C385" s="67" t="s">
        <v>220</v>
      </c>
      <c r="D385" s="68">
        <v>2</v>
      </c>
      <c r="E385" s="69">
        <v>4.3103448275899999E-4</v>
      </c>
    </row>
    <row r="386" spans="2:5" ht="15" customHeight="1">
      <c r="B386" s="96"/>
      <c r="C386" s="67" t="s">
        <v>221</v>
      </c>
      <c r="D386" s="68">
        <v>11</v>
      </c>
      <c r="E386" s="69">
        <v>2.370689655172E-3</v>
      </c>
    </row>
    <row r="387" spans="2:5" ht="15" customHeight="1">
      <c r="B387" s="96"/>
      <c r="C387" s="67" t="s">
        <v>222</v>
      </c>
      <c r="D387" s="68">
        <v>94</v>
      </c>
      <c r="E387" s="69">
        <v>2.0258620689655001E-2</v>
      </c>
    </row>
    <row r="388" spans="2:5" ht="15" customHeight="1">
      <c r="B388" s="96"/>
      <c r="C388" s="67" t="s">
        <v>226</v>
      </c>
      <c r="D388" s="68">
        <v>1</v>
      </c>
      <c r="E388" s="69">
        <v>2.1551724137899999E-4</v>
      </c>
    </row>
    <row r="389" spans="2:5" ht="15" customHeight="1">
      <c r="B389" s="96"/>
      <c r="C389" s="67" t="s">
        <v>227</v>
      </c>
      <c r="D389" s="68">
        <v>7</v>
      </c>
      <c r="E389" s="69">
        <v>1.508620689655E-3</v>
      </c>
    </row>
    <row r="390" spans="2:5" ht="15" customHeight="1">
      <c r="B390" s="96"/>
      <c r="C390" s="67" t="s">
        <v>228</v>
      </c>
      <c r="D390" s="68">
        <v>6</v>
      </c>
      <c r="E390" s="69">
        <v>1.293103448276E-3</v>
      </c>
    </row>
    <row r="391" spans="2:5" ht="15" customHeight="1">
      <c r="B391" s="97"/>
      <c r="C391" s="36" t="s">
        <v>29</v>
      </c>
      <c r="D391" s="35">
        <v>288</v>
      </c>
      <c r="E391" s="34">
        <v>6.2068965517240997E-2</v>
      </c>
    </row>
    <row r="392" spans="2:5" ht="15" customHeight="1">
      <c r="B392" s="95" t="s">
        <v>90</v>
      </c>
      <c r="C392" s="67" t="s">
        <v>210</v>
      </c>
      <c r="D392" s="68">
        <v>1</v>
      </c>
      <c r="E392" s="69">
        <v>2.1551724137899999E-4</v>
      </c>
    </row>
    <row r="393" spans="2:5" ht="15" customHeight="1">
      <c r="B393" s="96"/>
      <c r="C393" s="67" t="s">
        <v>214</v>
      </c>
      <c r="D393" s="68">
        <v>1</v>
      </c>
      <c r="E393" s="69">
        <v>2.1551724137899999E-4</v>
      </c>
    </row>
    <row r="394" spans="2:5" ht="15" customHeight="1">
      <c r="B394" s="96"/>
      <c r="C394" s="67" t="s">
        <v>215</v>
      </c>
      <c r="D394" s="68">
        <v>2</v>
      </c>
      <c r="E394" s="69">
        <v>4.3103448275899999E-4</v>
      </c>
    </row>
    <row r="395" spans="2:5" ht="15" customHeight="1">
      <c r="B395" s="96"/>
      <c r="C395" s="67" t="s">
        <v>219</v>
      </c>
      <c r="D395" s="68">
        <v>2</v>
      </c>
      <c r="E395" s="69">
        <v>4.3103448275899999E-4</v>
      </c>
    </row>
    <row r="396" spans="2:5" ht="15" customHeight="1">
      <c r="B396" s="96"/>
      <c r="C396" s="67" t="s">
        <v>222</v>
      </c>
      <c r="D396" s="68">
        <v>6</v>
      </c>
      <c r="E396" s="69">
        <v>1.293103448276E-3</v>
      </c>
    </row>
    <row r="397" spans="2:5" ht="15" customHeight="1">
      <c r="B397" s="96"/>
      <c r="C397" s="67" t="s">
        <v>228</v>
      </c>
      <c r="D397" s="68">
        <v>2</v>
      </c>
      <c r="E397" s="69">
        <v>4.3103448275899999E-4</v>
      </c>
    </row>
    <row r="398" spans="2:5" ht="15" customHeight="1">
      <c r="B398" s="97"/>
      <c r="C398" s="36" t="s">
        <v>29</v>
      </c>
      <c r="D398" s="35">
        <v>14</v>
      </c>
      <c r="E398" s="34">
        <v>3.01724137931E-3</v>
      </c>
    </row>
    <row r="399" spans="2:5" ht="15" customHeight="1">
      <c r="B399" s="95" t="s">
        <v>69</v>
      </c>
      <c r="C399" s="67" t="s">
        <v>208</v>
      </c>
      <c r="D399" s="68">
        <v>1</v>
      </c>
      <c r="E399" s="69">
        <v>2.1551724137899999E-4</v>
      </c>
    </row>
    <row r="400" spans="2:5" ht="15" customHeight="1">
      <c r="B400" s="96"/>
      <c r="C400" s="67" t="s">
        <v>209</v>
      </c>
      <c r="D400" s="68">
        <v>1</v>
      </c>
      <c r="E400" s="69">
        <v>2.1551724137899999E-4</v>
      </c>
    </row>
    <row r="401" spans="2:5" ht="15" customHeight="1">
      <c r="B401" s="96"/>
      <c r="C401" s="67" t="s">
        <v>215</v>
      </c>
      <c r="D401" s="68">
        <v>10</v>
      </c>
      <c r="E401" s="69">
        <v>2.1551724137930002E-3</v>
      </c>
    </row>
    <row r="402" spans="2:5" ht="15" customHeight="1">
      <c r="B402" s="96"/>
      <c r="C402" s="67" t="s">
        <v>216</v>
      </c>
      <c r="D402" s="68">
        <v>1</v>
      </c>
      <c r="E402" s="69">
        <v>2.1551724137899999E-4</v>
      </c>
    </row>
    <row r="403" spans="2:5" ht="15" customHeight="1">
      <c r="B403" s="96"/>
      <c r="C403" s="67" t="s">
        <v>217</v>
      </c>
      <c r="D403" s="68">
        <v>1</v>
      </c>
      <c r="E403" s="69">
        <v>2.1551724137899999E-4</v>
      </c>
    </row>
    <row r="404" spans="2:5" ht="15" customHeight="1">
      <c r="B404" s="96"/>
      <c r="C404" s="67" t="s">
        <v>218</v>
      </c>
      <c r="D404" s="68">
        <v>3</v>
      </c>
      <c r="E404" s="69">
        <v>6.4655172413799998E-4</v>
      </c>
    </row>
    <row r="405" spans="2:5" ht="15" customHeight="1">
      <c r="B405" s="96"/>
      <c r="C405" s="67" t="s">
        <v>219</v>
      </c>
      <c r="D405" s="68">
        <v>16</v>
      </c>
      <c r="E405" s="69">
        <v>3.4482758620690002E-3</v>
      </c>
    </row>
    <row r="406" spans="2:5" ht="15" customHeight="1">
      <c r="B406" s="96"/>
      <c r="C406" s="67" t="s">
        <v>221</v>
      </c>
      <c r="D406" s="68">
        <v>1</v>
      </c>
      <c r="E406" s="69">
        <v>2.1551724137899999E-4</v>
      </c>
    </row>
    <row r="407" spans="2:5" ht="15" customHeight="1">
      <c r="B407" s="96"/>
      <c r="C407" s="67" t="s">
        <v>222</v>
      </c>
      <c r="D407" s="68">
        <v>22</v>
      </c>
      <c r="E407" s="69">
        <v>4.7413793103450001E-3</v>
      </c>
    </row>
    <row r="408" spans="2:5" ht="15" customHeight="1">
      <c r="B408" s="96"/>
      <c r="C408" s="67" t="s">
        <v>225</v>
      </c>
      <c r="D408" s="68">
        <v>2</v>
      </c>
      <c r="E408" s="69">
        <v>4.3103448275899999E-4</v>
      </c>
    </row>
    <row r="409" spans="2:5" ht="15" customHeight="1">
      <c r="B409" s="96"/>
      <c r="C409" s="67" t="s">
        <v>227</v>
      </c>
      <c r="D409" s="68">
        <v>1</v>
      </c>
      <c r="E409" s="69">
        <v>2.1551724137899999E-4</v>
      </c>
    </row>
    <row r="410" spans="2:5" ht="15" customHeight="1">
      <c r="B410" s="96"/>
      <c r="C410" s="67" t="s">
        <v>228</v>
      </c>
      <c r="D410" s="68">
        <v>5</v>
      </c>
      <c r="E410" s="69">
        <v>1.0775862068969999E-3</v>
      </c>
    </row>
    <row r="411" spans="2:5" ht="15" customHeight="1">
      <c r="B411" s="97"/>
      <c r="C411" s="36" t="s">
        <v>29</v>
      </c>
      <c r="D411" s="35">
        <v>64</v>
      </c>
      <c r="E411" s="34">
        <v>1.3793103448276001E-2</v>
      </c>
    </row>
    <row r="412" spans="2:5" ht="15" customHeight="1">
      <c r="B412" s="95" t="s">
        <v>84</v>
      </c>
      <c r="C412" s="67" t="s">
        <v>210</v>
      </c>
      <c r="D412" s="68">
        <v>1</v>
      </c>
      <c r="E412" s="69">
        <v>2.1551724137899999E-4</v>
      </c>
    </row>
    <row r="413" spans="2:5" ht="15" customHeight="1">
      <c r="B413" s="96"/>
      <c r="C413" s="67" t="s">
        <v>213</v>
      </c>
      <c r="D413" s="68">
        <v>1</v>
      </c>
      <c r="E413" s="69">
        <v>2.1551724137899999E-4</v>
      </c>
    </row>
    <row r="414" spans="2:5" ht="15" customHeight="1">
      <c r="B414" s="96"/>
      <c r="C414" s="67" t="s">
        <v>214</v>
      </c>
      <c r="D414" s="68">
        <v>1</v>
      </c>
      <c r="E414" s="69">
        <v>2.1551724137899999E-4</v>
      </c>
    </row>
    <row r="415" spans="2:5" ht="15" customHeight="1">
      <c r="B415" s="96"/>
      <c r="C415" s="67" t="s">
        <v>215</v>
      </c>
      <c r="D415" s="68">
        <v>1</v>
      </c>
      <c r="E415" s="69">
        <v>2.1551724137899999E-4</v>
      </c>
    </row>
    <row r="416" spans="2:5" ht="15" customHeight="1">
      <c r="B416" s="96"/>
      <c r="C416" s="67" t="s">
        <v>216</v>
      </c>
      <c r="D416" s="68">
        <v>1</v>
      </c>
      <c r="E416" s="69">
        <v>2.1551724137899999E-4</v>
      </c>
    </row>
    <row r="417" spans="2:5" ht="15" customHeight="1">
      <c r="B417" s="96"/>
      <c r="C417" s="67" t="s">
        <v>219</v>
      </c>
      <c r="D417" s="68">
        <v>10</v>
      </c>
      <c r="E417" s="69">
        <v>2.1551724137930002E-3</v>
      </c>
    </row>
    <row r="418" spans="2:5" ht="15" customHeight="1">
      <c r="B418" s="96"/>
      <c r="C418" s="67" t="s">
        <v>220</v>
      </c>
      <c r="D418" s="68">
        <v>1</v>
      </c>
      <c r="E418" s="69">
        <v>2.1551724137899999E-4</v>
      </c>
    </row>
    <row r="419" spans="2:5" ht="15" customHeight="1">
      <c r="B419" s="96"/>
      <c r="C419" s="67" t="s">
        <v>221</v>
      </c>
      <c r="D419" s="68">
        <v>1</v>
      </c>
      <c r="E419" s="69">
        <v>2.1551724137899999E-4</v>
      </c>
    </row>
    <row r="420" spans="2:5" ht="15" customHeight="1">
      <c r="B420" s="96"/>
      <c r="C420" s="67" t="s">
        <v>222</v>
      </c>
      <c r="D420" s="68">
        <v>6</v>
      </c>
      <c r="E420" s="69">
        <v>1.293103448276E-3</v>
      </c>
    </row>
    <row r="421" spans="2:5" ht="15" customHeight="1">
      <c r="B421" s="96"/>
      <c r="C421" s="67" t="s">
        <v>228</v>
      </c>
      <c r="D421" s="68">
        <v>1</v>
      </c>
      <c r="E421" s="69">
        <v>2.1551724137899999E-4</v>
      </c>
    </row>
    <row r="422" spans="2:5" ht="15" customHeight="1">
      <c r="B422" s="97"/>
      <c r="C422" s="36" t="s">
        <v>29</v>
      </c>
      <c r="D422" s="35">
        <v>24</v>
      </c>
      <c r="E422" s="34">
        <v>5.1724137931029998E-3</v>
      </c>
    </row>
    <row r="423" spans="2:5" ht="15" customHeight="1">
      <c r="B423" s="95" t="s">
        <v>67</v>
      </c>
      <c r="C423" s="67" t="s">
        <v>214</v>
      </c>
      <c r="D423" s="68">
        <v>4</v>
      </c>
      <c r="E423" s="69">
        <v>8.6206896551700002E-4</v>
      </c>
    </row>
    <row r="424" spans="2:5" ht="15" customHeight="1">
      <c r="B424" s="96"/>
      <c r="C424" s="67" t="s">
        <v>215</v>
      </c>
      <c r="D424" s="68">
        <v>7</v>
      </c>
      <c r="E424" s="69">
        <v>1.508620689655E-3</v>
      </c>
    </row>
    <row r="425" spans="2:5" ht="15" customHeight="1">
      <c r="B425" s="96"/>
      <c r="C425" s="67" t="s">
        <v>217</v>
      </c>
      <c r="D425" s="68">
        <v>1</v>
      </c>
      <c r="E425" s="69">
        <v>2.1551724137899999E-4</v>
      </c>
    </row>
    <row r="426" spans="2:5" ht="15" customHeight="1">
      <c r="B426" s="96"/>
      <c r="C426" s="67" t="s">
        <v>218</v>
      </c>
      <c r="D426" s="68">
        <v>7</v>
      </c>
      <c r="E426" s="69">
        <v>1.508620689655E-3</v>
      </c>
    </row>
    <row r="427" spans="2:5" ht="15" customHeight="1">
      <c r="B427" s="96"/>
      <c r="C427" s="67" t="s">
        <v>219</v>
      </c>
      <c r="D427" s="68">
        <v>18</v>
      </c>
      <c r="E427" s="69">
        <v>3.8793103448279999E-3</v>
      </c>
    </row>
    <row r="428" spans="2:5" ht="15" customHeight="1">
      <c r="B428" s="96"/>
      <c r="C428" s="67" t="s">
        <v>220</v>
      </c>
      <c r="D428" s="68">
        <v>1</v>
      </c>
      <c r="E428" s="69">
        <v>2.1551724137899999E-4</v>
      </c>
    </row>
    <row r="429" spans="2:5" ht="15" customHeight="1">
      <c r="B429" s="96"/>
      <c r="C429" s="67" t="s">
        <v>221</v>
      </c>
      <c r="D429" s="68">
        <v>8</v>
      </c>
      <c r="E429" s="69">
        <v>1.724137931034E-3</v>
      </c>
    </row>
    <row r="430" spans="2:5" ht="15" customHeight="1">
      <c r="B430" s="96"/>
      <c r="C430" s="67" t="s">
        <v>222</v>
      </c>
      <c r="D430" s="68">
        <v>21</v>
      </c>
      <c r="E430" s="69">
        <v>4.5258620689659999E-3</v>
      </c>
    </row>
    <row r="431" spans="2:5" ht="15" customHeight="1">
      <c r="B431" s="96"/>
      <c r="C431" s="67" t="s">
        <v>228</v>
      </c>
      <c r="D431" s="68">
        <v>4</v>
      </c>
      <c r="E431" s="69">
        <v>8.6206896551700002E-4</v>
      </c>
    </row>
    <row r="432" spans="2:5" ht="15" customHeight="1">
      <c r="B432" s="96"/>
      <c r="C432" s="67" t="s">
        <v>229</v>
      </c>
      <c r="D432" s="68">
        <v>1</v>
      </c>
      <c r="E432" s="69">
        <v>2.1551724137899999E-4</v>
      </c>
    </row>
    <row r="433" spans="2:5" ht="15" customHeight="1">
      <c r="B433" s="97"/>
      <c r="C433" s="36" t="s">
        <v>29</v>
      </c>
      <c r="D433" s="35">
        <v>72</v>
      </c>
      <c r="E433" s="34">
        <v>1.5517241379309999E-2</v>
      </c>
    </row>
    <row r="434" spans="2:5" ht="15" customHeight="1">
      <c r="B434" s="95" t="s">
        <v>49</v>
      </c>
      <c r="C434" s="67" t="s">
        <v>208</v>
      </c>
      <c r="D434" s="68">
        <v>11</v>
      </c>
      <c r="E434" s="69">
        <v>2.370689655172E-3</v>
      </c>
    </row>
    <row r="435" spans="2:5" ht="15" customHeight="1">
      <c r="B435" s="96"/>
      <c r="C435" s="67" t="s">
        <v>209</v>
      </c>
      <c r="D435" s="68">
        <v>4</v>
      </c>
      <c r="E435" s="69">
        <v>8.6206896551700002E-4</v>
      </c>
    </row>
    <row r="436" spans="2:5" ht="15" customHeight="1">
      <c r="B436" s="96"/>
      <c r="C436" s="67" t="s">
        <v>210</v>
      </c>
      <c r="D436" s="68">
        <v>6</v>
      </c>
      <c r="E436" s="69">
        <v>1.293103448276E-3</v>
      </c>
    </row>
    <row r="437" spans="2:5" ht="15" customHeight="1">
      <c r="B437" s="96"/>
      <c r="C437" s="67" t="s">
        <v>211</v>
      </c>
      <c r="D437" s="68">
        <v>9</v>
      </c>
      <c r="E437" s="69">
        <v>1.9396551724139999E-3</v>
      </c>
    </row>
    <row r="438" spans="2:5" ht="15" customHeight="1">
      <c r="B438" s="96"/>
      <c r="C438" s="67" t="s">
        <v>212</v>
      </c>
      <c r="D438" s="68">
        <v>1</v>
      </c>
      <c r="E438" s="69">
        <v>2.1551724137899999E-4</v>
      </c>
    </row>
    <row r="439" spans="2:5" ht="15" customHeight="1">
      <c r="B439" s="96"/>
      <c r="C439" s="67" t="s">
        <v>213</v>
      </c>
      <c r="D439" s="68">
        <v>7</v>
      </c>
      <c r="E439" s="69">
        <v>1.508620689655E-3</v>
      </c>
    </row>
    <row r="440" spans="2:5" ht="15" customHeight="1">
      <c r="B440" s="96"/>
      <c r="C440" s="67" t="s">
        <v>214</v>
      </c>
      <c r="D440" s="68">
        <v>30</v>
      </c>
      <c r="E440" s="69">
        <v>6.4655172413789997E-3</v>
      </c>
    </row>
    <row r="441" spans="2:5" ht="15" customHeight="1">
      <c r="B441" s="96"/>
      <c r="C441" s="67" t="s">
        <v>215</v>
      </c>
      <c r="D441" s="68">
        <v>80</v>
      </c>
      <c r="E441" s="69">
        <v>1.7241379310345001E-2</v>
      </c>
    </row>
    <row r="442" spans="2:5" ht="15" customHeight="1">
      <c r="B442" s="96"/>
      <c r="C442" s="67" t="s">
        <v>216</v>
      </c>
      <c r="D442" s="68">
        <v>6</v>
      </c>
      <c r="E442" s="69">
        <v>1.293103448276E-3</v>
      </c>
    </row>
    <row r="443" spans="2:5" ht="15" customHeight="1">
      <c r="B443" s="96"/>
      <c r="C443" s="67" t="s">
        <v>217</v>
      </c>
      <c r="D443" s="68">
        <v>10</v>
      </c>
      <c r="E443" s="69">
        <v>2.1551724137930002E-3</v>
      </c>
    </row>
    <row r="444" spans="2:5" ht="15" customHeight="1">
      <c r="B444" s="96"/>
      <c r="C444" s="67" t="s">
        <v>218</v>
      </c>
      <c r="D444" s="68">
        <v>25</v>
      </c>
      <c r="E444" s="69">
        <v>5.3879310344830001E-3</v>
      </c>
    </row>
    <row r="445" spans="2:5" ht="15" customHeight="1">
      <c r="B445" s="96"/>
      <c r="C445" s="67" t="s">
        <v>219</v>
      </c>
      <c r="D445" s="68">
        <v>287</v>
      </c>
      <c r="E445" s="69">
        <v>6.1853448275861998E-2</v>
      </c>
    </row>
    <row r="446" spans="2:5" ht="15" customHeight="1">
      <c r="B446" s="96"/>
      <c r="C446" s="67" t="s">
        <v>221</v>
      </c>
      <c r="D446" s="68">
        <v>39</v>
      </c>
      <c r="E446" s="69">
        <v>8.4051724137930005E-3</v>
      </c>
    </row>
    <row r="447" spans="2:5" ht="15" customHeight="1">
      <c r="B447" s="96"/>
      <c r="C447" s="67" t="s">
        <v>222</v>
      </c>
      <c r="D447" s="68">
        <v>171</v>
      </c>
      <c r="E447" s="69">
        <v>3.6853448275861997E-2</v>
      </c>
    </row>
    <row r="448" spans="2:5" ht="15" customHeight="1">
      <c r="B448" s="96"/>
      <c r="C448" s="67" t="s">
        <v>224</v>
      </c>
      <c r="D448" s="68">
        <v>2</v>
      </c>
      <c r="E448" s="69">
        <v>4.3103448275899999E-4</v>
      </c>
    </row>
    <row r="449" spans="2:5" ht="15" customHeight="1">
      <c r="B449" s="96"/>
      <c r="C449" s="67" t="s">
        <v>225</v>
      </c>
      <c r="D449" s="68">
        <v>1</v>
      </c>
      <c r="E449" s="69">
        <v>2.1551724137899999E-4</v>
      </c>
    </row>
    <row r="450" spans="2:5" ht="15" customHeight="1">
      <c r="B450" s="96"/>
      <c r="C450" s="67" t="s">
        <v>227</v>
      </c>
      <c r="D450" s="68">
        <v>9</v>
      </c>
      <c r="E450" s="69">
        <v>1.9396551724139999E-3</v>
      </c>
    </row>
    <row r="451" spans="2:5" ht="15" customHeight="1">
      <c r="B451" s="96"/>
      <c r="C451" s="67" t="s">
        <v>228</v>
      </c>
      <c r="D451" s="68">
        <v>23</v>
      </c>
      <c r="E451" s="69">
        <v>4.9568965517240004E-3</v>
      </c>
    </row>
    <row r="452" spans="2:5" ht="15" customHeight="1">
      <c r="B452" s="96"/>
      <c r="C452" s="67" t="s">
        <v>229</v>
      </c>
      <c r="D452" s="68">
        <v>1</v>
      </c>
      <c r="E452" s="69">
        <v>2.1551724137899999E-4</v>
      </c>
    </row>
    <row r="453" spans="2:5" ht="15" customHeight="1">
      <c r="B453" s="97"/>
      <c r="C453" s="36" t="s">
        <v>29</v>
      </c>
      <c r="D453" s="35">
        <v>722</v>
      </c>
      <c r="E453" s="34">
        <v>0.15560344827586201</v>
      </c>
    </row>
    <row r="454" spans="2:5" ht="15" customHeight="1">
      <c r="B454" s="95" t="s">
        <v>82</v>
      </c>
      <c r="C454" s="67" t="s">
        <v>214</v>
      </c>
      <c r="D454" s="68">
        <v>2</v>
      </c>
      <c r="E454" s="69">
        <v>4.3103448275899999E-4</v>
      </c>
    </row>
    <row r="455" spans="2:5" ht="15" customHeight="1">
      <c r="B455" s="96"/>
      <c r="C455" s="67" t="s">
        <v>215</v>
      </c>
      <c r="D455" s="68">
        <v>2</v>
      </c>
      <c r="E455" s="69">
        <v>4.3103448275899999E-4</v>
      </c>
    </row>
    <row r="456" spans="2:5" ht="15" customHeight="1">
      <c r="B456" s="96"/>
      <c r="C456" s="67" t="s">
        <v>218</v>
      </c>
      <c r="D456" s="68">
        <v>1</v>
      </c>
      <c r="E456" s="69">
        <v>2.1551724137899999E-4</v>
      </c>
    </row>
    <row r="457" spans="2:5" ht="15" customHeight="1">
      <c r="B457" s="96"/>
      <c r="C457" s="67" t="s">
        <v>219</v>
      </c>
      <c r="D457" s="68">
        <v>7</v>
      </c>
      <c r="E457" s="69">
        <v>1.508620689655E-3</v>
      </c>
    </row>
    <row r="458" spans="2:5" ht="15" customHeight="1">
      <c r="B458" s="96"/>
      <c r="C458" s="67" t="s">
        <v>221</v>
      </c>
      <c r="D458" s="68">
        <v>1</v>
      </c>
      <c r="E458" s="69">
        <v>2.1551724137899999E-4</v>
      </c>
    </row>
    <row r="459" spans="2:5" ht="15" customHeight="1">
      <c r="B459" s="96"/>
      <c r="C459" s="67" t="s">
        <v>222</v>
      </c>
      <c r="D459" s="68">
        <v>12</v>
      </c>
      <c r="E459" s="69">
        <v>2.5862068965519999E-3</v>
      </c>
    </row>
    <row r="460" spans="2:5" ht="15" customHeight="1">
      <c r="B460" s="96"/>
      <c r="C460" s="67" t="s">
        <v>223</v>
      </c>
      <c r="D460" s="68">
        <v>1</v>
      </c>
      <c r="E460" s="69">
        <v>2.1551724137899999E-4</v>
      </c>
    </row>
    <row r="461" spans="2:5" ht="15" customHeight="1">
      <c r="B461" s="96"/>
      <c r="C461" s="67" t="s">
        <v>227</v>
      </c>
      <c r="D461" s="68">
        <v>1</v>
      </c>
      <c r="E461" s="69">
        <v>2.1551724137899999E-4</v>
      </c>
    </row>
    <row r="462" spans="2:5" ht="15" customHeight="1">
      <c r="B462" s="96"/>
      <c r="C462" s="67" t="s">
        <v>228</v>
      </c>
      <c r="D462" s="68">
        <v>1</v>
      </c>
      <c r="E462" s="69">
        <v>2.1551724137899999E-4</v>
      </c>
    </row>
    <row r="463" spans="2:5" ht="15" customHeight="1">
      <c r="B463" s="97"/>
      <c r="C463" s="36" t="s">
        <v>29</v>
      </c>
      <c r="D463" s="35">
        <v>28</v>
      </c>
      <c r="E463" s="34">
        <v>6.0344827586210001E-3</v>
      </c>
    </row>
    <row r="464" spans="2:5" ht="15" customHeight="1">
      <c r="B464" s="95" t="s">
        <v>73</v>
      </c>
      <c r="C464" s="67" t="s">
        <v>208</v>
      </c>
      <c r="D464" s="68">
        <v>2</v>
      </c>
      <c r="E464" s="69">
        <v>4.3103448275899999E-4</v>
      </c>
    </row>
    <row r="465" spans="2:5" ht="15" customHeight="1">
      <c r="B465" s="96"/>
      <c r="C465" s="67" t="s">
        <v>212</v>
      </c>
      <c r="D465" s="68">
        <v>1</v>
      </c>
      <c r="E465" s="69">
        <v>2.1551724137899999E-4</v>
      </c>
    </row>
    <row r="466" spans="2:5" ht="15" customHeight="1">
      <c r="B466" s="96"/>
      <c r="C466" s="67" t="s">
        <v>214</v>
      </c>
      <c r="D466" s="68">
        <v>2</v>
      </c>
      <c r="E466" s="69">
        <v>4.3103448275899999E-4</v>
      </c>
    </row>
    <row r="467" spans="2:5" ht="15" customHeight="1">
      <c r="B467" s="96"/>
      <c r="C467" s="67" t="s">
        <v>215</v>
      </c>
      <c r="D467" s="68">
        <v>2</v>
      </c>
      <c r="E467" s="69">
        <v>4.3103448275899999E-4</v>
      </c>
    </row>
    <row r="468" spans="2:5" ht="15" customHeight="1">
      <c r="B468" s="96"/>
      <c r="C468" s="67" t="s">
        <v>217</v>
      </c>
      <c r="D468" s="68">
        <v>1</v>
      </c>
      <c r="E468" s="69">
        <v>2.1551724137899999E-4</v>
      </c>
    </row>
    <row r="469" spans="2:5" ht="15" customHeight="1">
      <c r="B469" s="96"/>
      <c r="C469" s="67" t="s">
        <v>218</v>
      </c>
      <c r="D469" s="68">
        <v>2</v>
      </c>
      <c r="E469" s="69">
        <v>4.3103448275899999E-4</v>
      </c>
    </row>
    <row r="470" spans="2:5" ht="15" customHeight="1">
      <c r="B470" s="96"/>
      <c r="C470" s="67" t="s">
        <v>219</v>
      </c>
      <c r="D470" s="68">
        <v>20</v>
      </c>
      <c r="E470" s="69">
        <v>4.3103448275860004E-3</v>
      </c>
    </row>
    <row r="471" spans="2:5" ht="15" customHeight="1">
      <c r="B471" s="96"/>
      <c r="C471" s="67" t="s">
        <v>220</v>
      </c>
      <c r="D471" s="68">
        <v>2</v>
      </c>
      <c r="E471" s="69">
        <v>4.3103448275899999E-4</v>
      </c>
    </row>
    <row r="472" spans="2:5" ht="15" customHeight="1">
      <c r="B472" s="96"/>
      <c r="C472" s="67" t="s">
        <v>221</v>
      </c>
      <c r="D472" s="68">
        <v>2</v>
      </c>
      <c r="E472" s="69">
        <v>4.3103448275899999E-4</v>
      </c>
    </row>
    <row r="473" spans="2:5" ht="15" customHeight="1">
      <c r="B473" s="96"/>
      <c r="C473" s="67" t="s">
        <v>222</v>
      </c>
      <c r="D473" s="68">
        <v>14</v>
      </c>
      <c r="E473" s="69">
        <v>3.01724137931E-3</v>
      </c>
    </row>
    <row r="474" spans="2:5" ht="15" customHeight="1">
      <c r="B474" s="96"/>
      <c r="C474" s="67" t="s">
        <v>227</v>
      </c>
      <c r="D474" s="68">
        <v>1</v>
      </c>
      <c r="E474" s="69">
        <v>2.1551724137899999E-4</v>
      </c>
    </row>
    <row r="475" spans="2:5" ht="15" customHeight="1">
      <c r="B475" s="96"/>
      <c r="C475" s="67" t="s">
        <v>228</v>
      </c>
      <c r="D475" s="68">
        <v>2</v>
      </c>
      <c r="E475" s="69">
        <v>4.3103448275899999E-4</v>
      </c>
    </row>
    <row r="476" spans="2:5" ht="15" customHeight="1">
      <c r="B476" s="97"/>
      <c r="C476" s="36" t="s">
        <v>29</v>
      </c>
      <c r="D476" s="35">
        <v>51</v>
      </c>
      <c r="E476" s="34">
        <v>1.0991379310345E-2</v>
      </c>
    </row>
    <row r="477" spans="2:5" ht="15" customHeight="1">
      <c r="B477" s="95" t="s">
        <v>83</v>
      </c>
      <c r="C477" s="67" t="s">
        <v>214</v>
      </c>
      <c r="D477" s="68">
        <v>2</v>
      </c>
      <c r="E477" s="69">
        <v>4.3103448275899999E-4</v>
      </c>
    </row>
    <row r="478" spans="2:5" ht="15" customHeight="1">
      <c r="B478" s="96"/>
      <c r="C478" s="67" t="s">
        <v>215</v>
      </c>
      <c r="D478" s="68">
        <v>1</v>
      </c>
      <c r="E478" s="69">
        <v>2.1551724137899999E-4</v>
      </c>
    </row>
    <row r="479" spans="2:5" ht="15" customHeight="1">
      <c r="B479" s="96"/>
      <c r="C479" s="67" t="s">
        <v>217</v>
      </c>
      <c r="D479" s="68">
        <v>1</v>
      </c>
      <c r="E479" s="69">
        <v>2.1551724137899999E-4</v>
      </c>
    </row>
    <row r="480" spans="2:5" ht="15" customHeight="1">
      <c r="B480" s="96"/>
      <c r="C480" s="67" t="s">
        <v>218</v>
      </c>
      <c r="D480" s="68">
        <v>2</v>
      </c>
      <c r="E480" s="69">
        <v>4.3103448275899999E-4</v>
      </c>
    </row>
    <row r="481" spans="2:5" ht="15" customHeight="1">
      <c r="B481" s="96"/>
      <c r="C481" s="67" t="s">
        <v>219</v>
      </c>
      <c r="D481" s="68">
        <v>7</v>
      </c>
      <c r="E481" s="69">
        <v>1.508620689655E-3</v>
      </c>
    </row>
    <row r="482" spans="2:5" ht="15" customHeight="1">
      <c r="B482" s="96"/>
      <c r="C482" s="67" t="s">
        <v>221</v>
      </c>
      <c r="D482" s="68">
        <v>2</v>
      </c>
      <c r="E482" s="69">
        <v>4.3103448275899999E-4</v>
      </c>
    </row>
    <row r="483" spans="2:5" ht="15" customHeight="1">
      <c r="B483" s="96"/>
      <c r="C483" s="67" t="s">
        <v>222</v>
      </c>
      <c r="D483" s="68">
        <v>7</v>
      </c>
      <c r="E483" s="69">
        <v>1.508620689655E-3</v>
      </c>
    </row>
    <row r="484" spans="2:5" ht="15" customHeight="1">
      <c r="B484" s="96"/>
      <c r="C484" s="67" t="s">
        <v>224</v>
      </c>
      <c r="D484" s="68">
        <v>1</v>
      </c>
      <c r="E484" s="69">
        <v>2.1551724137899999E-4</v>
      </c>
    </row>
    <row r="485" spans="2:5" ht="15" customHeight="1">
      <c r="B485" s="96"/>
      <c r="C485" s="67" t="s">
        <v>228</v>
      </c>
      <c r="D485" s="68">
        <v>3</v>
      </c>
      <c r="E485" s="69">
        <v>6.4655172413799998E-4</v>
      </c>
    </row>
    <row r="486" spans="2:5" ht="15" customHeight="1">
      <c r="B486" s="97"/>
      <c r="C486" s="36" t="s">
        <v>29</v>
      </c>
      <c r="D486" s="35">
        <v>26</v>
      </c>
      <c r="E486" s="34">
        <v>5.6034482758620004E-3</v>
      </c>
    </row>
    <row r="487" spans="2:5" ht="15" customHeight="1">
      <c r="B487" s="95" t="s">
        <v>72</v>
      </c>
      <c r="C487" s="67" t="s">
        <v>208</v>
      </c>
      <c r="D487" s="68">
        <v>2</v>
      </c>
      <c r="E487" s="69">
        <v>4.3103448275899999E-4</v>
      </c>
    </row>
    <row r="488" spans="2:5" ht="15" customHeight="1">
      <c r="B488" s="96"/>
      <c r="C488" s="67" t="s">
        <v>210</v>
      </c>
      <c r="D488" s="68">
        <v>1</v>
      </c>
      <c r="E488" s="69">
        <v>2.1551724137899999E-4</v>
      </c>
    </row>
    <row r="489" spans="2:5" ht="15" customHeight="1">
      <c r="B489" s="96"/>
      <c r="C489" s="67" t="s">
        <v>211</v>
      </c>
      <c r="D489" s="68">
        <v>2</v>
      </c>
      <c r="E489" s="69">
        <v>4.3103448275899999E-4</v>
      </c>
    </row>
    <row r="490" spans="2:5" ht="15" customHeight="1">
      <c r="B490" s="96"/>
      <c r="C490" s="67" t="s">
        <v>214</v>
      </c>
      <c r="D490" s="68">
        <v>5</v>
      </c>
      <c r="E490" s="69">
        <v>1.0775862068969999E-3</v>
      </c>
    </row>
    <row r="491" spans="2:5" ht="15" customHeight="1">
      <c r="B491" s="96"/>
      <c r="C491" s="67" t="s">
        <v>215</v>
      </c>
      <c r="D491" s="68">
        <v>3</v>
      </c>
      <c r="E491" s="69">
        <v>6.4655172413799998E-4</v>
      </c>
    </row>
    <row r="492" spans="2:5" ht="15" customHeight="1">
      <c r="B492" s="96"/>
      <c r="C492" s="67" t="s">
        <v>217</v>
      </c>
      <c r="D492" s="68">
        <v>1</v>
      </c>
      <c r="E492" s="69">
        <v>2.1551724137899999E-4</v>
      </c>
    </row>
    <row r="493" spans="2:5" ht="15" customHeight="1">
      <c r="B493" s="96"/>
      <c r="C493" s="67" t="s">
        <v>218</v>
      </c>
      <c r="D493" s="68">
        <v>6</v>
      </c>
      <c r="E493" s="69">
        <v>1.293103448276E-3</v>
      </c>
    </row>
    <row r="494" spans="2:5" ht="15" customHeight="1">
      <c r="B494" s="96"/>
      <c r="C494" s="67" t="s">
        <v>219</v>
      </c>
      <c r="D494" s="68">
        <v>12</v>
      </c>
      <c r="E494" s="69">
        <v>2.5862068965519999E-3</v>
      </c>
    </row>
    <row r="495" spans="2:5" ht="15" customHeight="1">
      <c r="B495" s="96"/>
      <c r="C495" s="67" t="s">
        <v>221</v>
      </c>
      <c r="D495" s="68">
        <v>1</v>
      </c>
      <c r="E495" s="69">
        <v>2.1551724137899999E-4</v>
      </c>
    </row>
    <row r="496" spans="2:5" ht="15" customHeight="1">
      <c r="B496" s="96"/>
      <c r="C496" s="67" t="s">
        <v>222</v>
      </c>
      <c r="D496" s="68">
        <v>11</v>
      </c>
      <c r="E496" s="69">
        <v>2.370689655172E-3</v>
      </c>
    </row>
    <row r="497" spans="2:5" ht="15" customHeight="1">
      <c r="B497" s="96"/>
      <c r="C497" s="67" t="s">
        <v>228</v>
      </c>
      <c r="D497" s="68">
        <v>8</v>
      </c>
      <c r="E497" s="69">
        <v>1.724137931034E-3</v>
      </c>
    </row>
    <row r="498" spans="2:5" ht="15" customHeight="1">
      <c r="B498" s="97"/>
      <c r="C498" s="36" t="s">
        <v>29</v>
      </c>
      <c r="D498" s="35">
        <v>52</v>
      </c>
      <c r="E498" s="34">
        <v>1.1206896551724001E-2</v>
      </c>
    </row>
    <row r="499" spans="2:5" ht="15" customHeight="1">
      <c r="B499" s="95" t="s">
        <v>80</v>
      </c>
      <c r="C499" s="67" t="s">
        <v>208</v>
      </c>
      <c r="D499" s="68">
        <v>1</v>
      </c>
      <c r="E499" s="69">
        <v>2.1551724137899999E-4</v>
      </c>
    </row>
    <row r="500" spans="2:5" ht="15" customHeight="1">
      <c r="B500" s="96"/>
      <c r="C500" s="67" t="s">
        <v>210</v>
      </c>
      <c r="D500" s="68">
        <v>1</v>
      </c>
      <c r="E500" s="69">
        <v>2.1551724137899999E-4</v>
      </c>
    </row>
    <row r="501" spans="2:5" ht="15" customHeight="1">
      <c r="B501" s="96"/>
      <c r="C501" s="67" t="s">
        <v>211</v>
      </c>
      <c r="D501" s="68">
        <v>2</v>
      </c>
      <c r="E501" s="69">
        <v>4.3103448275899999E-4</v>
      </c>
    </row>
    <row r="502" spans="2:5" ht="15" customHeight="1">
      <c r="B502" s="96"/>
      <c r="C502" s="67" t="s">
        <v>213</v>
      </c>
      <c r="D502" s="68">
        <v>1</v>
      </c>
      <c r="E502" s="69">
        <v>2.1551724137899999E-4</v>
      </c>
    </row>
    <row r="503" spans="2:5" ht="15" customHeight="1">
      <c r="B503" s="96"/>
      <c r="C503" s="67" t="s">
        <v>214</v>
      </c>
      <c r="D503" s="68">
        <v>5</v>
      </c>
      <c r="E503" s="69">
        <v>1.0775862068969999E-3</v>
      </c>
    </row>
    <row r="504" spans="2:5" ht="15" customHeight="1">
      <c r="B504" s="96"/>
      <c r="C504" s="67" t="s">
        <v>215</v>
      </c>
      <c r="D504" s="68">
        <v>2</v>
      </c>
      <c r="E504" s="69">
        <v>4.3103448275899999E-4</v>
      </c>
    </row>
    <row r="505" spans="2:5" ht="15" customHeight="1">
      <c r="B505" s="96"/>
      <c r="C505" s="67" t="s">
        <v>216</v>
      </c>
      <c r="D505" s="68">
        <v>1</v>
      </c>
      <c r="E505" s="69">
        <v>2.1551724137899999E-4</v>
      </c>
    </row>
    <row r="506" spans="2:5" ht="15" customHeight="1">
      <c r="B506" s="96"/>
      <c r="C506" s="67" t="s">
        <v>218</v>
      </c>
      <c r="D506" s="68">
        <v>3</v>
      </c>
      <c r="E506" s="69">
        <v>6.4655172413799998E-4</v>
      </c>
    </row>
    <row r="507" spans="2:5" ht="15" customHeight="1">
      <c r="B507" s="96"/>
      <c r="C507" s="67" t="s">
        <v>219</v>
      </c>
      <c r="D507" s="68">
        <v>6</v>
      </c>
      <c r="E507" s="69">
        <v>1.293103448276E-3</v>
      </c>
    </row>
    <row r="508" spans="2:5" ht="15" customHeight="1">
      <c r="B508" s="96"/>
      <c r="C508" s="67" t="s">
        <v>221</v>
      </c>
      <c r="D508" s="68">
        <v>1</v>
      </c>
      <c r="E508" s="69">
        <v>2.1551724137899999E-4</v>
      </c>
    </row>
    <row r="509" spans="2:5" ht="15" customHeight="1">
      <c r="B509" s="96"/>
      <c r="C509" s="67" t="s">
        <v>222</v>
      </c>
      <c r="D509" s="68">
        <v>7</v>
      </c>
      <c r="E509" s="69">
        <v>1.508620689655E-3</v>
      </c>
    </row>
    <row r="510" spans="2:5" ht="15" customHeight="1">
      <c r="B510" s="97"/>
      <c r="C510" s="36" t="s">
        <v>29</v>
      </c>
      <c r="D510" s="35">
        <v>30</v>
      </c>
      <c r="E510" s="34">
        <v>6.4655172413789997E-3</v>
      </c>
    </row>
    <row r="511" spans="2:5" ht="15" customHeight="1">
      <c r="B511" s="95" t="s">
        <v>86</v>
      </c>
      <c r="C511" s="67" t="s">
        <v>213</v>
      </c>
      <c r="D511" s="68">
        <v>1</v>
      </c>
      <c r="E511" s="69">
        <v>2.1551724137899999E-4</v>
      </c>
    </row>
    <row r="512" spans="2:5" ht="15" customHeight="1">
      <c r="B512" s="96"/>
      <c r="C512" s="67" t="s">
        <v>214</v>
      </c>
      <c r="D512" s="68">
        <v>1</v>
      </c>
      <c r="E512" s="69">
        <v>2.1551724137899999E-4</v>
      </c>
    </row>
    <row r="513" spans="2:5" ht="15" customHeight="1">
      <c r="B513" s="96"/>
      <c r="C513" s="67" t="s">
        <v>215</v>
      </c>
      <c r="D513" s="68">
        <v>1</v>
      </c>
      <c r="E513" s="69">
        <v>2.1551724137899999E-4</v>
      </c>
    </row>
    <row r="514" spans="2:5" ht="15" customHeight="1">
      <c r="B514" s="96"/>
      <c r="C514" s="67" t="s">
        <v>218</v>
      </c>
      <c r="D514" s="68">
        <v>2</v>
      </c>
      <c r="E514" s="69">
        <v>4.3103448275899999E-4</v>
      </c>
    </row>
    <row r="515" spans="2:5" ht="15" customHeight="1">
      <c r="B515" s="96"/>
      <c r="C515" s="67" t="s">
        <v>219</v>
      </c>
      <c r="D515" s="68">
        <v>7</v>
      </c>
      <c r="E515" s="69">
        <v>1.508620689655E-3</v>
      </c>
    </row>
    <row r="516" spans="2:5" ht="15" customHeight="1">
      <c r="B516" s="96"/>
      <c r="C516" s="67" t="s">
        <v>221</v>
      </c>
      <c r="D516" s="68">
        <v>1</v>
      </c>
      <c r="E516" s="69">
        <v>2.1551724137899999E-4</v>
      </c>
    </row>
    <row r="517" spans="2:5" ht="15" customHeight="1">
      <c r="B517" s="96"/>
      <c r="C517" s="67" t="s">
        <v>222</v>
      </c>
      <c r="D517" s="68">
        <v>3</v>
      </c>
      <c r="E517" s="69">
        <v>6.4655172413799998E-4</v>
      </c>
    </row>
    <row r="518" spans="2:5" ht="15" customHeight="1">
      <c r="B518" s="96"/>
      <c r="C518" s="67" t="s">
        <v>223</v>
      </c>
      <c r="D518" s="68">
        <v>1</v>
      </c>
      <c r="E518" s="69">
        <v>2.1551724137899999E-4</v>
      </c>
    </row>
    <row r="519" spans="2:5" ht="15" customHeight="1">
      <c r="B519" s="96"/>
      <c r="C519" s="67" t="s">
        <v>228</v>
      </c>
      <c r="D519" s="68">
        <v>1</v>
      </c>
      <c r="E519" s="69">
        <v>2.1551724137899999E-4</v>
      </c>
    </row>
    <row r="520" spans="2:5" ht="15" customHeight="1">
      <c r="B520" s="97"/>
      <c r="C520" s="36" t="s">
        <v>29</v>
      </c>
      <c r="D520" s="35">
        <v>18</v>
      </c>
      <c r="E520" s="34">
        <v>3.8793103448279999E-3</v>
      </c>
    </row>
    <row r="521" spans="2:5" ht="15" customHeight="1">
      <c r="B521" s="95" t="s">
        <v>74</v>
      </c>
      <c r="C521" s="67" t="s">
        <v>208</v>
      </c>
      <c r="D521" s="68">
        <v>2</v>
      </c>
      <c r="E521" s="69">
        <v>4.3103448275899999E-4</v>
      </c>
    </row>
    <row r="522" spans="2:5" ht="15" customHeight="1">
      <c r="B522" s="96"/>
      <c r="C522" s="67" t="s">
        <v>214</v>
      </c>
      <c r="D522" s="68">
        <v>5</v>
      </c>
      <c r="E522" s="69">
        <v>1.0775862068969999E-3</v>
      </c>
    </row>
    <row r="523" spans="2:5" ht="15" customHeight="1">
      <c r="B523" s="96"/>
      <c r="C523" s="67" t="s">
        <v>217</v>
      </c>
      <c r="D523" s="68">
        <v>1</v>
      </c>
      <c r="E523" s="69">
        <v>2.1551724137899999E-4</v>
      </c>
    </row>
    <row r="524" spans="2:5" ht="15" customHeight="1">
      <c r="B524" s="96"/>
      <c r="C524" s="67" t="s">
        <v>218</v>
      </c>
      <c r="D524" s="68">
        <v>4</v>
      </c>
      <c r="E524" s="69">
        <v>8.6206896551700002E-4</v>
      </c>
    </row>
    <row r="525" spans="2:5" ht="15" customHeight="1">
      <c r="B525" s="96"/>
      <c r="C525" s="67" t="s">
        <v>219</v>
      </c>
      <c r="D525" s="68">
        <v>19</v>
      </c>
      <c r="E525" s="69">
        <v>4.0948275862070001E-3</v>
      </c>
    </row>
    <row r="526" spans="2:5" ht="15" customHeight="1">
      <c r="B526" s="96"/>
      <c r="C526" s="67" t="s">
        <v>220</v>
      </c>
      <c r="D526" s="68">
        <v>1</v>
      </c>
      <c r="E526" s="69">
        <v>2.1551724137899999E-4</v>
      </c>
    </row>
    <row r="527" spans="2:5" ht="15" customHeight="1">
      <c r="B527" s="96"/>
      <c r="C527" s="67" t="s">
        <v>221</v>
      </c>
      <c r="D527" s="68">
        <v>1</v>
      </c>
      <c r="E527" s="69">
        <v>2.1551724137899999E-4</v>
      </c>
    </row>
    <row r="528" spans="2:5" ht="15" customHeight="1">
      <c r="B528" s="96"/>
      <c r="C528" s="67" t="s">
        <v>222</v>
      </c>
      <c r="D528" s="68">
        <v>14</v>
      </c>
      <c r="E528" s="69">
        <v>3.01724137931E-3</v>
      </c>
    </row>
    <row r="529" spans="2:5" ht="15" customHeight="1">
      <c r="B529" s="96"/>
      <c r="C529" s="67" t="s">
        <v>227</v>
      </c>
      <c r="D529" s="68">
        <v>1</v>
      </c>
      <c r="E529" s="69">
        <v>2.1551724137899999E-4</v>
      </c>
    </row>
    <row r="530" spans="2:5" ht="15" customHeight="1">
      <c r="B530" s="96"/>
      <c r="C530" s="67" t="s">
        <v>228</v>
      </c>
      <c r="D530" s="68">
        <v>1</v>
      </c>
      <c r="E530" s="69">
        <v>2.1551724137899999E-4</v>
      </c>
    </row>
    <row r="531" spans="2:5" ht="15" customHeight="1">
      <c r="B531" s="97"/>
      <c r="C531" s="36" t="s">
        <v>29</v>
      </c>
      <c r="D531" s="35">
        <v>49</v>
      </c>
      <c r="E531" s="34">
        <v>1.0560344827586001E-2</v>
      </c>
    </row>
    <row r="532" spans="2:5" ht="15" customHeight="1">
      <c r="B532" s="95" t="s">
        <v>75</v>
      </c>
      <c r="C532" s="67" t="s">
        <v>208</v>
      </c>
      <c r="D532" s="68">
        <v>1</v>
      </c>
      <c r="E532" s="69">
        <v>2.1551724137899999E-4</v>
      </c>
    </row>
    <row r="533" spans="2:5" ht="15" customHeight="1">
      <c r="B533" s="96"/>
      <c r="C533" s="67" t="s">
        <v>211</v>
      </c>
      <c r="D533" s="68">
        <v>1</v>
      </c>
      <c r="E533" s="69">
        <v>2.1551724137899999E-4</v>
      </c>
    </row>
    <row r="534" spans="2:5" ht="15" customHeight="1">
      <c r="B534" s="96"/>
      <c r="C534" s="67" t="s">
        <v>212</v>
      </c>
      <c r="D534" s="68">
        <v>1</v>
      </c>
      <c r="E534" s="69">
        <v>2.1551724137899999E-4</v>
      </c>
    </row>
    <row r="535" spans="2:5" ht="15" customHeight="1">
      <c r="B535" s="96"/>
      <c r="C535" s="67" t="s">
        <v>213</v>
      </c>
      <c r="D535" s="68">
        <v>1</v>
      </c>
      <c r="E535" s="69">
        <v>2.1551724137899999E-4</v>
      </c>
    </row>
    <row r="536" spans="2:5" ht="15" customHeight="1">
      <c r="B536" s="96"/>
      <c r="C536" s="67" t="s">
        <v>214</v>
      </c>
      <c r="D536" s="68">
        <v>1</v>
      </c>
      <c r="E536" s="69">
        <v>2.1551724137899999E-4</v>
      </c>
    </row>
    <row r="537" spans="2:5" ht="15" customHeight="1">
      <c r="B537" s="96"/>
      <c r="C537" s="67" t="s">
        <v>215</v>
      </c>
      <c r="D537" s="68">
        <v>3</v>
      </c>
      <c r="E537" s="69">
        <v>6.4655172413799998E-4</v>
      </c>
    </row>
    <row r="538" spans="2:5" ht="15" customHeight="1">
      <c r="B538" s="96"/>
      <c r="C538" s="67" t="s">
        <v>218</v>
      </c>
      <c r="D538" s="68">
        <v>2</v>
      </c>
      <c r="E538" s="69">
        <v>4.3103448275899999E-4</v>
      </c>
    </row>
    <row r="539" spans="2:5" ht="15" customHeight="1">
      <c r="B539" s="96"/>
      <c r="C539" s="67" t="s">
        <v>219</v>
      </c>
      <c r="D539" s="68">
        <v>20</v>
      </c>
      <c r="E539" s="69">
        <v>4.3103448275860004E-3</v>
      </c>
    </row>
    <row r="540" spans="2:5" ht="15" customHeight="1">
      <c r="B540" s="96"/>
      <c r="C540" s="67" t="s">
        <v>220</v>
      </c>
      <c r="D540" s="68">
        <v>1</v>
      </c>
      <c r="E540" s="69">
        <v>2.1551724137899999E-4</v>
      </c>
    </row>
    <row r="541" spans="2:5" ht="15" customHeight="1">
      <c r="B541" s="96"/>
      <c r="C541" s="67" t="s">
        <v>221</v>
      </c>
      <c r="D541" s="68">
        <v>2</v>
      </c>
      <c r="E541" s="69">
        <v>4.3103448275899999E-4</v>
      </c>
    </row>
    <row r="542" spans="2:5" ht="15" customHeight="1">
      <c r="B542" s="96"/>
      <c r="C542" s="67" t="s">
        <v>222</v>
      </c>
      <c r="D542" s="68">
        <v>11</v>
      </c>
      <c r="E542" s="69">
        <v>2.370689655172E-3</v>
      </c>
    </row>
    <row r="543" spans="2:5" ht="15" customHeight="1">
      <c r="B543" s="96"/>
      <c r="C543" s="67" t="s">
        <v>225</v>
      </c>
      <c r="D543" s="68">
        <v>1</v>
      </c>
      <c r="E543" s="69">
        <v>2.1551724137899999E-4</v>
      </c>
    </row>
    <row r="544" spans="2:5" ht="15" customHeight="1">
      <c r="B544" s="96"/>
      <c r="C544" s="67" t="s">
        <v>227</v>
      </c>
      <c r="D544" s="68">
        <v>1</v>
      </c>
      <c r="E544" s="69">
        <v>2.1551724137899999E-4</v>
      </c>
    </row>
    <row r="545" spans="2:5" ht="15" customHeight="1">
      <c r="B545" s="96"/>
      <c r="C545" s="67" t="s">
        <v>228</v>
      </c>
      <c r="D545" s="68">
        <v>2</v>
      </c>
      <c r="E545" s="69">
        <v>4.3103448275899999E-4</v>
      </c>
    </row>
    <row r="546" spans="2:5" ht="15" customHeight="1">
      <c r="B546" s="97"/>
      <c r="C546" s="36" t="s">
        <v>29</v>
      </c>
      <c r="D546" s="35">
        <v>48</v>
      </c>
      <c r="E546" s="34">
        <v>1.0344827586207E-2</v>
      </c>
    </row>
    <row r="547" spans="2:5" ht="15" customHeight="1">
      <c r="B547" s="95" t="s">
        <v>79</v>
      </c>
      <c r="C547" s="67" t="s">
        <v>209</v>
      </c>
      <c r="D547" s="68">
        <v>1</v>
      </c>
      <c r="E547" s="69">
        <v>2.1551724137899999E-4</v>
      </c>
    </row>
    <row r="548" spans="2:5" ht="15" customHeight="1">
      <c r="B548" s="96"/>
      <c r="C548" s="67" t="s">
        <v>213</v>
      </c>
      <c r="D548" s="68">
        <v>1</v>
      </c>
      <c r="E548" s="69">
        <v>2.1551724137899999E-4</v>
      </c>
    </row>
    <row r="549" spans="2:5" ht="15" customHeight="1">
      <c r="B549" s="96"/>
      <c r="C549" s="67" t="s">
        <v>214</v>
      </c>
      <c r="D549" s="68">
        <v>5</v>
      </c>
      <c r="E549" s="69">
        <v>1.0775862068969999E-3</v>
      </c>
    </row>
    <row r="550" spans="2:5" ht="15" customHeight="1">
      <c r="B550" s="96"/>
      <c r="C550" s="67" t="s">
        <v>215</v>
      </c>
      <c r="D550" s="68">
        <v>1</v>
      </c>
      <c r="E550" s="69">
        <v>2.1551724137899999E-4</v>
      </c>
    </row>
    <row r="551" spans="2:5" ht="15" customHeight="1">
      <c r="B551" s="96"/>
      <c r="C551" s="67" t="s">
        <v>219</v>
      </c>
      <c r="D551" s="68">
        <v>7</v>
      </c>
      <c r="E551" s="69">
        <v>1.508620689655E-3</v>
      </c>
    </row>
    <row r="552" spans="2:5" ht="15" customHeight="1">
      <c r="B552" s="96"/>
      <c r="C552" s="67" t="s">
        <v>220</v>
      </c>
      <c r="D552" s="68">
        <v>2</v>
      </c>
      <c r="E552" s="69">
        <v>4.3103448275899999E-4</v>
      </c>
    </row>
    <row r="553" spans="2:5" ht="15" customHeight="1">
      <c r="B553" s="96"/>
      <c r="C553" s="67" t="s">
        <v>221</v>
      </c>
      <c r="D553" s="68">
        <v>3</v>
      </c>
      <c r="E553" s="69">
        <v>6.4655172413799998E-4</v>
      </c>
    </row>
    <row r="554" spans="2:5" ht="15" customHeight="1">
      <c r="B554" s="96"/>
      <c r="C554" s="67" t="s">
        <v>222</v>
      </c>
      <c r="D554" s="68">
        <v>6</v>
      </c>
      <c r="E554" s="69">
        <v>1.293103448276E-3</v>
      </c>
    </row>
    <row r="555" spans="2:5" ht="15" customHeight="1">
      <c r="B555" s="96"/>
      <c r="C555" s="67" t="s">
        <v>228</v>
      </c>
      <c r="D555" s="68">
        <v>5</v>
      </c>
      <c r="E555" s="69">
        <v>1.0775862068969999E-3</v>
      </c>
    </row>
    <row r="556" spans="2:5" ht="15" customHeight="1">
      <c r="B556" s="97"/>
      <c r="C556" s="36" t="s">
        <v>29</v>
      </c>
      <c r="D556" s="35">
        <v>31</v>
      </c>
      <c r="E556" s="34">
        <v>6.6810344827590001E-3</v>
      </c>
    </row>
    <row r="557" spans="2:5" ht="15" customHeight="1">
      <c r="B557" s="95" t="s">
        <v>87</v>
      </c>
      <c r="C557" s="67" t="s">
        <v>214</v>
      </c>
      <c r="D557" s="68">
        <v>1</v>
      </c>
      <c r="E557" s="69">
        <v>2.1551724137899999E-4</v>
      </c>
    </row>
    <row r="558" spans="2:5" ht="15" customHeight="1">
      <c r="B558" s="96"/>
      <c r="C558" s="67" t="s">
        <v>215</v>
      </c>
      <c r="D558" s="68">
        <v>4</v>
      </c>
      <c r="E558" s="69">
        <v>8.6206896551700002E-4</v>
      </c>
    </row>
    <row r="559" spans="2:5" ht="15" customHeight="1">
      <c r="B559" s="96"/>
      <c r="C559" s="67" t="s">
        <v>218</v>
      </c>
      <c r="D559" s="68">
        <v>1</v>
      </c>
      <c r="E559" s="69">
        <v>2.1551724137899999E-4</v>
      </c>
    </row>
    <row r="560" spans="2:5" ht="15" customHeight="1">
      <c r="B560" s="96"/>
      <c r="C560" s="67" t="s">
        <v>219</v>
      </c>
      <c r="D560" s="68">
        <v>7</v>
      </c>
      <c r="E560" s="69">
        <v>1.508620689655E-3</v>
      </c>
    </row>
    <row r="561" spans="2:5" ht="15" customHeight="1">
      <c r="B561" s="96"/>
      <c r="C561" s="67" t="s">
        <v>221</v>
      </c>
      <c r="D561" s="68">
        <v>1</v>
      </c>
      <c r="E561" s="69">
        <v>2.1551724137899999E-4</v>
      </c>
    </row>
    <row r="562" spans="2:5" ht="15" customHeight="1">
      <c r="B562" s="96"/>
      <c r="C562" s="67" t="s">
        <v>222</v>
      </c>
      <c r="D562" s="68">
        <v>2</v>
      </c>
      <c r="E562" s="69">
        <v>4.3103448275899999E-4</v>
      </c>
    </row>
    <row r="563" spans="2:5" ht="15" customHeight="1">
      <c r="B563" s="96"/>
      <c r="C563" s="67" t="s">
        <v>228</v>
      </c>
      <c r="D563" s="68">
        <v>1</v>
      </c>
      <c r="E563" s="69">
        <v>2.1551724137899999E-4</v>
      </c>
    </row>
    <row r="564" spans="2:5" ht="15" customHeight="1">
      <c r="B564" s="97"/>
      <c r="C564" s="36" t="s">
        <v>29</v>
      </c>
      <c r="D564" s="35">
        <v>17</v>
      </c>
      <c r="E564" s="34">
        <v>3.663793103448E-3</v>
      </c>
    </row>
    <row r="565" spans="2:5" ht="15" customHeight="1">
      <c r="B565" s="95" t="s">
        <v>93</v>
      </c>
      <c r="C565" s="67" t="s">
        <v>213</v>
      </c>
      <c r="D565" s="68">
        <v>1</v>
      </c>
      <c r="E565" s="69">
        <v>2.1551724137899999E-4</v>
      </c>
    </row>
    <row r="566" spans="2:5" ht="15" customHeight="1">
      <c r="B566" s="96"/>
      <c r="C566" s="67" t="s">
        <v>219</v>
      </c>
      <c r="D566" s="68">
        <v>1</v>
      </c>
      <c r="E566" s="69">
        <v>2.1551724137899999E-4</v>
      </c>
    </row>
    <row r="567" spans="2:5" ht="15" customHeight="1">
      <c r="B567" s="96"/>
      <c r="C567" s="67" t="s">
        <v>222</v>
      </c>
      <c r="D567" s="68">
        <v>1</v>
      </c>
      <c r="E567" s="69">
        <v>2.1551724137899999E-4</v>
      </c>
    </row>
    <row r="568" spans="2:5" ht="15" customHeight="1">
      <c r="B568" s="97"/>
      <c r="C568" s="36" t="s">
        <v>29</v>
      </c>
      <c r="D568" s="35">
        <v>3</v>
      </c>
      <c r="E568" s="34">
        <v>6.4655172413799998E-4</v>
      </c>
    </row>
    <row r="569" spans="2:5" ht="15" customHeight="1">
      <c r="B569" s="95" t="s">
        <v>58</v>
      </c>
      <c r="C569" s="67" t="s">
        <v>208</v>
      </c>
      <c r="D569" s="68">
        <v>4</v>
      </c>
      <c r="E569" s="69">
        <v>8.6206896551700002E-4</v>
      </c>
    </row>
    <row r="570" spans="2:5" ht="15" customHeight="1">
      <c r="B570" s="96"/>
      <c r="C570" s="67" t="s">
        <v>211</v>
      </c>
      <c r="D570" s="68">
        <v>3</v>
      </c>
      <c r="E570" s="69">
        <v>6.4655172413799998E-4</v>
      </c>
    </row>
    <row r="571" spans="2:5" ht="15" customHeight="1">
      <c r="B571" s="96"/>
      <c r="C571" s="67" t="s">
        <v>212</v>
      </c>
      <c r="D571" s="68">
        <v>1</v>
      </c>
      <c r="E571" s="69">
        <v>2.1551724137899999E-4</v>
      </c>
    </row>
    <row r="572" spans="2:5" ht="15" customHeight="1">
      <c r="B572" s="96"/>
      <c r="C572" s="67" t="s">
        <v>214</v>
      </c>
      <c r="D572" s="68">
        <v>14</v>
      </c>
      <c r="E572" s="69">
        <v>3.01724137931E-3</v>
      </c>
    </row>
    <row r="573" spans="2:5" ht="15" customHeight="1">
      <c r="B573" s="96"/>
      <c r="C573" s="67" t="s">
        <v>215</v>
      </c>
      <c r="D573" s="68">
        <v>16</v>
      </c>
      <c r="E573" s="69">
        <v>3.4482758620690002E-3</v>
      </c>
    </row>
    <row r="574" spans="2:5" ht="15" customHeight="1">
      <c r="B574" s="96"/>
      <c r="C574" s="67" t="s">
        <v>217</v>
      </c>
      <c r="D574" s="68">
        <v>3</v>
      </c>
      <c r="E574" s="69">
        <v>6.4655172413799998E-4</v>
      </c>
    </row>
    <row r="575" spans="2:5" ht="15" customHeight="1">
      <c r="B575" s="96"/>
      <c r="C575" s="67" t="s">
        <v>218</v>
      </c>
      <c r="D575" s="68">
        <v>10</v>
      </c>
      <c r="E575" s="69">
        <v>2.1551724137930002E-3</v>
      </c>
    </row>
    <row r="576" spans="2:5" ht="15" customHeight="1">
      <c r="B576" s="96"/>
      <c r="C576" s="67" t="s">
        <v>219</v>
      </c>
      <c r="D576" s="68">
        <v>48</v>
      </c>
      <c r="E576" s="69">
        <v>1.0344827586207E-2</v>
      </c>
    </row>
    <row r="577" spans="2:5" ht="15" customHeight="1">
      <c r="B577" s="96"/>
      <c r="C577" s="67" t="s">
        <v>221</v>
      </c>
      <c r="D577" s="68">
        <v>6</v>
      </c>
      <c r="E577" s="69">
        <v>1.293103448276E-3</v>
      </c>
    </row>
    <row r="578" spans="2:5" ht="15" customHeight="1">
      <c r="B578" s="96"/>
      <c r="C578" s="67" t="s">
        <v>222</v>
      </c>
      <c r="D578" s="68">
        <v>51</v>
      </c>
      <c r="E578" s="69">
        <v>1.0991379310345E-2</v>
      </c>
    </row>
    <row r="579" spans="2:5" ht="15" customHeight="1">
      <c r="B579" s="96"/>
      <c r="C579" s="67" t="s">
        <v>223</v>
      </c>
      <c r="D579" s="68">
        <v>1</v>
      </c>
      <c r="E579" s="69">
        <v>2.1551724137899999E-4</v>
      </c>
    </row>
    <row r="580" spans="2:5" ht="15" customHeight="1">
      <c r="B580" s="96"/>
      <c r="C580" s="67" t="s">
        <v>227</v>
      </c>
      <c r="D580" s="68">
        <v>2</v>
      </c>
      <c r="E580" s="69">
        <v>4.3103448275899999E-4</v>
      </c>
    </row>
    <row r="581" spans="2:5" ht="15" customHeight="1">
      <c r="B581" s="96"/>
      <c r="C581" s="67" t="s">
        <v>228</v>
      </c>
      <c r="D581" s="68">
        <v>6</v>
      </c>
      <c r="E581" s="69">
        <v>1.293103448276E-3</v>
      </c>
    </row>
    <row r="582" spans="2:5" ht="15" customHeight="1">
      <c r="B582" s="96"/>
      <c r="C582" s="67" t="s">
        <v>230</v>
      </c>
      <c r="D582" s="68">
        <v>1</v>
      </c>
      <c r="E582" s="69">
        <v>2.1551724137899999E-4</v>
      </c>
    </row>
    <row r="583" spans="2:5" ht="15" customHeight="1">
      <c r="B583" s="97"/>
      <c r="C583" s="36" t="s">
        <v>29</v>
      </c>
      <c r="D583" s="35">
        <v>166</v>
      </c>
      <c r="E583" s="34">
        <v>3.5775862068965998E-2</v>
      </c>
    </row>
    <row r="584" spans="2:5" ht="15" customHeight="1">
      <c r="B584" s="95" t="s">
        <v>95</v>
      </c>
      <c r="C584" s="67" t="s">
        <v>228</v>
      </c>
      <c r="D584" s="68">
        <v>1</v>
      </c>
      <c r="E584" s="69">
        <v>2.1551724137899999E-4</v>
      </c>
    </row>
    <row r="585" spans="2:5" ht="15" customHeight="1">
      <c r="B585" s="97"/>
      <c r="C585" s="36" t="s">
        <v>29</v>
      </c>
      <c r="D585" s="35">
        <v>1</v>
      </c>
      <c r="E585" s="34">
        <v>2.1551724137899999E-4</v>
      </c>
    </row>
    <row r="586" spans="2:5" ht="15" customHeight="1">
      <c r="B586" s="98" t="s">
        <v>29</v>
      </c>
      <c r="C586" s="99"/>
      <c r="D586" s="65">
        <v>4640</v>
      </c>
      <c r="E586" s="66">
        <v>1</v>
      </c>
    </row>
    <row r="588" spans="2:5" ht="15" customHeight="1">
      <c r="B588" s="15" t="s">
        <v>46</v>
      </c>
    </row>
    <row r="589" spans="2:5" ht="15" customHeight="1">
      <c r="B589" s="17" t="s">
        <v>18</v>
      </c>
    </row>
    <row r="590" spans="2:5" ht="15" customHeight="1">
      <c r="B590" s="16" t="s">
        <v>47</v>
      </c>
    </row>
    <row r="591" spans="2:5" ht="15" customHeight="1">
      <c r="B591" s="15" t="s">
        <v>17</v>
      </c>
    </row>
    <row r="592" spans="2:5" ht="15" customHeight="1">
      <c r="B592" s="15" t="s">
        <v>48</v>
      </c>
    </row>
  </sheetData>
  <mergeCells count="49">
    <mergeCell ref="B127:B139"/>
    <mergeCell ref="B64:B77"/>
    <mergeCell ref="B78:B87"/>
    <mergeCell ref="B88:B102"/>
    <mergeCell ref="B103:B124"/>
    <mergeCell ref="B125:B126"/>
    <mergeCell ref="B7:E8"/>
    <mergeCell ref="B10:B14"/>
    <mergeCell ref="B15:B34"/>
    <mergeCell ref="B35:B51"/>
    <mergeCell ref="B52:B63"/>
    <mergeCell ref="B269:B284"/>
    <mergeCell ref="B285:B305"/>
    <mergeCell ref="B359:B369"/>
    <mergeCell ref="B306:B318"/>
    <mergeCell ref="B319:B330"/>
    <mergeCell ref="B331:B345"/>
    <mergeCell ref="B346:B358"/>
    <mergeCell ref="B205:B219"/>
    <mergeCell ref="B220:B235"/>
    <mergeCell ref="B236:B244"/>
    <mergeCell ref="B245:B253"/>
    <mergeCell ref="B254:B268"/>
    <mergeCell ref="B140:B150"/>
    <mergeCell ref="B151:B155"/>
    <mergeCell ref="B156:B171"/>
    <mergeCell ref="B172:B185"/>
    <mergeCell ref="B186:B204"/>
    <mergeCell ref="B370:B374"/>
    <mergeCell ref="B375:B391"/>
    <mergeCell ref="B392:B398"/>
    <mergeCell ref="B399:B411"/>
    <mergeCell ref="B454:B463"/>
    <mergeCell ref="B412:B422"/>
    <mergeCell ref="B423:B433"/>
    <mergeCell ref="B434:B453"/>
    <mergeCell ref="B464:B476"/>
    <mergeCell ref="B477:B486"/>
    <mergeCell ref="B487:B498"/>
    <mergeCell ref="B499:B510"/>
    <mergeCell ref="B565:B568"/>
    <mergeCell ref="B569:B583"/>
    <mergeCell ref="B584:B585"/>
    <mergeCell ref="B586:C586"/>
    <mergeCell ref="B511:B520"/>
    <mergeCell ref="B521:B531"/>
    <mergeCell ref="B532:B546"/>
    <mergeCell ref="B547:B556"/>
    <mergeCell ref="B557:B56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B1:E20"/>
  <sheetViews>
    <sheetView showGridLines="0" view="pageBreakPreview" topLeftCell="A5" zoomScale="115" zoomScaleNormal="100" zoomScaleSheetLayoutView="115" workbookViewId="0">
      <selection activeCell="E13" sqref="E13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2:5" s="25" customFormat="1" ht="15" customHeight="1">
      <c r="C1" s="31"/>
    </row>
    <row r="2" spans="2:5" s="25" customFormat="1" ht="15" customHeight="1">
      <c r="C2" s="31"/>
    </row>
    <row r="3" spans="2:5" s="25" customFormat="1" ht="15" customHeight="1">
      <c r="C3" s="31"/>
    </row>
    <row r="4" spans="2:5" s="25" customFormat="1" ht="30" customHeight="1">
      <c r="C4" s="31"/>
      <c r="D4" s="30"/>
    </row>
    <row r="5" spans="2:5" s="25" customFormat="1" ht="15" customHeight="1">
      <c r="C5" s="31"/>
      <c r="D5" s="30"/>
    </row>
    <row r="6" spans="2:5" s="25" customFormat="1" ht="15" customHeight="1">
      <c r="C6" s="31"/>
      <c r="D6" s="30"/>
    </row>
    <row r="7" spans="2:5" s="25" customFormat="1" ht="15" customHeight="1">
      <c r="B7" s="91" t="s">
        <v>38</v>
      </c>
      <c r="C7" s="91"/>
      <c r="D7" s="91"/>
    </row>
    <row r="8" spans="2:5" s="25" customFormat="1" ht="15" customHeight="1">
      <c r="B8" s="91"/>
      <c r="C8" s="91"/>
      <c r="D8" s="91"/>
    </row>
    <row r="9" spans="2:5" s="25" customFormat="1" ht="33" customHeight="1">
      <c r="B9" s="91"/>
      <c r="C9" s="91"/>
      <c r="D9" s="91"/>
    </row>
    <row r="10" spans="2:5" s="25" customFormat="1" ht="4.5" customHeight="1">
      <c r="B10" s="29"/>
      <c r="C10" s="29"/>
      <c r="D10" s="29"/>
    </row>
    <row r="11" spans="2:5" s="25" customFormat="1" ht="33" customHeight="1">
      <c r="B11" s="28" t="s">
        <v>30</v>
      </c>
      <c r="C11" s="27" t="s">
        <v>20</v>
      </c>
      <c r="D11" s="26" t="s">
        <v>19</v>
      </c>
    </row>
    <row r="12" spans="2:5">
      <c r="B12" s="23" t="s">
        <v>141</v>
      </c>
      <c r="C12" s="22">
        <v>1414</v>
      </c>
      <c r="D12" s="21">
        <v>0.30474137931034501</v>
      </c>
    </row>
    <row r="13" spans="2:5">
      <c r="B13" s="23" t="s">
        <v>142</v>
      </c>
      <c r="C13" s="22">
        <v>3226</v>
      </c>
      <c r="D13" s="21">
        <v>0.69525862068965505</v>
      </c>
    </row>
    <row r="14" spans="2:5">
      <c r="B14" s="20" t="s">
        <v>29</v>
      </c>
      <c r="C14" s="19">
        <v>4640</v>
      </c>
      <c r="D14" s="18">
        <v>1</v>
      </c>
    </row>
    <row r="15" spans="2:5">
      <c r="B15" s="24"/>
      <c r="C15" s="49"/>
      <c r="D15" s="49"/>
      <c r="E15" s="24"/>
    </row>
    <row r="16" spans="2:5">
      <c r="B16" s="15" t="s">
        <v>46</v>
      </c>
      <c r="C16" s="49"/>
      <c r="D16" s="49"/>
      <c r="E16" s="24"/>
    </row>
    <row r="17" spans="2:4">
      <c r="B17" s="17" t="s">
        <v>18</v>
      </c>
      <c r="C17" s="48"/>
      <c r="D17" s="48"/>
    </row>
    <row r="18" spans="2:4">
      <c r="B18" s="16" t="s">
        <v>47</v>
      </c>
      <c r="C18" s="47"/>
      <c r="D18" s="47"/>
    </row>
    <row r="19" spans="2:4">
      <c r="B19" s="15" t="s">
        <v>17</v>
      </c>
    </row>
    <row r="20" spans="2:4">
      <c r="B20" s="15" t="s">
        <v>48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B050"/>
  </sheetPr>
  <dimension ref="B1:F158"/>
  <sheetViews>
    <sheetView showGridLines="0" view="pageBreakPreview" zoomScaleNormal="98" zoomScaleSheetLayoutView="100" workbookViewId="0">
      <selection activeCell="A9" sqref="A9"/>
    </sheetView>
  </sheetViews>
  <sheetFormatPr baseColWidth="10" defaultColWidth="11.453125" defaultRowHeight="10"/>
  <cols>
    <col min="1" max="1" width="5.7265625" style="25" customWidth="1"/>
    <col min="2" max="3" width="23.7265625" style="41" customWidth="1"/>
    <col min="4" max="4" width="15.7265625" style="44" customWidth="1"/>
    <col min="5" max="5" width="15.7265625" style="41" customWidth="1"/>
    <col min="6" max="6" width="2.90625" style="25" customWidth="1"/>
    <col min="7" max="16384" width="11.453125" style="25"/>
  </cols>
  <sheetData>
    <row r="1" spans="2:6" s="13" customFormat="1" ht="14.5">
      <c r="B1" s="41"/>
      <c r="C1" s="41"/>
    </row>
    <row r="2" spans="2:6" s="41" customFormat="1">
      <c r="B2" s="51"/>
    </row>
    <row r="3" spans="2:6" ht="15" customHeight="1">
      <c r="B3" s="52"/>
      <c r="C3" s="31"/>
      <c r="D3" s="25"/>
      <c r="F3" s="41"/>
    </row>
    <row r="4" spans="2:6" ht="30" customHeight="1">
      <c r="B4" s="52"/>
      <c r="C4" s="31"/>
      <c r="D4" s="25"/>
      <c r="F4" s="41"/>
    </row>
    <row r="5" spans="2:6" ht="15" customHeight="1">
      <c r="B5" s="52"/>
      <c r="C5" s="31"/>
      <c r="D5" s="25"/>
      <c r="F5" s="41"/>
    </row>
    <row r="6" spans="2:6" s="41" customFormat="1" ht="10.5">
      <c r="B6" s="43"/>
      <c r="C6" s="37"/>
    </row>
    <row r="7" spans="2:6" s="41" customFormat="1">
      <c r="B7" s="51"/>
    </row>
    <row r="8" spans="2:6" s="13" customFormat="1" ht="15" customHeight="1">
      <c r="B8" s="91" t="s">
        <v>327</v>
      </c>
      <c r="C8" s="91"/>
      <c r="D8" s="91"/>
      <c r="E8" s="91"/>
    </row>
    <row r="9" spans="2:6" s="13" customFormat="1" ht="15" customHeight="1">
      <c r="B9" s="91"/>
      <c r="C9" s="91"/>
      <c r="D9" s="91"/>
      <c r="E9" s="91"/>
      <c r="F9" s="50"/>
    </row>
    <row r="10" spans="2:6" s="13" customFormat="1" ht="15" customHeight="1">
      <c r="B10" s="91"/>
      <c r="C10" s="91"/>
      <c r="D10" s="91"/>
      <c r="E10" s="91"/>
    </row>
    <row r="11" spans="2:6" s="13" customFormat="1" ht="15" customHeight="1">
      <c r="B11" s="53"/>
      <c r="C11" s="53"/>
      <c r="D11" s="53"/>
      <c r="E11" s="53"/>
    </row>
    <row r="12" spans="2:6" s="13" customFormat="1" ht="26.25" customHeight="1">
      <c r="B12" s="55" t="s">
        <v>22</v>
      </c>
      <c r="C12" s="55" t="s">
        <v>30</v>
      </c>
      <c r="D12" s="55" t="s">
        <v>20</v>
      </c>
      <c r="E12" s="55" t="s">
        <v>19</v>
      </c>
    </row>
    <row r="13" spans="2:6" ht="14.5" customHeight="1">
      <c r="B13" s="95" t="s">
        <v>89</v>
      </c>
      <c r="C13" s="67" t="s">
        <v>141</v>
      </c>
      <c r="D13" s="68">
        <v>4</v>
      </c>
      <c r="E13" s="69">
        <v>8.6206896551700002E-4</v>
      </c>
    </row>
    <row r="14" spans="2:6" ht="14.5" customHeight="1">
      <c r="B14" s="96"/>
      <c r="C14" s="67" t="s">
        <v>142</v>
      </c>
      <c r="D14" s="68">
        <v>11</v>
      </c>
      <c r="E14" s="69">
        <v>2.370689655172E-3</v>
      </c>
    </row>
    <row r="15" spans="2:6" ht="14.5" customHeight="1">
      <c r="B15" s="97"/>
      <c r="C15" s="61" t="s">
        <v>29</v>
      </c>
      <c r="D15" s="62">
        <v>15</v>
      </c>
      <c r="E15" s="63">
        <v>3.2327586206899999E-3</v>
      </c>
    </row>
    <row r="16" spans="2:6" ht="14.5" customHeight="1">
      <c r="B16" s="95" t="s">
        <v>52</v>
      </c>
      <c r="C16" s="67" t="s">
        <v>141</v>
      </c>
      <c r="D16" s="68">
        <v>74</v>
      </c>
      <c r="E16" s="69">
        <v>1.5948275862069001E-2</v>
      </c>
    </row>
    <row r="17" spans="2:5" ht="14.5" customHeight="1">
      <c r="B17" s="96"/>
      <c r="C17" s="67" t="s">
        <v>142</v>
      </c>
      <c r="D17" s="68">
        <v>200</v>
      </c>
      <c r="E17" s="69">
        <v>4.3103448275862002E-2</v>
      </c>
    </row>
    <row r="18" spans="2:5" ht="14.5" customHeight="1">
      <c r="B18" s="97" t="s">
        <v>283</v>
      </c>
      <c r="C18" s="61" t="s">
        <v>29</v>
      </c>
      <c r="D18" s="62">
        <v>274</v>
      </c>
      <c r="E18" s="63">
        <v>5.9051724137931E-2</v>
      </c>
    </row>
    <row r="19" spans="2:5" ht="14.5" customHeight="1">
      <c r="B19" s="95" t="s">
        <v>54</v>
      </c>
      <c r="C19" s="67" t="s">
        <v>141</v>
      </c>
      <c r="D19" s="68">
        <v>81</v>
      </c>
      <c r="E19" s="69">
        <v>1.7456896551723999E-2</v>
      </c>
    </row>
    <row r="20" spans="2:5" ht="14.5" customHeight="1">
      <c r="B20" s="96"/>
      <c r="C20" s="67" t="s">
        <v>142</v>
      </c>
      <c r="D20" s="68">
        <v>148</v>
      </c>
      <c r="E20" s="69">
        <v>3.1896551724138002E-2</v>
      </c>
    </row>
    <row r="21" spans="2:5" ht="14.5" customHeight="1">
      <c r="B21" s="97" t="s">
        <v>284</v>
      </c>
      <c r="C21" s="61" t="s">
        <v>29</v>
      </c>
      <c r="D21" s="62">
        <v>229</v>
      </c>
      <c r="E21" s="63">
        <v>4.9353448275862001E-2</v>
      </c>
    </row>
    <row r="22" spans="2:5" ht="14.5" customHeight="1">
      <c r="B22" s="95" t="s">
        <v>85</v>
      </c>
      <c r="C22" s="67" t="s">
        <v>141</v>
      </c>
      <c r="D22" s="68">
        <v>3</v>
      </c>
      <c r="E22" s="69">
        <v>6.4655172413799998E-4</v>
      </c>
    </row>
    <row r="23" spans="2:5" ht="14.5" customHeight="1">
      <c r="B23" s="96"/>
      <c r="C23" s="67" t="s">
        <v>142</v>
      </c>
      <c r="D23" s="68">
        <v>20</v>
      </c>
      <c r="E23" s="69">
        <v>4.3103448275860004E-3</v>
      </c>
    </row>
    <row r="24" spans="2:5" ht="14.5" customHeight="1">
      <c r="B24" s="97" t="s">
        <v>285</v>
      </c>
      <c r="C24" s="61" t="s">
        <v>29</v>
      </c>
      <c r="D24" s="62">
        <v>23</v>
      </c>
      <c r="E24" s="63">
        <v>4.9568965517240004E-3</v>
      </c>
    </row>
    <row r="25" spans="2:5" ht="14.5" customHeight="1">
      <c r="B25" s="95" t="s">
        <v>71</v>
      </c>
      <c r="C25" s="67" t="s">
        <v>141</v>
      </c>
      <c r="D25" s="68">
        <v>13</v>
      </c>
      <c r="E25" s="69">
        <v>2.8017241379310002E-3</v>
      </c>
    </row>
    <row r="26" spans="2:5" ht="14.5" customHeight="1">
      <c r="B26" s="96"/>
      <c r="C26" s="67" t="s">
        <v>142</v>
      </c>
      <c r="D26" s="68">
        <v>42</v>
      </c>
      <c r="E26" s="69">
        <v>9.0517241379310005E-3</v>
      </c>
    </row>
    <row r="27" spans="2:5" ht="14.5" customHeight="1">
      <c r="B27" s="97" t="s">
        <v>286</v>
      </c>
      <c r="C27" s="61" t="s">
        <v>29</v>
      </c>
      <c r="D27" s="62">
        <v>55</v>
      </c>
      <c r="E27" s="63">
        <v>1.1853448275862001E-2</v>
      </c>
    </row>
    <row r="28" spans="2:5" ht="14.5" customHeight="1">
      <c r="B28" s="95" t="s">
        <v>77</v>
      </c>
      <c r="C28" s="67" t="s">
        <v>141</v>
      </c>
      <c r="D28" s="68">
        <v>20</v>
      </c>
      <c r="E28" s="69">
        <v>4.3103448275860004E-3</v>
      </c>
    </row>
    <row r="29" spans="2:5" ht="14.5" customHeight="1">
      <c r="B29" s="96"/>
      <c r="C29" s="67" t="s">
        <v>142</v>
      </c>
      <c r="D29" s="68">
        <v>17</v>
      </c>
      <c r="E29" s="69">
        <v>3.663793103448E-3</v>
      </c>
    </row>
    <row r="30" spans="2:5" ht="14.5" customHeight="1">
      <c r="B30" s="97" t="s">
        <v>287</v>
      </c>
      <c r="C30" s="61" t="s">
        <v>29</v>
      </c>
      <c r="D30" s="62">
        <v>37</v>
      </c>
      <c r="E30" s="63">
        <v>7.9741379310340008E-3</v>
      </c>
    </row>
    <row r="31" spans="2:5" ht="14.5" customHeight="1">
      <c r="B31" s="95" t="s">
        <v>55</v>
      </c>
      <c r="C31" s="67" t="s">
        <v>141</v>
      </c>
      <c r="D31" s="68">
        <v>58</v>
      </c>
      <c r="E31" s="69">
        <v>1.2500000000000001E-2</v>
      </c>
    </row>
    <row r="32" spans="2:5" ht="14.5" customHeight="1">
      <c r="B32" s="96"/>
      <c r="C32" s="67" t="s">
        <v>142</v>
      </c>
      <c r="D32" s="68">
        <v>155</v>
      </c>
      <c r="E32" s="69">
        <v>3.3405172413792997E-2</v>
      </c>
    </row>
    <row r="33" spans="2:5" ht="14.5" customHeight="1">
      <c r="B33" s="97" t="s">
        <v>288</v>
      </c>
      <c r="C33" s="61" t="s">
        <v>29</v>
      </c>
      <c r="D33" s="62">
        <v>213</v>
      </c>
      <c r="E33" s="63">
        <v>4.5905172413793001E-2</v>
      </c>
    </row>
    <row r="34" spans="2:5" ht="14.5" customHeight="1">
      <c r="B34" s="95" t="s">
        <v>50</v>
      </c>
      <c r="C34" s="67" t="s">
        <v>141</v>
      </c>
      <c r="D34" s="68">
        <v>87</v>
      </c>
      <c r="E34" s="69">
        <v>1.8749999999999999E-2</v>
      </c>
    </row>
    <row r="35" spans="2:5" ht="14.5" customHeight="1">
      <c r="B35" s="96"/>
      <c r="C35" s="67" t="s">
        <v>142</v>
      </c>
      <c r="D35" s="68">
        <v>298</v>
      </c>
      <c r="E35" s="69">
        <v>6.4224137931034E-2</v>
      </c>
    </row>
    <row r="36" spans="2:5" ht="14.5" customHeight="1">
      <c r="B36" s="97" t="s">
        <v>289</v>
      </c>
      <c r="C36" s="61" t="s">
        <v>29</v>
      </c>
      <c r="D36" s="62">
        <v>385</v>
      </c>
      <c r="E36" s="63">
        <v>8.2974137931034003E-2</v>
      </c>
    </row>
    <row r="37" spans="2:5" ht="14.5" customHeight="1">
      <c r="B37" s="95" t="s">
        <v>94</v>
      </c>
      <c r="C37" s="67" t="s">
        <v>142</v>
      </c>
      <c r="D37" s="68">
        <v>2</v>
      </c>
      <c r="E37" s="69">
        <v>4.3103448275899999E-4</v>
      </c>
    </row>
    <row r="38" spans="2:5" ht="14.5" customHeight="1">
      <c r="B38" s="97" t="s">
        <v>290</v>
      </c>
      <c r="C38" s="61" t="s">
        <v>29</v>
      </c>
      <c r="D38" s="62">
        <v>2</v>
      </c>
      <c r="E38" s="63">
        <v>4.3103448275899999E-4</v>
      </c>
    </row>
    <row r="39" spans="2:5" ht="14.5" customHeight="1">
      <c r="B39" s="95" t="s">
        <v>62</v>
      </c>
      <c r="C39" s="67" t="s">
        <v>141</v>
      </c>
      <c r="D39" s="68">
        <v>24</v>
      </c>
      <c r="E39" s="69">
        <v>5.1724137931029998E-3</v>
      </c>
    </row>
    <row r="40" spans="2:5" ht="14.5" customHeight="1">
      <c r="B40" s="96"/>
      <c r="C40" s="67" t="s">
        <v>142</v>
      </c>
      <c r="D40" s="68">
        <v>80</v>
      </c>
      <c r="E40" s="69">
        <v>1.7241379310345001E-2</v>
      </c>
    </row>
    <row r="41" spans="2:5" ht="14.5" customHeight="1">
      <c r="B41" s="97" t="s">
        <v>291</v>
      </c>
      <c r="C41" s="61" t="s">
        <v>29</v>
      </c>
      <c r="D41" s="62">
        <v>104</v>
      </c>
      <c r="E41" s="63">
        <v>2.2413793103448001E-2</v>
      </c>
    </row>
    <row r="42" spans="2:5" ht="14.5" customHeight="1">
      <c r="B42" s="95" t="s">
        <v>70</v>
      </c>
      <c r="C42" s="67" t="s">
        <v>141</v>
      </c>
      <c r="D42" s="68">
        <v>11</v>
      </c>
      <c r="E42" s="69">
        <v>2.370689655172E-3</v>
      </c>
    </row>
    <row r="43" spans="2:5" ht="14.5" customHeight="1">
      <c r="B43" s="96"/>
      <c r="C43" s="67" t="s">
        <v>142</v>
      </c>
      <c r="D43" s="68">
        <v>51</v>
      </c>
      <c r="E43" s="69">
        <v>1.0991379310345E-2</v>
      </c>
    </row>
    <row r="44" spans="2:5" ht="14.5" customHeight="1">
      <c r="B44" s="97" t="s">
        <v>292</v>
      </c>
      <c r="C44" s="61" t="s">
        <v>29</v>
      </c>
      <c r="D44" s="62">
        <v>62</v>
      </c>
      <c r="E44" s="63">
        <v>1.3362068965516999E-2</v>
      </c>
    </row>
    <row r="45" spans="2:5" ht="14.5" customHeight="1">
      <c r="B45" s="95" t="s">
        <v>92</v>
      </c>
      <c r="C45" s="67" t="s">
        <v>141</v>
      </c>
      <c r="D45" s="68">
        <v>2</v>
      </c>
      <c r="E45" s="69">
        <v>4.3103448275899999E-4</v>
      </c>
    </row>
    <row r="46" spans="2:5" ht="14.5" customHeight="1">
      <c r="B46" s="96"/>
      <c r="C46" s="67" t="s">
        <v>142</v>
      </c>
      <c r="D46" s="68">
        <v>6</v>
      </c>
      <c r="E46" s="69">
        <v>1.293103448276E-3</v>
      </c>
    </row>
    <row r="47" spans="2:5" ht="14.5" customHeight="1">
      <c r="B47" s="97" t="s">
        <v>293</v>
      </c>
      <c r="C47" s="61" t="s">
        <v>29</v>
      </c>
      <c r="D47" s="62">
        <v>8</v>
      </c>
      <c r="E47" s="63">
        <v>1.724137931034E-3</v>
      </c>
    </row>
    <row r="48" spans="2:5" ht="14.5" customHeight="1">
      <c r="B48" s="95" t="s">
        <v>66</v>
      </c>
      <c r="C48" s="67" t="s">
        <v>141</v>
      </c>
      <c r="D48" s="68">
        <v>22</v>
      </c>
      <c r="E48" s="69">
        <v>4.7413793103450001E-3</v>
      </c>
    </row>
    <row r="49" spans="2:5" ht="14.5" customHeight="1">
      <c r="B49" s="96"/>
      <c r="C49" s="67" t="s">
        <v>142</v>
      </c>
      <c r="D49" s="68">
        <v>52</v>
      </c>
      <c r="E49" s="69">
        <v>1.1206896551724001E-2</v>
      </c>
    </row>
    <row r="50" spans="2:5" ht="14.5" customHeight="1">
      <c r="B50" s="97" t="s">
        <v>294</v>
      </c>
      <c r="C50" s="61" t="s">
        <v>29</v>
      </c>
      <c r="D50" s="62">
        <v>74</v>
      </c>
      <c r="E50" s="63">
        <v>1.5948275862069001E-2</v>
      </c>
    </row>
    <row r="51" spans="2:5" ht="14.5" customHeight="1">
      <c r="B51" s="95" t="s">
        <v>78</v>
      </c>
      <c r="C51" s="67" t="s">
        <v>141</v>
      </c>
      <c r="D51" s="68">
        <v>11</v>
      </c>
      <c r="E51" s="69">
        <v>2.370689655172E-3</v>
      </c>
    </row>
    <row r="52" spans="2:5" ht="14.5" customHeight="1">
      <c r="B52" s="96"/>
      <c r="C52" s="67" t="s">
        <v>142</v>
      </c>
      <c r="D52" s="68">
        <v>21</v>
      </c>
      <c r="E52" s="69">
        <v>4.5258620689659999E-3</v>
      </c>
    </row>
    <row r="53" spans="2:5" ht="14.5" customHeight="1">
      <c r="B53" s="97" t="s">
        <v>295</v>
      </c>
      <c r="C53" s="61" t="s">
        <v>29</v>
      </c>
      <c r="D53" s="62">
        <v>32</v>
      </c>
      <c r="E53" s="63">
        <v>6.8965517241380003E-3</v>
      </c>
    </row>
    <row r="54" spans="2:5" ht="14.5" customHeight="1">
      <c r="B54" s="95" t="s">
        <v>53</v>
      </c>
      <c r="C54" s="67" t="s">
        <v>141</v>
      </c>
      <c r="D54" s="68">
        <v>88</v>
      </c>
      <c r="E54" s="69">
        <v>1.8965517241379001E-2</v>
      </c>
    </row>
    <row r="55" spans="2:5" ht="14.5" customHeight="1">
      <c r="B55" s="96"/>
      <c r="C55" s="67" t="s">
        <v>142</v>
      </c>
      <c r="D55" s="68">
        <v>151</v>
      </c>
      <c r="E55" s="69">
        <v>3.2543103448276003E-2</v>
      </c>
    </row>
    <row r="56" spans="2:5" ht="14.5" customHeight="1">
      <c r="B56" s="97" t="s">
        <v>296</v>
      </c>
      <c r="C56" s="61" t="s">
        <v>29</v>
      </c>
      <c r="D56" s="62">
        <v>239</v>
      </c>
      <c r="E56" s="63">
        <v>5.1508620689654998E-2</v>
      </c>
    </row>
    <row r="57" spans="2:5" ht="14.5" customHeight="1">
      <c r="B57" s="95" t="s">
        <v>57</v>
      </c>
      <c r="C57" s="67" t="s">
        <v>141</v>
      </c>
      <c r="D57" s="68">
        <v>65</v>
      </c>
      <c r="E57" s="69">
        <v>1.4008620689654999E-2</v>
      </c>
    </row>
    <row r="58" spans="2:5" ht="14.5" customHeight="1">
      <c r="B58" s="96"/>
      <c r="C58" s="67" t="s">
        <v>142</v>
      </c>
      <c r="D58" s="68">
        <v>101</v>
      </c>
      <c r="E58" s="69">
        <v>2.176724137931E-2</v>
      </c>
    </row>
    <row r="59" spans="2:5" ht="14.5" customHeight="1">
      <c r="B59" s="97" t="s">
        <v>297</v>
      </c>
      <c r="C59" s="61" t="s">
        <v>29</v>
      </c>
      <c r="D59" s="62">
        <v>166</v>
      </c>
      <c r="E59" s="63">
        <v>3.5775862068965998E-2</v>
      </c>
    </row>
    <row r="60" spans="2:5" ht="14.5" customHeight="1">
      <c r="B60" s="95" t="s">
        <v>63</v>
      </c>
      <c r="C60" s="67" t="s">
        <v>141</v>
      </c>
      <c r="D60" s="68">
        <v>35</v>
      </c>
      <c r="E60" s="69">
        <v>7.5431034482760003E-3</v>
      </c>
    </row>
    <row r="61" spans="2:5" ht="14.5" customHeight="1">
      <c r="B61" s="96"/>
      <c r="C61" s="67" t="s">
        <v>142</v>
      </c>
      <c r="D61" s="68">
        <v>56</v>
      </c>
      <c r="E61" s="69">
        <v>1.2068965517240999E-2</v>
      </c>
    </row>
    <row r="62" spans="2:5" ht="14.5" customHeight="1">
      <c r="B62" s="97" t="s">
        <v>298</v>
      </c>
      <c r="C62" s="61" t="s">
        <v>29</v>
      </c>
      <c r="D62" s="62">
        <v>91</v>
      </c>
      <c r="E62" s="63">
        <v>1.9612068965517E-2</v>
      </c>
    </row>
    <row r="63" spans="2:5" ht="14.5" customHeight="1">
      <c r="B63" s="95" t="s">
        <v>91</v>
      </c>
      <c r="C63" s="67" t="s">
        <v>141</v>
      </c>
      <c r="D63" s="68">
        <v>7</v>
      </c>
      <c r="E63" s="69">
        <v>1.508620689655E-3</v>
      </c>
    </row>
    <row r="64" spans="2:5" ht="14.5" customHeight="1">
      <c r="B64" s="96"/>
      <c r="C64" s="67" t="s">
        <v>142</v>
      </c>
      <c r="D64" s="68">
        <v>3</v>
      </c>
      <c r="E64" s="69">
        <v>6.4655172413799998E-4</v>
      </c>
    </row>
    <row r="65" spans="2:5" ht="14.5" customHeight="1">
      <c r="B65" s="97" t="s">
        <v>299</v>
      </c>
      <c r="C65" s="61" t="s">
        <v>29</v>
      </c>
      <c r="D65" s="62">
        <v>10</v>
      </c>
      <c r="E65" s="63">
        <v>2.1551724137930002E-3</v>
      </c>
    </row>
    <row r="66" spans="2:5" ht="14.5" customHeight="1">
      <c r="B66" s="95" t="s">
        <v>81</v>
      </c>
      <c r="C66" s="67" t="s">
        <v>141</v>
      </c>
      <c r="D66" s="68">
        <v>9</v>
      </c>
      <c r="E66" s="69">
        <v>1.9396551724139999E-3</v>
      </c>
    </row>
    <row r="67" spans="2:5" ht="14.5" customHeight="1">
      <c r="B67" s="96"/>
      <c r="C67" s="67" t="s">
        <v>142</v>
      </c>
      <c r="D67" s="68">
        <v>19</v>
      </c>
      <c r="E67" s="69">
        <v>4.0948275862070001E-3</v>
      </c>
    </row>
    <row r="68" spans="2:5" ht="14.5" customHeight="1">
      <c r="B68" s="97" t="s">
        <v>300</v>
      </c>
      <c r="C68" s="61" t="s">
        <v>29</v>
      </c>
      <c r="D68" s="62">
        <v>28</v>
      </c>
      <c r="E68" s="63">
        <v>6.0344827586210001E-3</v>
      </c>
    </row>
    <row r="69" spans="2:5" ht="14.5" customHeight="1">
      <c r="B69" s="95" t="s">
        <v>61</v>
      </c>
      <c r="C69" s="67" t="s">
        <v>141</v>
      </c>
      <c r="D69" s="68">
        <v>42</v>
      </c>
      <c r="E69" s="69">
        <v>9.0517241379310005E-3</v>
      </c>
    </row>
    <row r="70" spans="2:5" ht="14.5" customHeight="1">
      <c r="B70" s="96"/>
      <c r="C70" s="67" t="s">
        <v>142</v>
      </c>
      <c r="D70" s="68">
        <v>87</v>
      </c>
      <c r="E70" s="69">
        <v>1.8749999999999999E-2</v>
      </c>
    </row>
    <row r="71" spans="2:5" ht="14.5" customHeight="1">
      <c r="B71" s="97" t="s">
        <v>301</v>
      </c>
      <c r="C71" s="61" t="s">
        <v>29</v>
      </c>
      <c r="D71" s="62">
        <v>129</v>
      </c>
      <c r="E71" s="63">
        <v>2.7801724137931E-2</v>
      </c>
    </row>
    <row r="72" spans="2:5" ht="14.5" customHeight="1">
      <c r="B72" s="95" t="s">
        <v>60</v>
      </c>
      <c r="C72" s="67" t="s">
        <v>141</v>
      </c>
      <c r="D72" s="68">
        <v>48</v>
      </c>
      <c r="E72" s="69">
        <v>1.0344827586207E-2</v>
      </c>
    </row>
    <row r="73" spans="2:5" ht="14.5" customHeight="1">
      <c r="B73" s="96"/>
      <c r="C73" s="67" t="s">
        <v>142</v>
      </c>
      <c r="D73" s="68">
        <v>82</v>
      </c>
      <c r="E73" s="69">
        <v>1.7672413793103001E-2</v>
      </c>
    </row>
    <row r="74" spans="2:5" ht="14.5" customHeight="1">
      <c r="B74" s="97" t="s">
        <v>302</v>
      </c>
      <c r="C74" s="61" t="s">
        <v>29</v>
      </c>
      <c r="D74" s="62">
        <v>130</v>
      </c>
      <c r="E74" s="63">
        <v>2.8017241379309998E-2</v>
      </c>
    </row>
    <row r="75" spans="2:5" ht="14.5" customHeight="1">
      <c r="B75" s="95" t="s">
        <v>56</v>
      </c>
      <c r="C75" s="67" t="s">
        <v>141</v>
      </c>
      <c r="D75" s="68">
        <v>92</v>
      </c>
      <c r="E75" s="69">
        <v>1.9827586206897001E-2</v>
      </c>
    </row>
    <row r="76" spans="2:5" ht="14.5" customHeight="1">
      <c r="B76" s="96"/>
      <c r="C76" s="67" t="s">
        <v>142</v>
      </c>
      <c r="D76" s="68">
        <v>95</v>
      </c>
      <c r="E76" s="69">
        <v>2.0474137931034E-2</v>
      </c>
    </row>
    <row r="77" spans="2:5" ht="14.5" customHeight="1">
      <c r="B77" s="97" t="s">
        <v>303</v>
      </c>
      <c r="C77" s="61" t="s">
        <v>29</v>
      </c>
      <c r="D77" s="62">
        <v>187</v>
      </c>
      <c r="E77" s="63">
        <v>4.0301724137930997E-2</v>
      </c>
    </row>
    <row r="78" spans="2:5" ht="14.5" customHeight="1">
      <c r="B78" s="95" t="s">
        <v>65</v>
      </c>
      <c r="C78" s="67" t="s">
        <v>141</v>
      </c>
      <c r="D78" s="68">
        <v>32</v>
      </c>
      <c r="E78" s="69">
        <v>6.8965517241380003E-3</v>
      </c>
    </row>
    <row r="79" spans="2:5" ht="14.5" customHeight="1">
      <c r="B79" s="96"/>
      <c r="C79" s="67" t="s">
        <v>142</v>
      </c>
      <c r="D79" s="68">
        <v>43</v>
      </c>
      <c r="E79" s="69">
        <v>9.2672413793100008E-3</v>
      </c>
    </row>
    <row r="80" spans="2:5" ht="14.5" customHeight="1">
      <c r="B80" s="97" t="s">
        <v>304</v>
      </c>
      <c r="C80" s="61" t="s">
        <v>29</v>
      </c>
      <c r="D80" s="62">
        <v>75</v>
      </c>
      <c r="E80" s="63">
        <v>1.6163793103447999E-2</v>
      </c>
    </row>
    <row r="81" spans="2:5" ht="14.5" customHeight="1">
      <c r="B81" s="95" t="s">
        <v>76</v>
      </c>
      <c r="C81" s="67" t="s">
        <v>141</v>
      </c>
      <c r="D81" s="68">
        <v>12</v>
      </c>
      <c r="E81" s="69">
        <v>2.5862068965519999E-3</v>
      </c>
    </row>
    <row r="82" spans="2:5" ht="14.5" customHeight="1">
      <c r="B82" s="96"/>
      <c r="C82" s="67" t="s">
        <v>142</v>
      </c>
      <c r="D82" s="68">
        <v>30</v>
      </c>
      <c r="E82" s="69">
        <v>6.4655172413789997E-3</v>
      </c>
    </row>
    <row r="83" spans="2:5" ht="14.5" customHeight="1">
      <c r="B83" s="97" t="s">
        <v>305</v>
      </c>
      <c r="C83" s="61" t="s">
        <v>29</v>
      </c>
      <c r="D83" s="62">
        <v>42</v>
      </c>
      <c r="E83" s="63">
        <v>9.0517241379310005E-3</v>
      </c>
    </row>
    <row r="84" spans="2:5" ht="14.5" customHeight="1">
      <c r="B84" s="95" t="s">
        <v>59</v>
      </c>
      <c r="C84" s="67" t="s">
        <v>141</v>
      </c>
      <c r="D84" s="68">
        <v>40</v>
      </c>
      <c r="E84" s="69">
        <v>8.6206896551720008E-3</v>
      </c>
    </row>
    <row r="85" spans="2:5" ht="14.5" customHeight="1">
      <c r="B85" s="96"/>
      <c r="C85" s="67" t="s">
        <v>142</v>
      </c>
      <c r="D85" s="68">
        <v>114</v>
      </c>
      <c r="E85" s="69">
        <v>2.4568965517241002E-2</v>
      </c>
    </row>
    <row r="86" spans="2:5" ht="14.5" customHeight="1">
      <c r="B86" s="97" t="s">
        <v>306</v>
      </c>
      <c r="C86" s="61" t="s">
        <v>29</v>
      </c>
      <c r="D86" s="62">
        <v>154</v>
      </c>
      <c r="E86" s="63">
        <v>3.3189655172413998E-2</v>
      </c>
    </row>
    <row r="87" spans="2:5" ht="14.5" customHeight="1">
      <c r="B87" s="95" t="s">
        <v>68</v>
      </c>
      <c r="C87" s="67" t="s">
        <v>141</v>
      </c>
      <c r="D87" s="68">
        <v>17</v>
      </c>
      <c r="E87" s="69">
        <v>3.663793103448E-3</v>
      </c>
    </row>
    <row r="88" spans="2:5" ht="14.5" customHeight="1">
      <c r="B88" s="96"/>
      <c r="C88" s="67" t="s">
        <v>142</v>
      </c>
      <c r="D88" s="68">
        <v>54</v>
      </c>
      <c r="E88" s="69">
        <v>1.1637931034483E-2</v>
      </c>
    </row>
    <row r="89" spans="2:5" ht="14.5" customHeight="1">
      <c r="B89" s="97" t="s">
        <v>307</v>
      </c>
      <c r="C89" s="61" t="s">
        <v>29</v>
      </c>
      <c r="D89" s="62">
        <v>71</v>
      </c>
      <c r="E89" s="63">
        <v>1.5301724137930999E-2</v>
      </c>
    </row>
    <row r="90" spans="2:5" ht="14.5" customHeight="1">
      <c r="B90" s="95" t="s">
        <v>64</v>
      </c>
      <c r="C90" s="67" t="s">
        <v>141</v>
      </c>
      <c r="D90" s="68">
        <v>19</v>
      </c>
      <c r="E90" s="69">
        <v>4.0948275862070001E-3</v>
      </c>
    </row>
    <row r="91" spans="2:5" ht="14.5" customHeight="1">
      <c r="B91" s="96"/>
      <c r="C91" s="67" t="s">
        <v>142</v>
      </c>
      <c r="D91" s="68">
        <v>66</v>
      </c>
      <c r="E91" s="69">
        <v>1.4224137931033999E-2</v>
      </c>
    </row>
    <row r="92" spans="2:5" ht="14.5" customHeight="1">
      <c r="B92" s="97" t="s">
        <v>308</v>
      </c>
      <c r="C92" s="61" t="s">
        <v>29</v>
      </c>
      <c r="D92" s="62">
        <v>85</v>
      </c>
      <c r="E92" s="63">
        <v>1.8318965517241E-2</v>
      </c>
    </row>
    <row r="93" spans="2:5" ht="14.5" customHeight="1">
      <c r="B93" s="95" t="s">
        <v>88</v>
      </c>
      <c r="C93" s="67" t="s">
        <v>141</v>
      </c>
      <c r="D93" s="68">
        <v>5</v>
      </c>
      <c r="E93" s="69">
        <v>1.0775862068969999E-3</v>
      </c>
    </row>
    <row r="94" spans="2:5" ht="14.5" customHeight="1">
      <c r="B94" s="96"/>
      <c r="C94" s="67" t="s">
        <v>142</v>
      </c>
      <c r="D94" s="68">
        <v>11</v>
      </c>
      <c r="E94" s="69">
        <v>2.370689655172E-3</v>
      </c>
    </row>
    <row r="95" spans="2:5" ht="14.5" customHeight="1">
      <c r="B95" s="97" t="s">
        <v>309</v>
      </c>
      <c r="C95" s="61" t="s">
        <v>29</v>
      </c>
      <c r="D95" s="62">
        <v>16</v>
      </c>
      <c r="E95" s="63">
        <v>3.4482758620690002E-3</v>
      </c>
    </row>
    <row r="96" spans="2:5" ht="14.5" customHeight="1">
      <c r="B96" s="95" t="s">
        <v>51</v>
      </c>
      <c r="C96" s="67" t="s">
        <v>141</v>
      </c>
      <c r="D96" s="68">
        <v>65</v>
      </c>
      <c r="E96" s="69">
        <v>1.4008620689654999E-2</v>
      </c>
    </row>
    <row r="97" spans="2:5" ht="14.5" customHeight="1">
      <c r="B97" s="96"/>
      <c r="C97" s="67" t="s">
        <v>142</v>
      </c>
      <c r="D97" s="68">
        <v>223</v>
      </c>
      <c r="E97" s="69">
        <v>4.8060344827585998E-2</v>
      </c>
    </row>
    <row r="98" spans="2:5" ht="14.5" customHeight="1">
      <c r="B98" s="97" t="s">
        <v>310</v>
      </c>
      <c r="C98" s="61" t="s">
        <v>29</v>
      </c>
      <c r="D98" s="62">
        <v>288</v>
      </c>
      <c r="E98" s="63">
        <v>6.2068965517240997E-2</v>
      </c>
    </row>
    <row r="99" spans="2:5" ht="14.5" customHeight="1">
      <c r="B99" s="95" t="s">
        <v>90</v>
      </c>
      <c r="C99" s="67" t="s">
        <v>141</v>
      </c>
      <c r="D99" s="68">
        <v>7</v>
      </c>
      <c r="E99" s="69">
        <v>1.508620689655E-3</v>
      </c>
    </row>
    <row r="100" spans="2:5" ht="14.5" customHeight="1">
      <c r="B100" s="96"/>
      <c r="C100" s="67" t="s">
        <v>142</v>
      </c>
      <c r="D100" s="68">
        <v>7</v>
      </c>
      <c r="E100" s="69">
        <v>1.508620689655E-3</v>
      </c>
    </row>
    <row r="101" spans="2:5" ht="14.5" customHeight="1">
      <c r="B101" s="97" t="s">
        <v>311</v>
      </c>
      <c r="C101" s="61" t="s">
        <v>29</v>
      </c>
      <c r="D101" s="62">
        <v>14</v>
      </c>
      <c r="E101" s="63">
        <v>3.01724137931E-3</v>
      </c>
    </row>
    <row r="102" spans="2:5" ht="14.5" customHeight="1">
      <c r="B102" s="95" t="s">
        <v>69</v>
      </c>
      <c r="C102" s="67" t="s">
        <v>141</v>
      </c>
      <c r="D102" s="68">
        <v>12</v>
      </c>
      <c r="E102" s="69">
        <v>2.5862068965519999E-3</v>
      </c>
    </row>
    <row r="103" spans="2:5" ht="14.5" customHeight="1">
      <c r="B103" s="96"/>
      <c r="C103" s="67" t="s">
        <v>142</v>
      </c>
      <c r="D103" s="68">
        <v>52</v>
      </c>
      <c r="E103" s="69">
        <v>1.1206896551724001E-2</v>
      </c>
    </row>
    <row r="104" spans="2:5" ht="14.5" customHeight="1">
      <c r="B104" s="97" t="s">
        <v>312</v>
      </c>
      <c r="C104" s="61" t="s">
        <v>29</v>
      </c>
      <c r="D104" s="62">
        <v>64</v>
      </c>
      <c r="E104" s="63">
        <v>1.3793103448276001E-2</v>
      </c>
    </row>
    <row r="105" spans="2:5" ht="14.5" customHeight="1">
      <c r="B105" s="95" t="s">
        <v>84</v>
      </c>
      <c r="C105" s="67" t="s">
        <v>141</v>
      </c>
      <c r="D105" s="68">
        <v>4</v>
      </c>
      <c r="E105" s="69">
        <v>8.6206896551700002E-4</v>
      </c>
    </row>
    <row r="106" spans="2:5" ht="14.5" customHeight="1">
      <c r="B106" s="96"/>
      <c r="C106" s="67" t="s">
        <v>142</v>
      </c>
      <c r="D106" s="68">
        <v>20</v>
      </c>
      <c r="E106" s="69">
        <v>4.3103448275860004E-3</v>
      </c>
    </row>
    <row r="107" spans="2:5" ht="14.5" customHeight="1">
      <c r="B107" s="97" t="s">
        <v>313</v>
      </c>
      <c r="C107" s="61" t="s">
        <v>29</v>
      </c>
      <c r="D107" s="62">
        <v>24</v>
      </c>
      <c r="E107" s="63">
        <v>5.1724137931029998E-3</v>
      </c>
    </row>
    <row r="108" spans="2:5" ht="14.5" customHeight="1">
      <c r="B108" s="95" t="s">
        <v>67</v>
      </c>
      <c r="C108" s="67" t="s">
        <v>141</v>
      </c>
      <c r="D108" s="68">
        <v>11</v>
      </c>
      <c r="E108" s="69">
        <v>2.370689655172E-3</v>
      </c>
    </row>
    <row r="109" spans="2:5" ht="14.5" customHeight="1">
      <c r="B109" s="96"/>
      <c r="C109" s="67" t="s">
        <v>142</v>
      </c>
      <c r="D109" s="68">
        <v>61</v>
      </c>
      <c r="E109" s="69">
        <v>1.3146551724138001E-2</v>
      </c>
    </row>
    <row r="110" spans="2:5" ht="14.5" customHeight="1">
      <c r="B110" s="97" t="s">
        <v>314</v>
      </c>
      <c r="C110" s="61" t="s">
        <v>29</v>
      </c>
      <c r="D110" s="62">
        <v>72</v>
      </c>
      <c r="E110" s="63">
        <v>1.5517241379309999E-2</v>
      </c>
    </row>
    <row r="111" spans="2:5" ht="14.5" customHeight="1">
      <c r="B111" s="95" t="s">
        <v>49</v>
      </c>
      <c r="C111" s="67" t="s">
        <v>141</v>
      </c>
      <c r="D111" s="68">
        <v>221</v>
      </c>
      <c r="E111" s="69">
        <v>4.7629310344828001E-2</v>
      </c>
    </row>
    <row r="112" spans="2:5" ht="14.5" customHeight="1">
      <c r="B112" s="96"/>
      <c r="C112" s="67" t="s">
        <v>142</v>
      </c>
      <c r="D112" s="68">
        <v>501</v>
      </c>
      <c r="E112" s="69">
        <v>0.107974137931034</v>
      </c>
    </row>
    <row r="113" spans="2:5" ht="14.5" customHeight="1">
      <c r="B113" s="97" t="s">
        <v>315</v>
      </c>
      <c r="C113" s="61" t="s">
        <v>29</v>
      </c>
      <c r="D113" s="62">
        <v>722</v>
      </c>
      <c r="E113" s="63">
        <v>0.15560344827586201</v>
      </c>
    </row>
    <row r="114" spans="2:5" ht="14.5" customHeight="1">
      <c r="B114" s="95" t="s">
        <v>82</v>
      </c>
      <c r="C114" s="67" t="s">
        <v>141</v>
      </c>
      <c r="D114" s="68">
        <v>10</v>
      </c>
      <c r="E114" s="69">
        <v>2.1551724137930002E-3</v>
      </c>
    </row>
    <row r="115" spans="2:5" ht="14.5" customHeight="1">
      <c r="B115" s="96"/>
      <c r="C115" s="67" t="s">
        <v>142</v>
      </c>
      <c r="D115" s="68">
        <v>18</v>
      </c>
      <c r="E115" s="69">
        <v>3.8793103448279999E-3</v>
      </c>
    </row>
    <row r="116" spans="2:5" ht="14.5" customHeight="1">
      <c r="B116" s="97" t="s">
        <v>316</v>
      </c>
      <c r="C116" s="61" t="s">
        <v>29</v>
      </c>
      <c r="D116" s="62">
        <v>28</v>
      </c>
      <c r="E116" s="63">
        <v>6.0344827586210001E-3</v>
      </c>
    </row>
    <row r="117" spans="2:5" ht="14.5" customHeight="1">
      <c r="B117" s="95" t="s">
        <v>73</v>
      </c>
      <c r="C117" s="67" t="s">
        <v>141</v>
      </c>
      <c r="D117" s="68">
        <v>17</v>
      </c>
      <c r="E117" s="69">
        <v>3.663793103448E-3</v>
      </c>
    </row>
    <row r="118" spans="2:5" ht="14.5" customHeight="1">
      <c r="B118" s="96"/>
      <c r="C118" s="67" t="s">
        <v>142</v>
      </c>
      <c r="D118" s="68">
        <v>34</v>
      </c>
      <c r="E118" s="69">
        <v>7.327586206897E-3</v>
      </c>
    </row>
    <row r="119" spans="2:5" ht="14.5" customHeight="1">
      <c r="B119" s="97" t="s">
        <v>317</v>
      </c>
      <c r="C119" s="61" t="s">
        <v>29</v>
      </c>
      <c r="D119" s="62">
        <v>51</v>
      </c>
      <c r="E119" s="63">
        <v>1.0991379310345E-2</v>
      </c>
    </row>
    <row r="120" spans="2:5" ht="14.5" customHeight="1">
      <c r="B120" s="95" t="s">
        <v>83</v>
      </c>
      <c r="C120" s="67" t="s">
        <v>141</v>
      </c>
      <c r="D120" s="68">
        <v>8</v>
      </c>
      <c r="E120" s="69">
        <v>1.724137931034E-3</v>
      </c>
    </row>
    <row r="121" spans="2:5" ht="14.5" customHeight="1">
      <c r="B121" s="96"/>
      <c r="C121" s="67" t="s">
        <v>142</v>
      </c>
      <c r="D121" s="68">
        <v>18</v>
      </c>
      <c r="E121" s="69">
        <v>3.8793103448279999E-3</v>
      </c>
    </row>
    <row r="122" spans="2:5" ht="14.5" customHeight="1">
      <c r="B122" s="97" t="s">
        <v>318</v>
      </c>
      <c r="C122" s="61" t="s">
        <v>29</v>
      </c>
      <c r="D122" s="62">
        <v>26</v>
      </c>
      <c r="E122" s="63">
        <v>5.6034482758620004E-3</v>
      </c>
    </row>
    <row r="123" spans="2:5" ht="14.5" customHeight="1">
      <c r="B123" s="95" t="s">
        <v>72</v>
      </c>
      <c r="C123" s="67" t="s">
        <v>141</v>
      </c>
      <c r="D123" s="68">
        <v>14</v>
      </c>
      <c r="E123" s="69">
        <v>3.01724137931E-3</v>
      </c>
    </row>
    <row r="124" spans="2:5" ht="14.5" customHeight="1">
      <c r="B124" s="96"/>
      <c r="C124" s="67" t="s">
        <v>142</v>
      </c>
      <c r="D124" s="68">
        <v>38</v>
      </c>
      <c r="E124" s="69">
        <v>8.1896551724140003E-3</v>
      </c>
    </row>
    <row r="125" spans="2:5" ht="14.5" customHeight="1">
      <c r="B125" s="97" t="s">
        <v>319</v>
      </c>
      <c r="C125" s="61" t="s">
        <v>29</v>
      </c>
      <c r="D125" s="62">
        <v>52</v>
      </c>
      <c r="E125" s="63">
        <v>1.1206896551724001E-2</v>
      </c>
    </row>
    <row r="126" spans="2:5" ht="14.5" customHeight="1">
      <c r="B126" s="95" t="s">
        <v>80</v>
      </c>
      <c r="C126" s="67" t="s">
        <v>141</v>
      </c>
      <c r="D126" s="68">
        <v>16</v>
      </c>
      <c r="E126" s="69">
        <v>3.4482758620690002E-3</v>
      </c>
    </row>
    <row r="127" spans="2:5" ht="14.5" customHeight="1">
      <c r="B127" s="96"/>
      <c r="C127" s="67" t="s">
        <v>142</v>
      </c>
      <c r="D127" s="68">
        <v>14</v>
      </c>
      <c r="E127" s="69">
        <v>3.01724137931E-3</v>
      </c>
    </row>
    <row r="128" spans="2:5" ht="14.5" customHeight="1">
      <c r="B128" s="97" t="s">
        <v>320</v>
      </c>
      <c r="C128" s="61" t="s">
        <v>29</v>
      </c>
      <c r="D128" s="62">
        <v>30</v>
      </c>
      <c r="E128" s="63">
        <v>6.4655172413789997E-3</v>
      </c>
    </row>
    <row r="129" spans="2:5" ht="14.5" customHeight="1">
      <c r="B129" s="95" t="s">
        <v>86</v>
      </c>
      <c r="C129" s="67" t="s">
        <v>141</v>
      </c>
      <c r="D129" s="68">
        <v>6</v>
      </c>
      <c r="E129" s="69">
        <v>1.293103448276E-3</v>
      </c>
    </row>
    <row r="130" spans="2:5" ht="14.5" customHeight="1">
      <c r="B130" s="96"/>
      <c r="C130" s="67" t="s">
        <v>142</v>
      </c>
      <c r="D130" s="68">
        <v>12</v>
      </c>
      <c r="E130" s="69">
        <v>2.5862068965519999E-3</v>
      </c>
    </row>
    <row r="131" spans="2:5" ht="14.5" customHeight="1">
      <c r="B131" s="97" t="s">
        <v>321</v>
      </c>
      <c r="C131" s="61" t="s">
        <v>29</v>
      </c>
      <c r="D131" s="62">
        <v>18</v>
      </c>
      <c r="E131" s="63">
        <v>3.8793103448279999E-3</v>
      </c>
    </row>
    <row r="132" spans="2:5" ht="14.5" customHeight="1">
      <c r="B132" s="95" t="s">
        <v>74</v>
      </c>
      <c r="C132" s="67" t="s">
        <v>141</v>
      </c>
      <c r="D132" s="68">
        <v>14</v>
      </c>
      <c r="E132" s="69">
        <v>3.01724137931E-3</v>
      </c>
    </row>
    <row r="133" spans="2:5" ht="14.5" customHeight="1">
      <c r="B133" s="96"/>
      <c r="C133" s="67" t="s">
        <v>142</v>
      </c>
      <c r="D133" s="68">
        <v>35</v>
      </c>
      <c r="E133" s="69">
        <v>7.5431034482760003E-3</v>
      </c>
    </row>
    <row r="134" spans="2:5" ht="14.5" customHeight="1">
      <c r="B134" s="97" t="s">
        <v>322</v>
      </c>
      <c r="C134" s="61" t="s">
        <v>29</v>
      </c>
      <c r="D134" s="62">
        <v>49</v>
      </c>
      <c r="E134" s="63">
        <v>1.0560344827586001E-2</v>
      </c>
    </row>
    <row r="135" spans="2:5" ht="14.5" customHeight="1">
      <c r="B135" s="95" t="s">
        <v>75</v>
      </c>
      <c r="C135" s="67" t="s">
        <v>141</v>
      </c>
      <c r="D135" s="68">
        <v>14</v>
      </c>
      <c r="E135" s="69">
        <v>3.01724137931E-3</v>
      </c>
    </row>
    <row r="136" spans="2:5" ht="14.5" customHeight="1">
      <c r="B136" s="96"/>
      <c r="C136" s="67" t="s">
        <v>142</v>
      </c>
      <c r="D136" s="68">
        <v>34</v>
      </c>
      <c r="E136" s="69">
        <v>7.327586206897E-3</v>
      </c>
    </row>
    <row r="137" spans="2:5" ht="14.5" customHeight="1">
      <c r="B137" s="97" t="s">
        <v>323</v>
      </c>
      <c r="C137" s="61" t="s">
        <v>29</v>
      </c>
      <c r="D137" s="62">
        <v>48</v>
      </c>
      <c r="E137" s="63">
        <v>1.0344827586207E-2</v>
      </c>
    </row>
    <row r="138" spans="2:5" ht="14.5" customHeight="1">
      <c r="B138" s="95" t="s">
        <v>79</v>
      </c>
      <c r="C138" s="67" t="s">
        <v>141</v>
      </c>
      <c r="D138" s="68">
        <v>12</v>
      </c>
      <c r="E138" s="69">
        <v>2.5862068965519999E-3</v>
      </c>
    </row>
    <row r="139" spans="2:5" ht="14.5" customHeight="1">
      <c r="B139" s="96"/>
      <c r="C139" s="67" t="s">
        <v>142</v>
      </c>
      <c r="D139" s="68">
        <v>19</v>
      </c>
      <c r="E139" s="69">
        <v>4.0948275862070001E-3</v>
      </c>
    </row>
    <row r="140" spans="2:5" ht="14.5" customHeight="1">
      <c r="B140" s="97" t="s">
        <v>324</v>
      </c>
      <c r="C140" s="61" t="s">
        <v>29</v>
      </c>
      <c r="D140" s="62">
        <v>31</v>
      </c>
      <c r="E140" s="63">
        <v>6.6810344827590001E-3</v>
      </c>
    </row>
    <row r="141" spans="2:5" ht="14.5" customHeight="1">
      <c r="B141" s="95" t="s">
        <v>87</v>
      </c>
      <c r="C141" s="67" t="s">
        <v>141</v>
      </c>
      <c r="D141" s="68">
        <v>4</v>
      </c>
      <c r="E141" s="69">
        <v>8.6206896551700002E-4</v>
      </c>
    </row>
    <row r="142" spans="2:5" ht="14.5" customHeight="1">
      <c r="B142" s="96"/>
      <c r="C142" s="67" t="s">
        <v>142</v>
      </c>
      <c r="D142" s="68">
        <v>13</v>
      </c>
      <c r="E142" s="69">
        <v>2.8017241379310002E-3</v>
      </c>
    </row>
    <row r="143" spans="2:5" ht="14.5" customHeight="1">
      <c r="B143" s="97" t="s">
        <v>325</v>
      </c>
      <c r="C143" s="61" t="s">
        <v>29</v>
      </c>
      <c r="D143" s="62">
        <v>17</v>
      </c>
      <c r="E143" s="63">
        <v>3.663793103448E-3</v>
      </c>
    </row>
    <row r="144" spans="2:5" ht="14.5" customHeight="1">
      <c r="B144" s="95" t="s">
        <v>93</v>
      </c>
      <c r="C144" s="67" t="s">
        <v>141</v>
      </c>
      <c r="D144" s="68">
        <v>2</v>
      </c>
      <c r="E144" s="69">
        <v>4.3103448275899999E-4</v>
      </c>
    </row>
    <row r="145" spans="2:5" ht="14.5" customHeight="1">
      <c r="B145" s="96"/>
      <c r="C145" s="67" t="s">
        <v>142</v>
      </c>
      <c r="D145" s="68">
        <v>1</v>
      </c>
      <c r="E145" s="69">
        <v>2.1551724137899999E-4</v>
      </c>
    </row>
    <row r="146" spans="2:5" ht="14.5" customHeight="1">
      <c r="B146" s="97" t="s">
        <v>326</v>
      </c>
      <c r="C146" s="61" t="s">
        <v>29</v>
      </c>
      <c r="D146" s="62">
        <v>3</v>
      </c>
      <c r="E146" s="63">
        <v>6.4655172413799998E-4</v>
      </c>
    </row>
    <row r="147" spans="2:5" ht="14.5" customHeight="1">
      <c r="B147" s="95" t="s">
        <v>58</v>
      </c>
      <c r="C147" s="67" t="s">
        <v>141</v>
      </c>
      <c r="D147" s="68">
        <v>56</v>
      </c>
      <c r="E147" s="69">
        <v>1.2068965517240999E-2</v>
      </c>
    </row>
    <row r="148" spans="2:5" ht="14.5" customHeight="1">
      <c r="B148" s="96"/>
      <c r="C148" s="67" t="s">
        <v>142</v>
      </c>
      <c r="D148" s="68">
        <v>110</v>
      </c>
      <c r="E148" s="69">
        <v>2.3706896551724001E-2</v>
      </c>
    </row>
    <row r="149" spans="2:5" ht="14.5" customHeight="1">
      <c r="B149" s="97" t="s">
        <v>184</v>
      </c>
      <c r="C149" s="61" t="s">
        <v>29</v>
      </c>
      <c r="D149" s="62">
        <v>166</v>
      </c>
      <c r="E149" s="63">
        <v>3.5775862068965998E-2</v>
      </c>
    </row>
    <row r="150" spans="2:5" ht="14.5" customHeight="1">
      <c r="B150" s="95" t="s">
        <v>95</v>
      </c>
      <c r="C150" s="67" t="s">
        <v>142</v>
      </c>
      <c r="D150" s="68">
        <v>1</v>
      </c>
      <c r="E150" s="69">
        <v>2.1551724137899999E-4</v>
      </c>
    </row>
    <row r="151" spans="2:5" ht="14.5" customHeight="1">
      <c r="B151" s="97"/>
      <c r="C151" s="61" t="s">
        <v>29</v>
      </c>
      <c r="D151" s="62">
        <v>1</v>
      </c>
      <c r="E151" s="63">
        <v>2.1551724137899999E-4</v>
      </c>
    </row>
    <row r="152" spans="2:5" ht="14.5" customHeight="1">
      <c r="B152" s="100" t="s">
        <v>29</v>
      </c>
      <c r="C152" s="101"/>
      <c r="D152" s="59">
        <v>4640</v>
      </c>
      <c r="E152" s="60">
        <v>1</v>
      </c>
    </row>
    <row r="153" spans="2:5" ht="14.5" customHeight="1"/>
    <row r="154" spans="2:5" ht="14.5" customHeight="1">
      <c r="B154" s="15" t="s">
        <v>46</v>
      </c>
    </row>
    <row r="155" spans="2:5" ht="14.5" customHeight="1">
      <c r="B155" s="17" t="s">
        <v>18</v>
      </c>
    </row>
    <row r="156" spans="2:5" ht="14.5" customHeight="1">
      <c r="B156" s="16" t="s">
        <v>47</v>
      </c>
    </row>
    <row r="157" spans="2:5" ht="14.5" customHeight="1">
      <c r="B157" s="15" t="s">
        <v>17</v>
      </c>
    </row>
    <row r="158" spans="2:5" ht="14.5" customHeight="1">
      <c r="B158" s="15" t="s">
        <v>48</v>
      </c>
    </row>
  </sheetData>
  <mergeCells count="49">
    <mergeCell ref="B126:B128"/>
    <mergeCell ref="B129:B131"/>
    <mergeCell ref="B105:B107"/>
    <mergeCell ref="B132:B134"/>
    <mergeCell ref="B135:B137"/>
    <mergeCell ref="B117:B119"/>
    <mergeCell ref="B120:B122"/>
    <mergeCell ref="B123:B125"/>
    <mergeCell ref="B51:B53"/>
    <mergeCell ref="B54:B56"/>
    <mergeCell ref="B63:B65"/>
    <mergeCell ref="B66:B68"/>
    <mergeCell ref="B69:B71"/>
    <mergeCell ref="B72:B74"/>
    <mergeCell ref="B75:B77"/>
    <mergeCell ref="B108:B110"/>
    <mergeCell ref="B111:B113"/>
    <mergeCell ref="B114:B116"/>
    <mergeCell ref="B81:B83"/>
    <mergeCell ref="B93:B95"/>
    <mergeCell ref="B96:B98"/>
    <mergeCell ref="B99:B101"/>
    <mergeCell ref="B102:B104"/>
    <mergeCell ref="B25:B27"/>
    <mergeCell ref="B28:B30"/>
    <mergeCell ref="B31:B33"/>
    <mergeCell ref="B34:B36"/>
    <mergeCell ref="B45:B47"/>
    <mergeCell ref="B8:E10"/>
    <mergeCell ref="B13:B15"/>
    <mergeCell ref="B16:B18"/>
    <mergeCell ref="B19:B21"/>
    <mergeCell ref="B22:B24"/>
    <mergeCell ref="B144:B146"/>
    <mergeCell ref="B147:B149"/>
    <mergeCell ref="B150:B151"/>
    <mergeCell ref="B152:C152"/>
    <mergeCell ref="B37:B38"/>
    <mergeCell ref="B39:B41"/>
    <mergeCell ref="B42:B44"/>
    <mergeCell ref="B138:B140"/>
    <mergeCell ref="B141:B143"/>
    <mergeCell ref="B57:B59"/>
    <mergeCell ref="B60:B62"/>
    <mergeCell ref="B48:B50"/>
    <mergeCell ref="B84:B86"/>
    <mergeCell ref="B87:B89"/>
    <mergeCell ref="B90:B92"/>
    <mergeCell ref="B78:B80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B1:F151"/>
  <sheetViews>
    <sheetView showGridLines="0" tabSelected="1" view="pageBreakPreview" topLeftCell="A136" zoomScaleNormal="98" zoomScaleSheetLayoutView="100" workbookViewId="0">
      <selection activeCell="F154" sqref="F154"/>
    </sheetView>
  </sheetViews>
  <sheetFormatPr baseColWidth="10" defaultColWidth="11.453125" defaultRowHeight="10"/>
  <cols>
    <col min="1" max="1" width="5.7265625" style="25" customWidth="1"/>
    <col min="2" max="3" width="23.7265625" style="41" customWidth="1"/>
    <col min="4" max="4" width="15.7265625" style="44" customWidth="1"/>
    <col min="5" max="5" width="15.7265625" style="41" customWidth="1"/>
    <col min="6" max="6" width="3.1796875" style="25" customWidth="1"/>
    <col min="7" max="16384" width="11.453125" style="25"/>
  </cols>
  <sheetData>
    <row r="1" spans="2:6" s="13" customFormat="1" ht="14.5">
      <c r="B1" s="41"/>
      <c r="C1" s="41"/>
    </row>
    <row r="2" spans="2:6" s="41" customFormat="1">
      <c r="B2" s="51"/>
    </row>
    <row r="3" spans="2:6" ht="15" customHeight="1">
      <c r="B3" s="52"/>
      <c r="C3" s="31"/>
      <c r="D3" s="25"/>
      <c r="F3" s="41"/>
    </row>
    <row r="4" spans="2:6" ht="30" customHeight="1">
      <c r="B4" s="52"/>
      <c r="C4" s="31"/>
      <c r="D4" s="25"/>
      <c r="F4" s="41"/>
    </row>
    <row r="5" spans="2:6" ht="15" customHeight="1">
      <c r="B5" s="52"/>
      <c r="C5" s="31"/>
      <c r="D5" s="25"/>
      <c r="F5" s="41"/>
    </row>
    <row r="6" spans="2:6" s="41" customFormat="1" ht="10.5">
      <c r="B6" s="43"/>
      <c r="C6" s="37"/>
    </row>
    <row r="7" spans="2:6" s="41" customFormat="1">
      <c r="B7" s="51"/>
    </row>
    <row r="8" spans="2:6" s="13" customFormat="1" ht="15" customHeight="1">
      <c r="B8" s="91" t="s">
        <v>40</v>
      </c>
      <c r="C8" s="91"/>
      <c r="D8" s="91"/>
      <c r="E8" s="91"/>
    </row>
    <row r="9" spans="2:6" s="13" customFormat="1" ht="15" customHeight="1">
      <c r="B9" s="91"/>
      <c r="C9" s="91"/>
      <c r="D9" s="91"/>
      <c r="E9" s="91"/>
      <c r="F9" s="50"/>
    </row>
    <row r="10" spans="2:6" s="13" customFormat="1" ht="15" customHeight="1">
      <c r="B10" s="91"/>
      <c r="C10" s="91"/>
      <c r="D10" s="91"/>
      <c r="E10" s="91"/>
    </row>
    <row r="11" spans="2:6" s="13" customFormat="1" ht="15" customHeight="1">
      <c r="B11" s="53"/>
      <c r="C11" s="53"/>
      <c r="D11" s="53"/>
      <c r="E11" s="53"/>
    </row>
    <row r="12" spans="2:6" s="13" customFormat="1" ht="26.25" customHeight="1">
      <c r="B12" s="55" t="s">
        <v>25</v>
      </c>
      <c r="C12" s="55" t="s">
        <v>30</v>
      </c>
      <c r="D12" s="55" t="s">
        <v>20</v>
      </c>
      <c r="E12" s="55" t="s">
        <v>19</v>
      </c>
    </row>
    <row r="13" spans="2:6" ht="14.5" customHeight="1">
      <c r="B13" s="95" t="s">
        <v>96</v>
      </c>
      <c r="C13" s="67" t="s">
        <v>141</v>
      </c>
      <c r="D13" s="68">
        <v>22</v>
      </c>
      <c r="E13" s="69">
        <v>4.7413793103450001E-3</v>
      </c>
    </row>
    <row r="14" spans="2:6" ht="14.5" customHeight="1">
      <c r="B14" s="96"/>
      <c r="C14" s="67" t="s">
        <v>142</v>
      </c>
      <c r="D14" s="68">
        <v>63</v>
      </c>
      <c r="E14" s="69">
        <v>1.3577586206897E-2</v>
      </c>
    </row>
    <row r="15" spans="2:6" ht="14.5" customHeight="1">
      <c r="B15" s="97"/>
      <c r="C15" s="61" t="s">
        <v>29</v>
      </c>
      <c r="D15" s="62">
        <v>85</v>
      </c>
      <c r="E15" s="63">
        <v>1.8318965517241E-2</v>
      </c>
    </row>
    <row r="16" spans="2:6" ht="14.5" customHeight="1">
      <c r="B16" s="95" t="s">
        <v>97</v>
      </c>
      <c r="C16" s="67" t="s">
        <v>141</v>
      </c>
      <c r="D16" s="68">
        <v>14</v>
      </c>
      <c r="E16" s="69">
        <v>3.01724137931E-3</v>
      </c>
    </row>
    <row r="17" spans="2:5" ht="14.5" customHeight="1">
      <c r="B17" s="96"/>
      <c r="C17" s="67" t="s">
        <v>142</v>
      </c>
      <c r="D17" s="68">
        <v>53</v>
      </c>
      <c r="E17" s="69">
        <v>1.1422413793102999E-2</v>
      </c>
    </row>
    <row r="18" spans="2:5" ht="14.5" customHeight="1">
      <c r="B18" s="97" t="s">
        <v>143</v>
      </c>
      <c r="C18" s="61" t="s">
        <v>29</v>
      </c>
      <c r="D18" s="62">
        <v>67</v>
      </c>
      <c r="E18" s="63">
        <v>1.4439655172414001E-2</v>
      </c>
    </row>
    <row r="19" spans="2:5" ht="14.5" customHeight="1">
      <c r="B19" s="95" t="s">
        <v>98</v>
      </c>
      <c r="C19" s="67" t="s">
        <v>141</v>
      </c>
      <c r="D19" s="68">
        <v>16</v>
      </c>
      <c r="E19" s="69">
        <v>3.4482758620690002E-3</v>
      </c>
    </row>
    <row r="20" spans="2:5" ht="14.5" customHeight="1">
      <c r="B20" s="96"/>
      <c r="C20" s="67" t="s">
        <v>142</v>
      </c>
      <c r="D20" s="68">
        <v>38</v>
      </c>
      <c r="E20" s="69">
        <v>8.1896551724140003E-3</v>
      </c>
    </row>
    <row r="21" spans="2:5" ht="14.5" customHeight="1">
      <c r="B21" s="97" t="s">
        <v>144</v>
      </c>
      <c r="C21" s="61" t="s">
        <v>29</v>
      </c>
      <c r="D21" s="62">
        <v>54</v>
      </c>
      <c r="E21" s="63">
        <v>1.1637931034483E-2</v>
      </c>
    </row>
    <row r="22" spans="2:5" ht="14.5" customHeight="1">
      <c r="B22" s="95" t="s">
        <v>99</v>
      </c>
      <c r="C22" s="67" t="s">
        <v>141</v>
      </c>
      <c r="D22" s="68">
        <v>136</v>
      </c>
      <c r="E22" s="69">
        <v>2.9310344827585998E-2</v>
      </c>
    </row>
    <row r="23" spans="2:5" ht="14.5" customHeight="1">
      <c r="B23" s="96"/>
      <c r="C23" s="67" t="s">
        <v>142</v>
      </c>
      <c r="D23" s="68">
        <v>239</v>
      </c>
      <c r="E23" s="69">
        <v>5.1508620689654998E-2</v>
      </c>
    </row>
    <row r="24" spans="2:5" ht="14.5" customHeight="1">
      <c r="B24" s="97" t="s">
        <v>145</v>
      </c>
      <c r="C24" s="61" t="s">
        <v>29</v>
      </c>
      <c r="D24" s="62">
        <v>375</v>
      </c>
      <c r="E24" s="63">
        <v>8.0818965517241007E-2</v>
      </c>
    </row>
    <row r="25" spans="2:5" ht="14.5" customHeight="1">
      <c r="B25" s="95" t="s">
        <v>100</v>
      </c>
      <c r="C25" s="67" t="s">
        <v>141</v>
      </c>
      <c r="D25" s="68">
        <v>25</v>
      </c>
      <c r="E25" s="69">
        <v>5.3879310344830001E-3</v>
      </c>
    </row>
    <row r="26" spans="2:5" ht="14.5" customHeight="1">
      <c r="B26" s="96"/>
      <c r="C26" s="67" t="s">
        <v>142</v>
      </c>
      <c r="D26" s="68">
        <v>77</v>
      </c>
      <c r="E26" s="69">
        <v>1.6594827586206999E-2</v>
      </c>
    </row>
    <row r="27" spans="2:5" ht="14.5" customHeight="1">
      <c r="B27" s="97" t="s">
        <v>146</v>
      </c>
      <c r="C27" s="61" t="s">
        <v>29</v>
      </c>
      <c r="D27" s="62">
        <v>102</v>
      </c>
      <c r="E27" s="63">
        <v>2.1982758620690001E-2</v>
      </c>
    </row>
    <row r="28" spans="2:5" ht="14.5" customHeight="1">
      <c r="B28" s="95" t="s">
        <v>101</v>
      </c>
      <c r="C28" s="67" t="s">
        <v>141</v>
      </c>
      <c r="D28" s="68">
        <v>3</v>
      </c>
      <c r="E28" s="69">
        <v>6.4655172413799998E-4</v>
      </c>
    </row>
    <row r="29" spans="2:5" ht="14.5" customHeight="1">
      <c r="B29" s="96"/>
      <c r="C29" s="67" t="s">
        <v>142</v>
      </c>
      <c r="D29" s="68">
        <v>5</v>
      </c>
      <c r="E29" s="69">
        <v>1.0775862068969999E-3</v>
      </c>
    </row>
    <row r="30" spans="2:5" ht="14.5" customHeight="1">
      <c r="B30" s="97" t="s">
        <v>147</v>
      </c>
      <c r="C30" s="61" t="s">
        <v>29</v>
      </c>
      <c r="D30" s="62">
        <v>8</v>
      </c>
      <c r="E30" s="63">
        <v>1.724137931034E-3</v>
      </c>
    </row>
    <row r="31" spans="2:5" ht="14.5" customHeight="1">
      <c r="B31" s="95" t="s">
        <v>102</v>
      </c>
      <c r="C31" s="67" t="s">
        <v>141</v>
      </c>
      <c r="D31" s="68">
        <v>4</v>
      </c>
      <c r="E31" s="69">
        <v>8.6206896551700002E-4</v>
      </c>
    </row>
    <row r="32" spans="2:5" ht="14.5" customHeight="1">
      <c r="B32" s="96"/>
      <c r="C32" s="67" t="s">
        <v>142</v>
      </c>
      <c r="D32" s="68">
        <v>4</v>
      </c>
      <c r="E32" s="69">
        <v>8.6206896551700002E-4</v>
      </c>
    </row>
    <row r="33" spans="2:5" ht="14.5" customHeight="1">
      <c r="B33" s="97" t="s">
        <v>148</v>
      </c>
      <c r="C33" s="61" t="s">
        <v>29</v>
      </c>
      <c r="D33" s="62">
        <v>8</v>
      </c>
      <c r="E33" s="63">
        <v>1.724137931034E-3</v>
      </c>
    </row>
    <row r="34" spans="2:5" ht="14.5" customHeight="1">
      <c r="B34" s="95" t="s">
        <v>103</v>
      </c>
      <c r="C34" s="67" t="s">
        <v>141</v>
      </c>
      <c r="D34" s="68">
        <v>92</v>
      </c>
      <c r="E34" s="69">
        <v>1.9827586206897001E-2</v>
      </c>
    </row>
    <row r="35" spans="2:5" ht="14.5" customHeight="1">
      <c r="B35" s="96"/>
      <c r="C35" s="67" t="s">
        <v>142</v>
      </c>
      <c r="D35" s="68">
        <v>261</v>
      </c>
      <c r="E35" s="69">
        <v>5.6250000000000001E-2</v>
      </c>
    </row>
    <row r="36" spans="2:5" ht="14.5" customHeight="1">
      <c r="B36" s="97" t="s">
        <v>149</v>
      </c>
      <c r="C36" s="61" t="s">
        <v>29</v>
      </c>
      <c r="D36" s="62">
        <v>353</v>
      </c>
      <c r="E36" s="63">
        <v>7.6077586206897002E-2</v>
      </c>
    </row>
    <row r="37" spans="2:5" ht="14.5" customHeight="1">
      <c r="B37" s="95" t="s">
        <v>104</v>
      </c>
      <c r="C37" s="67" t="s">
        <v>141</v>
      </c>
      <c r="D37" s="68">
        <v>46</v>
      </c>
      <c r="E37" s="69">
        <v>9.9137931034480008E-3</v>
      </c>
    </row>
    <row r="38" spans="2:5" ht="14.5" customHeight="1">
      <c r="B38" s="96"/>
      <c r="C38" s="67" t="s">
        <v>142</v>
      </c>
      <c r="D38" s="68">
        <v>123</v>
      </c>
      <c r="E38" s="69">
        <v>2.6508620689655E-2</v>
      </c>
    </row>
    <row r="39" spans="2:5" ht="14.5" customHeight="1">
      <c r="B39" s="97" t="s">
        <v>150</v>
      </c>
      <c r="C39" s="61" t="s">
        <v>29</v>
      </c>
      <c r="D39" s="62">
        <v>169</v>
      </c>
      <c r="E39" s="63">
        <v>3.6422413793103001E-2</v>
      </c>
    </row>
    <row r="40" spans="2:5" ht="14.5" customHeight="1">
      <c r="B40" s="95" t="s">
        <v>105</v>
      </c>
      <c r="C40" s="67" t="s">
        <v>142</v>
      </c>
      <c r="D40" s="68">
        <v>1</v>
      </c>
      <c r="E40" s="69">
        <v>2.1551724137899999E-4</v>
      </c>
    </row>
    <row r="41" spans="2:5" ht="14.5" customHeight="1">
      <c r="B41" s="97" t="s">
        <v>151</v>
      </c>
      <c r="C41" s="61" t="s">
        <v>29</v>
      </c>
      <c r="D41" s="62">
        <v>1</v>
      </c>
      <c r="E41" s="63">
        <v>2.1551724137899999E-4</v>
      </c>
    </row>
    <row r="42" spans="2:5" ht="14.5" customHeight="1">
      <c r="B42" s="95" t="s">
        <v>106</v>
      </c>
      <c r="C42" s="67" t="s">
        <v>141</v>
      </c>
      <c r="D42" s="68">
        <v>2</v>
      </c>
      <c r="E42" s="69">
        <v>4.3103448275899999E-4</v>
      </c>
    </row>
    <row r="43" spans="2:5" ht="14.5" customHeight="1">
      <c r="B43" s="96"/>
      <c r="C43" s="67" t="s">
        <v>142</v>
      </c>
      <c r="D43" s="68">
        <v>12</v>
      </c>
      <c r="E43" s="69">
        <v>2.5862068965519999E-3</v>
      </c>
    </row>
    <row r="44" spans="2:5" ht="14.5" customHeight="1">
      <c r="B44" s="97" t="s">
        <v>152</v>
      </c>
      <c r="C44" s="61" t="s">
        <v>29</v>
      </c>
      <c r="D44" s="62">
        <v>14</v>
      </c>
      <c r="E44" s="63">
        <v>3.01724137931E-3</v>
      </c>
    </row>
    <row r="45" spans="2:5" ht="14.5" customHeight="1">
      <c r="B45" s="95" t="s">
        <v>107</v>
      </c>
      <c r="C45" s="67" t="s">
        <v>141</v>
      </c>
      <c r="D45" s="68">
        <v>41</v>
      </c>
      <c r="E45" s="69">
        <v>8.8362068965520003E-3</v>
      </c>
    </row>
    <row r="46" spans="2:5" ht="14.5" customHeight="1">
      <c r="B46" s="96"/>
      <c r="C46" s="67" t="s">
        <v>142</v>
      </c>
      <c r="D46" s="68">
        <v>105</v>
      </c>
      <c r="E46" s="69">
        <v>2.2629310344827999E-2</v>
      </c>
    </row>
    <row r="47" spans="2:5" ht="14.5" customHeight="1">
      <c r="B47" s="97" t="s">
        <v>153</v>
      </c>
      <c r="C47" s="61" t="s">
        <v>29</v>
      </c>
      <c r="D47" s="62">
        <v>146</v>
      </c>
      <c r="E47" s="63">
        <v>3.1465517241378999E-2</v>
      </c>
    </row>
    <row r="48" spans="2:5" ht="14.5" customHeight="1">
      <c r="B48" s="95" t="s">
        <v>108</v>
      </c>
      <c r="C48" s="67" t="s">
        <v>141</v>
      </c>
      <c r="D48" s="68">
        <v>65</v>
      </c>
      <c r="E48" s="69">
        <v>1.4008620689654999E-2</v>
      </c>
    </row>
    <row r="49" spans="2:5" ht="14.5" customHeight="1">
      <c r="B49" s="96"/>
      <c r="C49" s="67" t="s">
        <v>142</v>
      </c>
      <c r="D49" s="68">
        <v>109</v>
      </c>
      <c r="E49" s="69">
        <v>2.3491379310344999E-2</v>
      </c>
    </row>
    <row r="50" spans="2:5" ht="14.5" customHeight="1">
      <c r="B50" s="97" t="s">
        <v>154</v>
      </c>
      <c r="C50" s="61" t="s">
        <v>29</v>
      </c>
      <c r="D50" s="62">
        <v>174</v>
      </c>
      <c r="E50" s="63">
        <v>3.7499999999999999E-2</v>
      </c>
    </row>
    <row r="51" spans="2:5" ht="14.5" customHeight="1">
      <c r="B51" s="95" t="s">
        <v>109</v>
      </c>
      <c r="C51" s="67" t="s">
        <v>141</v>
      </c>
      <c r="D51" s="68">
        <v>1</v>
      </c>
      <c r="E51" s="69">
        <v>2.1551724137899999E-4</v>
      </c>
    </row>
    <row r="52" spans="2:5" ht="14.5" customHeight="1">
      <c r="B52" s="96"/>
      <c r="C52" s="67" t="s">
        <v>142</v>
      </c>
      <c r="D52" s="68">
        <v>8</v>
      </c>
      <c r="E52" s="69">
        <v>1.724137931034E-3</v>
      </c>
    </row>
    <row r="53" spans="2:5" ht="14.5" customHeight="1">
      <c r="B53" s="97" t="s">
        <v>155</v>
      </c>
      <c r="C53" s="61" t="s">
        <v>29</v>
      </c>
      <c r="D53" s="62">
        <v>9</v>
      </c>
      <c r="E53" s="63">
        <v>1.9396551724139999E-3</v>
      </c>
    </row>
    <row r="54" spans="2:5" ht="14.5" customHeight="1">
      <c r="B54" s="95" t="s">
        <v>110</v>
      </c>
      <c r="C54" s="67" t="s">
        <v>141</v>
      </c>
      <c r="D54" s="68">
        <v>12</v>
      </c>
      <c r="E54" s="69">
        <v>2.5862068965519999E-3</v>
      </c>
    </row>
    <row r="55" spans="2:5" ht="14.5" customHeight="1">
      <c r="B55" s="96"/>
      <c r="C55" s="67" t="s">
        <v>142</v>
      </c>
      <c r="D55" s="68">
        <v>21</v>
      </c>
      <c r="E55" s="69">
        <v>4.5258620689659999E-3</v>
      </c>
    </row>
    <row r="56" spans="2:5" ht="14.5" customHeight="1">
      <c r="B56" s="97" t="s">
        <v>156</v>
      </c>
      <c r="C56" s="61" t="s">
        <v>29</v>
      </c>
      <c r="D56" s="62">
        <v>33</v>
      </c>
      <c r="E56" s="63">
        <v>7.1120689655169997E-3</v>
      </c>
    </row>
    <row r="57" spans="2:5" ht="14.5" customHeight="1">
      <c r="B57" s="95" t="s">
        <v>111</v>
      </c>
      <c r="C57" s="67" t="s">
        <v>141</v>
      </c>
      <c r="D57" s="68">
        <v>12</v>
      </c>
      <c r="E57" s="69">
        <v>2.5862068965519999E-3</v>
      </c>
    </row>
    <row r="58" spans="2:5" ht="14.5" customHeight="1">
      <c r="B58" s="96"/>
      <c r="C58" s="67" t="s">
        <v>142</v>
      </c>
      <c r="D58" s="68">
        <v>28</v>
      </c>
      <c r="E58" s="69">
        <v>6.0344827586210001E-3</v>
      </c>
    </row>
    <row r="59" spans="2:5" ht="14.5" customHeight="1">
      <c r="B59" s="97" t="s">
        <v>157</v>
      </c>
      <c r="C59" s="61" t="s">
        <v>29</v>
      </c>
      <c r="D59" s="62">
        <v>40</v>
      </c>
      <c r="E59" s="63">
        <v>8.6206896551720008E-3</v>
      </c>
    </row>
    <row r="60" spans="2:5" ht="14.5" customHeight="1">
      <c r="B60" s="95" t="s">
        <v>112</v>
      </c>
      <c r="C60" s="67" t="s">
        <v>141</v>
      </c>
      <c r="D60" s="68">
        <v>21</v>
      </c>
      <c r="E60" s="69">
        <v>4.5258620689659999E-3</v>
      </c>
    </row>
    <row r="61" spans="2:5" ht="14.5" customHeight="1">
      <c r="B61" s="96"/>
      <c r="C61" s="67" t="s">
        <v>142</v>
      </c>
      <c r="D61" s="68">
        <v>78</v>
      </c>
      <c r="E61" s="69">
        <v>1.6810344827586001E-2</v>
      </c>
    </row>
    <row r="62" spans="2:5" ht="14.5" customHeight="1">
      <c r="B62" s="97" t="s">
        <v>158</v>
      </c>
      <c r="C62" s="61" t="s">
        <v>29</v>
      </c>
      <c r="D62" s="62">
        <v>99</v>
      </c>
      <c r="E62" s="63">
        <v>2.1336206896551999E-2</v>
      </c>
    </row>
    <row r="63" spans="2:5" ht="14.5" customHeight="1">
      <c r="B63" s="95" t="s">
        <v>113</v>
      </c>
      <c r="C63" s="67" t="s">
        <v>142</v>
      </c>
      <c r="D63" s="68">
        <v>1</v>
      </c>
      <c r="E63" s="69">
        <v>2.1551724137899999E-4</v>
      </c>
    </row>
    <row r="64" spans="2:5" ht="14.5" customHeight="1">
      <c r="B64" s="97" t="s">
        <v>159</v>
      </c>
      <c r="C64" s="61" t="s">
        <v>29</v>
      </c>
      <c r="D64" s="62">
        <v>1</v>
      </c>
      <c r="E64" s="63">
        <v>2.1551724137899999E-4</v>
      </c>
    </row>
    <row r="65" spans="2:5" ht="14.5" customHeight="1">
      <c r="B65" s="95" t="s">
        <v>114</v>
      </c>
      <c r="C65" s="67" t="s">
        <v>141</v>
      </c>
      <c r="D65" s="68">
        <v>9</v>
      </c>
      <c r="E65" s="69">
        <v>1.9396551724139999E-3</v>
      </c>
    </row>
    <row r="66" spans="2:5" ht="14.5" customHeight="1">
      <c r="B66" s="96"/>
      <c r="C66" s="67" t="s">
        <v>142</v>
      </c>
      <c r="D66" s="68">
        <v>30</v>
      </c>
      <c r="E66" s="69">
        <v>6.4655172413789997E-3</v>
      </c>
    </row>
    <row r="67" spans="2:5" ht="14.5" customHeight="1">
      <c r="B67" s="97" t="s">
        <v>160</v>
      </c>
      <c r="C67" s="61" t="s">
        <v>29</v>
      </c>
      <c r="D67" s="62">
        <v>39</v>
      </c>
      <c r="E67" s="63">
        <v>8.4051724137930005E-3</v>
      </c>
    </row>
    <row r="68" spans="2:5" ht="14.5" customHeight="1">
      <c r="B68" s="95" t="s">
        <v>115</v>
      </c>
      <c r="C68" s="67" t="s">
        <v>141</v>
      </c>
      <c r="D68" s="68">
        <v>2</v>
      </c>
      <c r="E68" s="69">
        <v>4.3103448275899999E-4</v>
      </c>
    </row>
    <row r="69" spans="2:5" ht="14.5" customHeight="1">
      <c r="B69" s="96"/>
      <c r="C69" s="67" t="s">
        <v>142</v>
      </c>
      <c r="D69" s="68">
        <v>6</v>
      </c>
      <c r="E69" s="69">
        <v>1.293103448276E-3</v>
      </c>
    </row>
    <row r="70" spans="2:5" ht="14.5" customHeight="1">
      <c r="B70" s="97" t="s">
        <v>161</v>
      </c>
      <c r="C70" s="61" t="s">
        <v>29</v>
      </c>
      <c r="D70" s="62">
        <v>8</v>
      </c>
      <c r="E70" s="63">
        <v>1.724137931034E-3</v>
      </c>
    </row>
    <row r="71" spans="2:5" ht="14.5" customHeight="1">
      <c r="B71" s="95" t="s">
        <v>116</v>
      </c>
      <c r="C71" s="67" t="s">
        <v>141</v>
      </c>
      <c r="D71" s="68">
        <v>7</v>
      </c>
      <c r="E71" s="69">
        <v>1.508620689655E-3</v>
      </c>
    </row>
    <row r="72" spans="2:5" ht="14.5" customHeight="1">
      <c r="B72" s="96"/>
      <c r="C72" s="67" t="s">
        <v>142</v>
      </c>
      <c r="D72" s="68">
        <v>17</v>
      </c>
      <c r="E72" s="69">
        <v>3.663793103448E-3</v>
      </c>
    </row>
    <row r="73" spans="2:5" ht="14.5" customHeight="1">
      <c r="B73" s="97" t="s">
        <v>162</v>
      </c>
      <c r="C73" s="61" t="s">
        <v>29</v>
      </c>
      <c r="D73" s="62">
        <v>24</v>
      </c>
      <c r="E73" s="63">
        <v>5.1724137931029998E-3</v>
      </c>
    </row>
    <row r="74" spans="2:5" ht="14.5" customHeight="1">
      <c r="B74" s="95" t="s">
        <v>117</v>
      </c>
      <c r="C74" s="67" t="s">
        <v>141</v>
      </c>
      <c r="D74" s="68">
        <v>17</v>
      </c>
      <c r="E74" s="69">
        <v>3.663793103448E-3</v>
      </c>
    </row>
    <row r="75" spans="2:5" ht="14.5" customHeight="1">
      <c r="B75" s="96"/>
      <c r="C75" s="67" t="s">
        <v>142</v>
      </c>
      <c r="D75" s="68">
        <v>32</v>
      </c>
      <c r="E75" s="69">
        <v>6.8965517241380003E-3</v>
      </c>
    </row>
    <row r="76" spans="2:5" ht="14.5" customHeight="1">
      <c r="B76" s="97" t="s">
        <v>163</v>
      </c>
      <c r="C76" s="61" t="s">
        <v>29</v>
      </c>
      <c r="D76" s="62">
        <v>49</v>
      </c>
      <c r="E76" s="63">
        <v>1.0560344827586001E-2</v>
      </c>
    </row>
    <row r="77" spans="2:5" ht="14.5" customHeight="1">
      <c r="B77" s="95" t="s">
        <v>118</v>
      </c>
      <c r="C77" s="67" t="s">
        <v>141</v>
      </c>
      <c r="D77" s="68">
        <v>22</v>
      </c>
      <c r="E77" s="69">
        <v>4.7413793103450001E-3</v>
      </c>
    </row>
    <row r="78" spans="2:5" ht="14.5" customHeight="1">
      <c r="B78" s="96"/>
      <c r="C78" s="67" t="s">
        <v>142</v>
      </c>
      <c r="D78" s="68">
        <v>41</v>
      </c>
      <c r="E78" s="69">
        <v>8.8362068965520003E-3</v>
      </c>
    </row>
    <row r="79" spans="2:5" ht="14.5" customHeight="1">
      <c r="B79" s="97" t="s">
        <v>164</v>
      </c>
      <c r="C79" s="61" t="s">
        <v>29</v>
      </c>
      <c r="D79" s="62">
        <v>63</v>
      </c>
      <c r="E79" s="63">
        <v>1.3577586206897E-2</v>
      </c>
    </row>
    <row r="80" spans="2:5" ht="14.5" customHeight="1">
      <c r="B80" s="95" t="s">
        <v>119</v>
      </c>
      <c r="C80" s="67" t="s">
        <v>141</v>
      </c>
      <c r="D80" s="68">
        <v>25</v>
      </c>
      <c r="E80" s="69">
        <v>5.3879310344830001E-3</v>
      </c>
    </row>
    <row r="81" spans="2:5" ht="14.5" customHeight="1">
      <c r="B81" s="96"/>
      <c r="C81" s="67" t="s">
        <v>142</v>
      </c>
      <c r="D81" s="68">
        <v>41</v>
      </c>
      <c r="E81" s="69">
        <v>8.8362068965520003E-3</v>
      </c>
    </row>
    <row r="82" spans="2:5" ht="14.5" customHeight="1">
      <c r="B82" s="97" t="s">
        <v>165</v>
      </c>
      <c r="C82" s="61" t="s">
        <v>29</v>
      </c>
      <c r="D82" s="62">
        <v>66</v>
      </c>
      <c r="E82" s="63">
        <v>1.4224137931033999E-2</v>
      </c>
    </row>
    <row r="83" spans="2:5" ht="14.5" customHeight="1">
      <c r="B83" s="95" t="s">
        <v>120</v>
      </c>
      <c r="C83" s="67" t="s">
        <v>141</v>
      </c>
      <c r="D83" s="68">
        <v>5</v>
      </c>
      <c r="E83" s="69">
        <v>1.0775862068969999E-3</v>
      </c>
    </row>
    <row r="84" spans="2:5" ht="14.5" customHeight="1">
      <c r="B84" s="96"/>
      <c r="C84" s="67" t="s">
        <v>142</v>
      </c>
      <c r="D84" s="68">
        <v>8</v>
      </c>
      <c r="E84" s="69">
        <v>1.724137931034E-3</v>
      </c>
    </row>
    <row r="85" spans="2:5" ht="14.5" customHeight="1">
      <c r="B85" s="97" t="s">
        <v>166</v>
      </c>
      <c r="C85" s="61" t="s">
        <v>29</v>
      </c>
      <c r="D85" s="62">
        <v>13</v>
      </c>
      <c r="E85" s="63">
        <v>2.8017241379310002E-3</v>
      </c>
    </row>
    <row r="86" spans="2:5" ht="14.5" customHeight="1">
      <c r="B86" s="95" t="s">
        <v>121</v>
      </c>
      <c r="C86" s="67" t="s">
        <v>141</v>
      </c>
      <c r="D86" s="68">
        <v>10</v>
      </c>
      <c r="E86" s="69">
        <v>2.1551724137930002E-3</v>
      </c>
    </row>
    <row r="87" spans="2:5" ht="14.5" customHeight="1">
      <c r="B87" s="96"/>
      <c r="C87" s="67" t="s">
        <v>142</v>
      </c>
      <c r="D87" s="68">
        <v>22</v>
      </c>
      <c r="E87" s="69">
        <v>4.7413793103450001E-3</v>
      </c>
    </row>
    <row r="88" spans="2:5" ht="14.5" customHeight="1">
      <c r="B88" s="97" t="s">
        <v>167</v>
      </c>
      <c r="C88" s="61" t="s">
        <v>29</v>
      </c>
      <c r="D88" s="62">
        <v>32</v>
      </c>
      <c r="E88" s="63">
        <v>6.8965517241380003E-3</v>
      </c>
    </row>
    <row r="89" spans="2:5" ht="14.5" customHeight="1">
      <c r="B89" s="95" t="s">
        <v>122</v>
      </c>
      <c r="C89" s="67" t="s">
        <v>141</v>
      </c>
      <c r="D89" s="68">
        <v>11</v>
      </c>
      <c r="E89" s="69">
        <v>2.370689655172E-3</v>
      </c>
    </row>
    <row r="90" spans="2:5" ht="14.5" customHeight="1">
      <c r="B90" s="96"/>
      <c r="C90" s="67" t="s">
        <v>142</v>
      </c>
      <c r="D90" s="68">
        <v>20</v>
      </c>
      <c r="E90" s="69">
        <v>4.3103448275860004E-3</v>
      </c>
    </row>
    <row r="91" spans="2:5" ht="14.5" customHeight="1">
      <c r="B91" s="97" t="s">
        <v>168</v>
      </c>
      <c r="C91" s="61" t="s">
        <v>29</v>
      </c>
      <c r="D91" s="62">
        <v>31</v>
      </c>
      <c r="E91" s="63">
        <v>6.6810344827590001E-3</v>
      </c>
    </row>
    <row r="92" spans="2:5" ht="14.5" customHeight="1">
      <c r="B92" s="95" t="s">
        <v>123</v>
      </c>
      <c r="C92" s="67" t="s">
        <v>141</v>
      </c>
      <c r="D92" s="68">
        <v>3</v>
      </c>
      <c r="E92" s="69">
        <v>6.4655172413799998E-4</v>
      </c>
    </row>
    <row r="93" spans="2:5" ht="14.5" customHeight="1">
      <c r="B93" s="96"/>
      <c r="C93" s="67" t="s">
        <v>142</v>
      </c>
      <c r="D93" s="68">
        <v>13</v>
      </c>
      <c r="E93" s="69">
        <v>2.8017241379310002E-3</v>
      </c>
    </row>
    <row r="94" spans="2:5" ht="14.5" customHeight="1">
      <c r="B94" s="97" t="s">
        <v>169</v>
      </c>
      <c r="C94" s="61" t="s">
        <v>29</v>
      </c>
      <c r="D94" s="62">
        <v>16</v>
      </c>
      <c r="E94" s="63">
        <v>3.4482758620690002E-3</v>
      </c>
    </row>
    <row r="95" spans="2:5" ht="14.5" customHeight="1">
      <c r="B95" s="95" t="s">
        <v>124</v>
      </c>
      <c r="C95" s="67" t="s">
        <v>141</v>
      </c>
      <c r="D95" s="68">
        <v>12</v>
      </c>
      <c r="E95" s="69">
        <v>2.5862068965519999E-3</v>
      </c>
    </row>
    <row r="96" spans="2:5" ht="14.5" customHeight="1">
      <c r="B96" s="96"/>
      <c r="C96" s="67" t="s">
        <v>142</v>
      </c>
      <c r="D96" s="68">
        <v>48</v>
      </c>
      <c r="E96" s="69">
        <v>1.0344827586207E-2</v>
      </c>
    </row>
    <row r="97" spans="2:5" ht="14.5" customHeight="1">
      <c r="B97" s="97" t="s">
        <v>170</v>
      </c>
      <c r="C97" s="61" t="s">
        <v>29</v>
      </c>
      <c r="D97" s="62">
        <v>60</v>
      </c>
      <c r="E97" s="63">
        <v>1.2931034482759E-2</v>
      </c>
    </row>
    <row r="98" spans="2:5" ht="14.5" customHeight="1">
      <c r="B98" s="95" t="s">
        <v>125</v>
      </c>
      <c r="C98" s="67" t="s">
        <v>141</v>
      </c>
      <c r="D98" s="68">
        <v>176</v>
      </c>
      <c r="E98" s="69">
        <v>3.7931034482759002E-2</v>
      </c>
    </row>
    <row r="99" spans="2:5" ht="14.5" customHeight="1">
      <c r="B99" s="96"/>
      <c r="C99" s="67" t="s">
        <v>142</v>
      </c>
      <c r="D99" s="68">
        <v>339</v>
      </c>
      <c r="E99" s="69">
        <v>7.3060344827585999E-2</v>
      </c>
    </row>
    <row r="100" spans="2:5" ht="14.5" customHeight="1">
      <c r="B100" s="97" t="s">
        <v>171</v>
      </c>
      <c r="C100" s="61" t="s">
        <v>29</v>
      </c>
      <c r="D100" s="62">
        <v>515</v>
      </c>
      <c r="E100" s="63">
        <v>0.110991379310345</v>
      </c>
    </row>
    <row r="101" spans="2:5" ht="14.5" customHeight="1">
      <c r="B101" s="95" t="s">
        <v>126</v>
      </c>
      <c r="C101" s="67" t="s">
        <v>142</v>
      </c>
      <c r="D101" s="68">
        <v>2</v>
      </c>
      <c r="E101" s="69">
        <v>4.3103448275899999E-4</v>
      </c>
    </row>
    <row r="102" spans="2:5" ht="14.5" customHeight="1">
      <c r="B102" s="97" t="s">
        <v>172</v>
      </c>
      <c r="C102" s="61" t="s">
        <v>29</v>
      </c>
      <c r="D102" s="62">
        <v>2</v>
      </c>
      <c r="E102" s="63">
        <v>4.3103448275899999E-4</v>
      </c>
    </row>
    <row r="103" spans="2:5" ht="14.5" customHeight="1">
      <c r="B103" s="95" t="s">
        <v>127</v>
      </c>
      <c r="C103" s="67" t="s">
        <v>141</v>
      </c>
      <c r="D103" s="68">
        <v>5</v>
      </c>
      <c r="E103" s="69">
        <v>1.0775862068969999E-3</v>
      </c>
    </row>
    <row r="104" spans="2:5" ht="14.5" customHeight="1">
      <c r="B104" s="96"/>
      <c r="C104" s="67" t="s">
        <v>142</v>
      </c>
      <c r="D104" s="68">
        <v>43</v>
      </c>
      <c r="E104" s="69">
        <v>9.2672413793100008E-3</v>
      </c>
    </row>
    <row r="105" spans="2:5" ht="14.5" customHeight="1">
      <c r="B105" s="97" t="s">
        <v>173</v>
      </c>
      <c r="C105" s="61" t="s">
        <v>29</v>
      </c>
      <c r="D105" s="62">
        <v>48</v>
      </c>
      <c r="E105" s="63">
        <v>1.0344827586207E-2</v>
      </c>
    </row>
    <row r="106" spans="2:5" ht="14.5" customHeight="1">
      <c r="B106" s="95" t="s">
        <v>128</v>
      </c>
      <c r="C106" s="67" t="s">
        <v>141</v>
      </c>
      <c r="D106" s="68">
        <v>27</v>
      </c>
      <c r="E106" s="69">
        <v>5.8189655172409998E-3</v>
      </c>
    </row>
    <row r="107" spans="2:5" ht="14.5" customHeight="1">
      <c r="B107" s="96"/>
      <c r="C107" s="67" t="s">
        <v>142</v>
      </c>
      <c r="D107" s="68">
        <v>76</v>
      </c>
      <c r="E107" s="69">
        <v>1.6379310344828001E-2</v>
      </c>
    </row>
    <row r="108" spans="2:5" ht="14.5" customHeight="1">
      <c r="B108" s="97" t="s">
        <v>174</v>
      </c>
      <c r="C108" s="61" t="s">
        <v>29</v>
      </c>
      <c r="D108" s="62">
        <v>103</v>
      </c>
      <c r="E108" s="63">
        <v>2.2198275862068999E-2</v>
      </c>
    </row>
    <row r="109" spans="2:5" ht="14.5" customHeight="1">
      <c r="B109" s="95" t="s">
        <v>129</v>
      </c>
      <c r="C109" s="67" t="s">
        <v>141</v>
      </c>
      <c r="D109" s="68">
        <v>4</v>
      </c>
      <c r="E109" s="69">
        <v>8.6206896551700002E-4</v>
      </c>
    </row>
    <row r="110" spans="2:5" ht="14.5" customHeight="1">
      <c r="B110" s="96"/>
      <c r="C110" s="67" t="s">
        <v>142</v>
      </c>
      <c r="D110" s="68">
        <v>21</v>
      </c>
      <c r="E110" s="69">
        <v>4.5258620689659999E-3</v>
      </c>
    </row>
    <row r="111" spans="2:5" ht="14.5" customHeight="1">
      <c r="B111" s="97" t="s">
        <v>175</v>
      </c>
      <c r="C111" s="61" t="s">
        <v>29</v>
      </c>
      <c r="D111" s="62">
        <v>25</v>
      </c>
      <c r="E111" s="63">
        <v>5.3879310344830001E-3</v>
      </c>
    </row>
    <row r="112" spans="2:5" ht="14.5" customHeight="1">
      <c r="B112" s="95" t="s">
        <v>130</v>
      </c>
      <c r="C112" s="67" t="s">
        <v>141</v>
      </c>
      <c r="D112" s="68">
        <v>10</v>
      </c>
      <c r="E112" s="69">
        <v>2.1551724137930002E-3</v>
      </c>
    </row>
    <row r="113" spans="2:5" ht="14.5" customHeight="1">
      <c r="B113" s="96"/>
      <c r="C113" s="67" t="s">
        <v>142</v>
      </c>
      <c r="D113" s="68">
        <v>30</v>
      </c>
      <c r="E113" s="69">
        <v>6.4655172413789997E-3</v>
      </c>
    </row>
    <row r="114" spans="2:5" ht="14.5" customHeight="1">
      <c r="B114" s="97" t="s">
        <v>176</v>
      </c>
      <c r="C114" s="61" t="s">
        <v>29</v>
      </c>
      <c r="D114" s="62">
        <v>40</v>
      </c>
      <c r="E114" s="63">
        <v>8.6206896551720008E-3</v>
      </c>
    </row>
    <row r="115" spans="2:5" ht="14.5" customHeight="1">
      <c r="B115" s="95" t="s">
        <v>131</v>
      </c>
      <c r="C115" s="67" t="s">
        <v>142</v>
      </c>
      <c r="D115" s="68">
        <v>5</v>
      </c>
      <c r="E115" s="69">
        <v>1.0775862068969999E-3</v>
      </c>
    </row>
    <row r="116" spans="2:5" ht="14.5" customHeight="1">
      <c r="B116" s="97" t="s">
        <v>177</v>
      </c>
      <c r="C116" s="61" t="s">
        <v>29</v>
      </c>
      <c r="D116" s="62">
        <v>5</v>
      </c>
      <c r="E116" s="63">
        <v>1.0775862068969999E-3</v>
      </c>
    </row>
    <row r="117" spans="2:5" ht="14.5" customHeight="1">
      <c r="B117" s="95" t="s">
        <v>132</v>
      </c>
      <c r="C117" s="67" t="s">
        <v>141</v>
      </c>
      <c r="D117" s="68">
        <v>41</v>
      </c>
      <c r="E117" s="69">
        <v>8.8362068965520003E-3</v>
      </c>
    </row>
    <row r="118" spans="2:5" ht="14.5" customHeight="1">
      <c r="B118" s="96"/>
      <c r="C118" s="67" t="s">
        <v>142</v>
      </c>
      <c r="D118" s="68">
        <v>116</v>
      </c>
      <c r="E118" s="69">
        <v>2.5000000000000001E-2</v>
      </c>
    </row>
    <row r="119" spans="2:5" ht="14.5" customHeight="1">
      <c r="B119" s="97" t="s">
        <v>178</v>
      </c>
      <c r="C119" s="61" t="s">
        <v>29</v>
      </c>
      <c r="D119" s="62">
        <v>157</v>
      </c>
      <c r="E119" s="63">
        <v>3.3836206896552E-2</v>
      </c>
    </row>
    <row r="120" spans="2:5" ht="14.5" customHeight="1">
      <c r="B120" s="95" t="s">
        <v>133</v>
      </c>
      <c r="C120" s="67" t="s">
        <v>141</v>
      </c>
      <c r="D120" s="68">
        <v>28</v>
      </c>
      <c r="E120" s="69">
        <v>6.0344827586210001E-3</v>
      </c>
    </row>
    <row r="121" spans="2:5" ht="14.5" customHeight="1">
      <c r="B121" s="96"/>
      <c r="C121" s="67" t="s">
        <v>142</v>
      </c>
      <c r="D121" s="68">
        <v>66</v>
      </c>
      <c r="E121" s="69">
        <v>1.4224137931033999E-2</v>
      </c>
    </row>
    <row r="122" spans="2:5" ht="14.5" customHeight="1">
      <c r="B122" s="97" t="s">
        <v>179</v>
      </c>
      <c r="C122" s="61" t="s">
        <v>29</v>
      </c>
      <c r="D122" s="62">
        <v>94</v>
      </c>
      <c r="E122" s="63">
        <v>2.0258620689655001E-2</v>
      </c>
    </row>
    <row r="123" spans="2:5" ht="14.5" customHeight="1">
      <c r="B123" s="95" t="s">
        <v>134</v>
      </c>
      <c r="C123" s="67" t="s">
        <v>141</v>
      </c>
      <c r="D123" s="68">
        <v>404</v>
      </c>
      <c r="E123" s="69">
        <v>8.7068965517240998E-2</v>
      </c>
    </row>
    <row r="124" spans="2:5" ht="14.5" customHeight="1">
      <c r="B124" s="96"/>
      <c r="C124" s="67" t="s">
        <v>142</v>
      </c>
      <c r="D124" s="68">
        <v>826</v>
      </c>
      <c r="E124" s="69">
        <v>0.17801724137930999</v>
      </c>
    </row>
    <row r="125" spans="2:5" ht="14.5" customHeight="1">
      <c r="B125" s="97" t="s">
        <v>180</v>
      </c>
      <c r="C125" s="61" t="s">
        <v>29</v>
      </c>
      <c r="D125" s="62">
        <v>1230</v>
      </c>
      <c r="E125" s="63">
        <v>0.26508620689655199</v>
      </c>
    </row>
    <row r="126" spans="2:5" ht="14.5" customHeight="1">
      <c r="B126" s="95" t="s">
        <v>135</v>
      </c>
      <c r="C126" s="67" t="s">
        <v>141</v>
      </c>
      <c r="D126" s="68">
        <v>8</v>
      </c>
      <c r="E126" s="69">
        <v>1.724137931034E-3</v>
      </c>
    </row>
    <row r="127" spans="2:5" ht="14.5" customHeight="1">
      <c r="B127" s="96"/>
      <c r="C127" s="67" t="s">
        <v>142</v>
      </c>
      <c r="D127" s="68">
        <v>17</v>
      </c>
      <c r="E127" s="69">
        <v>3.663793103448E-3</v>
      </c>
    </row>
    <row r="128" spans="2:5" ht="14.5" customHeight="1">
      <c r="B128" s="97" t="s">
        <v>181</v>
      </c>
      <c r="C128" s="61" t="s">
        <v>29</v>
      </c>
      <c r="D128" s="62">
        <v>25</v>
      </c>
      <c r="E128" s="63">
        <v>5.3879310344830001E-3</v>
      </c>
    </row>
    <row r="129" spans="2:5" ht="14.5" customHeight="1">
      <c r="B129" s="95" t="s">
        <v>136</v>
      </c>
      <c r="C129" s="67" t="s">
        <v>141</v>
      </c>
      <c r="D129" s="68">
        <v>8</v>
      </c>
      <c r="E129" s="69">
        <v>1.724137931034E-3</v>
      </c>
    </row>
    <row r="130" spans="2:5" ht="14.5" customHeight="1">
      <c r="B130" s="96"/>
      <c r="C130" s="67" t="s">
        <v>142</v>
      </c>
      <c r="D130" s="68">
        <v>28</v>
      </c>
      <c r="E130" s="69">
        <v>6.0344827586210001E-3</v>
      </c>
    </row>
    <row r="131" spans="2:5" ht="14.5" customHeight="1">
      <c r="B131" s="97" t="s">
        <v>182</v>
      </c>
      <c r="C131" s="61" t="s">
        <v>29</v>
      </c>
      <c r="D131" s="62">
        <v>36</v>
      </c>
      <c r="E131" s="63">
        <v>7.7586206896549997E-3</v>
      </c>
    </row>
    <row r="132" spans="2:5" ht="14.5" customHeight="1">
      <c r="B132" s="95" t="s">
        <v>137</v>
      </c>
      <c r="C132" s="67" t="s">
        <v>141</v>
      </c>
      <c r="D132" s="68">
        <v>48</v>
      </c>
      <c r="E132" s="69">
        <v>1.0344827586207E-2</v>
      </c>
    </row>
    <row r="133" spans="2:5" ht="14.5" customHeight="1">
      <c r="B133" s="96"/>
      <c r="C133" s="67" t="s">
        <v>142</v>
      </c>
      <c r="D133" s="68">
        <v>105</v>
      </c>
      <c r="E133" s="69">
        <v>2.2629310344827999E-2</v>
      </c>
    </row>
    <row r="134" spans="2:5" ht="14.5" customHeight="1">
      <c r="B134" s="97" t="s">
        <v>183</v>
      </c>
      <c r="C134" s="61" t="s">
        <v>29</v>
      </c>
      <c r="D134" s="62">
        <v>153</v>
      </c>
      <c r="E134" s="63">
        <v>3.2974137931034E-2</v>
      </c>
    </row>
    <row r="135" spans="2:5" ht="14.5" customHeight="1">
      <c r="B135" s="95" t="s">
        <v>58</v>
      </c>
      <c r="C135" s="67" t="s">
        <v>141</v>
      </c>
      <c r="D135" s="68">
        <v>5</v>
      </c>
      <c r="E135" s="69">
        <v>1.0775862068969999E-3</v>
      </c>
    </row>
    <row r="136" spans="2:5" ht="14.5" customHeight="1">
      <c r="B136" s="96"/>
      <c r="C136" s="67" t="s">
        <v>142</v>
      </c>
      <c r="D136" s="68">
        <v>14</v>
      </c>
      <c r="E136" s="69">
        <v>3.01724137931E-3</v>
      </c>
    </row>
    <row r="137" spans="2:5" ht="14.5" customHeight="1">
      <c r="B137" s="97" t="s">
        <v>184</v>
      </c>
      <c r="C137" s="61" t="s">
        <v>29</v>
      </c>
      <c r="D137" s="62">
        <v>19</v>
      </c>
      <c r="E137" s="63">
        <v>4.0948275862070001E-3</v>
      </c>
    </row>
    <row r="138" spans="2:5" ht="14.5" customHeight="1">
      <c r="B138" s="95" t="s">
        <v>138</v>
      </c>
      <c r="C138" s="67" t="s">
        <v>141</v>
      </c>
      <c r="D138" s="68">
        <v>2</v>
      </c>
      <c r="E138" s="69">
        <v>4.3103448275899999E-4</v>
      </c>
    </row>
    <row r="139" spans="2:5" ht="14.5" customHeight="1">
      <c r="B139" s="97" t="s">
        <v>185</v>
      </c>
      <c r="C139" s="61" t="s">
        <v>29</v>
      </c>
      <c r="D139" s="62">
        <v>2</v>
      </c>
      <c r="E139" s="63">
        <v>4.3103448275899999E-4</v>
      </c>
    </row>
    <row r="140" spans="2:5" ht="14.5" customHeight="1">
      <c r="B140" s="95" t="s">
        <v>139</v>
      </c>
      <c r="C140" s="67" t="s">
        <v>141</v>
      </c>
      <c r="D140" s="68">
        <v>13</v>
      </c>
      <c r="E140" s="69">
        <v>2.8017241379310002E-3</v>
      </c>
    </row>
    <row r="141" spans="2:5" ht="14.5" customHeight="1">
      <c r="B141" s="96"/>
      <c r="C141" s="67" t="s">
        <v>142</v>
      </c>
      <c r="D141" s="68">
        <v>33</v>
      </c>
      <c r="E141" s="69">
        <v>7.1120689655169997E-3</v>
      </c>
    </row>
    <row r="142" spans="2:5" ht="14.5" customHeight="1">
      <c r="B142" s="97" t="s">
        <v>186</v>
      </c>
      <c r="C142" s="61" t="s">
        <v>29</v>
      </c>
      <c r="D142" s="62">
        <v>46</v>
      </c>
      <c r="E142" s="63">
        <v>9.9137931034480008E-3</v>
      </c>
    </row>
    <row r="143" spans="2:5" ht="14.5" customHeight="1">
      <c r="B143" s="95" t="s">
        <v>140</v>
      </c>
      <c r="C143" s="67" t="s">
        <v>142</v>
      </c>
      <c r="D143" s="68">
        <v>1</v>
      </c>
      <c r="E143" s="69">
        <v>2.1551724137899999E-4</v>
      </c>
    </row>
    <row r="144" spans="2:5" ht="14.5" customHeight="1">
      <c r="B144" s="97"/>
      <c r="C144" s="61" t="s">
        <v>29</v>
      </c>
      <c r="D144" s="62">
        <v>1</v>
      </c>
      <c r="E144" s="63">
        <v>2.1551724137899999E-4</v>
      </c>
    </row>
    <row r="145" spans="2:5" ht="14.5" customHeight="1">
      <c r="B145" s="100" t="s">
        <v>29</v>
      </c>
      <c r="C145" s="101"/>
      <c r="D145" s="59">
        <v>4640</v>
      </c>
      <c r="E145" s="60">
        <v>1</v>
      </c>
    </row>
    <row r="146" spans="2:5" ht="14.5" customHeight="1"/>
    <row r="147" spans="2:5" ht="14.5" customHeight="1">
      <c r="B147" s="15" t="s">
        <v>46</v>
      </c>
    </row>
    <row r="148" spans="2:5" ht="14.5" customHeight="1">
      <c r="B148" s="17" t="s">
        <v>18</v>
      </c>
    </row>
    <row r="149" spans="2:5" ht="14.5" customHeight="1">
      <c r="B149" s="16" t="s">
        <v>47</v>
      </c>
    </row>
    <row r="150" spans="2:5" ht="14.5" customHeight="1">
      <c r="B150" s="15" t="s">
        <v>17</v>
      </c>
    </row>
    <row r="151" spans="2:5" ht="14.5" customHeight="1">
      <c r="B151" s="15" t="s">
        <v>48</v>
      </c>
    </row>
  </sheetData>
  <mergeCells count="48">
    <mergeCell ref="B115:B116"/>
    <mergeCell ref="B112:B114"/>
    <mergeCell ref="B92:B94"/>
    <mergeCell ref="B95:B97"/>
    <mergeCell ref="B98:B100"/>
    <mergeCell ref="B101:B102"/>
    <mergeCell ref="B109:B111"/>
    <mergeCell ref="B60:B62"/>
    <mergeCell ref="B63:B64"/>
    <mergeCell ref="B65:B67"/>
    <mergeCell ref="B68:B70"/>
    <mergeCell ref="B71:B73"/>
    <mergeCell ref="B74:B76"/>
    <mergeCell ref="B103:B105"/>
    <mergeCell ref="B106:B108"/>
    <mergeCell ref="B86:B88"/>
    <mergeCell ref="B89:B91"/>
    <mergeCell ref="B77:B79"/>
    <mergeCell ref="B80:B82"/>
    <mergeCell ref="B83:B85"/>
    <mergeCell ref="B48:B50"/>
    <mergeCell ref="B51:B53"/>
    <mergeCell ref="B54:B56"/>
    <mergeCell ref="B57:B59"/>
    <mergeCell ref="B28:B30"/>
    <mergeCell ref="B31:B33"/>
    <mergeCell ref="B34:B36"/>
    <mergeCell ref="B37:B39"/>
    <mergeCell ref="B40:B41"/>
    <mergeCell ref="B42:B44"/>
    <mergeCell ref="B45:B47"/>
    <mergeCell ref="B25:B27"/>
    <mergeCell ref="B8:E10"/>
    <mergeCell ref="B13:B15"/>
    <mergeCell ref="B16:B18"/>
    <mergeCell ref="B19:B21"/>
    <mergeCell ref="B22:B24"/>
    <mergeCell ref="B143:B144"/>
    <mergeCell ref="B145:C145"/>
    <mergeCell ref="B117:B119"/>
    <mergeCell ref="B132:B134"/>
    <mergeCell ref="B135:B137"/>
    <mergeCell ref="B138:B139"/>
    <mergeCell ref="B140:B142"/>
    <mergeCell ref="B120:B122"/>
    <mergeCell ref="B123:B125"/>
    <mergeCell ref="B126:B128"/>
    <mergeCell ref="B129:B131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B1:G34"/>
  <sheetViews>
    <sheetView showGridLines="0" view="pageBreakPreview" topLeftCell="A14" zoomScaleNormal="100" zoomScaleSheetLayoutView="100" workbookViewId="0"/>
  </sheetViews>
  <sheetFormatPr baseColWidth="10" defaultColWidth="11.453125" defaultRowHeight="10"/>
  <cols>
    <col min="1" max="1" width="5.7265625" style="25" customWidth="1"/>
    <col min="2" max="2" width="19" style="41" customWidth="1"/>
    <col min="3" max="3" width="27.7265625" style="41" customWidth="1"/>
    <col min="4" max="4" width="17.1796875" style="44" customWidth="1"/>
    <col min="5" max="5" width="16.54296875" style="44" customWidth="1"/>
    <col min="6" max="6" width="16.54296875" style="41" customWidth="1"/>
    <col min="7" max="7" width="3.6328125" style="25" customWidth="1"/>
    <col min="8" max="16384" width="11.453125" style="25"/>
  </cols>
  <sheetData>
    <row r="1" spans="2:7" s="13" customFormat="1" ht="14.5">
      <c r="B1" s="41"/>
      <c r="C1" s="41"/>
    </row>
    <row r="2" spans="2:7" s="41" customFormat="1">
      <c r="B2" s="51"/>
    </row>
    <row r="3" spans="2:7" ht="15" customHeight="1">
      <c r="B3" s="52"/>
      <c r="C3" s="31"/>
      <c r="D3" s="25"/>
      <c r="E3" s="25"/>
      <c r="G3" s="41"/>
    </row>
    <row r="4" spans="2:7" ht="30" customHeight="1">
      <c r="B4" s="52"/>
      <c r="C4" s="31"/>
      <c r="D4" s="25"/>
      <c r="E4" s="25"/>
      <c r="G4" s="41"/>
    </row>
    <row r="5" spans="2:7" ht="15" customHeight="1">
      <c r="B5" s="52"/>
      <c r="C5" s="31"/>
      <c r="D5" s="25"/>
      <c r="E5" s="25"/>
      <c r="G5" s="41"/>
    </row>
    <row r="6" spans="2:7" s="41" customFormat="1" ht="10.5">
      <c r="B6" s="43"/>
      <c r="C6" s="37"/>
    </row>
    <row r="7" spans="2:7" s="41" customFormat="1">
      <c r="B7" s="51"/>
    </row>
    <row r="8" spans="2:7" s="13" customFormat="1" ht="15" customHeight="1">
      <c r="B8" s="91" t="s">
        <v>34</v>
      </c>
      <c r="C8" s="91"/>
      <c r="D8" s="91"/>
      <c r="E8" s="91"/>
      <c r="F8" s="91"/>
    </row>
    <row r="9" spans="2:7" s="13" customFormat="1" ht="15" customHeight="1">
      <c r="B9" s="91"/>
      <c r="C9" s="91"/>
      <c r="D9" s="91"/>
      <c r="E9" s="91"/>
      <c r="F9" s="91"/>
      <c r="G9" s="50"/>
    </row>
    <row r="10" spans="2:7" s="13" customFormat="1" ht="15" customHeight="1">
      <c r="B10" s="91"/>
      <c r="C10" s="91"/>
      <c r="D10" s="91"/>
      <c r="E10" s="91"/>
      <c r="F10" s="91"/>
    </row>
    <row r="11" spans="2:7" s="13" customFormat="1" ht="15" customHeight="1">
      <c r="B11" s="53"/>
      <c r="C11" s="53"/>
      <c r="D11" s="53"/>
      <c r="E11" s="53"/>
      <c r="F11" s="53"/>
    </row>
    <row r="12" spans="2:7" s="13" customFormat="1" ht="42">
      <c r="B12" s="55" t="s">
        <v>30</v>
      </c>
      <c r="C12" s="55" t="s">
        <v>33</v>
      </c>
      <c r="D12" s="55" t="s">
        <v>20</v>
      </c>
      <c r="E12" s="55" t="s">
        <v>32</v>
      </c>
      <c r="F12" s="55" t="s">
        <v>31</v>
      </c>
    </row>
    <row r="13" spans="2:7" ht="14.5" customHeight="1">
      <c r="B13" s="102" t="s">
        <v>141</v>
      </c>
      <c r="C13" s="56" t="s">
        <v>232</v>
      </c>
      <c r="D13" s="57">
        <v>2</v>
      </c>
      <c r="E13" s="64">
        <v>1.4144271570010001E-3</v>
      </c>
      <c r="F13" s="58">
        <v>4.3103448275899999E-4</v>
      </c>
    </row>
    <row r="14" spans="2:7" ht="14.5" customHeight="1">
      <c r="B14" s="103"/>
      <c r="C14" s="56" t="s">
        <v>233</v>
      </c>
      <c r="D14" s="57">
        <v>314</v>
      </c>
      <c r="E14" s="64">
        <v>0.22206506364922199</v>
      </c>
      <c r="F14" s="58">
        <v>6.7672413793103001E-2</v>
      </c>
    </row>
    <row r="15" spans="2:7" ht="14.5" customHeight="1">
      <c r="B15" s="103"/>
      <c r="C15" s="56" t="s">
        <v>234</v>
      </c>
      <c r="D15" s="57">
        <v>439</v>
      </c>
      <c r="E15" s="64">
        <v>0.31046676096181097</v>
      </c>
      <c r="F15" s="58">
        <v>9.4612068965516993E-2</v>
      </c>
    </row>
    <row r="16" spans="2:7" ht="14.5" customHeight="1">
      <c r="B16" s="103"/>
      <c r="C16" s="56" t="s">
        <v>235</v>
      </c>
      <c r="D16" s="57">
        <v>418</v>
      </c>
      <c r="E16" s="64">
        <v>0.295615275813296</v>
      </c>
      <c r="F16" s="58">
        <v>9.0086206896552001E-2</v>
      </c>
    </row>
    <row r="17" spans="2:6" ht="14.5" customHeight="1">
      <c r="B17" s="103"/>
      <c r="C17" s="56" t="s">
        <v>236</v>
      </c>
      <c r="D17" s="57">
        <v>222</v>
      </c>
      <c r="E17" s="64">
        <v>0.15700141442715701</v>
      </c>
      <c r="F17" s="58">
        <v>4.7844827586206999E-2</v>
      </c>
    </row>
    <row r="18" spans="2:6" ht="14.5" customHeight="1">
      <c r="B18" s="103"/>
      <c r="C18" s="56" t="s">
        <v>237</v>
      </c>
      <c r="D18" s="57">
        <v>14</v>
      </c>
      <c r="E18" s="64">
        <v>9.90099009901E-3</v>
      </c>
      <c r="F18" s="58">
        <v>3.01724137931E-3</v>
      </c>
    </row>
    <row r="19" spans="2:6" ht="14.5" customHeight="1">
      <c r="B19" s="103"/>
      <c r="C19" s="56" t="s">
        <v>238</v>
      </c>
      <c r="D19" s="57">
        <v>3</v>
      </c>
      <c r="E19" s="64">
        <v>2.1216407355020002E-3</v>
      </c>
      <c r="F19" s="58">
        <v>6.4655172413799998E-4</v>
      </c>
    </row>
    <row r="20" spans="2:6" ht="14.5" customHeight="1">
      <c r="B20" s="104"/>
      <c r="C20" s="56" t="s">
        <v>239</v>
      </c>
      <c r="D20" s="57">
        <v>2</v>
      </c>
      <c r="E20" s="64">
        <v>1.4144271570010001E-3</v>
      </c>
      <c r="F20" s="58">
        <v>4.3103448275899999E-4</v>
      </c>
    </row>
    <row r="21" spans="2:6" ht="14.5" customHeight="1">
      <c r="B21" s="102" t="s">
        <v>142</v>
      </c>
      <c r="C21" s="56" t="s">
        <v>232</v>
      </c>
      <c r="D21" s="57">
        <v>3</v>
      </c>
      <c r="E21" s="64">
        <v>9.2994420334800005E-4</v>
      </c>
      <c r="F21" s="58">
        <v>6.4655172413799998E-4</v>
      </c>
    </row>
    <row r="22" spans="2:6" ht="14.5" customHeight="1">
      <c r="B22" s="103"/>
      <c r="C22" s="56" t="s">
        <v>233</v>
      </c>
      <c r="D22" s="57">
        <v>900</v>
      </c>
      <c r="E22" s="64">
        <v>0.27898326100434001</v>
      </c>
      <c r="F22" s="58">
        <v>0.193965517241379</v>
      </c>
    </row>
    <row r="23" spans="2:6" ht="14.5" customHeight="1">
      <c r="B23" s="103"/>
      <c r="C23" s="56" t="s">
        <v>234</v>
      </c>
      <c r="D23" s="57">
        <v>1186</v>
      </c>
      <c r="E23" s="64">
        <v>0.36763794172349701</v>
      </c>
      <c r="F23" s="58">
        <v>0.25560344827586201</v>
      </c>
    </row>
    <row r="24" spans="2:6" ht="14.5" customHeight="1">
      <c r="B24" s="103"/>
      <c r="C24" s="56" t="s">
        <v>235</v>
      </c>
      <c r="D24" s="57">
        <v>794</v>
      </c>
      <c r="E24" s="64">
        <v>0.246125232486051</v>
      </c>
      <c r="F24" s="58">
        <v>0.17112068965517199</v>
      </c>
    </row>
    <row r="25" spans="2:6" ht="14.5" customHeight="1">
      <c r="B25" s="103"/>
      <c r="C25" s="56" t="s">
        <v>236</v>
      </c>
      <c r="D25" s="57">
        <v>315</v>
      </c>
      <c r="E25" s="64">
        <v>9.7644141351518998E-2</v>
      </c>
      <c r="F25" s="58">
        <v>6.7887931034482998E-2</v>
      </c>
    </row>
    <row r="26" spans="2:6" ht="14.5" customHeight="1">
      <c r="B26" s="103"/>
      <c r="C26" s="56" t="s">
        <v>237</v>
      </c>
      <c r="D26" s="57">
        <v>24</v>
      </c>
      <c r="E26" s="64">
        <v>7.4395536267820002E-3</v>
      </c>
      <c r="F26" s="58">
        <v>5.1724137931029998E-3</v>
      </c>
    </row>
    <row r="27" spans="2:6" ht="14.5" customHeight="1">
      <c r="B27" s="104"/>
      <c r="C27" s="56" t="s">
        <v>239</v>
      </c>
      <c r="D27" s="57">
        <v>4</v>
      </c>
      <c r="E27" s="64">
        <v>1.2399256044639999E-3</v>
      </c>
      <c r="F27" s="58">
        <v>8.6206896551700002E-4</v>
      </c>
    </row>
    <row r="28" spans="2:6" ht="14.5" customHeight="1">
      <c r="B28" s="100" t="s">
        <v>29</v>
      </c>
      <c r="C28" s="101"/>
      <c r="D28" s="59">
        <v>4640</v>
      </c>
      <c r="E28" s="60">
        <v>1</v>
      </c>
      <c r="F28" s="60">
        <v>1</v>
      </c>
    </row>
    <row r="29" spans="2:6" ht="14.5" customHeight="1"/>
    <row r="30" spans="2:6" ht="14.5" customHeight="1">
      <c r="B30" s="15" t="s">
        <v>46</v>
      </c>
    </row>
    <row r="31" spans="2:6" ht="14.5" customHeight="1">
      <c r="B31" s="17" t="s">
        <v>18</v>
      </c>
    </row>
    <row r="32" spans="2:6" ht="14.5" customHeight="1">
      <c r="B32" s="16" t="s">
        <v>47</v>
      </c>
    </row>
    <row r="33" spans="2:2" ht="14.5" customHeight="1">
      <c r="B33" s="15" t="s">
        <v>17</v>
      </c>
    </row>
    <row r="34" spans="2:2" ht="14.5" customHeight="1">
      <c r="B34" s="15" t="s">
        <v>48</v>
      </c>
    </row>
  </sheetData>
  <mergeCells count="4">
    <mergeCell ref="B8:F10"/>
    <mergeCell ref="B13:B20"/>
    <mergeCell ref="B21:B27"/>
    <mergeCell ref="B28:C28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030A0"/>
  </sheetPr>
  <dimension ref="A1:E61"/>
  <sheetViews>
    <sheetView showGridLines="0" view="pageBreakPreview" topLeftCell="A44" zoomScale="115" zoomScaleNormal="100" zoomScaleSheetLayoutView="115" workbookViewId="0"/>
  </sheetViews>
  <sheetFormatPr baseColWidth="10" defaultColWidth="11.453125" defaultRowHeight="14.5"/>
  <cols>
    <col min="1" max="1" width="9.26953125" style="13" customWidth="1"/>
    <col min="2" max="2" width="44" style="13" bestFit="1" customWidth="1"/>
    <col min="3" max="3" width="17.7265625" style="14" customWidth="1"/>
    <col min="4" max="4" width="17.7265625" style="13" customWidth="1"/>
    <col min="5" max="5" width="9.26953125" style="13" customWidth="1"/>
    <col min="6" max="6" width="3.90625" style="13" customWidth="1"/>
    <col min="7" max="16384" width="11.453125" style="13"/>
  </cols>
  <sheetData>
    <row r="1" spans="2:5" s="25" customFormat="1" ht="15" customHeight="1">
      <c r="C1" s="31"/>
    </row>
    <row r="2" spans="2:5" s="25" customFormat="1" ht="15" customHeight="1">
      <c r="C2" s="31"/>
    </row>
    <row r="3" spans="2:5" s="25" customFormat="1" ht="15" customHeight="1">
      <c r="C3" s="31"/>
    </row>
    <row r="4" spans="2:5" s="25" customFormat="1" ht="30" customHeight="1">
      <c r="C4" s="31"/>
      <c r="D4" s="30"/>
    </row>
    <row r="5" spans="2:5" s="25" customFormat="1" ht="15" customHeight="1">
      <c r="C5" s="31"/>
      <c r="D5" s="30"/>
    </row>
    <row r="6" spans="2:5" s="25" customFormat="1" ht="15" customHeight="1">
      <c r="C6" s="31"/>
      <c r="D6" s="30"/>
    </row>
    <row r="7" spans="2:5" s="25" customFormat="1" ht="15" customHeight="1">
      <c r="B7" s="91" t="s">
        <v>328</v>
      </c>
      <c r="C7" s="91"/>
      <c r="D7" s="91"/>
    </row>
    <row r="8" spans="2:5" s="25" customFormat="1" ht="15" customHeight="1">
      <c r="B8" s="91"/>
      <c r="C8" s="91"/>
      <c r="D8" s="91"/>
    </row>
    <row r="9" spans="2:5" s="25" customFormat="1" ht="33" customHeight="1">
      <c r="B9" s="91"/>
      <c r="C9" s="91"/>
      <c r="D9" s="91"/>
    </row>
    <row r="10" spans="2:5" s="25" customFormat="1" ht="4.5" customHeight="1">
      <c r="B10" s="29"/>
      <c r="C10" s="29"/>
      <c r="D10" s="29"/>
    </row>
    <row r="11" spans="2:5" s="25" customFormat="1" ht="33" customHeight="1">
      <c r="B11" s="28" t="s">
        <v>35</v>
      </c>
      <c r="C11" s="27" t="s">
        <v>20</v>
      </c>
      <c r="D11" s="26" t="s">
        <v>19</v>
      </c>
    </row>
    <row r="12" spans="2:5" ht="14.5" customHeight="1">
      <c r="B12" s="23" t="s">
        <v>240</v>
      </c>
      <c r="C12" s="22">
        <v>2938</v>
      </c>
      <c r="D12" s="21">
        <v>0.63318965517241399</v>
      </c>
    </row>
    <row r="13" spans="2:5" ht="14.5" customHeight="1">
      <c r="B13" s="23" t="s">
        <v>241</v>
      </c>
      <c r="C13" s="22">
        <v>564</v>
      </c>
      <c r="D13" s="21">
        <v>0.121551724137931</v>
      </c>
    </row>
    <row r="14" spans="2:5" ht="14.5" customHeight="1">
      <c r="B14" s="23" t="s">
        <v>242</v>
      </c>
      <c r="C14" s="22">
        <v>391</v>
      </c>
      <c r="D14" s="21">
        <v>8.4267241379310007E-2</v>
      </c>
      <c r="E14" s="24"/>
    </row>
    <row r="15" spans="2:5" ht="14.5" customHeight="1">
      <c r="B15" s="23" t="s">
        <v>243</v>
      </c>
      <c r="C15" s="22">
        <v>186</v>
      </c>
      <c r="D15" s="21">
        <v>4.0086206896551999E-2</v>
      </c>
      <c r="E15" s="24"/>
    </row>
    <row r="16" spans="2:5" ht="14.5" customHeight="1">
      <c r="B16" s="23" t="s">
        <v>244</v>
      </c>
      <c r="C16" s="22">
        <v>93</v>
      </c>
      <c r="D16" s="21">
        <v>2.0043103448275999E-2</v>
      </c>
    </row>
    <row r="17" spans="2:4" ht="14.5" customHeight="1">
      <c r="B17" s="23" t="s">
        <v>245</v>
      </c>
      <c r="C17" s="22">
        <v>76</v>
      </c>
      <c r="D17" s="21">
        <v>1.6379310344828001E-2</v>
      </c>
    </row>
    <row r="18" spans="2:4" ht="14.5" customHeight="1">
      <c r="B18" s="23" t="s">
        <v>246</v>
      </c>
      <c r="C18" s="22">
        <v>73</v>
      </c>
      <c r="D18" s="21">
        <v>1.5732758620689999E-2</v>
      </c>
    </row>
    <row r="19" spans="2:4" ht="14.5" customHeight="1">
      <c r="B19" s="23" t="s">
        <v>247</v>
      </c>
      <c r="C19" s="22">
        <v>64</v>
      </c>
      <c r="D19" s="21">
        <v>1.3793103448276001E-2</v>
      </c>
    </row>
    <row r="20" spans="2:4" ht="14.5" customHeight="1">
      <c r="B20" s="23" t="s">
        <v>248</v>
      </c>
      <c r="C20" s="22">
        <v>58</v>
      </c>
      <c r="D20" s="21">
        <v>1.2500000000000001E-2</v>
      </c>
    </row>
    <row r="21" spans="2:4" ht="14.5" customHeight="1">
      <c r="B21" s="23" t="s">
        <v>249</v>
      </c>
      <c r="C21" s="22">
        <v>25</v>
      </c>
      <c r="D21" s="21">
        <v>5.3879310344830001E-3</v>
      </c>
    </row>
    <row r="22" spans="2:4" ht="14.5" customHeight="1">
      <c r="B22" s="23" t="s">
        <v>250</v>
      </c>
      <c r="C22" s="22">
        <v>21</v>
      </c>
      <c r="D22" s="21">
        <v>4.5258620689659999E-3</v>
      </c>
    </row>
    <row r="23" spans="2:4" ht="14.5" customHeight="1">
      <c r="B23" s="23" t="s">
        <v>251</v>
      </c>
      <c r="C23" s="22">
        <v>15</v>
      </c>
      <c r="D23" s="21">
        <v>3.2327586206899999E-3</v>
      </c>
    </row>
    <row r="24" spans="2:4" ht="14.5" customHeight="1">
      <c r="B24" s="23" t="s">
        <v>252</v>
      </c>
      <c r="C24" s="22">
        <v>12</v>
      </c>
      <c r="D24" s="21">
        <v>2.5862068965519999E-3</v>
      </c>
    </row>
    <row r="25" spans="2:4" ht="14.5" customHeight="1">
      <c r="B25" s="23" t="s">
        <v>253</v>
      </c>
      <c r="C25" s="22">
        <v>12</v>
      </c>
      <c r="D25" s="21">
        <v>2.5862068965519999E-3</v>
      </c>
    </row>
    <row r="26" spans="2:4" ht="14.5" customHeight="1">
      <c r="B26" s="23" t="s">
        <v>254</v>
      </c>
      <c r="C26" s="22">
        <v>12</v>
      </c>
      <c r="D26" s="21">
        <v>2.5862068965519999E-3</v>
      </c>
    </row>
    <row r="27" spans="2:4" ht="14.5" customHeight="1">
      <c r="B27" s="23" t="s">
        <v>255</v>
      </c>
      <c r="C27" s="22">
        <v>10</v>
      </c>
      <c r="D27" s="21">
        <v>2.1551724137930002E-3</v>
      </c>
    </row>
    <row r="28" spans="2:4" ht="14.5" customHeight="1">
      <c r="B28" s="23" t="s">
        <v>256</v>
      </c>
      <c r="C28" s="22">
        <v>10</v>
      </c>
      <c r="D28" s="21">
        <v>2.1551724137930002E-3</v>
      </c>
    </row>
    <row r="29" spans="2:4" ht="14.5" customHeight="1">
      <c r="B29" s="23" t="s">
        <v>257</v>
      </c>
      <c r="C29" s="22">
        <v>9</v>
      </c>
      <c r="D29" s="21">
        <v>1.9396551724139999E-3</v>
      </c>
    </row>
    <row r="30" spans="2:4" ht="14.5" customHeight="1">
      <c r="B30" s="23" t="s">
        <v>258</v>
      </c>
      <c r="C30" s="22">
        <v>9</v>
      </c>
      <c r="D30" s="21">
        <v>1.9396551724139999E-3</v>
      </c>
    </row>
    <row r="31" spans="2:4" ht="14.5" customHeight="1">
      <c r="B31" s="23" t="s">
        <v>259</v>
      </c>
      <c r="C31" s="22">
        <v>9</v>
      </c>
      <c r="D31" s="21">
        <v>1.9396551724139999E-3</v>
      </c>
    </row>
    <row r="32" spans="2:4" ht="14.5" customHeight="1">
      <c r="B32" s="23" t="s">
        <v>260</v>
      </c>
      <c r="C32" s="22">
        <v>8</v>
      </c>
      <c r="D32" s="21">
        <v>1.724137931034E-3</v>
      </c>
    </row>
    <row r="33" spans="1:4" ht="14.5" customHeight="1">
      <c r="B33" s="23" t="s">
        <v>261</v>
      </c>
      <c r="C33" s="22">
        <v>6</v>
      </c>
      <c r="D33" s="21">
        <v>1.293103448276E-3</v>
      </c>
    </row>
    <row r="34" spans="1:4" ht="14.5" customHeight="1">
      <c r="B34" s="23" t="s">
        <v>262</v>
      </c>
      <c r="C34" s="22">
        <v>6</v>
      </c>
      <c r="D34" s="21">
        <v>1.293103448276E-3</v>
      </c>
    </row>
    <row r="35" spans="1:4" ht="14.5" customHeight="1">
      <c r="B35" s="23" t="s">
        <v>263</v>
      </c>
      <c r="C35" s="22">
        <v>4</v>
      </c>
      <c r="D35" s="21">
        <v>8.6206896551700002E-4</v>
      </c>
    </row>
    <row r="36" spans="1:4" ht="14.5" customHeight="1">
      <c r="B36" s="23" t="s">
        <v>264</v>
      </c>
      <c r="C36" s="22">
        <v>4</v>
      </c>
      <c r="D36" s="21">
        <v>8.6206896551700002E-4</v>
      </c>
    </row>
    <row r="37" spans="1:4" ht="14.5" customHeight="1">
      <c r="A37" s="46"/>
      <c r="B37" s="23" t="s">
        <v>265</v>
      </c>
      <c r="C37" s="22">
        <v>3</v>
      </c>
      <c r="D37" s="21">
        <v>6.4655172413799998E-4</v>
      </c>
    </row>
    <row r="38" spans="1:4" ht="14.5" customHeight="1">
      <c r="B38" s="23" t="s">
        <v>266</v>
      </c>
      <c r="C38" s="22">
        <v>3</v>
      </c>
      <c r="D38" s="21">
        <v>6.4655172413799998E-4</v>
      </c>
    </row>
    <row r="39" spans="1:4" ht="14.5" customHeight="1">
      <c r="B39" s="23" t="s">
        <v>267</v>
      </c>
      <c r="C39" s="22">
        <v>2</v>
      </c>
      <c r="D39" s="21">
        <v>4.3103448275899999E-4</v>
      </c>
    </row>
    <row r="40" spans="1:4" ht="14.5" customHeight="1">
      <c r="B40" s="23" t="s">
        <v>268</v>
      </c>
      <c r="C40" s="22">
        <v>2</v>
      </c>
      <c r="D40" s="21">
        <v>4.3103448275899999E-4</v>
      </c>
    </row>
    <row r="41" spans="1:4" ht="14.5" customHeight="1">
      <c r="B41" s="23" t="s">
        <v>269</v>
      </c>
      <c r="C41" s="22">
        <v>2</v>
      </c>
      <c r="D41" s="21">
        <v>4.3103448275899999E-4</v>
      </c>
    </row>
    <row r="42" spans="1:4" ht="14.5" customHeight="1">
      <c r="B42" s="23" t="s">
        <v>270</v>
      </c>
      <c r="C42" s="22">
        <v>1</v>
      </c>
      <c r="D42" s="21">
        <v>2.1551724137899999E-4</v>
      </c>
    </row>
    <row r="43" spans="1:4" ht="14.5" customHeight="1">
      <c r="B43" s="23" t="s">
        <v>271</v>
      </c>
      <c r="C43" s="22">
        <v>1</v>
      </c>
      <c r="D43" s="21">
        <v>2.1551724137899999E-4</v>
      </c>
    </row>
    <row r="44" spans="1:4" ht="14.5" customHeight="1">
      <c r="B44" s="23" t="s">
        <v>272</v>
      </c>
      <c r="C44" s="22">
        <v>1</v>
      </c>
      <c r="D44" s="21">
        <v>2.1551724137899999E-4</v>
      </c>
    </row>
    <row r="45" spans="1:4" ht="14.5" customHeight="1">
      <c r="B45" s="23" t="s">
        <v>273</v>
      </c>
      <c r="C45" s="22">
        <v>1</v>
      </c>
      <c r="D45" s="21">
        <v>2.1551724137899999E-4</v>
      </c>
    </row>
    <row r="46" spans="1:4" ht="14.5" customHeight="1">
      <c r="B46" s="23" t="s">
        <v>274</v>
      </c>
      <c r="C46" s="22">
        <v>1</v>
      </c>
      <c r="D46" s="21">
        <v>2.1551724137899999E-4</v>
      </c>
    </row>
    <row r="47" spans="1:4" ht="14.5" customHeight="1">
      <c r="B47" s="23" t="s">
        <v>275</v>
      </c>
      <c r="C47" s="22">
        <v>1</v>
      </c>
      <c r="D47" s="21">
        <v>2.1551724137899999E-4</v>
      </c>
    </row>
    <row r="48" spans="1:4" ht="14.5" customHeight="1">
      <c r="B48" s="23" t="s">
        <v>276</v>
      </c>
      <c r="C48" s="22">
        <v>1</v>
      </c>
      <c r="D48" s="21">
        <v>2.1551724137899999E-4</v>
      </c>
    </row>
    <row r="49" spans="2:4" ht="14.5" customHeight="1">
      <c r="B49" s="23" t="s">
        <v>277</v>
      </c>
      <c r="C49" s="22">
        <v>1</v>
      </c>
      <c r="D49" s="21">
        <v>2.1551724137899999E-4</v>
      </c>
    </row>
    <row r="50" spans="2:4" ht="14.5" customHeight="1">
      <c r="B50" s="23" t="s">
        <v>278</v>
      </c>
      <c r="C50" s="22">
        <v>1</v>
      </c>
      <c r="D50" s="21">
        <v>2.1551724137899999E-4</v>
      </c>
    </row>
    <row r="51" spans="2:4" ht="14.5" customHeight="1">
      <c r="B51" s="23" t="s">
        <v>279</v>
      </c>
      <c r="C51" s="22">
        <v>1</v>
      </c>
      <c r="D51" s="21">
        <v>2.1551724137899999E-4</v>
      </c>
    </row>
    <row r="52" spans="2:4" ht="14.5" customHeight="1">
      <c r="B52" s="23" t="s">
        <v>280</v>
      </c>
      <c r="C52" s="22">
        <v>1</v>
      </c>
      <c r="D52" s="21">
        <v>2.1551724137899999E-4</v>
      </c>
    </row>
    <row r="53" spans="2:4" ht="14.5" customHeight="1">
      <c r="B53" s="23" t="s">
        <v>281</v>
      </c>
      <c r="C53" s="22">
        <v>1</v>
      </c>
      <c r="D53" s="21">
        <v>2.1551724137899999E-4</v>
      </c>
    </row>
    <row r="54" spans="2:4" ht="14.5" customHeight="1">
      <c r="B54" s="23" t="s">
        <v>282</v>
      </c>
      <c r="C54" s="22">
        <v>1</v>
      </c>
      <c r="D54" s="21">
        <v>2.1551724137899999E-4</v>
      </c>
    </row>
    <row r="55" spans="2:4" ht="14.5" customHeight="1">
      <c r="B55" s="20" t="s">
        <v>29</v>
      </c>
      <c r="C55" s="19">
        <v>4640</v>
      </c>
      <c r="D55" s="18">
        <v>1</v>
      </c>
    </row>
    <row r="56" spans="2:4" ht="14.5" customHeight="1"/>
    <row r="57" spans="2:4" ht="14.5" customHeight="1">
      <c r="B57" s="15" t="s">
        <v>46</v>
      </c>
    </row>
    <row r="58" spans="2:4" ht="14.5" customHeight="1">
      <c r="B58" s="17" t="s">
        <v>18</v>
      </c>
    </row>
    <row r="59" spans="2:4" ht="14.5" customHeight="1">
      <c r="B59" s="16" t="s">
        <v>47</v>
      </c>
    </row>
    <row r="60" spans="2:4" ht="14.5" customHeight="1">
      <c r="B60" s="15" t="s">
        <v>17</v>
      </c>
    </row>
    <row r="61" spans="2:4" ht="14.5" customHeight="1">
      <c r="B61" s="15" t="s">
        <v>48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19</vt:i4>
      </vt:variant>
    </vt:vector>
  </HeadingPairs>
  <TitlesOfParts>
    <vt:vector size="34" baseType="lpstr">
      <vt:lpstr>Índice</vt:lpstr>
      <vt:lpstr>Tabasco_EdoUsa</vt:lpstr>
      <vt:lpstr>Tabasco_Cons</vt:lpstr>
      <vt:lpstr>TabascoXCons</vt:lpstr>
      <vt:lpstr>Tabasco_EdoMun</vt:lpstr>
      <vt:lpstr>Tabasco_USAMuni</vt:lpstr>
      <vt:lpstr>Tabasco_MUNICIPIO</vt:lpstr>
      <vt:lpstr>Tabasco_educ_gral</vt:lpstr>
      <vt:lpstr>Tabasco_NivelE_Cons</vt:lpstr>
      <vt:lpstr>Tabasco_EducCons</vt:lpstr>
      <vt:lpstr>Tabasco_GenGral</vt:lpstr>
      <vt:lpstr>Tabasco_GENERO</vt:lpstr>
      <vt:lpstr>Tabasco_GENERO_EUA</vt:lpstr>
      <vt:lpstr>Tabasco_Gen_Edad</vt:lpstr>
      <vt:lpstr>Tabasco_ocup_gral</vt:lpstr>
      <vt:lpstr>Tabasco_educ_gral!Área_de_impresión</vt:lpstr>
      <vt:lpstr>Tabasco_EducCons!Área_de_impresión</vt:lpstr>
      <vt:lpstr>Tabasco_MUNICIPIO!Área_de_impresión</vt:lpstr>
      <vt:lpstr>Tabasco_NivelE_Cons!Área_de_impresión</vt:lpstr>
      <vt:lpstr>Tabasco_USAMuni!Área_de_impresión</vt:lpstr>
      <vt:lpstr>Tabasco_Cons!Títulos_a_imprimir</vt:lpstr>
      <vt:lpstr>Tabasco_EdoMun!Títulos_a_imprimir</vt:lpstr>
      <vt:lpstr>Tabasco_EdoUsa!Títulos_a_imprimir</vt:lpstr>
      <vt:lpstr>Tabasco_educ_gral!Títulos_a_imprimir</vt:lpstr>
      <vt:lpstr>Tabasco_EducCons!Títulos_a_imprimir</vt:lpstr>
      <vt:lpstr>Tabasco_Gen_Edad!Títulos_a_imprimir</vt:lpstr>
      <vt:lpstr>Tabasco_GENERO!Títulos_a_imprimir</vt:lpstr>
      <vt:lpstr>Tabasco_GENERO_EUA!Títulos_a_imprimir</vt:lpstr>
      <vt:lpstr>Tabasco_GenGral!Títulos_a_imprimir</vt:lpstr>
      <vt:lpstr>Tabasco_MUNICIPIO!Títulos_a_imprimir</vt:lpstr>
      <vt:lpstr>Tabasco_NivelE_Cons!Títulos_a_imprimir</vt:lpstr>
      <vt:lpstr>Tabasco_ocup_gral!Títulos_a_imprimir</vt:lpstr>
      <vt:lpstr>Tabasco_USAMuni!Títulos_a_imprimir</vt:lpstr>
      <vt:lpstr>TabascoXCons!Títulos_a_imprimir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Soto Ramírez, Edith</cp:lastModifiedBy>
  <dcterms:created xsi:type="dcterms:W3CDTF">2020-06-04T00:36:39Z</dcterms:created>
  <dcterms:modified xsi:type="dcterms:W3CDTF">2024-12-26T14:50:04Z</dcterms:modified>
</cp:coreProperties>
</file>