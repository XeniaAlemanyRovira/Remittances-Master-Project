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2B87830E-68CA-4E38-90AB-58B6809B26EC}" xr6:coauthVersionLast="47" xr6:coauthVersionMax="47" xr10:uidLastSave="{00000000-0000-0000-0000-000000000000}"/>
  <bookViews>
    <workbookView xWindow="-110" yWindow="-110" windowWidth="19420" windowHeight="10420" tabRatio="782" firstSheet="2" activeTab="3" xr2:uid="{00000000-000D-0000-FFFF-FFFF00000000}"/>
  </bookViews>
  <sheets>
    <sheet name="Índice" sheetId="1" r:id="rId1"/>
    <sheet name="Baja California Sur_EdoUsa" sheetId="2" r:id="rId2"/>
    <sheet name="Baja California Sur_Cons" sheetId="15" r:id="rId3"/>
    <sheet name="Baja California SurXCons" sheetId="16" r:id="rId4"/>
    <sheet name="Baja California Sur_EdoMun" sheetId="5" r:id="rId5"/>
    <sheet name="Baja California Sur_USAMuni" sheetId="6" r:id="rId6"/>
    <sheet name="Baja California Sur_MUNICIPIO" sheetId="7" r:id="rId7"/>
    <sheet name="Baja California Sur_educ_gral" sheetId="8" r:id="rId8"/>
    <sheet name="Baja California Sur_NivelE_Cons" sheetId="9" r:id="rId9"/>
    <sheet name="Baja California Sur_EducCons" sheetId="10" r:id="rId10"/>
    <sheet name="Baja California Sur_GenGral" sheetId="11" r:id="rId11"/>
    <sheet name="Baja California Sur_GENERO" sheetId="12" r:id="rId12"/>
    <sheet name="Baja California Sur_GENERO_EUA" sheetId="17" r:id="rId13"/>
    <sheet name="Baja California Sur_Gen_Edad" sheetId="13" r:id="rId14"/>
    <sheet name="Baja California Sur_ocup_gral" sheetId="14" r:id="rId15"/>
  </sheets>
  <definedNames>
    <definedName name="_xlnm._FilterDatabase" localSheetId="2" hidden="1">'Baja California Sur_Cons'!$B$11:$D$11</definedName>
    <definedName name="_xlnm._FilterDatabase" localSheetId="4" hidden="1">'Baja California Sur_EdoMun'!$B$11:$D$11</definedName>
    <definedName name="_xlnm._FilterDatabase" localSheetId="1" hidden="1">'Baja California Sur_EdoUsa'!$B$11:$D$11</definedName>
    <definedName name="_xlnm._FilterDatabase" localSheetId="7" hidden="1">'Baja California Sur_educ_gral'!$B$11:$D$11</definedName>
    <definedName name="_xlnm._FilterDatabase" localSheetId="9" hidden="1">'Baja California Sur_EducCons'!$B$9:$E$255</definedName>
    <definedName name="_xlnm._FilterDatabase" localSheetId="11" hidden="1">'Baja California Sur_GENERO'!$B$12:$E$138</definedName>
    <definedName name="_xlnm._FilterDatabase" localSheetId="12" hidden="1">'Baja California Sur_GENERO_EUA'!$B$12:$E$12</definedName>
    <definedName name="_xlnm._FilterDatabase" localSheetId="10" hidden="1">'Baja California Sur_GenGral'!$B$11:$D$11</definedName>
    <definedName name="_xlnm._FilterDatabase" localSheetId="6" hidden="1">'Baja California Sur_MUNICIPIO'!$B$9:$E$180</definedName>
    <definedName name="_xlnm._FilterDatabase" localSheetId="8" hidden="1">'Baja California Sur_NivelE_Cons'!$B$9:$E$9</definedName>
    <definedName name="_xlnm._FilterDatabase" localSheetId="14" hidden="1">'Baja California Sur_ocup_gral'!$B$11:$D$11</definedName>
    <definedName name="_xlnm._FilterDatabase" localSheetId="5" hidden="1">'Baja California Sur_USAMuni'!$B$9:$E$9</definedName>
    <definedName name="_xlnm._FilterDatabase" localSheetId="3" hidden="1">'Baja California SurXCons'!$B$11:$D$11</definedName>
    <definedName name="_xlnm.Print_Area" localSheetId="2">'Baja California Sur_Cons'!$A$1:$F$63</definedName>
    <definedName name="_xlnm.Print_Area" localSheetId="7">'Baja California Sur_educ_gral'!$A$1:$F$39</definedName>
    <definedName name="_xlnm.Print_Area" localSheetId="9">'Baja California Sur_EducCons'!$A$1:$E$261</definedName>
    <definedName name="_xlnm.Print_Area" localSheetId="13">'Baja California Sur_Gen_Edad'!$A$1:$G$33</definedName>
    <definedName name="_xlnm.Print_Area" localSheetId="11">'Baja California Sur_GENERO'!$A$1:$F$144</definedName>
    <definedName name="_xlnm.Print_Area" localSheetId="12">'Baja California Sur_GENERO_EUA'!$A$1:$F$111</definedName>
    <definedName name="_xlnm.Print_Area" localSheetId="6">'Baja California Sur_MUNICIPIO'!$A$1:$E$186</definedName>
    <definedName name="_xlnm.Print_Area" localSheetId="8">'Baja California Sur_NivelE_Cons'!$A$1:$E$176</definedName>
    <definedName name="_xlnm.Print_Area" localSheetId="5">'Baja California Sur_USAMuni'!$A$1:$E$135</definedName>
    <definedName name="_xlnm.Print_Area" localSheetId="3">'Baja California SurXCons'!$A$1:$F$29</definedName>
    <definedName name="_xlnm.Print_Titles" localSheetId="2">'Baja California Sur_Cons'!$1:$11</definedName>
    <definedName name="_xlnm.Print_Titles" localSheetId="4">'Baja California Sur_EdoMun'!$1:$11</definedName>
    <definedName name="_xlnm.Print_Titles" localSheetId="1">'Baja California Sur_EdoUsa'!$1:$11</definedName>
    <definedName name="_xlnm.Print_Titles" localSheetId="7">'Baja California Sur_educ_gral'!$1:$11</definedName>
    <definedName name="_xlnm.Print_Titles" localSheetId="9">'Baja California Sur_EducCons'!$1:$9</definedName>
    <definedName name="_xlnm.Print_Titles" localSheetId="13">'Baja California Sur_Gen_Edad'!$1:$13</definedName>
    <definedName name="_xlnm.Print_Titles" localSheetId="11">'Baja California Sur_GENERO'!$1:$12</definedName>
    <definedName name="_xlnm.Print_Titles" localSheetId="12">'Baja California Sur_GENERO_EUA'!$1:$12</definedName>
    <definedName name="_xlnm.Print_Titles" localSheetId="10">'Baja California Sur_GenGral'!$1:$11</definedName>
    <definedName name="_xlnm.Print_Titles" localSheetId="6">'Baja California Sur_MUNICIPIO'!$1:$9</definedName>
    <definedName name="_xlnm.Print_Titles" localSheetId="8">'Baja California Sur_NivelE_Cons'!$1:$9</definedName>
    <definedName name="_xlnm.Print_Titles" localSheetId="14">'Baja California Sur_ocup_gral'!$1:$11</definedName>
    <definedName name="_xlnm.Print_Titles" localSheetId="5">'Baja California Sur_USAMuni'!$1:$9</definedName>
    <definedName name="_xlnm.Print_Titles" localSheetId="3">'Baja California SurXCons'!$1:$11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6" l="1"/>
  <c r="C22" i="16"/>
  <c r="D14" i="16" s="1"/>
  <c r="D12" i="16" l="1"/>
  <c r="D15" i="16"/>
  <c r="D16" i="16"/>
  <c r="D17" i="16"/>
  <c r="D18" i="16"/>
  <c r="D19" i="16"/>
  <c r="D20" i="16"/>
  <c r="D22" i="16"/>
  <c r="D13" i="16"/>
</calcChain>
</file>

<file path=xl/sharedStrings.xml><?xml version="1.0" encoding="utf-8"?>
<sst xmlns="http://schemas.openxmlformats.org/spreadsheetml/2006/main" count="1480" uniqueCount="214">
  <si>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</si>
  <si>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</si>
  <si>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</si>
  <si>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</si>
  <si>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</si>
  <si>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</si>
  <si>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</si>
  <si>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</si>
  <si>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</si>
  <si>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</si>
  <si>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</si>
  <si>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</si>
  <si>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</si>
  <si>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</si>
  <si>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</si>
  <si>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</si>
  <si>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</si>
  <si>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</si>
  <si>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</si>
  <si>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</si>
  <si>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</si>
  <si>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</si>
  <si>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</si>
  <si>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</si>
  <si>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</si>
  <si>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</si>
  <si>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</si>
  <si>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</si>
  <si>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</si>
  <si>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</si>
  <si>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</si>
  <si>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</si>
  <si>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</si>
  <si>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BAJA CALIFORNIA SUR POR GÉNERO Y EDAD EN EE.UU.</t>
  </si>
  <si>
    <t>Ocupación</t>
  </si>
  <si>
    <t>5.2 Por Circunscripción Consular</t>
  </si>
  <si>
    <t xml:space="preserve">MATRÍCULAS CONSULARES EXPEDIDAS A ORIGINARIOS DE BAJA CALIFORNIA SUR POR GÉNERO EN EE.UU </t>
  </si>
  <si>
    <t>MATRÍCULAS CONSULARES EXPEDIDAS EN EE.UU. A ORIGINARIOS DE BAJA CALIFORNIA SUR POR NIVEL DE EDUCACIÓN.</t>
  </si>
  <si>
    <t>MATRÍCULAS CONSULARES DE ALTA SEGURIDAD EXPEDIDAS POR MUNICIPIO A ORIGINARIOS DEL ESTADO DE BAJA CALIFORNIA SUR EN LOS CONSULADOS DE MÉXICO EN EE.UU.</t>
  </si>
  <si>
    <t>MATRÍCULAS CONSULARES DE ALTA SEGURIDAD EXPEDIDAS  A ORIGINARIOS DE BAJA CALIFORNIA SUR EN LOS CONSULADOS DE MÉXICO EN EE.UU.</t>
  </si>
  <si>
    <t xml:space="preserve">MATRÍCULAS CONSULARES DE ALTA SEGURIDAD EXPEDIDAS A ORIGINARIOS DE BAJA CALIFORNIA SUR POR ESTADO DE LA UNIÓN AMERICANA. </t>
  </si>
  <si>
    <t>MATRÍCULAS CONSULARES EXPEDIDAS A ORIGINARIOS DE BAJA CALIFORNIA SUR POR GÉNERO Y CONSULADO</t>
  </si>
  <si>
    <t>5.3 Por Estados de la Unión Americana</t>
  </si>
  <si>
    <t>LOS 10 CONSULADOS  DE MÉXICO EN EE.UU., CON MAYOR NÚMERO DE EXPEDICIÓN DE  MATRÍCULAS CONSULARES DE ALTA SEGURIDAD A ORIGINARIOS DE BAJA CALIFORNIA SUR</t>
  </si>
  <si>
    <t>TOTAL TOP 10</t>
  </si>
  <si>
    <t>TOTAL GENERAL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</si>
  <si>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</si>
  <si>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</si>
  <si>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</si>
  <si>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</si>
  <si>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ARIZONA</t>
  </si>
  <si>
    <t>ARKANSAS</t>
  </si>
  <si>
    <t>CALIFORNIA</t>
  </si>
  <si>
    <t>COLORADO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</si>
  <si>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</si>
  <si>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</si>
  <si>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</si>
  <si>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</si>
  <si>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</si>
  <si>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</si>
  <si>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</si>
  <si>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</si>
  <si>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</si>
  <si>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</si>
  <si>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MASSACHUSETTS</t>
  </si>
  <si>
    <t>MICHIGAN</t>
  </si>
  <si>
    <t>MINNESOTA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</si>
  <si>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</si>
  <si>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</si>
  <si>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</si>
  <si>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</si>
  <si>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</si>
  <si>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</si>
  <si>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</si>
  <si>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</si>
  <si>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OKLAHOMA</t>
  </si>
  <si>
    <t>OREGON</t>
  </si>
  <si>
    <t>PENNSYLVANIA</t>
  </si>
  <si>
    <t>SOUTH CAROLINA</t>
  </si>
  <si>
    <t>TENNESSEE</t>
  </si>
  <si>
    <t>TEXAS</t>
  </si>
  <si>
    <t>UTAH</t>
  </si>
  <si>
    <t>WASHINGTON</t>
  </si>
  <si>
    <t>WISCONSIN</t>
  </si>
  <si>
    <t>LOS ANGELES</t>
  </si>
  <si>
    <t>FRESNO</t>
  </si>
  <si>
    <t>CHICAGO</t>
  </si>
  <si>
    <t>DALLAS</t>
  </si>
  <si>
    <t>OXNARD</t>
  </si>
  <si>
    <t>SANTA ANA</t>
  </si>
  <si>
    <t>SAN BERNARDINO</t>
  </si>
  <si>
    <t>RALEIGH</t>
  </si>
  <si>
    <t>LAS VEGAS</t>
  </si>
  <si>
    <t>PHOENIX</t>
  </si>
  <si>
    <t>FILADELFIA</t>
  </si>
  <si>
    <t>HOUSTON</t>
  </si>
  <si>
    <t>SACRAMENTO</t>
  </si>
  <si>
    <t>SAN FRANCISCO</t>
  </si>
  <si>
    <t>SAN JOSE</t>
  </si>
  <si>
    <t>KANSAS CITY</t>
  </si>
  <si>
    <t>SALT LAKE CITY</t>
  </si>
  <si>
    <t>ATLANTA</t>
  </si>
  <si>
    <t>LITTLE ROCK</t>
  </si>
  <si>
    <t>SAN DIEGO</t>
  </si>
  <si>
    <t>BOISE</t>
  </si>
  <si>
    <t>DENVER</t>
  </si>
  <si>
    <t>OKLAHOMA CITY</t>
  </si>
  <si>
    <t>SEATTLE</t>
  </si>
  <si>
    <t>MIAMI</t>
  </si>
  <si>
    <t>NEW BRUNSWICK</t>
  </si>
  <si>
    <t>ORLANDO</t>
  </si>
  <si>
    <t>SAN ANTONIO</t>
  </si>
  <si>
    <t>ALBUQUERQUE</t>
  </si>
  <si>
    <t>PORTLAND</t>
  </si>
  <si>
    <t>SAINT PAUL</t>
  </si>
  <si>
    <t>TUCSON</t>
  </si>
  <si>
    <t>AUSTIN</t>
  </si>
  <si>
    <t>BOSTON</t>
  </si>
  <si>
    <t>DETROIT</t>
  </si>
  <si>
    <t>EL PASO</t>
  </si>
  <si>
    <t>INDIANAPOLIS</t>
  </si>
  <si>
    <t>LAREDO</t>
  </si>
  <si>
    <t>MCALLEN</t>
  </si>
  <si>
    <t>NUEVA ORLEANS</t>
  </si>
  <si>
    <t>NUEVA YORK</t>
  </si>
  <si>
    <t>OMAHA</t>
  </si>
  <si>
    <t>MILWAUKEE</t>
  </si>
  <si>
    <t>NOGALES</t>
  </si>
  <si>
    <t>PRESIDIO</t>
  </si>
  <si>
    <t>MASCULINO</t>
  </si>
  <si>
    <t>FEMENINO</t>
  </si>
  <si>
    <t>KENTUCKY Total</t>
  </si>
  <si>
    <t>LOUISIANA Total</t>
  </si>
  <si>
    <t>MASSACHUSETTS Total</t>
  </si>
  <si>
    <t>MICHIGAN Total</t>
  </si>
  <si>
    <t>MINNESOTA Total</t>
  </si>
  <si>
    <t>MISSOURI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</si>
  <si>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</si>
  <si>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</si>
  <si>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</si>
  <si>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</si>
  <si>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</si>
  <si>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</si>
  <si>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</si>
  <si>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OKLAHOMA Total</t>
  </si>
  <si>
    <t>OREGON Total</t>
  </si>
  <si>
    <t>PENNSYLVANIA Total</t>
  </si>
  <si>
    <t>SOUTH CAROLINA Total</t>
  </si>
  <si>
    <t>TENNESSEE Total</t>
  </si>
  <si>
    <t>TEXAS Total</t>
  </si>
  <si>
    <t>UTAH Total</t>
  </si>
  <si>
    <t>WASHINGTON Total</t>
  </si>
  <si>
    <t>WISCONSIN Total</t>
  </si>
  <si>
    <t>LA PAZ</t>
  </si>
  <si>
    <t>COMONDÚ</t>
  </si>
  <si>
    <t>LORETO</t>
  </si>
  <si>
    <t>LOS CABOS</t>
  </si>
  <si>
    <t>MULEGÉ</t>
  </si>
  <si>
    <t>SIN ESTUDIOS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</si>
  <si>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</si>
  <si>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</si>
  <si>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</si>
  <si>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</si>
  <si>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</si>
  <si>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</si>
  <si>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</si>
  <si>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</si>
  <si>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</si>
  <si>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</si>
  <si>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</si>
  <si>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</si>
  <si>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</si>
  <si>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</si>
  <si>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</si>
  <si>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4o. AÑO DE PROFESIONAL</t>
  </si>
  <si>
    <t>PROFESIONAL PASANTE</t>
  </si>
  <si>
    <t>PROFESIONAL TITULADO</t>
  </si>
  <si>
    <t>MENORES DE EDAD</t>
  </si>
  <si>
    <t>POSGRADO [MAESTRIA]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</si>
  <si>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</si>
  <si>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</si>
  <si>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</si>
  <si>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</si>
  <si>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</si>
  <si>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</si>
  <si>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</si>
  <si>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HASTA 10 AÑOS</t>
  </si>
  <si>
    <t>EMPLEADO(A)</t>
  </si>
  <si>
    <t>HOGAR</t>
  </si>
  <si>
    <t>ESTUDIANTE</t>
  </si>
  <si>
    <t>AGROPECUARIA, TRAB. DE LA INDUSTRIA</t>
  </si>
  <si>
    <t>CONSTRUCCIÓN, TRAB. DE LA IND. DE LA</t>
  </si>
  <si>
    <t>OBRERO(A)</t>
  </si>
  <si>
    <t>ALIMENTOS Y BEBIDAS, ESP. EN PREPARACIÓN DE</t>
  </si>
  <si>
    <t>JARDINERO(A)</t>
  </si>
  <si>
    <t>PROFESIONISTA</t>
  </si>
  <si>
    <t>VENDEDOR(A)</t>
  </si>
  <si>
    <t>CAJERO(A)/COBRADOR(A)</t>
  </si>
  <si>
    <t>CHOFER</t>
  </si>
  <si>
    <t>LIMPIEZA, EMPLEADO DE</t>
  </si>
  <si>
    <t>SIN ESPECIFICAR</t>
  </si>
  <si>
    <t>CARPINTERO/TAPICERO</t>
  </si>
  <si>
    <t>DESEMPLEADO</t>
  </si>
  <si>
    <t>EMPRESARIO(A)</t>
  </si>
  <si>
    <t>ENFERMERO(A)/TRAB. DE APOYO EN SALUD</t>
  </si>
  <si>
    <t>GERENTE/DIRECTOR(A)</t>
  </si>
  <si>
    <t>INGENIERO(A)</t>
  </si>
  <si>
    <t>JUBILADO(A)/PENSIONADO(A)</t>
  </si>
  <si>
    <t>MESERO(A)</t>
  </si>
  <si>
    <t>OPERARIO(A)</t>
  </si>
  <si>
    <t>PINTOR(A)</t>
  </si>
  <si>
    <t>Matrículas consulares expedidas a originarios de Baja California Sur en el 2023</t>
  </si>
  <si>
    <t>MATRÍCULAS CONSULARES EXPEDIDAS A ORIGINARIOS DE BAJA CALIFORNIA 
SUR POR GÉNERO Y POR ESTADO DE LA UNIÓN AMERICANA</t>
  </si>
  <si>
    <t>MATRÍCULAS CONSULARES EXPEDIDAS EN EE.UU. ORIGINARIOS DE BAJA CALIFORNIA SUR POR PERFIL OCUPACIONAL.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</si>
</sst>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10.5"/>
      <name val="Montserrat"/>
    </font>
    <font>
      <b/>
      <sz val="9"/>
      <color rgb="FFFFFFFF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lef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24" fillId="6" borderId="10" xfId="3" applyFont="1" applyFill="1" applyBorder="1" applyAlignment="1">
      <alignment horizontal="center" vertical="center" wrapText="1"/>
    </xf>
    <xf numFmtId="164" fontId="6" fillId="9" borderId="13" xfId="0" applyNumberFormat="1" applyFont="1" applyFill="1" applyBorder="1" applyAlignment="1">
      <alignment horizontal="right" vertical="center" wrapText="1"/>
    </xf>
    <xf numFmtId="0" fontId="16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19" fillId="3" borderId="0" xfId="0" applyFont="1" applyFill="1" applyAlignment="1">
      <alignment horizontal="center" vertical="distributed"/>
    </xf>
    <xf numFmtId="49" fontId="24" fillId="8" borderId="9" xfId="0" applyNumberFormat="1" applyFont="1" applyFill="1" applyBorder="1" applyAlignment="1">
      <alignment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49" fontId="6" fillId="9" borderId="9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24" fillId="7" borderId="9" xfId="0" applyNumberFormat="1" applyFont="1" applyFill="1" applyBorder="1" applyAlignment="1">
      <alignment horizontal="center" vertical="center" wrapText="1"/>
    </xf>
    <xf numFmtId="0" fontId="23" fillId="3" borderId="0" xfId="0" applyFont="1" applyFill="1" applyAlignment="1">
      <alignment horizontal="center" vertical="center" wrapText="1"/>
    </xf>
    <xf numFmtId="0" fontId="23" fillId="3" borderId="0" xfId="0" applyFont="1" applyFill="1" applyAlignment="1">
      <alignment horizontal="center" vertical="center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193367</xdr:rowOff>
    </xdr:from>
    <xdr:to>
      <xdr:col>3</xdr:col>
      <xdr:colOff>1084313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64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482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9525</xdr:rowOff>
    </xdr:from>
    <xdr:to>
      <xdr:col>1</xdr:col>
      <xdr:colOff>410134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AB11D0D-4F9F-4F96-A9DA-FCE884606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48200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180975</xdr:rowOff>
    </xdr:from>
    <xdr:to>
      <xdr:col>1</xdr:col>
      <xdr:colOff>410134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A05A488-8A96-4C57-90D7-DBC29A419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76200</xdr:rowOff>
    </xdr:from>
    <xdr:to>
      <xdr:col>5</xdr:col>
      <xdr:colOff>207297</xdr:colOff>
      <xdr:row>8</xdr:row>
      <xdr:rowOff>70055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743450" y="16002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57150</xdr:colOff>
      <xdr:row>1</xdr:row>
      <xdr:rowOff>9525</xdr:rowOff>
    </xdr:from>
    <xdr:to>
      <xdr:col>1</xdr:col>
      <xdr:colOff>362509</xdr:colOff>
      <xdr:row>3</xdr:row>
      <xdr:rowOff>342899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417F307-AD64-4CE9-BC60-30F0F143D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142875</xdr:rowOff>
    </xdr:from>
    <xdr:to>
      <xdr:col>5</xdr:col>
      <xdr:colOff>131097</xdr:colOff>
      <xdr:row>8</xdr:row>
      <xdr:rowOff>142875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67250" y="16668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0</xdr:rowOff>
    </xdr:from>
    <xdr:to>
      <xdr:col>1</xdr:col>
      <xdr:colOff>410134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2F27380-246D-4B1C-A459-4B4736F0A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SUR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99219</xdr:rowOff>
    </xdr:from>
    <xdr:to>
      <xdr:col>4</xdr:col>
      <xdr:colOff>1057799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9880202" y="1432719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29766</xdr:colOff>
      <xdr:row>0</xdr:row>
      <xdr:rowOff>119062</xdr:rowOff>
    </xdr:from>
    <xdr:to>
      <xdr:col>1</xdr:col>
      <xdr:colOff>954250</xdr:colOff>
      <xdr:row>3</xdr:row>
      <xdr:rowOff>307577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C6FF065-22E8-400C-B057-ED033606E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219" y="119062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SUR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525858</xdr:colOff>
      <xdr:row>7</xdr:row>
      <xdr:rowOff>59532</xdr:rowOff>
    </xdr:from>
    <xdr:to>
      <xdr:col>4</xdr:col>
      <xdr:colOff>1037955</xdr:colOff>
      <xdr:row>7</xdr:row>
      <xdr:rowOff>248047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60358" y="1393032"/>
          <a:ext cx="512097" cy="1313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123825</xdr:rowOff>
    </xdr:from>
    <xdr:to>
      <xdr:col>1</xdr:col>
      <xdr:colOff>972109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4BDBC8B-48C5-4E92-8466-D46100C5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14325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66675</xdr:colOff>
      <xdr:row>0</xdr:row>
      <xdr:rowOff>180975</xdr:rowOff>
    </xdr:from>
    <xdr:to>
      <xdr:col>1</xdr:col>
      <xdr:colOff>372034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44C620F-86AA-4F10-BE54-E93C08B15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SUR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514350</xdr:colOff>
      <xdr:row>7</xdr:row>
      <xdr:rowOff>38100</xdr:rowOff>
    </xdr:from>
    <xdr:to>
      <xdr:col>4</xdr:col>
      <xdr:colOff>1026447</xdr:colOff>
      <xdr:row>7</xdr:row>
      <xdr:rowOff>228600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D41E99-54D6-4100-84FC-62E8893F0AE7}"/>
            </a:ext>
          </a:extLst>
        </xdr:cNvPr>
        <xdr:cNvSpPr/>
      </xdr:nvSpPr>
      <xdr:spPr>
        <a:xfrm>
          <a:off x="5514975" y="17811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1</xdr:row>
      <xdr:rowOff>0</xdr:rowOff>
    </xdr:from>
    <xdr:to>
      <xdr:col>1</xdr:col>
      <xdr:colOff>943534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C9A5BA6-00FF-4931-8EB6-F428036B3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SUR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413844</xdr:colOff>
      <xdr:row>7</xdr:row>
      <xdr:rowOff>131379</xdr:rowOff>
    </xdr:from>
    <xdr:to>
      <xdr:col>4</xdr:col>
      <xdr:colOff>925941</xdr:colOff>
      <xdr:row>7</xdr:row>
      <xdr:rowOff>321879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748344" y="1464879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1</xdr:row>
      <xdr:rowOff>47625</xdr:rowOff>
    </xdr:from>
    <xdr:to>
      <xdr:col>1</xdr:col>
      <xdr:colOff>1000684</xdr:colOff>
      <xdr:row>3</xdr:row>
      <xdr:rowOff>380999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EF5E924-4940-48F4-8D36-AC24C84CF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85725</xdr:colOff>
      <xdr:row>7</xdr:row>
      <xdr:rowOff>161925</xdr:rowOff>
    </xdr:from>
    <xdr:to>
      <xdr:col>4</xdr:col>
      <xdr:colOff>597822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133725" y="14954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0</xdr:rowOff>
    </xdr:from>
    <xdr:to>
      <xdr:col>1</xdr:col>
      <xdr:colOff>419659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07C7E6A-F5AC-470B-AAA5-CA0BA03AA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798117</xdr:colOff>
      <xdr:row>8</xdr:row>
      <xdr:rowOff>179388</xdr:rowOff>
    </xdr:from>
    <xdr:to>
      <xdr:col>5</xdr:col>
      <xdr:colOff>298183</xdr:colOff>
      <xdr:row>9</xdr:row>
      <xdr:rowOff>179388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389167" y="1703388"/>
          <a:ext cx="5605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29766</xdr:colOff>
      <xdr:row>0</xdr:row>
      <xdr:rowOff>109141</xdr:rowOff>
    </xdr:from>
    <xdr:to>
      <xdr:col>1</xdr:col>
      <xdr:colOff>954250</xdr:colOff>
      <xdr:row>3</xdr:row>
      <xdr:rowOff>307577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93223E2-CC85-44F0-BC1E-18105673E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6797" y="109141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631694</xdr:colOff>
      <xdr:row>9</xdr:row>
      <xdr:rowOff>99219</xdr:rowOff>
    </xdr:from>
    <xdr:to>
      <xdr:col>5</xdr:col>
      <xdr:colOff>131760</xdr:colOff>
      <xdr:row>9</xdr:row>
      <xdr:rowOff>337345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387579" y="1918229"/>
          <a:ext cx="558400" cy="23812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148828</xdr:colOff>
      <xdr:row>0</xdr:row>
      <xdr:rowOff>89297</xdr:rowOff>
    </xdr:from>
    <xdr:to>
      <xdr:col>1</xdr:col>
      <xdr:colOff>1073312</xdr:colOff>
      <xdr:row>3</xdr:row>
      <xdr:rowOff>287733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9ACF864-84AB-47C1-B033-700B09EDA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5859" y="89297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489209</xdr:colOff>
      <xdr:row>9</xdr:row>
      <xdr:rowOff>113393</xdr:rowOff>
    </xdr:from>
    <xdr:to>
      <xdr:col>5</xdr:col>
      <xdr:colOff>1023984</xdr:colOff>
      <xdr:row>10</xdr:row>
      <xdr:rowOff>113393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508750" y="1824005"/>
          <a:ext cx="534775" cy="18790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0</xdr:colOff>
      <xdr:row>0</xdr:row>
      <xdr:rowOff>116633</xdr:rowOff>
    </xdr:from>
    <xdr:to>
      <xdr:col>1</xdr:col>
      <xdr:colOff>924484</xdr:colOff>
      <xdr:row>3</xdr:row>
      <xdr:rowOff>296441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67C6FE0-8C50-483C-A3DA-BA83A334A7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116633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237435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055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180148</xdr:colOff>
      <xdr:row>7</xdr:row>
      <xdr:rowOff>150054</xdr:rowOff>
    </xdr:from>
    <xdr:to>
      <xdr:col>5</xdr:col>
      <xdr:colOff>46202</xdr:colOff>
      <xdr:row>8</xdr:row>
      <xdr:rowOff>147293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409235" y="169061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0</xdr:row>
      <xdr:rowOff>171450</xdr:rowOff>
    </xdr:from>
    <xdr:to>
      <xdr:col>1</xdr:col>
      <xdr:colOff>419659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B2A441F-D89E-4778-9652-593C742CC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7145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B14" sqref="B14:D14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7" t="s">
        <v>211</v>
      </c>
      <c r="B1" s="78"/>
      <c r="C1" s="78"/>
      <c r="D1" s="79"/>
    </row>
    <row r="2" spans="1:4">
      <c r="A2" s="2"/>
      <c r="B2" s="3"/>
      <c r="C2" s="3"/>
      <c r="D2" s="4"/>
    </row>
    <row r="3" spans="1:4">
      <c r="A3" s="80" t="s">
        <v>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5"/>
      <c r="B5" s="6"/>
      <c r="C5" s="6"/>
      <c r="D5" s="7"/>
    </row>
    <row r="6" spans="1:4" ht="18.5">
      <c r="A6" s="74" t="s">
        <v>1</v>
      </c>
      <c r="B6" s="75"/>
      <c r="C6" s="75"/>
      <c r="D6" s="76"/>
    </row>
    <row r="7" spans="1:4">
      <c r="A7" s="8"/>
      <c r="D7" s="9"/>
    </row>
    <row r="8" spans="1:4" ht="18.5">
      <c r="A8" s="74" t="s">
        <v>2</v>
      </c>
      <c r="B8" s="75"/>
      <c r="C8" s="75"/>
      <c r="D8" s="76"/>
    </row>
    <row r="9" spans="1:4" ht="18.5">
      <c r="A9" s="8"/>
      <c r="B9" s="74" t="s">
        <v>3</v>
      </c>
      <c r="C9" s="75"/>
      <c r="D9" s="75"/>
    </row>
    <row r="10" spans="1:4">
      <c r="A10" s="8"/>
      <c r="D10" s="9"/>
    </row>
    <row r="11" spans="1:4">
      <c r="A11" s="8" t="s">
        <v>4</v>
      </c>
      <c r="D11" s="9"/>
    </row>
    <row r="12" spans="1:4" ht="18.5">
      <c r="A12" s="8"/>
      <c r="B12" s="74" t="s">
        <v>5</v>
      </c>
      <c r="C12" s="75"/>
      <c r="D12" s="75"/>
    </row>
    <row r="13" spans="1:4" ht="18.5">
      <c r="A13" s="8"/>
      <c r="B13" s="74" t="s">
        <v>6</v>
      </c>
      <c r="C13" s="75"/>
      <c r="D13" s="75"/>
    </row>
    <row r="14" spans="1:4" ht="18.5">
      <c r="A14" s="8"/>
      <c r="B14" s="74" t="s">
        <v>7</v>
      </c>
      <c r="C14" s="75"/>
      <c r="D14" s="75"/>
    </row>
    <row r="15" spans="1:4">
      <c r="A15" s="8"/>
      <c r="D15" s="9"/>
    </row>
    <row r="16" spans="1:4">
      <c r="A16" s="8" t="s">
        <v>8</v>
      </c>
      <c r="D16" s="9"/>
    </row>
    <row r="17" spans="1:4" ht="18.5">
      <c r="A17" s="8"/>
      <c r="B17" s="74" t="s">
        <v>9</v>
      </c>
      <c r="C17" s="75"/>
      <c r="D17" s="75"/>
    </row>
    <row r="18" spans="1:4" ht="18.5">
      <c r="A18" s="8"/>
      <c r="B18" s="74" t="s">
        <v>10</v>
      </c>
      <c r="C18" s="75"/>
      <c r="D18" s="75"/>
    </row>
    <row r="19" spans="1:4" ht="18.5">
      <c r="A19" s="8"/>
      <c r="B19" s="74" t="s">
        <v>11</v>
      </c>
      <c r="C19" s="75"/>
      <c r="D19" s="75"/>
    </row>
    <row r="20" spans="1:4">
      <c r="A20" s="8"/>
      <c r="D20" s="9"/>
    </row>
    <row r="21" spans="1:4">
      <c r="A21" s="8" t="s">
        <v>12</v>
      </c>
      <c r="D21" s="9"/>
    </row>
    <row r="22" spans="1:4" ht="18.5">
      <c r="A22" s="8"/>
      <c r="B22" s="74" t="s">
        <v>13</v>
      </c>
      <c r="C22" s="75"/>
      <c r="D22" s="75"/>
    </row>
    <row r="23" spans="1:4" ht="18.5">
      <c r="A23" s="8"/>
      <c r="B23" s="74" t="s">
        <v>35</v>
      </c>
      <c r="C23" s="75"/>
      <c r="D23" s="75"/>
    </row>
    <row r="24" spans="1:4" ht="18.5">
      <c r="A24" s="8"/>
      <c r="B24" s="74" t="s">
        <v>42</v>
      </c>
      <c r="C24" s="75"/>
      <c r="D24" s="75"/>
    </row>
    <row r="25" spans="1:4">
      <c r="A25" s="8"/>
      <c r="D25" s="9"/>
    </row>
    <row r="26" spans="1:4" ht="18.5">
      <c r="A26" s="74" t="s">
        <v>14</v>
      </c>
      <c r="B26" s="75"/>
      <c r="C26" s="75"/>
      <c r="D26" s="76"/>
    </row>
    <row r="27" spans="1:4">
      <c r="A27" s="8"/>
      <c r="D27" s="9"/>
    </row>
    <row r="28" spans="1:4" ht="18.5">
      <c r="A28" s="74" t="s">
        <v>15</v>
      </c>
      <c r="B28" s="75"/>
      <c r="C28" s="75"/>
      <c r="D28" s="76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Baja California Sur_USAMuni'!A1" display="3.2 Por Estado de USA" xr:uid="{00000000-0004-0000-0000-00000D000000}"/>
    <hyperlink ref="A8:D8" location="'Baja California Sur_Cons'!A1" display="2. Por Circunscripción Consular" xr:uid="{00000000-0004-0000-0000-00000E000000}"/>
    <hyperlink ref="B9:D9" location="'Baja California SurXCons'!A1" display="2.1 Top ten por circunscripción consular" xr:uid="{00000000-0004-0000-0000-00000F000000}"/>
    <hyperlink ref="A6:D6" location="'Baja California Sur_EdoUsa'!A1" display="1. Por Estados de USA" xr:uid="{00000000-0004-0000-0000-000010000000}"/>
    <hyperlink ref="B12:D12" location="'Baja California Sur_EdoMun'!A1" display="3.1 Municipio general" xr:uid="{00000000-0004-0000-0000-000011000000}"/>
    <hyperlink ref="B14:D14" location="'Baja California Sur_MUNICIPIO'!A1" display="3.3 Por Circunscripción Consular" xr:uid="{00000000-0004-0000-0000-000012000000}"/>
    <hyperlink ref="B17:D17" location="'Baja California Sur_educ_gral'!A1" display="4.1 Educación general" xr:uid="{00000000-0004-0000-0000-000013000000}"/>
    <hyperlink ref="B18:D18" location="'Baja California Sur_NivelE_Cons'!A1" display="4.2 Por Estado de USA" xr:uid="{00000000-0004-0000-0000-000014000000}"/>
    <hyperlink ref="B19:D19" location="'Baja California Sur_EducCons'!A1" display="4.3 Por Circunscripción Consular" xr:uid="{00000000-0004-0000-0000-000015000000}"/>
    <hyperlink ref="B22:D22" location="'Baja California Sur_GenGral'!A1" display="5.1 Género General" xr:uid="{00000000-0004-0000-0000-000016000000}"/>
    <hyperlink ref="B23:D23" location="'Baja California Sur_GENERO'!A1" display="5.2 Por Circunscripción Consular" xr:uid="{00000000-0004-0000-0000-000017000000}"/>
    <hyperlink ref="A26:D26" location="'Baja California Sur_Gen_Edad'!A1" display="6. Por estructura de Edad" xr:uid="{00000000-0004-0000-0000-000018000000}"/>
    <hyperlink ref="A28:D28" location="'Baja California Sur_ocup_gral'!A1" display="7. Por Ocupación" xr:uid="{00000000-0004-0000-0000-000019000000}"/>
    <hyperlink ref="B24" location="'Baja California Sur_GENERO_EUA'!A1" display="5.3 Por Estados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53"/>
  <sheetViews>
    <sheetView showGridLines="0" view="pageBreakPreview" topLeftCell="A45" zoomScale="115" zoomScaleNormal="100" zoomScaleSheetLayoutView="115" workbookViewId="0">
      <selection activeCell="A3" sqref="A3:XFD3"/>
    </sheetView>
  </sheetViews>
  <sheetFormatPr baseColWidth="10" defaultColWidth="11.453125" defaultRowHeight="14.5"/>
  <cols>
    <col min="1" max="1" width="9.26953125" style="13" customWidth="1"/>
    <col min="2" max="2" width="26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3" t="s">
        <v>40</v>
      </c>
      <c r="C7" s="83"/>
      <c r="D7" s="83"/>
    </row>
    <row r="8" spans="2:4" s="25" customFormat="1" ht="15" customHeight="1">
      <c r="B8" s="83"/>
      <c r="C8" s="83"/>
      <c r="D8" s="83"/>
    </row>
    <row r="9" spans="2:4" s="25" customFormat="1" ht="33" customHeight="1">
      <c r="B9" s="83"/>
      <c r="C9" s="83"/>
      <c r="D9" s="83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20</v>
      </c>
      <c r="C11" s="27" t="s">
        <v>19</v>
      </c>
      <c r="D11" s="26" t="s">
        <v>18</v>
      </c>
    </row>
    <row r="12" spans="2:4">
      <c r="B12" s="23" t="s">
        <v>49</v>
      </c>
      <c r="C12" s="22">
        <v>1</v>
      </c>
      <c r="D12" s="21">
        <v>2.475247524752E-3</v>
      </c>
    </row>
    <row r="13" spans="2:4">
      <c r="B13" s="23" t="s">
        <v>50</v>
      </c>
      <c r="C13" s="22">
        <v>15</v>
      </c>
      <c r="D13" s="21">
        <v>3.7128712871287002E-2</v>
      </c>
    </row>
    <row r="14" spans="2:4">
      <c r="B14" s="23" t="s">
        <v>51</v>
      </c>
      <c r="C14" s="22">
        <v>1</v>
      </c>
      <c r="D14" s="21">
        <v>2.475247524752E-3</v>
      </c>
    </row>
    <row r="15" spans="2:4">
      <c r="B15" s="23" t="s">
        <v>52</v>
      </c>
      <c r="C15" s="22">
        <v>182</v>
      </c>
      <c r="D15" s="21">
        <v>0.45049504950495101</v>
      </c>
    </row>
    <row r="16" spans="2:4">
      <c r="B16" s="23" t="s">
        <v>53</v>
      </c>
      <c r="C16" s="22">
        <v>6</v>
      </c>
      <c r="D16" s="21">
        <v>1.4851485148515E-2</v>
      </c>
    </row>
    <row r="17" spans="2:4">
      <c r="B17" s="23" t="s">
        <v>54</v>
      </c>
      <c r="C17" s="22">
        <v>5</v>
      </c>
      <c r="D17" s="21">
        <v>1.2376237623762E-2</v>
      </c>
    </row>
    <row r="18" spans="2:4">
      <c r="B18" s="23" t="s">
        <v>55</v>
      </c>
      <c r="C18" s="22">
        <v>9</v>
      </c>
      <c r="D18" s="21">
        <v>2.2277227722771999E-2</v>
      </c>
    </row>
    <row r="19" spans="2:4">
      <c r="B19" s="23" t="s">
        <v>56</v>
      </c>
      <c r="C19" s="22">
        <v>5</v>
      </c>
      <c r="D19" s="21">
        <v>1.2376237623762E-2</v>
      </c>
    </row>
    <row r="20" spans="2:4">
      <c r="B20" s="23" t="s">
        <v>57</v>
      </c>
      <c r="C20" s="22">
        <v>6</v>
      </c>
      <c r="D20" s="21">
        <v>1.4851485148515E-2</v>
      </c>
    </row>
    <row r="21" spans="2:4">
      <c r="B21" s="23" t="s">
        <v>58</v>
      </c>
      <c r="C21" s="22">
        <v>26</v>
      </c>
      <c r="D21" s="21">
        <v>6.4356435643563997E-2</v>
      </c>
    </row>
    <row r="22" spans="2:4">
      <c r="B22" s="23" t="s">
        <v>59</v>
      </c>
      <c r="C22" s="22">
        <v>5</v>
      </c>
      <c r="D22" s="21">
        <v>1.2376237623762E-2</v>
      </c>
    </row>
    <row r="23" spans="2:4">
      <c r="B23" s="23" t="s">
        <v>60</v>
      </c>
      <c r="C23" s="22">
        <v>1</v>
      </c>
      <c r="D23" s="21">
        <v>2.475247524752E-3</v>
      </c>
    </row>
    <row r="24" spans="2:4">
      <c r="B24" s="23" t="s">
        <v>61</v>
      </c>
      <c r="C24" s="22">
        <v>5</v>
      </c>
      <c r="D24" s="21">
        <v>1.2376237623762E-2</v>
      </c>
    </row>
    <row r="25" spans="2:4">
      <c r="B25" s="23" t="s">
        <v>62</v>
      </c>
      <c r="C25" s="22">
        <v>1</v>
      </c>
      <c r="D25" s="21">
        <v>2.475247524752E-3</v>
      </c>
    </row>
    <row r="26" spans="2:4">
      <c r="B26" s="23" t="s">
        <v>63</v>
      </c>
      <c r="C26" s="22">
        <v>2</v>
      </c>
      <c r="D26" s="21">
        <v>4.950495049505E-3</v>
      </c>
    </row>
    <row r="27" spans="2:4">
      <c r="B27" s="23" t="s">
        <v>64</v>
      </c>
      <c r="C27" s="22">
        <v>2</v>
      </c>
      <c r="D27" s="21">
        <v>4.950495049505E-3</v>
      </c>
    </row>
    <row r="28" spans="2:4">
      <c r="B28" s="23" t="s">
        <v>65</v>
      </c>
      <c r="C28" s="22">
        <v>1</v>
      </c>
      <c r="D28" s="21">
        <v>2.475247524752E-3</v>
      </c>
    </row>
    <row r="29" spans="2:4">
      <c r="B29" s="23" t="s">
        <v>66</v>
      </c>
      <c r="C29" s="22">
        <v>2</v>
      </c>
      <c r="D29" s="21">
        <v>4.950495049505E-3</v>
      </c>
    </row>
    <row r="30" spans="2:4">
      <c r="B30" s="23" t="s">
        <v>67</v>
      </c>
      <c r="C30" s="22">
        <v>4</v>
      </c>
      <c r="D30" s="21">
        <v>9.90099009901E-3</v>
      </c>
    </row>
    <row r="31" spans="2:4">
      <c r="B31" s="23" t="s">
        <v>68</v>
      </c>
      <c r="C31" s="22">
        <v>1</v>
      </c>
      <c r="D31" s="21">
        <v>2.475247524752E-3</v>
      </c>
    </row>
    <row r="32" spans="2:4">
      <c r="B32" s="23" t="s">
        <v>69</v>
      </c>
      <c r="C32" s="22">
        <v>13</v>
      </c>
      <c r="D32" s="21">
        <v>3.2178217821781999E-2</v>
      </c>
    </row>
    <row r="33" spans="2:4">
      <c r="B33" s="23" t="s">
        <v>70</v>
      </c>
      <c r="C33" s="22">
        <v>7</v>
      </c>
      <c r="D33" s="21">
        <v>1.7326732673266999E-2</v>
      </c>
    </row>
    <row r="34" spans="2:4">
      <c r="B34" s="23" t="s">
        <v>71</v>
      </c>
      <c r="C34" s="22">
        <v>4</v>
      </c>
      <c r="D34" s="21">
        <v>9.90099009901E-3</v>
      </c>
    </row>
    <row r="35" spans="2:4">
      <c r="B35" s="23" t="s">
        <v>72</v>
      </c>
      <c r="C35" s="22">
        <v>1</v>
      </c>
      <c r="D35" s="21">
        <v>2.475247524752E-3</v>
      </c>
    </row>
    <row r="36" spans="2:4">
      <c r="B36" s="23" t="s">
        <v>73</v>
      </c>
      <c r="C36" s="22">
        <v>11</v>
      </c>
      <c r="D36" s="21">
        <v>2.7227722772276999E-2</v>
      </c>
    </row>
    <row r="37" spans="2:4">
      <c r="B37" s="23" t="s">
        <v>74</v>
      </c>
      <c r="C37" s="22">
        <v>2</v>
      </c>
      <c r="D37" s="21">
        <v>4.950495049505E-3</v>
      </c>
    </row>
    <row r="38" spans="2:4">
      <c r="B38" s="23" t="s">
        <v>75</v>
      </c>
      <c r="C38" s="22">
        <v>6</v>
      </c>
      <c r="D38" s="21">
        <v>1.4851485148515E-2</v>
      </c>
    </row>
    <row r="39" spans="2:4">
      <c r="B39" s="23" t="s">
        <v>76</v>
      </c>
      <c r="C39" s="22">
        <v>2</v>
      </c>
      <c r="D39" s="21">
        <v>4.950495049505E-3</v>
      </c>
    </row>
    <row r="40" spans="2:4">
      <c r="B40" s="23" t="s">
        <v>77</v>
      </c>
      <c r="C40" s="22">
        <v>3</v>
      </c>
      <c r="D40" s="21">
        <v>7.4257425742570004E-3</v>
      </c>
    </row>
    <row r="41" spans="2:4">
      <c r="B41" s="23" t="s">
        <v>78</v>
      </c>
      <c r="C41" s="22">
        <v>5</v>
      </c>
      <c r="D41" s="21">
        <v>1.2376237623762E-2</v>
      </c>
    </row>
    <row r="42" spans="2:4">
      <c r="B42" s="23" t="s">
        <v>79</v>
      </c>
      <c r="C42" s="22">
        <v>7</v>
      </c>
      <c r="D42" s="21">
        <v>1.7326732673266999E-2</v>
      </c>
    </row>
    <row r="43" spans="2:4">
      <c r="B43" s="23" t="s">
        <v>80</v>
      </c>
      <c r="C43" s="22">
        <v>47</v>
      </c>
      <c r="D43" s="21">
        <v>0.116336633663366</v>
      </c>
    </row>
    <row r="44" spans="2:4">
      <c r="B44" s="23" t="s">
        <v>81</v>
      </c>
      <c r="C44" s="22">
        <v>8</v>
      </c>
      <c r="D44" s="21">
        <v>1.980198019802E-2</v>
      </c>
    </row>
    <row r="45" spans="2:4">
      <c r="B45" s="23" t="s">
        <v>82</v>
      </c>
      <c r="C45" s="22">
        <v>7</v>
      </c>
      <c r="D45" s="21">
        <v>1.7326732673266999E-2</v>
      </c>
    </row>
    <row r="46" spans="2:4">
      <c r="B46" s="23" t="s">
        <v>83</v>
      </c>
      <c r="C46" s="22">
        <v>1</v>
      </c>
      <c r="D46" s="21">
        <v>2.475247524752E-3</v>
      </c>
    </row>
    <row r="47" spans="2:4">
      <c r="B47" s="20" t="s">
        <v>28</v>
      </c>
      <c r="C47" s="19">
        <v>404</v>
      </c>
      <c r="D47" s="18">
        <v>1</v>
      </c>
    </row>
    <row r="48" spans="2:4">
      <c r="B48" s="15"/>
    </row>
    <row r="49" spans="2:2">
      <c r="B49" s="15" t="s">
        <v>46</v>
      </c>
    </row>
    <row r="50" spans="2:2">
      <c r="B50" s="17" t="s">
        <v>17</v>
      </c>
    </row>
    <row r="51" spans="2:2">
      <c r="B51" s="16" t="s">
        <v>47</v>
      </c>
    </row>
    <row r="52" spans="2:2">
      <c r="B52" s="15" t="s">
        <v>16</v>
      </c>
    </row>
    <row r="53" spans="2:2">
      <c r="B53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5"/>
  <sheetViews>
    <sheetView showGridLines="0" view="pageBreakPreview" topLeftCell="A48" zoomScale="115" zoomScaleNormal="100" zoomScaleSheetLayoutView="115" workbookViewId="0">
      <selection activeCell="E12" sqref="E1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3" t="s">
        <v>39</v>
      </c>
      <c r="C7" s="83"/>
      <c r="D7" s="83"/>
    </row>
    <row r="8" spans="2:4" s="25" customFormat="1" ht="15" customHeight="1">
      <c r="B8" s="83"/>
      <c r="C8" s="83"/>
      <c r="D8" s="83"/>
    </row>
    <row r="9" spans="2:4" s="25" customFormat="1" ht="33" customHeight="1">
      <c r="B9" s="83"/>
      <c r="C9" s="83"/>
      <c r="D9" s="83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>
      <c r="B12" s="23" t="s">
        <v>84</v>
      </c>
      <c r="C12" s="22">
        <v>55</v>
      </c>
      <c r="D12" s="21">
        <v>0.13613861386138601</v>
      </c>
    </row>
    <row r="13" spans="2:4">
      <c r="B13" s="23" t="s">
        <v>85</v>
      </c>
      <c r="C13" s="22">
        <v>32</v>
      </c>
      <c r="D13" s="21">
        <v>7.9207920792079001E-2</v>
      </c>
    </row>
    <row r="14" spans="2:4">
      <c r="B14" s="23" t="s">
        <v>86</v>
      </c>
      <c r="C14" s="22">
        <v>29</v>
      </c>
      <c r="D14" s="21">
        <v>7.1782178217821999E-2</v>
      </c>
    </row>
    <row r="15" spans="2:4">
      <c r="B15" s="23" t="s">
        <v>87</v>
      </c>
      <c r="C15" s="22">
        <v>26</v>
      </c>
      <c r="D15" s="21">
        <v>6.4356435643563997E-2</v>
      </c>
    </row>
    <row r="16" spans="2:4">
      <c r="B16" s="23" t="s">
        <v>88</v>
      </c>
      <c r="C16" s="22">
        <v>23</v>
      </c>
      <c r="D16" s="21">
        <v>5.6930693069307002E-2</v>
      </c>
    </row>
    <row r="17" spans="2:4">
      <c r="B17" s="23" t="s">
        <v>89</v>
      </c>
      <c r="C17" s="22">
        <v>19</v>
      </c>
      <c r="D17" s="21">
        <v>4.7029702970297002E-2</v>
      </c>
    </row>
    <row r="18" spans="2:4">
      <c r="B18" s="23" t="s">
        <v>90</v>
      </c>
      <c r="C18" s="22">
        <v>17</v>
      </c>
      <c r="D18" s="21">
        <v>4.2079207920791999E-2</v>
      </c>
    </row>
    <row r="19" spans="2:4">
      <c r="B19" s="23" t="s">
        <v>91</v>
      </c>
      <c r="C19" s="22">
        <v>16</v>
      </c>
      <c r="D19" s="21">
        <v>3.960396039604E-2</v>
      </c>
    </row>
    <row r="20" spans="2:4">
      <c r="B20" s="23" t="s">
        <v>92</v>
      </c>
      <c r="C20" s="22">
        <v>13</v>
      </c>
      <c r="D20" s="21">
        <v>3.2178217821781999E-2</v>
      </c>
    </row>
    <row r="21" spans="2:4">
      <c r="B21" s="23" t="s">
        <v>93</v>
      </c>
      <c r="C21" s="22">
        <v>11</v>
      </c>
      <c r="D21" s="21">
        <v>2.7227722772276999E-2</v>
      </c>
    </row>
    <row r="22" spans="2:4">
      <c r="B22" s="23" t="s">
        <v>94</v>
      </c>
      <c r="C22" s="22">
        <v>10</v>
      </c>
      <c r="D22" s="21">
        <v>2.4752475247525E-2</v>
      </c>
    </row>
    <row r="23" spans="2:4">
      <c r="B23" s="23" t="s">
        <v>95</v>
      </c>
      <c r="C23" s="22">
        <v>10</v>
      </c>
      <c r="D23" s="21">
        <v>2.4752475247525E-2</v>
      </c>
    </row>
    <row r="24" spans="2:4">
      <c r="B24" s="23" t="s">
        <v>96</v>
      </c>
      <c r="C24" s="22">
        <v>10</v>
      </c>
      <c r="D24" s="21">
        <v>2.4752475247525E-2</v>
      </c>
    </row>
    <row r="25" spans="2:4">
      <c r="B25" s="23" t="s">
        <v>97</v>
      </c>
      <c r="C25" s="22">
        <v>10</v>
      </c>
      <c r="D25" s="21">
        <v>2.4752475247525E-2</v>
      </c>
    </row>
    <row r="26" spans="2:4">
      <c r="B26" s="23" t="s">
        <v>98</v>
      </c>
      <c r="C26" s="22">
        <v>10</v>
      </c>
      <c r="D26" s="21">
        <v>2.4752475247525E-2</v>
      </c>
    </row>
    <row r="27" spans="2:4">
      <c r="B27" s="23" t="s">
        <v>99</v>
      </c>
      <c r="C27" s="22">
        <v>8</v>
      </c>
      <c r="D27" s="21">
        <v>1.980198019802E-2</v>
      </c>
    </row>
    <row r="28" spans="2:4">
      <c r="B28" s="23" t="s">
        <v>100</v>
      </c>
      <c r="C28" s="22">
        <v>8</v>
      </c>
      <c r="D28" s="21">
        <v>1.980198019802E-2</v>
      </c>
    </row>
    <row r="29" spans="2:4">
      <c r="B29" s="23" t="s">
        <v>101</v>
      </c>
      <c r="C29" s="22">
        <v>7</v>
      </c>
      <c r="D29" s="21">
        <v>1.7326732673266999E-2</v>
      </c>
    </row>
    <row r="30" spans="2:4">
      <c r="B30" s="23" t="s">
        <v>102</v>
      </c>
      <c r="C30" s="22">
        <v>7</v>
      </c>
      <c r="D30" s="21">
        <v>1.7326732673266999E-2</v>
      </c>
    </row>
    <row r="31" spans="2:4">
      <c r="B31" s="23" t="s">
        <v>103</v>
      </c>
      <c r="C31" s="22">
        <v>7</v>
      </c>
      <c r="D31" s="21">
        <v>1.7326732673266999E-2</v>
      </c>
    </row>
    <row r="32" spans="2:4">
      <c r="B32" s="23" t="s">
        <v>104</v>
      </c>
      <c r="C32" s="22">
        <v>6</v>
      </c>
      <c r="D32" s="21">
        <v>1.4851485148515E-2</v>
      </c>
    </row>
    <row r="33" spans="2:4">
      <c r="B33" s="23" t="s">
        <v>105</v>
      </c>
      <c r="C33" s="22">
        <v>6</v>
      </c>
      <c r="D33" s="21">
        <v>1.4851485148515E-2</v>
      </c>
    </row>
    <row r="34" spans="2:4">
      <c r="B34" s="23" t="s">
        <v>106</v>
      </c>
      <c r="C34" s="22">
        <v>6</v>
      </c>
      <c r="D34" s="21">
        <v>1.4851485148515E-2</v>
      </c>
    </row>
    <row r="35" spans="2:4">
      <c r="B35" s="23" t="s">
        <v>107</v>
      </c>
      <c r="C35" s="22">
        <v>6</v>
      </c>
      <c r="D35" s="21">
        <v>1.4851485148515E-2</v>
      </c>
    </row>
    <row r="36" spans="2:4">
      <c r="B36" s="23" t="s">
        <v>108</v>
      </c>
      <c r="C36" s="22">
        <v>5</v>
      </c>
      <c r="D36" s="21">
        <v>1.2376237623762E-2</v>
      </c>
    </row>
    <row r="37" spans="2:4">
      <c r="B37" s="23" t="s">
        <v>109</v>
      </c>
      <c r="C37" s="22">
        <v>4</v>
      </c>
      <c r="D37" s="21">
        <v>9.90099009901E-3</v>
      </c>
    </row>
    <row r="38" spans="2:4">
      <c r="B38" s="23" t="s">
        <v>110</v>
      </c>
      <c r="C38" s="22">
        <v>4</v>
      </c>
      <c r="D38" s="21">
        <v>9.90099009901E-3</v>
      </c>
    </row>
    <row r="39" spans="2:4">
      <c r="B39" s="23" t="s">
        <v>111</v>
      </c>
      <c r="C39" s="22">
        <v>4</v>
      </c>
      <c r="D39" s="21">
        <v>9.90099009901E-3</v>
      </c>
    </row>
    <row r="40" spans="2:4">
      <c r="B40" s="23" t="s">
        <v>112</v>
      </c>
      <c r="C40" s="22">
        <v>3</v>
      </c>
      <c r="D40" s="21">
        <v>7.4257425742570004E-3</v>
      </c>
    </row>
    <row r="41" spans="2:4">
      <c r="B41" s="23" t="s">
        <v>113</v>
      </c>
      <c r="C41" s="22">
        <v>3</v>
      </c>
      <c r="D41" s="21">
        <v>7.4257425742570004E-3</v>
      </c>
    </row>
    <row r="42" spans="2:4">
      <c r="B42" s="23" t="s">
        <v>114</v>
      </c>
      <c r="C42" s="22">
        <v>3</v>
      </c>
      <c r="D42" s="21">
        <v>7.4257425742570004E-3</v>
      </c>
    </row>
    <row r="43" spans="2:4">
      <c r="B43" s="23" t="s">
        <v>115</v>
      </c>
      <c r="C43" s="22">
        <v>3</v>
      </c>
      <c r="D43" s="21">
        <v>7.4257425742570004E-3</v>
      </c>
    </row>
    <row r="44" spans="2:4">
      <c r="B44" s="23" t="s">
        <v>116</v>
      </c>
      <c r="C44" s="22">
        <v>2</v>
      </c>
      <c r="D44" s="21">
        <v>4.950495049505E-3</v>
      </c>
    </row>
    <row r="45" spans="2:4">
      <c r="B45" s="23" t="s">
        <v>117</v>
      </c>
      <c r="C45" s="22">
        <v>2</v>
      </c>
      <c r="D45" s="21">
        <v>4.950495049505E-3</v>
      </c>
    </row>
    <row r="46" spans="2:4">
      <c r="B46" s="23" t="s">
        <v>118</v>
      </c>
      <c r="C46" s="22">
        <v>2</v>
      </c>
      <c r="D46" s="21">
        <v>4.950495049505E-3</v>
      </c>
    </row>
    <row r="47" spans="2:4">
      <c r="B47" s="23" t="s">
        <v>119</v>
      </c>
      <c r="C47" s="22">
        <v>2</v>
      </c>
      <c r="D47" s="21">
        <v>4.950495049505E-3</v>
      </c>
    </row>
    <row r="48" spans="2:4">
      <c r="B48" s="23" t="s">
        <v>120</v>
      </c>
      <c r="C48" s="22">
        <v>2</v>
      </c>
      <c r="D48" s="21">
        <v>4.950495049505E-3</v>
      </c>
    </row>
    <row r="49" spans="2:4">
      <c r="B49" s="23" t="s">
        <v>121</v>
      </c>
      <c r="C49" s="22">
        <v>2</v>
      </c>
      <c r="D49" s="21">
        <v>4.950495049505E-3</v>
      </c>
    </row>
    <row r="50" spans="2:4">
      <c r="B50" s="23" t="s">
        <v>122</v>
      </c>
      <c r="C50" s="22">
        <v>2</v>
      </c>
      <c r="D50" s="21">
        <v>4.950495049505E-3</v>
      </c>
    </row>
    <row r="51" spans="2:4">
      <c r="B51" s="23" t="s">
        <v>123</v>
      </c>
      <c r="C51" s="22">
        <v>2</v>
      </c>
      <c r="D51" s="21">
        <v>4.950495049505E-3</v>
      </c>
    </row>
    <row r="52" spans="2:4">
      <c r="B52" s="23" t="s">
        <v>124</v>
      </c>
      <c r="C52" s="22">
        <v>2</v>
      </c>
      <c r="D52" s="21">
        <v>4.950495049505E-3</v>
      </c>
    </row>
    <row r="53" spans="2:4">
      <c r="B53" s="23" t="s">
        <v>125</v>
      </c>
      <c r="C53" s="22">
        <v>2</v>
      </c>
      <c r="D53" s="21">
        <v>4.950495049505E-3</v>
      </c>
    </row>
    <row r="54" spans="2:4">
      <c r="B54" s="23" t="s">
        <v>126</v>
      </c>
      <c r="C54" s="22">
        <v>1</v>
      </c>
      <c r="D54" s="21">
        <v>2.475247524752E-3</v>
      </c>
    </row>
    <row r="55" spans="2:4">
      <c r="B55" s="23" t="s">
        <v>127</v>
      </c>
      <c r="C55" s="22">
        <v>1</v>
      </c>
      <c r="D55" s="21">
        <v>2.475247524752E-3</v>
      </c>
    </row>
    <row r="56" spans="2:4">
      <c r="B56" s="23" t="s">
        <v>128</v>
      </c>
      <c r="C56" s="22">
        <v>1</v>
      </c>
      <c r="D56" s="21">
        <v>2.475247524752E-3</v>
      </c>
    </row>
    <row r="57" spans="2:4">
      <c r="B57" s="20" t="s">
        <v>28</v>
      </c>
      <c r="C57" s="19">
        <v>404</v>
      </c>
      <c r="D57" s="18">
        <v>1</v>
      </c>
    </row>
    <row r="58" spans="2:4">
      <c r="B58" s="15"/>
    </row>
    <row r="59" spans="2:4">
      <c r="B59" s="15" t="s">
        <v>46</v>
      </c>
    </row>
    <row r="60" spans="2:4">
      <c r="B60" s="17" t="s">
        <v>17</v>
      </c>
    </row>
    <row r="61" spans="2:4" ht="11.25" customHeight="1">
      <c r="B61" s="16" t="s">
        <v>47</v>
      </c>
    </row>
    <row r="62" spans="2:4">
      <c r="B62" s="15" t="s">
        <v>16</v>
      </c>
    </row>
    <row r="63" spans="2:4">
      <c r="B63" s="15" t="s">
        <v>48</v>
      </c>
    </row>
    <row r="64" spans="2:4">
      <c r="C64" s="13"/>
    </row>
    <row r="65" spans="3:3">
      <c r="C6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30"/>
  <sheetViews>
    <sheetView showGridLines="0" tabSelected="1" view="pageBreakPreview" topLeftCell="A19" zoomScale="115" zoomScaleNormal="100" zoomScaleSheetLayoutView="115" workbookViewId="0">
      <selection activeCell="D12" sqref="D12:D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8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3" t="s">
        <v>43</v>
      </c>
      <c r="C7" s="83"/>
      <c r="D7" s="83"/>
    </row>
    <row r="8" spans="1:4" s="25" customFormat="1" ht="15" customHeight="1">
      <c r="B8" s="83"/>
      <c r="C8" s="83"/>
      <c r="D8" s="83"/>
    </row>
    <row r="9" spans="1:4" s="25" customFormat="1" ht="33" customHeight="1">
      <c r="B9" s="83"/>
      <c r="C9" s="83"/>
      <c r="D9" s="83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21</v>
      </c>
      <c r="C11" s="27" t="s">
        <v>19</v>
      </c>
      <c r="D11" s="26" t="s">
        <v>18</v>
      </c>
    </row>
    <row r="12" spans="1:4" ht="15" customHeight="1">
      <c r="B12" s="23" t="s">
        <v>84</v>
      </c>
      <c r="C12" s="22">
        <v>55</v>
      </c>
      <c r="D12" s="21">
        <f t="shared" ref="D12:D22" si="0">C12/$C$22</f>
        <v>0.22821576763485477</v>
      </c>
    </row>
    <row r="13" spans="1:4">
      <c r="B13" s="23" t="s">
        <v>85</v>
      </c>
      <c r="C13" s="22">
        <v>32</v>
      </c>
      <c r="D13" s="21">
        <f t="shared" si="0"/>
        <v>0.13278008298755187</v>
      </c>
    </row>
    <row r="14" spans="1:4" s="24" customFormat="1">
      <c r="A14" s="13"/>
      <c r="B14" s="23" t="s">
        <v>86</v>
      </c>
      <c r="C14" s="22">
        <v>29</v>
      </c>
      <c r="D14" s="21">
        <f t="shared" si="0"/>
        <v>0.12033195020746888</v>
      </c>
    </row>
    <row r="15" spans="1:4" s="24" customFormat="1">
      <c r="A15" s="13"/>
      <c r="B15" s="23" t="s">
        <v>87</v>
      </c>
      <c r="C15" s="22">
        <v>26</v>
      </c>
      <c r="D15" s="21">
        <f t="shared" si="0"/>
        <v>0.1078838174273859</v>
      </c>
    </row>
    <row r="16" spans="1:4">
      <c r="B16" s="23" t="s">
        <v>88</v>
      </c>
      <c r="C16" s="22">
        <v>23</v>
      </c>
      <c r="D16" s="21">
        <f t="shared" si="0"/>
        <v>9.5435684647302899E-2</v>
      </c>
    </row>
    <row r="17" spans="2:4">
      <c r="B17" s="23" t="s">
        <v>89</v>
      </c>
      <c r="C17" s="22">
        <v>19</v>
      </c>
      <c r="D17" s="21">
        <f t="shared" si="0"/>
        <v>7.8838174273858919E-2</v>
      </c>
    </row>
    <row r="18" spans="2:4">
      <c r="B18" s="23" t="s">
        <v>90</v>
      </c>
      <c r="C18" s="22">
        <v>17</v>
      </c>
      <c r="D18" s="21">
        <f t="shared" si="0"/>
        <v>7.0539419087136929E-2</v>
      </c>
    </row>
    <row r="19" spans="2:4">
      <c r="B19" s="23" t="s">
        <v>91</v>
      </c>
      <c r="C19" s="22">
        <v>16</v>
      </c>
      <c r="D19" s="21">
        <f t="shared" si="0"/>
        <v>6.6390041493775934E-2</v>
      </c>
    </row>
    <row r="20" spans="2:4">
      <c r="B20" s="23" t="s">
        <v>92</v>
      </c>
      <c r="C20" s="22">
        <v>13</v>
      </c>
      <c r="D20" s="21">
        <f t="shared" si="0"/>
        <v>5.3941908713692949E-2</v>
      </c>
    </row>
    <row r="21" spans="2:4">
      <c r="B21" s="23" t="s">
        <v>93</v>
      </c>
      <c r="C21" s="22">
        <v>11</v>
      </c>
      <c r="D21" s="21">
        <f>C21/$C$22</f>
        <v>4.5643153526970952E-2</v>
      </c>
    </row>
    <row r="22" spans="2:4">
      <c r="B22" s="20" t="s">
        <v>44</v>
      </c>
      <c r="C22" s="19">
        <f>SUM(C12:C21)</f>
        <v>241</v>
      </c>
      <c r="D22" s="18">
        <f t="shared" si="0"/>
        <v>1</v>
      </c>
    </row>
    <row r="23" spans="2:4">
      <c r="B23" s="59" t="s">
        <v>45</v>
      </c>
      <c r="C23" s="19">
        <v>404</v>
      </c>
    </row>
    <row r="24" spans="2:4">
      <c r="B24" s="15"/>
      <c r="C24" s="13"/>
    </row>
    <row r="25" spans="2:4">
      <c r="B25" s="15" t="s">
        <v>46</v>
      </c>
      <c r="C25" s="13"/>
    </row>
    <row r="26" spans="2:4">
      <c r="B26" s="17" t="s">
        <v>17</v>
      </c>
      <c r="C26" s="13"/>
    </row>
    <row r="27" spans="2:4">
      <c r="B27" s="16" t="s">
        <v>47</v>
      </c>
      <c r="C27" s="13"/>
    </row>
    <row r="28" spans="2:4">
      <c r="B28" s="15" t="s">
        <v>16</v>
      </c>
      <c r="C28" s="13"/>
    </row>
    <row r="29" spans="2:4">
      <c r="B29" s="15" t="s">
        <v>48</v>
      </c>
      <c r="C29" s="13"/>
    </row>
    <row r="30" spans="2:4">
      <c r="C3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23"/>
  <sheetViews>
    <sheetView showGridLines="0" view="pageBreakPreview" zoomScale="115" zoomScaleNormal="100" zoomScaleSheetLayoutView="115" workbookViewId="0">
      <selection activeCell="G11" sqref="G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3" t="s">
        <v>38</v>
      </c>
      <c r="C7" s="83"/>
      <c r="D7" s="83"/>
    </row>
    <row r="8" spans="2:4" s="25" customFormat="1" ht="15" customHeight="1">
      <c r="B8" s="83"/>
      <c r="C8" s="83"/>
      <c r="D8" s="83"/>
    </row>
    <row r="9" spans="2:4" s="25" customFormat="1" ht="33" customHeight="1">
      <c r="B9" s="83"/>
      <c r="C9" s="83"/>
      <c r="D9" s="83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19</v>
      </c>
      <c r="D11" s="26" t="s">
        <v>18</v>
      </c>
    </row>
    <row r="12" spans="2:4">
      <c r="B12" s="23" t="s">
        <v>153</v>
      </c>
      <c r="C12" s="22">
        <v>156</v>
      </c>
      <c r="D12" s="21">
        <v>0.38613861386138598</v>
      </c>
    </row>
    <row r="13" spans="2:4">
      <c r="B13" s="23" t="s">
        <v>154</v>
      </c>
      <c r="C13" s="22">
        <v>142</v>
      </c>
      <c r="D13" s="21">
        <v>0.35148514851485102</v>
      </c>
    </row>
    <row r="14" spans="2:4">
      <c r="B14" s="23" t="s">
        <v>157</v>
      </c>
      <c r="C14" s="22">
        <v>53</v>
      </c>
      <c r="D14" s="21">
        <v>0.131188118811881</v>
      </c>
    </row>
    <row r="15" spans="2:4">
      <c r="B15" s="23" t="s">
        <v>156</v>
      </c>
      <c r="C15" s="22">
        <v>50</v>
      </c>
      <c r="D15" s="21">
        <v>0.123762376237624</v>
      </c>
    </row>
    <row r="16" spans="2:4">
      <c r="B16" s="23" t="s">
        <v>155</v>
      </c>
      <c r="C16" s="22">
        <v>3</v>
      </c>
      <c r="D16" s="21">
        <v>7.4257425742570004E-3</v>
      </c>
    </row>
    <row r="17" spans="2:4">
      <c r="B17" s="20" t="s">
        <v>28</v>
      </c>
      <c r="C17" s="19">
        <v>404</v>
      </c>
      <c r="D17" s="18">
        <v>1</v>
      </c>
    </row>
    <row r="18" spans="2:4">
      <c r="B18" s="15"/>
    </row>
    <row r="19" spans="2:4">
      <c r="B19" s="15" t="s">
        <v>46</v>
      </c>
    </row>
    <row r="20" spans="2:4">
      <c r="B20" s="17" t="s">
        <v>17</v>
      </c>
    </row>
    <row r="21" spans="2:4">
      <c r="B21" s="16" t="s">
        <v>47</v>
      </c>
    </row>
    <row r="22" spans="2:4">
      <c r="B22" s="15" t="s">
        <v>16</v>
      </c>
    </row>
    <row r="23" spans="2:4">
      <c r="B23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35"/>
  <sheetViews>
    <sheetView showGridLines="0" view="pageBreakPreview" zoomScale="85" zoomScaleNormal="96" zoomScaleSheetLayoutView="85" workbookViewId="0">
      <selection activeCell="E129" sqref="E129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7"/>
      <c r="C7" s="87"/>
      <c r="D7" s="87"/>
      <c r="E7" s="87"/>
    </row>
    <row r="8" spans="1:5" s="41" customFormat="1" ht="33" customHeight="1">
      <c r="A8" s="42"/>
      <c r="B8" s="87"/>
      <c r="C8" s="87"/>
      <c r="D8" s="87"/>
      <c r="E8" s="87"/>
    </row>
    <row r="9" spans="1:5" s="25" customFormat="1" ht="40.5" customHeight="1">
      <c r="B9" s="38" t="s">
        <v>24</v>
      </c>
      <c r="C9" s="40" t="s">
        <v>23</v>
      </c>
      <c r="D9" s="39" t="s">
        <v>19</v>
      </c>
      <c r="E9" s="38" t="s">
        <v>18</v>
      </c>
    </row>
    <row r="10" spans="1:5" ht="15" customHeight="1">
      <c r="B10" s="84" t="s">
        <v>49</v>
      </c>
      <c r="C10" s="62" t="s">
        <v>153</v>
      </c>
      <c r="D10" s="63">
        <v>1</v>
      </c>
      <c r="E10" s="64">
        <v>2.475247524752E-3</v>
      </c>
    </row>
    <row r="11" spans="1:5" ht="15" customHeight="1">
      <c r="B11" s="86"/>
      <c r="C11" s="36" t="s">
        <v>28</v>
      </c>
      <c r="D11" s="35">
        <v>1</v>
      </c>
      <c r="E11" s="34">
        <v>2.475247524752E-3</v>
      </c>
    </row>
    <row r="12" spans="1:5" ht="15" customHeight="1">
      <c r="B12" s="84" t="s">
        <v>50</v>
      </c>
      <c r="C12" s="62" t="s">
        <v>154</v>
      </c>
      <c r="D12" s="63">
        <v>2</v>
      </c>
      <c r="E12" s="64">
        <v>4.950495049505E-3</v>
      </c>
    </row>
    <row r="13" spans="1:5" ht="15" customHeight="1">
      <c r="B13" s="85"/>
      <c r="C13" s="62" t="s">
        <v>153</v>
      </c>
      <c r="D13" s="63">
        <v>5</v>
      </c>
      <c r="E13" s="64">
        <v>1.2376237623762E-2</v>
      </c>
    </row>
    <row r="14" spans="1:5" ht="15" customHeight="1">
      <c r="B14" s="85"/>
      <c r="C14" s="62" t="s">
        <v>155</v>
      </c>
      <c r="D14" s="63">
        <v>1</v>
      </c>
      <c r="E14" s="64">
        <v>2.475247524752E-3</v>
      </c>
    </row>
    <row r="15" spans="1:5" ht="15" customHeight="1">
      <c r="B15" s="85"/>
      <c r="C15" s="62" t="s">
        <v>156</v>
      </c>
      <c r="D15" s="63">
        <v>5</v>
      </c>
      <c r="E15" s="64">
        <v>1.2376237623762E-2</v>
      </c>
    </row>
    <row r="16" spans="1:5" ht="15" customHeight="1">
      <c r="B16" s="85"/>
      <c r="C16" s="62" t="s">
        <v>157</v>
      </c>
      <c r="D16" s="63">
        <v>2</v>
      </c>
      <c r="E16" s="64">
        <v>4.950495049505E-3</v>
      </c>
    </row>
    <row r="17" spans="2:5" ht="15" customHeight="1">
      <c r="B17" s="86"/>
      <c r="C17" s="36" t="s">
        <v>28</v>
      </c>
      <c r="D17" s="35">
        <v>15</v>
      </c>
      <c r="E17" s="34">
        <v>3.7128712871287002E-2</v>
      </c>
    </row>
    <row r="18" spans="2:5" ht="15" customHeight="1">
      <c r="B18" s="84" t="s">
        <v>51</v>
      </c>
      <c r="C18" s="62" t="s">
        <v>153</v>
      </c>
      <c r="D18" s="63">
        <v>1</v>
      </c>
      <c r="E18" s="64">
        <v>2.475247524752E-3</v>
      </c>
    </row>
    <row r="19" spans="2:5" ht="15" customHeight="1">
      <c r="B19" s="86"/>
      <c r="C19" s="36" t="s">
        <v>28</v>
      </c>
      <c r="D19" s="35">
        <v>1</v>
      </c>
      <c r="E19" s="34">
        <v>2.475247524752E-3</v>
      </c>
    </row>
    <row r="20" spans="2:5" ht="15" customHeight="1">
      <c r="B20" s="84" t="s">
        <v>52</v>
      </c>
      <c r="C20" s="62" t="s">
        <v>154</v>
      </c>
      <c r="D20" s="63">
        <v>71</v>
      </c>
      <c r="E20" s="64">
        <v>0.17574257425742601</v>
      </c>
    </row>
    <row r="21" spans="2:5" ht="15" customHeight="1">
      <c r="B21" s="85"/>
      <c r="C21" s="62" t="s">
        <v>153</v>
      </c>
      <c r="D21" s="63">
        <v>67</v>
      </c>
      <c r="E21" s="64">
        <v>0.16584158415841599</v>
      </c>
    </row>
    <row r="22" spans="2:5" ht="15" customHeight="1">
      <c r="B22" s="85"/>
      <c r="C22" s="62" t="s">
        <v>155</v>
      </c>
      <c r="D22" s="63">
        <v>1</v>
      </c>
      <c r="E22" s="64">
        <v>2.475247524752E-3</v>
      </c>
    </row>
    <row r="23" spans="2:5" ht="15" customHeight="1">
      <c r="B23" s="85"/>
      <c r="C23" s="62" t="s">
        <v>156</v>
      </c>
      <c r="D23" s="63">
        <v>15</v>
      </c>
      <c r="E23" s="64">
        <v>3.7128712871287002E-2</v>
      </c>
    </row>
    <row r="24" spans="2:5" ht="15" customHeight="1">
      <c r="B24" s="85"/>
      <c r="C24" s="62" t="s">
        <v>157</v>
      </c>
      <c r="D24" s="63">
        <v>28</v>
      </c>
      <c r="E24" s="64">
        <v>6.9306930693068994E-2</v>
      </c>
    </row>
    <row r="25" spans="2:5" ht="15" customHeight="1">
      <c r="B25" s="86"/>
      <c r="C25" s="36" t="s">
        <v>28</v>
      </c>
      <c r="D25" s="35">
        <v>182</v>
      </c>
      <c r="E25" s="34">
        <v>0.45049504950495101</v>
      </c>
    </row>
    <row r="26" spans="2:5" ht="15" customHeight="1">
      <c r="B26" s="84" t="s">
        <v>53</v>
      </c>
      <c r="C26" s="62" t="s">
        <v>154</v>
      </c>
      <c r="D26" s="63">
        <v>2</v>
      </c>
      <c r="E26" s="64">
        <v>4.950495049505E-3</v>
      </c>
    </row>
    <row r="27" spans="2:5" ht="15" customHeight="1">
      <c r="B27" s="85"/>
      <c r="C27" s="62" t="s">
        <v>153</v>
      </c>
      <c r="D27" s="63">
        <v>4</v>
      </c>
      <c r="E27" s="64">
        <v>9.90099009901E-3</v>
      </c>
    </row>
    <row r="28" spans="2:5" ht="15" customHeight="1">
      <c r="B28" s="86"/>
      <c r="C28" s="36" t="s">
        <v>28</v>
      </c>
      <c r="D28" s="35">
        <v>6</v>
      </c>
      <c r="E28" s="34">
        <v>1.4851485148515E-2</v>
      </c>
    </row>
    <row r="29" spans="2:5" ht="15" customHeight="1">
      <c r="B29" s="84" t="s">
        <v>54</v>
      </c>
      <c r="C29" s="62" t="s">
        <v>156</v>
      </c>
      <c r="D29" s="63">
        <v>5</v>
      </c>
      <c r="E29" s="64">
        <v>1.2376237623762E-2</v>
      </c>
    </row>
    <row r="30" spans="2:5" ht="15" customHeight="1">
      <c r="B30" s="86"/>
      <c r="C30" s="36" t="s">
        <v>28</v>
      </c>
      <c r="D30" s="35">
        <v>5</v>
      </c>
      <c r="E30" s="34">
        <v>1.2376237623762E-2</v>
      </c>
    </row>
    <row r="31" spans="2:5" ht="15" customHeight="1">
      <c r="B31" s="84" t="s">
        <v>55</v>
      </c>
      <c r="C31" s="62" t="s">
        <v>154</v>
      </c>
      <c r="D31" s="63">
        <v>4</v>
      </c>
      <c r="E31" s="64">
        <v>9.90099009901E-3</v>
      </c>
    </row>
    <row r="32" spans="2:5" ht="15" customHeight="1">
      <c r="B32" s="85"/>
      <c r="C32" s="62" t="s">
        <v>153</v>
      </c>
      <c r="D32" s="63">
        <v>2</v>
      </c>
      <c r="E32" s="64">
        <v>4.950495049505E-3</v>
      </c>
    </row>
    <row r="33" spans="2:5" ht="15" customHeight="1">
      <c r="B33" s="85"/>
      <c r="C33" s="62" t="s">
        <v>157</v>
      </c>
      <c r="D33" s="63">
        <v>3</v>
      </c>
      <c r="E33" s="64">
        <v>7.4257425742570004E-3</v>
      </c>
    </row>
    <row r="34" spans="2:5" ht="15" customHeight="1">
      <c r="B34" s="86"/>
      <c r="C34" s="36" t="s">
        <v>28</v>
      </c>
      <c r="D34" s="35">
        <v>9</v>
      </c>
      <c r="E34" s="34">
        <v>2.2277227722771999E-2</v>
      </c>
    </row>
    <row r="35" spans="2:5" ht="15" customHeight="1">
      <c r="B35" s="84" t="s">
        <v>56</v>
      </c>
      <c r="C35" s="62" t="s">
        <v>153</v>
      </c>
      <c r="D35" s="63">
        <v>3</v>
      </c>
      <c r="E35" s="64">
        <v>7.4257425742570004E-3</v>
      </c>
    </row>
    <row r="36" spans="2:5" ht="15" customHeight="1">
      <c r="B36" s="85"/>
      <c r="C36" s="62" t="s">
        <v>156</v>
      </c>
      <c r="D36" s="63">
        <v>2</v>
      </c>
      <c r="E36" s="64">
        <v>4.950495049505E-3</v>
      </c>
    </row>
    <row r="37" spans="2:5" ht="15" customHeight="1">
      <c r="B37" s="86"/>
      <c r="C37" s="36" t="s">
        <v>28</v>
      </c>
      <c r="D37" s="35">
        <v>5</v>
      </c>
      <c r="E37" s="34">
        <v>1.2376237623762E-2</v>
      </c>
    </row>
    <row r="38" spans="2:5" ht="15" customHeight="1">
      <c r="B38" s="84" t="s">
        <v>57</v>
      </c>
      <c r="C38" s="62" t="s">
        <v>154</v>
      </c>
      <c r="D38" s="63">
        <v>3</v>
      </c>
      <c r="E38" s="64">
        <v>7.4257425742570004E-3</v>
      </c>
    </row>
    <row r="39" spans="2:5" ht="15" customHeight="1">
      <c r="B39" s="85"/>
      <c r="C39" s="62" t="s">
        <v>153</v>
      </c>
      <c r="D39" s="63">
        <v>1</v>
      </c>
      <c r="E39" s="64">
        <v>2.475247524752E-3</v>
      </c>
    </row>
    <row r="40" spans="2:5" ht="15" customHeight="1">
      <c r="B40" s="85"/>
      <c r="C40" s="62" t="s">
        <v>157</v>
      </c>
      <c r="D40" s="63">
        <v>2</v>
      </c>
      <c r="E40" s="64">
        <v>4.950495049505E-3</v>
      </c>
    </row>
    <row r="41" spans="2:5" ht="15" customHeight="1">
      <c r="B41" s="86"/>
      <c r="C41" s="36" t="s">
        <v>28</v>
      </c>
      <c r="D41" s="35">
        <v>6</v>
      </c>
      <c r="E41" s="34">
        <v>1.4851485148515E-2</v>
      </c>
    </row>
    <row r="42" spans="2:5" ht="15" customHeight="1">
      <c r="B42" s="84" t="s">
        <v>58</v>
      </c>
      <c r="C42" s="62" t="s">
        <v>154</v>
      </c>
      <c r="D42" s="63">
        <v>15</v>
      </c>
      <c r="E42" s="64">
        <v>3.7128712871287002E-2</v>
      </c>
    </row>
    <row r="43" spans="2:5" ht="15" customHeight="1">
      <c r="B43" s="85"/>
      <c r="C43" s="62" t="s">
        <v>153</v>
      </c>
      <c r="D43" s="63">
        <v>8</v>
      </c>
      <c r="E43" s="64">
        <v>1.980198019802E-2</v>
      </c>
    </row>
    <row r="44" spans="2:5" ht="15" customHeight="1">
      <c r="B44" s="85"/>
      <c r="C44" s="62" t="s">
        <v>156</v>
      </c>
      <c r="D44" s="63">
        <v>2</v>
      </c>
      <c r="E44" s="64">
        <v>4.950495049505E-3</v>
      </c>
    </row>
    <row r="45" spans="2:5" ht="15" customHeight="1">
      <c r="B45" s="85"/>
      <c r="C45" s="62" t="s">
        <v>157</v>
      </c>
      <c r="D45" s="63">
        <v>1</v>
      </c>
      <c r="E45" s="64">
        <v>2.475247524752E-3</v>
      </c>
    </row>
    <row r="46" spans="2:5" ht="15" customHeight="1">
      <c r="B46" s="86"/>
      <c r="C46" s="36" t="s">
        <v>28</v>
      </c>
      <c r="D46" s="35">
        <v>26</v>
      </c>
      <c r="E46" s="34">
        <v>6.4356435643563997E-2</v>
      </c>
    </row>
    <row r="47" spans="2:5" ht="15" customHeight="1">
      <c r="B47" s="84" t="s">
        <v>59</v>
      </c>
      <c r="C47" s="62" t="s">
        <v>154</v>
      </c>
      <c r="D47" s="63">
        <v>2</v>
      </c>
      <c r="E47" s="64">
        <v>4.950495049505E-3</v>
      </c>
    </row>
    <row r="48" spans="2:5" ht="15" customHeight="1">
      <c r="B48" s="85"/>
      <c r="C48" s="62" t="s">
        <v>153</v>
      </c>
      <c r="D48" s="63">
        <v>1</v>
      </c>
      <c r="E48" s="64">
        <v>2.475247524752E-3</v>
      </c>
    </row>
    <row r="49" spans="2:5" ht="15" customHeight="1">
      <c r="B49" s="85"/>
      <c r="C49" s="62" t="s">
        <v>156</v>
      </c>
      <c r="D49" s="63">
        <v>1</v>
      </c>
      <c r="E49" s="64">
        <v>2.475247524752E-3</v>
      </c>
    </row>
    <row r="50" spans="2:5" ht="15" customHeight="1">
      <c r="B50" s="85"/>
      <c r="C50" s="62" t="s">
        <v>157</v>
      </c>
      <c r="D50" s="63">
        <v>1</v>
      </c>
      <c r="E50" s="64">
        <v>2.475247524752E-3</v>
      </c>
    </row>
    <row r="51" spans="2:5" ht="15" customHeight="1">
      <c r="B51" s="86"/>
      <c r="C51" s="36" t="s">
        <v>28</v>
      </c>
      <c r="D51" s="35">
        <v>5</v>
      </c>
      <c r="E51" s="34">
        <v>1.2376237623762E-2</v>
      </c>
    </row>
    <row r="52" spans="2:5" ht="15" customHeight="1">
      <c r="B52" s="84" t="s">
        <v>60</v>
      </c>
      <c r="C52" s="62" t="s">
        <v>153</v>
      </c>
      <c r="D52" s="63">
        <v>1</v>
      </c>
      <c r="E52" s="64">
        <v>2.475247524752E-3</v>
      </c>
    </row>
    <row r="53" spans="2:5" ht="15" customHeight="1">
      <c r="B53" s="86"/>
      <c r="C53" s="36" t="s">
        <v>28</v>
      </c>
      <c r="D53" s="35">
        <v>1</v>
      </c>
      <c r="E53" s="34">
        <v>2.475247524752E-3</v>
      </c>
    </row>
    <row r="54" spans="2:5" ht="15" customHeight="1">
      <c r="B54" s="84" t="s">
        <v>61</v>
      </c>
      <c r="C54" s="62" t="s">
        <v>154</v>
      </c>
      <c r="D54" s="63">
        <v>4</v>
      </c>
      <c r="E54" s="64">
        <v>9.90099009901E-3</v>
      </c>
    </row>
    <row r="55" spans="2:5" ht="15" customHeight="1">
      <c r="B55" s="85"/>
      <c r="C55" s="62" t="s">
        <v>153</v>
      </c>
      <c r="D55" s="63">
        <v>1</v>
      </c>
      <c r="E55" s="64">
        <v>2.475247524752E-3</v>
      </c>
    </row>
    <row r="56" spans="2:5" ht="15" customHeight="1">
      <c r="B56" s="86"/>
      <c r="C56" s="36" t="s">
        <v>28</v>
      </c>
      <c r="D56" s="35">
        <v>5</v>
      </c>
      <c r="E56" s="34">
        <v>1.2376237623762E-2</v>
      </c>
    </row>
    <row r="57" spans="2:5" ht="15" customHeight="1">
      <c r="B57" s="84" t="s">
        <v>62</v>
      </c>
      <c r="C57" s="62" t="s">
        <v>153</v>
      </c>
      <c r="D57" s="63">
        <v>1</v>
      </c>
      <c r="E57" s="64">
        <v>2.475247524752E-3</v>
      </c>
    </row>
    <row r="58" spans="2:5" ht="15" customHeight="1">
      <c r="B58" s="86"/>
      <c r="C58" s="36" t="s">
        <v>28</v>
      </c>
      <c r="D58" s="35">
        <v>1</v>
      </c>
      <c r="E58" s="34">
        <v>2.475247524752E-3</v>
      </c>
    </row>
    <row r="59" spans="2:5" ht="15" customHeight="1">
      <c r="B59" s="84" t="s">
        <v>63</v>
      </c>
      <c r="C59" s="62" t="s">
        <v>153</v>
      </c>
      <c r="D59" s="63">
        <v>2</v>
      </c>
      <c r="E59" s="64">
        <v>4.950495049505E-3</v>
      </c>
    </row>
    <row r="60" spans="2:5" ht="15" customHeight="1">
      <c r="B60" s="86"/>
      <c r="C60" s="36" t="s">
        <v>28</v>
      </c>
      <c r="D60" s="35">
        <v>2</v>
      </c>
      <c r="E60" s="34">
        <v>4.950495049505E-3</v>
      </c>
    </row>
    <row r="61" spans="2:5" ht="15" customHeight="1">
      <c r="B61" s="84" t="s">
        <v>64</v>
      </c>
      <c r="C61" s="62" t="s">
        <v>156</v>
      </c>
      <c r="D61" s="63">
        <v>1</v>
      </c>
      <c r="E61" s="64">
        <v>2.475247524752E-3</v>
      </c>
    </row>
    <row r="62" spans="2:5" ht="15" customHeight="1">
      <c r="B62" s="85"/>
      <c r="C62" s="62" t="s">
        <v>157</v>
      </c>
      <c r="D62" s="63">
        <v>1</v>
      </c>
      <c r="E62" s="64">
        <v>2.475247524752E-3</v>
      </c>
    </row>
    <row r="63" spans="2:5" ht="15" customHeight="1">
      <c r="B63" s="86"/>
      <c r="C63" s="36" t="s">
        <v>28</v>
      </c>
      <c r="D63" s="35">
        <v>2</v>
      </c>
      <c r="E63" s="34">
        <v>4.950495049505E-3</v>
      </c>
    </row>
    <row r="64" spans="2:5" ht="15" customHeight="1">
      <c r="B64" s="84" t="s">
        <v>65</v>
      </c>
      <c r="C64" s="62" t="s">
        <v>153</v>
      </c>
      <c r="D64" s="63">
        <v>1</v>
      </c>
      <c r="E64" s="64">
        <v>2.475247524752E-3</v>
      </c>
    </row>
    <row r="65" spans="2:5" ht="15" customHeight="1">
      <c r="B65" s="86"/>
      <c r="C65" s="36" t="s">
        <v>28</v>
      </c>
      <c r="D65" s="35">
        <v>1</v>
      </c>
      <c r="E65" s="34">
        <v>2.475247524752E-3</v>
      </c>
    </row>
    <row r="66" spans="2:5" ht="15" customHeight="1">
      <c r="B66" s="84" t="s">
        <v>66</v>
      </c>
      <c r="C66" s="62" t="s">
        <v>154</v>
      </c>
      <c r="D66" s="63">
        <v>2</v>
      </c>
      <c r="E66" s="64">
        <v>4.950495049505E-3</v>
      </c>
    </row>
    <row r="67" spans="2:5" ht="15" customHeight="1">
      <c r="B67" s="86"/>
      <c r="C67" s="36" t="s">
        <v>28</v>
      </c>
      <c r="D67" s="35">
        <v>2</v>
      </c>
      <c r="E67" s="34">
        <v>4.950495049505E-3</v>
      </c>
    </row>
    <row r="68" spans="2:5" ht="15" customHeight="1">
      <c r="B68" s="84" t="s">
        <v>67</v>
      </c>
      <c r="C68" s="62" t="s">
        <v>154</v>
      </c>
      <c r="D68" s="63">
        <v>3</v>
      </c>
      <c r="E68" s="64">
        <v>7.4257425742570004E-3</v>
      </c>
    </row>
    <row r="69" spans="2:5" ht="15" customHeight="1">
      <c r="B69" s="85"/>
      <c r="C69" s="62" t="s">
        <v>156</v>
      </c>
      <c r="D69" s="63">
        <v>1</v>
      </c>
      <c r="E69" s="64">
        <v>2.475247524752E-3</v>
      </c>
    </row>
    <row r="70" spans="2:5" ht="15" customHeight="1">
      <c r="B70" s="86"/>
      <c r="C70" s="36" t="s">
        <v>28</v>
      </c>
      <c r="D70" s="35">
        <v>4</v>
      </c>
      <c r="E70" s="34">
        <v>9.90099009901E-3</v>
      </c>
    </row>
    <row r="71" spans="2:5" ht="15" customHeight="1">
      <c r="B71" s="84" t="s">
        <v>68</v>
      </c>
      <c r="C71" s="62" t="s">
        <v>154</v>
      </c>
      <c r="D71" s="63">
        <v>1</v>
      </c>
      <c r="E71" s="64">
        <v>2.475247524752E-3</v>
      </c>
    </row>
    <row r="72" spans="2:5" ht="15" customHeight="1">
      <c r="B72" s="86"/>
      <c r="C72" s="36" t="s">
        <v>28</v>
      </c>
      <c r="D72" s="35">
        <v>1</v>
      </c>
      <c r="E72" s="34">
        <v>2.475247524752E-3</v>
      </c>
    </row>
    <row r="73" spans="2:5" ht="15" customHeight="1">
      <c r="B73" s="84" t="s">
        <v>69</v>
      </c>
      <c r="C73" s="62" t="s">
        <v>154</v>
      </c>
      <c r="D73" s="63">
        <v>6</v>
      </c>
      <c r="E73" s="64">
        <v>1.4851485148515E-2</v>
      </c>
    </row>
    <row r="74" spans="2:5" ht="15" customHeight="1">
      <c r="B74" s="85"/>
      <c r="C74" s="62" t="s">
        <v>153</v>
      </c>
      <c r="D74" s="63">
        <v>6</v>
      </c>
      <c r="E74" s="64">
        <v>1.4851485148515E-2</v>
      </c>
    </row>
    <row r="75" spans="2:5" ht="15" customHeight="1">
      <c r="B75" s="85"/>
      <c r="C75" s="62" t="s">
        <v>157</v>
      </c>
      <c r="D75" s="63">
        <v>1</v>
      </c>
      <c r="E75" s="64">
        <v>2.475247524752E-3</v>
      </c>
    </row>
    <row r="76" spans="2:5" ht="15" customHeight="1">
      <c r="B76" s="86"/>
      <c r="C76" s="36" t="s">
        <v>28</v>
      </c>
      <c r="D76" s="35">
        <v>13</v>
      </c>
      <c r="E76" s="34">
        <v>3.2178217821781999E-2</v>
      </c>
    </row>
    <row r="77" spans="2:5" ht="15" customHeight="1">
      <c r="B77" s="84" t="s">
        <v>70</v>
      </c>
      <c r="C77" s="62" t="s">
        <v>153</v>
      </c>
      <c r="D77" s="63">
        <v>3</v>
      </c>
      <c r="E77" s="64">
        <v>7.4257425742570004E-3</v>
      </c>
    </row>
    <row r="78" spans="2:5" ht="15" customHeight="1">
      <c r="B78" s="85"/>
      <c r="C78" s="62" t="s">
        <v>156</v>
      </c>
      <c r="D78" s="63">
        <v>1</v>
      </c>
      <c r="E78" s="64">
        <v>2.475247524752E-3</v>
      </c>
    </row>
    <row r="79" spans="2:5" ht="15" customHeight="1">
      <c r="B79" s="85"/>
      <c r="C79" s="62" t="s">
        <v>157</v>
      </c>
      <c r="D79" s="63">
        <v>3</v>
      </c>
      <c r="E79" s="64">
        <v>7.4257425742570004E-3</v>
      </c>
    </row>
    <row r="80" spans="2:5" ht="15" customHeight="1">
      <c r="B80" s="86"/>
      <c r="C80" s="36" t="s">
        <v>28</v>
      </c>
      <c r="D80" s="35">
        <v>7</v>
      </c>
      <c r="E80" s="34">
        <v>1.7326732673266999E-2</v>
      </c>
    </row>
    <row r="81" spans="2:5" ht="15" customHeight="1">
      <c r="B81" s="84" t="s">
        <v>71</v>
      </c>
      <c r="C81" s="62" t="s">
        <v>154</v>
      </c>
      <c r="D81" s="63">
        <v>1</v>
      </c>
      <c r="E81" s="64">
        <v>2.475247524752E-3</v>
      </c>
    </row>
    <row r="82" spans="2:5" ht="15" customHeight="1">
      <c r="B82" s="85"/>
      <c r="C82" s="62" t="s">
        <v>153</v>
      </c>
      <c r="D82" s="63">
        <v>2</v>
      </c>
      <c r="E82" s="64">
        <v>4.950495049505E-3</v>
      </c>
    </row>
    <row r="83" spans="2:5" ht="15" customHeight="1">
      <c r="B83" s="85"/>
      <c r="C83" s="62" t="s">
        <v>156</v>
      </c>
      <c r="D83" s="63">
        <v>1</v>
      </c>
      <c r="E83" s="64">
        <v>2.475247524752E-3</v>
      </c>
    </row>
    <row r="84" spans="2:5" ht="15" customHeight="1">
      <c r="B84" s="86"/>
      <c r="C84" s="36" t="s">
        <v>28</v>
      </c>
      <c r="D84" s="35">
        <v>4</v>
      </c>
      <c r="E84" s="34">
        <v>9.90099009901E-3</v>
      </c>
    </row>
    <row r="85" spans="2:5" ht="15" customHeight="1">
      <c r="B85" s="84" t="s">
        <v>72</v>
      </c>
      <c r="C85" s="62" t="s">
        <v>157</v>
      </c>
      <c r="D85" s="63">
        <v>1</v>
      </c>
      <c r="E85" s="64">
        <v>2.475247524752E-3</v>
      </c>
    </row>
    <row r="86" spans="2:5" ht="15" customHeight="1">
      <c r="B86" s="86"/>
      <c r="C86" s="36" t="s">
        <v>28</v>
      </c>
      <c r="D86" s="35">
        <v>1</v>
      </c>
      <c r="E86" s="34">
        <v>2.475247524752E-3</v>
      </c>
    </row>
    <row r="87" spans="2:5" ht="15" customHeight="1">
      <c r="B87" s="84" t="s">
        <v>73</v>
      </c>
      <c r="C87" s="62" t="s">
        <v>154</v>
      </c>
      <c r="D87" s="63">
        <v>3</v>
      </c>
      <c r="E87" s="64">
        <v>7.4257425742570004E-3</v>
      </c>
    </row>
    <row r="88" spans="2:5" ht="15" customHeight="1">
      <c r="B88" s="85"/>
      <c r="C88" s="62" t="s">
        <v>153</v>
      </c>
      <c r="D88" s="63">
        <v>5</v>
      </c>
      <c r="E88" s="64">
        <v>1.2376237623762E-2</v>
      </c>
    </row>
    <row r="89" spans="2:5" ht="15" customHeight="1">
      <c r="B89" s="85"/>
      <c r="C89" s="62" t="s">
        <v>156</v>
      </c>
      <c r="D89" s="63">
        <v>3</v>
      </c>
      <c r="E89" s="64">
        <v>7.4257425742570004E-3</v>
      </c>
    </row>
    <row r="90" spans="2:5" ht="15" customHeight="1">
      <c r="B90" s="86"/>
      <c r="C90" s="36" t="s">
        <v>28</v>
      </c>
      <c r="D90" s="35">
        <v>11</v>
      </c>
      <c r="E90" s="34">
        <v>2.7227722772276999E-2</v>
      </c>
    </row>
    <row r="91" spans="2:5" ht="15" customHeight="1">
      <c r="B91" s="84" t="s">
        <v>74</v>
      </c>
      <c r="C91" s="62" t="s">
        <v>153</v>
      </c>
      <c r="D91" s="63">
        <v>1</v>
      </c>
      <c r="E91" s="64">
        <v>2.475247524752E-3</v>
      </c>
    </row>
    <row r="92" spans="2:5" ht="15" customHeight="1">
      <c r="B92" s="85"/>
      <c r="C92" s="62" t="s">
        <v>156</v>
      </c>
      <c r="D92" s="63">
        <v>1</v>
      </c>
      <c r="E92" s="64">
        <v>2.475247524752E-3</v>
      </c>
    </row>
    <row r="93" spans="2:5" ht="15" customHeight="1">
      <c r="B93" s="86"/>
      <c r="C93" s="36" t="s">
        <v>28</v>
      </c>
      <c r="D93" s="35">
        <v>2</v>
      </c>
      <c r="E93" s="34">
        <v>4.950495049505E-3</v>
      </c>
    </row>
    <row r="94" spans="2:5" ht="15" customHeight="1">
      <c r="B94" s="84" t="s">
        <v>75</v>
      </c>
      <c r="C94" s="62" t="s">
        <v>153</v>
      </c>
      <c r="D94" s="63">
        <v>3</v>
      </c>
      <c r="E94" s="64">
        <v>7.4257425742570004E-3</v>
      </c>
    </row>
    <row r="95" spans="2:5" ht="15" customHeight="1">
      <c r="B95" s="85"/>
      <c r="C95" s="62" t="s">
        <v>156</v>
      </c>
      <c r="D95" s="63">
        <v>2</v>
      </c>
      <c r="E95" s="64">
        <v>4.950495049505E-3</v>
      </c>
    </row>
    <row r="96" spans="2:5" ht="15" customHeight="1">
      <c r="B96" s="85"/>
      <c r="C96" s="62" t="s">
        <v>157</v>
      </c>
      <c r="D96" s="63">
        <v>1</v>
      </c>
      <c r="E96" s="64">
        <v>2.475247524752E-3</v>
      </c>
    </row>
    <row r="97" spans="2:5" ht="15" customHeight="1">
      <c r="B97" s="86"/>
      <c r="C97" s="36" t="s">
        <v>28</v>
      </c>
      <c r="D97" s="35">
        <v>6</v>
      </c>
      <c r="E97" s="34">
        <v>1.4851485148515E-2</v>
      </c>
    </row>
    <row r="98" spans="2:5" ht="15" customHeight="1">
      <c r="B98" s="84" t="s">
        <v>76</v>
      </c>
      <c r="C98" s="62" t="s">
        <v>154</v>
      </c>
      <c r="D98" s="63">
        <v>1</v>
      </c>
      <c r="E98" s="64">
        <v>2.475247524752E-3</v>
      </c>
    </row>
    <row r="99" spans="2:5" ht="15" customHeight="1">
      <c r="B99" s="85"/>
      <c r="C99" s="62" t="s">
        <v>153</v>
      </c>
      <c r="D99" s="63">
        <v>1</v>
      </c>
      <c r="E99" s="64">
        <v>2.475247524752E-3</v>
      </c>
    </row>
    <row r="100" spans="2:5" ht="15" customHeight="1">
      <c r="B100" s="86"/>
      <c r="C100" s="36" t="s">
        <v>28</v>
      </c>
      <c r="D100" s="35">
        <v>2</v>
      </c>
      <c r="E100" s="34">
        <v>4.950495049505E-3</v>
      </c>
    </row>
    <row r="101" spans="2:5" ht="15" customHeight="1">
      <c r="B101" s="84" t="s">
        <v>77</v>
      </c>
      <c r="C101" s="62" t="s">
        <v>154</v>
      </c>
      <c r="D101" s="63">
        <v>1</v>
      </c>
      <c r="E101" s="64">
        <v>2.475247524752E-3</v>
      </c>
    </row>
    <row r="102" spans="2:5" ht="15" customHeight="1">
      <c r="B102" s="85"/>
      <c r="C102" s="62" t="s">
        <v>157</v>
      </c>
      <c r="D102" s="63">
        <v>2</v>
      </c>
      <c r="E102" s="64">
        <v>4.950495049505E-3</v>
      </c>
    </row>
    <row r="103" spans="2:5" ht="15" customHeight="1">
      <c r="B103" s="86"/>
      <c r="C103" s="36" t="s">
        <v>28</v>
      </c>
      <c r="D103" s="35">
        <v>3</v>
      </c>
      <c r="E103" s="34">
        <v>7.4257425742570004E-3</v>
      </c>
    </row>
    <row r="104" spans="2:5" ht="15" customHeight="1">
      <c r="B104" s="84" t="s">
        <v>78</v>
      </c>
      <c r="C104" s="62" t="s">
        <v>153</v>
      </c>
      <c r="D104" s="63">
        <v>2</v>
      </c>
      <c r="E104" s="64">
        <v>4.950495049505E-3</v>
      </c>
    </row>
    <row r="105" spans="2:5" ht="15" customHeight="1">
      <c r="B105" s="85"/>
      <c r="C105" s="62" t="s">
        <v>156</v>
      </c>
      <c r="D105" s="63">
        <v>2</v>
      </c>
      <c r="E105" s="64">
        <v>4.950495049505E-3</v>
      </c>
    </row>
    <row r="106" spans="2:5" ht="15" customHeight="1">
      <c r="B106" s="85"/>
      <c r="C106" s="62" t="s">
        <v>157</v>
      </c>
      <c r="D106" s="63">
        <v>1</v>
      </c>
      <c r="E106" s="64">
        <v>2.475247524752E-3</v>
      </c>
    </row>
    <row r="107" spans="2:5" ht="15" customHeight="1">
      <c r="B107" s="86"/>
      <c r="C107" s="36" t="s">
        <v>28</v>
      </c>
      <c r="D107" s="35">
        <v>5</v>
      </c>
      <c r="E107" s="34">
        <v>1.2376237623762E-2</v>
      </c>
    </row>
    <row r="108" spans="2:5" ht="15" customHeight="1">
      <c r="B108" s="84" t="s">
        <v>79</v>
      </c>
      <c r="C108" s="62" t="s">
        <v>154</v>
      </c>
      <c r="D108" s="63">
        <v>4</v>
      </c>
      <c r="E108" s="64">
        <v>9.90099009901E-3</v>
      </c>
    </row>
    <row r="109" spans="2:5" ht="15" customHeight="1">
      <c r="B109" s="85"/>
      <c r="C109" s="62" t="s">
        <v>153</v>
      </c>
      <c r="D109" s="63">
        <v>1</v>
      </c>
      <c r="E109" s="64">
        <v>2.475247524752E-3</v>
      </c>
    </row>
    <row r="110" spans="2:5" ht="15" customHeight="1">
      <c r="B110" s="85"/>
      <c r="C110" s="62" t="s">
        <v>157</v>
      </c>
      <c r="D110" s="63">
        <v>2</v>
      </c>
      <c r="E110" s="64">
        <v>4.950495049505E-3</v>
      </c>
    </row>
    <row r="111" spans="2:5" ht="15" customHeight="1">
      <c r="B111" s="86"/>
      <c r="C111" s="36" t="s">
        <v>28</v>
      </c>
      <c r="D111" s="35">
        <v>7</v>
      </c>
      <c r="E111" s="34">
        <v>1.7326732673266999E-2</v>
      </c>
    </row>
    <row r="112" spans="2:5" ht="15" customHeight="1">
      <c r="B112" s="84" t="s">
        <v>80</v>
      </c>
      <c r="C112" s="62" t="s">
        <v>154</v>
      </c>
      <c r="D112" s="63">
        <v>14</v>
      </c>
      <c r="E112" s="64">
        <v>3.4653465346535003E-2</v>
      </c>
    </row>
    <row r="113" spans="2:5" ht="15" customHeight="1">
      <c r="B113" s="85"/>
      <c r="C113" s="62" t="s">
        <v>153</v>
      </c>
      <c r="D113" s="63">
        <v>24</v>
      </c>
      <c r="E113" s="64">
        <v>5.9405940594059001E-2</v>
      </c>
    </row>
    <row r="114" spans="2:5" ht="15" customHeight="1">
      <c r="B114" s="85"/>
      <c r="C114" s="62" t="s">
        <v>156</v>
      </c>
      <c r="D114" s="63">
        <v>7</v>
      </c>
      <c r="E114" s="64">
        <v>1.7326732673266999E-2</v>
      </c>
    </row>
    <row r="115" spans="2:5" ht="15" customHeight="1">
      <c r="B115" s="85"/>
      <c r="C115" s="62" t="s">
        <v>157</v>
      </c>
      <c r="D115" s="63">
        <v>2</v>
      </c>
      <c r="E115" s="64">
        <v>4.950495049505E-3</v>
      </c>
    </row>
    <row r="116" spans="2:5" ht="15" customHeight="1">
      <c r="B116" s="86"/>
      <c r="C116" s="36" t="s">
        <v>28</v>
      </c>
      <c r="D116" s="35">
        <v>47</v>
      </c>
      <c r="E116" s="34">
        <v>0.116336633663366</v>
      </c>
    </row>
    <row r="117" spans="2:5" ht="15" customHeight="1">
      <c r="B117" s="84" t="s">
        <v>81</v>
      </c>
      <c r="C117" s="62" t="s">
        <v>154</v>
      </c>
      <c r="D117" s="63">
        <v>1</v>
      </c>
      <c r="E117" s="64">
        <v>2.475247524752E-3</v>
      </c>
    </row>
    <row r="118" spans="2:5" ht="15" customHeight="1">
      <c r="B118" s="85"/>
      <c r="C118" s="62" t="s">
        <v>153</v>
      </c>
      <c r="D118" s="63">
        <v>4</v>
      </c>
      <c r="E118" s="64">
        <v>9.90099009901E-3</v>
      </c>
    </row>
    <row r="119" spans="2:5" ht="15" customHeight="1">
      <c r="B119" s="85"/>
      <c r="C119" s="62" t="s">
        <v>155</v>
      </c>
      <c r="D119" s="63">
        <v>1</v>
      </c>
      <c r="E119" s="64">
        <v>2.475247524752E-3</v>
      </c>
    </row>
    <row r="120" spans="2:5" ht="15" customHeight="1">
      <c r="B120" s="85"/>
      <c r="C120" s="62" t="s">
        <v>156</v>
      </c>
      <c r="D120" s="63">
        <v>1</v>
      </c>
      <c r="E120" s="64">
        <v>2.475247524752E-3</v>
      </c>
    </row>
    <row r="121" spans="2:5" ht="15" customHeight="1">
      <c r="B121" s="85"/>
      <c r="C121" s="62" t="s">
        <v>157</v>
      </c>
      <c r="D121" s="63">
        <v>1</v>
      </c>
      <c r="E121" s="64">
        <v>2.475247524752E-3</v>
      </c>
    </row>
    <row r="122" spans="2:5" ht="15" customHeight="1">
      <c r="B122" s="86"/>
      <c r="C122" s="36" t="s">
        <v>28</v>
      </c>
      <c r="D122" s="35">
        <v>8</v>
      </c>
      <c r="E122" s="34">
        <v>1.980198019802E-2</v>
      </c>
    </row>
    <row r="123" spans="2:5" ht="15" customHeight="1">
      <c r="B123" s="84" t="s">
        <v>82</v>
      </c>
      <c r="C123" s="62" t="s">
        <v>154</v>
      </c>
      <c r="D123" s="63">
        <v>2</v>
      </c>
      <c r="E123" s="64">
        <v>4.950495049505E-3</v>
      </c>
    </row>
    <row r="124" spans="2:5" ht="15" customHeight="1">
      <c r="B124" s="85"/>
      <c r="C124" s="62" t="s">
        <v>153</v>
      </c>
      <c r="D124" s="63">
        <v>4</v>
      </c>
      <c r="E124" s="64">
        <v>9.90099009901E-3</v>
      </c>
    </row>
    <row r="125" spans="2:5" ht="15" customHeight="1">
      <c r="B125" s="85"/>
      <c r="C125" s="62" t="s">
        <v>157</v>
      </c>
      <c r="D125" s="63">
        <v>1</v>
      </c>
      <c r="E125" s="64">
        <v>2.475247524752E-3</v>
      </c>
    </row>
    <row r="126" spans="2:5" ht="15" customHeight="1">
      <c r="B126" s="86"/>
      <c r="C126" s="36" t="s">
        <v>28</v>
      </c>
      <c r="D126" s="35">
        <v>7</v>
      </c>
      <c r="E126" s="34">
        <v>1.7326732673266999E-2</v>
      </c>
    </row>
    <row r="127" spans="2:5" ht="15" customHeight="1">
      <c r="B127" s="84" t="s">
        <v>83</v>
      </c>
      <c r="C127" s="62" t="s">
        <v>153</v>
      </c>
      <c r="D127" s="63">
        <v>1</v>
      </c>
      <c r="E127" s="64">
        <v>2.475247524752E-3</v>
      </c>
    </row>
    <row r="128" spans="2:5" ht="15" customHeight="1">
      <c r="B128" s="86"/>
      <c r="C128" s="36" t="s">
        <v>28</v>
      </c>
      <c r="D128" s="35">
        <v>1</v>
      </c>
      <c r="E128" s="34">
        <v>2.475247524752E-3</v>
      </c>
    </row>
    <row r="129" spans="2:5" ht="15" customHeight="1">
      <c r="B129" s="88" t="s">
        <v>28</v>
      </c>
      <c r="C129" s="89"/>
      <c r="D129" s="60">
        <v>404</v>
      </c>
      <c r="E129" s="61">
        <v>1</v>
      </c>
    </row>
    <row r="131" spans="2:5" ht="15" customHeight="1">
      <c r="B131" s="15" t="s">
        <v>46</v>
      </c>
    </row>
    <row r="132" spans="2:5" ht="15" customHeight="1">
      <c r="B132" s="17" t="s">
        <v>17</v>
      </c>
    </row>
    <row r="133" spans="2:5" ht="15" customHeight="1">
      <c r="B133" s="16" t="s">
        <v>47</v>
      </c>
    </row>
    <row r="134" spans="2:5" ht="15" customHeight="1">
      <c r="B134" s="15" t="s">
        <v>16</v>
      </c>
    </row>
    <row r="135" spans="2:5" ht="15" customHeight="1">
      <c r="B135" s="15" t="s">
        <v>48</v>
      </c>
    </row>
  </sheetData>
  <mergeCells count="37">
    <mergeCell ref="B123:B126"/>
    <mergeCell ref="B127:B128"/>
    <mergeCell ref="B129:C129"/>
    <mergeCell ref="B10:B11"/>
    <mergeCell ref="B12:B17"/>
    <mergeCell ref="B18:B19"/>
    <mergeCell ref="B20:B25"/>
    <mergeCell ref="B26:B28"/>
    <mergeCell ref="B66:B67"/>
    <mergeCell ref="B54:B56"/>
    <mergeCell ref="B57:B58"/>
    <mergeCell ref="B59:B60"/>
    <mergeCell ref="B61:B63"/>
    <mergeCell ref="B64:B65"/>
    <mergeCell ref="B68:B70"/>
    <mergeCell ref="B71:B72"/>
    <mergeCell ref="B29:B30"/>
    <mergeCell ref="B31:B34"/>
    <mergeCell ref="B35:B37"/>
    <mergeCell ref="B7:E8"/>
    <mergeCell ref="B98:B100"/>
    <mergeCell ref="B73:B76"/>
    <mergeCell ref="B52:B53"/>
    <mergeCell ref="B38:B41"/>
    <mergeCell ref="B42:B46"/>
    <mergeCell ref="B47:B51"/>
    <mergeCell ref="B112:B116"/>
    <mergeCell ref="B117:B122"/>
    <mergeCell ref="B77:B80"/>
    <mergeCell ref="B81:B84"/>
    <mergeCell ref="B85:B86"/>
    <mergeCell ref="B87:B90"/>
    <mergeCell ref="B101:B103"/>
    <mergeCell ref="B91:B93"/>
    <mergeCell ref="B94:B97"/>
    <mergeCell ref="B104:B107"/>
    <mergeCell ref="B108:B1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86"/>
  <sheetViews>
    <sheetView showGridLines="0" view="pageBreakPreview" zoomScale="85" zoomScaleNormal="100" zoomScaleSheetLayoutView="85" workbookViewId="0">
      <selection activeCell="D10" sqref="D1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7"/>
      <c r="C7" s="87"/>
      <c r="D7" s="87"/>
      <c r="E7" s="87"/>
    </row>
    <row r="8" spans="1:5" s="41" customFormat="1" ht="33" customHeight="1">
      <c r="A8" s="42"/>
      <c r="B8" s="87"/>
      <c r="C8" s="87"/>
      <c r="D8" s="87"/>
      <c r="E8" s="87"/>
    </row>
    <row r="9" spans="1:5" s="25" customFormat="1" ht="40.5" customHeight="1">
      <c r="B9" s="38" t="s">
        <v>21</v>
      </c>
      <c r="C9" s="40" t="s">
        <v>23</v>
      </c>
      <c r="D9" s="39" t="s">
        <v>19</v>
      </c>
      <c r="E9" s="38" t="s">
        <v>18</v>
      </c>
    </row>
    <row r="10" spans="1:5" ht="15" customHeight="1">
      <c r="B10" s="84" t="s">
        <v>112</v>
      </c>
      <c r="C10" s="62" t="s">
        <v>154</v>
      </c>
      <c r="D10" s="63">
        <v>1</v>
      </c>
      <c r="E10" s="64">
        <v>2.475247524752E-3</v>
      </c>
    </row>
    <row r="11" spans="1:5" ht="15" customHeight="1">
      <c r="B11" s="85"/>
      <c r="C11" s="62" t="s">
        <v>153</v>
      </c>
      <c r="D11" s="63">
        <v>2</v>
      </c>
      <c r="E11" s="64">
        <v>4.950495049505E-3</v>
      </c>
    </row>
    <row r="12" spans="1:5" ht="15" customHeight="1">
      <c r="B12" s="86"/>
      <c r="C12" s="36" t="s">
        <v>28</v>
      </c>
      <c r="D12" s="35">
        <v>3</v>
      </c>
      <c r="E12" s="34">
        <v>7.4257425742570004E-3</v>
      </c>
    </row>
    <row r="13" spans="1:5" ht="15" customHeight="1">
      <c r="B13" s="84" t="s">
        <v>101</v>
      </c>
      <c r="C13" s="62" t="s">
        <v>153</v>
      </c>
      <c r="D13" s="63">
        <v>4</v>
      </c>
      <c r="E13" s="64">
        <v>9.90099009901E-3</v>
      </c>
    </row>
    <row r="14" spans="1:5" ht="15" customHeight="1">
      <c r="B14" s="85"/>
      <c r="C14" s="62" t="s">
        <v>156</v>
      </c>
      <c r="D14" s="63">
        <v>2</v>
      </c>
      <c r="E14" s="64">
        <v>4.950495049505E-3</v>
      </c>
    </row>
    <row r="15" spans="1:5" ht="15" customHeight="1">
      <c r="B15" s="85"/>
      <c r="C15" s="62" t="s">
        <v>157</v>
      </c>
      <c r="D15" s="63">
        <v>1</v>
      </c>
      <c r="E15" s="64">
        <v>2.475247524752E-3</v>
      </c>
    </row>
    <row r="16" spans="1:5" ht="15" customHeight="1">
      <c r="B16" s="86"/>
      <c r="C16" s="36" t="s">
        <v>28</v>
      </c>
      <c r="D16" s="35">
        <v>7</v>
      </c>
      <c r="E16" s="34">
        <v>1.7326732673266999E-2</v>
      </c>
    </row>
    <row r="17" spans="2:5" ht="15" customHeight="1">
      <c r="B17" s="84" t="s">
        <v>116</v>
      </c>
      <c r="C17" s="62" t="s">
        <v>153</v>
      </c>
      <c r="D17" s="63">
        <v>1</v>
      </c>
      <c r="E17" s="64">
        <v>2.475247524752E-3</v>
      </c>
    </row>
    <row r="18" spans="2:5" ht="15" customHeight="1">
      <c r="B18" s="85"/>
      <c r="C18" s="62" t="s">
        <v>156</v>
      </c>
      <c r="D18" s="63">
        <v>1</v>
      </c>
      <c r="E18" s="64">
        <v>2.475247524752E-3</v>
      </c>
    </row>
    <row r="19" spans="2:5" ht="15" customHeight="1">
      <c r="B19" s="86"/>
      <c r="C19" s="36" t="s">
        <v>28</v>
      </c>
      <c r="D19" s="35">
        <v>2</v>
      </c>
      <c r="E19" s="34">
        <v>4.950495049505E-3</v>
      </c>
    </row>
    <row r="20" spans="2:5" ht="15" customHeight="1">
      <c r="B20" s="84" t="s">
        <v>104</v>
      </c>
      <c r="C20" s="62" t="s">
        <v>154</v>
      </c>
      <c r="D20" s="63">
        <v>3</v>
      </c>
      <c r="E20" s="64">
        <v>7.4257425742570004E-3</v>
      </c>
    </row>
    <row r="21" spans="2:5" ht="15" customHeight="1">
      <c r="B21" s="85"/>
      <c r="C21" s="62" t="s">
        <v>153</v>
      </c>
      <c r="D21" s="63">
        <v>1</v>
      </c>
      <c r="E21" s="64">
        <v>2.475247524752E-3</v>
      </c>
    </row>
    <row r="22" spans="2:5" ht="15" customHeight="1">
      <c r="B22" s="85"/>
      <c r="C22" s="62" t="s">
        <v>157</v>
      </c>
      <c r="D22" s="63">
        <v>2</v>
      </c>
      <c r="E22" s="64">
        <v>4.950495049505E-3</v>
      </c>
    </row>
    <row r="23" spans="2:5" ht="15" customHeight="1">
      <c r="B23" s="86"/>
      <c r="C23" s="36" t="s">
        <v>28</v>
      </c>
      <c r="D23" s="35">
        <v>6</v>
      </c>
      <c r="E23" s="34">
        <v>1.4851485148515E-2</v>
      </c>
    </row>
    <row r="24" spans="2:5" ht="15" customHeight="1">
      <c r="B24" s="84" t="s">
        <v>117</v>
      </c>
      <c r="C24" s="62" t="s">
        <v>156</v>
      </c>
      <c r="D24" s="63">
        <v>1</v>
      </c>
      <c r="E24" s="64">
        <v>2.475247524752E-3</v>
      </c>
    </row>
    <row r="25" spans="2:5" ht="15" customHeight="1">
      <c r="B25" s="85"/>
      <c r="C25" s="62" t="s">
        <v>157</v>
      </c>
      <c r="D25" s="63">
        <v>1</v>
      </c>
      <c r="E25" s="64">
        <v>2.475247524752E-3</v>
      </c>
    </row>
    <row r="26" spans="2:5" ht="15" customHeight="1">
      <c r="B26" s="86"/>
      <c r="C26" s="36" t="s">
        <v>28</v>
      </c>
      <c r="D26" s="35">
        <v>2</v>
      </c>
      <c r="E26" s="34">
        <v>4.950495049505E-3</v>
      </c>
    </row>
    <row r="27" spans="2:5" ht="15" customHeight="1">
      <c r="B27" s="84" t="s">
        <v>86</v>
      </c>
      <c r="C27" s="62" t="s">
        <v>154</v>
      </c>
      <c r="D27" s="63">
        <v>17</v>
      </c>
      <c r="E27" s="64">
        <v>4.2079207920791999E-2</v>
      </c>
    </row>
    <row r="28" spans="2:5" ht="15" customHeight="1">
      <c r="B28" s="85"/>
      <c r="C28" s="62" t="s">
        <v>153</v>
      </c>
      <c r="D28" s="63">
        <v>8</v>
      </c>
      <c r="E28" s="64">
        <v>1.980198019802E-2</v>
      </c>
    </row>
    <row r="29" spans="2:5" ht="15" customHeight="1">
      <c r="B29" s="85"/>
      <c r="C29" s="62" t="s">
        <v>156</v>
      </c>
      <c r="D29" s="63">
        <v>2</v>
      </c>
      <c r="E29" s="64">
        <v>4.950495049505E-3</v>
      </c>
    </row>
    <row r="30" spans="2:5" ht="15" customHeight="1">
      <c r="B30" s="85"/>
      <c r="C30" s="62" t="s">
        <v>157</v>
      </c>
      <c r="D30" s="63">
        <v>2</v>
      </c>
      <c r="E30" s="64">
        <v>4.950495049505E-3</v>
      </c>
    </row>
    <row r="31" spans="2:5" ht="15" customHeight="1">
      <c r="B31" s="86"/>
      <c r="C31" s="36" t="s">
        <v>28</v>
      </c>
      <c r="D31" s="35">
        <v>29</v>
      </c>
      <c r="E31" s="34">
        <v>7.1782178217821999E-2</v>
      </c>
    </row>
    <row r="32" spans="2:5" ht="15" customHeight="1">
      <c r="B32" s="84" t="s">
        <v>87</v>
      </c>
      <c r="C32" s="62" t="s">
        <v>154</v>
      </c>
      <c r="D32" s="63">
        <v>7</v>
      </c>
      <c r="E32" s="64">
        <v>1.7326732673266999E-2</v>
      </c>
    </row>
    <row r="33" spans="2:5" ht="15" customHeight="1">
      <c r="B33" s="85"/>
      <c r="C33" s="62" t="s">
        <v>153</v>
      </c>
      <c r="D33" s="63">
        <v>15</v>
      </c>
      <c r="E33" s="64">
        <v>3.7128712871287002E-2</v>
      </c>
    </row>
    <row r="34" spans="2:5" ht="15" customHeight="1">
      <c r="B34" s="85"/>
      <c r="C34" s="62" t="s">
        <v>156</v>
      </c>
      <c r="D34" s="63">
        <v>4</v>
      </c>
      <c r="E34" s="64">
        <v>9.90099009901E-3</v>
      </c>
    </row>
    <row r="35" spans="2:5" ht="15" customHeight="1">
      <c r="B35" s="86"/>
      <c r="C35" s="36" t="s">
        <v>28</v>
      </c>
      <c r="D35" s="35">
        <v>26</v>
      </c>
      <c r="E35" s="34">
        <v>6.4356435643563997E-2</v>
      </c>
    </row>
    <row r="36" spans="2:5" ht="15" customHeight="1">
      <c r="B36" s="84" t="s">
        <v>105</v>
      </c>
      <c r="C36" s="62" t="s">
        <v>154</v>
      </c>
      <c r="D36" s="63">
        <v>2</v>
      </c>
      <c r="E36" s="64">
        <v>4.950495049505E-3</v>
      </c>
    </row>
    <row r="37" spans="2:5" ht="15" customHeight="1">
      <c r="B37" s="85"/>
      <c r="C37" s="62" t="s">
        <v>153</v>
      </c>
      <c r="D37" s="63">
        <v>4</v>
      </c>
      <c r="E37" s="64">
        <v>9.90099009901E-3</v>
      </c>
    </row>
    <row r="38" spans="2:5" ht="15" customHeight="1">
      <c r="B38" s="86"/>
      <c r="C38" s="36" t="s">
        <v>28</v>
      </c>
      <c r="D38" s="35">
        <v>6</v>
      </c>
      <c r="E38" s="34">
        <v>1.4851485148515E-2</v>
      </c>
    </row>
    <row r="39" spans="2:5" ht="15" customHeight="1">
      <c r="B39" s="84" t="s">
        <v>118</v>
      </c>
      <c r="C39" s="62" t="s">
        <v>153</v>
      </c>
      <c r="D39" s="63">
        <v>2</v>
      </c>
      <c r="E39" s="64">
        <v>4.950495049505E-3</v>
      </c>
    </row>
    <row r="40" spans="2:5" ht="15" customHeight="1">
      <c r="B40" s="86"/>
      <c r="C40" s="36" t="s">
        <v>28</v>
      </c>
      <c r="D40" s="35">
        <v>2</v>
      </c>
      <c r="E40" s="34">
        <v>4.950495049505E-3</v>
      </c>
    </row>
    <row r="41" spans="2:5" ht="15" customHeight="1">
      <c r="B41" s="84" t="s">
        <v>119</v>
      </c>
      <c r="C41" s="62" t="s">
        <v>154</v>
      </c>
      <c r="D41" s="63">
        <v>1</v>
      </c>
      <c r="E41" s="64">
        <v>2.475247524752E-3</v>
      </c>
    </row>
    <row r="42" spans="2:5" ht="15" customHeight="1">
      <c r="B42" s="85"/>
      <c r="C42" s="62" t="s">
        <v>156</v>
      </c>
      <c r="D42" s="63">
        <v>1</v>
      </c>
      <c r="E42" s="64">
        <v>2.475247524752E-3</v>
      </c>
    </row>
    <row r="43" spans="2:5" ht="15" customHeight="1">
      <c r="B43" s="86"/>
      <c r="C43" s="36" t="s">
        <v>28</v>
      </c>
      <c r="D43" s="35">
        <v>2</v>
      </c>
      <c r="E43" s="34">
        <v>4.950495049505E-3</v>
      </c>
    </row>
    <row r="44" spans="2:5" ht="15" customHeight="1">
      <c r="B44" s="84" t="s">
        <v>94</v>
      </c>
      <c r="C44" s="62" t="s">
        <v>154</v>
      </c>
      <c r="D44" s="63">
        <v>1</v>
      </c>
      <c r="E44" s="64">
        <v>2.475247524752E-3</v>
      </c>
    </row>
    <row r="45" spans="2:5" ht="15" customHeight="1">
      <c r="B45" s="85"/>
      <c r="C45" s="62" t="s">
        <v>153</v>
      </c>
      <c r="D45" s="63">
        <v>1</v>
      </c>
      <c r="E45" s="64">
        <v>2.475247524752E-3</v>
      </c>
    </row>
    <row r="46" spans="2:5" ht="15" customHeight="1">
      <c r="B46" s="85"/>
      <c r="C46" s="62" t="s">
        <v>156</v>
      </c>
      <c r="D46" s="63">
        <v>5</v>
      </c>
      <c r="E46" s="64">
        <v>1.2376237623762E-2</v>
      </c>
    </row>
    <row r="47" spans="2:5" ht="15" customHeight="1">
      <c r="B47" s="85"/>
      <c r="C47" s="62" t="s">
        <v>157</v>
      </c>
      <c r="D47" s="63">
        <v>3</v>
      </c>
      <c r="E47" s="64">
        <v>7.4257425742570004E-3</v>
      </c>
    </row>
    <row r="48" spans="2:5" ht="15" customHeight="1">
      <c r="B48" s="86"/>
      <c r="C48" s="36" t="s">
        <v>28</v>
      </c>
      <c r="D48" s="35">
        <v>10</v>
      </c>
      <c r="E48" s="34">
        <v>2.4752475247525E-2</v>
      </c>
    </row>
    <row r="49" spans="2:5" ht="15" customHeight="1">
      <c r="B49" s="84" t="s">
        <v>85</v>
      </c>
      <c r="C49" s="62" t="s">
        <v>154</v>
      </c>
      <c r="D49" s="63">
        <v>11</v>
      </c>
      <c r="E49" s="64">
        <v>2.7227722772276999E-2</v>
      </c>
    </row>
    <row r="50" spans="2:5" ht="15" customHeight="1">
      <c r="B50" s="85"/>
      <c r="C50" s="62" t="s">
        <v>153</v>
      </c>
      <c r="D50" s="63">
        <v>8</v>
      </c>
      <c r="E50" s="64">
        <v>1.980198019802E-2</v>
      </c>
    </row>
    <row r="51" spans="2:5" ht="15" customHeight="1">
      <c r="B51" s="85"/>
      <c r="C51" s="62" t="s">
        <v>156</v>
      </c>
      <c r="D51" s="63">
        <v>6</v>
      </c>
      <c r="E51" s="64">
        <v>1.4851485148515E-2</v>
      </c>
    </row>
    <row r="52" spans="2:5" ht="15" customHeight="1">
      <c r="B52" s="85"/>
      <c r="C52" s="62" t="s">
        <v>157</v>
      </c>
      <c r="D52" s="63">
        <v>7</v>
      </c>
      <c r="E52" s="64">
        <v>1.7326732673266999E-2</v>
      </c>
    </row>
    <row r="53" spans="2:5" ht="15" customHeight="1">
      <c r="B53" s="86"/>
      <c r="C53" s="36" t="s">
        <v>28</v>
      </c>
      <c r="D53" s="35">
        <v>32</v>
      </c>
      <c r="E53" s="34">
        <v>7.9207920792079001E-2</v>
      </c>
    </row>
    <row r="54" spans="2:5" ht="15" customHeight="1">
      <c r="B54" s="84" t="s">
        <v>95</v>
      </c>
      <c r="C54" s="62" t="s">
        <v>154</v>
      </c>
      <c r="D54" s="63">
        <v>2</v>
      </c>
      <c r="E54" s="64">
        <v>4.950495049505E-3</v>
      </c>
    </row>
    <row r="55" spans="2:5" ht="15" customHeight="1">
      <c r="B55" s="85"/>
      <c r="C55" s="62" t="s">
        <v>153</v>
      </c>
      <c r="D55" s="63">
        <v>5</v>
      </c>
      <c r="E55" s="64">
        <v>1.2376237623762E-2</v>
      </c>
    </row>
    <row r="56" spans="2:5" ht="15" customHeight="1">
      <c r="B56" s="85"/>
      <c r="C56" s="62" t="s">
        <v>156</v>
      </c>
      <c r="D56" s="63">
        <v>1</v>
      </c>
      <c r="E56" s="64">
        <v>2.475247524752E-3</v>
      </c>
    </row>
    <row r="57" spans="2:5" ht="15" customHeight="1">
      <c r="B57" s="85"/>
      <c r="C57" s="62" t="s">
        <v>157</v>
      </c>
      <c r="D57" s="63">
        <v>2</v>
      </c>
      <c r="E57" s="64">
        <v>4.950495049505E-3</v>
      </c>
    </row>
    <row r="58" spans="2:5" ht="15" customHeight="1">
      <c r="B58" s="86"/>
      <c r="C58" s="36" t="s">
        <v>28</v>
      </c>
      <c r="D58" s="35">
        <v>10</v>
      </c>
      <c r="E58" s="34">
        <v>2.4752475247525E-2</v>
      </c>
    </row>
    <row r="59" spans="2:5" ht="15" customHeight="1">
      <c r="B59" s="84" t="s">
        <v>120</v>
      </c>
      <c r="C59" s="62" t="s">
        <v>153</v>
      </c>
      <c r="D59" s="63">
        <v>1</v>
      </c>
      <c r="E59" s="64">
        <v>2.475247524752E-3</v>
      </c>
    </row>
    <row r="60" spans="2:5" ht="15" customHeight="1">
      <c r="B60" s="85"/>
      <c r="C60" s="62" t="s">
        <v>156</v>
      </c>
      <c r="D60" s="63">
        <v>1</v>
      </c>
      <c r="E60" s="64">
        <v>2.475247524752E-3</v>
      </c>
    </row>
    <row r="61" spans="2:5" ht="15" customHeight="1">
      <c r="B61" s="86"/>
      <c r="C61" s="36" t="s">
        <v>28</v>
      </c>
      <c r="D61" s="35">
        <v>2</v>
      </c>
      <c r="E61" s="34">
        <v>4.950495049505E-3</v>
      </c>
    </row>
    <row r="62" spans="2:5" ht="15" customHeight="1">
      <c r="B62" s="84" t="s">
        <v>99</v>
      </c>
      <c r="C62" s="62" t="s">
        <v>154</v>
      </c>
      <c r="D62" s="63">
        <v>6</v>
      </c>
      <c r="E62" s="64">
        <v>1.4851485148515E-2</v>
      </c>
    </row>
    <row r="63" spans="2:5" ht="15" customHeight="1">
      <c r="B63" s="85"/>
      <c r="C63" s="62" t="s">
        <v>153</v>
      </c>
      <c r="D63" s="63">
        <v>1</v>
      </c>
      <c r="E63" s="64">
        <v>2.475247524752E-3</v>
      </c>
    </row>
    <row r="64" spans="2:5" ht="15" customHeight="1">
      <c r="B64" s="85"/>
      <c r="C64" s="62" t="s">
        <v>156</v>
      </c>
      <c r="D64" s="63">
        <v>1</v>
      </c>
      <c r="E64" s="64">
        <v>2.475247524752E-3</v>
      </c>
    </row>
    <row r="65" spans="2:5" ht="15" customHeight="1">
      <c r="B65" s="86"/>
      <c r="C65" s="36" t="s">
        <v>28</v>
      </c>
      <c r="D65" s="35">
        <v>8</v>
      </c>
      <c r="E65" s="34">
        <v>1.980198019802E-2</v>
      </c>
    </row>
    <row r="66" spans="2:5" ht="15" customHeight="1">
      <c r="B66" s="84" t="s">
        <v>121</v>
      </c>
      <c r="C66" s="62" t="s">
        <v>154</v>
      </c>
      <c r="D66" s="63">
        <v>2</v>
      </c>
      <c r="E66" s="64">
        <v>4.950495049505E-3</v>
      </c>
    </row>
    <row r="67" spans="2:5" ht="15" customHeight="1">
      <c r="B67" s="86"/>
      <c r="C67" s="36" t="s">
        <v>28</v>
      </c>
      <c r="D67" s="35">
        <v>2</v>
      </c>
      <c r="E67" s="34">
        <v>4.950495049505E-3</v>
      </c>
    </row>
    <row r="68" spans="2:5" ht="15" customHeight="1">
      <c r="B68" s="84" t="s">
        <v>92</v>
      </c>
      <c r="C68" s="62" t="s">
        <v>154</v>
      </c>
      <c r="D68" s="63">
        <v>6</v>
      </c>
      <c r="E68" s="64">
        <v>1.4851485148515E-2</v>
      </c>
    </row>
    <row r="69" spans="2:5" ht="15" customHeight="1">
      <c r="B69" s="85"/>
      <c r="C69" s="62" t="s">
        <v>153</v>
      </c>
      <c r="D69" s="63">
        <v>6</v>
      </c>
      <c r="E69" s="64">
        <v>1.4851485148515E-2</v>
      </c>
    </row>
    <row r="70" spans="2:5" ht="15" customHeight="1">
      <c r="B70" s="85"/>
      <c r="C70" s="62" t="s">
        <v>157</v>
      </c>
      <c r="D70" s="63">
        <v>1</v>
      </c>
      <c r="E70" s="64">
        <v>2.475247524752E-3</v>
      </c>
    </row>
    <row r="71" spans="2:5" ht="15" customHeight="1">
      <c r="B71" s="86"/>
      <c r="C71" s="36" t="s">
        <v>28</v>
      </c>
      <c r="D71" s="35">
        <v>13</v>
      </c>
      <c r="E71" s="34">
        <v>3.2178217821781999E-2</v>
      </c>
    </row>
    <row r="72" spans="2:5" ht="15" customHeight="1">
      <c r="B72" s="84" t="s">
        <v>102</v>
      </c>
      <c r="C72" s="62" t="s">
        <v>154</v>
      </c>
      <c r="D72" s="63">
        <v>4</v>
      </c>
      <c r="E72" s="64">
        <v>9.90099009901E-3</v>
      </c>
    </row>
    <row r="73" spans="2:5" ht="15" customHeight="1">
      <c r="B73" s="85"/>
      <c r="C73" s="62" t="s">
        <v>153</v>
      </c>
      <c r="D73" s="63">
        <v>1</v>
      </c>
      <c r="E73" s="64">
        <v>2.475247524752E-3</v>
      </c>
    </row>
    <row r="74" spans="2:5" ht="15" customHeight="1">
      <c r="B74" s="85"/>
      <c r="C74" s="62" t="s">
        <v>157</v>
      </c>
      <c r="D74" s="63">
        <v>2</v>
      </c>
      <c r="E74" s="64">
        <v>4.950495049505E-3</v>
      </c>
    </row>
    <row r="75" spans="2:5" ht="15" customHeight="1">
      <c r="B75" s="86"/>
      <c r="C75" s="36" t="s">
        <v>28</v>
      </c>
      <c r="D75" s="35">
        <v>7</v>
      </c>
      <c r="E75" s="34">
        <v>1.7326732673266999E-2</v>
      </c>
    </row>
    <row r="76" spans="2:5" ht="15" customHeight="1">
      <c r="B76" s="84" t="s">
        <v>84</v>
      </c>
      <c r="C76" s="62" t="s">
        <v>154</v>
      </c>
      <c r="D76" s="63">
        <v>25</v>
      </c>
      <c r="E76" s="64">
        <v>6.1881188118811999E-2</v>
      </c>
    </row>
    <row r="77" spans="2:5" ht="15" customHeight="1">
      <c r="B77" s="85"/>
      <c r="C77" s="62" t="s">
        <v>153</v>
      </c>
      <c r="D77" s="63">
        <v>23</v>
      </c>
      <c r="E77" s="64">
        <v>5.6930693069307002E-2</v>
      </c>
    </row>
    <row r="78" spans="2:5" ht="15" customHeight="1">
      <c r="B78" s="85"/>
      <c r="C78" s="62" t="s">
        <v>156</v>
      </c>
      <c r="D78" s="63">
        <v>4</v>
      </c>
      <c r="E78" s="64">
        <v>9.90099009901E-3</v>
      </c>
    </row>
    <row r="79" spans="2:5" ht="15" customHeight="1">
      <c r="B79" s="85"/>
      <c r="C79" s="62" t="s">
        <v>157</v>
      </c>
      <c r="D79" s="63">
        <v>3</v>
      </c>
      <c r="E79" s="64">
        <v>7.4257425742570004E-3</v>
      </c>
    </row>
    <row r="80" spans="2:5" ht="15" customHeight="1">
      <c r="B80" s="86"/>
      <c r="C80" s="36" t="s">
        <v>28</v>
      </c>
      <c r="D80" s="35">
        <v>55</v>
      </c>
      <c r="E80" s="34">
        <v>0.13613861386138601</v>
      </c>
    </row>
    <row r="81" spans="2:5" ht="15" customHeight="1">
      <c r="B81" s="84" t="s">
        <v>122</v>
      </c>
      <c r="C81" s="62" t="s">
        <v>153</v>
      </c>
      <c r="D81" s="63">
        <v>1</v>
      </c>
      <c r="E81" s="64">
        <v>2.475247524752E-3</v>
      </c>
    </row>
    <row r="82" spans="2:5" ht="15" customHeight="1">
      <c r="B82" s="85"/>
      <c r="C82" s="62" t="s">
        <v>156</v>
      </c>
      <c r="D82" s="63">
        <v>1</v>
      </c>
      <c r="E82" s="64">
        <v>2.475247524752E-3</v>
      </c>
    </row>
    <row r="83" spans="2:5" ht="15" customHeight="1">
      <c r="B83" s="86"/>
      <c r="C83" s="36" t="s">
        <v>28</v>
      </c>
      <c r="D83" s="35">
        <v>2</v>
      </c>
      <c r="E83" s="34">
        <v>4.950495049505E-3</v>
      </c>
    </row>
    <row r="84" spans="2:5" ht="15" customHeight="1">
      <c r="B84" s="84" t="s">
        <v>108</v>
      </c>
      <c r="C84" s="62" t="s">
        <v>154</v>
      </c>
      <c r="D84" s="63">
        <v>3</v>
      </c>
      <c r="E84" s="64">
        <v>7.4257425742570004E-3</v>
      </c>
    </row>
    <row r="85" spans="2:5" ht="15" customHeight="1">
      <c r="B85" s="85"/>
      <c r="C85" s="62" t="s">
        <v>153</v>
      </c>
      <c r="D85" s="63">
        <v>1</v>
      </c>
      <c r="E85" s="64">
        <v>2.475247524752E-3</v>
      </c>
    </row>
    <row r="86" spans="2:5" ht="15" customHeight="1">
      <c r="B86" s="85"/>
      <c r="C86" s="62" t="s">
        <v>157</v>
      </c>
      <c r="D86" s="63">
        <v>1</v>
      </c>
      <c r="E86" s="64">
        <v>2.475247524752E-3</v>
      </c>
    </row>
    <row r="87" spans="2:5" ht="15" customHeight="1">
      <c r="B87" s="86"/>
      <c r="C87" s="36" t="s">
        <v>28</v>
      </c>
      <c r="D87" s="35">
        <v>5</v>
      </c>
      <c r="E87" s="34">
        <v>1.2376237623762E-2</v>
      </c>
    </row>
    <row r="88" spans="2:5" ht="15" customHeight="1">
      <c r="B88" s="84" t="s">
        <v>126</v>
      </c>
      <c r="C88" s="62" t="s">
        <v>153</v>
      </c>
      <c r="D88" s="63">
        <v>1</v>
      </c>
      <c r="E88" s="64">
        <v>2.475247524752E-3</v>
      </c>
    </row>
    <row r="89" spans="2:5" ht="15" customHeight="1">
      <c r="B89" s="86"/>
      <c r="C89" s="36" t="s">
        <v>28</v>
      </c>
      <c r="D89" s="35">
        <v>1</v>
      </c>
      <c r="E89" s="34">
        <v>2.475247524752E-3</v>
      </c>
    </row>
    <row r="90" spans="2:5" ht="15" customHeight="1">
      <c r="B90" s="84" t="s">
        <v>109</v>
      </c>
      <c r="C90" s="62" t="s">
        <v>153</v>
      </c>
      <c r="D90" s="63">
        <v>2</v>
      </c>
      <c r="E90" s="64">
        <v>4.950495049505E-3</v>
      </c>
    </row>
    <row r="91" spans="2:5" ht="15" customHeight="1">
      <c r="B91" s="85"/>
      <c r="C91" s="62" t="s">
        <v>157</v>
      </c>
      <c r="D91" s="63">
        <v>2</v>
      </c>
      <c r="E91" s="64">
        <v>4.950495049505E-3</v>
      </c>
    </row>
    <row r="92" spans="2:5" ht="15" customHeight="1">
      <c r="B92" s="86"/>
      <c r="C92" s="36" t="s">
        <v>28</v>
      </c>
      <c r="D92" s="35">
        <v>4</v>
      </c>
      <c r="E92" s="34">
        <v>9.90099009901E-3</v>
      </c>
    </row>
    <row r="93" spans="2:5" ht="15" customHeight="1">
      <c r="B93" s="84" t="s">
        <v>127</v>
      </c>
      <c r="C93" s="62" t="s">
        <v>153</v>
      </c>
      <c r="D93" s="63">
        <v>1</v>
      </c>
      <c r="E93" s="64">
        <v>2.475247524752E-3</v>
      </c>
    </row>
    <row r="94" spans="2:5" ht="15" customHeight="1">
      <c r="B94" s="86"/>
      <c r="C94" s="36" t="s">
        <v>28</v>
      </c>
      <c r="D94" s="35">
        <v>1</v>
      </c>
      <c r="E94" s="34">
        <v>2.475247524752E-3</v>
      </c>
    </row>
    <row r="95" spans="2:5" ht="15" customHeight="1">
      <c r="B95" s="84" t="s">
        <v>123</v>
      </c>
      <c r="C95" s="62" t="s">
        <v>153</v>
      </c>
      <c r="D95" s="63">
        <v>2</v>
      </c>
      <c r="E95" s="64">
        <v>4.950495049505E-3</v>
      </c>
    </row>
    <row r="96" spans="2:5" ht="15" customHeight="1">
      <c r="B96" s="86"/>
      <c r="C96" s="36" t="s">
        <v>28</v>
      </c>
      <c r="D96" s="35">
        <v>2</v>
      </c>
      <c r="E96" s="34">
        <v>4.950495049505E-3</v>
      </c>
    </row>
    <row r="97" spans="2:5" ht="15" customHeight="1">
      <c r="B97" s="84" t="s">
        <v>124</v>
      </c>
      <c r="C97" s="62" t="s">
        <v>156</v>
      </c>
      <c r="D97" s="63">
        <v>1</v>
      </c>
      <c r="E97" s="64">
        <v>2.475247524752E-3</v>
      </c>
    </row>
    <row r="98" spans="2:5" ht="15" customHeight="1">
      <c r="B98" s="85"/>
      <c r="C98" s="62" t="s">
        <v>157</v>
      </c>
      <c r="D98" s="63">
        <v>1</v>
      </c>
      <c r="E98" s="64">
        <v>2.475247524752E-3</v>
      </c>
    </row>
    <row r="99" spans="2:5" ht="15" customHeight="1">
      <c r="B99" s="86"/>
      <c r="C99" s="36" t="s">
        <v>28</v>
      </c>
      <c r="D99" s="35">
        <v>2</v>
      </c>
      <c r="E99" s="34">
        <v>4.950495049505E-3</v>
      </c>
    </row>
    <row r="100" spans="2:5" ht="15" customHeight="1">
      <c r="B100" s="84" t="s">
        <v>106</v>
      </c>
      <c r="C100" s="62" t="s">
        <v>154</v>
      </c>
      <c r="D100" s="63">
        <v>1</v>
      </c>
      <c r="E100" s="64">
        <v>2.475247524752E-3</v>
      </c>
    </row>
    <row r="101" spans="2:5" ht="15" customHeight="1">
      <c r="B101" s="85"/>
      <c r="C101" s="62" t="s">
        <v>153</v>
      </c>
      <c r="D101" s="63">
        <v>3</v>
      </c>
      <c r="E101" s="64">
        <v>7.4257425742570004E-3</v>
      </c>
    </row>
    <row r="102" spans="2:5" ht="15" customHeight="1">
      <c r="B102" s="85"/>
      <c r="C102" s="62" t="s">
        <v>156</v>
      </c>
      <c r="D102" s="63">
        <v>2</v>
      </c>
      <c r="E102" s="64">
        <v>4.950495049505E-3</v>
      </c>
    </row>
    <row r="103" spans="2:5" ht="15" customHeight="1">
      <c r="B103" s="86"/>
      <c r="C103" s="36" t="s">
        <v>28</v>
      </c>
      <c r="D103" s="35">
        <v>6</v>
      </c>
      <c r="E103" s="34">
        <v>1.4851485148515E-2</v>
      </c>
    </row>
    <row r="104" spans="2:5" ht="15" customHeight="1">
      <c r="B104" s="84" t="s">
        <v>125</v>
      </c>
      <c r="C104" s="62" t="s">
        <v>154</v>
      </c>
      <c r="D104" s="63">
        <v>1</v>
      </c>
      <c r="E104" s="64">
        <v>2.475247524752E-3</v>
      </c>
    </row>
    <row r="105" spans="2:5" ht="15" customHeight="1">
      <c r="B105" s="85"/>
      <c r="C105" s="62" t="s">
        <v>153</v>
      </c>
      <c r="D105" s="63">
        <v>1</v>
      </c>
      <c r="E105" s="64">
        <v>2.475247524752E-3</v>
      </c>
    </row>
    <row r="106" spans="2:5" ht="15" customHeight="1">
      <c r="B106" s="86"/>
      <c r="C106" s="36" t="s">
        <v>28</v>
      </c>
      <c r="D106" s="35">
        <v>2</v>
      </c>
      <c r="E106" s="34">
        <v>4.950495049505E-3</v>
      </c>
    </row>
    <row r="107" spans="2:5" ht="15" customHeight="1">
      <c r="B107" s="84" t="s">
        <v>110</v>
      </c>
      <c r="C107" s="62" t="s">
        <v>154</v>
      </c>
      <c r="D107" s="63">
        <v>1</v>
      </c>
      <c r="E107" s="64">
        <v>2.475247524752E-3</v>
      </c>
    </row>
    <row r="108" spans="2:5" ht="15" customHeight="1">
      <c r="B108" s="85"/>
      <c r="C108" s="62" t="s">
        <v>153</v>
      </c>
      <c r="D108" s="63">
        <v>1</v>
      </c>
      <c r="E108" s="64">
        <v>2.475247524752E-3</v>
      </c>
    </row>
    <row r="109" spans="2:5" ht="15" customHeight="1">
      <c r="B109" s="85"/>
      <c r="C109" s="62" t="s">
        <v>157</v>
      </c>
      <c r="D109" s="63">
        <v>2</v>
      </c>
      <c r="E109" s="64">
        <v>4.950495049505E-3</v>
      </c>
    </row>
    <row r="110" spans="2:5" ht="15" customHeight="1">
      <c r="B110" s="86"/>
      <c r="C110" s="36" t="s">
        <v>28</v>
      </c>
      <c r="D110" s="35">
        <v>4</v>
      </c>
      <c r="E110" s="34">
        <v>9.90099009901E-3</v>
      </c>
    </row>
    <row r="111" spans="2:5" ht="15" customHeight="1">
      <c r="B111" s="84" t="s">
        <v>88</v>
      </c>
      <c r="C111" s="62" t="s">
        <v>154</v>
      </c>
      <c r="D111" s="63">
        <v>4</v>
      </c>
      <c r="E111" s="64">
        <v>9.90099009901E-3</v>
      </c>
    </row>
    <row r="112" spans="2:5" ht="15" customHeight="1">
      <c r="B112" s="85"/>
      <c r="C112" s="62" t="s">
        <v>153</v>
      </c>
      <c r="D112" s="63">
        <v>13</v>
      </c>
      <c r="E112" s="64">
        <v>3.2178217821781999E-2</v>
      </c>
    </row>
    <row r="113" spans="2:5" ht="15" customHeight="1">
      <c r="B113" s="85"/>
      <c r="C113" s="62" t="s">
        <v>156</v>
      </c>
      <c r="D113" s="63">
        <v>1</v>
      </c>
      <c r="E113" s="64">
        <v>2.475247524752E-3</v>
      </c>
    </row>
    <row r="114" spans="2:5" ht="15" customHeight="1">
      <c r="B114" s="85"/>
      <c r="C114" s="62" t="s">
        <v>157</v>
      </c>
      <c r="D114" s="63">
        <v>5</v>
      </c>
      <c r="E114" s="64">
        <v>1.2376237623762E-2</v>
      </c>
    </row>
    <row r="115" spans="2:5" ht="15" customHeight="1">
      <c r="B115" s="86"/>
      <c r="C115" s="36" t="s">
        <v>28</v>
      </c>
      <c r="D115" s="35">
        <v>23</v>
      </c>
      <c r="E115" s="34">
        <v>5.6930693069307002E-2</v>
      </c>
    </row>
    <row r="116" spans="2:5" ht="15" customHeight="1">
      <c r="B116" s="84" t="s">
        <v>93</v>
      </c>
      <c r="C116" s="62" t="s">
        <v>154</v>
      </c>
      <c r="D116" s="63">
        <v>2</v>
      </c>
      <c r="E116" s="64">
        <v>4.950495049505E-3</v>
      </c>
    </row>
    <row r="117" spans="2:5" ht="15" customHeight="1">
      <c r="B117" s="85"/>
      <c r="C117" s="62" t="s">
        <v>153</v>
      </c>
      <c r="D117" s="63">
        <v>3</v>
      </c>
      <c r="E117" s="64">
        <v>7.4257425742570004E-3</v>
      </c>
    </row>
    <row r="118" spans="2:5" ht="15" customHeight="1">
      <c r="B118" s="85"/>
      <c r="C118" s="62" t="s">
        <v>155</v>
      </c>
      <c r="D118" s="63">
        <v>1</v>
      </c>
      <c r="E118" s="64">
        <v>2.475247524752E-3</v>
      </c>
    </row>
    <row r="119" spans="2:5" ht="15" customHeight="1">
      <c r="B119" s="85"/>
      <c r="C119" s="62" t="s">
        <v>156</v>
      </c>
      <c r="D119" s="63">
        <v>3</v>
      </c>
      <c r="E119" s="64">
        <v>7.4257425742570004E-3</v>
      </c>
    </row>
    <row r="120" spans="2:5" ht="15" customHeight="1">
      <c r="B120" s="85"/>
      <c r="C120" s="62" t="s">
        <v>157</v>
      </c>
      <c r="D120" s="63">
        <v>2</v>
      </c>
      <c r="E120" s="64">
        <v>4.950495049505E-3</v>
      </c>
    </row>
    <row r="121" spans="2:5" ht="15" customHeight="1">
      <c r="B121" s="86"/>
      <c r="C121" s="36" t="s">
        <v>28</v>
      </c>
      <c r="D121" s="35">
        <v>11</v>
      </c>
      <c r="E121" s="34">
        <v>2.7227722772276999E-2</v>
      </c>
    </row>
    <row r="122" spans="2:5" ht="15" customHeight="1">
      <c r="B122" s="84" t="s">
        <v>113</v>
      </c>
      <c r="C122" s="62" t="s">
        <v>154</v>
      </c>
      <c r="D122" s="63">
        <v>1</v>
      </c>
      <c r="E122" s="64">
        <v>2.475247524752E-3</v>
      </c>
    </row>
    <row r="123" spans="2:5" ht="15" customHeight="1">
      <c r="B123" s="85"/>
      <c r="C123" s="62" t="s">
        <v>153</v>
      </c>
      <c r="D123" s="63">
        <v>2</v>
      </c>
      <c r="E123" s="64">
        <v>4.950495049505E-3</v>
      </c>
    </row>
    <row r="124" spans="2:5" ht="15" customHeight="1">
      <c r="B124" s="86"/>
      <c r="C124" s="36" t="s">
        <v>28</v>
      </c>
      <c r="D124" s="35">
        <v>3</v>
      </c>
      <c r="E124" s="34">
        <v>7.4257425742570004E-3</v>
      </c>
    </row>
    <row r="125" spans="2:5" ht="15" customHeight="1">
      <c r="B125" s="84" t="s">
        <v>128</v>
      </c>
      <c r="C125" s="62" t="s">
        <v>154</v>
      </c>
      <c r="D125" s="63">
        <v>1</v>
      </c>
      <c r="E125" s="64">
        <v>2.475247524752E-3</v>
      </c>
    </row>
    <row r="126" spans="2:5" ht="15" customHeight="1">
      <c r="B126" s="86"/>
      <c r="C126" s="36" t="s">
        <v>28</v>
      </c>
      <c r="D126" s="35">
        <v>1</v>
      </c>
      <c r="E126" s="34">
        <v>2.475247524752E-3</v>
      </c>
    </row>
    <row r="127" spans="2:5" ht="15" customHeight="1">
      <c r="B127" s="84" t="s">
        <v>91</v>
      </c>
      <c r="C127" s="62" t="s">
        <v>154</v>
      </c>
      <c r="D127" s="63">
        <v>3</v>
      </c>
      <c r="E127" s="64">
        <v>7.4257425742570004E-3</v>
      </c>
    </row>
    <row r="128" spans="2:5" ht="15" customHeight="1">
      <c r="B128" s="85"/>
      <c r="C128" s="62" t="s">
        <v>153</v>
      </c>
      <c r="D128" s="63">
        <v>7</v>
      </c>
      <c r="E128" s="64">
        <v>1.7326732673266999E-2</v>
      </c>
    </row>
    <row r="129" spans="2:5" ht="15" customHeight="1">
      <c r="B129" s="85"/>
      <c r="C129" s="62" t="s">
        <v>156</v>
      </c>
      <c r="D129" s="63">
        <v>5</v>
      </c>
      <c r="E129" s="64">
        <v>1.2376237623762E-2</v>
      </c>
    </row>
    <row r="130" spans="2:5" ht="15" customHeight="1">
      <c r="B130" s="85"/>
      <c r="C130" s="62" t="s">
        <v>157</v>
      </c>
      <c r="D130" s="63">
        <v>1</v>
      </c>
      <c r="E130" s="64">
        <v>2.475247524752E-3</v>
      </c>
    </row>
    <row r="131" spans="2:5" ht="15" customHeight="1">
      <c r="B131" s="86"/>
      <c r="C131" s="36" t="s">
        <v>28</v>
      </c>
      <c r="D131" s="35">
        <v>16</v>
      </c>
      <c r="E131" s="34">
        <v>3.960396039604E-2</v>
      </c>
    </row>
    <row r="132" spans="2:5" ht="15" customHeight="1">
      <c r="B132" s="84" t="s">
        <v>96</v>
      </c>
      <c r="C132" s="62" t="s">
        <v>154</v>
      </c>
      <c r="D132" s="63">
        <v>5</v>
      </c>
      <c r="E132" s="64">
        <v>1.2376237623762E-2</v>
      </c>
    </row>
    <row r="133" spans="2:5" ht="15" customHeight="1">
      <c r="B133" s="85"/>
      <c r="C133" s="62" t="s">
        <v>153</v>
      </c>
      <c r="D133" s="63">
        <v>3</v>
      </c>
      <c r="E133" s="64">
        <v>7.4257425742570004E-3</v>
      </c>
    </row>
    <row r="134" spans="2:5" ht="15" customHeight="1">
      <c r="B134" s="85"/>
      <c r="C134" s="62" t="s">
        <v>157</v>
      </c>
      <c r="D134" s="63">
        <v>2</v>
      </c>
      <c r="E134" s="64">
        <v>4.950495049505E-3</v>
      </c>
    </row>
    <row r="135" spans="2:5" ht="15" customHeight="1">
      <c r="B135" s="86"/>
      <c r="C135" s="36" t="s">
        <v>28</v>
      </c>
      <c r="D135" s="35">
        <v>10</v>
      </c>
      <c r="E135" s="34">
        <v>2.4752475247525E-2</v>
      </c>
    </row>
    <row r="136" spans="2:5" ht="15" customHeight="1">
      <c r="B136" s="84" t="s">
        <v>114</v>
      </c>
      <c r="C136" s="62" t="s">
        <v>154</v>
      </c>
      <c r="D136" s="63">
        <v>2</v>
      </c>
      <c r="E136" s="64">
        <v>4.950495049505E-3</v>
      </c>
    </row>
    <row r="137" spans="2:5" ht="15" customHeight="1">
      <c r="B137" s="85"/>
      <c r="C137" s="62" t="s">
        <v>153</v>
      </c>
      <c r="D137" s="63">
        <v>1</v>
      </c>
      <c r="E137" s="64">
        <v>2.475247524752E-3</v>
      </c>
    </row>
    <row r="138" spans="2:5" ht="15" customHeight="1">
      <c r="B138" s="86"/>
      <c r="C138" s="36" t="s">
        <v>28</v>
      </c>
      <c r="D138" s="35">
        <v>3</v>
      </c>
      <c r="E138" s="34">
        <v>7.4257425742570004E-3</v>
      </c>
    </row>
    <row r="139" spans="2:5" ht="15" customHeight="1">
      <c r="B139" s="84" t="s">
        <v>100</v>
      </c>
      <c r="C139" s="62" t="s">
        <v>154</v>
      </c>
      <c r="D139" s="63">
        <v>1</v>
      </c>
      <c r="E139" s="64">
        <v>2.475247524752E-3</v>
      </c>
    </row>
    <row r="140" spans="2:5" ht="15" customHeight="1">
      <c r="B140" s="85"/>
      <c r="C140" s="62" t="s">
        <v>153</v>
      </c>
      <c r="D140" s="63">
        <v>4</v>
      </c>
      <c r="E140" s="64">
        <v>9.90099009901E-3</v>
      </c>
    </row>
    <row r="141" spans="2:5" ht="15" customHeight="1">
      <c r="B141" s="85"/>
      <c r="C141" s="62" t="s">
        <v>155</v>
      </c>
      <c r="D141" s="63">
        <v>1</v>
      </c>
      <c r="E141" s="64">
        <v>2.475247524752E-3</v>
      </c>
    </row>
    <row r="142" spans="2:5" ht="15" customHeight="1">
      <c r="B142" s="85"/>
      <c r="C142" s="62" t="s">
        <v>156</v>
      </c>
      <c r="D142" s="63">
        <v>1</v>
      </c>
      <c r="E142" s="64">
        <v>2.475247524752E-3</v>
      </c>
    </row>
    <row r="143" spans="2:5" ht="15" customHeight="1">
      <c r="B143" s="85"/>
      <c r="C143" s="62" t="s">
        <v>157</v>
      </c>
      <c r="D143" s="63">
        <v>1</v>
      </c>
      <c r="E143" s="64">
        <v>2.475247524752E-3</v>
      </c>
    </row>
    <row r="144" spans="2:5" ht="15" customHeight="1">
      <c r="B144" s="86"/>
      <c r="C144" s="36" t="s">
        <v>28</v>
      </c>
      <c r="D144" s="35">
        <v>8</v>
      </c>
      <c r="E144" s="34">
        <v>1.980198019802E-2</v>
      </c>
    </row>
    <row r="145" spans="2:5" ht="15" customHeight="1">
      <c r="B145" s="84" t="s">
        <v>111</v>
      </c>
      <c r="C145" s="62" t="s">
        <v>154</v>
      </c>
      <c r="D145" s="63">
        <v>1</v>
      </c>
      <c r="E145" s="64">
        <v>2.475247524752E-3</v>
      </c>
    </row>
    <row r="146" spans="2:5" ht="15" customHeight="1">
      <c r="B146" s="85"/>
      <c r="C146" s="62" t="s">
        <v>153</v>
      </c>
      <c r="D146" s="63">
        <v>3</v>
      </c>
      <c r="E146" s="64">
        <v>7.4257425742570004E-3</v>
      </c>
    </row>
    <row r="147" spans="2:5" ht="15" customHeight="1">
      <c r="B147" s="86"/>
      <c r="C147" s="36" t="s">
        <v>28</v>
      </c>
      <c r="D147" s="35">
        <v>4</v>
      </c>
      <c r="E147" s="34">
        <v>9.90099009901E-3</v>
      </c>
    </row>
    <row r="148" spans="2:5" ht="15" customHeight="1">
      <c r="B148" s="84" t="s">
        <v>90</v>
      </c>
      <c r="C148" s="62" t="s">
        <v>154</v>
      </c>
      <c r="D148" s="63">
        <v>7</v>
      </c>
      <c r="E148" s="64">
        <v>1.7326732673266999E-2</v>
      </c>
    </row>
    <row r="149" spans="2:5" ht="15" customHeight="1">
      <c r="B149" s="85"/>
      <c r="C149" s="62" t="s">
        <v>153</v>
      </c>
      <c r="D149" s="63">
        <v>7</v>
      </c>
      <c r="E149" s="64">
        <v>1.7326732673266999E-2</v>
      </c>
    </row>
    <row r="150" spans="2:5" ht="15" customHeight="1">
      <c r="B150" s="85"/>
      <c r="C150" s="62" t="s">
        <v>156</v>
      </c>
      <c r="D150" s="63">
        <v>2</v>
      </c>
      <c r="E150" s="64">
        <v>4.950495049505E-3</v>
      </c>
    </row>
    <row r="151" spans="2:5" ht="15" customHeight="1">
      <c r="B151" s="85"/>
      <c r="C151" s="62" t="s">
        <v>157</v>
      </c>
      <c r="D151" s="63">
        <v>1</v>
      </c>
      <c r="E151" s="64">
        <v>2.475247524752E-3</v>
      </c>
    </row>
    <row r="152" spans="2:5" ht="15" customHeight="1">
      <c r="B152" s="86"/>
      <c r="C152" s="36" t="s">
        <v>28</v>
      </c>
      <c r="D152" s="35">
        <v>17</v>
      </c>
      <c r="E152" s="34">
        <v>4.2079207920791999E-2</v>
      </c>
    </row>
    <row r="153" spans="2:5" ht="15" customHeight="1">
      <c r="B153" s="84" t="s">
        <v>103</v>
      </c>
      <c r="C153" s="62" t="s">
        <v>154</v>
      </c>
      <c r="D153" s="63">
        <v>2</v>
      </c>
      <c r="E153" s="64">
        <v>4.950495049505E-3</v>
      </c>
    </row>
    <row r="154" spans="2:5" ht="15" customHeight="1">
      <c r="B154" s="85"/>
      <c r="C154" s="62" t="s">
        <v>153</v>
      </c>
      <c r="D154" s="63">
        <v>1</v>
      </c>
      <c r="E154" s="64">
        <v>2.475247524752E-3</v>
      </c>
    </row>
    <row r="155" spans="2:5" ht="15" customHeight="1">
      <c r="B155" s="85"/>
      <c r="C155" s="62" t="s">
        <v>156</v>
      </c>
      <c r="D155" s="63">
        <v>1</v>
      </c>
      <c r="E155" s="64">
        <v>2.475247524752E-3</v>
      </c>
    </row>
    <row r="156" spans="2:5" ht="15" customHeight="1">
      <c r="B156" s="85"/>
      <c r="C156" s="62" t="s">
        <v>157</v>
      </c>
      <c r="D156" s="63">
        <v>3</v>
      </c>
      <c r="E156" s="64">
        <v>7.4257425742570004E-3</v>
      </c>
    </row>
    <row r="157" spans="2:5" ht="15" customHeight="1">
      <c r="B157" s="86"/>
      <c r="C157" s="36" t="s">
        <v>28</v>
      </c>
      <c r="D157" s="35">
        <v>7</v>
      </c>
      <c r="E157" s="34">
        <v>1.7326732673266999E-2</v>
      </c>
    </row>
    <row r="158" spans="2:5" ht="15" customHeight="1">
      <c r="B158" s="84" t="s">
        <v>97</v>
      </c>
      <c r="C158" s="62" t="s">
        <v>154</v>
      </c>
      <c r="D158" s="63">
        <v>5</v>
      </c>
      <c r="E158" s="64">
        <v>1.2376237623762E-2</v>
      </c>
    </row>
    <row r="159" spans="2:5" ht="15" customHeight="1">
      <c r="B159" s="85"/>
      <c r="C159" s="62" t="s">
        <v>153</v>
      </c>
      <c r="D159" s="63">
        <v>3</v>
      </c>
      <c r="E159" s="64">
        <v>7.4257425742570004E-3</v>
      </c>
    </row>
    <row r="160" spans="2:5" ht="15" customHeight="1">
      <c r="B160" s="85"/>
      <c r="C160" s="62" t="s">
        <v>156</v>
      </c>
      <c r="D160" s="63">
        <v>1</v>
      </c>
      <c r="E160" s="64">
        <v>2.475247524752E-3</v>
      </c>
    </row>
    <row r="161" spans="2:5" ht="15" customHeight="1">
      <c r="B161" s="85"/>
      <c r="C161" s="62" t="s">
        <v>157</v>
      </c>
      <c r="D161" s="63">
        <v>1</v>
      </c>
      <c r="E161" s="64">
        <v>2.475247524752E-3</v>
      </c>
    </row>
    <row r="162" spans="2:5" ht="15" customHeight="1">
      <c r="B162" s="86"/>
      <c r="C162" s="36" t="s">
        <v>28</v>
      </c>
      <c r="D162" s="35">
        <v>10</v>
      </c>
      <c r="E162" s="34">
        <v>2.4752475247525E-2</v>
      </c>
    </row>
    <row r="163" spans="2:5" ht="15" customHeight="1">
      <c r="B163" s="84" t="s">
        <v>98</v>
      </c>
      <c r="C163" s="62" t="s">
        <v>154</v>
      </c>
      <c r="D163" s="63">
        <v>2</v>
      </c>
      <c r="E163" s="64">
        <v>4.950495049505E-3</v>
      </c>
    </row>
    <row r="164" spans="2:5" ht="15" customHeight="1">
      <c r="B164" s="85"/>
      <c r="C164" s="62" t="s">
        <v>153</v>
      </c>
      <c r="D164" s="63">
        <v>4</v>
      </c>
      <c r="E164" s="64">
        <v>9.90099009901E-3</v>
      </c>
    </row>
    <row r="165" spans="2:5" ht="15" customHeight="1">
      <c r="B165" s="85"/>
      <c r="C165" s="62" t="s">
        <v>157</v>
      </c>
      <c r="D165" s="63">
        <v>4</v>
      </c>
      <c r="E165" s="64">
        <v>9.90099009901E-3</v>
      </c>
    </row>
    <row r="166" spans="2:5" ht="15" customHeight="1">
      <c r="B166" s="86"/>
      <c r="C166" s="36" t="s">
        <v>28</v>
      </c>
      <c r="D166" s="35">
        <v>10</v>
      </c>
      <c r="E166" s="34">
        <v>2.4752475247525E-2</v>
      </c>
    </row>
    <row r="167" spans="2:5" ht="15" customHeight="1">
      <c r="B167" s="84" t="s">
        <v>89</v>
      </c>
      <c r="C167" s="62" t="s">
        <v>154</v>
      </c>
      <c r="D167" s="63">
        <v>10</v>
      </c>
      <c r="E167" s="64">
        <v>2.4752475247525E-2</v>
      </c>
    </row>
    <row r="168" spans="2:5" ht="15" customHeight="1">
      <c r="B168" s="85"/>
      <c r="C168" s="62" t="s">
        <v>153</v>
      </c>
      <c r="D168" s="63">
        <v>5</v>
      </c>
      <c r="E168" s="64">
        <v>1.2376237623762E-2</v>
      </c>
    </row>
    <row r="169" spans="2:5" ht="15" customHeight="1">
      <c r="B169" s="85"/>
      <c r="C169" s="62" t="s">
        <v>155</v>
      </c>
      <c r="D169" s="63">
        <v>1</v>
      </c>
      <c r="E169" s="64">
        <v>2.475247524752E-3</v>
      </c>
    </row>
    <row r="170" spans="2:5" ht="15" customHeight="1">
      <c r="B170" s="85"/>
      <c r="C170" s="62" t="s">
        <v>156</v>
      </c>
      <c r="D170" s="63">
        <v>1</v>
      </c>
      <c r="E170" s="64">
        <v>2.475247524752E-3</v>
      </c>
    </row>
    <row r="171" spans="2:5" ht="15" customHeight="1">
      <c r="B171" s="85"/>
      <c r="C171" s="62" t="s">
        <v>157</v>
      </c>
      <c r="D171" s="63">
        <v>2</v>
      </c>
      <c r="E171" s="64">
        <v>4.950495049505E-3</v>
      </c>
    </row>
    <row r="172" spans="2:5" ht="15" customHeight="1">
      <c r="B172" s="86"/>
      <c r="C172" s="36" t="s">
        <v>28</v>
      </c>
      <c r="D172" s="35">
        <v>19</v>
      </c>
      <c r="E172" s="34">
        <v>4.7029702970297002E-2</v>
      </c>
    </row>
    <row r="173" spans="2:5" ht="15" customHeight="1">
      <c r="B173" s="84" t="s">
        <v>107</v>
      </c>
      <c r="C173" s="62" t="s">
        <v>154</v>
      </c>
      <c r="D173" s="63">
        <v>2</v>
      </c>
      <c r="E173" s="64">
        <v>4.950495049505E-3</v>
      </c>
    </row>
    <row r="174" spans="2:5" ht="15" customHeight="1">
      <c r="B174" s="85"/>
      <c r="C174" s="62" t="s">
        <v>153</v>
      </c>
      <c r="D174" s="63">
        <v>3</v>
      </c>
      <c r="E174" s="64">
        <v>7.4257425742570004E-3</v>
      </c>
    </row>
    <row r="175" spans="2:5" ht="15" customHeight="1">
      <c r="B175" s="85"/>
      <c r="C175" s="62" t="s">
        <v>157</v>
      </c>
      <c r="D175" s="63">
        <v>1</v>
      </c>
      <c r="E175" s="64">
        <v>2.475247524752E-3</v>
      </c>
    </row>
    <row r="176" spans="2:5" ht="15" customHeight="1">
      <c r="B176" s="86"/>
      <c r="C176" s="36" t="s">
        <v>28</v>
      </c>
      <c r="D176" s="35">
        <v>6</v>
      </c>
      <c r="E176" s="34">
        <v>1.4851485148515E-2</v>
      </c>
    </row>
    <row r="177" spans="2:5" ht="15" customHeight="1">
      <c r="B177" s="84" t="s">
        <v>115</v>
      </c>
      <c r="C177" s="62" t="s">
        <v>153</v>
      </c>
      <c r="D177" s="63">
        <v>1</v>
      </c>
      <c r="E177" s="64">
        <v>2.475247524752E-3</v>
      </c>
    </row>
    <row r="178" spans="2:5" ht="15" customHeight="1">
      <c r="B178" s="85"/>
      <c r="C178" s="62" t="s">
        <v>156</v>
      </c>
      <c r="D178" s="63">
        <v>2</v>
      </c>
      <c r="E178" s="64">
        <v>4.950495049505E-3</v>
      </c>
    </row>
    <row r="179" spans="2:5" ht="15" customHeight="1">
      <c r="B179" s="86"/>
      <c r="C179" s="36" t="s">
        <v>28</v>
      </c>
      <c r="D179" s="35">
        <v>3</v>
      </c>
      <c r="E179" s="34">
        <v>7.4257425742570004E-3</v>
      </c>
    </row>
    <row r="180" spans="2:5" ht="15" customHeight="1">
      <c r="B180" s="88" t="s">
        <v>28</v>
      </c>
      <c r="C180" s="89"/>
      <c r="D180" s="60">
        <v>404</v>
      </c>
      <c r="E180" s="66">
        <v>1</v>
      </c>
    </row>
    <row r="182" spans="2:5" ht="15" customHeight="1">
      <c r="B182" s="15" t="s">
        <v>46</v>
      </c>
    </row>
    <row r="183" spans="2:5" ht="15" customHeight="1">
      <c r="B183" s="17" t="s">
        <v>17</v>
      </c>
    </row>
    <row r="184" spans="2:5" ht="15" customHeight="1">
      <c r="B184" s="16" t="s">
        <v>47</v>
      </c>
    </row>
    <row r="185" spans="2:5" ht="15" customHeight="1">
      <c r="B185" s="15" t="s">
        <v>16</v>
      </c>
    </row>
    <row r="186" spans="2:5" ht="15" customHeight="1">
      <c r="B186" s="15" t="s">
        <v>48</v>
      </c>
    </row>
  </sheetData>
  <mergeCells count="47">
    <mergeCell ref="B49:B53"/>
    <mergeCell ref="B54:B58"/>
    <mergeCell ref="B7:E8"/>
    <mergeCell ref="B10:B12"/>
    <mergeCell ref="B13:B16"/>
    <mergeCell ref="B17:B19"/>
    <mergeCell ref="B20:B23"/>
    <mergeCell ref="B24:B26"/>
    <mergeCell ref="B27:B31"/>
    <mergeCell ref="B32:B35"/>
    <mergeCell ref="B36:B38"/>
    <mergeCell ref="B39:B40"/>
    <mergeCell ref="B41:B43"/>
    <mergeCell ref="B44:B48"/>
    <mergeCell ref="B132:B135"/>
    <mergeCell ref="B59:B61"/>
    <mergeCell ref="B62:B65"/>
    <mergeCell ref="B66:B67"/>
    <mergeCell ref="B68:B71"/>
    <mergeCell ref="B72:B75"/>
    <mergeCell ref="B111:B115"/>
    <mergeCell ref="B116:B121"/>
    <mergeCell ref="B122:B124"/>
    <mergeCell ref="B125:B126"/>
    <mergeCell ref="B127:B131"/>
    <mergeCell ref="B76:B80"/>
    <mergeCell ref="B81:B83"/>
    <mergeCell ref="B84:B87"/>
    <mergeCell ref="B88:B89"/>
    <mergeCell ref="B90:B92"/>
    <mergeCell ref="B93:B94"/>
    <mergeCell ref="B95:B96"/>
    <mergeCell ref="B97:B99"/>
    <mergeCell ref="B100:B103"/>
    <mergeCell ref="B107:B110"/>
    <mergeCell ref="B104:B106"/>
    <mergeCell ref="B136:B138"/>
    <mergeCell ref="B139:B144"/>
    <mergeCell ref="B145:B147"/>
    <mergeCell ref="B148:B152"/>
    <mergeCell ref="B153:B157"/>
    <mergeCell ref="B180:C180"/>
    <mergeCell ref="B158:B162"/>
    <mergeCell ref="B163:B166"/>
    <mergeCell ref="B167:B172"/>
    <mergeCell ref="B173:B176"/>
    <mergeCell ref="B177:B1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63"/>
  <sheetViews>
    <sheetView showGridLines="0" view="pageBreakPreview" topLeftCell="A30" zoomScale="115" zoomScaleNormal="100" zoomScaleSheetLayoutView="115" workbookViewId="0">
      <selection activeCell="B22" sqref="B22"/>
    </sheetView>
  </sheetViews>
  <sheetFormatPr baseColWidth="10" defaultColWidth="11.453125" defaultRowHeight="14.5"/>
  <cols>
    <col min="1" max="1" width="9.26953125" style="13" customWidth="1"/>
    <col min="2" max="2" width="28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3" t="s">
        <v>37</v>
      </c>
      <c r="C7" s="83"/>
      <c r="D7" s="83"/>
    </row>
    <row r="8" spans="2:4" s="25" customFormat="1" ht="15" customHeight="1">
      <c r="B8" s="83"/>
      <c r="C8" s="83"/>
      <c r="D8" s="83"/>
    </row>
    <row r="9" spans="2:4" s="25" customFormat="1" ht="33" customHeight="1">
      <c r="B9" s="83"/>
      <c r="C9" s="83"/>
      <c r="D9" s="83"/>
    </row>
    <row r="10" spans="2:4" s="25" customFormat="1" ht="4.5" customHeight="1">
      <c r="B10" s="29"/>
      <c r="C10" s="29"/>
      <c r="D10" s="29"/>
    </row>
    <row r="11" spans="2:4" s="25" customFormat="1" ht="33.75" customHeight="1">
      <c r="B11" s="70" t="s">
        <v>26</v>
      </c>
      <c r="C11" s="71" t="s">
        <v>25</v>
      </c>
      <c r="D11" s="70" t="s">
        <v>18</v>
      </c>
    </row>
    <row r="12" spans="2:4">
      <c r="B12" s="23" t="s">
        <v>158</v>
      </c>
      <c r="C12" s="22">
        <v>8</v>
      </c>
      <c r="D12" s="21">
        <v>1.980198019802E-2</v>
      </c>
    </row>
    <row r="13" spans="2:4">
      <c r="B13" s="23" t="s">
        <v>159</v>
      </c>
      <c r="C13" s="22">
        <v>2</v>
      </c>
      <c r="D13" s="21">
        <v>4.950495049505E-3</v>
      </c>
    </row>
    <row r="14" spans="2:4">
      <c r="B14" s="23" t="s">
        <v>160</v>
      </c>
      <c r="C14" s="22">
        <v>5</v>
      </c>
      <c r="D14" s="21">
        <v>1.2376237623762E-2</v>
      </c>
    </row>
    <row r="15" spans="2:4">
      <c r="B15" s="23" t="s">
        <v>161</v>
      </c>
      <c r="C15" s="22">
        <v>2</v>
      </c>
      <c r="D15" s="21">
        <v>4.950495049505E-3</v>
      </c>
    </row>
    <row r="16" spans="2:4">
      <c r="B16" s="23" t="s">
        <v>162</v>
      </c>
      <c r="C16" s="22">
        <v>4</v>
      </c>
      <c r="D16" s="21">
        <v>9.90099009901E-3</v>
      </c>
    </row>
    <row r="17" spans="2:4">
      <c r="B17" s="23" t="s">
        <v>163</v>
      </c>
      <c r="C17" s="22">
        <v>19</v>
      </c>
      <c r="D17" s="21">
        <v>4.7029702970297002E-2</v>
      </c>
    </row>
    <row r="18" spans="2:4">
      <c r="B18" s="23" t="s">
        <v>164</v>
      </c>
      <c r="C18" s="22">
        <v>38</v>
      </c>
      <c r="D18" s="21">
        <v>9.4059405940594004E-2</v>
      </c>
    </row>
    <row r="19" spans="2:4">
      <c r="B19" s="23" t="s">
        <v>165</v>
      </c>
      <c r="C19" s="22">
        <v>3</v>
      </c>
      <c r="D19" s="21">
        <v>7.4257425742570004E-3</v>
      </c>
    </row>
    <row r="20" spans="2:4">
      <c r="B20" s="23" t="s">
        <v>166</v>
      </c>
      <c r="C20" s="22">
        <v>9</v>
      </c>
      <c r="D20" s="21">
        <v>2.2277227722771999E-2</v>
      </c>
    </row>
    <row r="21" spans="2:4">
      <c r="B21" s="23" t="s">
        <v>167</v>
      </c>
      <c r="C21" s="22">
        <v>14</v>
      </c>
      <c r="D21" s="21">
        <v>3.4653465346535003E-2</v>
      </c>
    </row>
    <row r="22" spans="2:4" ht="27.5" customHeight="1">
      <c r="B22" s="23" t="s">
        <v>168</v>
      </c>
      <c r="C22" s="22">
        <v>94</v>
      </c>
      <c r="D22" s="21">
        <v>0.23267326732673299</v>
      </c>
    </row>
    <row r="23" spans="2:4">
      <c r="B23" s="23" t="s">
        <v>169</v>
      </c>
      <c r="C23" s="22">
        <v>3</v>
      </c>
      <c r="D23" s="21">
        <v>7.4257425742570004E-3</v>
      </c>
    </row>
    <row r="24" spans="2:4" ht="28">
      <c r="B24" s="23" t="s">
        <v>170</v>
      </c>
      <c r="C24" s="22">
        <v>44</v>
      </c>
      <c r="D24" s="21">
        <v>0.10891089108910899</v>
      </c>
    </row>
    <row r="25" spans="2:4" ht="28">
      <c r="B25" s="23" t="s">
        <v>171</v>
      </c>
      <c r="C25" s="22">
        <v>121</v>
      </c>
      <c r="D25" s="21">
        <v>0.29950495049504999</v>
      </c>
    </row>
    <row r="26" spans="2:4">
      <c r="B26" s="23" t="s">
        <v>172</v>
      </c>
      <c r="C26" s="22">
        <v>2</v>
      </c>
      <c r="D26" s="21">
        <v>4.950495049505E-3</v>
      </c>
    </row>
    <row r="27" spans="2:4">
      <c r="B27" s="23" t="s">
        <v>173</v>
      </c>
      <c r="C27" s="22">
        <v>1</v>
      </c>
      <c r="D27" s="21">
        <v>2.475247524752E-3</v>
      </c>
    </row>
    <row r="28" spans="2:4">
      <c r="B28" s="23" t="s">
        <v>174</v>
      </c>
      <c r="C28" s="22">
        <v>1</v>
      </c>
      <c r="D28" s="21">
        <v>2.475247524752E-3</v>
      </c>
    </row>
    <row r="29" spans="2:4">
      <c r="B29" s="23" t="s">
        <v>175</v>
      </c>
      <c r="C29" s="22">
        <v>12</v>
      </c>
      <c r="D29" s="21">
        <v>2.970297029703E-2</v>
      </c>
    </row>
    <row r="30" spans="2:4">
      <c r="B30" s="23" t="s">
        <v>176</v>
      </c>
      <c r="C30" s="22">
        <v>18</v>
      </c>
      <c r="D30" s="21">
        <v>4.4554455445545003E-2</v>
      </c>
    </row>
    <row r="31" spans="2:4">
      <c r="B31" s="23" t="s">
        <v>177</v>
      </c>
      <c r="C31" s="22">
        <v>2</v>
      </c>
      <c r="D31" s="21">
        <v>4.950495049505E-3</v>
      </c>
    </row>
    <row r="32" spans="2:4">
      <c r="B32" s="23" t="s">
        <v>178</v>
      </c>
      <c r="C32" s="22">
        <v>2</v>
      </c>
      <c r="D32" s="21">
        <v>4.950495049505E-3</v>
      </c>
    </row>
    <row r="33" spans="2:4">
      <c r="B33" s="20" t="s">
        <v>28</v>
      </c>
      <c r="C33" s="19">
        <v>404</v>
      </c>
      <c r="D33" s="18">
        <v>1</v>
      </c>
    </row>
    <row r="34" spans="2:4">
      <c r="C34" s="13"/>
    </row>
    <row r="35" spans="2:4">
      <c r="B35" s="15" t="s">
        <v>46</v>
      </c>
      <c r="C35" s="13"/>
    </row>
    <row r="36" spans="2:4">
      <c r="B36" s="17" t="s">
        <v>17</v>
      </c>
      <c r="C36" s="13"/>
    </row>
    <row r="37" spans="2:4">
      <c r="B37" s="16" t="s">
        <v>47</v>
      </c>
      <c r="C37" s="13"/>
    </row>
    <row r="38" spans="2:4">
      <c r="B38" s="15" t="s">
        <v>16</v>
      </c>
      <c r="C38" s="13"/>
    </row>
    <row r="39" spans="2:4">
      <c r="B39" s="15" t="s">
        <v>48</v>
      </c>
      <c r="C39" s="13"/>
    </row>
    <row r="40" spans="2:4">
      <c r="C40" s="13"/>
    </row>
    <row r="43" spans="2:4">
      <c r="C43" s="13"/>
    </row>
    <row r="44" spans="2:4">
      <c r="C44" s="13"/>
    </row>
    <row r="45" spans="2:4">
      <c r="C45" s="13"/>
    </row>
    <row r="46" spans="2:4">
      <c r="C46" s="13"/>
    </row>
    <row r="47" spans="2:4">
      <c r="C47" s="1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176"/>
  <sheetViews>
    <sheetView showGridLines="0" view="pageBreakPreview" topLeftCell="A163" zoomScale="85" zoomScaleNormal="100" zoomScaleSheetLayoutView="85" workbookViewId="0">
      <selection activeCell="C172" sqref="C172"/>
    </sheetView>
  </sheetViews>
  <sheetFormatPr baseColWidth="10" defaultColWidth="35" defaultRowHeight="15" customHeight="1"/>
  <cols>
    <col min="1" max="1" width="1" style="32" customWidth="1"/>
    <col min="2" max="2" width="29.54296875" style="33" customWidth="1"/>
    <col min="3" max="3" width="30.17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7"/>
      <c r="C7" s="87"/>
      <c r="D7" s="87"/>
      <c r="E7" s="87"/>
    </row>
    <row r="8" spans="1:5" s="41" customFormat="1" ht="33" customHeight="1">
      <c r="A8" s="42"/>
      <c r="B8" s="87"/>
      <c r="C8" s="87"/>
      <c r="D8" s="87"/>
      <c r="E8" s="87"/>
    </row>
    <row r="9" spans="1:5" s="25" customFormat="1" ht="40.5" customHeight="1">
      <c r="B9" s="67" t="s">
        <v>27</v>
      </c>
      <c r="C9" s="68" t="s">
        <v>24</v>
      </c>
      <c r="D9" s="69" t="s">
        <v>19</v>
      </c>
      <c r="E9" s="67" t="s">
        <v>18</v>
      </c>
    </row>
    <row r="10" spans="1:5" ht="15" customHeight="1">
      <c r="B10" s="91" t="s">
        <v>158</v>
      </c>
      <c r="C10" s="62" t="s">
        <v>52</v>
      </c>
      <c r="D10" s="63">
        <v>6</v>
      </c>
      <c r="E10" s="64">
        <v>1.4851485148515E-2</v>
      </c>
    </row>
    <row r="11" spans="1:5" ht="15" customHeight="1">
      <c r="B11" s="91"/>
      <c r="C11" s="62" t="s">
        <v>55</v>
      </c>
      <c r="D11" s="63">
        <v>1</v>
      </c>
      <c r="E11" s="64">
        <v>2.475247524752E-3</v>
      </c>
    </row>
    <row r="12" spans="1:5" ht="15" customHeight="1">
      <c r="B12" s="91"/>
      <c r="C12" s="62" t="s">
        <v>61</v>
      </c>
      <c r="D12" s="63">
        <v>1</v>
      </c>
      <c r="E12" s="64">
        <v>2.475247524752E-3</v>
      </c>
    </row>
    <row r="13" spans="1:5" ht="15" customHeight="1">
      <c r="B13" s="91"/>
      <c r="C13" s="36" t="s">
        <v>28</v>
      </c>
      <c r="D13" s="35">
        <v>8</v>
      </c>
      <c r="E13" s="34">
        <v>1.980198019802E-2</v>
      </c>
    </row>
    <row r="14" spans="1:5" ht="15" customHeight="1">
      <c r="B14" s="91" t="s">
        <v>159</v>
      </c>
      <c r="C14" s="62" t="s">
        <v>52</v>
      </c>
      <c r="D14" s="63">
        <v>2</v>
      </c>
      <c r="E14" s="64">
        <v>4.950495049505E-3</v>
      </c>
    </row>
    <row r="15" spans="1:5" ht="15" customHeight="1">
      <c r="B15" s="91"/>
      <c r="C15" s="36" t="s">
        <v>28</v>
      </c>
      <c r="D15" s="35">
        <v>2</v>
      </c>
      <c r="E15" s="34">
        <v>4.950495049505E-3</v>
      </c>
    </row>
    <row r="16" spans="1:5" ht="15" customHeight="1">
      <c r="B16" s="91" t="s">
        <v>160</v>
      </c>
      <c r="C16" s="62" t="s">
        <v>52</v>
      </c>
      <c r="D16" s="63">
        <v>2</v>
      </c>
      <c r="E16" s="64">
        <v>4.950495049505E-3</v>
      </c>
    </row>
    <row r="17" spans="2:5" ht="15" customHeight="1">
      <c r="B17" s="91"/>
      <c r="C17" s="62" t="s">
        <v>55</v>
      </c>
      <c r="D17" s="63">
        <v>1</v>
      </c>
      <c r="E17" s="64">
        <v>2.475247524752E-3</v>
      </c>
    </row>
    <row r="18" spans="2:5" ht="15" customHeight="1">
      <c r="B18" s="91"/>
      <c r="C18" s="62" t="s">
        <v>77</v>
      </c>
      <c r="D18" s="63">
        <v>1</v>
      </c>
      <c r="E18" s="64">
        <v>2.475247524752E-3</v>
      </c>
    </row>
    <row r="19" spans="2:5" ht="15" customHeight="1">
      <c r="B19" s="91"/>
      <c r="C19" s="62" t="s">
        <v>82</v>
      </c>
      <c r="D19" s="63">
        <v>1</v>
      </c>
      <c r="E19" s="64">
        <v>2.475247524752E-3</v>
      </c>
    </row>
    <row r="20" spans="2:5" ht="15" customHeight="1">
      <c r="B20" s="91"/>
      <c r="C20" s="36" t="s">
        <v>28</v>
      </c>
      <c r="D20" s="35">
        <v>5</v>
      </c>
      <c r="E20" s="34">
        <v>1.2376237623762E-2</v>
      </c>
    </row>
    <row r="21" spans="2:5" ht="15" customHeight="1">
      <c r="B21" s="91" t="s">
        <v>161</v>
      </c>
      <c r="C21" s="62" t="s">
        <v>52</v>
      </c>
      <c r="D21" s="63">
        <v>2</v>
      </c>
      <c r="E21" s="64">
        <v>4.950495049505E-3</v>
      </c>
    </row>
    <row r="22" spans="2:5" ht="15" customHeight="1">
      <c r="B22" s="91"/>
      <c r="C22" s="36" t="s">
        <v>28</v>
      </c>
      <c r="D22" s="35">
        <v>2</v>
      </c>
      <c r="E22" s="34">
        <v>4.950495049505E-3</v>
      </c>
    </row>
    <row r="23" spans="2:5" ht="15" customHeight="1">
      <c r="B23" s="91" t="s">
        <v>162</v>
      </c>
      <c r="C23" s="62" t="s">
        <v>52</v>
      </c>
      <c r="D23" s="63">
        <v>1</v>
      </c>
      <c r="E23" s="64">
        <v>2.475247524752E-3</v>
      </c>
    </row>
    <row r="24" spans="2:5" ht="15" customHeight="1">
      <c r="B24" s="91"/>
      <c r="C24" s="62" t="s">
        <v>67</v>
      </c>
      <c r="D24" s="63">
        <v>1</v>
      </c>
      <c r="E24" s="64">
        <v>2.475247524752E-3</v>
      </c>
    </row>
    <row r="25" spans="2:5" ht="15" customHeight="1">
      <c r="B25" s="91"/>
      <c r="C25" s="62" t="s">
        <v>73</v>
      </c>
      <c r="D25" s="63">
        <v>1</v>
      </c>
      <c r="E25" s="64">
        <v>2.475247524752E-3</v>
      </c>
    </row>
    <row r="26" spans="2:5" ht="15" customHeight="1">
      <c r="B26" s="91"/>
      <c r="C26" s="62" t="s">
        <v>80</v>
      </c>
      <c r="D26" s="63">
        <v>1</v>
      </c>
      <c r="E26" s="64">
        <v>2.475247524752E-3</v>
      </c>
    </row>
    <row r="27" spans="2:5" ht="15" customHeight="1">
      <c r="B27" s="91"/>
      <c r="C27" s="36" t="s">
        <v>28</v>
      </c>
      <c r="D27" s="35">
        <v>4</v>
      </c>
      <c r="E27" s="34">
        <v>9.90099009901E-3</v>
      </c>
    </row>
    <row r="28" spans="2:5" ht="15" customHeight="1">
      <c r="B28" s="91" t="s">
        <v>163</v>
      </c>
      <c r="C28" s="62" t="s">
        <v>52</v>
      </c>
      <c r="D28" s="63">
        <v>12</v>
      </c>
      <c r="E28" s="64">
        <v>2.970297029703E-2</v>
      </c>
    </row>
    <row r="29" spans="2:5" ht="15" customHeight="1">
      <c r="B29" s="91"/>
      <c r="C29" s="62" t="s">
        <v>53</v>
      </c>
      <c r="D29" s="63">
        <v>1</v>
      </c>
      <c r="E29" s="64">
        <v>2.475247524752E-3</v>
      </c>
    </row>
    <row r="30" spans="2:5" ht="15" customHeight="1">
      <c r="B30" s="91"/>
      <c r="C30" s="62" t="s">
        <v>58</v>
      </c>
      <c r="D30" s="63">
        <v>2</v>
      </c>
      <c r="E30" s="64">
        <v>4.950495049505E-3</v>
      </c>
    </row>
    <row r="31" spans="2:5" ht="15" customHeight="1">
      <c r="B31" s="91"/>
      <c r="C31" s="62" t="s">
        <v>60</v>
      </c>
      <c r="D31" s="63">
        <v>1</v>
      </c>
      <c r="E31" s="64">
        <v>2.475247524752E-3</v>
      </c>
    </row>
    <row r="32" spans="2:5" ht="15" customHeight="1">
      <c r="B32" s="91"/>
      <c r="C32" s="62" t="s">
        <v>69</v>
      </c>
      <c r="D32" s="63">
        <v>1</v>
      </c>
      <c r="E32" s="64">
        <v>2.475247524752E-3</v>
      </c>
    </row>
    <row r="33" spans="2:5" ht="15" customHeight="1">
      <c r="B33" s="91"/>
      <c r="C33" s="62" t="s">
        <v>75</v>
      </c>
      <c r="D33" s="63">
        <v>1</v>
      </c>
      <c r="E33" s="64">
        <v>2.475247524752E-3</v>
      </c>
    </row>
    <row r="34" spans="2:5" ht="15" customHeight="1">
      <c r="B34" s="91"/>
      <c r="C34" s="62" t="s">
        <v>76</v>
      </c>
      <c r="D34" s="63">
        <v>1</v>
      </c>
      <c r="E34" s="64">
        <v>2.475247524752E-3</v>
      </c>
    </row>
    <row r="35" spans="2:5" ht="15" customHeight="1">
      <c r="B35" s="91"/>
      <c r="C35" s="36" t="s">
        <v>28</v>
      </c>
      <c r="D35" s="35">
        <v>19</v>
      </c>
      <c r="E35" s="34">
        <v>4.7029702970297002E-2</v>
      </c>
    </row>
    <row r="36" spans="2:5" ht="15" customHeight="1">
      <c r="B36" s="91" t="s">
        <v>164</v>
      </c>
      <c r="C36" s="62" t="s">
        <v>50</v>
      </c>
      <c r="D36" s="63">
        <v>1</v>
      </c>
      <c r="E36" s="64">
        <v>2.475247524752E-3</v>
      </c>
    </row>
    <row r="37" spans="2:5" ht="15" customHeight="1">
      <c r="B37" s="91"/>
      <c r="C37" s="62" t="s">
        <v>52</v>
      </c>
      <c r="D37" s="63">
        <v>19</v>
      </c>
      <c r="E37" s="64">
        <v>4.7029702970297002E-2</v>
      </c>
    </row>
    <row r="38" spans="2:5" ht="15" customHeight="1">
      <c r="B38" s="91"/>
      <c r="C38" s="62" t="s">
        <v>53</v>
      </c>
      <c r="D38" s="63">
        <v>1</v>
      </c>
      <c r="E38" s="64">
        <v>2.475247524752E-3</v>
      </c>
    </row>
    <row r="39" spans="2:5" ht="15" customHeight="1">
      <c r="B39" s="91"/>
      <c r="C39" s="62" t="s">
        <v>55</v>
      </c>
      <c r="D39" s="63">
        <v>1</v>
      </c>
      <c r="E39" s="64">
        <v>2.475247524752E-3</v>
      </c>
    </row>
    <row r="40" spans="2:5" ht="15" customHeight="1">
      <c r="B40" s="91"/>
      <c r="C40" s="62" t="s">
        <v>58</v>
      </c>
      <c r="D40" s="63">
        <v>4</v>
      </c>
      <c r="E40" s="64">
        <v>9.90099009901E-3</v>
      </c>
    </row>
    <row r="41" spans="2:5" ht="15" customHeight="1">
      <c r="B41" s="91"/>
      <c r="C41" s="62" t="s">
        <v>61</v>
      </c>
      <c r="D41" s="63">
        <v>1</v>
      </c>
      <c r="E41" s="64">
        <v>2.475247524752E-3</v>
      </c>
    </row>
    <row r="42" spans="2:5" ht="15" customHeight="1">
      <c r="B42" s="91"/>
      <c r="C42" s="62" t="s">
        <v>65</v>
      </c>
      <c r="D42" s="63">
        <v>1</v>
      </c>
      <c r="E42" s="64">
        <v>2.475247524752E-3</v>
      </c>
    </row>
    <row r="43" spans="2:5" ht="15" customHeight="1">
      <c r="B43" s="91"/>
      <c r="C43" s="62" t="s">
        <v>70</v>
      </c>
      <c r="D43" s="63">
        <v>1</v>
      </c>
      <c r="E43" s="64">
        <v>2.475247524752E-3</v>
      </c>
    </row>
    <row r="44" spans="2:5" ht="15" customHeight="1">
      <c r="B44" s="91"/>
      <c r="C44" s="62" t="s">
        <v>71</v>
      </c>
      <c r="D44" s="63">
        <v>1</v>
      </c>
      <c r="E44" s="64">
        <v>2.475247524752E-3</v>
      </c>
    </row>
    <row r="45" spans="2:5" ht="15" customHeight="1">
      <c r="B45" s="91"/>
      <c r="C45" s="62" t="s">
        <v>73</v>
      </c>
      <c r="D45" s="63">
        <v>1</v>
      </c>
      <c r="E45" s="64">
        <v>2.475247524752E-3</v>
      </c>
    </row>
    <row r="46" spans="2:5" ht="15" customHeight="1">
      <c r="B46" s="91"/>
      <c r="C46" s="62" t="s">
        <v>75</v>
      </c>
      <c r="D46" s="63">
        <v>1</v>
      </c>
      <c r="E46" s="64">
        <v>2.475247524752E-3</v>
      </c>
    </row>
    <row r="47" spans="2:5" ht="15" customHeight="1">
      <c r="B47" s="91"/>
      <c r="C47" s="62" t="s">
        <v>79</v>
      </c>
      <c r="D47" s="63">
        <v>1</v>
      </c>
      <c r="E47" s="64">
        <v>2.475247524752E-3</v>
      </c>
    </row>
    <row r="48" spans="2:5" ht="15" customHeight="1">
      <c r="B48" s="91"/>
      <c r="C48" s="62" t="s">
        <v>80</v>
      </c>
      <c r="D48" s="63">
        <v>3</v>
      </c>
      <c r="E48" s="64">
        <v>7.4257425742570004E-3</v>
      </c>
    </row>
    <row r="49" spans="2:5" ht="15" customHeight="1">
      <c r="B49" s="91"/>
      <c r="C49" s="62" t="s">
        <v>82</v>
      </c>
      <c r="D49" s="63">
        <v>2</v>
      </c>
      <c r="E49" s="64">
        <v>4.950495049505E-3</v>
      </c>
    </row>
    <row r="50" spans="2:5" ht="15" customHeight="1">
      <c r="B50" s="91"/>
      <c r="C50" s="36" t="s">
        <v>28</v>
      </c>
      <c r="D50" s="35">
        <v>38</v>
      </c>
      <c r="E50" s="34">
        <v>9.4059405940594004E-2</v>
      </c>
    </row>
    <row r="51" spans="2:5" ht="15" customHeight="1">
      <c r="B51" s="91" t="s">
        <v>165</v>
      </c>
      <c r="C51" s="62" t="s">
        <v>52</v>
      </c>
      <c r="D51" s="63">
        <v>1</v>
      </c>
      <c r="E51" s="64">
        <v>2.475247524752E-3</v>
      </c>
    </row>
    <row r="52" spans="2:5" ht="15" customHeight="1">
      <c r="B52" s="91"/>
      <c r="C52" s="62" t="s">
        <v>71</v>
      </c>
      <c r="D52" s="63">
        <v>1</v>
      </c>
      <c r="E52" s="64">
        <v>2.475247524752E-3</v>
      </c>
    </row>
    <row r="53" spans="2:5" ht="15" customHeight="1">
      <c r="B53" s="91"/>
      <c r="C53" s="62" t="s">
        <v>73</v>
      </c>
      <c r="D53" s="63">
        <v>1</v>
      </c>
      <c r="E53" s="64">
        <v>2.475247524752E-3</v>
      </c>
    </row>
    <row r="54" spans="2:5" ht="15" customHeight="1">
      <c r="B54" s="91"/>
      <c r="C54" s="36" t="s">
        <v>28</v>
      </c>
      <c r="D54" s="35">
        <v>3</v>
      </c>
      <c r="E54" s="34">
        <v>7.4257425742570004E-3</v>
      </c>
    </row>
    <row r="55" spans="2:5" ht="15" customHeight="1">
      <c r="B55" s="91" t="s">
        <v>166</v>
      </c>
      <c r="C55" s="62" t="s">
        <v>52</v>
      </c>
      <c r="D55" s="63">
        <v>5</v>
      </c>
      <c r="E55" s="64">
        <v>1.2376237623762E-2</v>
      </c>
    </row>
    <row r="56" spans="2:5" ht="15" customHeight="1">
      <c r="B56" s="91"/>
      <c r="C56" s="62" t="s">
        <v>56</v>
      </c>
      <c r="D56" s="63">
        <v>1</v>
      </c>
      <c r="E56" s="64">
        <v>2.475247524752E-3</v>
      </c>
    </row>
    <row r="57" spans="2:5" ht="15" customHeight="1">
      <c r="B57" s="91"/>
      <c r="C57" s="62" t="s">
        <v>64</v>
      </c>
      <c r="D57" s="63">
        <v>1</v>
      </c>
      <c r="E57" s="64">
        <v>2.475247524752E-3</v>
      </c>
    </row>
    <row r="58" spans="2:5" ht="15" customHeight="1">
      <c r="B58" s="91"/>
      <c r="C58" s="62" t="s">
        <v>78</v>
      </c>
      <c r="D58" s="63">
        <v>1</v>
      </c>
      <c r="E58" s="64">
        <v>2.475247524752E-3</v>
      </c>
    </row>
    <row r="59" spans="2:5" ht="15" customHeight="1">
      <c r="B59" s="91"/>
      <c r="C59" s="62" t="s">
        <v>80</v>
      </c>
      <c r="D59" s="63">
        <v>1</v>
      </c>
      <c r="E59" s="64">
        <v>2.475247524752E-3</v>
      </c>
    </row>
    <row r="60" spans="2:5" ht="15" customHeight="1">
      <c r="B60" s="91"/>
      <c r="C60" s="36" t="s">
        <v>28</v>
      </c>
      <c r="D60" s="35">
        <v>9</v>
      </c>
      <c r="E60" s="34">
        <v>2.2277227722771999E-2</v>
      </c>
    </row>
    <row r="61" spans="2:5" ht="15" customHeight="1">
      <c r="B61" s="91" t="s">
        <v>167</v>
      </c>
      <c r="C61" s="62" t="s">
        <v>52</v>
      </c>
      <c r="D61" s="63">
        <v>8</v>
      </c>
      <c r="E61" s="64">
        <v>1.980198019802E-2</v>
      </c>
    </row>
    <row r="62" spans="2:5" ht="15" customHeight="1">
      <c r="B62" s="91"/>
      <c r="C62" s="62" t="s">
        <v>57</v>
      </c>
      <c r="D62" s="63">
        <v>1</v>
      </c>
      <c r="E62" s="64">
        <v>2.475247524752E-3</v>
      </c>
    </row>
    <row r="63" spans="2:5" ht="15" customHeight="1">
      <c r="B63" s="91"/>
      <c r="C63" s="62" t="s">
        <v>78</v>
      </c>
      <c r="D63" s="63">
        <v>1</v>
      </c>
      <c r="E63" s="64">
        <v>2.475247524752E-3</v>
      </c>
    </row>
    <row r="64" spans="2:5" ht="15" customHeight="1">
      <c r="B64" s="91"/>
      <c r="C64" s="62" t="s">
        <v>80</v>
      </c>
      <c r="D64" s="63">
        <v>3</v>
      </c>
      <c r="E64" s="64">
        <v>7.4257425742570004E-3</v>
      </c>
    </row>
    <row r="65" spans="2:5" ht="15" customHeight="1">
      <c r="B65" s="91"/>
      <c r="C65" s="62" t="s">
        <v>81</v>
      </c>
      <c r="D65" s="63">
        <v>1</v>
      </c>
      <c r="E65" s="64">
        <v>2.475247524752E-3</v>
      </c>
    </row>
    <row r="66" spans="2:5" ht="15" customHeight="1">
      <c r="B66" s="91"/>
      <c r="C66" s="36" t="s">
        <v>28</v>
      </c>
      <c r="D66" s="35">
        <v>14</v>
      </c>
      <c r="E66" s="34">
        <v>3.4653465346535003E-2</v>
      </c>
    </row>
    <row r="67" spans="2:5" ht="15" customHeight="1">
      <c r="B67" s="91" t="s">
        <v>168</v>
      </c>
      <c r="C67" s="62" t="s">
        <v>50</v>
      </c>
      <c r="D67" s="63">
        <v>6</v>
      </c>
      <c r="E67" s="64">
        <v>1.4851485148515E-2</v>
      </c>
    </row>
    <row r="68" spans="2:5" ht="15" customHeight="1">
      <c r="B68" s="91"/>
      <c r="C68" s="62" t="s">
        <v>52</v>
      </c>
      <c r="D68" s="63">
        <v>35</v>
      </c>
      <c r="E68" s="64">
        <v>8.6633663366337002E-2</v>
      </c>
    </row>
    <row r="69" spans="2:5" ht="15" customHeight="1">
      <c r="B69" s="91"/>
      <c r="C69" s="62" t="s">
        <v>53</v>
      </c>
      <c r="D69" s="63">
        <v>1</v>
      </c>
      <c r="E69" s="64">
        <v>2.475247524752E-3</v>
      </c>
    </row>
    <row r="70" spans="2:5" ht="15" customHeight="1">
      <c r="B70" s="91"/>
      <c r="C70" s="62" t="s">
        <v>55</v>
      </c>
      <c r="D70" s="63">
        <v>2</v>
      </c>
      <c r="E70" s="64">
        <v>4.950495049505E-3</v>
      </c>
    </row>
    <row r="71" spans="2:5" ht="15" customHeight="1">
      <c r="B71" s="91"/>
      <c r="C71" s="62" t="s">
        <v>56</v>
      </c>
      <c r="D71" s="63">
        <v>2</v>
      </c>
      <c r="E71" s="64">
        <v>4.950495049505E-3</v>
      </c>
    </row>
    <row r="72" spans="2:5" ht="15" customHeight="1">
      <c r="B72" s="91"/>
      <c r="C72" s="62" t="s">
        <v>57</v>
      </c>
      <c r="D72" s="63">
        <v>1</v>
      </c>
      <c r="E72" s="64">
        <v>2.475247524752E-3</v>
      </c>
    </row>
    <row r="73" spans="2:5" ht="15" customHeight="1">
      <c r="B73" s="91"/>
      <c r="C73" s="62" t="s">
        <v>58</v>
      </c>
      <c r="D73" s="63">
        <v>13</v>
      </c>
      <c r="E73" s="64">
        <v>3.2178217821781999E-2</v>
      </c>
    </row>
    <row r="74" spans="2:5" ht="15" customHeight="1">
      <c r="B74" s="91"/>
      <c r="C74" s="62" t="s">
        <v>59</v>
      </c>
      <c r="D74" s="63">
        <v>2</v>
      </c>
      <c r="E74" s="64">
        <v>4.950495049505E-3</v>
      </c>
    </row>
    <row r="75" spans="2:5" ht="15" customHeight="1">
      <c r="B75" s="91"/>
      <c r="C75" s="62" t="s">
        <v>61</v>
      </c>
      <c r="D75" s="63">
        <v>1</v>
      </c>
      <c r="E75" s="64">
        <v>2.475247524752E-3</v>
      </c>
    </row>
    <row r="76" spans="2:5" ht="15" customHeight="1">
      <c r="B76" s="91"/>
      <c r="C76" s="62" t="s">
        <v>63</v>
      </c>
      <c r="D76" s="63">
        <v>1</v>
      </c>
      <c r="E76" s="64">
        <v>2.475247524752E-3</v>
      </c>
    </row>
    <row r="77" spans="2:5" ht="15" customHeight="1">
      <c r="B77" s="91"/>
      <c r="C77" s="62" t="s">
        <v>66</v>
      </c>
      <c r="D77" s="63">
        <v>1</v>
      </c>
      <c r="E77" s="64">
        <v>2.475247524752E-3</v>
      </c>
    </row>
    <row r="78" spans="2:5" ht="15" customHeight="1">
      <c r="B78" s="91"/>
      <c r="C78" s="62" t="s">
        <v>67</v>
      </c>
      <c r="D78" s="63">
        <v>1</v>
      </c>
      <c r="E78" s="64">
        <v>2.475247524752E-3</v>
      </c>
    </row>
    <row r="79" spans="2:5" ht="15" customHeight="1">
      <c r="B79" s="91"/>
      <c r="C79" s="62" t="s">
        <v>69</v>
      </c>
      <c r="D79" s="63">
        <v>3</v>
      </c>
      <c r="E79" s="64">
        <v>7.4257425742570004E-3</v>
      </c>
    </row>
    <row r="80" spans="2:5" ht="15" customHeight="1">
      <c r="B80" s="91"/>
      <c r="C80" s="62" t="s">
        <v>70</v>
      </c>
      <c r="D80" s="63">
        <v>2</v>
      </c>
      <c r="E80" s="64">
        <v>4.950495049505E-3</v>
      </c>
    </row>
    <row r="81" spans="2:5" ht="15" customHeight="1">
      <c r="B81" s="91"/>
      <c r="C81" s="62" t="s">
        <v>71</v>
      </c>
      <c r="D81" s="63">
        <v>1</v>
      </c>
      <c r="E81" s="64">
        <v>2.475247524752E-3</v>
      </c>
    </row>
    <row r="82" spans="2:5" ht="15" customHeight="1">
      <c r="B82" s="91"/>
      <c r="C82" s="62" t="s">
        <v>72</v>
      </c>
      <c r="D82" s="63">
        <v>1</v>
      </c>
      <c r="E82" s="64">
        <v>2.475247524752E-3</v>
      </c>
    </row>
    <row r="83" spans="2:5" ht="15" customHeight="1">
      <c r="B83" s="91"/>
      <c r="C83" s="62" t="s">
        <v>73</v>
      </c>
      <c r="D83" s="63">
        <v>2</v>
      </c>
      <c r="E83" s="64">
        <v>4.950495049505E-3</v>
      </c>
    </row>
    <row r="84" spans="2:5" ht="15" customHeight="1">
      <c r="B84" s="91"/>
      <c r="C84" s="62" t="s">
        <v>75</v>
      </c>
      <c r="D84" s="63">
        <v>1</v>
      </c>
      <c r="E84" s="64">
        <v>2.475247524752E-3</v>
      </c>
    </row>
    <row r="85" spans="2:5" ht="15" customHeight="1">
      <c r="B85" s="91"/>
      <c r="C85" s="62" t="s">
        <v>77</v>
      </c>
      <c r="D85" s="63">
        <v>1</v>
      </c>
      <c r="E85" s="64">
        <v>2.475247524752E-3</v>
      </c>
    </row>
    <row r="86" spans="2:5" ht="15" customHeight="1">
      <c r="B86" s="91"/>
      <c r="C86" s="62" t="s">
        <v>78</v>
      </c>
      <c r="D86" s="63">
        <v>1</v>
      </c>
      <c r="E86" s="64">
        <v>2.475247524752E-3</v>
      </c>
    </row>
    <row r="87" spans="2:5" ht="15" customHeight="1">
      <c r="B87" s="91"/>
      <c r="C87" s="62" t="s">
        <v>79</v>
      </c>
      <c r="D87" s="63">
        <v>2</v>
      </c>
      <c r="E87" s="64">
        <v>4.950495049505E-3</v>
      </c>
    </row>
    <row r="88" spans="2:5" ht="15" customHeight="1">
      <c r="B88" s="91"/>
      <c r="C88" s="62" t="s">
        <v>80</v>
      </c>
      <c r="D88" s="63">
        <v>11</v>
      </c>
      <c r="E88" s="64">
        <v>2.7227722772276999E-2</v>
      </c>
    </row>
    <row r="89" spans="2:5" ht="15" customHeight="1">
      <c r="B89" s="91"/>
      <c r="C89" s="62" t="s">
        <v>81</v>
      </c>
      <c r="D89" s="63">
        <v>2</v>
      </c>
      <c r="E89" s="64">
        <v>4.950495049505E-3</v>
      </c>
    </row>
    <row r="90" spans="2:5" ht="15" customHeight="1">
      <c r="B90" s="91"/>
      <c r="C90" s="62" t="s">
        <v>82</v>
      </c>
      <c r="D90" s="63">
        <v>1</v>
      </c>
      <c r="E90" s="64">
        <v>2.475247524752E-3</v>
      </c>
    </row>
    <row r="91" spans="2:5" ht="15" customHeight="1">
      <c r="B91" s="91"/>
      <c r="C91" s="36" t="s">
        <v>28</v>
      </c>
      <c r="D91" s="35">
        <v>94</v>
      </c>
      <c r="E91" s="34">
        <v>0.23267326732673299</v>
      </c>
    </row>
    <row r="92" spans="2:5" ht="15" customHeight="1">
      <c r="B92" s="91" t="s">
        <v>169</v>
      </c>
      <c r="C92" s="62" t="s">
        <v>50</v>
      </c>
      <c r="D92" s="63">
        <v>1</v>
      </c>
      <c r="E92" s="64">
        <v>2.475247524752E-3</v>
      </c>
    </row>
    <row r="93" spans="2:5" ht="15" customHeight="1">
      <c r="B93" s="91"/>
      <c r="C93" s="62" t="s">
        <v>52</v>
      </c>
      <c r="D93" s="63">
        <v>1</v>
      </c>
      <c r="E93" s="64">
        <v>2.475247524752E-3</v>
      </c>
    </row>
    <row r="94" spans="2:5" ht="15" customHeight="1">
      <c r="B94" s="91"/>
      <c r="C94" s="62" t="s">
        <v>54</v>
      </c>
      <c r="D94" s="63">
        <v>1</v>
      </c>
      <c r="E94" s="64">
        <v>2.475247524752E-3</v>
      </c>
    </row>
    <row r="95" spans="2:5" ht="15" customHeight="1">
      <c r="B95" s="91"/>
      <c r="C95" s="36" t="s">
        <v>28</v>
      </c>
      <c r="D95" s="35">
        <v>3</v>
      </c>
      <c r="E95" s="34">
        <v>7.4257425742570004E-3</v>
      </c>
    </row>
    <row r="96" spans="2:5" ht="15" customHeight="1">
      <c r="B96" s="91" t="s">
        <v>170</v>
      </c>
      <c r="C96" s="62" t="s">
        <v>49</v>
      </c>
      <c r="D96" s="63">
        <v>1</v>
      </c>
      <c r="E96" s="64">
        <v>2.475247524752E-3</v>
      </c>
    </row>
    <row r="97" spans="2:5" ht="15" customHeight="1">
      <c r="B97" s="91"/>
      <c r="C97" s="62" t="s">
        <v>51</v>
      </c>
      <c r="D97" s="63">
        <v>1</v>
      </c>
      <c r="E97" s="64">
        <v>2.475247524752E-3</v>
      </c>
    </row>
    <row r="98" spans="2:5" ht="15" customHeight="1">
      <c r="B98" s="91"/>
      <c r="C98" s="62" t="s">
        <v>52</v>
      </c>
      <c r="D98" s="63">
        <v>25</v>
      </c>
      <c r="E98" s="64">
        <v>6.1881188118811999E-2</v>
      </c>
    </row>
    <row r="99" spans="2:5" ht="15" customHeight="1">
      <c r="B99" s="91"/>
      <c r="C99" s="62" t="s">
        <v>54</v>
      </c>
      <c r="D99" s="63">
        <v>1</v>
      </c>
      <c r="E99" s="64">
        <v>2.475247524752E-3</v>
      </c>
    </row>
    <row r="100" spans="2:5" ht="15" customHeight="1">
      <c r="B100" s="91"/>
      <c r="C100" s="62" t="s">
        <v>55</v>
      </c>
      <c r="D100" s="63">
        <v>1</v>
      </c>
      <c r="E100" s="64">
        <v>2.475247524752E-3</v>
      </c>
    </row>
    <row r="101" spans="2:5" ht="15" customHeight="1">
      <c r="B101" s="91"/>
      <c r="C101" s="62" t="s">
        <v>56</v>
      </c>
      <c r="D101" s="63">
        <v>1</v>
      </c>
      <c r="E101" s="64">
        <v>2.475247524752E-3</v>
      </c>
    </row>
    <row r="102" spans="2:5" ht="15" customHeight="1">
      <c r="B102" s="91"/>
      <c r="C102" s="62" t="s">
        <v>58</v>
      </c>
      <c r="D102" s="63">
        <v>1</v>
      </c>
      <c r="E102" s="64">
        <v>2.475247524752E-3</v>
      </c>
    </row>
    <row r="103" spans="2:5" ht="15" customHeight="1">
      <c r="B103" s="91"/>
      <c r="C103" s="62" t="s">
        <v>59</v>
      </c>
      <c r="D103" s="63">
        <v>2</v>
      </c>
      <c r="E103" s="64">
        <v>4.950495049505E-3</v>
      </c>
    </row>
    <row r="104" spans="2:5" ht="15" customHeight="1">
      <c r="B104" s="91"/>
      <c r="C104" s="62" t="s">
        <v>67</v>
      </c>
      <c r="D104" s="63">
        <v>1</v>
      </c>
      <c r="E104" s="64">
        <v>2.475247524752E-3</v>
      </c>
    </row>
    <row r="105" spans="2:5" ht="15" customHeight="1">
      <c r="B105" s="91"/>
      <c r="C105" s="62" t="s">
        <v>69</v>
      </c>
      <c r="D105" s="63">
        <v>2</v>
      </c>
      <c r="E105" s="64">
        <v>4.950495049505E-3</v>
      </c>
    </row>
    <row r="106" spans="2:5" ht="15" customHeight="1">
      <c r="B106" s="91"/>
      <c r="C106" s="62" t="s">
        <v>70</v>
      </c>
      <c r="D106" s="63">
        <v>1</v>
      </c>
      <c r="E106" s="64">
        <v>2.475247524752E-3</v>
      </c>
    </row>
    <row r="107" spans="2:5" ht="15" customHeight="1">
      <c r="B107" s="91"/>
      <c r="C107" s="62" t="s">
        <v>73</v>
      </c>
      <c r="D107" s="63">
        <v>1</v>
      </c>
      <c r="E107" s="64">
        <v>2.475247524752E-3</v>
      </c>
    </row>
    <row r="108" spans="2:5" ht="15" customHeight="1">
      <c r="B108" s="91"/>
      <c r="C108" s="62" t="s">
        <v>75</v>
      </c>
      <c r="D108" s="63">
        <v>1</v>
      </c>
      <c r="E108" s="64">
        <v>2.475247524752E-3</v>
      </c>
    </row>
    <row r="109" spans="2:5" ht="15" customHeight="1">
      <c r="B109" s="91"/>
      <c r="C109" s="62" t="s">
        <v>78</v>
      </c>
      <c r="D109" s="63">
        <v>1</v>
      </c>
      <c r="E109" s="64">
        <v>2.475247524752E-3</v>
      </c>
    </row>
    <row r="110" spans="2:5" ht="15" customHeight="1">
      <c r="B110" s="91"/>
      <c r="C110" s="62" t="s">
        <v>80</v>
      </c>
      <c r="D110" s="63">
        <v>4</v>
      </c>
      <c r="E110" s="64">
        <v>9.90099009901E-3</v>
      </c>
    </row>
    <row r="111" spans="2:5" ht="15" customHeight="1">
      <c r="B111" s="91"/>
      <c r="C111" s="36" t="s">
        <v>28</v>
      </c>
      <c r="D111" s="35">
        <v>44</v>
      </c>
      <c r="E111" s="34">
        <v>0.10891089108910899</v>
      </c>
    </row>
    <row r="112" spans="2:5" ht="15" customHeight="1">
      <c r="B112" s="91" t="s">
        <v>171</v>
      </c>
      <c r="C112" s="62" t="s">
        <v>50</v>
      </c>
      <c r="D112" s="63">
        <v>4</v>
      </c>
      <c r="E112" s="64">
        <v>9.90099009901E-3</v>
      </c>
    </row>
    <row r="113" spans="2:5" ht="15" customHeight="1">
      <c r="B113" s="91"/>
      <c r="C113" s="62" t="s">
        <v>52</v>
      </c>
      <c r="D113" s="63">
        <v>51</v>
      </c>
      <c r="E113" s="64">
        <v>0.12623762376237599</v>
      </c>
    </row>
    <row r="114" spans="2:5" ht="15" customHeight="1">
      <c r="B114" s="91"/>
      <c r="C114" s="62" t="s">
        <v>53</v>
      </c>
      <c r="D114" s="63">
        <v>1</v>
      </c>
      <c r="E114" s="64">
        <v>2.475247524752E-3</v>
      </c>
    </row>
    <row r="115" spans="2:5" ht="15" customHeight="1">
      <c r="B115" s="91"/>
      <c r="C115" s="62" t="s">
        <v>54</v>
      </c>
      <c r="D115" s="63">
        <v>2</v>
      </c>
      <c r="E115" s="64">
        <v>4.950495049505E-3</v>
      </c>
    </row>
    <row r="116" spans="2:5" ht="15" customHeight="1">
      <c r="B116" s="91"/>
      <c r="C116" s="62" t="s">
        <v>55</v>
      </c>
      <c r="D116" s="63">
        <v>3</v>
      </c>
      <c r="E116" s="64">
        <v>7.4257425742570004E-3</v>
      </c>
    </row>
    <row r="117" spans="2:5" ht="15" customHeight="1">
      <c r="B117" s="91"/>
      <c r="C117" s="62" t="s">
        <v>56</v>
      </c>
      <c r="D117" s="63">
        <v>1</v>
      </c>
      <c r="E117" s="64">
        <v>2.475247524752E-3</v>
      </c>
    </row>
    <row r="118" spans="2:5" ht="15" customHeight="1">
      <c r="B118" s="91"/>
      <c r="C118" s="62" t="s">
        <v>57</v>
      </c>
      <c r="D118" s="63">
        <v>3</v>
      </c>
      <c r="E118" s="64">
        <v>7.4257425742570004E-3</v>
      </c>
    </row>
    <row r="119" spans="2:5" ht="15" customHeight="1">
      <c r="B119" s="91"/>
      <c r="C119" s="62" t="s">
        <v>58</v>
      </c>
      <c r="D119" s="63">
        <v>5</v>
      </c>
      <c r="E119" s="64">
        <v>1.2376237623762E-2</v>
      </c>
    </row>
    <row r="120" spans="2:5" ht="15" customHeight="1">
      <c r="B120" s="91"/>
      <c r="C120" s="62" t="s">
        <v>61</v>
      </c>
      <c r="D120" s="63">
        <v>1</v>
      </c>
      <c r="E120" s="64">
        <v>2.475247524752E-3</v>
      </c>
    </row>
    <row r="121" spans="2:5" ht="15" customHeight="1">
      <c r="B121" s="91"/>
      <c r="C121" s="62" t="s">
        <v>62</v>
      </c>
      <c r="D121" s="63">
        <v>1</v>
      </c>
      <c r="E121" s="64">
        <v>2.475247524752E-3</v>
      </c>
    </row>
    <row r="122" spans="2:5" ht="15" customHeight="1">
      <c r="B122" s="91"/>
      <c r="C122" s="62" t="s">
        <v>64</v>
      </c>
      <c r="D122" s="63">
        <v>1</v>
      </c>
      <c r="E122" s="64">
        <v>2.475247524752E-3</v>
      </c>
    </row>
    <row r="123" spans="2:5" ht="15" customHeight="1">
      <c r="B123" s="91"/>
      <c r="C123" s="62" t="s">
        <v>66</v>
      </c>
      <c r="D123" s="63">
        <v>1</v>
      </c>
      <c r="E123" s="64">
        <v>2.475247524752E-3</v>
      </c>
    </row>
    <row r="124" spans="2:5" ht="15" customHeight="1">
      <c r="B124" s="91"/>
      <c r="C124" s="62" t="s">
        <v>67</v>
      </c>
      <c r="D124" s="63">
        <v>1</v>
      </c>
      <c r="E124" s="64">
        <v>2.475247524752E-3</v>
      </c>
    </row>
    <row r="125" spans="2:5" ht="15" customHeight="1">
      <c r="B125" s="91"/>
      <c r="C125" s="62" t="s">
        <v>68</v>
      </c>
      <c r="D125" s="63">
        <v>1</v>
      </c>
      <c r="E125" s="64">
        <v>2.475247524752E-3</v>
      </c>
    </row>
    <row r="126" spans="2:5" ht="15" customHeight="1">
      <c r="B126" s="91"/>
      <c r="C126" s="62" t="s">
        <v>69</v>
      </c>
      <c r="D126" s="63">
        <v>5</v>
      </c>
      <c r="E126" s="64">
        <v>1.2376237623762E-2</v>
      </c>
    </row>
    <row r="127" spans="2:5" ht="15" customHeight="1">
      <c r="B127" s="91"/>
      <c r="C127" s="62" t="s">
        <v>70</v>
      </c>
      <c r="D127" s="63">
        <v>3</v>
      </c>
      <c r="E127" s="64">
        <v>7.4257425742570004E-3</v>
      </c>
    </row>
    <row r="128" spans="2:5" ht="15" customHeight="1">
      <c r="B128" s="91"/>
      <c r="C128" s="62" t="s">
        <v>71</v>
      </c>
      <c r="D128" s="63">
        <v>1</v>
      </c>
      <c r="E128" s="64">
        <v>2.475247524752E-3</v>
      </c>
    </row>
    <row r="129" spans="2:5" ht="15" customHeight="1">
      <c r="B129" s="91"/>
      <c r="C129" s="62" t="s">
        <v>73</v>
      </c>
      <c r="D129" s="63">
        <v>4</v>
      </c>
      <c r="E129" s="64">
        <v>9.90099009901E-3</v>
      </c>
    </row>
    <row r="130" spans="2:5" ht="15" customHeight="1">
      <c r="B130" s="91"/>
      <c r="C130" s="62" t="s">
        <v>74</v>
      </c>
      <c r="D130" s="63">
        <v>2</v>
      </c>
      <c r="E130" s="64">
        <v>4.950495049505E-3</v>
      </c>
    </row>
    <row r="131" spans="2:5" ht="15" customHeight="1">
      <c r="B131" s="91"/>
      <c r="C131" s="62" t="s">
        <v>75</v>
      </c>
      <c r="D131" s="63">
        <v>1</v>
      </c>
      <c r="E131" s="64">
        <v>2.475247524752E-3</v>
      </c>
    </row>
    <row r="132" spans="2:5" ht="15" customHeight="1">
      <c r="B132" s="91"/>
      <c r="C132" s="62" t="s">
        <v>76</v>
      </c>
      <c r="D132" s="63">
        <v>1</v>
      </c>
      <c r="E132" s="64">
        <v>2.475247524752E-3</v>
      </c>
    </row>
    <row r="133" spans="2:5" ht="15" customHeight="1">
      <c r="B133" s="91"/>
      <c r="C133" s="62" t="s">
        <v>77</v>
      </c>
      <c r="D133" s="63">
        <v>1</v>
      </c>
      <c r="E133" s="64">
        <v>2.475247524752E-3</v>
      </c>
    </row>
    <row r="134" spans="2:5" ht="15" customHeight="1">
      <c r="B134" s="91"/>
      <c r="C134" s="62" t="s">
        <v>78</v>
      </c>
      <c r="D134" s="63">
        <v>1</v>
      </c>
      <c r="E134" s="64">
        <v>2.475247524752E-3</v>
      </c>
    </row>
    <row r="135" spans="2:5" ht="15" customHeight="1">
      <c r="B135" s="91"/>
      <c r="C135" s="62" t="s">
        <v>79</v>
      </c>
      <c r="D135" s="63">
        <v>3</v>
      </c>
      <c r="E135" s="64">
        <v>7.4257425742570004E-3</v>
      </c>
    </row>
    <row r="136" spans="2:5" ht="15" customHeight="1">
      <c r="B136" s="91"/>
      <c r="C136" s="62" t="s">
        <v>80</v>
      </c>
      <c r="D136" s="63">
        <v>16</v>
      </c>
      <c r="E136" s="64">
        <v>3.960396039604E-2</v>
      </c>
    </row>
    <row r="137" spans="2:5" ht="15" customHeight="1">
      <c r="B137" s="91"/>
      <c r="C137" s="62" t="s">
        <v>81</v>
      </c>
      <c r="D137" s="63">
        <v>4</v>
      </c>
      <c r="E137" s="64">
        <v>9.90099009901E-3</v>
      </c>
    </row>
    <row r="138" spans="2:5" ht="15" customHeight="1">
      <c r="B138" s="91"/>
      <c r="C138" s="62" t="s">
        <v>82</v>
      </c>
      <c r="D138" s="63">
        <v>2</v>
      </c>
      <c r="E138" s="64">
        <v>4.950495049505E-3</v>
      </c>
    </row>
    <row r="139" spans="2:5" ht="15" customHeight="1">
      <c r="B139" s="91"/>
      <c r="C139" s="62" t="s">
        <v>83</v>
      </c>
      <c r="D139" s="63">
        <v>1</v>
      </c>
      <c r="E139" s="64">
        <v>2.475247524752E-3</v>
      </c>
    </row>
    <row r="140" spans="2:5" ht="15" customHeight="1">
      <c r="B140" s="91"/>
      <c r="C140" s="36" t="s">
        <v>28</v>
      </c>
      <c r="D140" s="35">
        <v>121</v>
      </c>
      <c r="E140" s="34">
        <v>0.29950495049504999</v>
      </c>
    </row>
    <row r="141" spans="2:5" ht="15" customHeight="1">
      <c r="B141" s="91" t="s">
        <v>172</v>
      </c>
      <c r="C141" s="62" t="s">
        <v>59</v>
      </c>
      <c r="D141" s="63">
        <v>1</v>
      </c>
      <c r="E141" s="64">
        <v>2.475247524752E-3</v>
      </c>
    </row>
    <row r="142" spans="2:5" ht="15" customHeight="1">
      <c r="B142" s="91"/>
      <c r="C142" s="62" t="s">
        <v>80</v>
      </c>
      <c r="D142" s="63">
        <v>1</v>
      </c>
      <c r="E142" s="64">
        <v>2.475247524752E-3</v>
      </c>
    </row>
    <row r="143" spans="2:5" ht="15" customHeight="1">
      <c r="B143" s="91"/>
      <c r="C143" s="36" t="s">
        <v>28</v>
      </c>
      <c r="D143" s="35">
        <v>2</v>
      </c>
      <c r="E143" s="34">
        <v>4.950495049505E-3</v>
      </c>
    </row>
    <row r="144" spans="2:5" ht="15" customHeight="1">
      <c r="B144" s="91" t="s">
        <v>173</v>
      </c>
      <c r="C144" s="62" t="s">
        <v>58</v>
      </c>
      <c r="D144" s="63">
        <v>1</v>
      </c>
      <c r="E144" s="64">
        <v>2.475247524752E-3</v>
      </c>
    </row>
    <row r="145" spans="2:5" ht="15" customHeight="1">
      <c r="B145" s="91"/>
      <c r="C145" s="36" t="s">
        <v>28</v>
      </c>
      <c r="D145" s="35">
        <v>1</v>
      </c>
      <c r="E145" s="34">
        <v>2.475247524752E-3</v>
      </c>
    </row>
    <row r="146" spans="2:5" ht="15" customHeight="1">
      <c r="B146" s="91" t="s">
        <v>174</v>
      </c>
      <c r="C146" s="62" t="s">
        <v>80</v>
      </c>
      <c r="D146" s="63">
        <v>1</v>
      </c>
      <c r="E146" s="64">
        <v>2.475247524752E-3</v>
      </c>
    </row>
    <row r="147" spans="2:5" ht="15" customHeight="1">
      <c r="B147" s="91"/>
      <c r="C147" s="36" t="s">
        <v>28</v>
      </c>
      <c r="D147" s="35">
        <v>1</v>
      </c>
      <c r="E147" s="34">
        <v>2.475247524752E-3</v>
      </c>
    </row>
    <row r="148" spans="2:5" ht="15" customHeight="1">
      <c r="B148" s="91" t="s">
        <v>175</v>
      </c>
      <c r="C148" s="62" t="s">
        <v>52</v>
      </c>
      <c r="D148" s="63">
        <v>2</v>
      </c>
      <c r="E148" s="64">
        <v>4.950495049505E-3</v>
      </c>
    </row>
    <row r="149" spans="2:5" ht="15" customHeight="1">
      <c r="B149" s="91"/>
      <c r="C149" s="62" t="s">
        <v>53</v>
      </c>
      <c r="D149" s="63">
        <v>1</v>
      </c>
      <c r="E149" s="64">
        <v>2.475247524752E-3</v>
      </c>
    </row>
    <row r="150" spans="2:5" ht="15" customHeight="1">
      <c r="B150" s="91"/>
      <c r="C150" s="62" t="s">
        <v>61</v>
      </c>
      <c r="D150" s="63">
        <v>1</v>
      </c>
      <c r="E150" s="64">
        <v>2.475247524752E-3</v>
      </c>
    </row>
    <row r="151" spans="2:5" ht="15" customHeight="1">
      <c r="B151" s="91"/>
      <c r="C151" s="62" t="s">
        <v>69</v>
      </c>
      <c r="D151" s="63">
        <v>2</v>
      </c>
      <c r="E151" s="64">
        <v>4.950495049505E-3</v>
      </c>
    </row>
    <row r="152" spans="2:5" ht="15" customHeight="1">
      <c r="B152" s="91"/>
      <c r="C152" s="62" t="s">
        <v>73</v>
      </c>
      <c r="D152" s="63">
        <v>1</v>
      </c>
      <c r="E152" s="64">
        <v>2.475247524752E-3</v>
      </c>
    </row>
    <row r="153" spans="2:5" ht="15" customHeight="1">
      <c r="B153" s="91"/>
      <c r="C153" s="62" t="s">
        <v>75</v>
      </c>
      <c r="D153" s="63">
        <v>1</v>
      </c>
      <c r="E153" s="64">
        <v>2.475247524752E-3</v>
      </c>
    </row>
    <row r="154" spans="2:5" ht="15" customHeight="1">
      <c r="B154" s="91"/>
      <c r="C154" s="62" t="s">
        <v>80</v>
      </c>
      <c r="D154" s="63">
        <v>3</v>
      </c>
      <c r="E154" s="64">
        <v>7.4257425742570004E-3</v>
      </c>
    </row>
    <row r="155" spans="2:5" ht="15" customHeight="1">
      <c r="B155" s="91"/>
      <c r="C155" s="62" t="s">
        <v>81</v>
      </c>
      <c r="D155" s="63">
        <v>1</v>
      </c>
      <c r="E155" s="64">
        <v>2.475247524752E-3</v>
      </c>
    </row>
    <row r="156" spans="2:5" ht="15" customHeight="1">
      <c r="B156" s="91"/>
      <c r="C156" s="36" t="s">
        <v>28</v>
      </c>
      <c r="D156" s="35">
        <v>12</v>
      </c>
      <c r="E156" s="34">
        <v>2.970297029703E-2</v>
      </c>
    </row>
    <row r="157" spans="2:5" ht="15" customHeight="1">
      <c r="B157" s="91" t="s">
        <v>176</v>
      </c>
      <c r="C157" s="62" t="s">
        <v>50</v>
      </c>
      <c r="D157" s="63">
        <v>3</v>
      </c>
      <c r="E157" s="64">
        <v>7.4257425742570004E-3</v>
      </c>
    </row>
    <row r="158" spans="2:5" ht="15" customHeight="1">
      <c r="B158" s="91"/>
      <c r="C158" s="62" t="s">
        <v>52</v>
      </c>
      <c r="D158" s="63">
        <v>9</v>
      </c>
      <c r="E158" s="64">
        <v>2.2277227722771999E-2</v>
      </c>
    </row>
    <row r="159" spans="2:5" ht="15" customHeight="1">
      <c r="B159" s="91"/>
      <c r="C159" s="62" t="s">
        <v>53</v>
      </c>
      <c r="D159" s="63">
        <v>1</v>
      </c>
      <c r="E159" s="64">
        <v>2.475247524752E-3</v>
      </c>
    </row>
    <row r="160" spans="2:5" ht="15" customHeight="1">
      <c r="B160" s="91"/>
      <c r="C160" s="62" t="s">
        <v>79</v>
      </c>
      <c r="D160" s="63">
        <v>1</v>
      </c>
      <c r="E160" s="64">
        <v>2.475247524752E-3</v>
      </c>
    </row>
    <row r="161" spans="2:5" ht="15" customHeight="1">
      <c r="B161" s="91"/>
      <c r="C161" s="62" t="s">
        <v>80</v>
      </c>
      <c r="D161" s="63">
        <v>3</v>
      </c>
      <c r="E161" s="64">
        <v>7.4257425742570004E-3</v>
      </c>
    </row>
    <row r="162" spans="2:5" ht="15" customHeight="1">
      <c r="B162" s="91"/>
      <c r="C162" s="62" t="s">
        <v>82</v>
      </c>
      <c r="D162" s="63">
        <v>1</v>
      </c>
      <c r="E162" s="64">
        <v>2.475247524752E-3</v>
      </c>
    </row>
    <row r="163" spans="2:5" ht="15" customHeight="1">
      <c r="B163" s="91"/>
      <c r="C163" s="36" t="s">
        <v>28</v>
      </c>
      <c r="D163" s="35">
        <v>18</v>
      </c>
      <c r="E163" s="34">
        <v>4.4554455445545003E-2</v>
      </c>
    </row>
    <row r="164" spans="2:5" ht="15" customHeight="1">
      <c r="B164" s="91" t="s">
        <v>177</v>
      </c>
      <c r="C164" s="62" t="s">
        <v>52</v>
      </c>
      <c r="D164" s="63">
        <v>1</v>
      </c>
      <c r="E164" s="64">
        <v>2.475247524752E-3</v>
      </c>
    </row>
    <row r="165" spans="2:5" ht="15" customHeight="1">
      <c r="B165" s="91"/>
      <c r="C165" s="62" t="s">
        <v>54</v>
      </c>
      <c r="D165" s="63">
        <v>1</v>
      </c>
      <c r="E165" s="64">
        <v>2.475247524752E-3</v>
      </c>
    </row>
    <row r="166" spans="2:5" ht="15" customHeight="1">
      <c r="B166" s="91"/>
      <c r="C166" s="36" t="s">
        <v>28</v>
      </c>
      <c r="D166" s="35">
        <v>2</v>
      </c>
      <c r="E166" s="34">
        <v>4.950495049505E-3</v>
      </c>
    </row>
    <row r="167" spans="2:5" ht="15" customHeight="1">
      <c r="B167" s="91" t="s">
        <v>178</v>
      </c>
      <c r="C167" s="62" t="s">
        <v>57</v>
      </c>
      <c r="D167" s="63">
        <v>1</v>
      </c>
      <c r="E167" s="64">
        <v>2.475247524752E-3</v>
      </c>
    </row>
    <row r="168" spans="2:5" ht="15" customHeight="1">
      <c r="B168" s="91"/>
      <c r="C168" s="62" t="s">
        <v>63</v>
      </c>
      <c r="D168" s="63">
        <v>1</v>
      </c>
      <c r="E168" s="64">
        <v>2.475247524752E-3</v>
      </c>
    </row>
    <row r="169" spans="2:5" ht="15" customHeight="1">
      <c r="B169" s="91"/>
      <c r="C169" s="36" t="s">
        <v>28</v>
      </c>
      <c r="D169" s="35">
        <v>2</v>
      </c>
      <c r="E169" s="34">
        <v>4.950495049505E-3</v>
      </c>
    </row>
    <row r="170" spans="2:5" ht="15" customHeight="1">
      <c r="B170" s="90" t="s">
        <v>28</v>
      </c>
      <c r="C170" s="90"/>
      <c r="D170" s="60">
        <v>404</v>
      </c>
      <c r="E170" s="61">
        <v>1</v>
      </c>
    </row>
    <row r="172" spans="2:5" ht="15" customHeight="1">
      <c r="B172" s="15" t="s">
        <v>46</v>
      </c>
    </row>
    <row r="173" spans="2:5" ht="15" customHeight="1">
      <c r="B173" s="17" t="s">
        <v>17</v>
      </c>
    </row>
    <row r="174" spans="2:5" ht="15" customHeight="1">
      <c r="B174" s="16" t="s">
        <v>47</v>
      </c>
    </row>
    <row r="175" spans="2:5" ht="15" customHeight="1">
      <c r="B175" s="15" t="s">
        <v>16</v>
      </c>
    </row>
    <row r="176" spans="2:5" ht="15" customHeight="1">
      <c r="B176" s="15" t="s">
        <v>48</v>
      </c>
    </row>
  </sheetData>
  <mergeCells count="23">
    <mergeCell ref="B28:B35"/>
    <mergeCell ref="B7:E8"/>
    <mergeCell ref="B96:B111"/>
    <mergeCell ref="B112:B140"/>
    <mergeCell ref="B141:B143"/>
    <mergeCell ref="B10:B13"/>
    <mergeCell ref="B14:B15"/>
    <mergeCell ref="B16:B20"/>
    <mergeCell ref="B21:B22"/>
    <mergeCell ref="B23:B27"/>
    <mergeCell ref="B144:B145"/>
    <mergeCell ref="B36:B50"/>
    <mergeCell ref="B51:B54"/>
    <mergeCell ref="B55:B60"/>
    <mergeCell ref="B61:B66"/>
    <mergeCell ref="B67:B91"/>
    <mergeCell ref="B92:B95"/>
    <mergeCell ref="B170:C170"/>
    <mergeCell ref="B146:B147"/>
    <mergeCell ref="B148:B156"/>
    <mergeCell ref="B157:B163"/>
    <mergeCell ref="B164:B166"/>
    <mergeCell ref="B167:B1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261"/>
  <sheetViews>
    <sheetView showGridLines="0" view="pageBreakPreview" topLeftCell="A244" zoomScale="85" zoomScaleNormal="100" zoomScaleSheetLayoutView="85" workbookViewId="0">
      <selection activeCell="A255" sqref="A10:XFD255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5.17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7"/>
      <c r="C7" s="87"/>
      <c r="D7" s="87"/>
      <c r="E7" s="87"/>
    </row>
    <row r="8" spans="1:5" s="41" customFormat="1" ht="33" customHeight="1">
      <c r="A8" s="42"/>
      <c r="B8" s="87"/>
      <c r="C8" s="87"/>
      <c r="D8" s="87"/>
      <c r="E8" s="87"/>
    </row>
    <row r="9" spans="1:5" s="25" customFormat="1" ht="40.5" customHeight="1">
      <c r="B9" s="38" t="s">
        <v>21</v>
      </c>
      <c r="C9" s="40" t="s">
        <v>26</v>
      </c>
      <c r="D9" s="39" t="s">
        <v>19</v>
      </c>
      <c r="E9" s="38" t="s">
        <v>18</v>
      </c>
    </row>
    <row r="10" spans="1:5" ht="15" customHeight="1">
      <c r="B10" s="84" t="s">
        <v>112</v>
      </c>
      <c r="C10" s="62" t="s">
        <v>165</v>
      </c>
      <c r="D10" s="63">
        <v>1</v>
      </c>
      <c r="E10" s="64">
        <v>2.475247524752E-3</v>
      </c>
    </row>
    <row r="11" spans="1:5" ht="15" customHeight="1">
      <c r="B11" s="85"/>
      <c r="C11" s="62" t="s">
        <v>168</v>
      </c>
      <c r="D11" s="63">
        <v>1</v>
      </c>
      <c r="E11" s="64">
        <v>2.475247524752E-3</v>
      </c>
    </row>
    <row r="12" spans="1:5" ht="15" customHeight="1">
      <c r="B12" s="85"/>
      <c r="C12" s="62" t="s">
        <v>171</v>
      </c>
      <c r="D12" s="63">
        <v>1</v>
      </c>
      <c r="E12" s="64">
        <v>2.475247524752E-3</v>
      </c>
    </row>
    <row r="13" spans="1:5" ht="15" customHeight="1">
      <c r="B13" s="86"/>
      <c r="C13" s="36" t="s">
        <v>28</v>
      </c>
      <c r="D13" s="35">
        <v>3</v>
      </c>
      <c r="E13" s="34">
        <v>7.4257425742570004E-3</v>
      </c>
    </row>
    <row r="14" spans="1:5" ht="15" customHeight="1">
      <c r="B14" s="84" t="s">
        <v>101</v>
      </c>
      <c r="C14" s="62" t="s">
        <v>166</v>
      </c>
      <c r="D14" s="63">
        <v>1</v>
      </c>
      <c r="E14" s="64">
        <v>2.475247524752E-3</v>
      </c>
    </row>
    <row r="15" spans="1:5" ht="15" customHeight="1">
      <c r="B15" s="85"/>
      <c r="C15" s="62" t="s">
        <v>168</v>
      </c>
      <c r="D15" s="63">
        <v>3</v>
      </c>
      <c r="E15" s="64">
        <v>7.4257425742570004E-3</v>
      </c>
    </row>
    <row r="16" spans="1:5" ht="15" customHeight="1">
      <c r="B16" s="85"/>
      <c r="C16" s="62" t="s">
        <v>170</v>
      </c>
      <c r="D16" s="63">
        <v>1</v>
      </c>
      <c r="E16" s="64">
        <v>2.475247524752E-3</v>
      </c>
    </row>
    <row r="17" spans="2:5" ht="15" customHeight="1">
      <c r="B17" s="85"/>
      <c r="C17" s="62" t="s">
        <v>171</v>
      </c>
      <c r="D17" s="63">
        <v>2</v>
      </c>
      <c r="E17" s="64">
        <v>4.950495049505E-3</v>
      </c>
    </row>
    <row r="18" spans="2:5" ht="15" customHeight="1">
      <c r="B18" s="86"/>
      <c r="C18" s="36" t="s">
        <v>28</v>
      </c>
      <c r="D18" s="35">
        <v>7</v>
      </c>
      <c r="E18" s="34">
        <v>1.7326732673266999E-2</v>
      </c>
    </row>
    <row r="19" spans="2:5" ht="15" customHeight="1">
      <c r="B19" s="84" t="s">
        <v>116</v>
      </c>
      <c r="C19" s="62" t="s">
        <v>171</v>
      </c>
      <c r="D19" s="63">
        <v>2</v>
      </c>
      <c r="E19" s="64">
        <v>4.950495049505E-3</v>
      </c>
    </row>
    <row r="20" spans="2:5" ht="15" customHeight="1">
      <c r="B20" s="86"/>
      <c r="C20" s="36" t="s">
        <v>28</v>
      </c>
      <c r="D20" s="35">
        <v>2</v>
      </c>
      <c r="E20" s="34">
        <v>4.950495049505E-3</v>
      </c>
    </row>
    <row r="21" spans="2:5" ht="15" customHeight="1">
      <c r="B21" s="84" t="s">
        <v>104</v>
      </c>
      <c r="C21" s="62" t="s">
        <v>167</v>
      </c>
      <c r="D21" s="63">
        <v>1</v>
      </c>
      <c r="E21" s="64">
        <v>2.475247524752E-3</v>
      </c>
    </row>
    <row r="22" spans="2:5" ht="15" customHeight="1">
      <c r="B22" s="85"/>
      <c r="C22" s="62" t="s">
        <v>168</v>
      </c>
      <c r="D22" s="63">
        <v>1</v>
      </c>
      <c r="E22" s="64">
        <v>2.475247524752E-3</v>
      </c>
    </row>
    <row r="23" spans="2:5" ht="15" customHeight="1">
      <c r="B23" s="85"/>
      <c r="C23" s="62" t="s">
        <v>171</v>
      </c>
      <c r="D23" s="63">
        <v>3</v>
      </c>
      <c r="E23" s="64">
        <v>7.4257425742570004E-3</v>
      </c>
    </row>
    <row r="24" spans="2:5" ht="15" customHeight="1">
      <c r="B24" s="85"/>
      <c r="C24" s="62" t="s">
        <v>178</v>
      </c>
      <c r="D24" s="63">
        <v>1</v>
      </c>
      <c r="E24" s="64">
        <v>2.475247524752E-3</v>
      </c>
    </row>
    <row r="25" spans="2:5" ht="15" customHeight="1">
      <c r="B25" s="86"/>
      <c r="C25" s="36" t="s">
        <v>28</v>
      </c>
      <c r="D25" s="35">
        <v>6</v>
      </c>
      <c r="E25" s="34">
        <v>1.4851485148515E-2</v>
      </c>
    </row>
    <row r="26" spans="2:5" ht="15" customHeight="1">
      <c r="B26" s="84" t="s">
        <v>117</v>
      </c>
      <c r="C26" s="62" t="s">
        <v>166</v>
      </c>
      <c r="D26" s="63">
        <v>1</v>
      </c>
      <c r="E26" s="64">
        <v>2.475247524752E-3</v>
      </c>
    </row>
    <row r="27" spans="2:5" ht="15" customHeight="1">
      <c r="B27" s="85"/>
      <c r="C27" s="62" t="s">
        <v>171</v>
      </c>
      <c r="D27" s="63">
        <v>1</v>
      </c>
      <c r="E27" s="64">
        <v>2.475247524752E-3</v>
      </c>
    </row>
    <row r="28" spans="2:5" ht="15" customHeight="1">
      <c r="B28" s="86"/>
      <c r="C28" s="36" t="s">
        <v>28</v>
      </c>
      <c r="D28" s="35">
        <v>2</v>
      </c>
      <c r="E28" s="34">
        <v>4.950495049505E-3</v>
      </c>
    </row>
    <row r="29" spans="2:5" ht="15" customHeight="1">
      <c r="B29" s="84" t="s">
        <v>86</v>
      </c>
      <c r="C29" s="62" t="s">
        <v>163</v>
      </c>
      <c r="D29" s="63">
        <v>2</v>
      </c>
      <c r="E29" s="64">
        <v>4.950495049505E-3</v>
      </c>
    </row>
    <row r="30" spans="2:5" ht="15" customHeight="1">
      <c r="B30" s="85"/>
      <c r="C30" s="62" t="s">
        <v>164</v>
      </c>
      <c r="D30" s="63">
        <v>4</v>
      </c>
      <c r="E30" s="64">
        <v>9.90099009901E-3</v>
      </c>
    </row>
    <row r="31" spans="2:5" ht="15" customHeight="1">
      <c r="B31" s="85"/>
      <c r="C31" s="62" t="s">
        <v>168</v>
      </c>
      <c r="D31" s="63">
        <v>14</v>
      </c>
      <c r="E31" s="64">
        <v>3.4653465346535003E-2</v>
      </c>
    </row>
    <row r="32" spans="2:5" ht="15" customHeight="1">
      <c r="B32" s="85"/>
      <c r="C32" s="62" t="s">
        <v>170</v>
      </c>
      <c r="D32" s="63">
        <v>2</v>
      </c>
      <c r="E32" s="64">
        <v>4.950495049505E-3</v>
      </c>
    </row>
    <row r="33" spans="2:5" ht="15" customHeight="1">
      <c r="B33" s="85"/>
      <c r="C33" s="62" t="s">
        <v>171</v>
      </c>
      <c r="D33" s="63">
        <v>5</v>
      </c>
      <c r="E33" s="64">
        <v>1.2376237623762E-2</v>
      </c>
    </row>
    <row r="34" spans="2:5" ht="15" customHeight="1">
      <c r="B34" s="85"/>
      <c r="C34" s="62" t="s">
        <v>172</v>
      </c>
      <c r="D34" s="63">
        <v>1</v>
      </c>
      <c r="E34" s="64">
        <v>2.475247524752E-3</v>
      </c>
    </row>
    <row r="35" spans="2:5" ht="15" customHeight="1">
      <c r="B35" s="85"/>
      <c r="C35" s="62" t="s">
        <v>173</v>
      </c>
      <c r="D35" s="63">
        <v>1</v>
      </c>
      <c r="E35" s="64">
        <v>2.475247524752E-3</v>
      </c>
    </row>
    <row r="36" spans="2:5" ht="15" customHeight="1">
      <c r="B36" s="86"/>
      <c r="C36" s="36" t="s">
        <v>28</v>
      </c>
      <c r="D36" s="35">
        <v>29</v>
      </c>
      <c r="E36" s="34">
        <v>7.1782178217821999E-2</v>
      </c>
    </row>
    <row r="37" spans="2:5" ht="15" customHeight="1">
      <c r="B37" s="84" t="s">
        <v>87</v>
      </c>
      <c r="C37" s="62" t="s">
        <v>164</v>
      </c>
      <c r="D37" s="63">
        <v>2</v>
      </c>
      <c r="E37" s="64">
        <v>4.950495049505E-3</v>
      </c>
    </row>
    <row r="38" spans="2:5" ht="15" customHeight="1">
      <c r="B38" s="85"/>
      <c r="C38" s="62" t="s">
        <v>166</v>
      </c>
      <c r="D38" s="63">
        <v>1</v>
      </c>
      <c r="E38" s="64">
        <v>2.475247524752E-3</v>
      </c>
    </row>
    <row r="39" spans="2:5" ht="15" customHeight="1">
      <c r="B39" s="85"/>
      <c r="C39" s="62" t="s">
        <v>167</v>
      </c>
      <c r="D39" s="63">
        <v>2</v>
      </c>
      <c r="E39" s="64">
        <v>4.950495049505E-3</v>
      </c>
    </row>
    <row r="40" spans="2:5" ht="15" customHeight="1">
      <c r="B40" s="85"/>
      <c r="C40" s="62" t="s">
        <v>168</v>
      </c>
      <c r="D40" s="63">
        <v>7</v>
      </c>
      <c r="E40" s="64">
        <v>1.7326732673266999E-2</v>
      </c>
    </row>
    <row r="41" spans="2:5" ht="15" customHeight="1">
      <c r="B41" s="85"/>
      <c r="C41" s="62" t="s">
        <v>170</v>
      </c>
      <c r="D41" s="63">
        <v>4</v>
      </c>
      <c r="E41" s="64">
        <v>9.90099009901E-3</v>
      </c>
    </row>
    <row r="42" spans="2:5" ht="15" customHeight="1">
      <c r="B42" s="85"/>
      <c r="C42" s="62" t="s">
        <v>171</v>
      </c>
      <c r="D42" s="63">
        <v>7</v>
      </c>
      <c r="E42" s="64">
        <v>1.7326732673266999E-2</v>
      </c>
    </row>
    <row r="43" spans="2:5" ht="15" customHeight="1">
      <c r="B43" s="85"/>
      <c r="C43" s="62" t="s">
        <v>174</v>
      </c>
      <c r="D43" s="63">
        <v>1</v>
      </c>
      <c r="E43" s="64">
        <v>2.475247524752E-3</v>
      </c>
    </row>
    <row r="44" spans="2:5" ht="15" customHeight="1">
      <c r="B44" s="85"/>
      <c r="C44" s="62" t="s">
        <v>175</v>
      </c>
      <c r="D44" s="63">
        <v>2</v>
      </c>
      <c r="E44" s="64">
        <v>4.950495049505E-3</v>
      </c>
    </row>
    <row r="45" spans="2:5" ht="15" customHeight="1">
      <c r="B45" s="86"/>
      <c r="C45" s="36" t="s">
        <v>28</v>
      </c>
      <c r="D45" s="35">
        <v>26</v>
      </c>
      <c r="E45" s="34">
        <v>6.4356435643563997E-2</v>
      </c>
    </row>
    <row r="46" spans="2:5" ht="15" customHeight="1">
      <c r="B46" s="84" t="s">
        <v>105</v>
      </c>
      <c r="C46" s="62" t="s">
        <v>163</v>
      </c>
      <c r="D46" s="63">
        <v>1</v>
      </c>
      <c r="E46" s="64">
        <v>2.475247524752E-3</v>
      </c>
    </row>
    <row r="47" spans="2:5" ht="15" customHeight="1">
      <c r="B47" s="85"/>
      <c r="C47" s="62" t="s">
        <v>164</v>
      </c>
      <c r="D47" s="63">
        <v>1</v>
      </c>
      <c r="E47" s="64">
        <v>2.475247524752E-3</v>
      </c>
    </row>
    <row r="48" spans="2:5" ht="15" customHeight="1">
      <c r="B48" s="85"/>
      <c r="C48" s="62" t="s">
        <v>168</v>
      </c>
      <c r="D48" s="63">
        <v>1</v>
      </c>
      <c r="E48" s="64">
        <v>2.475247524752E-3</v>
      </c>
    </row>
    <row r="49" spans="2:5" ht="15" customHeight="1">
      <c r="B49" s="85"/>
      <c r="C49" s="62" t="s">
        <v>171</v>
      </c>
      <c r="D49" s="63">
        <v>1</v>
      </c>
      <c r="E49" s="64">
        <v>2.475247524752E-3</v>
      </c>
    </row>
    <row r="50" spans="2:5" ht="15" customHeight="1">
      <c r="B50" s="85"/>
      <c r="C50" s="62" t="s">
        <v>175</v>
      </c>
      <c r="D50" s="63">
        <v>1</v>
      </c>
      <c r="E50" s="64">
        <v>2.475247524752E-3</v>
      </c>
    </row>
    <row r="51" spans="2:5" ht="15" customHeight="1">
      <c r="B51" s="85"/>
      <c r="C51" s="62" t="s">
        <v>176</v>
      </c>
      <c r="D51" s="63">
        <v>1</v>
      </c>
      <c r="E51" s="64">
        <v>2.475247524752E-3</v>
      </c>
    </row>
    <row r="52" spans="2:5" ht="15" customHeight="1">
      <c r="B52" s="86"/>
      <c r="C52" s="36" t="s">
        <v>28</v>
      </c>
      <c r="D52" s="35">
        <v>6</v>
      </c>
      <c r="E52" s="34">
        <v>1.4851485148515E-2</v>
      </c>
    </row>
    <row r="53" spans="2:5" ht="15" customHeight="1">
      <c r="B53" s="84" t="s">
        <v>118</v>
      </c>
      <c r="C53" s="62" t="s">
        <v>164</v>
      </c>
      <c r="D53" s="63">
        <v>1</v>
      </c>
      <c r="E53" s="64">
        <v>2.475247524752E-3</v>
      </c>
    </row>
    <row r="54" spans="2:5" ht="15" customHeight="1">
      <c r="B54" s="85"/>
      <c r="C54" s="62" t="s">
        <v>171</v>
      </c>
      <c r="D54" s="63">
        <v>1</v>
      </c>
      <c r="E54" s="64">
        <v>2.475247524752E-3</v>
      </c>
    </row>
    <row r="55" spans="2:5" ht="15" customHeight="1">
      <c r="B55" s="86"/>
      <c r="C55" s="36" t="s">
        <v>28</v>
      </c>
      <c r="D55" s="35">
        <v>2</v>
      </c>
      <c r="E55" s="34">
        <v>4.950495049505E-3</v>
      </c>
    </row>
    <row r="56" spans="2:5" ht="15" customHeight="1">
      <c r="B56" s="84" t="s">
        <v>119</v>
      </c>
      <c r="C56" s="62" t="s">
        <v>164</v>
      </c>
      <c r="D56" s="63">
        <v>1</v>
      </c>
      <c r="E56" s="64">
        <v>2.475247524752E-3</v>
      </c>
    </row>
    <row r="57" spans="2:5" ht="15" customHeight="1">
      <c r="B57" s="85"/>
      <c r="C57" s="62" t="s">
        <v>171</v>
      </c>
      <c r="D57" s="63">
        <v>1</v>
      </c>
      <c r="E57" s="64">
        <v>2.475247524752E-3</v>
      </c>
    </row>
    <row r="58" spans="2:5" ht="15" customHeight="1">
      <c r="B58" s="86"/>
      <c r="C58" s="36" t="s">
        <v>28</v>
      </c>
      <c r="D58" s="35">
        <v>2</v>
      </c>
      <c r="E58" s="34">
        <v>4.950495049505E-3</v>
      </c>
    </row>
    <row r="59" spans="2:5" ht="15" customHeight="1">
      <c r="B59" s="84" t="s">
        <v>94</v>
      </c>
      <c r="C59" s="62" t="s">
        <v>160</v>
      </c>
      <c r="D59" s="63">
        <v>1</v>
      </c>
      <c r="E59" s="64">
        <v>2.475247524752E-3</v>
      </c>
    </row>
    <row r="60" spans="2:5" ht="15" customHeight="1">
      <c r="B60" s="85"/>
      <c r="C60" s="62" t="s">
        <v>164</v>
      </c>
      <c r="D60" s="63">
        <v>1</v>
      </c>
      <c r="E60" s="64">
        <v>2.475247524752E-3</v>
      </c>
    </row>
    <row r="61" spans="2:5" ht="15" customHeight="1">
      <c r="B61" s="85"/>
      <c r="C61" s="62" t="s">
        <v>168</v>
      </c>
      <c r="D61" s="63">
        <v>2</v>
      </c>
      <c r="E61" s="64">
        <v>4.950495049505E-3</v>
      </c>
    </row>
    <row r="62" spans="2:5" ht="15" customHeight="1">
      <c r="B62" s="85"/>
      <c r="C62" s="62" t="s">
        <v>169</v>
      </c>
      <c r="D62" s="63">
        <v>1</v>
      </c>
      <c r="E62" s="64">
        <v>2.475247524752E-3</v>
      </c>
    </row>
    <row r="63" spans="2:5" ht="15" customHeight="1">
      <c r="B63" s="85"/>
      <c r="C63" s="62" t="s">
        <v>170</v>
      </c>
      <c r="D63" s="63">
        <v>1</v>
      </c>
      <c r="E63" s="64">
        <v>2.475247524752E-3</v>
      </c>
    </row>
    <row r="64" spans="2:5" ht="15" customHeight="1">
      <c r="B64" s="85"/>
      <c r="C64" s="62" t="s">
        <v>171</v>
      </c>
      <c r="D64" s="63">
        <v>3</v>
      </c>
      <c r="E64" s="64">
        <v>7.4257425742570004E-3</v>
      </c>
    </row>
    <row r="65" spans="2:5" ht="15" customHeight="1">
      <c r="B65" s="85"/>
      <c r="C65" s="62" t="s">
        <v>177</v>
      </c>
      <c r="D65" s="63">
        <v>1</v>
      </c>
      <c r="E65" s="64">
        <v>2.475247524752E-3</v>
      </c>
    </row>
    <row r="66" spans="2:5" ht="15" customHeight="1">
      <c r="B66" s="86"/>
      <c r="C66" s="36" t="s">
        <v>28</v>
      </c>
      <c r="D66" s="35">
        <v>10</v>
      </c>
      <c r="E66" s="34">
        <v>2.4752475247525E-2</v>
      </c>
    </row>
    <row r="67" spans="2:5" ht="15" customHeight="1">
      <c r="B67" s="84" t="s">
        <v>85</v>
      </c>
      <c r="C67" s="62" t="s">
        <v>158</v>
      </c>
      <c r="D67" s="63">
        <v>3</v>
      </c>
      <c r="E67" s="64">
        <v>7.4257425742570004E-3</v>
      </c>
    </row>
    <row r="68" spans="2:5" ht="15" customHeight="1">
      <c r="B68" s="85"/>
      <c r="C68" s="62" t="s">
        <v>161</v>
      </c>
      <c r="D68" s="63">
        <v>1</v>
      </c>
      <c r="E68" s="64">
        <v>2.475247524752E-3</v>
      </c>
    </row>
    <row r="69" spans="2:5" ht="15" customHeight="1">
      <c r="B69" s="85"/>
      <c r="C69" s="62" t="s">
        <v>163</v>
      </c>
      <c r="D69" s="63">
        <v>2</v>
      </c>
      <c r="E69" s="64">
        <v>4.950495049505E-3</v>
      </c>
    </row>
    <row r="70" spans="2:5" ht="15" customHeight="1">
      <c r="B70" s="85"/>
      <c r="C70" s="62" t="s">
        <v>164</v>
      </c>
      <c r="D70" s="63">
        <v>2</v>
      </c>
      <c r="E70" s="64">
        <v>4.950495049505E-3</v>
      </c>
    </row>
    <row r="71" spans="2:5" ht="15" customHeight="1">
      <c r="B71" s="85"/>
      <c r="C71" s="62" t="s">
        <v>166</v>
      </c>
      <c r="D71" s="63">
        <v>1</v>
      </c>
      <c r="E71" s="64">
        <v>2.475247524752E-3</v>
      </c>
    </row>
    <row r="72" spans="2:5" ht="15" customHeight="1">
      <c r="B72" s="85"/>
      <c r="C72" s="62" t="s">
        <v>167</v>
      </c>
      <c r="D72" s="63">
        <v>3</v>
      </c>
      <c r="E72" s="64">
        <v>7.4257425742570004E-3</v>
      </c>
    </row>
    <row r="73" spans="2:5" ht="15" customHeight="1">
      <c r="B73" s="85"/>
      <c r="C73" s="62" t="s">
        <v>168</v>
      </c>
      <c r="D73" s="63">
        <v>3</v>
      </c>
      <c r="E73" s="64">
        <v>7.4257425742570004E-3</v>
      </c>
    </row>
    <row r="74" spans="2:5" ht="15" customHeight="1">
      <c r="B74" s="85"/>
      <c r="C74" s="62" t="s">
        <v>170</v>
      </c>
      <c r="D74" s="63">
        <v>5</v>
      </c>
      <c r="E74" s="64">
        <v>1.2376237623762E-2</v>
      </c>
    </row>
    <row r="75" spans="2:5" ht="15" customHeight="1">
      <c r="B75" s="85"/>
      <c r="C75" s="62" t="s">
        <v>171</v>
      </c>
      <c r="D75" s="63">
        <v>11</v>
      </c>
      <c r="E75" s="64">
        <v>2.7227722772276999E-2</v>
      </c>
    </row>
    <row r="76" spans="2:5" ht="15" customHeight="1">
      <c r="B76" s="85"/>
      <c r="C76" s="62" t="s">
        <v>177</v>
      </c>
      <c r="D76" s="63">
        <v>1</v>
      </c>
      <c r="E76" s="64">
        <v>2.475247524752E-3</v>
      </c>
    </row>
    <row r="77" spans="2:5" ht="15" customHeight="1">
      <c r="B77" s="86"/>
      <c r="C77" s="36" t="s">
        <v>28</v>
      </c>
      <c r="D77" s="35">
        <v>32</v>
      </c>
      <c r="E77" s="34">
        <v>7.9207920792079001E-2</v>
      </c>
    </row>
    <row r="78" spans="2:5" ht="15" customHeight="1">
      <c r="B78" s="84" t="s">
        <v>95</v>
      </c>
      <c r="C78" s="62" t="s">
        <v>162</v>
      </c>
      <c r="D78" s="63">
        <v>1</v>
      </c>
      <c r="E78" s="64">
        <v>2.475247524752E-3</v>
      </c>
    </row>
    <row r="79" spans="2:5" ht="15" customHeight="1">
      <c r="B79" s="85"/>
      <c r="C79" s="62" t="s">
        <v>167</v>
      </c>
      <c r="D79" s="63">
        <v>1</v>
      </c>
      <c r="E79" s="64">
        <v>2.475247524752E-3</v>
      </c>
    </row>
    <row r="80" spans="2:5" ht="15" customHeight="1">
      <c r="B80" s="85"/>
      <c r="C80" s="62" t="s">
        <v>168</v>
      </c>
      <c r="D80" s="63">
        <v>1</v>
      </c>
      <c r="E80" s="64">
        <v>2.475247524752E-3</v>
      </c>
    </row>
    <row r="81" spans="2:5" ht="15" customHeight="1">
      <c r="B81" s="85"/>
      <c r="C81" s="62" t="s">
        <v>170</v>
      </c>
      <c r="D81" s="63">
        <v>1</v>
      </c>
      <c r="E81" s="64">
        <v>2.475247524752E-3</v>
      </c>
    </row>
    <row r="82" spans="2:5" ht="15" customHeight="1">
      <c r="B82" s="85"/>
      <c r="C82" s="62" t="s">
        <v>171</v>
      </c>
      <c r="D82" s="63">
        <v>2</v>
      </c>
      <c r="E82" s="64">
        <v>4.950495049505E-3</v>
      </c>
    </row>
    <row r="83" spans="2:5" ht="15" customHeight="1">
      <c r="B83" s="85"/>
      <c r="C83" s="62" t="s">
        <v>172</v>
      </c>
      <c r="D83" s="63">
        <v>1</v>
      </c>
      <c r="E83" s="64">
        <v>2.475247524752E-3</v>
      </c>
    </row>
    <row r="84" spans="2:5" ht="15" customHeight="1">
      <c r="B84" s="85"/>
      <c r="C84" s="62" t="s">
        <v>175</v>
      </c>
      <c r="D84" s="63">
        <v>1</v>
      </c>
      <c r="E84" s="64">
        <v>2.475247524752E-3</v>
      </c>
    </row>
    <row r="85" spans="2:5" ht="15" customHeight="1">
      <c r="B85" s="85"/>
      <c r="C85" s="62" t="s">
        <v>176</v>
      </c>
      <c r="D85" s="63">
        <v>2</v>
      </c>
      <c r="E85" s="64">
        <v>4.950495049505E-3</v>
      </c>
    </row>
    <row r="86" spans="2:5" ht="15" customHeight="1">
      <c r="B86" s="86"/>
      <c r="C86" s="36" t="s">
        <v>28</v>
      </c>
      <c r="D86" s="35">
        <v>10</v>
      </c>
      <c r="E86" s="34">
        <v>2.4752475247525E-2</v>
      </c>
    </row>
    <row r="87" spans="2:5" ht="15" customHeight="1">
      <c r="B87" s="84" t="s">
        <v>120</v>
      </c>
      <c r="C87" s="62" t="s">
        <v>168</v>
      </c>
      <c r="D87" s="63">
        <v>1</v>
      </c>
      <c r="E87" s="64">
        <v>2.475247524752E-3</v>
      </c>
    </row>
    <row r="88" spans="2:5" ht="15" customHeight="1">
      <c r="B88" s="85"/>
      <c r="C88" s="62" t="s">
        <v>170</v>
      </c>
      <c r="D88" s="63">
        <v>1</v>
      </c>
      <c r="E88" s="64">
        <v>2.475247524752E-3</v>
      </c>
    </row>
    <row r="89" spans="2:5" ht="15" customHeight="1">
      <c r="B89" s="86"/>
      <c r="C89" s="36" t="s">
        <v>28</v>
      </c>
      <c r="D89" s="35">
        <v>2</v>
      </c>
      <c r="E89" s="34">
        <v>4.950495049505E-3</v>
      </c>
    </row>
    <row r="90" spans="2:5" ht="15" customHeight="1">
      <c r="B90" s="84" t="s">
        <v>99</v>
      </c>
      <c r="C90" s="62" t="s">
        <v>158</v>
      </c>
      <c r="D90" s="63">
        <v>1</v>
      </c>
      <c r="E90" s="64">
        <v>2.475247524752E-3</v>
      </c>
    </row>
    <row r="91" spans="2:5" ht="15" customHeight="1">
      <c r="B91" s="85"/>
      <c r="C91" s="62" t="s">
        <v>162</v>
      </c>
      <c r="D91" s="63">
        <v>1</v>
      </c>
      <c r="E91" s="64">
        <v>2.475247524752E-3</v>
      </c>
    </row>
    <row r="92" spans="2:5" ht="15" customHeight="1">
      <c r="B92" s="85"/>
      <c r="C92" s="62" t="s">
        <v>164</v>
      </c>
      <c r="D92" s="63">
        <v>1</v>
      </c>
      <c r="E92" s="64">
        <v>2.475247524752E-3</v>
      </c>
    </row>
    <row r="93" spans="2:5" ht="15" customHeight="1">
      <c r="B93" s="85"/>
      <c r="C93" s="62" t="s">
        <v>168</v>
      </c>
      <c r="D93" s="63">
        <v>2</v>
      </c>
      <c r="E93" s="64">
        <v>4.950495049505E-3</v>
      </c>
    </row>
    <row r="94" spans="2:5" ht="15" customHeight="1">
      <c r="B94" s="85"/>
      <c r="C94" s="62" t="s">
        <v>170</v>
      </c>
      <c r="D94" s="63">
        <v>1</v>
      </c>
      <c r="E94" s="64">
        <v>2.475247524752E-3</v>
      </c>
    </row>
    <row r="95" spans="2:5" ht="15" customHeight="1">
      <c r="B95" s="85"/>
      <c r="C95" s="62" t="s">
        <v>171</v>
      </c>
      <c r="D95" s="63">
        <v>2</v>
      </c>
      <c r="E95" s="64">
        <v>4.950495049505E-3</v>
      </c>
    </row>
    <row r="96" spans="2:5" ht="15" customHeight="1">
      <c r="B96" s="86"/>
      <c r="C96" s="36" t="s">
        <v>28</v>
      </c>
      <c r="D96" s="35">
        <v>8</v>
      </c>
      <c r="E96" s="34">
        <v>1.980198019802E-2</v>
      </c>
    </row>
    <row r="97" spans="2:5" ht="15" customHeight="1">
      <c r="B97" s="84" t="s">
        <v>121</v>
      </c>
      <c r="C97" s="62" t="s">
        <v>168</v>
      </c>
      <c r="D97" s="63">
        <v>1</v>
      </c>
      <c r="E97" s="64">
        <v>2.475247524752E-3</v>
      </c>
    </row>
    <row r="98" spans="2:5" ht="15" customHeight="1">
      <c r="B98" s="85"/>
      <c r="C98" s="62" t="s">
        <v>176</v>
      </c>
      <c r="D98" s="63">
        <v>1</v>
      </c>
      <c r="E98" s="64">
        <v>2.475247524752E-3</v>
      </c>
    </row>
    <row r="99" spans="2:5" ht="15" customHeight="1">
      <c r="B99" s="86"/>
      <c r="C99" s="36" t="s">
        <v>28</v>
      </c>
      <c r="D99" s="35">
        <v>2</v>
      </c>
      <c r="E99" s="34">
        <v>4.950495049505E-3</v>
      </c>
    </row>
    <row r="100" spans="2:5" ht="15" customHeight="1">
      <c r="B100" s="84" t="s">
        <v>92</v>
      </c>
      <c r="C100" s="62" t="s">
        <v>163</v>
      </c>
      <c r="D100" s="63">
        <v>1</v>
      </c>
      <c r="E100" s="64">
        <v>2.475247524752E-3</v>
      </c>
    </row>
    <row r="101" spans="2:5" ht="15" customHeight="1">
      <c r="B101" s="85"/>
      <c r="C101" s="62" t="s">
        <v>168</v>
      </c>
      <c r="D101" s="63">
        <v>3</v>
      </c>
      <c r="E101" s="64">
        <v>7.4257425742570004E-3</v>
      </c>
    </row>
    <row r="102" spans="2:5" ht="15" customHeight="1">
      <c r="B102" s="85"/>
      <c r="C102" s="62" t="s">
        <v>170</v>
      </c>
      <c r="D102" s="63">
        <v>2</v>
      </c>
      <c r="E102" s="64">
        <v>4.950495049505E-3</v>
      </c>
    </row>
    <row r="103" spans="2:5" ht="15" customHeight="1">
      <c r="B103" s="85"/>
      <c r="C103" s="62" t="s">
        <v>171</v>
      </c>
      <c r="D103" s="63">
        <v>5</v>
      </c>
      <c r="E103" s="64">
        <v>1.2376237623762E-2</v>
      </c>
    </row>
    <row r="104" spans="2:5" ht="15" customHeight="1">
      <c r="B104" s="85"/>
      <c r="C104" s="62" t="s">
        <v>175</v>
      </c>
      <c r="D104" s="63">
        <v>2</v>
      </c>
      <c r="E104" s="64">
        <v>4.950495049505E-3</v>
      </c>
    </row>
    <row r="105" spans="2:5" ht="15" customHeight="1">
      <c r="B105" s="86"/>
      <c r="C105" s="36" t="s">
        <v>28</v>
      </c>
      <c r="D105" s="35">
        <v>13</v>
      </c>
      <c r="E105" s="34">
        <v>3.2178217821781999E-2</v>
      </c>
    </row>
    <row r="106" spans="2:5" ht="15" customHeight="1">
      <c r="B106" s="84" t="s">
        <v>102</v>
      </c>
      <c r="C106" s="62" t="s">
        <v>164</v>
      </c>
      <c r="D106" s="63">
        <v>1</v>
      </c>
      <c r="E106" s="64">
        <v>2.475247524752E-3</v>
      </c>
    </row>
    <row r="107" spans="2:5" ht="15" customHeight="1">
      <c r="B107" s="85"/>
      <c r="C107" s="62" t="s">
        <v>168</v>
      </c>
      <c r="D107" s="63">
        <v>1</v>
      </c>
      <c r="E107" s="64">
        <v>2.475247524752E-3</v>
      </c>
    </row>
    <row r="108" spans="2:5" ht="15" customHeight="1">
      <c r="B108" s="85"/>
      <c r="C108" s="62" t="s">
        <v>170</v>
      </c>
      <c r="D108" s="63">
        <v>1</v>
      </c>
      <c r="E108" s="64">
        <v>2.475247524752E-3</v>
      </c>
    </row>
    <row r="109" spans="2:5" ht="15" customHeight="1">
      <c r="B109" s="85"/>
      <c r="C109" s="62" t="s">
        <v>171</v>
      </c>
      <c r="D109" s="63">
        <v>2</v>
      </c>
      <c r="E109" s="64">
        <v>4.950495049505E-3</v>
      </c>
    </row>
    <row r="110" spans="2:5" ht="15" customHeight="1">
      <c r="B110" s="85"/>
      <c r="C110" s="62" t="s">
        <v>175</v>
      </c>
      <c r="D110" s="63">
        <v>1</v>
      </c>
      <c r="E110" s="64">
        <v>2.475247524752E-3</v>
      </c>
    </row>
    <row r="111" spans="2:5" ht="15" customHeight="1">
      <c r="B111" s="85"/>
      <c r="C111" s="62" t="s">
        <v>176</v>
      </c>
      <c r="D111" s="63">
        <v>1</v>
      </c>
      <c r="E111" s="64">
        <v>2.475247524752E-3</v>
      </c>
    </row>
    <row r="112" spans="2:5" ht="15" customHeight="1">
      <c r="B112" s="86"/>
      <c r="C112" s="36" t="s">
        <v>28</v>
      </c>
      <c r="D112" s="35">
        <v>7</v>
      </c>
      <c r="E112" s="34">
        <v>1.7326732673266999E-2</v>
      </c>
    </row>
    <row r="113" spans="2:5" ht="15" customHeight="1">
      <c r="B113" s="84" t="s">
        <v>84</v>
      </c>
      <c r="C113" s="62" t="s">
        <v>162</v>
      </c>
      <c r="D113" s="63">
        <v>1</v>
      </c>
      <c r="E113" s="64">
        <v>2.475247524752E-3</v>
      </c>
    </row>
    <row r="114" spans="2:5" ht="15" customHeight="1">
      <c r="B114" s="85"/>
      <c r="C114" s="62" t="s">
        <v>163</v>
      </c>
      <c r="D114" s="63">
        <v>2</v>
      </c>
      <c r="E114" s="64">
        <v>4.950495049505E-3</v>
      </c>
    </row>
    <row r="115" spans="2:5" ht="15" customHeight="1">
      <c r="B115" s="85"/>
      <c r="C115" s="62" t="s">
        <v>164</v>
      </c>
      <c r="D115" s="63">
        <v>5</v>
      </c>
      <c r="E115" s="64">
        <v>1.2376237623762E-2</v>
      </c>
    </row>
    <row r="116" spans="2:5" ht="15" customHeight="1">
      <c r="B116" s="85"/>
      <c r="C116" s="62" t="s">
        <v>166</v>
      </c>
      <c r="D116" s="63">
        <v>2</v>
      </c>
      <c r="E116" s="64">
        <v>4.950495049505E-3</v>
      </c>
    </row>
    <row r="117" spans="2:5" ht="15" customHeight="1">
      <c r="B117" s="85"/>
      <c r="C117" s="62" t="s">
        <v>167</v>
      </c>
      <c r="D117" s="63">
        <v>3</v>
      </c>
      <c r="E117" s="64">
        <v>7.4257425742570004E-3</v>
      </c>
    </row>
    <row r="118" spans="2:5" ht="15" customHeight="1">
      <c r="B118" s="85"/>
      <c r="C118" s="62" t="s">
        <v>168</v>
      </c>
      <c r="D118" s="63">
        <v>10</v>
      </c>
      <c r="E118" s="64">
        <v>2.4752475247525E-2</v>
      </c>
    </row>
    <row r="119" spans="2:5" ht="15" customHeight="1">
      <c r="B119" s="85"/>
      <c r="C119" s="62" t="s">
        <v>169</v>
      </c>
      <c r="D119" s="63">
        <v>1</v>
      </c>
      <c r="E119" s="64">
        <v>2.475247524752E-3</v>
      </c>
    </row>
    <row r="120" spans="2:5" ht="15" customHeight="1">
      <c r="B120" s="85"/>
      <c r="C120" s="62" t="s">
        <v>170</v>
      </c>
      <c r="D120" s="63">
        <v>8</v>
      </c>
      <c r="E120" s="64">
        <v>1.980198019802E-2</v>
      </c>
    </row>
    <row r="121" spans="2:5" ht="15" customHeight="1">
      <c r="B121" s="85"/>
      <c r="C121" s="62" t="s">
        <v>171</v>
      </c>
      <c r="D121" s="63">
        <v>18</v>
      </c>
      <c r="E121" s="64">
        <v>4.4554455445545003E-2</v>
      </c>
    </row>
    <row r="122" spans="2:5" ht="15" customHeight="1">
      <c r="B122" s="85"/>
      <c r="C122" s="62" t="s">
        <v>175</v>
      </c>
      <c r="D122" s="63">
        <v>1</v>
      </c>
      <c r="E122" s="64">
        <v>2.475247524752E-3</v>
      </c>
    </row>
    <row r="123" spans="2:5" ht="15" customHeight="1">
      <c r="B123" s="85"/>
      <c r="C123" s="62" t="s">
        <v>176</v>
      </c>
      <c r="D123" s="63">
        <v>4</v>
      </c>
      <c r="E123" s="64">
        <v>9.90099009901E-3</v>
      </c>
    </row>
    <row r="124" spans="2:5" ht="15" customHeight="1">
      <c r="B124" s="86"/>
      <c r="C124" s="36" t="s">
        <v>28</v>
      </c>
      <c r="D124" s="35">
        <v>55</v>
      </c>
      <c r="E124" s="34">
        <v>0.13613861386138601</v>
      </c>
    </row>
    <row r="125" spans="2:5" ht="15" customHeight="1">
      <c r="B125" s="84" t="s">
        <v>122</v>
      </c>
      <c r="C125" s="62" t="s">
        <v>168</v>
      </c>
      <c r="D125" s="63">
        <v>1</v>
      </c>
      <c r="E125" s="64">
        <v>2.475247524752E-3</v>
      </c>
    </row>
    <row r="126" spans="2:5" ht="15" customHeight="1">
      <c r="B126" s="85"/>
      <c r="C126" s="62" t="s">
        <v>171</v>
      </c>
      <c r="D126" s="63">
        <v>1</v>
      </c>
      <c r="E126" s="64">
        <v>2.475247524752E-3</v>
      </c>
    </row>
    <row r="127" spans="2:5" ht="15" customHeight="1">
      <c r="B127" s="86"/>
      <c r="C127" s="36" t="s">
        <v>28</v>
      </c>
      <c r="D127" s="35">
        <v>2</v>
      </c>
      <c r="E127" s="34">
        <v>4.950495049505E-3</v>
      </c>
    </row>
    <row r="128" spans="2:5" ht="15" customHeight="1">
      <c r="B128" s="84" t="s">
        <v>108</v>
      </c>
      <c r="C128" s="62" t="s">
        <v>168</v>
      </c>
      <c r="D128" s="63">
        <v>1</v>
      </c>
      <c r="E128" s="64">
        <v>2.475247524752E-3</v>
      </c>
    </row>
    <row r="129" spans="2:5" ht="15" customHeight="1">
      <c r="B129" s="85"/>
      <c r="C129" s="62" t="s">
        <v>170</v>
      </c>
      <c r="D129" s="63">
        <v>1</v>
      </c>
      <c r="E129" s="64">
        <v>2.475247524752E-3</v>
      </c>
    </row>
    <row r="130" spans="2:5" ht="15" customHeight="1">
      <c r="B130" s="85"/>
      <c r="C130" s="62" t="s">
        <v>171</v>
      </c>
      <c r="D130" s="63">
        <v>3</v>
      </c>
      <c r="E130" s="64">
        <v>7.4257425742570004E-3</v>
      </c>
    </row>
    <row r="131" spans="2:5" ht="15" customHeight="1">
      <c r="B131" s="86"/>
      <c r="C131" s="36" t="s">
        <v>28</v>
      </c>
      <c r="D131" s="35">
        <v>5</v>
      </c>
      <c r="E131" s="34">
        <v>1.2376237623762E-2</v>
      </c>
    </row>
    <row r="132" spans="2:5" ht="15" customHeight="1">
      <c r="B132" s="84" t="s">
        <v>126</v>
      </c>
      <c r="C132" s="62" t="s">
        <v>171</v>
      </c>
      <c r="D132" s="63">
        <v>1</v>
      </c>
      <c r="E132" s="64">
        <v>2.475247524752E-3</v>
      </c>
    </row>
    <row r="133" spans="2:5" ht="15" customHeight="1">
      <c r="B133" s="86"/>
      <c r="C133" s="36" t="s">
        <v>28</v>
      </c>
      <c r="D133" s="35">
        <v>1</v>
      </c>
      <c r="E133" s="34">
        <v>2.475247524752E-3</v>
      </c>
    </row>
    <row r="134" spans="2:5" ht="15" customHeight="1">
      <c r="B134" s="84" t="s">
        <v>109</v>
      </c>
      <c r="C134" s="62" t="s">
        <v>168</v>
      </c>
      <c r="D134" s="63">
        <v>1</v>
      </c>
      <c r="E134" s="64">
        <v>2.475247524752E-3</v>
      </c>
    </row>
    <row r="135" spans="2:5" ht="15" customHeight="1">
      <c r="B135" s="85"/>
      <c r="C135" s="62" t="s">
        <v>170</v>
      </c>
      <c r="D135" s="63">
        <v>1</v>
      </c>
      <c r="E135" s="64">
        <v>2.475247524752E-3</v>
      </c>
    </row>
    <row r="136" spans="2:5" ht="15" customHeight="1">
      <c r="B136" s="85"/>
      <c r="C136" s="62" t="s">
        <v>171</v>
      </c>
      <c r="D136" s="63">
        <v>2</v>
      </c>
      <c r="E136" s="64">
        <v>4.950495049505E-3</v>
      </c>
    </row>
    <row r="137" spans="2:5" ht="15" customHeight="1">
      <c r="B137" s="86"/>
      <c r="C137" s="36" t="s">
        <v>28</v>
      </c>
      <c r="D137" s="35">
        <v>4</v>
      </c>
      <c r="E137" s="34">
        <v>9.90099009901E-3</v>
      </c>
    </row>
    <row r="138" spans="2:5" ht="15" customHeight="1">
      <c r="B138" s="84" t="s">
        <v>127</v>
      </c>
      <c r="C138" s="62" t="s">
        <v>176</v>
      </c>
      <c r="D138" s="63">
        <v>1</v>
      </c>
      <c r="E138" s="64">
        <v>2.475247524752E-3</v>
      </c>
    </row>
    <row r="139" spans="2:5" ht="15" customHeight="1">
      <c r="B139" s="86"/>
      <c r="C139" s="36" t="s">
        <v>28</v>
      </c>
      <c r="D139" s="35">
        <v>1</v>
      </c>
      <c r="E139" s="34">
        <v>2.475247524752E-3</v>
      </c>
    </row>
    <row r="140" spans="2:5" ht="15" customHeight="1">
      <c r="B140" s="84" t="s">
        <v>123</v>
      </c>
      <c r="C140" s="62" t="s">
        <v>168</v>
      </c>
      <c r="D140" s="63">
        <v>1</v>
      </c>
      <c r="E140" s="64">
        <v>2.475247524752E-3</v>
      </c>
    </row>
    <row r="141" spans="2:5" ht="15" customHeight="1">
      <c r="B141" s="85"/>
      <c r="C141" s="62" t="s">
        <v>178</v>
      </c>
      <c r="D141" s="63">
        <v>1</v>
      </c>
      <c r="E141" s="64">
        <v>2.475247524752E-3</v>
      </c>
    </row>
    <row r="142" spans="2:5" ht="15" customHeight="1">
      <c r="B142" s="86"/>
      <c r="C142" s="36" t="s">
        <v>28</v>
      </c>
      <c r="D142" s="35">
        <v>2</v>
      </c>
      <c r="E142" s="34">
        <v>4.950495049505E-3</v>
      </c>
    </row>
    <row r="143" spans="2:5" ht="15" customHeight="1">
      <c r="B143" s="84" t="s">
        <v>124</v>
      </c>
      <c r="C143" s="62" t="s">
        <v>168</v>
      </c>
      <c r="D143" s="63">
        <v>1</v>
      </c>
      <c r="E143" s="64">
        <v>2.475247524752E-3</v>
      </c>
    </row>
    <row r="144" spans="2:5" ht="15" customHeight="1">
      <c r="B144" s="85"/>
      <c r="C144" s="62" t="s">
        <v>171</v>
      </c>
      <c r="D144" s="63">
        <v>1</v>
      </c>
      <c r="E144" s="64">
        <v>2.475247524752E-3</v>
      </c>
    </row>
    <row r="145" spans="2:5" ht="15" customHeight="1">
      <c r="B145" s="86"/>
      <c r="C145" s="36" t="s">
        <v>28</v>
      </c>
      <c r="D145" s="35">
        <v>2</v>
      </c>
      <c r="E145" s="34">
        <v>4.950495049505E-3</v>
      </c>
    </row>
    <row r="146" spans="2:5" ht="15" customHeight="1">
      <c r="B146" s="84" t="s">
        <v>106</v>
      </c>
      <c r="C146" s="62" t="s">
        <v>163</v>
      </c>
      <c r="D146" s="63">
        <v>1</v>
      </c>
      <c r="E146" s="64">
        <v>2.475247524752E-3</v>
      </c>
    </row>
    <row r="147" spans="2:5" ht="15" customHeight="1">
      <c r="B147" s="85"/>
      <c r="C147" s="62" t="s">
        <v>164</v>
      </c>
      <c r="D147" s="63">
        <v>1</v>
      </c>
      <c r="E147" s="64">
        <v>2.475247524752E-3</v>
      </c>
    </row>
    <row r="148" spans="2:5" ht="15" customHeight="1">
      <c r="B148" s="85"/>
      <c r="C148" s="62" t="s">
        <v>168</v>
      </c>
      <c r="D148" s="63">
        <v>1</v>
      </c>
      <c r="E148" s="64">
        <v>2.475247524752E-3</v>
      </c>
    </row>
    <row r="149" spans="2:5" ht="15" customHeight="1">
      <c r="B149" s="85"/>
      <c r="C149" s="62" t="s">
        <v>170</v>
      </c>
      <c r="D149" s="63">
        <v>1</v>
      </c>
      <c r="E149" s="64">
        <v>2.475247524752E-3</v>
      </c>
    </row>
    <row r="150" spans="2:5" ht="15" customHeight="1">
      <c r="B150" s="85"/>
      <c r="C150" s="62" t="s">
        <v>171</v>
      </c>
      <c r="D150" s="63">
        <v>1</v>
      </c>
      <c r="E150" s="64">
        <v>2.475247524752E-3</v>
      </c>
    </row>
    <row r="151" spans="2:5" ht="15" customHeight="1">
      <c r="B151" s="85"/>
      <c r="C151" s="62" t="s">
        <v>175</v>
      </c>
      <c r="D151" s="63">
        <v>1</v>
      </c>
      <c r="E151" s="64">
        <v>2.475247524752E-3</v>
      </c>
    </row>
    <row r="152" spans="2:5" ht="15" customHeight="1">
      <c r="B152" s="86"/>
      <c r="C152" s="36" t="s">
        <v>28</v>
      </c>
      <c r="D152" s="35">
        <v>6</v>
      </c>
      <c r="E152" s="34">
        <v>1.4851485148515E-2</v>
      </c>
    </row>
    <row r="153" spans="2:5" ht="15" customHeight="1">
      <c r="B153" s="84" t="s">
        <v>125</v>
      </c>
      <c r="C153" s="62" t="s">
        <v>163</v>
      </c>
      <c r="D153" s="63">
        <v>1</v>
      </c>
      <c r="E153" s="64">
        <v>2.475247524752E-3</v>
      </c>
    </row>
    <row r="154" spans="2:5" ht="15" customHeight="1">
      <c r="B154" s="85"/>
      <c r="C154" s="62" t="s">
        <v>171</v>
      </c>
      <c r="D154" s="63">
        <v>1</v>
      </c>
      <c r="E154" s="64">
        <v>2.475247524752E-3</v>
      </c>
    </row>
    <row r="155" spans="2:5" ht="15" customHeight="1">
      <c r="B155" s="86"/>
      <c r="C155" s="36" t="s">
        <v>28</v>
      </c>
      <c r="D155" s="35">
        <v>2</v>
      </c>
      <c r="E155" s="34">
        <v>4.950495049505E-3</v>
      </c>
    </row>
    <row r="156" spans="2:5" ht="15" customHeight="1">
      <c r="B156" s="84" t="s">
        <v>110</v>
      </c>
      <c r="C156" s="62" t="s">
        <v>158</v>
      </c>
      <c r="D156" s="63">
        <v>1</v>
      </c>
      <c r="E156" s="64">
        <v>2.475247524752E-3</v>
      </c>
    </row>
    <row r="157" spans="2:5" ht="15" customHeight="1">
      <c r="B157" s="85"/>
      <c r="C157" s="62" t="s">
        <v>160</v>
      </c>
      <c r="D157" s="63">
        <v>1</v>
      </c>
      <c r="E157" s="64">
        <v>2.475247524752E-3</v>
      </c>
    </row>
    <row r="158" spans="2:5" ht="15" customHeight="1">
      <c r="B158" s="85"/>
      <c r="C158" s="62" t="s">
        <v>164</v>
      </c>
      <c r="D158" s="63">
        <v>1</v>
      </c>
      <c r="E158" s="64">
        <v>2.475247524752E-3</v>
      </c>
    </row>
    <row r="159" spans="2:5" ht="15" customHeight="1">
      <c r="B159" s="85"/>
      <c r="C159" s="62" t="s">
        <v>168</v>
      </c>
      <c r="D159" s="63">
        <v>1</v>
      </c>
      <c r="E159" s="64">
        <v>2.475247524752E-3</v>
      </c>
    </row>
    <row r="160" spans="2:5" ht="15" customHeight="1">
      <c r="B160" s="86"/>
      <c r="C160" s="36" t="s">
        <v>28</v>
      </c>
      <c r="D160" s="35">
        <v>4</v>
      </c>
      <c r="E160" s="34">
        <v>9.90099009901E-3</v>
      </c>
    </row>
    <row r="161" spans="2:5" ht="15" customHeight="1">
      <c r="B161" s="84" t="s">
        <v>88</v>
      </c>
      <c r="C161" s="62" t="s">
        <v>158</v>
      </c>
      <c r="D161" s="63">
        <v>2</v>
      </c>
      <c r="E161" s="64">
        <v>4.950495049505E-3</v>
      </c>
    </row>
    <row r="162" spans="2:5" ht="15" customHeight="1">
      <c r="B162" s="85"/>
      <c r="C162" s="62" t="s">
        <v>159</v>
      </c>
      <c r="D162" s="63">
        <v>1</v>
      </c>
      <c r="E162" s="64">
        <v>2.475247524752E-3</v>
      </c>
    </row>
    <row r="163" spans="2:5" ht="15" customHeight="1">
      <c r="B163" s="85"/>
      <c r="C163" s="62" t="s">
        <v>163</v>
      </c>
      <c r="D163" s="63">
        <v>1</v>
      </c>
      <c r="E163" s="64">
        <v>2.475247524752E-3</v>
      </c>
    </row>
    <row r="164" spans="2:5" ht="15" customHeight="1">
      <c r="B164" s="85"/>
      <c r="C164" s="62" t="s">
        <v>164</v>
      </c>
      <c r="D164" s="63">
        <v>3</v>
      </c>
      <c r="E164" s="64">
        <v>7.4257425742570004E-3</v>
      </c>
    </row>
    <row r="165" spans="2:5" ht="15" customHeight="1">
      <c r="B165" s="85"/>
      <c r="C165" s="62" t="s">
        <v>165</v>
      </c>
      <c r="D165" s="63">
        <v>1</v>
      </c>
      <c r="E165" s="64">
        <v>2.475247524752E-3</v>
      </c>
    </row>
    <row r="166" spans="2:5" ht="15" customHeight="1">
      <c r="B166" s="85"/>
      <c r="C166" s="62" t="s">
        <v>166</v>
      </c>
      <c r="D166" s="63">
        <v>2</v>
      </c>
      <c r="E166" s="64">
        <v>4.950495049505E-3</v>
      </c>
    </row>
    <row r="167" spans="2:5" ht="15" customHeight="1">
      <c r="B167" s="85"/>
      <c r="C167" s="62" t="s">
        <v>168</v>
      </c>
      <c r="D167" s="63">
        <v>6</v>
      </c>
      <c r="E167" s="64">
        <v>1.4851485148515E-2</v>
      </c>
    </row>
    <row r="168" spans="2:5" ht="15" customHeight="1">
      <c r="B168" s="85"/>
      <c r="C168" s="62" t="s">
        <v>170</v>
      </c>
      <c r="D168" s="63">
        <v>2</v>
      </c>
      <c r="E168" s="64">
        <v>4.950495049505E-3</v>
      </c>
    </row>
    <row r="169" spans="2:5" ht="15" customHeight="1">
      <c r="B169" s="85"/>
      <c r="C169" s="62" t="s">
        <v>171</v>
      </c>
      <c r="D169" s="63">
        <v>5</v>
      </c>
      <c r="E169" s="64">
        <v>1.2376237623762E-2</v>
      </c>
    </row>
    <row r="170" spans="2:5" ht="15" customHeight="1">
      <c r="B170" s="86"/>
      <c r="C170" s="36" t="s">
        <v>28</v>
      </c>
      <c r="D170" s="35">
        <v>23</v>
      </c>
      <c r="E170" s="34">
        <v>5.6930693069307002E-2</v>
      </c>
    </row>
    <row r="171" spans="2:5" ht="15" customHeight="1">
      <c r="B171" s="84" t="s">
        <v>93</v>
      </c>
      <c r="C171" s="62" t="s">
        <v>164</v>
      </c>
      <c r="D171" s="63">
        <v>1</v>
      </c>
      <c r="E171" s="64">
        <v>2.475247524752E-3</v>
      </c>
    </row>
    <row r="172" spans="2:5" ht="15" customHeight="1">
      <c r="B172" s="85"/>
      <c r="C172" s="62" t="s">
        <v>168</v>
      </c>
      <c r="D172" s="63">
        <v>5</v>
      </c>
      <c r="E172" s="64">
        <v>1.2376237623762E-2</v>
      </c>
    </row>
    <row r="173" spans="2:5" ht="15" customHeight="1">
      <c r="B173" s="85"/>
      <c r="C173" s="62" t="s">
        <v>171</v>
      </c>
      <c r="D173" s="63">
        <v>4</v>
      </c>
      <c r="E173" s="64">
        <v>9.90099009901E-3</v>
      </c>
    </row>
    <row r="174" spans="2:5" ht="15" customHeight="1">
      <c r="B174" s="85"/>
      <c r="C174" s="62" t="s">
        <v>176</v>
      </c>
      <c r="D174" s="63">
        <v>1</v>
      </c>
      <c r="E174" s="64">
        <v>2.475247524752E-3</v>
      </c>
    </row>
    <row r="175" spans="2:5" ht="15" customHeight="1">
      <c r="B175" s="86"/>
      <c r="C175" s="36" t="s">
        <v>28</v>
      </c>
      <c r="D175" s="35">
        <v>11</v>
      </c>
      <c r="E175" s="34">
        <v>2.7227722772276999E-2</v>
      </c>
    </row>
    <row r="176" spans="2:5" ht="15" customHeight="1">
      <c r="B176" s="84" t="s">
        <v>113</v>
      </c>
      <c r="C176" s="62" t="s">
        <v>163</v>
      </c>
      <c r="D176" s="63">
        <v>1</v>
      </c>
      <c r="E176" s="64">
        <v>2.475247524752E-3</v>
      </c>
    </row>
    <row r="177" spans="2:5" ht="15" customHeight="1">
      <c r="B177" s="85"/>
      <c r="C177" s="62" t="s">
        <v>171</v>
      </c>
      <c r="D177" s="63">
        <v>2</v>
      </c>
      <c r="E177" s="64">
        <v>4.950495049505E-3</v>
      </c>
    </row>
    <row r="178" spans="2:5" ht="15" customHeight="1">
      <c r="B178" s="86"/>
      <c r="C178" s="36" t="s">
        <v>28</v>
      </c>
      <c r="D178" s="35">
        <v>3</v>
      </c>
      <c r="E178" s="34">
        <v>7.4257425742570004E-3</v>
      </c>
    </row>
    <row r="179" spans="2:5" ht="15" customHeight="1">
      <c r="B179" s="84" t="s">
        <v>128</v>
      </c>
      <c r="C179" s="62" t="s">
        <v>168</v>
      </c>
      <c r="D179" s="63">
        <v>1</v>
      </c>
      <c r="E179" s="64">
        <v>2.475247524752E-3</v>
      </c>
    </row>
    <row r="180" spans="2:5" ht="15" customHeight="1">
      <c r="B180" s="86"/>
      <c r="C180" s="36" t="s">
        <v>28</v>
      </c>
      <c r="D180" s="35">
        <v>1</v>
      </c>
      <c r="E180" s="34">
        <v>2.475247524752E-3</v>
      </c>
    </row>
    <row r="181" spans="2:5" ht="15" customHeight="1">
      <c r="B181" s="84" t="s">
        <v>91</v>
      </c>
      <c r="C181" s="62" t="s">
        <v>162</v>
      </c>
      <c r="D181" s="63">
        <v>1</v>
      </c>
      <c r="E181" s="64">
        <v>2.475247524752E-3</v>
      </c>
    </row>
    <row r="182" spans="2:5" ht="15" customHeight="1">
      <c r="B182" s="85"/>
      <c r="C182" s="62" t="s">
        <v>164</v>
      </c>
      <c r="D182" s="63">
        <v>1</v>
      </c>
      <c r="E182" s="64">
        <v>2.475247524752E-3</v>
      </c>
    </row>
    <row r="183" spans="2:5" ht="15" customHeight="1">
      <c r="B183" s="85"/>
      <c r="C183" s="62" t="s">
        <v>165</v>
      </c>
      <c r="D183" s="63">
        <v>1</v>
      </c>
      <c r="E183" s="64">
        <v>2.475247524752E-3</v>
      </c>
    </row>
    <row r="184" spans="2:5" ht="15" customHeight="1">
      <c r="B184" s="85"/>
      <c r="C184" s="62" t="s">
        <v>166</v>
      </c>
      <c r="D184" s="63">
        <v>1</v>
      </c>
      <c r="E184" s="64">
        <v>2.475247524752E-3</v>
      </c>
    </row>
    <row r="185" spans="2:5" ht="15" customHeight="1">
      <c r="B185" s="85"/>
      <c r="C185" s="62" t="s">
        <v>167</v>
      </c>
      <c r="D185" s="63">
        <v>1</v>
      </c>
      <c r="E185" s="64">
        <v>2.475247524752E-3</v>
      </c>
    </row>
    <row r="186" spans="2:5" ht="15" customHeight="1">
      <c r="B186" s="85"/>
      <c r="C186" s="62" t="s">
        <v>168</v>
      </c>
      <c r="D186" s="63">
        <v>3</v>
      </c>
      <c r="E186" s="64">
        <v>7.4257425742570004E-3</v>
      </c>
    </row>
    <row r="187" spans="2:5" ht="15" customHeight="1">
      <c r="B187" s="85"/>
      <c r="C187" s="62" t="s">
        <v>170</v>
      </c>
      <c r="D187" s="63">
        <v>2</v>
      </c>
      <c r="E187" s="64">
        <v>4.950495049505E-3</v>
      </c>
    </row>
    <row r="188" spans="2:5" ht="15" customHeight="1">
      <c r="B188" s="85"/>
      <c r="C188" s="62" t="s">
        <v>171</v>
      </c>
      <c r="D188" s="63">
        <v>5</v>
      </c>
      <c r="E188" s="64">
        <v>1.2376237623762E-2</v>
      </c>
    </row>
    <row r="189" spans="2:5" ht="15" customHeight="1">
      <c r="B189" s="85"/>
      <c r="C189" s="62" t="s">
        <v>175</v>
      </c>
      <c r="D189" s="63">
        <v>1</v>
      </c>
      <c r="E189" s="64">
        <v>2.475247524752E-3</v>
      </c>
    </row>
    <row r="190" spans="2:5" ht="15" customHeight="1">
      <c r="B190" s="86"/>
      <c r="C190" s="36" t="s">
        <v>28</v>
      </c>
      <c r="D190" s="35">
        <v>16</v>
      </c>
      <c r="E190" s="34">
        <v>3.960396039604E-2</v>
      </c>
    </row>
    <row r="191" spans="2:5" ht="15" customHeight="1">
      <c r="B191" s="84" t="s">
        <v>96</v>
      </c>
      <c r="C191" s="62" t="s">
        <v>159</v>
      </c>
      <c r="D191" s="63">
        <v>1</v>
      </c>
      <c r="E191" s="64">
        <v>2.475247524752E-3</v>
      </c>
    </row>
    <row r="192" spans="2:5" ht="15" customHeight="1">
      <c r="B192" s="85"/>
      <c r="C192" s="62" t="s">
        <v>163</v>
      </c>
      <c r="D192" s="63">
        <v>2</v>
      </c>
      <c r="E192" s="64">
        <v>4.950495049505E-3</v>
      </c>
    </row>
    <row r="193" spans="2:5" ht="15" customHeight="1">
      <c r="B193" s="85"/>
      <c r="C193" s="62" t="s">
        <v>164</v>
      </c>
      <c r="D193" s="63">
        <v>3</v>
      </c>
      <c r="E193" s="64">
        <v>7.4257425742570004E-3</v>
      </c>
    </row>
    <row r="194" spans="2:5" ht="15" customHeight="1">
      <c r="B194" s="85"/>
      <c r="C194" s="62" t="s">
        <v>168</v>
      </c>
      <c r="D194" s="63">
        <v>2</v>
      </c>
      <c r="E194" s="64">
        <v>4.950495049505E-3</v>
      </c>
    </row>
    <row r="195" spans="2:5" ht="15" customHeight="1">
      <c r="B195" s="85"/>
      <c r="C195" s="62" t="s">
        <v>170</v>
      </c>
      <c r="D195" s="63">
        <v>1</v>
      </c>
      <c r="E195" s="64">
        <v>2.475247524752E-3</v>
      </c>
    </row>
    <row r="196" spans="2:5" ht="15" customHeight="1">
      <c r="B196" s="85"/>
      <c r="C196" s="62" t="s">
        <v>176</v>
      </c>
      <c r="D196" s="63">
        <v>1</v>
      </c>
      <c r="E196" s="64">
        <v>2.475247524752E-3</v>
      </c>
    </row>
    <row r="197" spans="2:5" ht="15" customHeight="1">
      <c r="B197" s="86"/>
      <c r="C197" s="36" t="s">
        <v>28</v>
      </c>
      <c r="D197" s="35">
        <v>10</v>
      </c>
      <c r="E197" s="34">
        <v>2.4752475247525E-2</v>
      </c>
    </row>
    <row r="198" spans="2:5" ht="15" customHeight="1">
      <c r="B198" s="84" t="s">
        <v>114</v>
      </c>
      <c r="C198" s="62" t="s">
        <v>168</v>
      </c>
      <c r="D198" s="63">
        <v>1</v>
      </c>
      <c r="E198" s="64">
        <v>2.475247524752E-3</v>
      </c>
    </row>
    <row r="199" spans="2:5" ht="15" customHeight="1">
      <c r="B199" s="85"/>
      <c r="C199" s="62" t="s">
        <v>171</v>
      </c>
      <c r="D199" s="63">
        <v>2</v>
      </c>
      <c r="E199" s="64">
        <v>4.950495049505E-3</v>
      </c>
    </row>
    <row r="200" spans="2:5" ht="15" customHeight="1">
      <c r="B200" s="86"/>
      <c r="C200" s="36" t="s">
        <v>28</v>
      </c>
      <c r="D200" s="35">
        <v>3</v>
      </c>
      <c r="E200" s="34">
        <v>7.4257425742570004E-3</v>
      </c>
    </row>
    <row r="201" spans="2:5" ht="15" customHeight="1">
      <c r="B201" s="84" t="s">
        <v>100</v>
      </c>
      <c r="C201" s="62" t="s">
        <v>167</v>
      </c>
      <c r="D201" s="63">
        <v>1</v>
      </c>
      <c r="E201" s="64">
        <v>2.475247524752E-3</v>
      </c>
    </row>
    <row r="202" spans="2:5" ht="15" customHeight="1">
      <c r="B202" s="85"/>
      <c r="C202" s="62" t="s">
        <v>168</v>
      </c>
      <c r="D202" s="63">
        <v>2</v>
      </c>
      <c r="E202" s="64">
        <v>4.950495049505E-3</v>
      </c>
    </row>
    <row r="203" spans="2:5" ht="15" customHeight="1">
      <c r="B203" s="85"/>
      <c r="C203" s="62" t="s">
        <v>171</v>
      </c>
      <c r="D203" s="63">
        <v>4</v>
      </c>
      <c r="E203" s="64">
        <v>9.90099009901E-3</v>
      </c>
    </row>
    <row r="204" spans="2:5" ht="15" customHeight="1">
      <c r="B204" s="85"/>
      <c r="C204" s="62" t="s">
        <v>175</v>
      </c>
      <c r="D204" s="63">
        <v>1</v>
      </c>
      <c r="E204" s="64">
        <v>2.475247524752E-3</v>
      </c>
    </row>
    <row r="205" spans="2:5" ht="15" customHeight="1">
      <c r="B205" s="86"/>
      <c r="C205" s="36" t="s">
        <v>28</v>
      </c>
      <c r="D205" s="35">
        <v>8</v>
      </c>
      <c r="E205" s="34">
        <v>1.980198019802E-2</v>
      </c>
    </row>
    <row r="206" spans="2:5" ht="15" customHeight="1">
      <c r="B206" s="84" t="s">
        <v>111</v>
      </c>
      <c r="C206" s="62" t="s">
        <v>164</v>
      </c>
      <c r="D206" s="63">
        <v>1</v>
      </c>
      <c r="E206" s="64">
        <v>2.475247524752E-3</v>
      </c>
    </row>
    <row r="207" spans="2:5" ht="15" customHeight="1">
      <c r="B207" s="85"/>
      <c r="C207" s="62" t="s">
        <v>171</v>
      </c>
      <c r="D207" s="63">
        <v>3</v>
      </c>
      <c r="E207" s="64">
        <v>7.4257425742570004E-3</v>
      </c>
    </row>
    <row r="208" spans="2:5" ht="15" customHeight="1">
      <c r="B208" s="86"/>
      <c r="C208" s="36" t="s">
        <v>28</v>
      </c>
      <c r="D208" s="35">
        <v>4</v>
      </c>
      <c r="E208" s="34">
        <v>9.90099009901E-3</v>
      </c>
    </row>
    <row r="209" spans="2:5" ht="15" customHeight="1">
      <c r="B209" s="84" t="s">
        <v>90</v>
      </c>
      <c r="C209" s="62" t="s">
        <v>163</v>
      </c>
      <c r="D209" s="63">
        <v>2</v>
      </c>
      <c r="E209" s="64">
        <v>4.950495049505E-3</v>
      </c>
    </row>
    <row r="210" spans="2:5" ht="15" customHeight="1">
      <c r="B210" s="85"/>
      <c r="C210" s="62" t="s">
        <v>164</v>
      </c>
      <c r="D210" s="63">
        <v>2</v>
      </c>
      <c r="E210" s="64">
        <v>4.950495049505E-3</v>
      </c>
    </row>
    <row r="211" spans="2:5" ht="15" customHeight="1">
      <c r="B211" s="85"/>
      <c r="C211" s="62" t="s">
        <v>168</v>
      </c>
      <c r="D211" s="63">
        <v>5</v>
      </c>
      <c r="E211" s="64">
        <v>1.2376237623762E-2</v>
      </c>
    </row>
    <row r="212" spans="2:5" ht="15" customHeight="1">
      <c r="B212" s="85"/>
      <c r="C212" s="62" t="s">
        <v>170</v>
      </c>
      <c r="D212" s="63">
        <v>2</v>
      </c>
      <c r="E212" s="64">
        <v>4.950495049505E-3</v>
      </c>
    </row>
    <row r="213" spans="2:5" ht="15" customHeight="1">
      <c r="B213" s="85"/>
      <c r="C213" s="62" t="s">
        <v>171</v>
      </c>
      <c r="D213" s="63">
        <v>5</v>
      </c>
      <c r="E213" s="64">
        <v>1.2376237623762E-2</v>
      </c>
    </row>
    <row r="214" spans="2:5" ht="15" customHeight="1">
      <c r="B214" s="85"/>
      <c r="C214" s="62" t="s">
        <v>176</v>
      </c>
      <c r="D214" s="63">
        <v>1</v>
      </c>
      <c r="E214" s="64">
        <v>2.475247524752E-3</v>
      </c>
    </row>
    <row r="215" spans="2:5" ht="15" customHeight="1">
      <c r="B215" s="86"/>
      <c r="C215" s="36" t="s">
        <v>28</v>
      </c>
      <c r="D215" s="35">
        <v>17</v>
      </c>
      <c r="E215" s="34">
        <v>4.2079207920791999E-2</v>
      </c>
    </row>
    <row r="216" spans="2:5" ht="15" customHeight="1">
      <c r="B216" s="84" t="s">
        <v>103</v>
      </c>
      <c r="C216" s="62" t="s">
        <v>163</v>
      </c>
      <c r="D216" s="63">
        <v>1</v>
      </c>
      <c r="E216" s="64">
        <v>2.475247524752E-3</v>
      </c>
    </row>
    <row r="217" spans="2:5" ht="15" customHeight="1">
      <c r="B217" s="85"/>
      <c r="C217" s="62" t="s">
        <v>164</v>
      </c>
      <c r="D217" s="63">
        <v>1</v>
      </c>
      <c r="E217" s="64">
        <v>2.475247524752E-3</v>
      </c>
    </row>
    <row r="218" spans="2:5" ht="15" customHeight="1">
      <c r="B218" s="85"/>
      <c r="C218" s="62" t="s">
        <v>167</v>
      </c>
      <c r="D218" s="63">
        <v>1</v>
      </c>
      <c r="E218" s="64">
        <v>2.475247524752E-3</v>
      </c>
    </row>
    <row r="219" spans="2:5" ht="15" customHeight="1">
      <c r="B219" s="85"/>
      <c r="C219" s="62" t="s">
        <v>168</v>
      </c>
      <c r="D219" s="63">
        <v>1</v>
      </c>
      <c r="E219" s="64">
        <v>2.475247524752E-3</v>
      </c>
    </row>
    <row r="220" spans="2:5" ht="15" customHeight="1">
      <c r="B220" s="85"/>
      <c r="C220" s="62" t="s">
        <v>171</v>
      </c>
      <c r="D220" s="63">
        <v>2</v>
      </c>
      <c r="E220" s="64">
        <v>4.950495049505E-3</v>
      </c>
    </row>
    <row r="221" spans="2:5" ht="15" customHeight="1">
      <c r="B221" s="85"/>
      <c r="C221" s="62" t="s">
        <v>176</v>
      </c>
      <c r="D221" s="63">
        <v>1</v>
      </c>
      <c r="E221" s="64">
        <v>2.475247524752E-3</v>
      </c>
    </row>
    <row r="222" spans="2:5" ht="15" customHeight="1">
      <c r="B222" s="86"/>
      <c r="C222" s="36" t="s">
        <v>28</v>
      </c>
      <c r="D222" s="35">
        <v>7</v>
      </c>
      <c r="E222" s="34">
        <v>1.7326732673266999E-2</v>
      </c>
    </row>
    <row r="223" spans="2:5" ht="15" customHeight="1">
      <c r="B223" s="84" t="s">
        <v>97</v>
      </c>
      <c r="C223" s="62" t="s">
        <v>160</v>
      </c>
      <c r="D223" s="63">
        <v>1</v>
      </c>
      <c r="E223" s="64">
        <v>2.475247524752E-3</v>
      </c>
    </row>
    <row r="224" spans="2:5" ht="15" customHeight="1">
      <c r="B224" s="85"/>
      <c r="C224" s="62" t="s">
        <v>163</v>
      </c>
      <c r="D224" s="63">
        <v>1</v>
      </c>
      <c r="E224" s="64">
        <v>2.475247524752E-3</v>
      </c>
    </row>
    <row r="225" spans="2:5" ht="15" customHeight="1">
      <c r="B225" s="85"/>
      <c r="C225" s="62" t="s">
        <v>168</v>
      </c>
      <c r="D225" s="63">
        <v>3</v>
      </c>
      <c r="E225" s="64">
        <v>7.4257425742570004E-3</v>
      </c>
    </row>
    <row r="226" spans="2:5" ht="15" customHeight="1">
      <c r="B226" s="85"/>
      <c r="C226" s="62" t="s">
        <v>170</v>
      </c>
      <c r="D226" s="63">
        <v>2</v>
      </c>
      <c r="E226" s="64">
        <v>4.950495049505E-3</v>
      </c>
    </row>
    <row r="227" spans="2:5" ht="15" customHeight="1">
      <c r="B227" s="85"/>
      <c r="C227" s="62" t="s">
        <v>171</v>
      </c>
      <c r="D227" s="63">
        <v>2</v>
      </c>
      <c r="E227" s="64">
        <v>4.950495049505E-3</v>
      </c>
    </row>
    <row r="228" spans="2:5" ht="15" customHeight="1">
      <c r="B228" s="85"/>
      <c r="C228" s="62" t="s">
        <v>175</v>
      </c>
      <c r="D228" s="63">
        <v>1</v>
      </c>
      <c r="E228" s="64">
        <v>2.475247524752E-3</v>
      </c>
    </row>
    <row r="229" spans="2:5" ht="15" customHeight="1">
      <c r="B229" s="86"/>
      <c r="C229" s="36" t="s">
        <v>28</v>
      </c>
      <c r="D229" s="35">
        <v>10</v>
      </c>
      <c r="E229" s="34">
        <v>2.4752475247525E-2</v>
      </c>
    </row>
    <row r="230" spans="2:5" ht="15" customHeight="1">
      <c r="B230" s="84" t="s">
        <v>98</v>
      </c>
      <c r="C230" s="62" t="s">
        <v>160</v>
      </c>
      <c r="D230" s="63">
        <v>1</v>
      </c>
      <c r="E230" s="64">
        <v>2.475247524752E-3</v>
      </c>
    </row>
    <row r="231" spans="2:5" ht="15" customHeight="1">
      <c r="B231" s="85"/>
      <c r="C231" s="62" t="s">
        <v>163</v>
      </c>
      <c r="D231" s="63">
        <v>1</v>
      </c>
      <c r="E231" s="64">
        <v>2.475247524752E-3</v>
      </c>
    </row>
    <row r="232" spans="2:5" ht="15" customHeight="1">
      <c r="B232" s="85"/>
      <c r="C232" s="62" t="s">
        <v>168</v>
      </c>
      <c r="D232" s="63">
        <v>3</v>
      </c>
      <c r="E232" s="64">
        <v>7.4257425742570004E-3</v>
      </c>
    </row>
    <row r="233" spans="2:5" ht="15" customHeight="1">
      <c r="B233" s="85"/>
      <c r="C233" s="62" t="s">
        <v>170</v>
      </c>
      <c r="D233" s="63">
        <v>2</v>
      </c>
      <c r="E233" s="64">
        <v>4.950495049505E-3</v>
      </c>
    </row>
    <row r="234" spans="2:5" ht="15" customHeight="1">
      <c r="B234" s="85"/>
      <c r="C234" s="62" t="s">
        <v>171</v>
      </c>
      <c r="D234" s="63">
        <v>3</v>
      </c>
      <c r="E234" s="64">
        <v>7.4257425742570004E-3</v>
      </c>
    </row>
    <row r="235" spans="2:5" ht="15" customHeight="1">
      <c r="B235" s="86"/>
      <c r="C235" s="36" t="s">
        <v>28</v>
      </c>
      <c r="D235" s="35">
        <v>10</v>
      </c>
      <c r="E235" s="34">
        <v>2.4752475247525E-2</v>
      </c>
    </row>
    <row r="236" spans="2:5" ht="15" customHeight="1">
      <c r="B236" s="84" t="s">
        <v>89</v>
      </c>
      <c r="C236" s="62" t="s">
        <v>158</v>
      </c>
      <c r="D236" s="63">
        <v>1</v>
      </c>
      <c r="E236" s="64">
        <v>2.475247524752E-3</v>
      </c>
    </row>
    <row r="237" spans="2:5" ht="15" customHeight="1">
      <c r="B237" s="85"/>
      <c r="C237" s="62" t="s">
        <v>161</v>
      </c>
      <c r="D237" s="63">
        <v>1</v>
      </c>
      <c r="E237" s="64">
        <v>2.475247524752E-3</v>
      </c>
    </row>
    <row r="238" spans="2:5" ht="15" customHeight="1">
      <c r="B238" s="85"/>
      <c r="C238" s="62" t="s">
        <v>164</v>
      </c>
      <c r="D238" s="63">
        <v>3</v>
      </c>
      <c r="E238" s="64">
        <v>7.4257425742570004E-3</v>
      </c>
    </row>
    <row r="239" spans="2:5" ht="15" customHeight="1">
      <c r="B239" s="85"/>
      <c r="C239" s="62" t="s">
        <v>167</v>
      </c>
      <c r="D239" s="63">
        <v>1</v>
      </c>
      <c r="E239" s="64">
        <v>2.475247524752E-3</v>
      </c>
    </row>
    <row r="240" spans="2:5" ht="15" customHeight="1">
      <c r="B240" s="85"/>
      <c r="C240" s="62" t="s">
        <v>168</v>
      </c>
      <c r="D240" s="63">
        <v>2</v>
      </c>
      <c r="E240" s="64">
        <v>4.950495049505E-3</v>
      </c>
    </row>
    <row r="241" spans="2:5" ht="15" customHeight="1">
      <c r="B241" s="85"/>
      <c r="C241" s="62" t="s">
        <v>170</v>
      </c>
      <c r="D241" s="63">
        <v>3</v>
      </c>
      <c r="E241" s="64">
        <v>7.4257425742570004E-3</v>
      </c>
    </row>
    <row r="242" spans="2:5" ht="15" customHeight="1">
      <c r="B242" s="85"/>
      <c r="C242" s="62" t="s">
        <v>171</v>
      </c>
      <c r="D242" s="63">
        <v>6</v>
      </c>
      <c r="E242" s="64">
        <v>1.4851485148515E-2</v>
      </c>
    </row>
    <row r="243" spans="2:5" ht="15" customHeight="1">
      <c r="B243" s="85"/>
      <c r="C243" s="62" t="s">
        <v>176</v>
      </c>
      <c r="D243" s="63">
        <v>2</v>
      </c>
      <c r="E243" s="64">
        <v>4.950495049505E-3</v>
      </c>
    </row>
    <row r="244" spans="2:5" ht="15" customHeight="1">
      <c r="B244" s="86"/>
      <c r="C244" s="36" t="s">
        <v>28</v>
      </c>
      <c r="D244" s="35">
        <v>19</v>
      </c>
      <c r="E244" s="34">
        <v>4.7029702970297002E-2</v>
      </c>
    </row>
    <row r="245" spans="2:5" ht="15" customHeight="1">
      <c r="B245" s="84" t="s">
        <v>107</v>
      </c>
      <c r="C245" s="62" t="s">
        <v>160</v>
      </c>
      <c r="D245" s="63">
        <v>1</v>
      </c>
      <c r="E245" s="64">
        <v>2.475247524752E-3</v>
      </c>
    </row>
    <row r="246" spans="2:5" ht="15" customHeight="1">
      <c r="B246" s="85"/>
      <c r="C246" s="62" t="s">
        <v>164</v>
      </c>
      <c r="D246" s="63">
        <v>2</v>
      </c>
      <c r="E246" s="64">
        <v>4.950495049505E-3</v>
      </c>
    </row>
    <row r="247" spans="2:5" ht="15" customHeight="1">
      <c r="B247" s="85"/>
      <c r="C247" s="62" t="s">
        <v>168</v>
      </c>
      <c r="D247" s="63">
        <v>1</v>
      </c>
      <c r="E247" s="64">
        <v>2.475247524752E-3</v>
      </c>
    </row>
    <row r="248" spans="2:5" ht="15" customHeight="1">
      <c r="B248" s="85"/>
      <c r="C248" s="62" t="s">
        <v>171</v>
      </c>
      <c r="D248" s="63">
        <v>1</v>
      </c>
      <c r="E248" s="64">
        <v>2.475247524752E-3</v>
      </c>
    </row>
    <row r="249" spans="2:5" ht="15" customHeight="1">
      <c r="B249" s="85"/>
      <c r="C249" s="62" t="s">
        <v>176</v>
      </c>
      <c r="D249" s="63">
        <v>1</v>
      </c>
      <c r="E249" s="64">
        <v>2.475247524752E-3</v>
      </c>
    </row>
    <row r="250" spans="2:5" ht="15" customHeight="1">
      <c r="B250" s="86"/>
      <c r="C250" s="36" t="s">
        <v>28</v>
      </c>
      <c r="D250" s="35">
        <v>6</v>
      </c>
      <c r="E250" s="34">
        <v>1.4851485148515E-2</v>
      </c>
    </row>
    <row r="251" spans="2:5" ht="15" customHeight="1">
      <c r="B251" s="84" t="s">
        <v>115</v>
      </c>
      <c r="C251" s="62" t="s">
        <v>168</v>
      </c>
      <c r="D251" s="63">
        <v>1</v>
      </c>
      <c r="E251" s="64">
        <v>2.475247524752E-3</v>
      </c>
    </row>
    <row r="252" spans="2:5" ht="15" customHeight="1">
      <c r="B252" s="85"/>
      <c r="C252" s="62" t="s">
        <v>169</v>
      </c>
      <c r="D252" s="63">
        <v>1</v>
      </c>
      <c r="E252" s="64">
        <v>2.475247524752E-3</v>
      </c>
    </row>
    <row r="253" spans="2:5" ht="15" customHeight="1">
      <c r="B253" s="85"/>
      <c r="C253" s="62" t="s">
        <v>176</v>
      </c>
      <c r="D253" s="63">
        <v>1</v>
      </c>
      <c r="E253" s="64">
        <v>2.475247524752E-3</v>
      </c>
    </row>
    <row r="254" spans="2:5" ht="15" customHeight="1">
      <c r="B254" s="86"/>
      <c r="C254" s="36" t="s">
        <v>28</v>
      </c>
      <c r="D254" s="35">
        <v>3</v>
      </c>
      <c r="E254" s="34">
        <v>7.4257425742570004E-3</v>
      </c>
    </row>
    <row r="255" spans="2:5" ht="15" customHeight="1">
      <c r="B255" s="88" t="s">
        <v>28</v>
      </c>
      <c r="C255" s="89"/>
      <c r="D255" s="60">
        <v>404</v>
      </c>
      <c r="E255" s="61">
        <v>1</v>
      </c>
    </row>
    <row r="257" spans="2:2" ht="15" customHeight="1">
      <c r="B257" s="15" t="s">
        <v>46</v>
      </c>
    </row>
    <row r="258" spans="2:2" ht="15" customHeight="1">
      <c r="B258" s="17" t="s">
        <v>17</v>
      </c>
    </row>
    <row r="259" spans="2:2" ht="15" customHeight="1">
      <c r="B259" s="16" t="s">
        <v>47</v>
      </c>
    </row>
    <row r="260" spans="2:2" ht="15" customHeight="1">
      <c r="B260" s="15" t="s">
        <v>16</v>
      </c>
    </row>
    <row r="261" spans="2:2" ht="15" customHeight="1">
      <c r="B261" s="15" t="s">
        <v>48</v>
      </c>
    </row>
  </sheetData>
  <mergeCells count="47">
    <mergeCell ref="B7:E8"/>
    <mergeCell ref="B29:B36"/>
    <mergeCell ref="B37:B45"/>
    <mergeCell ref="B46:B52"/>
    <mergeCell ref="B10:B13"/>
    <mergeCell ref="B14:B18"/>
    <mergeCell ref="B19:B20"/>
    <mergeCell ref="B21:B25"/>
    <mergeCell ref="B26:B28"/>
    <mergeCell ref="B53:B55"/>
    <mergeCell ref="B56:B58"/>
    <mergeCell ref="B59:B66"/>
    <mergeCell ref="B67:B77"/>
    <mergeCell ref="B78:B86"/>
    <mergeCell ref="B87:B89"/>
    <mergeCell ref="B90:B96"/>
    <mergeCell ref="B97:B99"/>
    <mergeCell ref="B100:B105"/>
    <mergeCell ref="B106:B112"/>
    <mergeCell ref="B113:B124"/>
    <mergeCell ref="B125:B127"/>
    <mergeCell ref="B128:B131"/>
    <mergeCell ref="B132:B133"/>
    <mergeCell ref="B134:B137"/>
    <mergeCell ref="B138:B139"/>
    <mergeCell ref="B140:B142"/>
    <mergeCell ref="B143:B145"/>
    <mergeCell ref="B146:B152"/>
    <mergeCell ref="B153:B155"/>
    <mergeCell ref="B156:B160"/>
    <mergeCell ref="B161:B170"/>
    <mergeCell ref="B171:B175"/>
    <mergeCell ref="B176:B178"/>
    <mergeCell ref="B179:B180"/>
    <mergeCell ref="B181:B190"/>
    <mergeCell ref="B191:B197"/>
    <mergeCell ref="B198:B200"/>
    <mergeCell ref="B201:B205"/>
    <mergeCell ref="B206:B208"/>
    <mergeCell ref="B245:B250"/>
    <mergeCell ref="B251:B254"/>
    <mergeCell ref="B255:C255"/>
    <mergeCell ref="B209:B215"/>
    <mergeCell ref="B216:B222"/>
    <mergeCell ref="B223:B229"/>
    <mergeCell ref="B230:B235"/>
    <mergeCell ref="B236:B2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D20"/>
  <sheetViews>
    <sheetView showGridLines="0" view="pageBreakPreview" zoomScale="115" zoomScaleNormal="100" zoomScaleSheetLayoutView="115" workbookViewId="0">
      <selection activeCell="A12" sqref="A12:XFD14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3" t="s">
        <v>36</v>
      </c>
      <c r="C7" s="83"/>
      <c r="D7" s="83"/>
    </row>
    <row r="8" spans="2:4" s="25" customFormat="1" ht="15" customHeight="1">
      <c r="B8" s="83"/>
      <c r="C8" s="83"/>
      <c r="D8" s="83"/>
    </row>
    <row r="9" spans="2:4" s="25" customFormat="1" ht="33" customHeight="1">
      <c r="B9" s="83"/>
      <c r="C9" s="83"/>
      <c r="D9" s="83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29</v>
      </c>
      <c r="C11" s="27" t="s">
        <v>19</v>
      </c>
      <c r="D11" s="26" t="s">
        <v>18</v>
      </c>
    </row>
    <row r="12" spans="2:4" ht="15" customHeight="1">
      <c r="B12" s="23" t="s">
        <v>130</v>
      </c>
      <c r="C12" s="22">
        <v>197</v>
      </c>
      <c r="D12" s="21">
        <v>0.487623762376238</v>
      </c>
    </row>
    <row r="13" spans="2:4" ht="15" customHeight="1">
      <c r="B13" s="23" t="s">
        <v>129</v>
      </c>
      <c r="C13" s="22">
        <v>207</v>
      </c>
      <c r="D13" s="21">
        <v>0.51237623762376205</v>
      </c>
    </row>
    <row r="14" spans="2:4" ht="15" customHeight="1">
      <c r="B14" s="20" t="s">
        <v>28</v>
      </c>
      <c r="C14" s="19">
        <v>404</v>
      </c>
      <c r="D14" s="18">
        <v>1</v>
      </c>
    </row>
    <row r="15" spans="2:4">
      <c r="B15" s="24"/>
      <c r="C15" s="48"/>
      <c r="D15" s="48"/>
    </row>
    <row r="16" spans="2:4">
      <c r="B16" s="15" t="s">
        <v>46</v>
      </c>
      <c r="C16" s="48"/>
      <c r="D16" s="48"/>
    </row>
    <row r="17" spans="2:4">
      <c r="B17" s="17" t="s">
        <v>17</v>
      </c>
      <c r="C17" s="47"/>
      <c r="D17" s="47"/>
    </row>
    <row r="18" spans="2:4">
      <c r="B18" s="16" t="s">
        <v>47</v>
      </c>
      <c r="C18" s="46"/>
      <c r="D18" s="46"/>
    </row>
    <row r="19" spans="2:4">
      <c r="B19" s="15" t="s">
        <v>16</v>
      </c>
    </row>
    <row r="20" spans="2:4">
      <c r="B20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44"/>
  <sheetViews>
    <sheetView showGridLines="0" view="pageBreakPreview" topLeftCell="A108" zoomScaleNormal="96" zoomScaleSheetLayoutView="100" workbookViewId="0">
      <selection activeCell="A13" sqref="A13:XFD139"/>
    </sheetView>
  </sheetViews>
  <sheetFormatPr baseColWidth="10" defaultColWidth="11.453125" defaultRowHeight="10"/>
  <cols>
    <col min="1" max="1" width="5.7265625" style="25" customWidth="1"/>
    <col min="2" max="2" width="20.81640625" style="41" customWidth="1"/>
    <col min="3" max="3" width="20.1796875" style="41" customWidth="1"/>
    <col min="4" max="4" width="19" style="44" customWidth="1"/>
    <col min="5" max="5" width="15.1796875" style="41" bestFit="1" customWidth="1"/>
    <col min="6" max="6" width="5.726562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93" t="s">
        <v>41</v>
      </c>
      <c r="C8" s="94"/>
      <c r="D8" s="94"/>
      <c r="E8" s="94"/>
    </row>
    <row r="9" spans="2:6" s="13" customFormat="1" ht="15" customHeight="1">
      <c r="B9" s="94"/>
      <c r="C9" s="94"/>
      <c r="D9" s="94"/>
      <c r="E9" s="94"/>
      <c r="F9" s="49"/>
    </row>
    <row r="10" spans="2:6" s="13" customFormat="1" ht="15" customHeight="1">
      <c r="B10" s="94"/>
      <c r="C10" s="94"/>
      <c r="D10" s="94"/>
      <c r="E10" s="94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3" t="s">
        <v>21</v>
      </c>
      <c r="C12" s="53" t="s">
        <v>29</v>
      </c>
      <c r="D12" s="53" t="s">
        <v>19</v>
      </c>
      <c r="E12" s="53" t="s">
        <v>18</v>
      </c>
    </row>
    <row r="13" spans="2:6" ht="15" customHeight="1">
      <c r="B13" s="91" t="s">
        <v>112</v>
      </c>
      <c r="C13" s="62" t="s">
        <v>130</v>
      </c>
      <c r="D13" s="63">
        <v>1</v>
      </c>
      <c r="E13" s="64">
        <v>2.475247524752E-3</v>
      </c>
    </row>
    <row r="14" spans="2:6" ht="15" customHeight="1">
      <c r="B14" s="91"/>
      <c r="C14" s="62" t="s">
        <v>129</v>
      </c>
      <c r="D14" s="63">
        <v>2</v>
      </c>
      <c r="E14" s="64">
        <v>4.950495049505E-3</v>
      </c>
    </row>
    <row r="15" spans="2:6" ht="15" customHeight="1">
      <c r="B15" s="91"/>
      <c r="C15" s="73" t="s">
        <v>28</v>
      </c>
      <c r="D15" s="57">
        <v>3</v>
      </c>
      <c r="E15" s="58">
        <v>7.4257425742570004E-3</v>
      </c>
    </row>
    <row r="16" spans="2:6" ht="15" customHeight="1">
      <c r="B16" s="91" t="s">
        <v>101</v>
      </c>
      <c r="C16" s="62" t="s">
        <v>130</v>
      </c>
      <c r="D16" s="63">
        <v>2</v>
      </c>
      <c r="E16" s="64">
        <v>4.950495049505E-3</v>
      </c>
    </row>
    <row r="17" spans="2:5" ht="15" customHeight="1">
      <c r="B17" s="91"/>
      <c r="C17" s="62" t="s">
        <v>129</v>
      </c>
      <c r="D17" s="63">
        <v>5</v>
      </c>
      <c r="E17" s="64">
        <v>1.2376237623762E-2</v>
      </c>
    </row>
    <row r="18" spans="2:5" ht="15" customHeight="1">
      <c r="B18" s="91"/>
      <c r="C18" s="73" t="s">
        <v>28</v>
      </c>
      <c r="D18" s="57">
        <v>7</v>
      </c>
      <c r="E18" s="58">
        <v>1.7326732673266999E-2</v>
      </c>
    </row>
    <row r="19" spans="2:5" ht="15" customHeight="1">
      <c r="B19" s="91" t="s">
        <v>116</v>
      </c>
      <c r="C19" s="62" t="s">
        <v>130</v>
      </c>
      <c r="D19" s="63">
        <v>2</v>
      </c>
      <c r="E19" s="64">
        <v>4.950495049505E-3</v>
      </c>
    </row>
    <row r="20" spans="2:5" ht="15" customHeight="1">
      <c r="B20" s="91"/>
      <c r="C20" s="73" t="s">
        <v>28</v>
      </c>
      <c r="D20" s="57">
        <v>2</v>
      </c>
      <c r="E20" s="58">
        <v>4.950495049505E-3</v>
      </c>
    </row>
    <row r="21" spans="2:5" ht="15" customHeight="1">
      <c r="B21" s="91" t="s">
        <v>104</v>
      </c>
      <c r="C21" s="62" t="s">
        <v>130</v>
      </c>
      <c r="D21" s="63">
        <v>1</v>
      </c>
      <c r="E21" s="64">
        <v>2.475247524752E-3</v>
      </c>
    </row>
    <row r="22" spans="2:5" ht="15" customHeight="1">
      <c r="B22" s="91"/>
      <c r="C22" s="62" t="s">
        <v>129</v>
      </c>
      <c r="D22" s="63">
        <v>5</v>
      </c>
      <c r="E22" s="64">
        <v>1.2376237623762E-2</v>
      </c>
    </row>
    <row r="23" spans="2:5" ht="15" customHeight="1">
      <c r="B23" s="91"/>
      <c r="C23" s="73" t="s">
        <v>28</v>
      </c>
      <c r="D23" s="57">
        <v>6</v>
      </c>
      <c r="E23" s="58">
        <v>1.4851485148515E-2</v>
      </c>
    </row>
    <row r="24" spans="2:5" ht="15" customHeight="1">
      <c r="B24" s="91" t="s">
        <v>117</v>
      </c>
      <c r="C24" s="62" t="s">
        <v>130</v>
      </c>
      <c r="D24" s="63">
        <v>1</v>
      </c>
      <c r="E24" s="64">
        <v>2.475247524752E-3</v>
      </c>
    </row>
    <row r="25" spans="2:5" ht="15" customHeight="1">
      <c r="B25" s="91"/>
      <c r="C25" s="62" t="s">
        <v>129</v>
      </c>
      <c r="D25" s="63">
        <v>1</v>
      </c>
      <c r="E25" s="64">
        <v>2.475247524752E-3</v>
      </c>
    </row>
    <row r="26" spans="2:5" ht="15" customHeight="1">
      <c r="B26" s="91"/>
      <c r="C26" s="73" t="s">
        <v>28</v>
      </c>
      <c r="D26" s="57">
        <v>2</v>
      </c>
      <c r="E26" s="58">
        <v>4.950495049505E-3</v>
      </c>
    </row>
    <row r="27" spans="2:5" ht="15" customHeight="1">
      <c r="B27" s="91" t="s">
        <v>86</v>
      </c>
      <c r="C27" s="62" t="s">
        <v>130</v>
      </c>
      <c r="D27" s="63">
        <v>11</v>
      </c>
      <c r="E27" s="64">
        <v>2.7227722772276999E-2</v>
      </c>
    </row>
    <row r="28" spans="2:5" ht="15" customHeight="1">
      <c r="B28" s="91"/>
      <c r="C28" s="62" t="s">
        <v>129</v>
      </c>
      <c r="D28" s="63">
        <v>18</v>
      </c>
      <c r="E28" s="64">
        <v>4.4554455445545003E-2</v>
      </c>
    </row>
    <row r="29" spans="2:5" ht="15" customHeight="1">
      <c r="B29" s="91"/>
      <c r="C29" s="73" t="s">
        <v>28</v>
      </c>
      <c r="D29" s="57">
        <v>29</v>
      </c>
      <c r="E29" s="58">
        <v>7.1782178217821999E-2</v>
      </c>
    </row>
    <row r="30" spans="2:5" ht="15" customHeight="1">
      <c r="B30" s="91" t="s">
        <v>87</v>
      </c>
      <c r="C30" s="62" t="s">
        <v>130</v>
      </c>
      <c r="D30" s="63">
        <v>10</v>
      </c>
      <c r="E30" s="64">
        <v>2.4752475247525E-2</v>
      </c>
    </row>
    <row r="31" spans="2:5" ht="15" customHeight="1">
      <c r="B31" s="91"/>
      <c r="C31" s="62" t="s">
        <v>129</v>
      </c>
      <c r="D31" s="63">
        <v>16</v>
      </c>
      <c r="E31" s="64">
        <v>3.960396039604E-2</v>
      </c>
    </row>
    <row r="32" spans="2:5" ht="15" customHeight="1">
      <c r="B32" s="91"/>
      <c r="C32" s="73" t="s">
        <v>28</v>
      </c>
      <c r="D32" s="57">
        <v>26</v>
      </c>
      <c r="E32" s="58">
        <v>6.4356435643563997E-2</v>
      </c>
    </row>
    <row r="33" spans="2:5" ht="15" customHeight="1">
      <c r="B33" s="91" t="s">
        <v>105</v>
      </c>
      <c r="C33" s="62" t="s">
        <v>130</v>
      </c>
      <c r="D33" s="63">
        <v>4</v>
      </c>
      <c r="E33" s="64">
        <v>9.90099009901E-3</v>
      </c>
    </row>
    <row r="34" spans="2:5" ht="15" customHeight="1">
      <c r="B34" s="91"/>
      <c r="C34" s="62" t="s">
        <v>129</v>
      </c>
      <c r="D34" s="63">
        <v>2</v>
      </c>
      <c r="E34" s="64">
        <v>4.950495049505E-3</v>
      </c>
    </row>
    <row r="35" spans="2:5" ht="15" customHeight="1">
      <c r="B35" s="91"/>
      <c r="C35" s="73" t="s">
        <v>28</v>
      </c>
      <c r="D35" s="57">
        <v>6</v>
      </c>
      <c r="E35" s="58">
        <v>1.4851485148515E-2</v>
      </c>
    </row>
    <row r="36" spans="2:5" ht="15" customHeight="1">
      <c r="B36" s="91" t="s">
        <v>118</v>
      </c>
      <c r="C36" s="62" t="s">
        <v>130</v>
      </c>
      <c r="D36" s="63">
        <v>1</v>
      </c>
      <c r="E36" s="64">
        <v>2.475247524752E-3</v>
      </c>
    </row>
    <row r="37" spans="2:5" ht="15" customHeight="1">
      <c r="B37" s="91"/>
      <c r="C37" s="62" t="s">
        <v>129</v>
      </c>
      <c r="D37" s="63">
        <v>1</v>
      </c>
      <c r="E37" s="64">
        <v>2.475247524752E-3</v>
      </c>
    </row>
    <row r="38" spans="2:5" ht="15" customHeight="1">
      <c r="B38" s="91"/>
      <c r="C38" s="73" t="s">
        <v>28</v>
      </c>
      <c r="D38" s="57">
        <v>2</v>
      </c>
      <c r="E38" s="58">
        <v>4.950495049505E-3</v>
      </c>
    </row>
    <row r="39" spans="2:5" ht="15" customHeight="1">
      <c r="B39" s="91" t="s">
        <v>119</v>
      </c>
      <c r="C39" s="62" t="s">
        <v>130</v>
      </c>
      <c r="D39" s="63">
        <v>1</v>
      </c>
      <c r="E39" s="64">
        <v>2.475247524752E-3</v>
      </c>
    </row>
    <row r="40" spans="2:5" ht="15" customHeight="1">
      <c r="B40" s="91"/>
      <c r="C40" s="62" t="s">
        <v>129</v>
      </c>
      <c r="D40" s="63">
        <v>1</v>
      </c>
      <c r="E40" s="64">
        <v>2.475247524752E-3</v>
      </c>
    </row>
    <row r="41" spans="2:5" ht="15" customHeight="1">
      <c r="B41" s="91"/>
      <c r="C41" s="73" t="s">
        <v>28</v>
      </c>
      <c r="D41" s="57">
        <v>2</v>
      </c>
      <c r="E41" s="58">
        <v>4.950495049505E-3</v>
      </c>
    </row>
    <row r="42" spans="2:5" ht="15" customHeight="1">
      <c r="B42" s="91" t="s">
        <v>94</v>
      </c>
      <c r="C42" s="62" t="s">
        <v>130</v>
      </c>
      <c r="D42" s="63">
        <v>5</v>
      </c>
      <c r="E42" s="64">
        <v>1.2376237623762E-2</v>
      </c>
    </row>
    <row r="43" spans="2:5" ht="15" customHeight="1">
      <c r="B43" s="91"/>
      <c r="C43" s="62" t="s">
        <v>129</v>
      </c>
      <c r="D43" s="63">
        <v>5</v>
      </c>
      <c r="E43" s="64">
        <v>1.2376237623762E-2</v>
      </c>
    </row>
    <row r="44" spans="2:5" ht="15" customHeight="1">
      <c r="B44" s="91"/>
      <c r="C44" s="73" t="s">
        <v>28</v>
      </c>
      <c r="D44" s="57">
        <v>10</v>
      </c>
      <c r="E44" s="58">
        <v>2.4752475247525E-2</v>
      </c>
    </row>
    <row r="45" spans="2:5" ht="15" customHeight="1">
      <c r="B45" s="91" t="s">
        <v>85</v>
      </c>
      <c r="C45" s="62" t="s">
        <v>130</v>
      </c>
      <c r="D45" s="63">
        <v>17</v>
      </c>
      <c r="E45" s="64">
        <v>4.2079207920791999E-2</v>
      </c>
    </row>
    <row r="46" spans="2:5" ht="15" customHeight="1">
      <c r="B46" s="91"/>
      <c r="C46" s="62" t="s">
        <v>129</v>
      </c>
      <c r="D46" s="63">
        <v>15</v>
      </c>
      <c r="E46" s="64">
        <v>3.7128712871287002E-2</v>
      </c>
    </row>
    <row r="47" spans="2:5" ht="15" customHeight="1">
      <c r="B47" s="91"/>
      <c r="C47" s="73" t="s">
        <v>28</v>
      </c>
      <c r="D47" s="57">
        <v>32</v>
      </c>
      <c r="E47" s="58">
        <v>7.9207920792079001E-2</v>
      </c>
    </row>
    <row r="48" spans="2:5" ht="15" customHeight="1">
      <c r="B48" s="91" t="s">
        <v>95</v>
      </c>
      <c r="C48" s="62" t="s">
        <v>130</v>
      </c>
      <c r="D48" s="63">
        <v>4</v>
      </c>
      <c r="E48" s="64">
        <v>9.90099009901E-3</v>
      </c>
    </row>
    <row r="49" spans="2:5" ht="15" customHeight="1">
      <c r="B49" s="91"/>
      <c r="C49" s="62" t="s">
        <v>129</v>
      </c>
      <c r="D49" s="63">
        <v>6</v>
      </c>
      <c r="E49" s="64">
        <v>1.4851485148515E-2</v>
      </c>
    </row>
    <row r="50" spans="2:5" ht="15" customHeight="1">
      <c r="B50" s="91"/>
      <c r="C50" s="73" t="s">
        <v>28</v>
      </c>
      <c r="D50" s="57">
        <v>10</v>
      </c>
      <c r="E50" s="58">
        <v>2.4752475247525E-2</v>
      </c>
    </row>
    <row r="51" spans="2:5" ht="15" customHeight="1">
      <c r="B51" s="91" t="s">
        <v>120</v>
      </c>
      <c r="C51" s="62" t="s">
        <v>129</v>
      </c>
      <c r="D51" s="63">
        <v>2</v>
      </c>
      <c r="E51" s="64">
        <v>4.950495049505E-3</v>
      </c>
    </row>
    <row r="52" spans="2:5" ht="15" customHeight="1">
      <c r="B52" s="91"/>
      <c r="C52" s="73" t="s">
        <v>28</v>
      </c>
      <c r="D52" s="57">
        <v>2</v>
      </c>
      <c r="E52" s="58">
        <v>4.950495049505E-3</v>
      </c>
    </row>
    <row r="53" spans="2:5" ht="15" customHeight="1">
      <c r="B53" s="91" t="s">
        <v>99</v>
      </c>
      <c r="C53" s="62" t="s">
        <v>130</v>
      </c>
      <c r="D53" s="63">
        <v>2</v>
      </c>
      <c r="E53" s="64">
        <v>4.950495049505E-3</v>
      </c>
    </row>
    <row r="54" spans="2:5" ht="15" customHeight="1">
      <c r="B54" s="91"/>
      <c r="C54" s="62" t="s">
        <v>129</v>
      </c>
      <c r="D54" s="63">
        <v>6</v>
      </c>
      <c r="E54" s="64">
        <v>1.4851485148515E-2</v>
      </c>
    </row>
    <row r="55" spans="2:5" ht="15" customHeight="1">
      <c r="B55" s="91"/>
      <c r="C55" s="73" t="s">
        <v>28</v>
      </c>
      <c r="D55" s="57">
        <v>8</v>
      </c>
      <c r="E55" s="58">
        <v>1.980198019802E-2</v>
      </c>
    </row>
    <row r="56" spans="2:5" ht="15" customHeight="1">
      <c r="B56" s="91" t="s">
        <v>121</v>
      </c>
      <c r="C56" s="62" t="s">
        <v>129</v>
      </c>
      <c r="D56" s="63">
        <v>2</v>
      </c>
      <c r="E56" s="64">
        <v>4.950495049505E-3</v>
      </c>
    </row>
    <row r="57" spans="2:5" ht="15" customHeight="1">
      <c r="B57" s="91"/>
      <c r="C57" s="73" t="s">
        <v>28</v>
      </c>
      <c r="D57" s="57">
        <v>2</v>
      </c>
      <c r="E57" s="58">
        <v>4.950495049505E-3</v>
      </c>
    </row>
    <row r="58" spans="2:5" ht="15" customHeight="1">
      <c r="B58" s="91" t="s">
        <v>92</v>
      </c>
      <c r="C58" s="62" t="s">
        <v>130</v>
      </c>
      <c r="D58" s="63">
        <v>10</v>
      </c>
      <c r="E58" s="64">
        <v>2.4752475247525E-2</v>
      </c>
    </row>
    <row r="59" spans="2:5" ht="15" customHeight="1">
      <c r="B59" s="91"/>
      <c r="C59" s="62" t="s">
        <v>129</v>
      </c>
      <c r="D59" s="63">
        <v>3</v>
      </c>
      <c r="E59" s="64">
        <v>7.4257425742570004E-3</v>
      </c>
    </row>
    <row r="60" spans="2:5" ht="15" customHeight="1">
      <c r="B60" s="91"/>
      <c r="C60" s="73" t="s">
        <v>28</v>
      </c>
      <c r="D60" s="57">
        <v>13</v>
      </c>
      <c r="E60" s="58">
        <v>3.2178217821781999E-2</v>
      </c>
    </row>
    <row r="61" spans="2:5" ht="15" customHeight="1">
      <c r="B61" s="91" t="s">
        <v>102</v>
      </c>
      <c r="C61" s="62" t="s">
        <v>130</v>
      </c>
      <c r="D61" s="63">
        <v>4</v>
      </c>
      <c r="E61" s="64">
        <v>9.90099009901E-3</v>
      </c>
    </row>
    <row r="62" spans="2:5" ht="15" customHeight="1">
      <c r="B62" s="91"/>
      <c r="C62" s="62" t="s">
        <v>129</v>
      </c>
      <c r="D62" s="63">
        <v>3</v>
      </c>
      <c r="E62" s="64">
        <v>7.4257425742570004E-3</v>
      </c>
    </row>
    <row r="63" spans="2:5" ht="15" customHeight="1">
      <c r="B63" s="91"/>
      <c r="C63" s="73" t="s">
        <v>28</v>
      </c>
      <c r="D63" s="57">
        <v>7</v>
      </c>
      <c r="E63" s="58">
        <v>1.7326732673266999E-2</v>
      </c>
    </row>
    <row r="64" spans="2:5" ht="15" customHeight="1">
      <c r="B64" s="91" t="s">
        <v>84</v>
      </c>
      <c r="C64" s="62" t="s">
        <v>130</v>
      </c>
      <c r="D64" s="63">
        <v>32</v>
      </c>
      <c r="E64" s="64">
        <v>7.9207920792079001E-2</v>
      </c>
    </row>
    <row r="65" spans="2:5" ht="15" customHeight="1">
      <c r="B65" s="91"/>
      <c r="C65" s="62" t="s">
        <v>129</v>
      </c>
      <c r="D65" s="63">
        <v>23</v>
      </c>
      <c r="E65" s="64">
        <v>5.6930693069307002E-2</v>
      </c>
    </row>
    <row r="66" spans="2:5" ht="15" customHeight="1">
      <c r="B66" s="91"/>
      <c r="C66" s="73" t="s">
        <v>28</v>
      </c>
      <c r="D66" s="57">
        <v>55</v>
      </c>
      <c r="E66" s="58">
        <v>0.13613861386138601</v>
      </c>
    </row>
    <row r="67" spans="2:5" ht="15" customHeight="1">
      <c r="B67" s="91" t="s">
        <v>122</v>
      </c>
      <c r="C67" s="62" t="s">
        <v>130</v>
      </c>
      <c r="D67" s="63">
        <v>1</v>
      </c>
      <c r="E67" s="64">
        <v>2.475247524752E-3</v>
      </c>
    </row>
    <row r="68" spans="2:5" ht="15" customHeight="1">
      <c r="B68" s="91"/>
      <c r="C68" s="62" t="s">
        <v>129</v>
      </c>
      <c r="D68" s="63">
        <v>1</v>
      </c>
      <c r="E68" s="64">
        <v>2.475247524752E-3</v>
      </c>
    </row>
    <row r="69" spans="2:5" ht="15" customHeight="1">
      <c r="B69" s="91"/>
      <c r="C69" s="73" t="s">
        <v>28</v>
      </c>
      <c r="D69" s="57">
        <v>2</v>
      </c>
      <c r="E69" s="58">
        <v>4.950495049505E-3</v>
      </c>
    </row>
    <row r="70" spans="2:5" ht="15" customHeight="1">
      <c r="B70" s="91" t="s">
        <v>108</v>
      </c>
      <c r="C70" s="62" t="s">
        <v>130</v>
      </c>
      <c r="D70" s="63">
        <v>4</v>
      </c>
      <c r="E70" s="64">
        <v>9.90099009901E-3</v>
      </c>
    </row>
    <row r="71" spans="2:5" ht="15" customHeight="1">
      <c r="B71" s="91"/>
      <c r="C71" s="62" t="s">
        <v>129</v>
      </c>
      <c r="D71" s="63">
        <v>1</v>
      </c>
      <c r="E71" s="64">
        <v>2.475247524752E-3</v>
      </c>
    </row>
    <row r="72" spans="2:5" ht="15" customHeight="1">
      <c r="B72" s="91"/>
      <c r="C72" s="73" t="s">
        <v>28</v>
      </c>
      <c r="D72" s="57">
        <v>5</v>
      </c>
      <c r="E72" s="58">
        <v>1.2376237623762E-2</v>
      </c>
    </row>
    <row r="73" spans="2:5" ht="15" customHeight="1">
      <c r="B73" s="91" t="s">
        <v>126</v>
      </c>
      <c r="C73" s="62" t="s">
        <v>129</v>
      </c>
      <c r="D73" s="63">
        <v>1</v>
      </c>
      <c r="E73" s="64">
        <v>2.475247524752E-3</v>
      </c>
    </row>
    <row r="74" spans="2:5" ht="15" customHeight="1">
      <c r="B74" s="91"/>
      <c r="C74" s="73" t="s">
        <v>28</v>
      </c>
      <c r="D74" s="57">
        <v>1</v>
      </c>
      <c r="E74" s="58">
        <v>2.475247524752E-3</v>
      </c>
    </row>
    <row r="75" spans="2:5" ht="15" customHeight="1">
      <c r="B75" s="91" t="s">
        <v>109</v>
      </c>
      <c r="C75" s="62" t="s">
        <v>130</v>
      </c>
      <c r="D75" s="63">
        <v>3</v>
      </c>
      <c r="E75" s="64">
        <v>7.4257425742570004E-3</v>
      </c>
    </row>
    <row r="76" spans="2:5" ht="15" customHeight="1">
      <c r="B76" s="91"/>
      <c r="C76" s="62" t="s">
        <v>129</v>
      </c>
      <c r="D76" s="63">
        <v>1</v>
      </c>
      <c r="E76" s="64">
        <v>2.475247524752E-3</v>
      </c>
    </row>
    <row r="77" spans="2:5" ht="15" customHeight="1">
      <c r="B77" s="91"/>
      <c r="C77" s="73" t="s">
        <v>28</v>
      </c>
      <c r="D77" s="57">
        <v>4</v>
      </c>
      <c r="E77" s="58">
        <v>9.90099009901E-3</v>
      </c>
    </row>
    <row r="78" spans="2:5" ht="15" customHeight="1">
      <c r="B78" s="91" t="s">
        <v>127</v>
      </c>
      <c r="C78" s="62" t="s">
        <v>130</v>
      </c>
      <c r="D78" s="63">
        <v>1</v>
      </c>
      <c r="E78" s="64">
        <v>2.475247524752E-3</v>
      </c>
    </row>
    <row r="79" spans="2:5" ht="15" customHeight="1">
      <c r="B79" s="91"/>
      <c r="C79" s="73" t="s">
        <v>28</v>
      </c>
      <c r="D79" s="57">
        <v>1</v>
      </c>
      <c r="E79" s="58">
        <v>2.475247524752E-3</v>
      </c>
    </row>
    <row r="80" spans="2:5" ht="15" customHeight="1">
      <c r="B80" s="91" t="s">
        <v>123</v>
      </c>
      <c r="C80" s="62" t="s">
        <v>130</v>
      </c>
      <c r="D80" s="63">
        <v>1</v>
      </c>
      <c r="E80" s="64">
        <v>2.475247524752E-3</v>
      </c>
    </row>
    <row r="81" spans="2:5" ht="15" customHeight="1">
      <c r="B81" s="91"/>
      <c r="C81" s="62" t="s">
        <v>129</v>
      </c>
      <c r="D81" s="63">
        <v>1</v>
      </c>
      <c r="E81" s="64">
        <v>2.475247524752E-3</v>
      </c>
    </row>
    <row r="82" spans="2:5" ht="15" customHeight="1">
      <c r="B82" s="91"/>
      <c r="C82" s="73" t="s">
        <v>28</v>
      </c>
      <c r="D82" s="57">
        <v>2</v>
      </c>
      <c r="E82" s="58">
        <v>4.950495049505E-3</v>
      </c>
    </row>
    <row r="83" spans="2:5" ht="15" customHeight="1">
      <c r="B83" s="91" t="s">
        <v>124</v>
      </c>
      <c r="C83" s="62" t="s">
        <v>129</v>
      </c>
      <c r="D83" s="63">
        <v>2</v>
      </c>
      <c r="E83" s="64">
        <v>4.950495049505E-3</v>
      </c>
    </row>
    <row r="84" spans="2:5" ht="15" customHeight="1">
      <c r="B84" s="91"/>
      <c r="C84" s="73" t="s">
        <v>28</v>
      </c>
      <c r="D84" s="57">
        <v>2</v>
      </c>
      <c r="E84" s="58">
        <v>4.950495049505E-3</v>
      </c>
    </row>
    <row r="85" spans="2:5" ht="15" customHeight="1">
      <c r="B85" s="91" t="s">
        <v>106</v>
      </c>
      <c r="C85" s="62" t="s">
        <v>130</v>
      </c>
      <c r="D85" s="63">
        <v>4</v>
      </c>
      <c r="E85" s="64">
        <v>9.90099009901E-3</v>
      </c>
    </row>
    <row r="86" spans="2:5" ht="15" customHeight="1">
      <c r="B86" s="91"/>
      <c r="C86" s="62" t="s">
        <v>129</v>
      </c>
      <c r="D86" s="63">
        <v>2</v>
      </c>
      <c r="E86" s="64">
        <v>4.950495049505E-3</v>
      </c>
    </row>
    <row r="87" spans="2:5" ht="15" customHeight="1">
      <c r="B87" s="91"/>
      <c r="C87" s="73" t="s">
        <v>28</v>
      </c>
      <c r="D87" s="57">
        <v>6</v>
      </c>
      <c r="E87" s="58">
        <v>1.4851485148515E-2</v>
      </c>
    </row>
    <row r="88" spans="2:5" ht="15" customHeight="1">
      <c r="B88" s="91" t="s">
        <v>125</v>
      </c>
      <c r="C88" s="62" t="s">
        <v>130</v>
      </c>
      <c r="D88" s="63">
        <v>2</v>
      </c>
      <c r="E88" s="64">
        <v>4.950495049505E-3</v>
      </c>
    </row>
    <row r="89" spans="2:5" ht="15" customHeight="1">
      <c r="B89" s="91"/>
      <c r="C89" s="73" t="s">
        <v>28</v>
      </c>
      <c r="D89" s="57">
        <v>2</v>
      </c>
      <c r="E89" s="58">
        <v>4.950495049505E-3</v>
      </c>
    </row>
    <row r="90" spans="2:5" ht="15" customHeight="1">
      <c r="B90" s="91" t="s">
        <v>110</v>
      </c>
      <c r="C90" s="62" t="s">
        <v>130</v>
      </c>
      <c r="D90" s="63">
        <v>2</v>
      </c>
      <c r="E90" s="64">
        <v>4.950495049505E-3</v>
      </c>
    </row>
    <row r="91" spans="2:5" ht="15" customHeight="1">
      <c r="B91" s="91"/>
      <c r="C91" s="62" t="s">
        <v>129</v>
      </c>
      <c r="D91" s="63">
        <v>2</v>
      </c>
      <c r="E91" s="64">
        <v>4.950495049505E-3</v>
      </c>
    </row>
    <row r="92" spans="2:5" ht="15" customHeight="1">
      <c r="B92" s="91"/>
      <c r="C92" s="73" t="s">
        <v>28</v>
      </c>
      <c r="D92" s="57">
        <v>4</v>
      </c>
      <c r="E92" s="58">
        <v>9.90099009901E-3</v>
      </c>
    </row>
    <row r="93" spans="2:5" ht="15" customHeight="1">
      <c r="B93" s="91" t="s">
        <v>88</v>
      </c>
      <c r="C93" s="62" t="s">
        <v>130</v>
      </c>
      <c r="D93" s="63">
        <v>14</v>
      </c>
      <c r="E93" s="64">
        <v>3.4653465346535003E-2</v>
      </c>
    </row>
    <row r="94" spans="2:5" ht="15" customHeight="1">
      <c r="B94" s="91"/>
      <c r="C94" s="62" t="s">
        <v>129</v>
      </c>
      <c r="D94" s="63">
        <v>9</v>
      </c>
      <c r="E94" s="64">
        <v>2.2277227722771999E-2</v>
      </c>
    </row>
    <row r="95" spans="2:5" ht="15" customHeight="1">
      <c r="B95" s="91"/>
      <c r="C95" s="73" t="s">
        <v>28</v>
      </c>
      <c r="D95" s="57">
        <v>23</v>
      </c>
      <c r="E95" s="58">
        <v>5.6930693069307002E-2</v>
      </c>
    </row>
    <row r="96" spans="2:5" ht="15" customHeight="1">
      <c r="B96" s="91" t="s">
        <v>93</v>
      </c>
      <c r="C96" s="62" t="s">
        <v>130</v>
      </c>
      <c r="D96" s="63">
        <v>2</v>
      </c>
      <c r="E96" s="64">
        <v>4.950495049505E-3</v>
      </c>
    </row>
    <row r="97" spans="2:5" ht="15" customHeight="1">
      <c r="B97" s="91"/>
      <c r="C97" s="62" t="s">
        <v>129</v>
      </c>
      <c r="D97" s="63">
        <v>9</v>
      </c>
      <c r="E97" s="64">
        <v>2.2277227722771999E-2</v>
      </c>
    </row>
    <row r="98" spans="2:5" ht="15" customHeight="1">
      <c r="B98" s="91"/>
      <c r="C98" s="73" t="s">
        <v>28</v>
      </c>
      <c r="D98" s="57">
        <v>11</v>
      </c>
      <c r="E98" s="58">
        <v>2.7227722772276999E-2</v>
      </c>
    </row>
    <row r="99" spans="2:5" ht="15" customHeight="1">
      <c r="B99" s="91" t="s">
        <v>113</v>
      </c>
      <c r="C99" s="62" t="s">
        <v>129</v>
      </c>
      <c r="D99" s="63">
        <v>3</v>
      </c>
      <c r="E99" s="64">
        <v>7.4257425742570004E-3</v>
      </c>
    </row>
    <row r="100" spans="2:5" ht="15" customHeight="1">
      <c r="B100" s="91"/>
      <c r="C100" s="73" t="s">
        <v>28</v>
      </c>
      <c r="D100" s="57">
        <v>3</v>
      </c>
      <c r="E100" s="58">
        <v>7.4257425742570004E-3</v>
      </c>
    </row>
    <row r="101" spans="2:5" ht="15" customHeight="1">
      <c r="B101" s="91" t="s">
        <v>128</v>
      </c>
      <c r="C101" s="62" t="s">
        <v>129</v>
      </c>
      <c r="D101" s="63">
        <v>1</v>
      </c>
      <c r="E101" s="64">
        <v>2.475247524752E-3</v>
      </c>
    </row>
    <row r="102" spans="2:5" ht="15" customHeight="1">
      <c r="B102" s="91"/>
      <c r="C102" s="73" t="s">
        <v>28</v>
      </c>
      <c r="D102" s="57">
        <v>1</v>
      </c>
      <c r="E102" s="58">
        <v>2.475247524752E-3</v>
      </c>
    </row>
    <row r="103" spans="2:5" ht="15" customHeight="1">
      <c r="B103" s="91" t="s">
        <v>91</v>
      </c>
      <c r="C103" s="62" t="s">
        <v>130</v>
      </c>
      <c r="D103" s="63">
        <v>8</v>
      </c>
      <c r="E103" s="64">
        <v>1.980198019802E-2</v>
      </c>
    </row>
    <row r="104" spans="2:5" ht="15" customHeight="1">
      <c r="B104" s="91"/>
      <c r="C104" s="62" t="s">
        <v>129</v>
      </c>
      <c r="D104" s="63">
        <v>8</v>
      </c>
      <c r="E104" s="64">
        <v>1.980198019802E-2</v>
      </c>
    </row>
    <row r="105" spans="2:5" ht="15" customHeight="1">
      <c r="B105" s="91"/>
      <c r="C105" s="73" t="s">
        <v>28</v>
      </c>
      <c r="D105" s="57">
        <v>16</v>
      </c>
      <c r="E105" s="58">
        <v>3.960396039604E-2</v>
      </c>
    </row>
    <row r="106" spans="2:5" ht="15" customHeight="1">
      <c r="B106" s="91" t="s">
        <v>96</v>
      </c>
      <c r="C106" s="62" t="s">
        <v>130</v>
      </c>
      <c r="D106" s="63">
        <v>6</v>
      </c>
      <c r="E106" s="64">
        <v>1.4851485148515E-2</v>
      </c>
    </row>
    <row r="107" spans="2:5" ht="15" customHeight="1">
      <c r="B107" s="91"/>
      <c r="C107" s="62" t="s">
        <v>129</v>
      </c>
      <c r="D107" s="63">
        <v>4</v>
      </c>
      <c r="E107" s="64">
        <v>9.90099009901E-3</v>
      </c>
    </row>
    <row r="108" spans="2:5" ht="15" customHeight="1">
      <c r="B108" s="91"/>
      <c r="C108" s="73" t="s">
        <v>28</v>
      </c>
      <c r="D108" s="57">
        <v>10</v>
      </c>
      <c r="E108" s="58">
        <v>2.4752475247525E-2</v>
      </c>
    </row>
    <row r="109" spans="2:5" ht="15" customHeight="1">
      <c r="B109" s="91" t="s">
        <v>114</v>
      </c>
      <c r="C109" s="62" t="s">
        <v>130</v>
      </c>
      <c r="D109" s="63">
        <v>1</v>
      </c>
      <c r="E109" s="64">
        <v>2.475247524752E-3</v>
      </c>
    </row>
    <row r="110" spans="2:5" ht="15" customHeight="1">
      <c r="B110" s="91"/>
      <c r="C110" s="62" t="s">
        <v>129</v>
      </c>
      <c r="D110" s="63">
        <v>2</v>
      </c>
      <c r="E110" s="64">
        <v>4.950495049505E-3</v>
      </c>
    </row>
    <row r="111" spans="2:5" ht="15" customHeight="1">
      <c r="B111" s="91"/>
      <c r="C111" s="73" t="s">
        <v>28</v>
      </c>
      <c r="D111" s="57">
        <v>3</v>
      </c>
      <c r="E111" s="58">
        <v>7.4257425742570004E-3</v>
      </c>
    </row>
    <row r="112" spans="2:5" ht="15" customHeight="1">
      <c r="B112" s="91" t="s">
        <v>100</v>
      </c>
      <c r="C112" s="62" t="s">
        <v>130</v>
      </c>
      <c r="D112" s="63">
        <v>5</v>
      </c>
      <c r="E112" s="64">
        <v>1.2376237623762E-2</v>
      </c>
    </row>
    <row r="113" spans="2:5" ht="15" customHeight="1">
      <c r="B113" s="91"/>
      <c r="C113" s="62" t="s">
        <v>129</v>
      </c>
      <c r="D113" s="63">
        <v>3</v>
      </c>
      <c r="E113" s="64">
        <v>7.4257425742570004E-3</v>
      </c>
    </row>
    <row r="114" spans="2:5" ht="15" customHeight="1">
      <c r="B114" s="91"/>
      <c r="C114" s="73" t="s">
        <v>28</v>
      </c>
      <c r="D114" s="57">
        <v>8</v>
      </c>
      <c r="E114" s="58">
        <v>1.980198019802E-2</v>
      </c>
    </row>
    <row r="115" spans="2:5" ht="15" customHeight="1">
      <c r="B115" s="91" t="s">
        <v>111</v>
      </c>
      <c r="C115" s="62" t="s">
        <v>129</v>
      </c>
      <c r="D115" s="63">
        <v>4</v>
      </c>
      <c r="E115" s="64">
        <v>9.90099009901E-3</v>
      </c>
    </row>
    <row r="116" spans="2:5" ht="15" customHeight="1">
      <c r="B116" s="91"/>
      <c r="C116" s="73" t="s">
        <v>28</v>
      </c>
      <c r="D116" s="57">
        <v>4</v>
      </c>
      <c r="E116" s="58">
        <v>9.90099009901E-3</v>
      </c>
    </row>
    <row r="117" spans="2:5" ht="15" customHeight="1">
      <c r="B117" s="91" t="s">
        <v>90</v>
      </c>
      <c r="C117" s="62" t="s">
        <v>130</v>
      </c>
      <c r="D117" s="63">
        <v>9</v>
      </c>
      <c r="E117" s="64">
        <v>2.2277227722771999E-2</v>
      </c>
    </row>
    <row r="118" spans="2:5" ht="15" customHeight="1">
      <c r="B118" s="91"/>
      <c r="C118" s="62" t="s">
        <v>129</v>
      </c>
      <c r="D118" s="63">
        <v>8</v>
      </c>
      <c r="E118" s="64">
        <v>1.980198019802E-2</v>
      </c>
    </row>
    <row r="119" spans="2:5" ht="15" customHeight="1">
      <c r="B119" s="91"/>
      <c r="C119" s="73" t="s">
        <v>28</v>
      </c>
      <c r="D119" s="57">
        <v>17</v>
      </c>
      <c r="E119" s="58">
        <v>4.2079207920791999E-2</v>
      </c>
    </row>
    <row r="120" spans="2:5" ht="15" customHeight="1">
      <c r="B120" s="91" t="s">
        <v>103</v>
      </c>
      <c r="C120" s="62" t="s">
        <v>130</v>
      </c>
      <c r="D120" s="63">
        <v>3</v>
      </c>
      <c r="E120" s="64">
        <v>7.4257425742570004E-3</v>
      </c>
    </row>
    <row r="121" spans="2:5" ht="15" customHeight="1">
      <c r="B121" s="91"/>
      <c r="C121" s="62" t="s">
        <v>129</v>
      </c>
      <c r="D121" s="63">
        <v>4</v>
      </c>
      <c r="E121" s="64">
        <v>9.90099009901E-3</v>
      </c>
    </row>
    <row r="122" spans="2:5" ht="15" customHeight="1">
      <c r="B122" s="91"/>
      <c r="C122" s="73" t="s">
        <v>28</v>
      </c>
      <c r="D122" s="57">
        <v>7</v>
      </c>
      <c r="E122" s="58">
        <v>1.7326732673266999E-2</v>
      </c>
    </row>
    <row r="123" spans="2:5" ht="15" customHeight="1">
      <c r="B123" s="91" t="s">
        <v>97</v>
      </c>
      <c r="C123" s="62" t="s">
        <v>130</v>
      </c>
      <c r="D123" s="63">
        <v>5</v>
      </c>
      <c r="E123" s="64">
        <v>1.2376237623762E-2</v>
      </c>
    </row>
    <row r="124" spans="2:5" ht="15" customHeight="1">
      <c r="B124" s="91"/>
      <c r="C124" s="62" t="s">
        <v>129</v>
      </c>
      <c r="D124" s="63">
        <v>5</v>
      </c>
      <c r="E124" s="64">
        <v>1.2376237623762E-2</v>
      </c>
    </row>
    <row r="125" spans="2:5" ht="15" customHeight="1">
      <c r="B125" s="91"/>
      <c r="C125" s="73" t="s">
        <v>28</v>
      </c>
      <c r="D125" s="57">
        <v>10</v>
      </c>
      <c r="E125" s="58">
        <v>2.4752475247525E-2</v>
      </c>
    </row>
    <row r="126" spans="2:5" ht="15" customHeight="1">
      <c r="B126" s="91" t="s">
        <v>98</v>
      </c>
      <c r="C126" s="62" t="s">
        <v>130</v>
      </c>
      <c r="D126" s="63">
        <v>5</v>
      </c>
      <c r="E126" s="64">
        <v>1.2376237623762E-2</v>
      </c>
    </row>
    <row r="127" spans="2:5" ht="15" customHeight="1">
      <c r="B127" s="91"/>
      <c r="C127" s="62" t="s">
        <v>129</v>
      </c>
      <c r="D127" s="63">
        <v>5</v>
      </c>
      <c r="E127" s="64">
        <v>1.2376237623762E-2</v>
      </c>
    </row>
    <row r="128" spans="2:5" ht="15" customHeight="1">
      <c r="B128" s="91"/>
      <c r="C128" s="73" t="s">
        <v>28</v>
      </c>
      <c r="D128" s="57">
        <v>10</v>
      </c>
      <c r="E128" s="58">
        <v>2.4752475247525E-2</v>
      </c>
    </row>
    <row r="129" spans="2:5" ht="15" customHeight="1">
      <c r="B129" s="91" t="s">
        <v>89</v>
      </c>
      <c r="C129" s="62" t="s">
        <v>130</v>
      </c>
      <c r="D129" s="63">
        <v>10</v>
      </c>
      <c r="E129" s="64">
        <v>2.4752475247525E-2</v>
      </c>
    </row>
    <row r="130" spans="2:5" ht="15" customHeight="1">
      <c r="B130" s="91"/>
      <c r="C130" s="62" t="s">
        <v>129</v>
      </c>
      <c r="D130" s="63">
        <v>9</v>
      </c>
      <c r="E130" s="64">
        <v>2.2277227722771999E-2</v>
      </c>
    </row>
    <row r="131" spans="2:5" ht="15" customHeight="1">
      <c r="B131" s="91"/>
      <c r="C131" s="73" t="s">
        <v>28</v>
      </c>
      <c r="D131" s="57">
        <v>19</v>
      </c>
      <c r="E131" s="58">
        <v>4.7029702970297002E-2</v>
      </c>
    </row>
    <row r="132" spans="2:5" ht="15" customHeight="1">
      <c r="B132" s="91" t="s">
        <v>107</v>
      </c>
      <c r="C132" s="62" t="s">
        <v>130</v>
      </c>
      <c r="D132" s="63">
        <v>2</v>
      </c>
      <c r="E132" s="64">
        <v>4.950495049505E-3</v>
      </c>
    </row>
    <row r="133" spans="2:5" ht="15" customHeight="1">
      <c r="B133" s="91"/>
      <c r="C133" s="62" t="s">
        <v>129</v>
      </c>
      <c r="D133" s="63">
        <v>4</v>
      </c>
      <c r="E133" s="64">
        <v>9.90099009901E-3</v>
      </c>
    </row>
    <row r="134" spans="2:5" ht="15" customHeight="1">
      <c r="B134" s="91"/>
      <c r="C134" s="73" t="s">
        <v>28</v>
      </c>
      <c r="D134" s="57">
        <v>6</v>
      </c>
      <c r="E134" s="58">
        <v>1.4851485148515E-2</v>
      </c>
    </row>
    <row r="135" spans="2:5" ht="15" customHeight="1">
      <c r="B135" s="91" t="s">
        <v>115</v>
      </c>
      <c r="C135" s="62" t="s">
        <v>130</v>
      </c>
      <c r="D135" s="63">
        <v>1</v>
      </c>
      <c r="E135" s="64">
        <v>2.475247524752E-3</v>
      </c>
    </row>
    <row r="136" spans="2:5" ht="15" customHeight="1">
      <c r="B136" s="91"/>
      <c r="C136" s="62" t="s">
        <v>129</v>
      </c>
      <c r="D136" s="63">
        <v>2</v>
      </c>
      <c r="E136" s="64">
        <v>4.950495049505E-3</v>
      </c>
    </row>
    <row r="137" spans="2:5" ht="15" customHeight="1">
      <c r="B137" s="91"/>
      <c r="C137" s="73" t="s">
        <v>28</v>
      </c>
      <c r="D137" s="57">
        <v>3</v>
      </c>
      <c r="E137" s="58">
        <v>7.4257425742570004E-3</v>
      </c>
    </row>
    <row r="138" spans="2:5" ht="15" customHeight="1">
      <c r="B138" s="92" t="s">
        <v>28</v>
      </c>
      <c r="C138" s="92"/>
      <c r="D138" s="54">
        <v>404</v>
      </c>
      <c r="E138" s="55">
        <v>1</v>
      </c>
    </row>
    <row r="139" spans="2:5" ht="15" customHeight="1"/>
    <row r="140" spans="2:5" ht="15" customHeight="1">
      <c r="B140" s="15" t="s">
        <v>46</v>
      </c>
    </row>
    <row r="141" spans="2:5" ht="15" customHeight="1">
      <c r="B141" s="17" t="s">
        <v>17</v>
      </c>
    </row>
    <row r="142" spans="2:5" ht="15" customHeight="1">
      <c r="B142" s="16" t="s">
        <v>47</v>
      </c>
    </row>
    <row r="143" spans="2:5" ht="15" customHeight="1">
      <c r="B143" s="15" t="s">
        <v>16</v>
      </c>
    </row>
    <row r="144" spans="2:5" ht="15" customHeight="1">
      <c r="B144" s="15" t="s">
        <v>48</v>
      </c>
    </row>
  </sheetData>
  <mergeCells count="47">
    <mergeCell ref="B53:B55"/>
    <mergeCell ref="B64:B66"/>
    <mergeCell ref="B56:B57"/>
    <mergeCell ref="B58:B60"/>
    <mergeCell ref="B61:B63"/>
    <mergeCell ref="B39:B41"/>
    <mergeCell ref="B42:B44"/>
    <mergeCell ref="B45:B47"/>
    <mergeCell ref="B48:B50"/>
    <mergeCell ref="B51:B52"/>
    <mergeCell ref="B8:E10"/>
    <mergeCell ref="B27:B29"/>
    <mergeCell ref="B30:B32"/>
    <mergeCell ref="B33:B35"/>
    <mergeCell ref="B36:B38"/>
    <mergeCell ref="B13:B15"/>
    <mergeCell ref="B16:B18"/>
    <mergeCell ref="B19:B20"/>
    <mergeCell ref="B21:B23"/>
    <mergeCell ref="B24:B26"/>
    <mergeCell ref="B117:B119"/>
    <mergeCell ref="B85:B87"/>
    <mergeCell ref="B88:B89"/>
    <mergeCell ref="B80:B82"/>
    <mergeCell ref="B83:B84"/>
    <mergeCell ref="B103:B105"/>
    <mergeCell ref="B106:B108"/>
    <mergeCell ref="B109:B111"/>
    <mergeCell ref="B112:B114"/>
    <mergeCell ref="B115:B116"/>
    <mergeCell ref="B90:B92"/>
    <mergeCell ref="B93:B95"/>
    <mergeCell ref="B96:B98"/>
    <mergeCell ref="B99:B100"/>
    <mergeCell ref="B101:B102"/>
    <mergeCell ref="B67:B69"/>
    <mergeCell ref="B70:B72"/>
    <mergeCell ref="B73:B74"/>
    <mergeCell ref="B75:B77"/>
    <mergeCell ref="B78:B79"/>
    <mergeCell ref="B135:B137"/>
    <mergeCell ref="B138:C138"/>
    <mergeCell ref="B120:B122"/>
    <mergeCell ref="B123:B125"/>
    <mergeCell ref="B126:B128"/>
    <mergeCell ref="B129:B131"/>
    <mergeCell ref="B132:B13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11"/>
  <sheetViews>
    <sheetView showGridLines="0" view="pageBreakPreview" topLeftCell="A90" zoomScaleNormal="96" zoomScaleSheetLayoutView="100" workbookViewId="0">
      <selection activeCell="C17" sqref="C17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19.81640625" style="41" customWidth="1"/>
    <col min="4" max="4" width="23.54296875" style="44" customWidth="1"/>
    <col min="5" max="5" width="15.1796875" style="41" bestFit="1" customWidth="1"/>
    <col min="6" max="6" width="5.726562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93" t="s">
        <v>212</v>
      </c>
      <c r="C8" s="94"/>
      <c r="D8" s="94"/>
      <c r="E8" s="94"/>
    </row>
    <row r="9" spans="2:6" s="13" customFormat="1" ht="23.25" customHeight="1">
      <c r="B9" s="94"/>
      <c r="C9" s="94"/>
      <c r="D9" s="94"/>
      <c r="E9" s="94"/>
      <c r="F9" s="49"/>
    </row>
    <row r="10" spans="2:6" s="13" customFormat="1" ht="27" customHeight="1">
      <c r="B10" s="94"/>
      <c r="C10" s="94"/>
      <c r="D10" s="94"/>
      <c r="E10" s="94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3" t="s">
        <v>24</v>
      </c>
      <c r="C12" s="53" t="s">
        <v>29</v>
      </c>
      <c r="D12" s="53" t="s">
        <v>19</v>
      </c>
      <c r="E12" s="53" t="s">
        <v>18</v>
      </c>
    </row>
    <row r="13" spans="2:6" ht="15" customHeight="1">
      <c r="B13" s="84" t="s">
        <v>49</v>
      </c>
      <c r="C13" s="62" t="s">
        <v>129</v>
      </c>
      <c r="D13" s="63">
        <v>1</v>
      </c>
      <c r="E13" s="64">
        <v>2.475247524752E-3</v>
      </c>
    </row>
    <row r="14" spans="2:6" ht="15" customHeight="1">
      <c r="B14" s="86"/>
      <c r="C14" s="56" t="s">
        <v>28</v>
      </c>
      <c r="D14" s="57">
        <v>1</v>
      </c>
      <c r="E14" s="58">
        <v>2.475247524752E-3</v>
      </c>
    </row>
    <row r="15" spans="2:6" ht="15" customHeight="1">
      <c r="B15" s="84" t="s">
        <v>50</v>
      </c>
      <c r="C15" s="62" t="s">
        <v>130</v>
      </c>
      <c r="D15" s="63">
        <v>4</v>
      </c>
      <c r="E15" s="64">
        <v>9.90099009901E-3</v>
      </c>
    </row>
    <row r="16" spans="2:6" ht="15" customHeight="1">
      <c r="B16" s="85"/>
      <c r="C16" s="62" t="s">
        <v>129</v>
      </c>
      <c r="D16" s="63">
        <v>11</v>
      </c>
      <c r="E16" s="64">
        <v>2.7227722772276999E-2</v>
      </c>
    </row>
    <row r="17" spans="2:5" ht="15" customHeight="1">
      <c r="B17" s="86"/>
      <c r="C17" s="56" t="s">
        <v>28</v>
      </c>
      <c r="D17" s="57">
        <v>15</v>
      </c>
      <c r="E17" s="58">
        <v>3.7128712871287002E-2</v>
      </c>
    </row>
    <row r="18" spans="2:5" ht="15" customHeight="1">
      <c r="B18" s="84" t="s">
        <v>51</v>
      </c>
      <c r="C18" s="62" t="s">
        <v>129</v>
      </c>
      <c r="D18" s="63">
        <v>1</v>
      </c>
      <c r="E18" s="64">
        <v>2.475247524752E-3</v>
      </c>
    </row>
    <row r="19" spans="2:5" ht="15" customHeight="1">
      <c r="B19" s="86"/>
      <c r="C19" s="56" t="s">
        <v>28</v>
      </c>
      <c r="D19" s="57">
        <v>1</v>
      </c>
      <c r="E19" s="58">
        <v>2.475247524752E-3</v>
      </c>
    </row>
    <row r="20" spans="2:5" ht="15" customHeight="1">
      <c r="B20" s="84" t="s">
        <v>52</v>
      </c>
      <c r="C20" s="62" t="s">
        <v>130</v>
      </c>
      <c r="D20" s="63">
        <v>100</v>
      </c>
      <c r="E20" s="64">
        <v>0.24752475247524799</v>
      </c>
    </row>
    <row r="21" spans="2:5" ht="15" customHeight="1">
      <c r="B21" s="85"/>
      <c r="C21" s="62" t="s">
        <v>129</v>
      </c>
      <c r="D21" s="63">
        <v>82</v>
      </c>
      <c r="E21" s="64">
        <v>0.20297029702970301</v>
      </c>
    </row>
    <row r="22" spans="2:5" ht="15" customHeight="1">
      <c r="B22" s="86"/>
      <c r="C22" s="56" t="s">
        <v>28</v>
      </c>
      <c r="D22" s="57">
        <v>182</v>
      </c>
      <c r="E22" s="58">
        <v>0.45049504950495101</v>
      </c>
    </row>
    <row r="23" spans="2:5" ht="15" customHeight="1">
      <c r="B23" s="84" t="s">
        <v>53</v>
      </c>
      <c r="C23" s="62" t="s">
        <v>130</v>
      </c>
      <c r="D23" s="63">
        <v>4</v>
      </c>
      <c r="E23" s="64">
        <v>9.90099009901E-3</v>
      </c>
    </row>
    <row r="24" spans="2:5" ht="15" customHeight="1">
      <c r="B24" s="85"/>
      <c r="C24" s="62" t="s">
        <v>129</v>
      </c>
      <c r="D24" s="63">
        <v>2</v>
      </c>
      <c r="E24" s="64">
        <v>4.950495049505E-3</v>
      </c>
    </row>
    <row r="25" spans="2:5" ht="15" customHeight="1">
      <c r="B25" s="86"/>
      <c r="C25" s="56" t="s">
        <v>28</v>
      </c>
      <c r="D25" s="57">
        <v>6</v>
      </c>
      <c r="E25" s="58">
        <v>1.4851485148515E-2</v>
      </c>
    </row>
    <row r="26" spans="2:5" ht="15" customHeight="1">
      <c r="B26" s="84" t="s">
        <v>54</v>
      </c>
      <c r="C26" s="62" t="s">
        <v>130</v>
      </c>
      <c r="D26" s="63">
        <v>2</v>
      </c>
      <c r="E26" s="64">
        <v>4.950495049505E-3</v>
      </c>
    </row>
    <row r="27" spans="2:5" ht="15" customHeight="1">
      <c r="B27" s="85"/>
      <c r="C27" s="62" t="s">
        <v>129</v>
      </c>
      <c r="D27" s="63">
        <v>3</v>
      </c>
      <c r="E27" s="64">
        <v>7.4257425742570004E-3</v>
      </c>
    </row>
    <row r="28" spans="2:5" ht="15" customHeight="1">
      <c r="B28" s="86"/>
      <c r="C28" s="56" t="s">
        <v>28</v>
      </c>
      <c r="D28" s="57">
        <v>5</v>
      </c>
      <c r="E28" s="58">
        <v>1.2376237623762E-2</v>
      </c>
    </row>
    <row r="29" spans="2:5" ht="15" customHeight="1">
      <c r="B29" s="84" t="s">
        <v>55</v>
      </c>
      <c r="C29" s="62" t="s">
        <v>130</v>
      </c>
      <c r="D29" s="63">
        <v>6</v>
      </c>
      <c r="E29" s="64">
        <v>1.4851485148515E-2</v>
      </c>
    </row>
    <row r="30" spans="2:5" ht="15" customHeight="1">
      <c r="B30" s="85"/>
      <c r="C30" s="62" t="s">
        <v>129</v>
      </c>
      <c r="D30" s="63">
        <v>3</v>
      </c>
      <c r="E30" s="64">
        <v>7.4257425742570004E-3</v>
      </c>
    </row>
    <row r="31" spans="2:5" ht="15" customHeight="1">
      <c r="B31" s="86"/>
      <c r="C31" s="56" t="s">
        <v>28</v>
      </c>
      <c r="D31" s="57">
        <v>9</v>
      </c>
      <c r="E31" s="58">
        <v>2.2277227722771999E-2</v>
      </c>
    </row>
    <row r="32" spans="2:5" ht="15" customHeight="1">
      <c r="B32" s="84" t="s">
        <v>56</v>
      </c>
      <c r="C32" s="62" t="s">
        <v>129</v>
      </c>
      <c r="D32" s="63">
        <v>5</v>
      </c>
      <c r="E32" s="64">
        <v>1.2376237623762E-2</v>
      </c>
    </row>
    <row r="33" spans="2:5" ht="15" customHeight="1">
      <c r="B33" s="86"/>
      <c r="C33" s="56" t="s">
        <v>28</v>
      </c>
      <c r="D33" s="57">
        <v>5</v>
      </c>
      <c r="E33" s="58">
        <v>1.2376237623762E-2</v>
      </c>
    </row>
    <row r="34" spans="2:5" ht="15" customHeight="1">
      <c r="B34" s="84" t="s">
        <v>57</v>
      </c>
      <c r="C34" s="62" t="s">
        <v>130</v>
      </c>
      <c r="D34" s="63">
        <v>1</v>
      </c>
      <c r="E34" s="64">
        <v>2.475247524752E-3</v>
      </c>
    </row>
    <row r="35" spans="2:5" ht="15" customHeight="1">
      <c r="B35" s="85"/>
      <c r="C35" s="62" t="s">
        <v>129</v>
      </c>
      <c r="D35" s="63">
        <v>5</v>
      </c>
      <c r="E35" s="64">
        <v>1.2376237623762E-2</v>
      </c>
    </row>
    <row r="36" spans="2:5" ht="15" customHeight="1">
      <c r="B36" s="86"/>
      <c r="C36" s="56" t="s">
        <v>28</v>
      </c>
      <c r="D36" s="57">
        <v>6</v>
      </c>
      <c r="E36" s="58">
        <v>1.4851485148515E-2</v>
      </c>
    </row>
    <row r="37" spans="2:5" ht="15" customHeight="1">
      <c r="B37" s="84" t="s">
        <v>58</v>
      </c>
      <c r="C37" s="62" t="s">
        <v>130</v>
      </c>
      <c r="D37" s="63">
        <v>11</v>
      </c>
      <c r="E37" s="64">
        <v>2.7227722772276999E-2</v>
      </c>
    </row>
    <row r="38" spans="2:5" ht="15" customHeight="1">
      <c r="B38" s="85"/>
      <c r="C38" s="62" t="s">
        <v>129</v>
      </c>
      <c r="D38" s="63">
        <v>15</v>
      </c>
      <c r="E38" s="64">
        <v>3.7128712871287002E-2</v>
      </c>
    </row>
    <row r="39" spans="2:5" ht="15" customHeight="1">
      <c r="B39" s="86"/>
      <c r="C39" s="56" t="s">
        <v>28</v>
      </c>
      <c r="D39" s="57">
        <v>26</v>
      </c>
      <c r="E39" s="58">
        <v>6.4356435643563997E-2</v>
      </c>
    </row>
    <row r="40" spans="2:5" ht="15" customHeight="1">
      <c r="B40" s="84" t="s">
        <v>59</v>
      </c>
      <c r="C40" s="62" t="s">
        <v>129</v>
      </c>
      <c r="D40" s="63">
        <v>5</v>
      </c>
      <c r="E40" s="64">
        <v>1.2376237623762E-2</v>
      </c>
    </row>
    <row r="41" spans="2:5" ht="15" customHeight="1">
      <c r="B41" s="86"/>
      <c r="C41" s="56" t="s">
        <v>28</v>
      </c>
      <c r="D41" s="57">
        <v>5</v>
      </c>
      <c r="E41" s="58">
        <v>1.2376237623762E-2</v>
      </c>
    </row>
    <row r="42" spans="2:5" ht="15" customHeight="1">
      <c r="B42" s="84" t="s">
        <v>60</v>
      </c>
      <c r="C42" s="62" t="s">
        <v>130</v>
      </c>
      <c r="D42" s="63">
        <v>1</v>
      </c>
      <c r="E42" s="64">
        <v>2.475247524752E-3</v>
      </c>
    </row>
    <row r="43" spans="2:5" ht="15" customHeight="1">
      <c r="B43" s="86"/>
      <c r="C43" s="56" t="s">
        <v>28</v>
      </c>
      <c r="D43" s="57">
        <v>1</v>
      </c>
      <c r="E43" s="58">
        <v>2.475247524752E-3</v>
      </c>
    </row>
    <row r="44" spans="2:5" ht="15" customHeight="1">
      <c r="B44" s="84" t="s">
        <v>61</v>
      </c>
      <c r="C44" s="62" t="s">
        <v>130</v>
      </c>
      <c r="D44" s="63">
        <v>1</v>
      </c>
      <c r="E44" s="64">
        <v>2.475247524752E-3</v>
      </c>
    </row>
    <row r="45" spans="2:5" ht="15" customHeight="1">
      <c r="B45" s="85"/>
      <c r="C45" s="62" t="s">
        <v>129</v>
      </c>
      <c r="D45" s="63">
        <v>4</v>
      </c>
      <c r="E45" s="64">
        <v>9.90099009901E-3</v>
      </c>
    </row>
    <row r="46" spans="2:5" ht="15" customHeight="1">
      <c r="B46" s="86"/>
      <c r="C46" s="56" t="s">
        <v>28</v>
      </c>
      <c r="D46" s="57">
        <v>5</v>
      </c>
      <c r="E46" s="58">
        <v>1.2376237623762E-2</v>
      </c>
    </row>
    <row r="47" spans="2:5" ht="15" customHeight="1">
      <c r="B47" s="84" t="s">
        <v>62</v>
      </c>
      <c r="C47" s="62" t="s">
        <v>129</v>
      </c>
      <c r="D47" s="63">
        <v>1</v>
      </c>
      <c r="E47" s="64">
        <v>2.475247524752E-3</v>
      </c>
    </row>
    <row r="48" spans="2:5" ht="15" customHeight="1">
      <c r="B48" s="86" t="s">
        <v>131</v>
      </c>
      <c r="C48" s="56" t="s">
        <v>28</v>
      </c>
      <c r="D48" s="57">
        <v>1</v>
      </c>
      <c r="E48" s="58">
        <v>2.475247524752E-3</v>
      </c>
    </row>
    <row r="49" spans="2:5" ht="15" customHeight="1">
      <c r="B49" s="84" t="s">
        <v>63</v>
      </c>
      <c r="C49" s="62" t="s">
        <v>130</v>
      </c>
      <c r="D49" s="63">
        <v>1</v>
      </c>
      <c r="E49" s="64">
        <v>2.475247524752E-3</v>
      </c>
    </row>
    <row r="50" spans="2:5" ht="15" customHeight="1">
      <c r="B50" s="85"/>
      <c r="C50" s="62" t="s">
        <v>129</v>
      </c>
      <c r="D50" s="63">
        <v>1</v>
      </c>
      <c r="E50" s="64">
        <v>2.475247524752E-3</v>
      </c>
    </row>
    <row r="51" spans="2:5" ht="15" customHeight="1">
      <c r="B51" s="86" t="s">
        <v>132</v>
      </c>
      <c r="C51" s="56" t="s">
        <v>28</v>
      </c>
      <c r="D51" s="57">
        <v>2</v>
      </c>
      <c r="E51" s="58">
        <v>4.950495049505E-3</v>
      </c>
    </row>
    <row r="52" spans="2:5" ht="15" customHeight="1">
      <c r="B52" s="84" t="s">
        <v>64</v>
      </c>
      <c r="C52" s="62" t="s">
        <v>130</v>
      </c>
      <c r="D52" s="63">
        <v>1</v>
      </c>
      <c r="E52" s="64">
        <v>2.475247524752E-3</v>
      </c>
    </row>
    <row r="53" spans="2:5" ht="15" customHeight="1">
      <c r="B53" s="85"/>
      <c r="C53" s="62" t="s">
        <v>129</v>
      </c>
      <c r="D53" s="63">
        <v>1</v>
      </c>
      <c r="E53" s="64">
        <v>2.475247524752E-3</v>
      </c>
    </row>
    <row r="54" spans="2:5" ht="15" customHeight="1">
      <c r="B54" s="86" t="s">
        <v>133</v>
      </c>
      <c r="C54" s="56" t="s">
        <v>28</v>
      </c>
      <c r="D54" s="57">
        <v>2</v>
      </c>
      <c r="E54" s="58">
        <v>4.950495049505E-3</v>
      </c>
    </row>
    <row r="55" spans="2:5" ht="15" customHeight="1">
      <c r="B55" s="84" t="s">
        <v>65</v>
      </c>
      <c r="C55" s="62" t="s">
        <v>130</v>
      </c>
      <c r="D55" s="63">
        <v>1</v>
      </c>
      <c r="E55" s="64">
        <v>2.475247524752E-3</v>
      </c>
    </row>
    <row r="56" spans="2:5" ht="15" customHeight="1">
      <c r="B56" s="86" t="s">
        <v>134</v>
      </c>
      <c r="C56" s="56" t="s">
        <v>28</v>
      </c>
      <c r="D56" s="57">
        <v>1</v>
      </c>
      <c r="E56" s="58">
        <v>2.475247524752E-3</v>
      </c>
    </row>
    <row r="57" spans="2:5" ht="15" customHeight="1">
      <c r="B57" s="84" t="s">
        <v>66</v>
      </c>
      <c r="C57" s="62" t="s">
        <v>129</v>
      </c>
      <c r="D57" s="63">
        <v>2</v>
      </c>
      <c r="E57" s="64">
        <v>4.950495049505E-3</v>
      </c>
    </row>
    <row r="58" spans="2:5" ht="15" customHeight="1">
      <c r="B58" s="86" t="s">
        <v>135</v>
      </c>
      <c r="C58" s="56" t="s">
        <v>28</v>
      </c>
      <c r="D58" s="57">
        <v>2</v>
      </c>
      <c r="E58" s="58">
        <v>4.950495049505E-3</v>
      </c>
    </row>
    <row r="59" spans="2:5" ht="15" customHeight="1">
      <c r="B59" s="84" t="s">
        <v>67</v>
      </c>
      <c r="C59" s="62" t="s">
        <v>130</v>
      </c>
      <c r="D59" s="63">
        <v>1</v>
      </c>
      <c r="E59" s="64">
        <v>2.475247524752E-3</v>
      </c>
    </row>
    <row r="60" spans="2:5" ht="15" customHeight="1">
      <c r="B60" s="85"/>
      <c r="C60" s="62" t="s">
        <v>129</v>
      </c>
      <c r="D60" s="63">
        <v>3</v>
      </c>
      <c r="E60" s="64">
        <v>7.4257425742570004E-3</v>
      </c>
    </row>
    <row r="61" spans="2:5" ht="15" customHeight="1">
      <c r="B61" s="86" t="s">
        <v>136</v>
      </c>
      <c r="C61" s="56" t="s">
        <v>28</v>
      </c>
      <c r="D61" s="57">
        <v>4</v>
      </c>
      <c r="E61" s="58">
        <v>9.90099009901E-3</v>
      </c>
    </row>
    <row r="62" spans="2:5" ht="15" customHeight="1">
      <c r="B62" s="84" t="s">
        <v>68</v>
      </c>
      <c r="C62" s="62" t="s">
        <v>130</v>
      </c>
      <c r="D62" s="63">
        <v>1</v>
      </c>
      <c r="E62" s="64">
        <v>2.475247524752E-3</v>
      </c>
    </row>
    <row r="63" spans="2:5" ht="15" customHeight="1">
      <c r="B63" s="86" t="s">
        <v>137</v>
      </c>
      <c r="C63" s="56" t="s">
        <v>28</v>
      </c>
      <c r="D63" s="57">
        <v>1</v>
      </c>
      <c r="E63" s="58">
        <v>2.475247524752E-3</v>
      </c>
    </row>
    <row r="64" spans="2:5" ht="15" customHeight="1">
      <c r="B64" s="84" t="s">
        <v>69</v>
      </c>
      <c r="C64" s="62" t="s">
        <v>130</v>
      </c>
      <c r="D64" s="63">
        <v>10</v>
      </c>
      <c r="E64" s="64">
        <v>2.4752475247525E-2</v>
      </c>
    </row>
    <row r="65" spans="2:5" ht="15" customHeight="1">
      <c r="B65" s="85"/>
      <c r="C65" s="62" t="s">
        <v>129</v>
      </c>
      <c r="D65" s="63">
        <v>3</v>
      </c>
      <c r="E65" s="64">
        <v>7.4257425742570004E-3</v>
      </c>
    </row>
    <row r="66" spans="2:5" ht="15" customHeight="1">
      <c r="B66" s="86" t="s">
        <v>138</v>
      </c>
      <c r="C66" s="56" t="s">
        <v>28</v>
      </c>
      <c r="D66" s="57">
        <v>13</v>
      </c>
      <c r="E66" s="58">
        <v>3.2178217821781999E-2</v>
      </c>
    </row>
    <row r="67" spans="2:5" ht="15" customHeight="1">
      <c r="B67" s="84" t="s">
        <v>70</v>
      </c>
      <c r="C67" s="62" t="s">
        <v>130</v>
      </c>
      <c r="D67" s="63">
        <v>4</v>
      </c>
      <c r="E67" s="64">
        <v>9.90099009901E-3</v>
      </c>
    </row>
    <row r="68" spans="2:5" ht="15" customHeight="1">
      <c r="B68" s="85"/>
      <c r="C68" s="62" t="s">
        <v>129</v>
      </c>
      <c r="D68" s="63">
        <v>3</v>
      </c>
      <c r="E68" s="64">
        <v>7.4257425742570004E-3</v>
      </c>
    </row>
    <row r="69" spans="2:5" ht="15" customHeight="1">
      <c r="B69" s="86" t="s">
        <v>139</v>
      </c>
      <c r="C69" s="56" t="s">
        <v>28</v>
      </c>
      <c r="D69" s="57">
        <v>7</v>
      </c>
      <c r="E69" s="58">
        <v>1.7326732673266999E-2</v>
      </c>
    </row>
    <row r="70" spans="2:5" ht="15" customHeight="1">
      <c r="B70" s="84" t="s">
        <v>71</v>
      </c>
      <c r="C70" s="62" t="s">
        <v>130</v>
      </c>
      <c r="D70" s="63">
        <v>1</v>
      </c>
      <c r="E70" s="64">
        <v>2.475247524752E-3</v>
      </c>
    </row>
    <row r="71" spans="2:5" ht="15" customHeight="1">
      <c r="B71" s="85"/>
      <c r="C71" s="62" t="s">
        <v>129</v>
      </c>
      <c r="D71" s="63">
        <v>3</v>
      </c>
      <c r="E71" s="64">
        <v>7.4257425742570004E-3</v>
      </c>
    </row>
    <row r="72" spans="2:5" ht="15" customHeight="1">
      <c r="B72" s="86" t="s">
        <v>140</v>
      </c>
      <c r="C72" s="56" t="s">
        <v>28</v>
      </c>
      <c r="D72" s="57">
        <v>4</v>
      </c>
      <c r="E72" s="58">
        <v>9.90099009901E-3</v>
      </c>
    </row>
    <row r="73" spans="2:5" ht="15" customHeight="1">
      <c r="B73" s="84" t="s">
        <v>72</v>
      </c>
      <c r="C73" s="62" t="s">
        <v>129</v>
      </c>
      <c r="D73" s="63">
        <v>1</v>
      </c>
      <c r="E73" s="64">
        <v>2.475247524752E-3</v>
      </c>
    </row>
    <row r="74" spans="2:5" ht="15" customHeight="1">
      <c r="B74" s="86" t="s">
        <v>141</v>
      </c>
      <c r="C74" s="56" t="s">
        <v>28</v>
      </c>
      <c r="D74" s="57">
        <v>1</v>
      </c>
      <c r="E74" s="58">
        <v>2.475247524752E-3</v>
      </c>
    </row>
    <row r="75" spans="2:5" ht="15" customHeight="1">
      <c r="B75" s="84" t="s">
        <v>73</v>
      </c>
      <c r="C75" s="62" t="s">
        <v>130</v>
      </c>
      <c r="D75" s="63">
        <v>6</v>
      </c>
      <c r="E75" s="64">
        <v>1.4851485148515E-2</v>
      </c>
    </row>
    <row r="76" spans="2:5" ht="15" customHeight="1">
      <c r="B76" s="85"/>
      <c r="C76" s="62" t="s">
        <v>129</v>
      </c>
      <c r="D76" s="63">
        <v>5</v>
      </c>
      <c r="E76" s="64">
        <v>1.2376237623762E-2</v>
      </c>
    </row>
    <row r="77" spans="2:5" ht="15" customHeight="1">
      <c r="B77" s="86" t="s">
        <v>142</v>
      </c>
      <c r="C77" s="56" t="s">
        <v>28</v>
      </c>
      <c r="D77" s="57">
        <v>11</v>
      </c>
      <c r="E77" s="58">
        <v>2.7227722772276999E-2</v>
      </c>
    </row>
    <row r="78" spans="2:5" ht="15" customHeight="1">
      <c r="B78" s="84" t="s">
        <v>74</v>
      </c>
      <c r="C78" s="62" t="s">
        <v>130</v>
      </c>
      <c r="D78" s="63">
        <v>2</v>
      </c>
      <c r="E78" s="64">
        <v>4.950495049505E-3</v>
      </c>
    </row>
    <row r="79" spans="2:5" ht="15" customHeight="1">
      <c r="B79" s="86" t="s">
        <v>143</v>
      </c>
      <c r="C79" s="56" t="s">
        <v>28</v>
      </c>
      <c r="D79" s="57">
        <v>2</v>
      </c>
      <c r="E79" s="58">
        <v>4.950495049505E-3</v>
      </c>
    </row>
    <row r="80" spans="2:5" ht="15" customHeight="1">
      <c r="B80" s="84" t="s">
        <v>75</v>
      </c>
      <c r="C80" s="62" t="s">
        <v>130</v>
      </c>
      <c r="D80" s="63">
        <v>5</v>
      </c>
      <c r="E80" s="64">
        <v>1.2376237623762E-2</v>
      </c>
    </row>
    <row r="81" spans="2:5" ht="15" customHeight="1">
      <c r="B81" s="85"/>
      <c r="C81" s="62" t="s">
        <v>129</v>
      </c>
      <c r="D81" s="63">
        <v>1</v>
      </c>
      <c r="E81" s="64">
        <v>2.475247524752E-3</v>
      </c>
    </row>
    <row r="82" spans="2:5" ht="15" customHeight="1">
      <c r="B82" s="86" t="s">
        <v>144</v>
      </c>
      <c r="C82" s="56" t="s">
        <v>28</v>
      </c>
      <c r="D82" s="57">
        <v>6</v>
      </c>
      <c r="E82" s="58">
        <v>1.4851485148515E-2</v>
      </c>
    </row>
    <row r="83" spans="2:5" ht="15" customHeight="1">
      <c r="B83" s="84" t="s">
        <v>76</v>
      </c>
      <c r="C83" s="62" t="s">
        <v>129</v>
      </c>
      <c r="D83" s="63">
        <v>2</v>
      </c>
      <c r="E83" s="64">
        <v>4.950495049505E-3</v>
      </c>
    </row>
    <row r="84" spans="2:5" ht="15" customHeight="1">
      <c r="B84" s="86" t="s">
        <v>145</v>
      </c>
      <c r="C84" s="56" t="s">
        <v>28</v>
      </c>
      <c r="D84" s="57">
        <v>2</v>
      </c>
      <c r="E84" s="58">
        <v>4.950495049505E-3</v>
      </c>
    </row>
    <row r="85" spans="2:5" ht="15" customHeight="1">
      <c r="B85" s="84" t="s">
        <v>77</v>
      </c>
      <c r="C85" s="62" t="s">
        <v>130</v>
      </c>
      <c r="D85" s="63">
        <v>2</v>
      </c>
      <c r="E85" s="64">
        <v>4.950495049505E-3</v>
      </c>
    </row>
    <row r="86" spans="2:5" ht="15" customHeight="1">
      <c r="B86" s="85"/>
      <c r="C86" s="62" t="s">
        <v>129</v>
      </c>
      <c r="D86" s="63">
        <v>1</v>
      </c>
      <c r="E86" s="64">
        <v>2.475247524752E-3</v>
      </c>
    </row>
    <row r="87" spans="2:5" ht="15" customHeight="1">
      <c r="B87" s="86" t="s">
        <v>146</v>
      </c>
      <c r="C87" s="56" t="s">
        <v>28</v>
      </c>
      <c r="D87" s="57">
        <v>3</v>
      </c>
      <c r="E87" s="58">
        <v>7.4257425742570004E-3</v>
      </c>
    </row>
    <row r="88" spans="2:5" ht="15" customHeight="1">
      <c r="B88" s="84" t="s">
        <v>78</v>
      </c>
      <c r="C88" s="62" t="s">
        <v>130</v>
      </c>
      <c r="D88" s="63">
        <v>2</v>
      </c>
      <c r="E88" s="64">
        <v>4.950495049505E-3</v>
      </c>
    </row>
    <row r="89" spans="2:5" ht="15" customHeight="1">
      <c r="B89" s="85"/>
      <c r="C89" s="62" t="s">
        <v>129</v>
      </c>
      <c r="D89" s="63">
        <v>3</v>
      </c>
      <c r="E89" s="64">
        <v>7.4257425742570004E-3</v>
      </c>
    </row>
    <row r="90" spans="2:5" ht="15" customHeight="1">
      <c r="B90" s="86" t="s">
        <v>147</v>
      </c>
      <c r="C90" s="56" t="s">
        <v>28</v>
      </c>
      <c r="D90" s="57">
        <v>5</v>
      </c>
      <c r="E90" s="58">
        <v>1.2376237623762E-2</v>
      </c>
    </row>
    <row r="91" spans="2:5" ht="15" customHeight="1">
      <c r="B91" s="84" t="s">
        <v>79</v>
      </c>
      <c r="C91" s="62" t="s">
        <v>130</v>
      </c>
      <c r="D91" s="63">
        <v>5</v>
      </c>
      <c r="E91" s="64">
        <v>1.2376237623762E-2</v>
      </c>
    </row>
    <row r="92" spans="2:5" ht="15" customHeight="1">
      <c r="B92" s="85"/>
      <c r="C92" s="62" t="s">
        <v>129</v>
      </c>
      <c r="D92" s="63">
        <v>2</v>
      </c>
      <c r="E92" s="64">
        <v>4.950495049505E-3</v>
      </c>
    </row>
    <row r="93" spans="2:5" ht="15" customHeight="1">
      <c r="B93" s="86" t="s">
        <v>148</v>
      </c>
      <c r="C93" s="56" t="s">
        <v>28</v>
      </c>
      <c r="D93" s="57">
        <v>7</v>
      </c>
      <c r="E93" s="58">
        <v>1.7326732673266999E-2</v>
      </c>
    </row>
    <row r="94" spans="2:5" ht="15" customHeight="1">
      <c r="B94" s="84" t="s">
        <v>80</v>
      </c>
      <c r="C94" s="62" t="s">
        <v>130</v>
      </c>
      <c r="D94" s="63">
        <v>18</v>
      </c>
      <c r="E94" s="64">
        <v>4.4554455445545003E-2</v>
      </c>
    </row>
    <row r="95" spans="2:5" ht="15" customHeight="1">
      <c r="B95" s="85"/>
      <c r="C95" s="62" t="s">
        <v>129</v>
      </c>
      <c r="D95" s="63">
        <v>29</v>
      </c>
      <c r="E95" s="64">
        <v>7.1782178217821999E-2</v>
      </c>
    </row>
    <row r="96" spans="2:5" ht="15" customHeight="1">
      <c r="B96" s="86" t="s">
        <v>149</v>
      </c>
      <c r="C96" s="56" t="s">
        <v>28</v>
      </c>
      <c r="D96" s="57">
        <v>47</v>
      </c>
      <c r="E96" s="58">
        <v>0.116336633663366</v>
      </c>
    </row>
    <row r="97" spans="2:5" ht="15" customHeight="1">
      <c r="B97" s="84" t="s">
        <v>81</v>
      </c>
      <c r="C97" s="62" t="s">
        <v>130</v>
      </c>
      <c r="D97" s="63">
        <v>5</v>
      </c>
      <c r="E97" s="64">
        <v>1.2376237623762E-2</v>
      </c>
    </row>
    <row r="98" spans="2:5" ht="15" customHeight="1">
      <c r="B98" s="85"/>
      <c r="C98" s="62" t="s">
        <v>129</v>
      </c>
      <c r="D98" s="63">
        <v>3</v>
      </c>
      <c r="E98" s="64">
        <v>7.4257425742570004E-3</v>
      </c>
    </row>
    <row r="99" spans="2:5" ht="15" customHeight="1">
      <c r="B99" s="86" t="s">
        <v>150</v>
      </c>
      <c r="C99" s="56" t="s">
        <v>28</v>
      </c>
      <c r="D99" s="57">
        <v>8</v>
      </c>
      <c r="E99" s="58">
        <v>1.980198019802E-2</v>
      </c>
    </row>
    <row r="100" spans="2:5" ht="15" customHeight="1">
      <c r="B100" s="84" t="s">
        <v>82</v>
      </c>
      <c r="C100" s="62" t="s">
        <v>130</v>
      </c>
      <c r="D100" s="63">
        <v>2</v>
      </c>
      <c r="E100" s="64">
        <v>4.950495049505E-3</v>
      </c>
    </row>
    <row r="101" spans="2:5" ht="15" customHeight="1">
      <c r="B101" s="85"/>
      <c r="C101" s="62" t="s">
        <v>129</v>
      </c>
      <c r="D101" s="63">
        <v>5</v>
      </c>
      <c r="E101" s="64">
        <v>1.2376237623762E-2</v>
      </c>
    </row>
    <row r="102" spans="2:5" ht="15" customHeight="1">
      <c r="B102" s="86" t="s">
        <v>151</v>
      </c>
      <c r="C102" s="56" t="s">
        <v>28</v>
      </c>
      <c r="D102" s="57">
        <v>7</v>
      </c>
      <c r="E102" s="58">
        <v>1.7326732673266999E-2</v>
      </c>
    </row>
    <row r="103" spans="2:5" ht="15" customHeight="1">
      <c r="B103" s="84" t="s">
        <v>83</v>
      </c>
      <c r="C103" s="62" t="s">
        <v>129</v>
      </c>
      <c r="D103" s="63">
        <v>1</v>
      </c>
      <c r="E103" s="64">
        <v>2.475247524752E-3</v>
      </c>
    </row>
    <row r="104" spans="2:5" ht="15" customHeight="1">
      <c r="B104" s="86" t="s">
        <v>152</v>
      </c>
      <c r="C104" s="56" t="s">
        <v>28</v>
      </c>
      <c r="D104" s="57">
        <v>1</v>
      </c>
      <c r="E104" s="58">
        <v>2.475247524752E-3</v>
      </c>
    </row>
    <row r="105" spans="2:5" ht="15" customHeight="1">
      <c r="B105" s="95" t="s">
        <v>28</v>
      </c>
      <c r="C105" s="96"/>
      <c r="D105" s="54">
        <v>404</v>
      </c>
      <c r="E105" s="55">
        <v>1</v>
      </c>
    </row>
    <row r="106" spans="2:5" ht="15" customHeight="1"/>
    <row r="107" spans="2:5" ht="15" customHeight="1">
      <c r="B107" s="15" t="s">
        <v>46</v>
      </c>
    </row>
    <row r="108" spans="2:5" ht="15" customHeight="1">
      <c r="B108" s="17" t="s">
        <v>17</v>
      </c>
    </row>
    <row r="109" spans="2:5" ht="15" customHeight="1">
      <c r="B109" s="16" t="s">
        <v>47</v>
      </c>
    </row>
    <row r="110" spans="2:5" ht="15" customHeight="1">
      <c r="B110" s="15" t="s">
        <v>16</v>
      </c>
    </row>
    <row r="111" spans="2:5" ht="15" customHeight="1">
      <c r="B111" s="15" t="s">
        <v>48</v>
      </c>
    </row>
  </sheetData>
  <mergeCells count="37">
    <mergeCell ref="B55:B56"/>
    <mergeCell ref="B57:B58"/>
    <mergeCell ref="B59:B61"/>
    <mergeCell ref="B62:B63"/>
    <mergeCell ref="B64:B66"/>
    <mergeCell ref="B8:E10"/>
    <mergeCell ref="B26:B28"/>
    <mergeCell ref="B29:B31"/>
    <mergeCell ref="B32:B33"/>
    <mergeCell ref="B34:B36"/>
    <mergeCell ref="B13:B14"/>
    <mergeCell ref="B15:B17"/>
    <mergeCell ref="B18:B19"/>
    <mergeCell ref="B20:B22"/>
    <mergeCell ref="B23:B25"/>
    <mergeCell ref="B49:B51"/>
    <mergeCell ref="B52:B54"/>
    <mergeCell ref="B44:B46"/>
    <mergeCell ref="B47:B48"/>
    <mergeCell ref="B37:B39"/>
    <mergeCell ref="B40:B41"/>
    <mergeCell ref="B42:B43"/>
    <mergeCell ref="B103:B104"/>
    <mergeCell ref="B105:C105"/>
    <mergeCell ref="B67:B69"/>
    <mergeCell ref="B70:B72"/>
    <mergeCell ref="B73:B74"/>
    <mergeCell ref="B75:B77"/>
    <mergeCell ref="B78:B79"/>
    <mergeCell ref="B80:B82"/>
    <mergeCell ref="B83:B84"/>
    <mergeCell ref="B100:B102"/>
    <mergeCell ref="B85:B87"/>
    <mergeCell ref="B88:B90"/>
    <mergeCell ref="B91:B93"/>
    <mergeCell ref="B94:B96"/>
    <mergeCell ref="B97:B9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3"/>
  <sheetViews>
    <sheetView showGridLines="0" view="pageBreakPreview" topLeftCell="A9" zoomScaleNormal="98" zoomScaleSheetLayoutView="100" workbookViewId="0">
      <selection activeCell="A14" sqref="A14:XFD27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7.72656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5.72656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0"/>
    </row>
    <row r="8" spans="2:7" s="13" customFormat="1" ht="15" customHeight="1">
      <c r="B8" s="83" t="s">
        <v>33</v>
      </c>
      <c r="C8" s="83"/>
      <c r="D8" s="83"/>
      <c r="E8" s="83"/>
      <c r="F8" s="83"/>
    </row>
    <row r="9" spans="2:7" s="13" customFormat="1" ht="15" customHeight="1">
      <c r="B9" s="83"/>
      <c r="C9" s="83"/>
      <c r="D9" s="83"/>
      <c r="E9" s="83"/>
      <c r="F9" s="83"/>
      <c r="G9" s="49"/>
    </row>
    <row r="10" spans="2:7" s="13" customFormat="1" ht="15" customHeight="1">
      <c r="B10" s="83"/>
      <c r="C10" s="83"/>
      <c r="D10" s="83"/>
      <c r="E10" s="83"/>
      <c r="F10" s="83"/>
    </row>
    <row r="11" spans="2:7" s="13" customFormat="1" ht="21.5" customHeight="1">
      <c r="B11" s="52"/>
      <c r="C11" s="52"/>
      <c r="D11" s="52"/>
      <c r="E11" s="52"/>
      <c r="F11" s="52"/>
    </row>
    <row r="12" spans="2:7" s="13" customFormat="1" ht="2" customHeight="1">
      <c r="B12" s="72"/>
      <c r="C12" s="72"/>
      <c r="D12" s="72"/>
      <c r="E12" s="72"/>
      <c r="F12" s="72"/>
    </row>
    <row r="13" spans="2:7" s="13" customFormat="1" ht="44.5" customHeight="1">
      <c r="B13" s="65" t="s">
        <v>29</v>
      </c>
      <c r="C13" s="65" t="s">
        <v>32</v>
      </c>
      <c r="D13" s="65" t="s">
        <v>19</v>
      </c>
      <c r="E13" s="65" t="s">
        <v>31</v>
      </c>
      <c r="F13" s="65" t="s">
        <v>30</v>
      </c>
    </row>
    <row r="14" spans="2:7" ht="15" customHeight="1">
      <c r="B14" s="91" t="s">
        <v>130</v>
      </c>
      <c r="C14" s="62" t="s">
        <v>179</v>
      </c>
      <c r="D14" s="63">
        <v>1</v>
      </c>
      <c r="E14" s="64">
        <v>5.0761421319800003E-3</v>
      </c>
      <c r="F14" s="64">
        <v>2.475247524752E-3</v>
      </c>
    </row>
    <row r="15" spans="2:7" ht="15" customHeight="1">
      <c r="B15" s="91"/>
      <c r="C15" s="62" t="s">
        <v>180</v>
      </c>
      <c r="D15" s="63">
        <v>37</v>
      </c>
      <c r="E15" s="64">
        <v>0.18781725888324899</v>
      </c>
      <c r="F15" s="64">
        <v>9.1584158415841999E-2</v>
      </c>
    </row>
    <row r="16" spans="2:7" ht="15" customHeight="1">
      <c r="B16" s="91"/>
      <c r="C16" s="62" t="s">
        <v>181</v>
      </c>
      <c r="D16" s="63">
        <v>59</v>
      </c>
      <c r="E16" s="64">
        <v>0.29949238578680198</v>
      </c>
      <c r="F16" s="64">
        <v>0.146039603960396</v>
      </c>
    </row>
    <row r="17" spans="2:6" ht="15" customHeight="1">
      <c r="B17" s="91"/>
      <c r="C17" s="62" t="s">
        <v>182</v>
      </c>
      <c r="D17" s="63">
        <v>66</v>
      </c>
      <c r="E17" s="64">
        <v>0.33502538071066001</v>
      </c>
      <c r="F17" s="64">
        <v>0.16336633663366301</v>
      </c>
    </row>
    <row r="18" spans="2:6" ht="15" customHeight="1">
      <c r="B18" s="91"/>
      <c r="C18" s="62" t="s">
        <v>183</v>
      </c>
      <c r="D18" s="63">
        <v>31</v>
      </c>
      <c r="E18" s="64">
        <v>0.157360406091371</v>
      </c>
      <c r="F18" s="64">
        <v>7.6732673267326995E-2</v>
      </c>
    </row>
    <row r="19" spans="2:6" ht="15" customHeight="1">
      <c r="B19" s="91"/>
      <c r="C19" s="62" t="s">
        <v>184</v>
      </c>
      <c r="D19" s="63">
        <v>1</v>
      </c>
      <c r="E19" s="64">
        <v>5.0761421319800003E-3</v>
      </c>
      <c r="F19" s="64">
        <v>2.475247524752E-3</v>
      </c>
    </row>
    <row r="20" spans="2:6" ht="15" customHeight="1">
      <c r="B20" s="91"/>
      <c r="C20" s="62" t="s">
        <v>185</v>
      </c>
      <c r="D20" s="63">
        <v>2</v>
      </c>
      <c r="E20" s="64">
        <v>1.0152284263959E-2</v>
      </c>
      <c r="F20" s="64">
        <v>4.950495049505E-3</v>
      </c>
    </row>
    <row r="21" spans="2:6" ht="15" customHeight="1">
      <c r="B21" s="91" t="s">
        <v>129</v>
      </c>
      <c r="C21" s="62" t="s">
        <v>180</v>
      </c>
      <c r="D21" s="63">
        <v>54</v>
      </c>
      <c r="E21" s="64">
        <v>0.26086956521739102</v>
      </c>
      <c r="F21" s="64">
        <v>0.133663366336634</v>
      </c>
    </row>
    <row r="22" spans="2:6" ht="15" customHeight="1">
      <c r="B22" s="91"/>
      <c r="C22" s="62" t="s">
        <v>181</v>
      </c>
      <c r="D22" s="63">
        <v>70</v>
      </c>
      <c r="E22" s="64">
        <v>0.33816425120772903</v>
      </c>
      <c r="F22" s="64">
        <v>0.173267326732673</v>
      </c>
    </row>
    <row r="23" spans="2:6" ht="15" customHeight="1">
      <c r="B23" s="91"/>
      <c r="C23" s="62" t="s">
        <v>182</v>
      </c>
      <c r="D23" s="63">
        <v>48</v>
      </c>
      <c r="E23" s="64">
        <v>0.231884057971015</v>
      </c>
      <c r="F23" s="64">
        <v>0.118811881188119</v>
      </c>
    </row>
    <row r="24" spans="2:6" ht="15" customHeight="1">
      <c r="B24" s="91"/>
      <c r="C24" s="62" t="s">
        <v>183</v>
      </c>
      <c r="D24" s="63">
        <v>31</v>
      </c>
      <c r="E24" s="64">
        <v>0.14975845410628</v>
      </c>
      <c r="F24" s="64">
        <v>7.6732673267326995E-2</v>
      </c>
    </row>
    <row r="25" spans="2:6" ht="15" customHeight="1">
      <c r="B25" s="91"/>
      <c r="C25" s="62" t="s">
        <v>184</v>
      </c>
      <c r="D25" s="63">
        <v>3</v>
      </c>
      <c r="E25" s="64">
        <v>1.4492753623188E-2</v>
      </c>
      <c r="F25" s="64">
        <v>7.4257425742570004E-3</v>
      </c>
    </row>
    <row r="26" spans="2:6" ht="15" customHeight="1">
      <c r="B26" s="91"/>
      <c r="C26" s="62" t="s">
        <v>186</v>
      </c>
      <c r="D26" s="63">
        <v>1</v>
      </c>
      <c r="E26" s="64">
        <v>4.8309178743959997E-3</v>
      </c>
      <c r="F26" s="64">
        <v>2.475247524752E-3</v>
      </c>
    </row>
    <row r="27" spans="2:6" ht="15" customHeight="1">
      <c r="B27" s="92" t="s">
        <v>28</v>
      </c>
      <c r="C27" s="92"/>
      <c r="D27" s="54">
        <v>404</v>
      </c>
      <c r="E27" s="55">
        <v>1</v>
      </c>
      <c r="F27" s="55">
        <v>1</v>
      </c>
    </row>
    <row r="28" spans="2:6" ht="15" customHeight="1"/>
    <row r="29" spans="2:6" ht="15" customHeight="1">
      <c r="B29" s="15" t="s">
        <v>46</v>
      </c>
    </row>
    <row r="30" spans="2:6" ht="15" customHeight="1">
      <c r="B30" s="17" t="s">
        <v>17</v>
      </c>
    </row>
    <row r="31" spans="2:6" ht="15" customHeight="1">
      <c r="B31" s="16" t="s">
        <v>47</v>
      </c>
    </row>
    <row r="32" spans="2:6" ht="15" customHeight="1">
      <c r="B32" s="15" t="s">
        <v>16</v>
      </c>
    </row>
    <row r="33" spans="2:2" ht="15" customHeight="1">
      <c r="B33" s="15" t="s">
        <v>48</v>
      </c>
    </row>
  </sheetData>
  <mergeCells count="4">
    <mergeCell ref="B8:F10"/>
    <mergeCell ref="B14:B20"/>
    <mergeCell ref="B27:C27"/>
    <mergeCell ref="B21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42"/>
  <sheetViews>
    <sheetView showGridLines="0" view="pageBreakPreview" topLeftCell="A4" zoomScale="115" zoomScaleNormal="100" zoomScaleSheetLayoutView="115" workbookViewId="0">
      <selection activeCell="E11" sqref="E11"/>
    </sheetView>
  </sheetViews>
  <sheetFormatPr baseColWidth="10" defaultColWidth="11.453125" defaultRowHeight="14.5"/>
  <cols>
    <col min="1" max="1" width="9.26953125" style="13" customWidth="1"/>
    <col min="2" max="2" width="30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3" t="s">
        <v>213</v>
      </c>
      <c r="C7" s="83"/>
      <c r="D7" s="83"/>
    </row>
    <row r="8" spans="2:4" s="25" customFormat="1" ht="15" customHeight="1">
      <c r="B8" s="83"/>
      <c r="C8" s="83"/>
      <c r="D8" s="83"/>
    </row>
    <row r="9" spans="2:4" s="25" customFormat="1" ht="33" customHeight="1">
      <c r="B9" s="83"/>
      <c r="C9" s="83"/>
      <c r="D9" s="83"/>
    </row>
    <row r="10" spans="2:4" s="25" customFormat="1" ht="4.5" customHeight="1">
      <c r="B10" s="29"/>
      <c r="C10" s="29"/>
      <c r="D10" s="29"/>
    </row>
    <row r="11" spans="2:4" s="25" customFormat="1" ht="26.25" customHeight="1">
      <c r="B11" s="28" t="s">
        <v>34</v>
      </c>
      <c r="C11" s="27" t="s">
        <v>19</v>
      </c>
      <c r="D11" s="26" t="s">
        <v>18</v>
      </c>
    </row>
    <row r="12" spans="2:4">
      <c r="B12" s="23" t="s">
        <v>187</v>
      </c>
      <c r="C12" s="22">
        <v>227</v>
      </c>
      <c r="D12" s="21">
        <v>0.56188118811881205</v>
      </c>
    </row>
    <row r="13" spans="2:4">
      <c r="B13" s="23" t="s">
        <v>188</v>
      </c>
      <c r="C13" s="22">
        <v>86</v>
      </c>
      <c r="D13" s="21">
        <v>0.212871287128713</v>
      </c>
    </row>
    <row r="14" spans="2:4">
      <c r="B14" s="23" t="s">
        <v>189</v>
      </c>
      <c r="C14" s="22">
        <v>18</v>
      </c>
      <c r="D14" s="21">
        <v>4.4554455445545003E-2</v>
      </c>
    </row>
    <row r="15" spans="2:4" ht="28">
      <c r="B15" s="23" t="s">
        <v>190</v>
      </c>
      <c r="C15" s="22">
        <v>15</v>
      </c>
      <c r="D15" s="21">
        <v>3.7128712871287002E-2</v>
      </c>
    </row>
    <row r="16" spans="2:4" ht="28">
      <c r="B16" s="23" t="s">
        <v>191</v>
      </c>
      <c r="C16" s="22">
        <v>10</v>
      </c>
      <c r="D16" s="21">
        <v>2.4752475247525E-2</v>
      </c>
    </row>
    <row r="17" spans="2:4">
      <c r="B17" s="23" t="s">
        <v>192</v>
      </c>
      <c r="C17" s="22">
        <v>10</v>
      </c>
      <c r="D17" s="21">
        <v>2.4752475247525E-2</v>
      </c>
    </row>
    <row r="18" spans="2:4" ht="28">
      <c r="B18" s="23" t="s">
        <v>193</v>
      </c>
      <c r="C18" s="22">
        <v>9</v>
      </c>
      <c r="D18" s="21">
        <v>2.2277227722771999E-2</v>
      </c>
    </row>
    <row r="19" spans="2:4">
      <c r="B19" s="23" t="s">
        <v>194</v>
      </c>
      <c r="C19" s="22">
        <v>4</v>
      </c>
      <c r="D19" s="21">
        <v>9.90099009901E-3</v>
      </c>
    </row>
    <row r="20" spans="2:4">
      <c r="B20" s="23" t="s">
        <v>195</v>
      </c>
      <c r="C20" s="22">
        <v>4</v>
      </c>
      <c r="D20" s="21">
        <v>9.90099009901E-3</v>
      </c>
    </row>
    <row r="21" spans="2:4">
      <c r="B21" s="23" t="s">
        <v>196</v>
      </c>
      <c r="C21" s="22">
        <v>3</v>
      </c>
      <c r="D21" s="21">
        <v>7.4257425742570004E-3</v>
      </c>
    </row>
    <row r="22" spans="2:4">
      <c r="B22" s="23" t="s">
        <v>197</v>
      </c>
      <c r="C22" s="22">
        <v>2</v>
      </c>
      <c r="D22" s="21">
        <v>4.950495049505E-3</v>
      </c>
    </row>
    <row r="23" spans="2:4">
      <c r="B23" s="23" t="s">
        <v>198</v>
      </c>
      <c r="C23" s="22">
        <v>2</v>
      </c>
      <c r="D23" s="21">
        <v>4.950495049505E-3</v>
      </c>
    </row>
    <row r="24" spans="2:4">
      <c r="B24" s="23" t="s">
        <v>199</v>
      </c>
      <c r="C24" s="22">
        <v>2</v>
      </c>
      <c r="D24" s="21">
        <v>4.950495049505E-3</v>
      </c>
    </row>
    <row r="25" spans="2:4">
      <c r="B25" s="23" t="s">
        <v>200</v>
      </c>
      <c r="C25" s="22">
        <v>2</v>
      </c>
      <c r="D25" s="21">
        <v>4.950495049505E-3</v>
      </c>
    </row>
    <row r="26" spans="2:4">
      <c r="B26" s="23" t="s">
        <v>201</v>
      </c>
      <c r="C26" s="22">
        <v>1</v>
      </c>
      <c r="D26" s="21">
        <v>2.475247524752E-3</v>
      </c>
    </row>
    <row r="27" spans="2:4">
      <c r="B27" s="23" t="s">
        <v>202</v>
      </c>
      <c r="C27" s="22">
        <v>1</v>
      </c>
      <c r="D27" s="21">
        <v>2.475247524752E-3</v>
      </c>
    </row>
    <row r="28" spans="2:4">
      <c r="B28" s="23" t="s">
        <v>203</v>
      </c>
      <c r="C28" s="22">
        <v>1</v>
      </c>
      <c r="D28" s="21">
        <v>2.475247524752E-3</v>
      </c>
    </row>
    <row r="29" spans="2:4" ht="28">
      <c r="B29" s="23" t="s">
        <v>204</v>
      </c>
      <c r="C29" s="22">
        <v>1</v>
      </c>
      <c r="D29" s="21">
        <v>2.475247524752E-3</v>
      </c>
    </row>
    <row r="30" spans="2:4">
      <c r="B30" s="23" t="s">
        <v>205</v>
      </c>
      <c r="C30" s="22">
        <v>1</v>
      </c>
      <c r="D30" s="21">
        <v>2.475247524752E-3</v>
      </c>
    </row>
    <row r="31" spans="2:4">
      <c r="B31" s="23" t="s">
        <v>206</v>
      </c>
      <c r="C31" s="22">
        <v>1</v>
      </c>
      <c r="D31" s="21">
        <v>2.475247524752E-3</v>
      </c>
    </row>
    <row r="32" spans="2:4">
      <c r="B32" s="23" t="s">
        <v>207</v>
      </c>
      <c r="C32" s="22">
        <v>1</v>
      </c>
      <c r="D32" s="21">
        <v>2.475247524752E-3</v>
      </c>
    </row>
    <row r="33" spans="2:4">
      <c r="B33" s="23" t="s">
        <v>208</v>
      </c>
      <c r="C33" s="22">
        <v>1</v>
      </c>
      <c r="D33" s="21">
        <v>2.475247524752E-3</v>
      </c>
    </row>
    <row r="34" spans="2:4">
      <c r="B34" s="23" t="s">
        <v>209</v>
      </c>
      <c r="C34" s="22">
        <v>1</v>
      </c>
      <c r="D34" s="21">
        <v>2.475247524752E-3</v>
      </c>
    </row>
    <row r="35" spans="2:4">
      <c r="B35" s="23" t="s">
        <v>210</v>
      </c>
      <c r="C35" s="22">
        <v>1</v>
      </c>
      <c r="D35" s="21">
        <v>2.475247524752E-3</v>
      </c>
    </row>
    <row r="36" spans="2:4">
      <c r="B36" s="20" t="s">
        <v>28</v>
      </c>
      <c r="C36" s="19">
        <v>404</v>
      </c>
      <c r="D36" s="18">
        <v>1</v>
      </c>
    </row>
    <row r="38" spans="2:4">
      <c r="B38" s="15" t="s">
        <v>46</v>
      </c>
    </row>
    <row r="39" spans="2:4">
      <c r="B39" s="17" t="s">
        <v>17</v>
      </c>
    </row>
    <row r="40" spans="2:4">
      <c r="B40" s="16" t="s">
        <v>47</v>
      </c>
    </row>
    <row r="41" spans="2:4">
      <c r="B41" s="15" t="s">
        <v>16</v>
      </c>
    </row>
    <row r="42" spans="2:4">
      <c r="B42" s="15" t="s">
        <v>48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Baja California Sur_EdoUsa</vt:lpstr>
      <vt:lpstr>Baja California Sur_Cons</vt:lpstr>
      <vt:lpstr>Baja California SurXCons</vt:lpstr>
      <vt:lpstr>Baja California Sur_EdoMun</vt:lpstr>
      <vt:lpstr>Baja California Sur_USAMuni</vt:lpstr>
      <vt:lpstr>Baja California Sur_MUNICIPIO</vt:lpstr>
      <vt:lpstr>Baja California Sur_educ_gral</vt:lpstr>
      <vt:lpstr>Baja California Sur_NivelE_Cons</vt:lpstr>
      <vt:lpstr>Baja California Sur_EducCons</vt:lpstr>
      <vt:lpstr>Baja California Sur_GenGral</vt:lpstr>
      <vt:lpstr>Baja California Sur_GENERO</vt:lpstr>
      <vt:lpstr>Baja California Sur_GENERO_EUA</vt:lpstr>
      <vt:lpstr>Baja California Sur_Gen_Edad</vt:lpstr>
      <vt:lpstr>Baja California Sur_ocup_gral</vt:lpstr>
      <vt:lpstr>'Baja California Sur_Cons'!Área_de_impresión</vt:lpstr>
      <vt:lpstr>'Baja California Sur_educ_gral'!Área_de_impresión</vt:lpstr>
      <vt:lpstr>'Baja California Sur_EducCons'!Área_de_impresión</vt:lpstr>
      <vt:lpstr>'Baja California Sur_Gen_Edad'!Área_de_impresión</vt:lpstr>
      <vt:lpstr>'Baja California Sur_GENERO'!Área_de_impresión</vt:lpstr>
      <vt:lpstr>'Baja California Sur_GENERO_EUA'!Área_de_impresión</vt:lpstr>
      <vt:lpstr>'Baja California Sur_MUNICIPIO'!Área_de_impresión</vt:lpstr>
      <vt:lpstr>'Baja California Sur_NivelE_Cons'!Área_de_impresión</vt:lpstr>
      <vt:lpstr>'Baja California Sur_USAMuni'!Área_de_impresión</vt:lpstr>
      <vt:lpstr>'Baja California SurXCons'!Área_de_impresión</vt:lpstr>
      <vt:lpstr>'Baja California Sur_Cons'!Títulos_a_imprimir</vt:lpstr>
      <vt:lpstr>'Baja California Sur_EdoMun'!Títulos_a_imprimir</vt:lpstr>
      <vt:lpstr>'Baja California Sur_EdoUsa'!Títulos_a_imprimir</vt:lpstr>
      <vt:lpstr>'Baja California Sur_educ_gral'!Títulos_a_imprimir</vt:lpstr>
      <vt:lpstr>'Baja California Sur_EducCons'!Títulos_a_imprimir</vt:lpstr>
      <vt:lpstr>'Baja California Sur_Gen_Edad'!Títulos_a_imprimir</vt:lpstr>
      <vt:lpstr>'Baja California Sur_GENERO'!Títulos_a_imprimir</vt:lpstr>
      <vt:lpstr>'Baja California Sur_GENERO_EUA'!Títulos_a_imprimir</vt:lpstr>
      <vt:lpstr>'Baja California Sur_GenGral'!Títulos_a_imprimir</vt:lpstr>
      <vt:lpstr>'Baja California Sur_MUNICIPIO'!Títulos_a_imprimir</vt:lpstr>
      <vt:lpstr>'Baja California Sur_NivelE_Cons'!Títulos_a_imprimir</vt:lpstr>
      <vt:lpstr>'Baja California Sur_ocup_gral'!Títulos_a_imprimir</vt:lpstr>
      <vt:lpstr>'Baja California Sur_USAMuni'!Títulos_a_imprimir</vt:lpstr>
      <vt:lpstr>'Baja California SurXCons'!Títulos_a_imprimir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2020-06-02T19:13:30Z</dcterms:created>
  <dcterms:modified xsi:type="dcterms:W3CDTF">2024-12-23T18:57:15Z</dcterms:modified>
</cp:coreProperties>
</file>