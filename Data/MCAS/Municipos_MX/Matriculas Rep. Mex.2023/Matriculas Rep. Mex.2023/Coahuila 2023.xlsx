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3\República Mexicana\Finales_RM\"/>
    </mc:Choice>
  </mc:AlternateContent>
  <xr:revisionPtr revIDLastSave="0" documentId="13_ncr:1_{054925AE-1EAF-4998-B8EF-D12557810A22}" xr6:coauthVersionLast="47" xr6:coauthVersionMax="47" xr10:uidLastSave="{00000000-0000-0000-0000-000000000000}"/>
  <bookViews>
    <workbookView xWindow="-110" yWindow="-110" windowWidth="19420" windowHeight="10420" tabRatio="849" xr2:uid="{00000000-000D-0000-FFFF-FFFF00000000}"/>
  </bookViews>
  <sheets>
    <sheet name="Índice" sheetId="1" r:id="rId1"/>
    <sheet name="Coahuila_EdoUsa" sheetId="2" r:id="rId2"/>
    <sheet name="Coahuila_Cons" sheetId="18" r:id="rId3"/>
    <sheet name="CoahuilaXCons" sheetId="19" r:id="rId4"/>
    <sheet name="Coahuila_EdoMun" sheetId="5" r:id="rId5"/>
    <sheet name="Coahuila_USAMuni" sheetId="6" r:id="rId6"/>
    <sheet name="Coahuila_MUNICIPIO" sheetId="11" r:id="rId7"/>
    <sheet name="Coahuila_educ_gral" sheetId="7" r:id="rId8"/>
    <sheet name="Coahuila_NivelE_Cons" sheetId="8" r:id="rId9"/>
    <sheet name="Coahuila_EducCons" sheetId="9" r:id="rId10"/>
    <sheet name="Coahuila_GenGral" sheetId="12" r:id="rId11"/>
    <sheet name="Coahuila_GENERO" sheetId="13" r:id="rId12"/>
    <sheet name="Coahuila_GENERO_EUA" sheetId="20" r:id="rId13"/>
    <sheet name="Coahuila_Gen_Edad" sheetId="16" r:id="rId14"/>
    <sheet name="Coahuila_ocup_gral" sheetId="17" r:id="rId15"/>
  </sheets>
  <definedNames>
    <definedName name="_xlnm._FilterDatabase" localSheetId="2" hidden="1">Coahuila_Cons!$B$11:$D$11</definedName>
    <definedName name="_xlnm._FilterDatabase" localSheetId="4" hidden="1">Coahuila_EdoMun!$B$11:$D$11</definedName>
    <definedName name="_xlnm._FilterDatabase" localSheetId="1" hidden="1">Coahuila_EdoUsa!$B$11:$D$11</definedName>
    <definedName name="_xlnm._FilterDatabase" localSheetId="7" hidden="1">Coahuila_educ_gral!$B$11:$D$11</definedName>
    <definedName name="_xlnm._FilterDatabase" localSheetId="9" hidden="1">Coahuila_EducCons!$B$9:$E$9</definedName>
    <definedName name="_xlnm._FilterDatabase" localSheetId="11" hidden="1">Coahuila_GENERO!$C$12:$E$12</definedName>
    <definedName name="_xlnm._FilterDatabase" localSheetId="12" hidden="1">Coahuila_GENERO_EUA!$C$12:$E$12</definedName>
    <definedName name="_xlnm._FilterDatabase" localSheetId="10" hidden="1">Coahuila_GenGral!$B$11:$D$11</definedName>
    <definedName name="_xlnm._FilterDatabase" localSheetId="6" hidden="1">Coahuila_MUNICIPIO!$B$9:$E$9</definedName>
    <definedName name="_xlnm._FilterDatabase" localSheetId="8" hidden="1">Coahuila_NivelE_Cons!$B$9:$E$9</definedName>
    <definedName name="_xlnm._FilterDatabase" localSheetId="14" hidden="1">Coahuila_ocup_gral!$B$11:$D$11</definedName>
    <definedName name="_xlnm._FilterDatabase" localSheetId="5" hidden="1">Coahuila_USAMuni!$B$9:$E$9</definedName>
    <definedName name="_xlnm._FilterDatabase" localSheetId="3" hidden="1">CoahuilaXCons!$B$11:$D$11</definedName>
    <definedName name="_xlnm.Print_Area" localSheetId="7">Coahuila_educ_gral!$A$1:$F$42</definedName>
    <definedName name="_xlnm.Print_Area" localSheetId="9">Coahuila_EducCons!$A$1:$E$715</definedName>
    <definedName name="_xlnm.Print_Area" localSheetId="12">Coahuila_GENERO_EUA!$A$1:$G$148</definedName>
    <definedName name="_xlnm.Print_Area" localSheetId="10">Coahuila_GenGral!$A$1:$F$20</definedName>
    <definedName name="_xlnm.Print_Area" localSheetId="6">Coahuila_MUNICIPIO!$A$1:$E$813</definedName>
    <definedName name="_xlnm.Print_Area" localSheetId="8">Coahuila_NivelE_Cons!$A$1:$E$508</definedName>
    <definedName name="_xlnm.Print_Area" localSheetId="5">Coahuila_USAMuni!$A$1:$E$602</definedName>
    <definedName name="_xlnm.Print_Area" localSheetId="3">CoahuilaXCons!$A$1:$F$29</definedName>
    <definedName name="_xlnm.Print_Titles" localSheetId="2">Coahuila_Cons!$1:$11</definedName>
    <definedName name="_xlnm.Print_Titles" localSheetId="4">Coahuila_EdoMun!$1:$11</definedName>
    <definedName name="_xlnm.Print_Titles" localSheetId="1">Coahuila_EdoUsa!$1:$11</definedName>
    <definedName name="_xlnm.Print_Titles" localSheetId="7">Coahuila_educ_gral!$1:$11</definedName>
    <definedName name="_xlnm.Print_Titles" localSheetId="9">Coahuila_EducCons!$1:$9</definedName>
    <definedName name="_xlnm.Print_Titles" localSheetId="13">Coahuila_Gen_Edad!$1:$12</definedName>
    <definedName name="_xlnm.Print_Titles" localSheetId="11">Coahuila_GENERO!$1:$12</definedName>
    <definedName name="_xlnm.Print_Titles" localSheetId="12">Coahuila_GENERO_EUA!$1:$12</definedName>
    <definedName name="_xlnm.Print_Titles" localSheetId="10">Coahuila_GenGral!$1:$11</definedName>
    <definedName name="_xlnm.Print_Titles" localSheetId="6">Coahuila_MUNICIPIO!$1:$9</definedName>
    <definedName name="_xlnm.Print_Titles" localSheetId="8">Coahuila_NivelE_Cons!$1:$9</definedName>
    <definedName name="_xlnm.Print_Titles" localSheetId="14">Coahuila_ocup_gral!$1:$11</definedName>
    <definedName name="_xlnm.Print_Titles" localSheetId="5">Coahuila_USAMuni!$1:$9</definedName>
    <definedName name="_xlnm.Print_Titles" localSheetId="3">CoahuilaXCons!$1:$11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19" l="1"/>
  <c r="D22" i="19" l="1"/>
  <c r="D17" i="19"/>
  <c r="D19" i="19"/>
  <c r="D18" i="19"/>
  <c r="D12" i="19"/>
  <c r="D14" i="19"/>
  <c r="D20" i="19"/>
  <c r="D13" i="19"/>
  <c r="D15" i="19"/>
  <c r="D16" i="19"/>
  <c r="D21" i="19"/>
</calcChain>
</file>

<file path=xl/sharedStrings.xml><?xml version="1.0" encoding="utf-8"?>
<sst xmlns="http://schemas.openxmlformats.org/spreadsheetml/2006/main" count="3599" uniqueCount="354">
  <si>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</si>
  <si>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</si>
  <si>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</si>
  <si>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</si>
  <si>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</si>
  <si>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</si>
  <si>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</si>
  <si>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</si>
  <si>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</si>
  <si>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</si>
  <si>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</si>
  <si>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</si>
  <si>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</si>
  <si>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</si>
  <si>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</si>
  <si>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</si>
  <si>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</si>
  <si>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</si>
  <si>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</si>
  <si>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</si>
  <si>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</si>
  <si>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</si>
  <si>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</si>
  <si>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</si>
  <si>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</si>
  <si>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</si>
  <si>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</si>
  <si>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</si>
  <si>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</si>
  <si>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Género</t>
  </si>
  <si>
    <t>Porcentaje con respecto al total de Matrículas</t>
  </si>
  <si>
    <t>Porcentaje con respecto al Género</t>
  </si>
  <si>
    <t>Edad Cumplida</t>
  </si>
  <si>
    <t>MATRÍCULAS CONSULARES EXPEDIDAS A ORIGINARIOS DE COAHUILA POR GÉNERO Y EDAD EN EE.UU.</t>
  </si>
  <si>
    <t>Ocupación</t>
  </si>
  <si>
    <t>5.2 Por Circunscripción Consular</t>
  </si>
  <si>
    <t>5.3 Por Estado de la Unión Americana</t>
  </si>
  <si>
    <t>MATRÍCULAS CONSULARES DE ALTA SEGURIDAD EXPEDIDAS A ORIGINARIOS DE COAHUILA EN LOS CONSULADOS DE MÉXICO EN EE.UU.</t>
  </si>
  <si>
    <t>MATRÍCULAS CONSULARES EXPEDIDAS A ORIGINARIOS DE COAHUILA POR GÉNERO EN EE.UU</t>
  </si>
  <si>
    <t>MATRÍCULAS CONSULARES EXPEDIDAS EN EE.UU. A ORIGINARIOS DE COAHUILA POR NIVEL DE EDUCACIÓN</t>
  </si>
  <si>
    <t xml:space="preserve">MATRÍCULAS CONSULARES EXPEDIDAS A ORIGINARIOS DE COAHUILA POR GÉNERO Y CONSULADO </t>
  </si>
  <si>
    <t>MATRÍCULAS CONSULARES EXPEDIDAS A ORIGINARIOS DE COAHUILA POR GÉNERO Y POR ESTADO DE LA UNIÓN AMERICANA</t>
  </si>
  <si>
    <t xml:space="preserve">MATRÍCULAS CONSULARES DE ALTA SEGURIDAD EXPEDIDAS POR MUNICIPIO A ORIGINARIOS DEL ESTADO DE COAHUILA EN LOS CONSULADOS DE MÉXICO EN EE.UU. </t>
  </si>
  <si>
    <t>MATRÍCULAS CONSULARES DE ALTA SEGURIDAD EXPEDIDAS A ORIGINARIOS DE COAHUILA POR ESTADO DE LA UNIÓN AMERICANA</t>
  </si>
  <si>
    <t>LOS 10 CONSULADOS  DE MÉXICO EN EE.UU., CON MAYOR NÚMERO DE EXPEDICIÓN DE  MATRÍCULAS CONSULARES DE ALTA SEGURIDAD A ORIGINARIOS DE COAHUILA</t>
  </si>
  <si>
    <t>TOTAL TOP 10</t>
  </si>
  <si>
    <t>TOTAL GENERAL</t>
  </si>
  <si>
    <t>Matrículas consulares expedidas a originarios de Coahuila en el 2023</t>
  </si>
  <si>
    <t>DALLAS</t>
  </si>
  <si>
    <t>SAN ANTONIO</t>
  </si>
  <si>
    <t>HOUSTON</t>
  </si>
  <si>
    <t>AUSTIN</t>
  </si>
  <si>
    <t>OKLAHOMA CITY</t>
  </si>
  <si>
    <t>CHICAGO</t>
  </si>
  <si>
    <t>KANSAS CITY</t>
  </si>
  <si>
    <t>LOS ANGELES</t>
  </si>
  <si>
    <t>EL PASO</t>
  </si>
  <si>
    <t>DENVER</t>
  </si>
  <si>
    <t>MCALLEN</t>
  </si>
  <si>
    <t>LITTLE ROCK</t>
  </si>
  <si>
    <t>ATLANTA</t>
  </si>
  <si>
    <t>RALEIGH</t>
  </si>
  <si>
    <t>SAINT PAUL</t>
  </si>
  <si>
    <t>ALBUQUERQUE</t>
  </si>
  <si>
    <t>PRESIDIO</t>
  </si>
  <si>
    <t>DEL RIO</t>
  </si>
  <si>
    <t>ORLANDO</t>
  </si>
  <si>
    <t>LAREDO</t>
  </si>
  <si>
    <t>MILWAUKEE</t>
  </si>
  <si>
    <t>LAS VEGAS</t>
  </si>
  <si>
    <t>SANTA ANA</t>
  </si>
  <si>
    <t>INDIANAPOLIS</t>
  </si>
  <si>
    <t>PHOENIX</t>
  </si>
  <si>
    <t>BROWNSVILLE</t>
  </si>
  <si>
    <t>OMAHA</t>
  </si>
  <si>
    <t>NUEVA ORLEANS</t>
  </si>
  <si>
    <t>MIAMI</t>
  </si>
  <si>
    <t>SAN BERNARDINO</t>
  </si>
  <si>
    <t>DETROIT</t>
  </si>
  <si>
    <t>EAGLE PASS</t>
  </si>
  <si>
    <t>FRESNO</t>
  </si>
  <si>
    <t>NUEVA YORK</t>
  </si>
  <si>
    <t>SAN JOSE</t>
  </si>
  <si>
    <t>SACRAMENTO</t>
  </si>
  <si>
    <t>FILADELFIA</t>
  </si>
  <si>
    <t>SALT LAKE CITY</t>
  </si>
  <si>
    <t>WASHINGTON</t>
  </si>
  <si>
    <t>SAN FRANCISCO</t>
  </si>
  <si>
    <t>BOISE</t>
  </si>
  <si>
    <t>SAN DIEGO</t>
  </si>
  <si>
    <t>OXNARD</t>
  </si>
  <si>
    <t>SEATTLE</t>
  </si>
  <si>
    <t>TUCSON</t>
  </si>
  <si>
    <t>BOSTON</t>
  </si>
  <si>
    <t>PORTLAND</t>
  </si>
  <si>
    <t>NOGALES</t>
  </si>
  <si>
    <t>YUMA</t>
  </si>
  <si>
    <t>Tamaño de la muestra: 789,030</t>
  </si>
  <si>
    <t>Elaborado por: Análisis de Información, Instituto de Mexicanas y Mexicanos en el Exterior</t>
  </si>
  <si>
    <t>Noviembre de 2024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</si>
  <si>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</si>
  <si>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</si>
  <si>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</si>
  <si>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</si>
  <si>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</si>
  <si>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</si>
  <si>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</si>
  <si>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</si>
  <si>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</si>
  <si>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</si>
  <si>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IDAHO</t>
  </si>
  <si>
    <t>ILLINOIS</t>
  </si>
  <si>
    <t>INDIANA</t>
  </si>
  <si>
    <t>IOWA</t>
  </si>
  <si>
    <t>KANSAS</t>
  </si>
  <si>
    <t>KENTUCKY</t>
  </si>
  <si>
    <t>LOUISIANA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</si>
  <si>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</si>
  <si>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</si>
  <si>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</si>
  <si>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</si>
  <si>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</si>
  <si>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</si>
  <si>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</si>
  <si>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</si>
  <si>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</si>
  <si>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</si>
  <si>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</si>
  <si>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</si>
  <si>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</si>
  <si>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</si>
  <si>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</si>
  <si>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</si>
  <si>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</si>
  <si>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</si>
  <si>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SOUTH CAROLINA</t>
  </si>
  <si>
    <t>SOUTH DAKOTA</t>
  </si>
  <si>
    <t>TENNESSEE</t>
  </si>
  <si>
    <t>TEXAS</t>
  </si>
  <si>
    <t>UTAH</t>
  </si>
  <si>
    <t>VERMONT</t>
  </si>
  <si>
    <t>VIRGINIA</t>
  </si>
  <si>
    <t>WISCONSIN</t>
  </si>
  <si>
    <t>WYOMING</t>
  </si>
  <si>
    <t>FEMENINO</t>
  </si>
  <si>
    <t>MASCULINO</t>
  </si>
  <si>
    <t>ALASKA Total</t>
  </si>
  <si>
    <t>ARIZONA Total</t>
  </si>
  <si>
    <t>ARKANSAS Total</t>
  </si>
  <si>
    <t>CALIFORNIA Total</t>
  </si>
  <si>
    <t>COLORADO Total</t>
  </si>
  <si>
    <t>CONNECTICUT Total</t>
  </si>
  <si>
    <t>DELAWARE Total</t>
  </si>
  <si>
    <t>FLORIDA Total</t>
  </si>
  <si>
    <t>GEORGIA Total</t>
  </si>
  <si>
    <t>IDAHO Total</t>
  </si>
  <si>
    <t>ILLINOIS Total</t>
  </si>
  <si>
    <t>INDIANA Total</t>
  </si>
  <si>
    <t>IOWA Total</t>
  </si>
  <si>
    <t>KANSAS Total</t>
  </si>
  <si>
    <t>KENTUCKY Total</t>
  </si>
  <si>
    <t>LOUISIANA Total</t>
  </si>
  <si>
    <t>MARYLAND Total</t>
  </si>
  <si>
    <t>MASSACHUSETTS Total</t>
  </si>
  <si>
    <t>MICHIGAN Total</t>
  </si>
  <si>
    <t>MINNESOTA Total</t>
  </si>
  <si>
    <t>MISSISSIPPI Total</t>
  </si>
  <si>
    <t>MISSOURI Total</t>
  </si>
  <si>
    <t>MONTANA Total</t>
  </si>
  <si>
    <t>NEBRASKA Total</t>
  </si>
  <si>
    <t>NEVADA Total</t>
  </si>
  <si>
    <t>NEW JERSEY Total</t>
  </si>
  <si>
    <t>NEW MEXICO Total</t>
  </si>
  <si>
    <t>NEW YORK Total</t>
  </si>
  <si>
    <t>NORTH CAROLINA Total</t>
  </si>
  <si>
    <t>NORTH DAKOTA Total</t>
  </si>
  <si>
    <t>OHIO Total</t>
  </si>
  <si>
    <t>OKLAHOMA Total</t>
  </si>
  <si>
    <t>OREGON Total</t>
  </si>
  <si>
    <t>PENNSYLVANIA Total</t>
  </si>
  <si>
    <t>SOUTH CAROLINA Total</t>
  </si>
  <si>
    <t>SOUTH DAKOTA Total</t>
  </si>
  <si>
    <t>TENNESSEE Total</t>
  </si>
  <si>
    <t>TEXAS Total</t>
  </si>
  <si>
    <t>UTAH Total</t>
  </si>
  <si>
    <t>VIRGINIA Total</t>
  </si>
  <si>
    <t>WASHINGTON Total</t>
  </si>
  <si>
    <t>WISCONSIN Total</t>
  </si>
  <si>
    <t>WYOMING Total</t>
  </si>
  <si>
    <t>ACUÑA</t>
  </si>
  <si>
    <t>CASTAÑOS</t>
  </si>
  <si>
    <t>CUATRO CIÉNEGAS</t>
  </si>
  <si>
    <t>ESCOBEDO</t>
  </si>
  <si>
    <t>MATAMOROS</t>
  </si>
  <si>
    <t>MONCLOVA</t>
  </si>
  <si>
    <t>MÚZQUIZ</t>
  </si>
  <si>
    <t>PARRAS</t>
  </si>
  <si>
    <t>PIEDRAS NEGRAS</t>
  </si>
  <si>
    <t>PROGRESO</t>
  </si>
  <si>
    <t>SABINAS</t>
  </si>
  <si>
    <t>SALTILLO</t>
  </si>
  <si>
    <t>SAN BUENAVENTURA</t>
  </si>
  <si>
    <t>SAN JUAN DE SABINAS</t>
  </si>
  <si>
    <t>SAN PEDRO</t>
  </si>
  <si>
    <t>TORREÓN</t>
  </si>
  <si>
    <t>CANDELA</t>
  </si>
  <si>
    <t>FRANCISCO I. MADERO</t>
  </si>
  <si>
    <t>FRONTERA</t>
  </si>
  <si>
    <t>RAMOS ARIZPE</t>
  </si>
  <si>
    <t>SIERRA MOJADA</t>
  </si>
  <si>
    <t>VIESCA</t>
  </si>
  <si>
    <t>ABASOLO</t>
  </si>
  <si>
    <t>OCAMPO</t>
  </si>
  <si>
    <t>GENERAL CEPEDA</t>
  </si>
  <si>
    <t>GUERRERO</t>
  </si>
  <si>
    <t>JIMÉNEZ</t>
  </si>
  <si>
    <t>ZARAGOZA</t>
  </si>
  <si>
    <t>JUÁREZ</t>
  </si>
  <si>
    <t>LAMADRID</t>
  </si>
  <si>
    <t>ALLENDE</t>
  </si>
  <si>
    <t>MORELOS</t>
  </si>
  <si>
    <t>VILLA UNIÓN</t>
  </si>
  <si>
    <t>ARTEAGA</t>
  </si>
  <si>
    <t>NO SE REGISTRÓ EL MUNICIPIO/CONDADO/ALCALDÍA DE NACIMIENTO</t>
  </si>
  <si>
    <t>HIDALGO</t>
  </si>
  <si>
    <t>NAVA</t>
  </si>
  <si>
    <t>NADADORES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</si>
  <si>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</si>
  <si>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</si>
  <si>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</si>
  <si>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</si>
  <si>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</si>
  <si>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</si>
  <si>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</si>
  <si>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</si>
  <si>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</si>
  <si>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</si>
  <si>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</si>
  <si>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</si>
  <si>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</si>
  <si>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</si>
  <si>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</si>
  <si>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</si>
  <si>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</si>
  <si>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</si>
  <si>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</si>
  <si>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</si>
  <si>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</si>
  <si>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</si>
  <si>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</si>
  <si>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</si>
  <si>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</si>
  <si>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</si>
  <si>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</si>
  <si>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</si>
  <si>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</si>
  <si>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</si>
  <si>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HASTA 10 AÑOS</t>
  </si>
  <si>
    <t>MAS DE 75 AÑOS</t>
  </si>
  <si>
    <t>EMPLEADO(A)</t>
  </si>
  <si>
    <t>HOGAR</t>
  </si>
  <si>
    <t>CONSTRUCCIÓN, TRAB. DE LA IND. DE LA</t>
  </si>
  <si>
    <t>OBRERO(A)</t>
  </si>
  <si>
    <t>ESTUDIANTE</t>
  </si>
  <si>
    <t>ALIMENTOS Y BEBIDAS, ESP. EN PREPARACIÓN DE</t>
  </si>
  <si>
    <t>PINTOR(A)</t>
  </si>
  <si>
    <t>JUBILADO(A)/PENSIONADO(A)</t>
  </si>
  <si>
    <t>PROFESIONISTA</t>
  </si>
  <si>
    <t>MESERO(A)</t>
  </si>
  <si>
    <t>MECÁNICO(A)</t>
  </si>
  <si>
    <t>LIMPIEZA, EMPLEADO DE</t>
  </si>
  <si>
    <t>VENDEDOR(A)</t>
  </si>
  <si>
    <t>JARDINERO(A)</t>
  </si>
  <si>
    <t>EMPRESARIO(A)</t>
  </si>
  <si>
    <t>SOLDADOR</t>
  </si>
  <si>
    <t>SIN ESPECIFICAR</t>
  </si>
  <si>
    <t>CARPINTERO/TAPICERO</t>
  </si>
  <si>
    <t>OPERARIO(A)</t>
  </si>
  <si>
    <t>AGROPECUARIA, TRAB. DE LA INDUSTRIA</t>
  </si>
  <si>
    <t>CHOFER</t>
  </si>
  <si>
    <t>DESEMPLEADO</t>
  </si>
  <si>
    <t>CAJERO(A)/COBRADOR(A)</t>
  </si>
  <si>
    <t>TÉCNICO(A) EN MANTENIMIENTO</t>
  </si>
  <si>
    <t>BELLEZA, PROFESIONAL DE SERVICIOS DE</t>
  </si>
  <si>
    <t>PROFESOR(A)</t>
  </si>
  <si>
    <t>CARNICERO(A)</t>
  </si>
  <si>
    <t>DISCAPACITADO</t>
  </si>
  <si>
    <t>SUPERVISOR(A)</t>
  </si>
  <si>
    <t>ADMINISTRADOR(A)/CONTADOR(A)</t>
  </si>
  <si>
    <t>DISEÑADOR(A)</t>
  </si>
  <si>
    <t>GERENTE/DIRECTOR(A)</t>
  </si>
  <si>
    <t>ENFERMERO(A)/TRAB. DE APOYO EN SALUD</t>
  </si>
  <si>
    <t>MINISTRO(A) RELIGIOSO(A)</t>
  </si>
  <si>
    <t>PROFESIONAL TÉCNICO</t>
  </si>
  <si>
    <t>TRABAJADOR(A) DOMÉSTICO(A)</t>
  </si>
  <si>
    <t>ARTISTA INTERPRETATIVO(A)</t>
  </si>
  <si>
    <t>COMERCIANTE</t>
  </si>
  <si>
    <t>AEROCOMERCIAL, TRAB. DE LA INDUSTRIA</t>
  </si>
  <si>
    <t>EXTRACCIÓN, TRAB. DE LA INDUSTRIA DE LA</t>
  </si>
  <si>
    <t>FOTÓGRAFO(A)</t>
  </si>
  <si>
    <t>AUTOR(A)/PERIODISTA/TRADUCTOR(A)</t>
  </si>
  <si>
    <t>AUXILIARES ADMINISTRATIVOS Y DE OFICINA</t>
  </si>
  <si>
    <t>INGENIERO(A)</t>
  </si>
  <si>
    <t>INVESTIGADOR(A)</t>
  </si>
  <si>
    <t>MISIONERO(A)</t>
  </si>
  <si>
    <t>POLICÍA/ SERV. SEGURIDAD Y PROTECCIÓN</t>
  </si>
  <si>
    <t>SERVIDOR(A) PÚBLICO(A)</t>
  </si>
  <si>
    <t>ATLANTA Total</t>
  </si>
  <si>
    <t>AUSTIN Total</t>
  </si>
  <si>
    <t>BOISE Total</t>
  </si>
  <si>
    <t>BOSTON Total</t>
  </si>
  <si>
    <t>BROWNSVILLE Total</t>
  </si>
  <si>
    <t>CHICAGO Total</t>
  </si>
  <si>
    <t>DALLAS Total</t>
  </si>
  <si>
    <t>DEL RIO Total</t>
  </si>
  <si>
    <t>DENVER Total</t>
  </si>
  <si>
    <t>DETROIT Total</t>
  </si>
  <si>
    <t>EAGLE PASS Total</t>
  </si>
  <si>
    <t>EL PASO Total</t>
  </si>
  <si>
    <t>FILADELFIA Total</t>
  </si>
  <si>
    <t>FRESNO Total</t>
  </si>
  <si>
    <t>HOUSTON Total</t>
  </si>
  <si>
    <t>INDIANAPOLIS Total</t>
  </si>
  <si>
    <t>KANSAS CITY Total</t>
  </si>
  <si>
    <t>LAREDO Total</t>
  </si>
  <si>
    <t>LAS VEGAS Total</t>
  </si>
  <si>
    <t>LITTLE ROCK Total</t>
  </si>
  <si>
    <t>LOS ANGELES Total</t>
  </si>
  <si>
    <t>MCALLEN Total</t>
  </si>
  <si>
    <t>MIAMI Total</t>
  </si>
  <si>
    <t>MILWAUKEE Total</t>
  </si>
  <si>
    <t>NOGALES Total</t>
  </si>
  <si>
    <t>NUEVA ORLEANS Total</t>
  </si>
  <si>
    <t>NUEVA YORK Total</t>
  </si>
  <si>
    <t>OKLAHOMA CITY Total</t>
  </si>
  <si>
    <t>OMAHA Total</t>
  </si>
  <si>
    <t>ORLANDO Total</t>
  </si>
  <si>
    <t>OXNARD Total</t>
  </si>
  <si>
    <t>PHOENIX Total</t>
  </si>
  <si>
    <t>PORTLAND Total</t>
  </si>
  <si>
    <t>PRESIDIO Total</t>
  </si>
  <si>
    <t>RALEIGH Total</t>
  </si>
  <si>
    <t>SACRAMENTO Total</t>
  </si>
  <si>
    <t>SAINT PAUL Total</t>
  </si>
  <si>
    <t>SALT LAKE CITY Total</t>
  </si>
  <si>
    <t>SAN ANTONIO Total</t>
  </si>
  <si>
    <t>SAN BERNARDINO Total</t>
  </si>
  <si>
    <t>SAN DIEGO Total</t>
  </si>
  <si>
    <t>SAN FRANCISCO Total</t>
  </si>
  <si>
    <t>SAN JOSE Total</t>
  </si>
  <si>
    <t>SANTA ANA Total</t>
  </si>
  <si>
    <t>SEATTLE Total</t>
  </si>
  <si>
    <t>TUCSON Total</t>
  </si>
  <si>
    <t>MATRÍCULAS CONSULARES EXPEDIDAS EN EE.UU. ORIGINARIOS DE COAHUILA POR PERFIL OCUPACIONAL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</si>
</sst>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b/>
      <sz val="9"/>
      <color rgb="FFFFFFFF"/>
      <name val="Montserrat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15" fillId="0" borderId="0"/>
    <xf numFmtId="44" fontId="24" fillId="0" borderId="0" applyFont="0" applyFill="0" applyBorder="0" applyAlignment="0" applyProtection="0"/>
  </cellStyleXfs>
  <cellXfs count="93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0" fillId="3" borderId="0" xfId="0" applyFill="1"/>
    <xf numFmtId="3" fontId="0" fillId="3" borderId="0" xfId="0" applyNumberFormat="1" applyFill="1"/>
    <xf numFmtId="0" fontId="4" fillId="3" borderId="0" xfId="0" applyFont="1" applyFill="1"/>
    <xf numFmtId="0" fontId="4" fillId="3" borderId="0" xfId="0" applyFont="1" applyFill="1" applyAlignment="1">
      <alignment vertical="top"/>
    </xf>
    <xf numFmtId="0" fontId="4" fillId="3" borderId="0" xfId="0" applyFont="1" applyFill="1" applyAlignment="1">
      <alignment vertical="center"/>
    </xf>
    <xf numFmtId="164" fontId="5" fillId="4" borderId="9" xfId="0" applyNumberFormat="1" applyFont="1" applyFill="1" applyBorder="1" applyAlignment="1">
      <alignment horizontal="right" vertical="center" wrapText="1"/>
    </xf>
    <xf numFmtId="3" fontId="5" fillId="4" borderId="9" xfId="0" applyNumberFormat="1" applyFont="1" applyFill="1" applyBorder="1" applyAlignment="1">
      <alignment horizontal="right" vertical="center" wrapText="1"/>
    </xf>
    <xf numFmtId="49" fontId="5" fillId="4" borderId="9" xfId="0" applyNumberFormat="1" applyFont="1" applyFill="1" applyBorder="1" applyAlignment="1">
      <alignment vertical="center" wrapText="1"/>
    </xf>
    <xf numFmtId="164" fontId="6" fillId="3" borderId="9" xfId="0" applyNumberFormat="1" applyFont="1" applyFill="1" applyBorder="1" applyAlignment="1">
      <alignment horizontal="right" vertical="center" wrapText="1"/>
    </xf>
    <xf numFmtId="3" fontId="6" fillId="3" borderId="9" xfId="0" applyNumberFormat="1" applyFont="1" applyFill="1" applyBorder="1" applyAlignment="1">
      <alignment horizontal="right" vertical="center" wrapText="1"/>
    </xf>
    <xf numFmtId="49" fontId="7" fillId="3" borderId="9" xfId="0" applyNumberFormat="1" applyFont="1" applyFill="1" applyBorder="1" applyAlignment="1">
      <alignment vertical="center" wrapText="1"/>
    </xf>
    <xf numFmtId="0" fontId="8" fillId="3" borderId="0" xfId="0" applyFont="1" applyFill="1"/>
    <xf numFmtId="0" fontId="9" fillId="0" borderId="0" xfId="0" applyFont="1"/>
    <xf numFmtId="0" fontId="5" fillId="2" borderId="10" xfId="0" applyFont="1" applyFill="1" applyBorder="1" applyAlignment="1">
      <alignment horizontal="center" vertical="center" wrapText="1"/>
    </xf>
    <xf numFmtId="1" fontId="5" fillId="2" borderId="10" xfId="0" applyNumberFormat="1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3" fontId="9" fillId="0" borderId="0" xfId="0" applyNumberFormat="1" applyFont="1"/>
    <xf numFmtId="1" fontId="9" fillId="0" borderId="0" xfId="0" applyNumberFormat="1" applyFont="1"/>
    <xf numFmtId="0" fontId="12" fillId="3" borderId="0" xfId="0" applyFont="1" applyFill="1"/>
    <xf numFmtId="0" fontId="13" fillId="3" borderId="0" xfId="0" applyFont="1" applyFill="1"/>
    <xf numFmtId="164" fontId="5" fillId="5" borderId="9" xfId="2" applyNumberFormat="1" applyFont="1" applyFill="1" applyBorder="1" applyAlignment="1">
      <alignment horizontal="right" vertical="top" wrapText="1"/>
    </xf>
    <xf numFmtId="165" fontId="5" fillId="5" borderId="9" xfId="2" applyNumberFormat="1" applyFont="1" applyFill="1" applyBorder="1" applyAlignment="1">
      <alignment horizontal="right" vertical="top" wrapText="1"/>
    </xf>
    <xf numFmtId="49" fontId="5" fillId="5" borderId="9" xfId="2" applyNumberFormat="1" applyFont="1" applyFill="1" applyBorder="1" applyAlignment="1">
      <alignment vertical="top" wrapText="1"/>
    </xf>
    <xf numFmtId="0" fontId="14" fillId="3" borderId="0" xfId="0" applyFont="1" applyFill="1"/>
    <xf numFmtId="0" fontId="16" fillId="2" borderId="10" xfId="3" applyFont="1" applyFill="1" applyBorder="1" applyAlignment="1">
      <alignment horizontal="center" vertical="center" wrapText="1"/>
    </xf>
    <xf numFmtId="1" fontId="16" fillId="2" borderId="10" xfId="3" applyNumberFormat="1" applyFont="1" applyFill="1" applyBorder="1" applyAlignment="1">
      <alignment horizontal="center" vertical="center" wrapText="1"/>
    </xf>
    <xf numFmtId="0" fontId="5" fillId="2" borderId="10" xfId="3" applyFont="1" applyFill="1" applyBorder="1" applyAlignment="1">
      <alignment horizontal="center" vertical="center" wrapText="1"/>
    </xf>
    <xf numFmtId="0" fontId="9" fillId="3" borderId="0" xfId="0" applyFont="1" applyFill="1"/>
    <xf numFmtId="0" fontId="17" fillId="3" borderId="0" xfId="0" applyFont="1" applyFill="1"/>
    <xf numFmtId="0" fontId="14" fillId="3" borderId="0" xfId="0" applyFont="1" applyFill="1" applyAlignment="1">
      <alignment vertical="center"/>
    </xf>
    <xf numFmtId="3" fontId="9" fillId="3" borderId="0" xfId="0" applyNumberFormat="1" applyFont="1" applyFill="1"/>
    <xf numFmtId="1" fontId="9" fillId="3" borderId="0" xfId="0" applyNumberFormat="1" applyFont="1" applyFill="1"/>
    <xf numFmtId="0" fontId="18" fillId="0" borderId="0" xfId="0" applyFont="1" applyAlignment="1">
      <alignment vertical="top"/>
    </xf>
    <xf numFmtId="0" fontId="18" fillId="0" borderId="0" xfId="0" applyFont="1" applyAlignment="1">
      <alignment horizontal="justify" vertical="center"/>
    </xf>
    <xf numFmtId="3" fontId="8" fillId="3" borderId="0" xfId="0" applyNumberFormat="1" applyFont="1" applyFill="1"/>
    <xf numFmtId="0" fontId="3" fillId="3" borderId="0" xfId="0" applyFont="1" applyFill="1"/>
    <xf numFmtId="0" fontId="9" fillId="3" borderId="0" xfId="0" applyFont="1" applyFill="1" applyAlignment="1">
      <alignment vertical="center"/>
    </xf>
    <xf numFmtId="0" fontId="9" fillId="0" borderId="0" xfId="0" applyFont="1" applyAlignment="1">
      <alignment vertical="center"/>
    </xf>
    <xf numFmtId="0" fontId="19" fillId="3" borderId="16" xfId="0" applyFont="1" applyFill="1" applyBorder="1" applyAlignment="1">
      <alignment horizontal="center" vertical="distributed"/>
    </xf>
    <xf numFmtId="0" fontId="21" fillId="0" borderId="4" xfId="0" applyFont="1" applyBorder="1"/>
    <xf numFmtId="0" fontId="23" fillId="6" borderId="9" xfId="3" applyFont="1" applyFill="1" applyBorder="1" applyAlignment="1">
      <alignment horizontal="center" vertical="center" wrapText="1"/>
    </xf>
    <xf numFmtId="3" fontId="23" fillId="7" borderId="9" xfId="0" applyNumberFormat="1" applyFont="1" applyFill="1" applyBorder="1" applyAlignment="1">
      <alignment horizontal="right" vertical="center" wrapText="1"/>
    </xf>
    <xf numFmtId="164" fontId="23" fillId="7" borderId="9" xfId="0" applyNumberFormat="1" applyFont="1" applyFill="1" applyBorder="1" applyAlignment="1">
      <alignment horizontal="right" vertical="center" wrapText="1"/>
    </xf>
    <xf numFmtId="49" fontId="23" fillId="8" borderId="12" xfId="0" applyNumberFormat="1" applyFont="1" applyFill="1" applyBorder="1" applyAlignment="1">
      <alignment vertical="center" wrapText="1"/>
    </xf>
    <xf numFmtId="3" fontId="23" fillId="8" borderId="9" xfId="0" applyNumberFormat="1" applyFont="1" applyFill="1" applyBorder="1" applyAlignment="1">
      <alignment horizontal="right" vertical="center" wrapText="1"/>
    </xf>
    <xf numFmtId="164" fontId="23" fillId="8" borderId="9" xfId="0" applyNumberFormat="1" applyFont="1" applyFill="1" applyBorder="1" applyAlignment="1">
      <alignment horizontal="right" vertical="center" wrapText="1"/>
    </xf>
    <xf numFmtId="3" fontId="5" fillId="9" borderId="9" xfId="0" applyNumberFormat="1" applyFont="1" applyFill="1" applyBorder="1" applyAlignment="1">
      <alignment horizontal="right" wrapText="1"/>
    </xf>
    <xf numFmtId="164" fontId="5" fillId="9" borderId="9" xfId="0" applyNumberFormat="1" applyFont="1" applyFill="1" applyBorder="1" applyAlignment="1">
      <alignment horizontal="right" wrapText="1"/>
    </xf>
    <xf numFmtId="49" fontId="7" fillId="3" borderId="9" xfId="0" applyNumberFormat="1" applyFont="1" applyFill="1" applyBorder="1" applyAlignment="1">
      <alignment vertical="top" wrapText="1"/>
    </xf>
    <xf numFmtId="165" fontId="6" fillId="3" borderId="9" xfId="0" applyNumberFormat="1" applyFont="1" applyFill="1" applyBorder="1" applyAlignment="1">
      <alignment horizontal="right" vertical="top" wrapText="1"/>
    </xf>
    <xf numFmtId="164" fontId="6" fillId="3" borderId="9" xfId="0" applyNumberFormat="1" applyFont="1" applyFill="1" applyBorder="1" applyAlignment="1">
      <alignment horizontal="right" vertical="top" wrapText="1"/>
    </xf>
    <xf numFmtId="0" fontId="5" fillId="2" borderId="9" xfId="0" applyFont="1" applyFill="1" applyBorder="1" applyAlignment="1">
      <alignment horizontal="center" vertical="center" wrapText="1"/>
    </xf>
    <xf numFmtId="1" fontId="5" fillId="2" borderId="9" xfId="0" applyNumberFormat="1" applyFont="1" applyFill="1" applyBorder="1" applyAlignment="1">
      <alignment horizontal="center" vertical="center" wrapText="1"/>
    </xf>
    <xf numFmtId="0" fontId="22" fillId="0" borderId="4" xfId="1" applyFont="1" applyBorder="1" applyAlignment="1">
      <alignment horizontal="left"/>
    </xf>
    <xf numFmtId="0" fontId="22" fillId="0" borderId="0" xfId="1" applyFont="1" applyBorder="1" applyAlignment="1">
      <alignment horizontal="left"/>
    </xf>
    <xf numFmtId="0" fontId="22" fillId="0" borderId="5" xfId="1" applyFont="1" applyBorder="1" applyAlignment="1">
      <alignment horizontal="left"/>
    </xf>
    <xf numFmtId="0" fontId="20" fillId="2" borderId="1" xfId="0" applyFont="1" applyFill="1" applyBorder="1" applyAlignment="1">
      <alignment horizontal="center" wrapText="1"/>
    </xf>
    <xf numFmtId="0" fontId="20" fillId="2" borderId="2" xfId="0" applyFont="1" applyFill="1" applyBorder="1" applyAlignment="1">
      <alignment horizontal="center" wrapText="1"/>
    </xf>
    <xf numFmtId="0" fontId="20" fillId="2" borderId="3" xfId="0" applyFont="1" applyFill="1" applyBorder="1" applyAlignment="1">
      <alignment horizontal="center" wrapText="1"/>
    </xf>
    <xf numFmtId="0" fontId="21" fillId="0" borderId="4" xfId="0" applyFont="1" applyBorder="1" applyAlignment="1">
      <alignment horizontal="left" wrapText="1"/>
    </xf>
    <xf numFmtId="0" fontId="21" fillId="0" borderId="0" xfId="0" applyFont="1" applyAlignment="1">
      <alignment horizontal="left" wrapText="1"/>
    </xf>
    <xf numFmtId="0" fontId="21" fillId="0" borderId="5" xfId="0" applyFont="1" applyBorder="1" applyAlignment="1">
      <alignment horizontal="left" wrapText="1"/>
    </xf>
    <xf numFmtId="0" fontId="11" fillId="0" borderId="0" xfId="0" applyFont="1" applyAlignment="1">
      <alignment horizontal="center" vertical="center" wrapText="1"/>
    </xf>
    <xf numFmtId="49" fontId="5" fillId="9" borderId="13" xfId="0" applyNumberFormat="1" applyFont="1" applyFill="1" applyBorder="1" applyAlignment="1">
      <alignment horizontal="center" vertical="center" wrapText="1"/>
    </xf>
    <xf numFmtId="49" fontId="5" fillId="9" borderId="12" xfId="0" applyNumberFormat="1" applyFont="1" applyFill="1" applyBorder="1" applyAlignment="1">
      <alignment horizontal="center" vertical="center" wrapText="1"/>
    </xf>
    <xf numFmtId="49" fontId="7" fillId="3" borderId="10" xfId="0" applyNumberFormat="1" applyFont="1" applyFill="1" applyBorder="1" applyAlignment="1">
      <alignment horizontal="center" vertical="center" wrapText="1"/>
    </xf>
    <xf numFmtId="49" fontId="7" fillId="3" borderId="14" xfId="0" applyNumberFormat="1" applyFont="1" applyFill="1" applyBorder="1" applyAlignment="1">
      <alignment horizontal="center" vertical="center" wrapText="1"/>
    </xf>
    <xf numFmtId="49" fontId="7" fillId="3" borderId="15" xfId="0" applyNumberFormat="1" applyFont="1" applyFill="1" applyBorder="1" applyAlignment="1">
      <alignment horizontal="center" vertical="center" wrapText="1"/>
    </xf>
    <xf numFmtId="49" fontId="7" fillId="3" borderId="10" xfId="0" applyNumberFormat="1" applyFont="1" applyFill="1" applyBorder="1" applyAlignment="1">
      <alignment horizontal="center" vertical="center"/>
    </xf>
    <xf numFmtId="49" fontId="7" fillId="3" borderId="15" xfId="0" applyNumberFormat="1" applyFont="1" applyFill="1" applyBorder="1" applyAlignment="1">
      <alignment horizontal="center" vertical="center"/>
    </xf>
    <xf numFmtId="49" fontId="7" fillId="3" borderId="14" xfId="0" applyNumberFormat="1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wrapText="1"/>
    </xf>
    <xf numFmtId="49" fontId="7" fillId="3" borderId="15" xfId="0" applyNumberFormat="1" applyFont="1" applyFill="1" applyBorder="1" applyAlignment="1">
      <alignment horizontal="center" vertical="top" wrapText="1"/>
    </xf>
    <xf numFmtId="49" fontId="7" fillId="3" borderId="14" xfId="0" applyNumberFormat="1" applyFont="1" applyFill="1" applyBorder="1" applyAlignment="1">
      <alignment horizontal="center" vertical="top" wrapText="1"/>
    </xf>
    <xf numFmtId="44" fontId="7" fillId="3" borderId="10" xfId="4" applyFont="1" applyFill="1" applyBorder="1" applyAlignment="1">
      <alignment horizontal="center" vertical="center" wrapText="1"/>
    </xf>
    <xf numFmtId="44" fontId="7" fillId="3" borderId="15" xfId="4" applyFont="1" applyFill="1" applyBorder="1" applyAlignment="1">
      <alignment horizontal="center" vertical="center" wrapText="1"/>
    </xf>
    <xf numFmtId="44" fontId="7" fillId="3" borderId="14" xfId="4" applyFont="1" applyFill="1" applyBorder="1" applyAlignment="1">
      <alignment horizontal="center" vertical="center" wrapText="1"/>
    </xf>
    <xf numFmtId="49" fontId="23" fillId="7" borderId="13" xfId="0" applyNumberFormat="1" applyFont="1" applyFill="1" applyBorder="1" applyAlignment="1">
      <alignment horizontal="center" vertical="center" wrapText="1"/>
    </xf>
    <xf numFmtId="49" fontId="23" fillId="7" borderId="12" xfId="0" applyNumberFormat="1" applyFont="1" applyFill="1" applyBorder="1" applyAlignment="1">
      <alignment horizontal="center" vertical="center" wrapText="1"/>
    </xf>
  </cellXfs>
  <cellStyles count="5">
    <cellStyle name="Hipervínculo" xfId="1" builtinId="8"/>
    <cellStyle name="Moneda" xfId="4" builtinId="4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388066</xdr:colOff>
      <xdr:row>1</xdr:row>
      <xdr:rowOff>177492</xdr:rowOff>
    </xdr:from>
    <xdr:to>
      <xdr:col>3</xdr:col>
      <xdr:colOff>900163</xdr:colOff>
      <xdr:row>2</xdr:row>
      <xdr:rowOff>177492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74216" y="710892"/>
          <a:ext cx="512097" cy="2095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5</xdr:col>
      <xdr:colOff>204306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2" y="193261"/>
          <a:ext cx="5431458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133350</xdr:rowOff>
    </xdr:from>
    <xdr:to>
      <xdr:col>5</xdr:col>
      <xdr:colOff>102522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638675" y="16573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152400</xdr:colOff>
      <xdr:row>0</xdr:row>
      <xdr:rowOff>180975</xdr:rowOff>
    </xdr:from>
    <xdr:to>
      <xdr:col>1</xdr:col>
      <xdr:colOff>457759</xdr:colOff>
      <xdr:row>3</xdr:row>
      <xdr:rowOff>323849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B500AF7D-F1A2-4935-BA4E-E6CEFCAED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180975"/>
          <a:ext cx="924484" cy="7143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0</xdr:rowOff>
    </xdr:from>
    <xdr:to>
      <xdr:col>5</xdr:col>
      <xdr:colOff>73947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4610100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133350</xdr:colOff>
      <xdr:row>1</xdr:row>
      <xdr:rowOff>0</xdr:rowOff>
    </xdr:from>
    <xdr:to>
      <xdr:col>1</xdr:col>
      <xdr:colOff>438709</xdr:colOff>
      <xdr:row>3</xdr:row>
      <xdr:rowOff>333374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F44111A-0CE7-4AE3-9169-0BBA44BD3C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190500"/>
          <a:ext cx="924484" cy="714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8</xdr:row>
      <xdr:rowOff>0</xdr:rowOff>
    </xdr:from>
    <xdr:to>
      <xdr:col>5</xdr:col>
      <xdr:colOff>92997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4629150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104775</xdr:colOff>
      <xdr:row>1</xdr:row>
      <xdr:rowOff>19050</xdr:rowOff>
    </xdr:from>
    <xdr:to>
      <xdr:col>1</xdr:col>
      <xdr:colOff>410134</xdr:colOff>
      <xdr:row>3</xdr:row>
      <xdr:rowOff>352424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C99D90D4-B8AE-4F5F-85E7-9075EC8E24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209550"/>
          <a:ext cx="924484" cy="7143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303696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3261"/>
          <a:ext cx="5911849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7</xdr:row>
      <xdr:rowOff>161925</xdr:rowOff>
    </xdr:from>
    <xdr:to>
      <xdr:col>5</xdr:col>
      <xdr:colOff>150147</xdr:colOff>
      <xdr:row>8</xdr:row>
      <xdr:rowOff>155780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4686300" y="16859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123825</xdr:colOff>
      <xdr:row>1</xdr:row>
      <xdr:rowOff>9525</xdr:rowOff>
    </xdr:from>
    <xdr:to>
      <xdr:col>1</xdr:col>
      <xdr:colOff>429184</xdr:colOff>
      <xdr:row>3</xdr:row>
      <xdr:rowOff>342899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E2674C75-A0C4-4AF6-BD85-AEDC2BCE5A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200025"/>
          <a:ext cx="924484" cy="71437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COAHUILA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491950</xdr:colOff>
      <xdr:row>7</xdr:row>
      <xdr:rowOff>31401</xdr:rowOff>
    </xdr:from>
    <xdr:to>
      <xdr:col>4</xdr:col>
      <xdr:colOff>1004047</xdr:colOff>
      <xdr:row>7</xdr:row>
      <xdr:rowOff>215756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128846" y="1768928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104775</xdr:colOff>
      <xdr:row>1</xdr:row>
      <xdr:rowOff>19050</xdr:rowOff>
    </xdr:from>
    <xdr:to>
      <xdr:col>1</xdr:col>
      <xdr:colOff>1029259</xdr:colOff>
      <xdr:row>3</xdr:row>
      <xdr:rowOff>352424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DC23A45A-BC43-4F76-AEEE-B2A4DAB91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450" y="171450"/>
          <a:ext cx="924484" cy="71437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COAHUILA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495300</xdr:colOff>
      <xdr:row>7</xdr:row>
      <xdr:rowOff>114300</xdr:rowOff>
    </xdr:from>
    <xdr:to>
      <xdr:col>4</xdr:col>
      <xdr:colOff>1007397</xdr:colOff>
      <xdr:row>7</xdr:row>
      <xdr:rowOff>298655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C4788A9B-52CF-472E-89EE-D4FF47A8E37A}"/>
            </a:ext>
          </a:extLst>
        </xdr:cNvPr>
        <xdr:cNvSpPr/>
      </xdr:nvSpPr>
      <xdr:spPr>
        <a:xfrm>
          <a:off x="5133975" y="18573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76200</xdr:colOff>
      <xdr:row>1</xdr:row>
      <xdr:rowOff>0</xdr:rowOff>
    </xdr:from>
    <xdr:to>
      <xdr:col>1</xdr:col>
      <xdr:colOff>1000684</xdr:colOff>
      <xdr:row>3</xdr:row>
      <xdr:rowOff>333374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FC2AEE54-0ECE-4B7A-961C-8039336331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152400"/>
          <a:ext cx="924484" cy="71437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176695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3261"/>
          <a:ext cx="6414327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8</xdr:row>
      <xdr:rowOff>180975</xdr:rowOff>
    </xdr:from>
    <xdr:to>
      <xdr:col>5</xdr:col>
      <xdr:colOff>169197</xdr:colOff>
      <xdr:row>8</xdr:row>
      <xdr:rowOff>365330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5AAECD3-411F-428C-96A0-4BAA4CD80691}"/>
            </a:ext>
          </a:extLst>
        </xdr:cNvPr>
        <xdr:cNvSpPr/>
      </xdr:nvSpPr>
      <xdr:spPr>
        <a:xfrm>
          <a:off x="5667375" y="18954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171450</xdr:colOff>
      <xdr:row>1</xdr:row>
      <xdr:rowOff>0</xdr:rowOff>
    </xdr:from>
    <xdr:to>
      <xdr:col>1</xdr:col>
      <xdr:colOff>476809</xdr:colOff>
      <xdr:row>3</xdr:row>
      <xdr:rowOff>333374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14585BE6-1214-4BEF-8701-200EFFF31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450" y="190500"/>
          <a:ext cx="924484" cy="71437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COAHUILA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596348</xdr:colOff>
      <xdr:row>7</xdr:row>
      <xdr:rowOff>41413</xdr:rowOff>
    </xdr:from>
    <xdr:to>
      <xdr:col>4</xdr:col>
      <xdr:colOff>1108445</xdr:colOff>
      <xdr:row>7</xdr:row>
      <xdr:rowOff>225768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BF37B2D4-9A64-4CA0-AB1F-EA84B94466BF}"/>
            </a:ext>
          </a:extLst>
        </xdr:cNvPr>
        <xdr:cNvSpPr/>
      </xdr:nvSpPr>
      <xdr:spPr>
        <a:xfrm>
          <a:off x="5234609" y="1780761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66260</xdr:colOff>
      <xdr:row>0</xdr:row>
      <xdr:rowOff>115957</xdr:rowOff>
    </xdr:from>
    <xdr:to>
      <xdr:col>1</xdr:col>
      <xdr:colOff>990744</xdr:colOff>
      <xdr:row>3</xdr:row>
      <xdr:rowOff>300244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D68686E0-1E20-418D-83C4-C66DDF9AC2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2521" y="115957"/>
          <a:ext cx="924484" cy="71437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1</xdr:col>
      <xdr:colOff>47124</xdr:colOff>
      <xdr:row>5</xdr:row>
      <xdr:rowOff>244140</xdr:rowOff>
    </xdr:from>
    <xdr:to>
      <xdr:col>5</xdr:col>
      <xdr:colOff>55145</xdr:colOff>
      <xdr:row>7</xdr:row>
      <xdr:rowOff>269207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113799" y="134904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COAHUILA POR CONSULADO Y NIVEL DE EDUCACIÓN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1091762</xdr:colOff>
      <xdr:row>7</xdr:row>
      <xdr:rowOff>46311</xdr:rowOff>
    </xdr:from>
    <xdr:to>
      <xdr:col>5</xdr:col>
      <xdr:colOff>479909</xdr:colOff>
      <xdr:row>7</xdr:row>
      <xdr:rowOff>230666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5730437" y="1789386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76200</xdr:colOff>
      <xdr:row>0</xdr:row>
      <xdr:rowOff>133350</xdr:rowOff>
    </xdr:from>
    <xdr:to>
      <xdr:col>1</xdr:col>
      <xdr:colOff>1000684</xdr:colOff>
      <xdr:row>3</xdr:row>
      <xdr:rowOff>314324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3239C2F-EE5C-4BE4-9F65-3E9659C369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133350"/>
          <a:ext cx="924484" cy="71437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7</xdr:row>
      <xdr:rowOff>142875</xdr:rowOff>
    </xdr:from>
    <xdr:to>
      <xdr:col>5</xdr:col>
      <xdr:colOff>169197</xdr:colOff>
      <xdr:row>8</xdr:row>
      <xdr:rowOff>136730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705350" y="16668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114300</xdr:colOff>
      <xdr:row>1</xdr:row>
      <xdr:rowOff>38100</xdr:rowOff>
    </xdr:from>
    <xdr:to>
      <xdr:col>1</xdr:col>
      <xdr:colOff>419659</xdr:colOff>
      <xdr:row>3</xdr:row>
      <xdr:rowOff>371474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1259BB6-0554-4BCA-8B14-E3BC9BB85B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228600"/>
          <a:ext cx="924484" cy="71437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936229</xdr:colOff>
      <xdr:row>8</xdr:row>
      <xdr:rowOff>153591</xdr:rowOff>
    </xdr:from>
    <xdr:to>
      <xdr:col>5</xdr:col>
      <xdr:colOff>372794</xdr:colOff>
      <xdr:row>9</xdr:row>
      <xdr:rowOff>149431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457429" y="1677591"/>
          <a:ext cx="535115" cy="1863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142875</xdr:colOff>
      <xdr:row>0</xdr:row>
      <xdr:rowOff>133350</xdr:rowOff>
    </xdr:from>
    <xdr:to>
      <xdr:col>1</xdr:col>
      <xdr:colOff>1067359</xdr:colOff>
      <xdr:row>3</xdr:row>
      <xdr:rowOff>323849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0620FD8-7F29-46EC-9B17-CD0858F76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3875" y="133350"/>
          <a:ext cx="924484" cy="71437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148829</xdr:colOff>
      <xdr:row>8</xdr:row>
      <xdr:rowOff>109141</xdr:rowOff>
    </xdr:from>
    <xdr:to>
      <xdr:col>6</xdr:col>
      <xdr:colOff>283894</xdr:colOff>
      <xdr:row>9</xdr:row>
      <xdr:rowOff>104981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359004" y="1680766"/>
          <a:ext cx="516065" cy="1863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47625</xdr:colOff>
      <xdr:row>0</xdr:row>
      <xdr:rowOff>152400</xdr:rowOff>
    </xdr:from>
    <xdr:to>
      <xdr:col>1</xdr:col>
      <xdr:colOff>972109</xdr:colOff>
      <xdr:row>3</xdr:row>
      <xdr:rowOff>342899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6E3AC974-0485-4BCF-86EC-324320EA94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5" y="152400"/>
          <a:ext cx="924484" cy="71437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713581</xdr:colOff>
      <xdr:row>9</xdr:row>
      <xdr:rowOff>0</xdr:rowOff>
    </xdr:from>
    <xdr:to>
      <xdr:col>6</xdr:col>
      <xdr:colOff>92997</xdr:colOff>
      <xdr:row>9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555581" y="1714500"/>
          <a:ext cx="535116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109141</xdr:colOff>
      <xdr:row>0</xdr:row>
      <xdr:rowOff>109140</xdr:rowOff>
    </xdr:from>
    <xdr:to>
      <xdr:col>1</xdr:col>
      <xdr:colOff>1033625</xdr:colOff>
      <xdr:row>3</xdr:row>
      <xdr:rowOff>307576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B99EEE2B-2D6A-4FE1-ABB4-1F896C3539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6172" y="109140"/>
          <a:ext cx="924484" cy="71437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55217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3261"/>
          <a:ext cx="6927849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946289</xdr:colOff>
      <xdr:row>1</xdr:row>
      <xdr:rowOff>168966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93159" y="362227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88348</xdr:colOff>
      <xdr:row>8</xdr:row>
      <xdr:rowOff>66261</xdr:rowOff>
    </xdr:from>
    <xdr:to>
      <xdr:col>4</xdr:col>
      <xdr:colOff>600445</xdr:colOff>
      <xdr:row>8</xdr:row>
      <xdr:rowOff>250616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6372087" y="1800087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133350</xdr:colOff>
      <xdr:row>1</xdr:row>
      <xdr:rowOff>0</xdr:rowOff>
    </xdr:from>
    <xdr:to>
      <xdr:col>1</xdr:col>
      <xdr:colOff>438709</xdr:colOff>
      <xdr:row>3</xdr:row>
      <xdr:rowOff>333374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804C4EAD-4419-4A2F-B885-63D466D61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190500"/>
          <a:ext cx="924484" cy="7143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tabSelected="1" view="pageBreakPreview" zoomScaleNormal="100" zoomScaleSheetLayoutView="100" workbookViewId="0">
      <selection activeCell="A8" sqref="A8:D8"/>
    </sheetView>
  </sheetViews>
  <sheetFormatPr baseColWidth="10" defaultColWidth="11.453125" defaultRowHeight="16.5"/>
  <cols>
    <col min="1" max="1" width="5.1796875" style="1" customWidth="1"/>
    <col min="2" max="2" width="20" style="1" customWidth="1"/>
    <col min="3" max="3" width="24.7265625" style="1" customWidth="1"/>
    <col min="4" max="4" width="20.453125" style="1" customWidth="1"/>
    <col min="5" max="16384" width="11.453125" style="1"/>
  </cols>
  <sheetData>
    <row r="1" spans="1:4" ht="42" customHeight="1" thickBot="1">
      <c r="A1" s="70" t="s">
        <v>47</v>
      </c>
      <c r="B1" s="71"/>
      <c r="C1" s="71"/>
      <c r="D1" s="72"/>
    </row>
    <row r="2" spans="1:4">
      <c r="A2" s="2"/>
      <c r="B2" s="3"/>
      <c r="C2" s="3"/>
      <c r="D2" s="4"/>
    </row>
    <row r="3" spans="1:4">
      <c r="A3" s="73" t="s">
        <v>0</v>
      </c>
      <c r="B3" s="74"/>
      <c r="C3" s="74"/>
      <c r="D3" s="75"/>
    </row>
    <row r="4" spans="1:4">
      <c r="A4" s="73"/>
      <c r="B4" s="74"/>
      <c r="C4" s="74"/>
      <c r="D4" s="75"/>
    </row>
    <row r="5" spans="1:4">
      <c r="A5" s="10"/>
      <c r="B5" s="11"/>
      <c r="C5" s="11"/>
      <c r="D5" s="12"/>
    </row>
    <row r="6" spans="1:4" ht="18.5">
      <c r="A6" s="67" t="s">
        <v>1</v>
      </c>
      <c r="B6" s="68"/>
      <c r="C6" s="68"/>
      <c r="D6" s="69"/>
    </row>
    <row r="7" spans="1:4">
      <c r="A7" s="5"/>
      <c r="D7" s="6"/>
    </row>
    <row r="8" spans="1:4" ht="18.5">
      <c r="A8" s="67" t="s">
        <v>2</v>
      </c>
      <c r="B8" s="68"/>
      <c r="C8" s="68"/>
      <c r="D8" s="69"/>
    </row>
    <row r="9" spans="1:4" ht="18.5">
      <c r="A9" s="5"/>
      <c r="B9" s="67" t="s">
        <v>3</v>
      </c>
      <c r="C9" s="68"/>
      <c r="D9" s="68"/>
    </row>
    <row r="10" spans="1:4">
      <c r="A10" s="5"/>
      <c r="D10" s="6"/>
    </row>
    <row r="11" spans="1:4" ht="18.5">
      <c r="A11" s="53" t="s">
        <v>4</v>
      </c>
      <c r="D11" s="6"/>
    </row>
    <row r="12" spans="1:4" ht="18.5">
      <c r="A12" s="5"/>
      <c r="B12" s="67" t="s">
        <v>5</v>
      </c>
      <c r="C12" s="68"/>
      <c r="D12" s="68"/>
    </row>
    <row r="13" spans="1:4" ht="18.5">
      <c r="A13" s="5"/>
      <c r="B13" s="67" t="s">
        <v>6</v>
      </c>
      <c r="C13" s="68"/>
      <c r="D13" s="68"/>
    </row>
    <row r="14" spans="1:4" ht="18.5">
      <c r="A14" s="5"/>
      <c r="B14" s="67" t="s">
        <v>7</v>
      </c>
      <c r="C14" s="68"/>
      <c r="D14" s="68"/>
    </row>
    <row r="15" spans="1:4">
      <c r="A15" s="5"/>
      <c r="D15" s="6"/>
    </row>
    <row r="16" spans="1:4" ht="18.5">
      <c r="A16" s="53" t="s">
        <v>8</v>
      </c>
      <c r="D16" s="6"/>
    </row>
    <row r="17" spans="1:4" ht="18.5">
      <c r="A17" s="5"/>
      <c r="B17" s="67" t="s">
        <v>9</v>
      </c>
      <c r="C17" s="68"/>
      <c r="D17" s="68"/>
    </row>
    <row r="18" spans="1:4" ht="18.5">
      <c r="A18" s="5"/>
      <c r="B18" s="67" t="s">
        <v>10</v>
      </c>
      <c r="C18" s="68"/>
      <c r="D18" s="68"/>
    </row>
    <row r="19" spans="1:4" ht="18.5">
      <c r="A19" s="5"/>
      <c r="B19" s="67" t="s">
        <v>11</v>
      </c>
      <c r="C19" s="68"/>
      <c r="D19" s="68"/>
    </row>
    <row r="20" spans="1:4">
      <c r="A20" s="5"/>
      <c r="D20" s="6"/>
    </row>
    <row r="21" spans="1:4" ht="18.5">
      <c r="A21" s="53" t="s">
        <v>12</v>
      </c>
      <c r="D21" s="6"/>
    </row>
    <row r="22" spans="1:4" ht="18.5">
      <c r="A22" s="5"/>
      <c r="B22" s="67" t="s">
        <v>13</v>
      </c>
      <c r="C22" s="68"/>
      <c r="D22" s="68"/>
    </row>
    <row r="23" spans="1:4" ht="18.5">
      <c r="A23" s="5"/>
      <c r="B23" s="67" t="s">
        <v>35</v>
      </c>
      <c r="C23" s="68"/>
      <c r="D23" s="68"/>
    </row>
    <row r="24" spans="1:4" ht="18.5">
      <c r="A24" s="5"/>
      <c r="B24" s="67" t="s">
        <v>36</v>
      </c>
      <c r="C24" s="68"/>
      <c r="D24" s="68"/>
    </row>
    <row r="25" spans="1:4">
      <c r="A25" s="5"/>
      <c r="D25" s="6"/>
    </row>
    <row r="26" spans="1:4" ht="18.5">
      <c r="A26" s="67" t="s">
        <v>14</v>
      </c>
      <c r="B26" s="68"/>
      <c r="C26" s="68"/>
      <c r="D26" s="69"/>
    </row>
    <row r="27" spans="1:4">
      <c r="A27" s="5"/>
      <c r="D27" s="6"/>
    </row>
    <row r="28" spans="1:4" ht="18.5">
      <c r="A28" s="67" t="s">
        <v>15</v>
      </c>
      <c r="B28" s="68"/>
      <c r="C28" s="68"/>
      <c r="D28" s="69"/>
    </row>
    <row r="29" spans="1:4" ht="17" thickBot="1">
      <c r="A29" s="7"/>
      <c r="B29" s="8"/>
      <c r="C29" s="8"/>
      <c r="D29" s="9"/>
    </row>
  </sheetData>
  <mergeCells count="16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Coahuila_USAMuni!A1" display="3.2 Por Estado de USA" xr:uid="{00000000-0004-0000-0000-00000D000000}"/>
    <hyperlink ref="A8:D8" location="Coahuila_Cons!A1" display="2. Por Circunscripción Consular" xr:uid="{00000000-0004-0000-0000-00000E000000}"/>
    <hyperlink ref="B9:D9" location="CoahuilaXCons!A1" display="2.1 Top ten por circunscripción consular" xr:uid="{00000000-0004-0000-0000-00000F000000}"/>
    <hyperlink ref="A6:D6" location="Coahuila_EdoUsa!A1" display="1. Por Estados de USA" xr:uid="{00000000-0004-0000-0000-000010000000}"/>
    <hyperlink ref="B12:D12" location="Coahuila_EdoMun!A1" display="3.1 Municipio general" xr:uid="{00000000-0004-0000-0000-000011000000}"/>
    <hyperlink ref="B14:D14" location="Coahuila_MUNICIPIO!A1" display="3.3 Por Circunscripción Consular" xr:uid="{00000000-0004-0000-0000-000012000000}"/>
    <hyperlink ref="B17:D17" location="Coahuila_educ_gral!A1" display="4.1 Educación general" xr:uid="{00000000-0004-0000-0000-000013000000}"/>
    <hyperlink ref="B18:D18" location="Coahuila_NivelE_Cons!A1" display="4.2 Por Estado de USA" xr:uid="{00000000-0004-0000-0000-000014000000}"/>
    <hyperlink ref="B19:D19" location="Coahuila_EducCons!A1" display="4.3 Por Circunscripción Consular" xr:uid="{00000000-0004-0000-0000-000015000000}"/>
    <hyperlink ref="B22:D22" location="Coahuila_GenGral!A1" display="5.1 Género General" xr:uid="{00000000-0004-0000-0000-000016000000}"/>
    <hyperlink ref="B23:D23" location="Coahuila_GENERO!A1" display="5.2 Por Circunscripción Consular" xr:uid="{00000000-0004-0000-0000-000017000000}"/>
    <hyperlink ref="A26:D26" location="Coahuila_Gen_Edad!A1" display="6. Por estructura de Edad" xr:uid="{00000000-0004-0000-0000-000018000000}"/>
    <hyperlink ref="A28:D28" location="Coahuila_ocup_gral!A1" display="7. Por Ocupación" xr:uid="{00000000-0004-0000-0000-000019000000}"/>
    <hyperlink ref="B24" location="Coahuila_GENERO_EUA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B1:D63"/>
  <sheetViews>
    <sheetView showGridLines="0" view="pageBreakPreview" topLeftCell="A46" zoomScale="115" zoomScaleNormal="100" zoomScaleSheetLayoutView="115" workbookViewId="0">
      <selection activeCell="A57" sqref="A12:XFD57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4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76" t="s">
        <v>43</v>
      </c>
      <c r="C7" s="76"/>
      <c r="D7" s="76"/>
    </row>
    <row r="8" spans="2:4" s="25" customFormat="1" ht="15" customHeight="1">
      <c r="B8" s="76"/>
      <c r="C8" s="76"/>
      <c r="D8" s="76"/>
    </row>
    <row r="9" spans="2:4" s="25" customFormat="1" ht="33" customHeight="1">
      <c r="B9" s="76"/>
      <c r="C9" s="76"/>
      <c r="D9" s="76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65" t="s">
        <v>20</v>
      </c>
      <c r="C11" s="66" t="s">
        <v>19</v>
      </c>
      <c r="D11" s="65" t="s">
        <v>18</v>
      </c>
    </row>
    <row r="12" spans="2:4" ht="14.5" customHeight="1">
      <c r="B12" s="23" t="s">
        <v>100</v>
      </c>
      <c r="C12" s="22">
        <v>61</v>
      </c>
      <c r="D12" s="21">
        <v>5.3038866185549996E-3</v>
      </c>
    </row>
    <row r="13" spans="2:4" ht="14.5" customHeight="1">
      <c r="B13" s="23" t="s">
        <v>101</v>
      </c>
      <c r="C13" s="22">
        <v>5</v>
      </c>
      <c r="D13" s="21">
        <v>4.3474480480000001E-4</v>
      </c>
    </row>
    <row r="14" spans="2:4" ht="14.5" customHeight="1">
      <c r="B14" s="23" t="s">
        <v>102</v>
      </c>
      <c r="C14" s="22">
        <v>88</v>
      </c>
      <c r="D14" s="21">
        <v>7.651508564473E-3</v>
      </c>
    </row>
    <row r="15" spans="2:4" ht="14.5" customHeight="1">
      <c r="B15" s="23" t="s">
        <v>103</v>
      </c>
      <c r="C15" s="22">
        <v>51</v>
      </c>
      <c r="D15" s="21">
        <v>4.4343970089559996E-3</v>
      </c>
    </row>
    <row r="16" spans="2:4" ht="14.5" customHeight="1">
      <c r="B16" s="23" t="s">
        <v>104</v>
      </c>
      <c r="C16" s="22">
        <v>520</v>
      </c>
      <c r="D16" s="21">
        <v>4.5213459699157001E-2</v>
      </c>
    </row>
    <row r="17" spans="2:4" ht="14.5" customHeight="1">
      <c r="B17" s="23" t="s">
        <v>105</v>
      </c>
      <c r="C17" s="22">
        <v>205</v>
      </c>
      <c r="D17" s="21">
        <v>1.7824536996782998E-2</v>
      </c>
    </row>
    <row r="18" spans="2:4" ht="14.5" customHeight="1">
      <c r="B18" s="23" t="s">
        <v>106</v>
      </c>
      <c r="C18" s="22">
        <v>7</v>
      </c>
      <c r="D18" s="21">
        <v>6.0864272671900003E-4</v>
      </c>
    </row>
    <row r="19" spans="2:4" ht="14.5" customHeight="1">
      <c r="B19" s="23" t="s">
        <v>107</v>
      </c>
      <c r="C19" s="22">
        <v>2</v>
      </c>
      <c r="D19" s="21">
        <v>1.7389792192000001E-4</v>
      </c>
    </row>
    <row r="20" spans="2:4" ht="14.5" customHeight="1">
      <c r="B20" s="23" t="s">
        <v>108</v>
      </c>
      <c r="C20" s="22">
        <v>179</v>
      </c>
      <c r="D20" s="21">
        <v>1.5563864011824999E-2</v>
      </c>
    </row>
    <row r="21" spans="2:4" ht="14.5" customHeight="1">
      <c r="B21" s="23" t="s">
        <v>109</v>
      </c>
      <c r="C21" s="22">
        <v>91</v>
      </c>
      <c r="D21" s="21">
        <v>7.9123554473520003E-3</v>
      </c>
    </row>
    <row r="22" spans="2:4" ht="14.5" customHeight="1">
      <c r="B22" s="23" t="s">
        <v>110</v>
      </c>
      <c r="C22" s="22">
        <v>14</v>
      </c>
      <c r="D22" s="21">
        <v>1.2172854534389999E-3</v>
      </c>
    </row>
    <row r="23" spans="2:4" ht="14.5" customHeight="1">
      <c r="B23" s="23" t="s">
        <v>111</v>
      </c>
      <c r="C23" s="22">
        <v>287</v>
      </c>
      <c r="D23" s="21">
        <v>2.4954351795495999E-2</v>
      </c>
    </row>
    <row r="24" spans="2:4" ht="14.5" customHeight="1">
      <c r="B24" s="23" t="s">
        <v>112</v>
      </c>
      <c r="C24" s="22">
        <v>96</v>
      </c>
      <c r="D24" s="21">
        <v>8.3471002521520003E-3</v>
      </c>
    </row>
    <row r="25" spans="2:4" ht="14.5" customHeight="1">
      <c r="B25" s="23" t="s">
        <v>113</v>
      </c>
      <c r="C25" s="22">
        <v>18</v>
      </c>
      <c r="D25" s="21">
        <v>1.565081297278E-3</v>
      </c>
    </row>
    <row r="26" spans="2:4" ht="14.5" customHeight="1">
      <c r="B26" s="23" t="s">
        <v>114</v>
      </c>
      <c r="C26" s="22">
        <v>185</v>
      </c>
      <c r="D26" s="21">
        <v>1.6085557777585E-2</v>
      </c>
    </row>
    <row r="27" spans="2:4" ht="14.5" customHeight="1">
      <c r="B27" s="23" t="s">
        <v>115</v>
      </c>
      <c r="C27" s="22">
        <v>74</v>
      </c>
      <c r="D27" s="21">
        <v>6.4342231110339999E-3</v>
      </c>
    </row>
    <row r="28" spans="2:4" ht="14.5" customHeight="1">
      <c r="B28" s="23" t="s">
        <v>116</v>
      </c>
      <c r="C28" s="22">
        <v>42</v>
      </c>
      <c r="D28" s="21">
        <v>3.6518563603159999E-3</v>
      </c>
    </row>
    <row r="29" spans="2:4" ht="14.5" customHeight="1">
      <c r="B29" s="23" t="s">
        <v>117</v>
      </c>
      <c r="C29" s="22">
        <v>4</v>
      </c>
      <c r="D29" s="21">
        <v>3.4779584384000002E-4</v>
      </c>
    </row>
    <row r="30" spans="2:4" ht="14.5" customHeight="1">
      <c r="B30" s="23" t="s">
        <v>118</v>
      </c>
      <c r="C30" s="22">
        <v>1</v>
      </c>
      <c r="D30" s="21">
        <v>8.6948960960000005E-5</v>
      </c>
    </row>
    <row r="31" spans="2:4" ht="14.5" customHeight="1">
      <c r="B31" s="23" t="s">
        <v>119</v>
      </c>
      <c r="C31" s="22">
        <v>36</v>
      </c>
      <c r="D31" s="21">
        <v>3.1301625945570001E-3</v>
      </c>
    </row>
    <row r="32" spans="2:4" ht="14.5" customHeight="1">
      <c r="B32" s="23" t="s">
        <v>120</v>
      </c>
      <c r="C32" s="22">
        <v>102</v>
      </c>
      <c r="D32" s="21">
        <v>8.8687940179110001E-3</v>
      </c>
    </row>
    <row r="33" spans="2:4" ht="14.5" customHeight="1">
      <c r="B33" s="23" t="s">
        <v>121</v>
      </c>
      <c r="C33" s="22">
        <v>22</v>
      </c>
      <c r="D33" s="21">
        <v>1.912877141118E-3</v>
      </c>
    </row>
    <row r="34" spans="2:4" ht="14.5" customHeight="1">
      <c r="B34" s="23" t="s">
        <v>122</v>
      </c>
      <c r="C34" s="22">
        <v>83</v>
      </c>
      <c r="D34" s="21">
        <v>7.216763759673E-3</v>
      </c>
    </row>
    <row r="35" spans="2:4" ht="14.5" customHeight="1">
      <c r="B35" s="23" t="s">
        <v>123</v>
      </c>
      <c r="C35" s="22">
        <v>4</v>
      </c>
      <c r="D35" s="21">
        <v>3.4779584384000002E-4</v>
      </c>
    </row>
    <row r="36" spans="2:4" ht="14.5" customHeight="1">
      <c r="B36" s="23" t="s">
        <v>124</v>
      </c>
      <c r="C36" s="22">
        <v>49</v>
      </c>
      <c r="D36" s="21">
        <v>4.260499087036E-3</v>
      </c>
    </row>
    <row r="37" spans="2:4" ht="14.5" customHeight="1">
      <c r="B37" s="23" t="s">
        <v>125</v>
      </c>
      <c r="C37" s="22">
        <v>82</v>
      </c>
      <c r="D37" s="21">
        <v>7.1298147987130002E-3</v>
      </c>
    </row>
    <row r="38" spans="2:4" ht="14.5" customHeight="1">
      <c r="B38" s="23" t="s">
        <v>126</v>
      </c>
      <c r="C38" s="22">
        <v>14</v>
      </c>
      <c r="D38" s="21">
        <v>1.2172854534389999E-3</v>
      </c>
    </row>
    <row r="39" spans="2:4" ht="14.5" customHeight="1">
      <c r="B39" s="23" t="s">
        <v>127</v>
      </c>
      <c r="C39" s="22">
        <v>121</v>
      </c>
      <c r="D39" s="21">
        <v>1.052082427615E-2</v>
      </c>
    </row>
    <row r="40" spans="2:4" ht="14.5" customHeight="1">
      <c r="B40" s="23" t="s">
        <v>128</v>
      </c>
      <c r="C40" s="22">
        <v>23</v>
      </c>
      <c r="D40" s="21">
        <v>1.9998261020779998E-3</v>
      </c>
    </row>
    <row r="41" spans="2:4" ht="14.5" customHeight="1">
      <c r="B41" s="23" t="s">
        <v>129</v>
      </c>
      <c r="C41" s="22">
        <v>110</v>
      </c>
      <c r="D41" s="21">
        <v>9.5643857055910005E-3</v>
      </c>
    </row>
    <row r="42" spans="2:4" ht="14.5" customHeight="1">
      <c r="B42" s="23" t="s">
        <v>130</v>
      </c>
      <c r="C42" s="22">
        <v>4</v>
      </c>
      <c r="D42" s="21">
        <v>3.4779584384000002E-4</v>
      </c>
    </row>
    <row r="43" spans="2:4" ht="14.5" customHeight="1">
      <c r="B43" s="23" t="s">
        <v>131</v>
      </c>
      <c r="C43" s="22">
        <v>30</v>
      </c>
      <c r="D43" s="21">
        <v>2.6084688287969999E-3</v>
      </c>
    </row>
    <row r="44" spans="2:4" ht="14.5" customHeight="1">
      <c r="B44" s="23" t="s">
        <v>132</v>
      </c>
      <c r="C44" s="22">
        <v>472</v>
      </c>
      <c r="D44" s="21">
        <v>4.1039909573080999E-2</v>
      </c>
    </row>
    <row r="45" spans="2:4" ht="14.5" customHeight="1">
      <c r="B45" s="23" t="s">
        <v>133</v>
      </c>
      <c r="C45" s="22">
        <v>6</v>
      </c>
      <c r="D45" s="21">
        <v>5.2169376575899999E-4</v>
      </c>
    </row>
    <row r="46" spans="2:4" ht="14.5" customHeight="1">
      <c r="B46" s="23" t="s">
        <v>134</v>
      </c>
      <c r="C46" s="22">
        <v>13</v>
      </c>
      <c r="D46" s="21">
        <v>1.1303364924790001E-3</v>
      </c>
    </row>
    <row r="47" spans="2:4" ht="14.5" customHeight="1">
      <c r="B47" s="23" t="s">
        <v>135</v>
      </c>
      <c r="C47" s="22">
        <v>60</v>
      </c>
      <c r="D47" s="21">
        <v>5.2169376575949998E-3</v>
      </c>
    </row>
    <row r="48" spans="2:4" ht="14.5" customHeight="1">
      <c r="B48" s="23" t="s">
        <v>136</v>
      </c>
      <c r="C48" s="22">
        <v>10</v>
      </c>
      <c r="D48" s="21">
        <v>8.6948960959899995E-4</v>
      </c>
    </row>
    <row r="49" spans="2:4" ht="14.5" customHeight="1">
      <c r="B49" s="23" t="s">
        <v>137</v>
      </c>
      <c r="C49" s="22">
        <v>104</v>
      </c>
      <c r="D49" s="21">
        <v>9.0426919398309998E-3</v>
      </c>
    </row>
    <row r="50" spans="2:4" ht="14.5" customHeight="1">
      <c r="B50" s="23" t="s">
        <v>138</v>
      </c>
      <c r="C50" s="22">
        <v>8056</v>
      </c>
      <c r="D50" s="21">
        <v>0.70046082949308797</v>
      </c>
    </row>
    <row r="51" spans="2:4" ht="14.5" customHeight="1">
      <c r="B51" s="23" t="s">
        <v>139</v>
      </c>
      <c r="C51" s="22">
        <v>20</v>
      </c>
      <c r="D51" s="21">
        <v>1.7389792191979999E-3</v>
      </c>
    </row>
    <row r="52" spans="2:4" ht="14.5" customHeight="1">
      <c r="B52" s="23" t="s">
        <v>140</v>
      </c>
      <c r="C52" s="22">
        <v>1</v>
      </c>
      <c r="D52" s="21">
        <v>8.6948960960000005E-5</v>
      </c>
    </row>
    <row r="53" spans="2:4" ht="14.5" customHeight="1">
      <c r="B53" s="23" t="s">
        <v>141</v>
      </c>
      <c r="C53" s="22">
        <v>20</v>
      </c>
      <c r="D53" s="21">
        <v>1.7389792191979999E-3</v>
      </c>
    </row>
    <row r="54" spans="2:4" ht="14.5" customHeight="1">
      <c r="B54" s="23" t="s">
        <v>86</v>
      </c>
      <c r="C54" s="22">
        <v>7</v>
      </c>
      <c r="D54" s="21">
        <v>6.0864272671900003E-4</v>
      </c>
    </row>
    <row r="55" spans="2:4" ht="14.5" customHeight="1">
      <c r="B55" s="23" t="s">
        <v>142</v>
      </c>
      <c r="C55" s="22">
        <v>106</v>
      </c>
      <c r="D55" s="21">
        <v>9.2165898617509994E-3</v>
      </c>
    </row>
    <row r="56" spans="2:4" ht="14.5" customHeight="1">
      <c r="B56" s="23" t="s">
        <v>143</v>
      </c>
      <c r="C56" s="22">
        <v>16</v>
      </c>
      <c r="D56" s="21">
        <v>1.391183375359E-3</v>
      </c>
    </row>
    <row r="57" spans="2:4" ht="14.5" customHeight="1">
      <c r="B57" s="20" t="s">
        <v>28</v>
      </c>
      <c r="C57" s="19">
        <v>11501</v>
      </c>
      <c r="D57" s="18">
        <v>1</v>
      </c>
    </row>
    <row r="58" spans="2:4">
      <c r="B58" s="15"/>
    </row>
    <row r="59" spans="2:4">
      <c r="B59" s="15" t="s">
        <v>97</v>
      </c>
    </row>
    <row r="60" spans="2:4">
      <c r="B60" s="17" t="s">
        <v>17</v>
      </c>
    </row>
    <row r="61" spans="2:4">
      <c r="B61" s="16" t="s">
        <v>98</v>
      </c>
    </row>
    <row r="62" spans="2:4">
      <c r="B62" s="15" t="s">
        <v>16</v>
      </c>
    </row>
    <row r="63" spans="2:4">
      <c r="B63" s="15" t="s">
        <v>99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1:D67"/>
  <sheetViews>
    <sheetView showGridLines="0" view="pageBreakPreview" topLeftCell="A54" zoomScale="115" zoomScaleNormal="100" zoomScaleSheetLayoutView="115" workbookViewId="0">
      <selection activeCell="A62" sqref="A62:XFD62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76" t="s">
        <v>37</v>
      </c>
      <c r="C7" s="76"/>
      <c r="D7" s="76"/>
    </row>
    <row r="8" spans="2:4" s="25" customFormat="1" ht="15" customHeight="1">
      <c r="B8" s="76"/>
      <c r="C8" s="76"/>
      <c r="D8" s="76"/>
    </row>
    <row r="9" spans="2:4" s="25" customFormat="1" ht="33" customHeight="1">
      <c r="B9" s="76"/>
      <c r="C9" s="76"/>
      <c r="D9" s="76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65" t="s">
        <v>21</v>
      </c>
      <c r="C11" s="66" t="s">
        <v>19</v>
      </c>
      <c r="D11" s="65" t="s">
        <v>18</v>
      </c>
    </row>
    <row r="12" spans="2:4">
      <c r="B12" s="23" t="s">
        <v>48</v>
      </c>
      <c r="C12" s="22">
        <v>2960</v>
      </c>
      <c r="D12" s="21">
        <v>0.25736892444135301</v>
      </c>
    </row>
    <row r="13" spans="2:4">
      <c r="B13" s="23" t="s">
        <v>49</v>
      </c>
      <c r="C13" s="22">
        <v>1795</v>
      </c>
      <c r="D13" s="21">
        <v>0.15607338492305001</v>
      </c>
    </row>
    <row r="14" spans="2:4">
      <c r="B14" s="23" t="s">
        <v>50</v>
      </c>
      <c r="C14" s="22">
        <v>1665</v>
      </c>
      <c r="D14" s="21">
        <v>0.144770019998261</v>
      </c>
    </row>
    <row r="15" spans="2:4">
      <c r="B15" s="23" t="s">
        <v>51</v>
      </c>
      <c r="C15" s="22">
        <v>684</v>
      </c>
      <c r="D15" s="21">
        <v>5.9473089296583001E-2</v>
      </c>
    </row>
    <row r="16" spans="2:4">
      <c r="B16" s="23" t="s">
        <v>52</v>
      </c>
      <c r="C16" s="22">
        <v>418</v>
      </c>
      <c r="D16" s="21">
        <v>3.6344665681245003E-2</v>
      </c>
    </row>
    <row r="17" spans="2:4">
      <c r="B17" s="23" t="s">
        <v>53</v>
      </c>
      <c r="C17" s="22">
        <v>386</v>
      </c>
      <c r="D17" s="21">
        <v>3.3562298930527999E-2</v>
      </c>
    </row>
    <row r="18" spans="2:4">
      <c r="B18" s="23" t="s">
        <v>54</v>
      </c>
      <c r="C18" s="22">
        <v>264</v>
      </c>
      <c r="D18" s="21">
        <v>2.2954525693418E-2</v>
      </c>
    </row>
    <row r="19" spans="2:4">
      <c r="B19" s="23" t="s">
        <v>55</v>
      </c>
      <c r="C19" s="22">
        <v>240</v>
      </c>
      <c r="D19" s="21">
        <v>2.0867750630379999E-2</v>
      </c>
    </row>
    <row r="20" spans="2:4">
      <c r="B20" s="23" t="s">
        <v>56</v>
      </c>
      <c r="C20" s="22">
        <v>235</v>
      </c>
      <c r="D20" s="21">
        <v>2.0433005825580001E-2</v>
      </c>
    </row>
    <row r="21" spans="2:4">
      <c r="B21" s="23" t="s">
        <v>57</v>
      </c>
      <c r="C21" s="22">
        <v>212</v>
      </c>
      <c r="D21" s="21">
        <v>1.8433179723501999E-2</v>
      </c>
    </row>
    <row r="22" spans="2:4">
      <c r="B22" s="23" t="s">
        <v>58</v>
      </c>
      <c r="C22" s="22">
        <v>210</v>
      </c>
      <c r="D22" s="21">
        <v>1.8259281801582001E-2</v>
      </c>
    </row>
    <row r="23" spans="2:4">
      <c r="B23" s="23" t="s">
        <v>59</v>
      </c>
      <c r="C23" s="22">
        <v>194</v>
      </c>
      <c r="D23" s="21">
        <v>1.6868098426223999E-2</v>
      </c>
    </row>
    <row r="24" spans="2:4">
      <c r="B24" s="23" t="s">
        <v>60</v>
      </c>
      <c r="C24" s="22">
        <v>183</v>
      </c>
      <c r="D24" s="21">
        <v>1.5911659855664999E-2</v>
      </c>
    </row>
    <row r="25" spans="2:4">
      <c r="B25" s="23" t="s">
        <v>61</v>
      </c>
      <c r="C25" s="22">
        <v>178</v>
      </c>
      <c r="D25" s="21">
        <v>1.5476915050865001E-2</v>
      </c>
    </row>
    <row r="26" spans="2:4">
      <c r="B26" s="23" t="s">
        <v>62</v>
      </c>
      <c r="C26" s="22">
        <v>130</v>
      </c>
      <c r="D26" s="21">
        <v>1.1303364924789E-2</v>
      </c>
    </row>
    <row r="27" spans="2:4">
      <c r="B27" s="23" t="s">
        <v>63</v>
      </c>
      <c r="C27" s="22">
        <v>129</v>
      </c>
      <c r="D27" s="21">
        <v>1.1216415963829E-2</v>
      </c>
    </row>
    <row r="28" spans="2:4">
      <c r="B28" s="23" t="s">
        <v>64</v>
      </c>
      <c r="C28" s="22">
        <v>129</v>
      </c>
      <c r="D28" s="21">
        <v>1.1216415963829E-2</v>
      </c>
    </row>
    <row r="29" spans="2:4">
      <c r="B29" s="23" t="s">
        <v>65</v>
      </c>
      <c r="C29" s="22">
        <v>126</v>
      </c>
      <c r="D29" s="21">
        <v>1.0955569080948999E-2</v>
      </c>
    </row>
    <row r="30" spans="2:4">
      <c r="B30" s="23" t="s">
        <v>66</v>
      </c>
      <c r="C30" s="22">
        <v>117</v>
      </c>
      <c r="D30" s="21">
        <v>1.0173028432309999E-2</v>
      </c>
    </row>
    <row r="31" spans="2:4">
      <c r="B31" s="23" t="s">
        <v>67</v>
      </c>
      <c r="C31" s="22">
        <v>116</v>
      </c>
      <c r="D31" s="21">
        <v>1.008607947135E-2</v>
      </c>
    </row>
    <row r="32" spans="2:4">
      <c r="B32" s="23" t="s">
        <v>68</v>
      </c>
      <c r="C32" s="22">
        <v>86</v>
      </c>
      <c r="D32" s="21">
        <v>7.4776106425530004E-3</v>
      </c>
    </row>
    <row r="33" spans="2:4">
      <c r="B33" s="23" t="s">
        <v>69</v>
      </c>
      <c r="C33" s="22">
        <v>80</v>
      </c>
      <c r="D33" s="21">
        <v>6.9559168767929997E-3</v>
      </c>
    </row>
    <row r="34" spans="2:4">
      <c r="B34" s="23" t="s">
        <v>70</v>
      </c>
      <c r="C34" s="22">
        <v>79</v>
      </c>
      <c r="D34" s="21">
        <v>6.8689679158329998E-3</v>
      </c>
    </row>
    <row r="35" spans="2:4">
      <c r="B35" s="23" t="s">
        <v>71</v>
      </c>
      <c r="C35" s="22">
        <v>78</v>
      </c>
      <c r="D35" s="21">
        <v>6.782018954873E-3</v>
      </c>
    </row>
    <row r="36" spans="2:4">
      <c r="B36" s="23" t="s">
        <v>72</v>
      </c>
      <c r="C36" s="22">
        <v>76</v>
      </c>
      <c r="D36" s="21">
        <v>6.6081210329540004E-3</v>
      </c>
    </row>
    <row r="37" spans="2:4">
      <c r="B37" s="23" t="s">
        <v>73</v>
      </c>
      <c r="C37" s="22">
        <v>73</v>
      </c>
      <c r="D37" s="21">
        <v>6.3472741500740001E-3</v>
      </c>
    </row>
    <row r="38" spans="2:4">
      <c r="B38" s="23" t="s">
        <v>74</v>
      </c>
      <c r="C38" s="22">
        <v>66</v>
      </c>
      <c r="D38" s="21">
        <v>5.7386314233540004E-3</v>
      </c>
    </row>
    <row r="39" spans="2:4">
      <c r="B39" s="23" t="s">
        <v>75</v>
      </c>
      <c r="C39" s="22">
        <v>65</v>
      </c>
      <c r="D39" s="21">
        <v>5.6516824623949998E-3</v>
      </c>
    </row>
    <row r="40" spans="2:4">
      <c r="B40" s="23" t="s">
        <v>76</v>
      </c>
      <c r="C40" s="22">
        <v>62</v>
      </c>
      <c r="D40" s="21">
        <v>5.3908355795150003E-3</v>
      </c>
    </row>
    <row r="41" spans="2:4">
      <c r="B41" s="23" t="s">
        <v>77</v>
      </c>
      <c r="C41" s="22">
        <v>62</v>
      </c>
      <c r="D41" s="21">
        <v>5.3908355795150003E-3</v>
      </c>
    </row>
    <row r="42" spans="2:4">
      <c r="B42" s="23" t="s">
        <v>78</v>
      </c>
      <c r="C42" s="22">
        <v>55</v>
      </c>
      <c r="D42" s="21">
        <v>4.7821928527949998E-3</v>
      </c>
    </row>
    <row r="43" spans="2:4">
      <c r="B43" s="23" t="s">
        <v>79</v>
      </c>
      <c r="C43" s="22">
        <v>43</v>
      </c>
      <c r="D43" s="21">
        <v>3.7388053212760002E-3</v>
      </c>
    </row>
    <row r="44" spans="2:4">
      <c r="B44" s="23" t="s">
        <v>80</v>
      </c>
      <c r="C44" s="22">
        <v>40</v>
      </c>
      <c r="D44" s="21">
        <v>3.4779584383969999E-3</v>
      </c>
    </row>
    <row r="45" spans="2:4">
      <c r="B45" s="23" t="s">
        <v>81</v>
      </c>
      <c r="C45" s="22">
        <v>30</v>
      </c>
      <c r="D45" s="21">
        <v>2.6084688287969999E-3</v>
      </c>
    </row>
    <row r="46" spans="2:4">
      <c r="B46" s="23" t="s">
        <v>82</v>
      </c>
      <c r="C46" s="22">
        <v>27</v>
      </c>
      <c r="D46" s="21">
        <v>2.347621945918E-3</v>
      </c>
    </row>
    <row r="47" spans="2:4">
      <c r="B47" s="23" t="s">
        <v>83</v>
      </c>
      <c r="C47" s="22">
        <v>26</v>
      </c>
      <c r="D47" s="21">
        <v>2.2606729849580002E-3</v>
      </c>
    </row>
    <row r="48" spans="2:4">
      <c r="B48" s="23" t="s">
        <v>84</v>
      </c>
      <c r="C48" s="22">
        <v>25</v>
      </c>
      <c r="D48" s="21">
        <v>2.1737240239979999E-3</v>
      </c>
    </row>
    <row r="49" spans="2:4">
      <c r="B49" s="23" t="s">
        <v>85</v>
      </c>
      <c r="C49" s="22">
        <v>24</v>
      </c>
      <c r="D49" s="21">
        <v>2.0867750630380001E-3</v>
      </c>
    </row>
    <row r="50" spans="2:4">
      <c r="B50" s="23" t="s">
        <v>86</v>
      </c>
      <c r="C50" s="22">
        <v>23</v>
      </c>
      <c r="D50" s="21">
        <v>1.9998261020779998E-3</v>
      </c>
    </row>
    <row r="51" spans="2:4">
      <c r="B51" s="23" t="s">
        <v>87</v>
      </c>
      <c r="C51" s="22">
        <v>20</v>
      </c>
      <c r="D51" s="21">
        <v>1.7389792191979999E-3</v>
      </c>
    </row>
    <row r="52" spans="2:4">
      <c r="B52" s="23" t="s">
        <v>88</v>
      </c>
      <c r="C52" s="22">
        <v>17</v>
      </c>
      <c r="D52" s="21">
        <v>1.4781323363190001E-3</v>
      </c>
    </row>
    <row r="53" spans="2:4">
      <c r="B53" s="23" t="s">
        <v>89</v>
      </c>
      <c r="C53" s="22">
        <v>16</v>
      </c>
      <c r="D53" s="21">
        <v>1.391183375359E-3</v>
      </c>
    </row>
    <row r="54" spans="2:4">
      <c r="B54" s="23" t="s">
        <v>90</v>
      </c>
      <c r="C54" s="22">
        <v>13</v>
      </c>
      <c r="D54" s="21">
        <v>1.1303364924790001E-3</v>
      </c>
    </row>
    <row r="55" spans="2:4">
      <c r="B55" s="23" t="s">
        <v>91</v>
      </c>
      <c r="C55" s="22">
        <v>13</v>
      </c>
      <c r="D55" s="21">
        <v>1.1303364924790001E-3</v>
      </c>
    </row>
    <row r="56" spans="2:4">
      <c r="B56" s="23" t="s">
        <v>92</v>
      </c>
      <c r="C56" s="22">
        <v>12</v>
      </c>
      <c r="D56" s="21">
        <v>1.043387531519E-3</v>
      </c>
    </row>
    <row r="57" spans="2:4">
      <c r="B57" s="23" t="s">
        <v>93</v>
      </c>
      <c r="C57" s="22">
        <v>9</v>
      </c>
      <c r="D57" s="21">
        <v>7.8254064863900001E-4</v>
      </c>
    </row>
    <row r="58" spans="2:4">
      <c r="B58" s="23" t="s">
        <v>94</v>
      </c>
      <c r="C58" s="22">
        <v>6</v>
      </c>
      <c r="D58" s="21">
        <v>5.2169376575899999E-4</v>
      </c>
    </row>
    <row r="59" spans="2:4">
      <c r="B59" s="23" t="s">
        <v>95</v>
      </c>
      <c r="C59" s="22">
        <v>2</v>
      </c>
      <c r="D59" s="21">
        <v>1.7389792192000001E-4</v>
      </c>
    </row>
    <row r="60" spans="2:4">
      <c r="B60" s="23" t="s">
        <v>96</v>
      </c>
      <c r="C60" s="22">
        <v>2</v>
      </c>
      <c r="D60" s="21">
        <v>1.7389792192000001E-4</v>
      </c>
    </row>
    <row r="61" spans="2:4">
      <c r="B61" s="20" t="s">
        <v>28</v>
      </c>
      <c r="C61" s="19">
        <v>11501</v>
      </c>
      <c r="D61" s="18">
        <v>1</v>
      </c>
    </row>
    <row r="62" spans="2:4">
      <c r="B62" s="17"/>
    </row>
    <row r="63" spans="2:4">
      <c r="B63" s="15" t="s">
        <v>97</v>
      </c>
    </row>
    <row r="64" spans="2:4">
      <c r="B64" s="17" t="s">
        <v>17</v>
      </c>
    </row>
    <row r="65" spans="2:2">
      <c r="B65" s="16" t="s">
        <v>98</v>
      </c>
    </row>
    <row r="66" spans="2:2">
      <c r="B66" s="15" t="s">
        <v>16</v>
      </c>
    </row>
    <row r="67" spans="2:2">
      <c r="B67" s="15" t="s">
        <v>99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D29"/>
  <sheetViews>
    <sheetView showGridLines="0" view="pageBreakPreview" topLeftCell="A15" zoomScale="115" zoomScaleNormal="100" zoomScaleSheetLayoutView="115" workbookViewId="0">
      <selection activeCell="I9" sqref="I9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1:4" s="25" customFormat="1" ht="15" customHeight="1">
      <c r="C1" s="31"/>
    </row>
    <row r="2" spans="1:4" s="25" customFormat="1" ht="15" customHeight="1">
      <c r="C2" s="31"/>
    </row>
    <row r="3" spans="1:4" s="25" customFormat="1" ht="15" customHeight="1">
      <c r="C3" s="31"/>
    </row>
    <row r="4" spans="1:4" s="25" customFormat="1" ht="30" customHeight="1">
      <c r="C4" s="31"/>
      <c r="D4" s="30"/>
    </row>
    <row r="5" spans="1:4" s="25" customFormat="1" ht="15" customHeight="1">
      <c r="C5" s="31"/>
      <c r="D5" s="30"/>
    </row>
    <row r="6" spans="1:4" s="25" customFormat="1" ht="15" customHeight="1">
      <c r="C6" s="31"/>
      <c r="D6" s="30"/>
    </row>
    <row r="7" spans="1:4" s="25" customFormat="1" ht="15" customHeight="1">
      <c r="B7" s="76" t="s">
        <v>44</v>
      </c>
      <c r="C7" s="76"/>
      <c r="D7" s="76"/>
    </row>
    <row r="8" spans="1:4" s="25" customFormat="1" ht="15" customHeight="1">
      <c r="B8" s="76"/>
      <c r="C8" s="76"/>
      <c r="D8" s="76"/>
    </row>
    <row r="9" spans="1:4" s="25" customFormat="1" ht="33" customHeight="1">
      <c r="B9" s="76"/>
      <c r="C9" s="76"/>
      <c r="D9" s="76"/>
    </row>
    <row r="10" spans="1:4" s="25" customFormat="1" ht="4.5" customHeight="1">
      <c r="B10" s="29"/>
      <c r="C10" s="29"/>
      <c r="D10" s="29"/>
    </row>
    <row r="11" spans="1:4" s="25" customFormat="1" ht="33" customHeight="1">
      <c r="B11" s="28" t="s">
        <v>21</v>
      </c>
      <c r="C11" s="27" t="s">
        <v>19</v>
      </c>
      <c r="D11" s="26" t="s">
        <v>18</v>
      </c>
    </row>
    <row r="12" spans="1:4" ht="15" customHeight="1">
      <c r="B12" s="23" t="s">
        <v>48</v>
      </c>
      <c r="C12" s="22">
        <v>2960</v>
      </c>
      <c r="D12" s="21">
        <f t="shared" ref="D12:D22" si="0">C12/$C$22</f>
        <v>0.33412349023591825</v>
      </c>
    </row>
    <row r="13" spans="1:4">
      <c r="B13" s="23" t="s">
        <v>49</v>
      </c>
      <c r="C13" s="22">
        <v>1795</v>
      </c>
      <c r="D13" s="21">
        <f t="shared" si="0"/>
        <v>0.20261880573428151</v>
      </c>
    </row>
    <row r="14" spans="1:4" s="24" customFormat="1">
      <c r="A14" s="13"/>
      <c r="B14" s="23" t="s">
        <v>50</v>
      </c>
      <c r="C14" s="22">
        <v>1665</v>
      </c>
      <c r="D14" s="21">
        <f t="shared" si="0"/>
        <v>0.18794446325770403</v>
      </c>
    </row>
    <row r="15" spans="1:4" s="24" customFormat="1">
      <c r="A15" s="13"/>
      <c r="B15" s="23" t="s">
        <v>51</v>
      </c>
      <c r="C15" s="22">
        <v>684</v>
      </c>
      <c r="D15" s="21">
        <f t="shared" si="0"/>
        <v>7.7209617338300035E-2</v>
      </c>
    </row>
    <row r="16" spans="1:4">
      <c r="B16" s="23" t="s">
        <v>52</v>
      </c>
      <c r="C16" s="22">
        <v>418</v>
      </c>
      <c r="D16" s="21">
        <f t="shared" si="0"/>
        <v>4.7183655040072242E-2</v>
      </c>
    </row>
    <row r="17" spans="2:4">
      <c r="B17" s="23" t="s">
        <v>53</v>
      </c>
      <c r="C17" s="22">
        <v>386</v>
      </c>
      <c r="D17" s="21">
        <f>C17/$C$22</f>
        <v>4.3571509199683937E-2</v>
      </c>
    </row>
    <row r="18" spans="2:4">
      <c r="B18" s="23" t="s">
        <v>54</v>
      </c>
      <c r="C18" s="22">
        <v>264</v>
      </c>
      <c r="D18" s="21">
        <f t="shared" si="0"/>
        <v>2.9800203183203523E-2</v>
      </c>
    </row>
    <row r="19" spans="2:4">
      <c r="B19" s="23" t="s">
        <v>55</v>
      </c>
      <c r="C19" s="22">
        <v>240</v>
      </c>
      <c r="D19" s="21">
        <f t="shared" si="0"/>
        <v>2.7091093802912292E-2</v>
      </c>
    </row>
    <row r="20" spans="2:4">
      <c r="B20" s="23" t="s">
        <v>56</v>
      </c>
      <c r="C20" s="22">
        <v>235</v>
      </c>
      <c r="D20" s="21">
        <f t="shared" si="0"/>
        <v>2.6526696015351618E-2</v>
      </c>
    </row>
    <row r="21" spans="2:4">
      <c r="B21" s="23" t="s">
        <v>57</v>
      </c>
      <c r="C21" s="22">
        <v>212</v>
      </c>
      <c r="D21" s="21">
        <f t="shared" si="0"/>
        <v>2.3930466192572525E-2</v>
      </c>
    </row>
    <row r="22" spans="2:4">
      <c r="B22" s="20" t="s">
        <v>45</v>
      </c>
      <c r="C22" s="19">
        <f>SUM(C12:C21)</f>
        <v>8859</v>
      </c>
      <c r="D22" s="18">
        <f t="shared" si="0"/>
        <v>1</v>
      </c>
    </row>
    <row r="23" spans="2:4">
      <c r="B23" s="20" t="s">
        <v>46</v>
      </c>
      <c r="C23" s="19">
        <v>11501</v>
      </c>
    </row>
    <row r="24" spans="2:4">
      <c r="B24" s="15"/>
      <c r="C24" s="13"/>
    </row>
    <row r="25" spans="2:4">
      <c r="B25" s="15" t="s">
        <v>97</v>
      </c>
      <c r="C25" s="13"/>
    </row>
    <row r="26" spans="2:4">
      <c r="B26" s="17" t="s">
        <v>17</v>
      </c>
      <c r="C26" s="13"/>
    </row>
    <row r="27" spans="2:4">
      <c r="B27" s="16" t="s">
        <v>98</v>
      </c>
      <c r="C27" s="13"/>
    </row>
    <row r="28" spans="2:4">
      <c r="B28" s="15" t="s">
        <v>16</v>
      </c>
    </row>
    <row r="29" spans="2:4">
      <c r="B29" s="15" t="s">
        <v>99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B1:D57"/>
  <sheetViews>
    <sheetView showGridLines="0" view="pageBreakPreview" topLeftCell="A44" zoomScale="115" zoomScaleNormal="85" zoomScaleSheetLayoutView="115" workbookViewId="0">
      <selection activeCell="E11" sqref="E11"/>
    </sheetView>
  </sheetViews>
  <sheetFormatPr baseColWidth="10" defaultColWidth="11.453125" defaultRowHeight="14.5"/>
  <cols>
    <col min="1" max="1" width="9.26953125" style="13" customWidth="1"/>
    <col min="2" max="2" width="27.179687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3632812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76" t="s">
        <v>42</v>
      </c>
      <c r="C7" s="76"/>
      <c r="D7" s="76"/>
    </row>
    <row r="8" spans="2:4" s="25" customFormat="1" ht="15" customHeight="1">
      <c r="B8" s="76"/>
      <c r="C8" s="76"/>
      <c r="D8" s="76"/>
    </row>
    <row r="9" spans="2:4" s="25" customFormat="1" ht="33" customHeight="1">
      <c r="B9" s="76"/>
      <c r="C9" s="76"/>
      <c r="D9" s="76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22</v>
      </c>
      <c r="C11" s="27" t="s">
        <v>19</v>
      </c>
      <c r="D11" s="26" t="s">
        <v>18</v>
      </c>
    </row>
    <row r="12" spans="2:4" ht="15" customHeight="1">
      <c r="B12" s="23" t="s">
        <v>204</v>
      </c>
      <c r="C12" s="22">
        <v>2865</v>
      </c>
      <c r="D12" s="21">
        <v>0.249108773150161</v>
      </c>
    </row>
    <row r="13" spans="2:4" ht="15" customHeight="1">
      <c r="B13" s="23" t="s">
        <v>194</v>
      </c>
      <c r="C13" s="22">
        <v>1658</v>
      </c>
      <c r="D13" s="21">
        <v>0.14416137727154199</v>
      </c>
    </row>
    <row r="14" spans="2:4" ht="15" customHeight="1">
      <c r="B14" s="23" t="s">
        <v>197</v>
      </c>
      <c r="C14" s="22">
        <v>1099</v>
      </c>
      <c r="D14" s="21">
        <v>9.5556908094948004E-2</v>
      </c>
    </row>
    <row r="15" spans="2:4" ht="15" customHeight="1">
      <c r="B15" s="23" t="s">
        <v>195</v>
      </c>
      <c r="C15" s="22">
        <v>923</v>
      </c>
      <c r="D15" s="21">
        <v>8.0253890966002994E-2</v>
      </c>
    </row>
    <row r="16" spans="2:4" ht="15" customHeight="1">
      <c r="B16" s="23" t="s">
        <v>202</v>
      </c>
      <c r="C16" s="22">
        <v>754</v>
      </c>
      <c r="D16" s="21">
        <v>6.5559516563776996E-2</v>
      </c>
    </row>
    <row r="17" spans="2:4" ht="15" customHeight="1">
      <c r="B17" s="23" t="s">
        <v>189</v>
      </c>
      <c r="C17" s="22">
        <v>616</v>
      </c>
      <c r="D17" s="21">
        <v>5.3560559951308997E-2</v>
      </c>
    </row>
    <row r="18" spans="2:4" ht="15" customHeight="1">
      <c r="B18" s="23" t="s">
        <v>200</v>
      </c>
      <c r="C18" s="22">
        <v>607</v>
      </c>
      <c r="D18" s="21">
        <v>5.2778019302669003E-2</v>
      </c>
    </row>
    <row r="19" spans="2:4" ht="15" customHeight="1">
      <c r="B19" s="23" t="s">
        <v>203</v>
      </c>
      <c r="C19" s="22">
        <v>553</v>
      </c>
      <c r="D19" s="21">
        <v>4.8082775410834E-2</v>
      </c>
    </row>
    <row r="20" spans="2:4" ht="15" customHeight="1">
      <c r="B20" s="23" t="s">
        <v>193</v>
      </c>
      <c r="C20" s="22">
        <v>503</v>
      </c>
      <c r="D20" s="21">
        <v>4.3735327362838E-2</v>
      </c>
    </row>
    <row r="21" spans="2:4" ht="15" customHeight="1">
      <c r="B21" s="23" t="s">
        <v>206</v>
      </c>
      <c r="C21" s="22">
        <v>340</v>
      </c>
      <c r="D21" s="21">
        <v>2.9562646726371999E-2</v>
      </c>
    </row>
    <row r="22" spans="2:4" ht="15" customHeight="1">
      <c r="B22" s="23" t="s">
        <v>199</v>
      </c>
      <c r="C22" s="22">
        <v>284</v>
      </c>
      <c r="D22" s="21">
        <v>2.4693504912616002E-2</v>
      </c>
    </row>
    <row r="23" spans="2:4" ht="15" customHeight="1">
      <c r="B23" s="23" t="s">
        <v>201</v>
      </c>
      <c r="C23" s="22">
        <v>186</v>
      </c>
      <c r="D23" s="21">
        <v>1.6172506738544E-2</v>
      </c>
    </row>
    <row r="24" spans="2:4" ht="15" customHeight="1">
      <c r="B24" s="23" t="s">
        <v>219</v>
      </c>
      <c r="C24" s="22">
        <v>174</v>
      </c>
      <c r="D24" s="21">
        <v>1.5129119207024999E-2</v>
      </c>
    </row>
    <row r="25" spans="2:4" ht="15" customHeight="1">
      <c r="B25" s="23" t="s">
        <v>210</v>
      </c>
      <c r="C25" s="22">
        <v>123</v>
      </c>
      <c r="D25" s="21">
        <v>1.069472219807E-2</v>
      </c>
    </row>
    <row r="26" spans="2:4" ht="15" customHeight="1">
      <c r="B26" s="23" t="s">
        <v>190</v>
      </c>
      <c r="C26" s="22">
        <v>91</v>
      </c>
      <c r="D26" s="21">
        <v>7.9123554473520003E-3</v>
      </c>
    </row>
    <row r="27" spans="2:4" ht="15" customHeight="1">
      <c r="B27" s="23" t="s">
        <v>216</v>
      </c>
      <c r="C27" s="22">
        <v>69</v>
      </c>
      <c r="D27" s="21">
        <v>5.9994783062339999E-3</v>
      </c>
    </row>
    <row r="28" spans="2:4" ht="15" customHeight="1">
      <c r="B28" s="23" t="s">
        <v>207</v>
      </c>
      <c r="C28" s="22">
        <v>66</v>
      </c>
      <c r="D28" s="21">
        <v>5.7386314233540004E-3</v>
      </c>
    </row>
    <row r="29" spans="2:4" ht="15" customHeight="1">
      <c r="B29" s="23" t="s">
        <v>196</v>
      </c>
      <c r="C29" s="22">
        <v>60</v>
      </c>
      <c r="D29" s="21">
        <v>5.2169376575949998E-3</v>
      </c>
    </row>
    <row r="30" spans="2:4" ht="15" customHeight="1">
      <c r="B30" s="23" t="s">
        <v>212</v>
      </c>
      <c r="C30" s="22">
        <v>58</v>
      </c>
      <c r="D30" s="21">
        <v>5.0430397356750001E-3</v>
      </c>
    </row>
    <row r="31" spans="2:4" ht="15" customHeight="1">
      <c r="B31" s="23" t="s">
        <v>208</v>
      </c>
      <c r="C31" s="22">
        <v>52</v>
      </c>
      <c r="D31" s="21">
        <v>4.5213459699160003E-3</v>
      </c>
    </row>
    <row r="32" spans="2:4" ht="15" customHeight="1">
      <c r="B32" s="23" t="s">
        <v>191</v>
      </c>
      <c r="C32" s="22">
        <v>51</v>
      </c>
      <c r="D32" s="21">
        <v>4.4343970089559996E-3</v>
      </c>
    </row>
    <row r="33" spans="2:4" ht="15" customHeight="1">
      <c r="B33" s="23" t="s">
        <v>198</v>
      </c>
      <c r="C33" s="22">
        <v>44</v>
      </c>
      <c r="D33" s="21">
        <v>3.825754282236E-3</v>
      </c>
    </row>
    <row r="34" spans="2:4" ht="15" customHeight="1">
      <c r="B34" s="23" t="s">
        <v>192</v>
      </c>
      <c r="C34" s="22">
        <v>42</v>
      </c>
      <c r="D34" s="21">
        <v>3.6518563603159999E-3</v>
      </c>
    </row>
    <row r="35" spans="2:4" ht="15" customHeight="1">
      <c r="B35" s="23" t="s">
        <v>215</v>
      </c>
      <c r="C35" s="22">
        <v>39</v>
      </c>
      <c r="D35" s="21">
        <v>3.391009477437E-3</v>
      </c>
    </row>
    <row r="36" spans="2:4" ht="15" customHeight="1">
      <c r="B36" s="23" t="s">
        <v>213</v>
      </c>
      <c r="C36" s="22">
        <v>35</v>
      </c>
      <c r="D36" s="21">
        <v>3.0432136335969999E-3</v>
      </c>
    </row>
    <row r="37" spans="2:4" ht="15" customHeight="1">
      <c r="B37" s="23" t="s">
        <v>209</v>
      </c>
      <c r="C37" s="22">
        <v>27</v>
      </c>
      <c r="D37" s="21">
        <v>2.347621945918E-3</v>
      </c>
    </row>
    <row r="38" spans="2:4" ht="15" customHeight="1">
      <c r="B38" s="23" t="s">
        <v>225</v>
      </c>
      <c r="C38" s="22">
        <v>23</v>
      </c>
      <c r="D38" s="21">
        <v>1.9998261020779998E-3</v>
      </c>
    </row>
    <row r="39" spans="2:4" ht="15" customHeight="1">
      <c r="B39" s="23" t="s">
        <v>205</v>
      </c>
      <c r="C39" s="22">
        <v>22</v>
      </c>
      <c r="D39" s="21">
        <v>1.912877141118E-3</v>
      </c>
    </row>
    <row r="40" spans="2:4" ht="42">
      <c r="B40" s="23" t="s">
        <v>223</v>
      </c>
      <c r="C40" s="22">
        <v>20</v>
      </c>
      <c r="D40" s="21">
        <v>1.7389792191979999E-3</v>
      </c>
    </row>
    <row r="41" spans="2:4" ht="15" customHeight="1">
      <c r="B41" s="23" t="s">
        <v>221</v>
      </c>
      <c r="C41" s="22">
        <v>20</v>
      </c>
      <c r="D41" s="21">
        <v>1.7389792191979999E-3</v>
      </c>
    </row>
    <row r="42" spans="2:4" ht="15" customHeight="1">
      <c r="B42" s="23" t="s">
        <v>211</v>
      </c>
      <c r="C42" s="22">
        <v>19</v>
      </c>
      <c r="D42" s="21">
        <v>1.6520302582380001E-3</v>
      </c>
    </row>
    <row r="43" spans="2:4" ht="15" customHeight="1">
      <c r="B43" s="23" t="s">
        <v>220</v>
      </c>
      <c r="C43" s="22">
        <v>16</v>
      </c>
      <c r="D43" s="21">
        <v>1.391183375359E-3</v>
      </c>
    </row>
    <row r="44" spans="2:4" ht="15" customHeight="1">
      <c r="B44" s="23" t="s">
        <v>222</v>
      </c>
      <c r="C44" s="22">
        <v>14</v>
      </c>
      <c r="D44" s="21">
        <v>1.2172854534389999E-3</v>
      </c>
    </row>
    <row r="45" spans="2:4" ht="15" customHeight="1">
      <c r="B45" s="23" t="s">
        <v>217</v>
      </c>
      <c r="C45" s="22">
        <v>12</v>
      </c>
      <c r="D45" s="21">
        <v>1.043387531519E-3</v>
      </c>
    </row>
    <row r="46" spans="2:4" ht="15" customHeight="1">
      <c r="B46" s="23" t="s">
        <v>214</v>
      </c>
      <c r="C46" s="22">
        <v>11</v>
      </c>
      <c r="D46" s="21">
        <v>9.56438570559E-4</v>
      </c>
    </row>
    <row r="47" spans="2:4" ht="15" customHeight="1">
      <c r="B47" s="23" t="s">
        <v>218</v>
      </c>
      <c r="C47" s="22">
        <v>9</v>
      </c>
      <c r="D47" s="21">
        <v>7.8254064863900001E-4</v>
      </c>
    </row>
    <row r="48" spans="2:4" ht="15" customHeight="1">
      <c r="B48" s="23" t="s">
        <v>226</v>
      </c>
      <c r="C48" s="22">
        <v>7</v>
      </c>
      <c r="D48" s="21">
        <v>6.0864272671900003E-4</v>
      </c>
    </row>
    <row r="49" spans="2:4" ht="15" customHeight="1">
      <c r="B49" s="23" t="s">
        <v>224</v>
      </c>
      <c r="C49" s="22">
        <v>6</v>
      </c>
      <c r="D49" s="21">
        <v>5.2169376575899999E-4</v>
      </c>
    </row>
    <row r="50" spans="2:4" ht="15" customHeight="1">
      <c r="B50" s="23" t="s">
        <v>83</v>
      </c>
      <c r="C50" s="22">
        <v>3</v>
      </c>
      <c r="D50" s="21">
        <v>2.6084688287999997E-4</v>
      </c>
    </row>
    <row r="51" spans="2:4" ht="15" customHeight="1">
      <c r="B51" s="20" t="s">
        <v>28</v>
      </c>
      <c r="C51" s="19">
        <v>11501</v>
      </c>
      <c r="D51" s="18">
        <v>1</v>
      </c>
    </row>
    <row r="52" spans="2:4">
      <c r="B52" s="15"/>
    </row>
    <row r="53" spans="2:4">
      <c r="B53" s="15" t="s">
        <v>97</v>
      </c>
    </row>
    <row r="54" spans="2:4">
      <c r="B54" s="17" t="s">
        <v>17</v>
      </c>
    </row>
    <row r="55" spans="2:4">
      <c r="B55" s="16" t="s">
        <v>98</v>
      </c>
    </row>
    <row r="56" spans="2:4">
      <c r="B56" s="15" t="s">
        <v>16</v>
      </c>
      <c r="C56" s="13"/>
    </row>
    <row r="57" spans="2:4">
      <c r="B57" s="15" t="s">
        <v>99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602"/>
  <sheetViews>
    <sheetView showGridLines="0" view="pageBreakPreview" topLeftCell="A580" zoomScale="85" zoomScaleNormal="100" zoomScaleSheetLayoutView="85" workbookViewId="0">
      <selection activeCell="C583" sqref="C583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1.45312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85"/>
      <c r="C7" s="85"/>
      <c r="D7" s="85"/>
      <c r="E7" s="85"/>
    </row>
    <row r="8" spans="1:5" s="41" customFormat="1" ht="33" customHeight="1">
      <c r="A8" s="42"/>
      <c r="B8" s="85"/>
      <c r="C8" s="85"/>
      <c r="D8" s="85"/>
      <c r="E8" s="85"/>
    </row>
    <row r="9" spans="1:5" s="25" customFormat="1" ht="40.5" customHeight="1">
      <c r="B9" s="38" t="s">
        <v>24</v>
      </c>
      <c r="C9" s="40" t="s">
        <v>23</v>
      </c>
      <c r="D9" s="39" t="s">
        <v>19</v>
      </c>
      <c r="E9" s="38" t="s">
        <v>18</v>
      </c>
    </row>
    <row r="10" spans="1:5" ht="15" customHeight="1">
      <c r="B10" s="79" t="s">
        <v>100</v>
      </c>
      <c r="C10" s="62" t="s">
        <v>189</v>
      </c>
      <c r="D10" s="63">
        <v>3</v>
      </c>
      <c r="E10" s="64">
        <v>2.6084688287999997E-4</v>
      </c>
    </row>
    <row r="11" spans="1:5" ht="15" customHeight="1">
      <c r="B11" s="81"/>
      <c r="C11" s="62" t="s">
        <v>190</v>
      </c>
      <c r="D11" s="63">
        <v>1</v>
      </c>
      <c r="E11" s="64">
        <v>8.6948960960000005E-5</v>
      </c>
    </row>
    <row r="12" spans="1:5" ht="15" customHeight="1">
      <c r="B12" s="81"/>
      <c r="C12" s="62" t="s">
        <v>191</v>
      </c>
      <c r="D12" s="63">
        <v>3</v>
      </c>
      <c r="E12" s="64">
        <v>2.6084688287999997E-4</v>
      </c>
    </row>
    <row r="13" spans="1:5" ht="15" customHeight="1">
      <c r="B13" s="81"/>
      <c r="C13" s="62" t="s">
        <v>192</v>
      </c>
      <c r="D13" s="63">
        <v>1</v>
      </c>
      <c r="E13" s="64">
        <v>8.6948960960000005E-5</v>
      </c>
    </row>
    <row r="14" spans="1:5" ht="15" customHeight="1">
      <c r="B14" s="81"/>
      <c r="C14" s="62" t="s">
        <v>193</v>
      </c>
      <c r="D14" s="63">
        <v>5</v>
      </c>
      <c r="E14" s="64">
        <v>4.3474480480000001E-4</v>
      </c>
    </row>
    <row r="15" spans="1:5" ht="15" customHeight="1">
      <c r="B15" s="81"/>
      <c r="C15" s="62" t="s">
        <v>194</v>
      </c>
      <c r="D15" s="63">
        <v>14</v>
      </c>
      <c r="E15" s="64">
        <v>1.2172854534389999E-3</v>
      </c>
    </row>
    <row r="16" spans="1:5" ht="15" customHeight="1">
      <c r="B16" s="81"/>
      <c r="C16" s="62" t="s">
        <v>195</v>
      </c>
      <c r="D16" s="63">
        <v>6</v>
      </c>
      <c r="E16" s="64">
        <v>5.2169376575899999E-4</v>
      </c>
    </row>
    <row r="17" spans="2:5" ht="15" customHeight="1">
      <c r="B17" s="81"/>
      <c r="C17" s="62" t="s">
        <v>196</v>
      </c>
      <c r="D17" s="63">
        <v>1</v>
      </c>
      <c r="E17" s="64">
        <v>8.6948960960000005E-5</v>
      </c>
    </row>
    <row r="18" spans="2:5" ht="15" customHeight="1">
      <c r="B18" s="81"/>
      <c r="C18" s="62" t="s">
        <v>197</v>
      </c>
      <c r="D18" s="63">
        <v>4</v>
      </c>
      <c r="E18" s="64">
        <v>3.4779584384000002E-4</v>
      </c>
    </row>
    <row r="19" spans="2:5" ht="15" customHeight="1">
      <c r="B19" s="81"/>
      <c r="C19" s="62" t="s">
        <v>198</v>
      </c>
      <c r="D19" s="63">
        <v>3</v>
      </c>
      <c r="E19" s="64">
        <v>2.6084688287999997E-4</v>
      </c>
    </row>
    <row r="20" spans="2:5" ht="15" customHeight="1">
      <c r="B20" s="81"/>
      <c r="C20" s="62" t="s">
        <v>199</v>
      </c>
      <c r="D20" s="63">
        <v>1</v>
      </c>
      <c r="E20" s="64">
        <v>8.6948960960000005E-5</v>
      </c>
    </row>
    <row r="21" spans="2:5" ht="15" customHeight="1">
      <c r="B21" s="81"/>
      <c r="C21" s="62" t="s">
        <v>200</v>
      </c>
      <c r="D21" s="63">
        <v>1</v>
      </c>
      <c r="E21" s="64">
        <v>8.6948960960000005E-5</v>
      </c>
    </row>
    <row r="22" spans="2:5" ht="15" customHeight="1">
      <c r="B22" s="81"/>
      <c r="C22" s="62" t="s">
        <v>201</v>
      </c>
      <c r="D22" s="63">
        <v>2</v>
      </c>
      <c r="E22" s="64">
        <v>1.7389792192000001E-4</v>
      </c>
    </row>
    <row r="23" spans="2:5" ht="15" customHeight="1">
      <c r="B23" s="81"/>
      <c r="C23" s="62" t="s">
        <v>202</v>
      </c>
      <c r="D23" s="63">
        <v>3</v>
      </c>
      <c r="E23" s="64">
        <v>2.6084688287999997E-4</v>
      </c>
    </row>
    <row r="24" spans="2:5" ht="15" customHeight="1">
      <c r="B24" s="81"/>
      <c r="C24" s="62" t="s">
        <v>203</v>
      </c>
      <c r="D24" s="63">
        <v>1</v>
      </c>
      <c r="E24" s="64">
        <v>8.6948960960000005E-5</v>
      </c>
    </row>
    <row r="25" spans="2:5" ht="15" customHeight="1">
      <c r="B25" s="81"/>
      <c r="C25" s="62" t="s">
        <v>204</v>
      </c>
      <c r="D25" s="63">
        <v>12</v>
      </c>
      <c r="E25" s="64">
        <v>1.043387531519E-3</v>
      </c>
    </row>
    <row r="26" spans="2:5" ht="15" customHeight="1">
      <c r="B26" s="80"/>
      <c r="C26" s="36" t="s">
        <v>28</v>
      </c>
      <c r="D26" s="35">
        <v>61</v>
      </c>
      <c r="E26" s="34">
        <v>5.3038866185549996E-3</v>
      </c>
    </row>
    <row r="27" spans="2:5" ht="15" customHeight="1">
      <c r="B27" s="79" t="s">
        <v>101</v>
      </c>
      <c r="C27" s="62" t="s">
        <v>204</v>
      </c>
      <c r="D27" s="63">
        <v>5</v>
      </c>
      <c r="E27" s="64">
        <v>4.3474480480000001E-4</v>
      </c>
    </row>
    <row r="28" spans="2:5" ht="15" customHeight="1">
      <c r="B28" s="80"/>
      <c r="C28" s="36" t="s">
        <v>28</v>
      </c>
      <c r="D28" s="35">
        <v>5</v>
      </c>
      <c r="E28" s="34">
        <v>4.3474480480000001E-4</v>
      </c>
    </row>
    <row r="29" spans="2:5" ht="15" customHeight="1">
      <c r="B29" s="79" t="s">
        <v>102</v>
      </c>
      <c r="C29" s="62" t="s">
        <v>189</v>
      </c>
      <c r="D29" s="63">
        <v>2</v>
      </c>
      <c r="E29" s="64">
        <v>1.7389792192000001E-4</v>
      </c>
    </row>
    <row r="30" spans="2:5" ht="15" customHeight="1">
      <c r="B30" s="81"/>
      <c r="C30" s="62" t="s">
        <v>205</v>
      </c>
      <c r="D30" s="63">
        <v>1</v>
      </c>
      <c r="E30" s="64">
        <v>8.6948960960000005E-5</v>
      </c>
    </row>
    <row r="31" spans="2:5" ht="15" customHeight="1">
      <c r="B31" s="81"/>
      <c r="C31" s="62" t="s">
        <v>190</v>
      </c>
      <c r="D31" s="63">
        <v>1</v>
      </c>
      <c r="E31" s="64">
        <v>8.6948960960000005E-5</v>
      </c>
    </row>
    <row r="32" spans="2:5" ht="15" customHeight="1">
      <c r="B32" s="81"/>
      <c r="C32" s="62" t="s">
        <v>206</v>
      </c>
      <c r="D32" s="63">
        <v>5</v>
      </c>
      <c r="E32" s="64">
        <v>4.3474480480000001E-4</v>
      </c>
    </row>
    <row r="33" spans="2:5" ht="15" customHeight="1">
      <c r="B33" s="81"/>
      <c r="C33" s="62" t="s">
        <v>193</v>
      </c>
      <c r="D33" s="63">
        <v>8</v>
      </c>
      <c r="E33" s="64">
        <v>6.9559168767899997E-4</v>
      </c>
    </row>
    <row r="34" spans="2:5" ht="15" customHeight="1">
      <c r="B34" s="81"/>
      <c r="C34" s="62" t="s">
        <v>194</v>
      </c>
      <c r="D34" s="63">
        <v>5</v>
      </c>
      <c r="E34" s="64">
        <v>4.3474480480000001E-4</v>
      </c>
    </row>
    <row r="35" spans="2:5" ht="15" customHeight="1">
      <c r="B35" s="81"/>
      <c r="C35" s="62" t="s">
        <v>195</v>
      </c>
      <c r="D35" s="63">
        <v>3</v>
      </c>
      <c r="E35" s="64">
        <v>2.6084688287999997E-4</v>
      </c>
    </row>
    <row r="36" spans="2:5" ht="15" customHeight="1">
      <c r="B36" s="81"/>
      <c r="C36" s="62" t="s">
        <v>196</v>
      </c>
      <c r="D36" s="63">
        <v>1</v>
      </c>
      <c r="E36" s="64">
        <v>8.6948960960000005E-5</v>
      </c>
    </row>
    <row r="37" spans="2:5" ht="15" customHeight="1">
      <c r="B37" s="81"/>
      <c r="C37" s="62" t="s">
        <v>197</v>
      </c>
      <c r="D37" s="63">
        <v>2</v>
      </c>
      <c r="E37" s="64">
        <v>1.7389792192000001E-4</v>
      </c>
    </row>
    <row r="38" spans="2:5" ht="15" customHeight="1">
      <c r="B38" s="81"/>
      <c r="C38" s="62" t="s">
        <v>200</v>
      </c>
      <c r="D38" s="63">
        <v>5</v>
      </c>
      <c r="E38" s="64">
        <v>4.3474480480000001E-4</v>
      </c>
    </row>
    <row r="39" spans="2:5" ht="15" customHeight="1">
      <c r="B39" s="81"/>
      <c r="C39" s="62" t="s">
        <v>202</v>
      </c>
      <c r="D39" s="63">
        <v>1</v>
      </c>
      <c r="E39" s="64">
        <v>8.6948960960000005E-5</v>
      </c>
    </row>
    <row r="40" spans="2:5" ht="15" customHeight="1">
      <c r="B40" s="81"/>
      <c r="C40" s="62" t="s">
        <v>203</v>
      </c>
      <c r="D40" s="63">
        <v>4</v>
      </c>
      <c r="E40" s="64">
        <v>3.4779584384000002E-4</v>
      </c>
    </row>
    <row r="41" spans="2:5" ht="15" customHeight="1">
      <c r="B41" s="81"/>
      <c r="C41" s="62" t="s">
        <v>204</v>
      </c>
      <c r="D41" s="63">
        <v>50</v>
      </c>
      <c r="E41" s="64">
        <v>4.3474480479959998E-3</v>
      </c>
    </row>
    <row r="42" spans="2:5" ht="15" customHeight="1">
      <c r="B42" s="80"/>
      <c r="C42" s="36" t="s">
        <v>28</v>
      </c>
      <c r="D42" s="35">
        <v>88</v>
      </c>
      <c r="E42" s="34">
        <v>7.651508564473E-3</v>
      </c>
    </row>
    <row r="43" spans="2:5" ht="15" customHeight="1">
      <c r="B43" s="79" t="s">
        <v>103</v>
      </c>
      <c r="C43" s="62" t="s">
        <v>189</v>
      </c>
      <c r="D43" s="63">
        <v>2</v>
      </c>
      <c r="E43" s="64">
        <v>1.7389792192000001E-4</v>
      </c>
    </row>
    <row r="44" spans="2:5" ht="15" customHeight="1">
      <c r="B44" s="81"/>
      <c r="C44" s="62" t="s">
        <v>205</v>
      </c>
      <c r="D44" s="63">
        <v>1</v>
      </c>
      <c r="E44" s="64">
        <v>8.6948960960000005E-5</v>
      </c>
    </row>
    <row r="45" spans="2:5" ht="15" customHeight="1">
      <c r="B45" s="81"/>
      <c r="C45" s="62" t="s">
        <v>206</v>
      </c>
      <c r="D45" s="63">
        <v>2</v>
      </c>
      <c r="E45" s="64">
        <v>1.7389792192000001E-4</v>
      </c>
    </row>
    <row r="46" spans="2:5" ht="15" customHeight="1">
      <c r="B46" s="81"/>
      <c r="C46" s="62" t="s">
        <v>193</v>
      </c>
      <c r="D46" s="63">
        <v>6</v>
      </c>
      <c r="E46" s="64">
        <v>5.2169376575899999E-4</v>
      </c>
    </row>
    <row r="47" spans="2:5" ht="15" customHeight="1">
      <c r="B47" s="81"/>
      <c r="C47" s="62" t="s">
        <v>194</v>
      </c>
      <c r="D47" s="63">
        <v>5</v>
      </c>
      <c r="E47" s="64">
        <v>4.3474480480000001E-4</v>
      </c>
    </row>
    <row r="48" spans="2:5" ht="15" customHeight="1">
      <c r="B48" s="81"/>
      <c r="C48" s="62" t="s">
        <v>195</v>
      </c>
      <c r="D48" s="63">
        <v>1</v>
      </c>
      <c r="E48" s="64">
        <v>8.6948960960000005E-5</v>
      </c>
    </row>
    <row r="49" spans="2:5" ht="15" customHeight="1">
      <c r="B49" s="81"/>
      <c r="C49" s="62" t="s">
        <v>196</v>
      </c>
      <c r="D49" s="63">
        <v>1</v>
      </c>
      <c r="E49" s="64">
        <v>8.6948960960000005E-5</v>
      </c>
    </row>
    <row r="50" spans="2:5" ht="15" customHeight="1">
      <c r="B50" s="81"/>
      <c r="C50" s="62" t="s">
        <v>197</v>
      </c>
      <c r="D50" s="63">
        <v>5</v>
      </c>
      <c r="E50" s="64">
        <v>4.3474480480000001E-4</v>
      </c>
    </row>
    <row r="51" spans="2:5" ht="15" customHeight="1">
      <c r="B51" s="81"/>
      <c r="C51" s="62" t="s">
        <v>199</v>
      </c>
      <c r="D51" s="63">
        <v>2</v>
      </c>
      <c r="E51" s="64">
        <v>1.7389792192000001E-4</v>
      </c>
    </row>
    <row r="52" spans="2:5" ht="15" customHeight="1">
      <c r="B52" s="81"/>
      <c r="C52" s="62" t="s">
        <v>200</v>
      </c>
      <c r="D52" s="63">
        <v>5</v>
      </c>
      <c r="E52" s="64">
        <v>4.3474480480000001E-4</v>
      </c>
    </row>
    <row r="53" spans="2:5" ht="15" customHeight="1">
      <c r="B53" s="81"/>
      <c r="C53" s="62" t="s">
        <v>201</v>
      </c>
      <c r="D53" s="63">
        <v>1</v>
      </c>
      <c r="E53" s="64">
        <v>8.6948960960000005E-5</v>
      </c>
    </row>
    <row r="54" spans="2:5" ht="15" customHeight="1">
      <c r="B54" s="81"/>
      <c r="C54" s="62" t="s">
        <v>203</v>
      </c>
      <c r="D54" s="63">
        <v>5</v>
      </c>
      <c r="E54" s="64">
        <v>4.3474480480000001E-4</v>
      </c>
    </row>
    <row r="55" spans="2:5" ht="15" customHeight="1">
      <c r="B55" s="81"/>
      <c r="C55" s="62" t="s">
        <v>204</v>
      </c>
      <c r="D55" s="63">
        <v>15</v>
      </c>
      <c r="E55" s="64">
        <v>1.304234414399E-3</v>
      </c>
    </row>
    <row r="56" spans="2:5" ht="15" customHeight="1">
      <c r="B56" s="80"/>
      <c r="C56" s="36" t="s">
        <v>28</v>
      </c>
      <c r="D56" s="35">
        <v>51</v>
      </c>
      <c r="E56" s="34">
        <v>4.4343970089559996E-3</v>
      </c>
    </row>
    <row r="57" spans="2:5" ht="15" customHeight="1">
      <c r="B57" s="79" t="s">
        <v>104</v>
      </c>
      <c r="C57" s="62" t="s">
        <v>189</v>
      </c>
      <c r="D57" s="63">
        <v>8</v>
      </c>
      <c r="E57" s="64">
        <v>6.9559168767899997E-4</v>
      </c>
    </row>
    <row r="58" spans="2:5" ht="15" customHeight="1">
      <c r="B58" s="81"/>
      <c r="C58" s="62" t="s">
        <v>205</v>
      </c>
      <c r="D58" s="63">
        <v>1</v>
      </c>
      <c r="E58" s="64">
        <v>8.6948960960000005E-5</v>
      </c>
    </row>
    <row r="59" spans="2:5" ht="15" customHeight="1">
      <c r="B59" s="81"/>
      <c r="C59" s="62" t="s">
        <v>190</v>
      </c>
      <c r="D59" s="63">
        <v>1</v>
      </c>
      <c r="E59" s="64">
        <v>8.6948960960000005E-5</v>
      </c>
    </row>
    <row r="60" spans="2:5" ht="15" customHeight="1">
      <c r="B60" s="81"/>
      <c r="C60" s="62" t="s">
        <v>206</v>
      </c>
      <c r="D60" s="63">
        <v>19</v>
      </c>
      <c r="E60" s="64">
        <v>1.6520302582380001E-3</v>
      </c>
    </row>
    <row r="61" spans="2:5" ht="15" customHeight="1">
      <c r="B61" s="81"/>
      <c r="C61" s="62" t="s">
        <v>207</v>
      </c>
      <c r="D61" s="63">
        <v>1</v>
      </c>
      <c r="E61" s="64">
        <v>8.6948960960000005E-5</v>
      </c>
    </row>
    <row r="62" spans="2:5" ht="15" customHeight="1">
      <c r="B62" s="81"/>
      <c r="C62" s="62" t="s">
        <v>193</v>
      </c>
      <c r="D62" s="63">
        <v>28</v>
      </c>
      <c r="E62" s="64">
        <v>2.4345709068779998E-3</v>
      </c>
    </row>
    <row r="63" spans="2:5" ht="15" customHeight="1">
      <c r="B63" s="81"/>
      <c r="C63" s="62" t="s">
        <v>194</v>
      </c>
      <c r="D63" s="63">
        <v>12</v>
      </c>
      <c r="E63" s="64">
        <v>1.043387531519E-3</v>
      </c>
    </row>
    <row r="64" spans="2:5" ht="15" customHeight="1">
      <c r="B64" s="81"/>
      <c r="C64" s="62" t="s">
        <v>195</v>
      </c>
      <c r="D64" s="63">
        <v>4</v>
      </c>
      <c r="E64" s="64">
        <v>3.4779584384000002E-4</v>
      </c>
    </row>
    <row r="65" spans="2:5" ht="15" customHeight="1">
      <c r="B65" s="81"/>
      <c r="C65" s="62" t="s">
        <v>196</v>
      </c>
      <c r="D65" s="63">
        <v>2</v>
      </c>
      <c r="E65" s="64">
        <v>1.7389792192000001E-4</v>
      </c>
    </row>
    <row r="66" spans="2:5" ht="15" customHeight="1">
      <c r="B66" s="81"/>
      <c r="C66" s="62" t="s">
        <v>197</v>
      </c>
      <c r="D66" s="63">
        <v>5</v>
      </c>
      <c r="E66" s="64">
        <v>4.3474480480000001E-4</v>
      </c>
    </row>
    <row r="67" spans="2:5" ht="15" customHeight="1">
      <c r="B67" s="81"/>
      <c r="C67" s="62" t="s">
        <v>198</v>
      </c>
      <c r="D67" s="63">
        <v>1</v>
      </c>
      <c r="E67" s="64">
        <v>8.6948960960000005E-5</v>
      </c>
    </row>
    <row r="68" spans="2:5" ht="15" customHeight="1">
      <c r="B68" s="81"/>
      <c r="C68" s="62" t="s">
        <v>208</v>
      </c>
      <c r="D68" s="63">
        <v>3</v>
      </c>
      <c r="E68" s="64">
        <v>2.6084688287999997E-4</v>
      </c>
    </row>
    <row r="69" spans="2:5" ht="15" customHeight="1">
      <c r="B69" s="81"/>
      <c r="C69" s="62" t="s">
        <v>199</v>
      </c>
      <c r="D69" s="63">
        <v>6</v>
      </c>
      <c r="E69" s="64">
        <v>5.2169376575899999E-4</v>
      </c>
    </row>
    <row r="70" spans="2:5" ht="15" customHeight="1">
      <c r="B70" s="81"/>
      <c r="C70" s="62" t="s">
        <v>200</v>
      </c>
      <c r="D70" s="63">
        <v>27</v>
      </c>
      <c r="E70" s="64">
        <v>2.347621945918E-3</v>
      </c>
    </row>
    <row r="71" spans="2:5" ht="15" customHeight="1">
      <c r="B71" s="81"/>
      <c r="C71" s="62" t="s">
        <v>201</v>
      </c>
      <c r="D71" s="63">
        <v>2</v>
      </c>
      <c r="E71" s="64">
        <v>1.7389792192000001E-4</v>
      </c>
    </row>
    <row r="72" spans="2:5" ht="15" customHeight="1">
      <c r="B72" s="81"/>
      <c r="C72" s="62" t="s">
        <v>202</v>
      </c>
      <c r="D72" s="63">
        <v>6</v>
      </c>
      <c r="E72" s="64">
        <v>5.2169376575899999E-4</v>
      </c>
    </row>
    <row r="73" spans="2:5" ht="15" customHeight="1">
      <c r="B73" s="81"/>
      <c r="C73" s="62" t="s">
        <v>203</v>
      </c>
      <c r="D73" s="63">
        <v>29</v>
      </c>
      <c r="E73" s="64">
        <v>2.5215198678380001E-3</v>
      </c>
    </row>
    <row r="74" spans="2:5" ht="15" customHeight="1">
      <c r="B74" s="81"/>
      <c r="C74" s="62" t="s">
        <v>209</v>
      </c>
      <c r="D74" s="63">
        <v>1</v>
      </c>
      <c r="E74" s="64">
        <v>8.6948960960000005E-5</v>
      </c>
    </row>
    <row r="75" spans="2:5" ht="15" customHeight="1">
      <c r="B75" s="81"/>
      <c r="C75" s="62" t="s">
        <v>204</v>
      </c>
      <c r="D75" s="63">
        <v>352</v>
      </c>
      <c r="E75" s="64">
        <v>3.0606034257891001E-2</v>
      </c>
    </row>
    <row r="76" spans="2:5" ht="15" customHeight="1">
      <c r="B76" s="81"/>
      <c r="C76" s="62" t="s">
        <v>210</v>
      </c>
      <c r="D76" s="63">
        <v>12</v>
      </c>
      <c r="E76" s="64">
        <v>1.043387531519E-3</v>
      </c>
    </row>
    <row r="77" spans="2:5" ht="15" customHeight="1">
      <c r="B77" s="80"/>
      <c r="C77" s="36" t="s">
        <v>28</v>
      </c>
      <c r="D77" s="35">
        <v>520</v>
      </c>
      <c r="E77" s="34">
        <v>4.5213459699157001E-2</v>
      </c>
    </row>
    <row r="78" spans="2:5" ht="15" customHeight="1">
      <c r="B78" s="79" t="s">
        <v>105</v>
      </c>
      <c r="C78" s="62" t="s">
        <v>211</v>
      </c>
      <c r="D78" s="63">
        <v>1</v>
      </c>
      <c r="E78" s="64">
        <v>8.6948960960000005E-5</v>
      </c>
    </row>
    <row r="79" spans="2:5" ht="15" customHeight="1">
      <c r="B79" s="81"/>
      <c r="C79" s="62" t="s">
        <v>189</v>
      </c>
      <c r="D79" s="63">
        <v>5</v>
      </c>
      <c r="E79" s="64">
        <v>4.3474480480000001E-4</v>
      </c>
    </row>
    <row r="80" spans="2:5" ht="15" customHeight="1">
      <c r="B80" s="81"/>
      <c r="C80" s="62" t="s">
        <v>190</v>
      </c>
      <c r="D80" s="63">
        <v>2</v>
      </c>
      <c r="E80" s="64">
        <v>1.7389792192000001E-4</v>
      </c>
    </row>
    <row r="81" spans="2:5" ht="15" customHeight="1">
      <c r="B81" s="81"/>
      <c r="C81" s="62" t="s">
        <v>191</v>
      </c>
      <c r="D81" s="63">
        <v>1</v>
      </c>
      <c r="E81" s="64">
        <v>8.6948960960000005E-5</v>
      </c>
    </row>
    <row r="82" spans="2:5" ht="15" customHeight="1">
      <c r="B82" s="81"/>
      <c r="C82" s="62" t="s">
        <v>206</v>
      </c>
      <c r="D82" s="63">
        <v>19</v>
      </c>
      <c r="E82" s="64">
        <v>1.6520302582380001E-3</v>
      </c>
    </row>
    <row r="83" spans="2:5" ht="15" customHeight="1">
      <c r="B83" s="81"/>
      <c r="C83" s="62" t="s">
        <v>207</v>
      </c>
      <c r="D83" s="63">
        <v>1</v>
      </c>
      <c r="E83" s="64">
        <v>8.6948960960000005E-5</v>
      </c>
    </row>
    <row r="84" spans="2:5" ht="15" customHeight="1">
      <c r="B84" s="81"/>
      <c r="C84" s="62" t="s">
        <v>193</v>
      </c>
      <c r="D84" s="63">
        <v>19</v>
      </c>
      <c r="E84" s="64">
        <v>1.6520302582380001E-3</v>
      </c>
    </row>
    <row r="85" spans="2:5" ht="15" customHeight="1">
      <c r="B85" s="81"/>
      <c r="C85" s="62" t="s">
        <v>194</v>
      </c>
      <c r="D85" s="63">
        <v>9</v>
      </c>
      <c r="E85" s="64">
        <v>7.8254064863900001E-4</v>
      </c>
    </row>
    <row r="86" spans="2:5" ht="15" customHeight="1">
      <c r="B86" s="81"/>
      <c r="C86" s="62" t="s">
        <v>195</v>
      </c>
      <c r="D86" s="63">
        <v>3</v>
      </c>
      <c r="E86" s="64">
        <v>2.6084688287999997E-4</v>
      </c>
    </row>
    <row r="87" spans="2:5" ht="15" customHeight="1">
      <c r="B87" s="81"/>
      <c r="C87" s="62" t="s">
        <v>212</v>
      </c>
      <c r="D87" s="63">
        <v>1</v>
      </c>
      <c r="E87" s="64">
        <v>8.6948960960000005E-5</v>
      </c>
    </row>
    <row r="88" spans="2:5" ht="15" customHeight="1">
      <c r="B88" s="81"/>
      <c r="C88" s="62" t="s">
        <v>196</v>
      </c>
      <c r="D88" s="63">
        <v>1</v>
      </c>
      <c r="E88" s="64">
        <v>8.6948960960000005E-5</v>
      </c>
    </row>
    <row r="89" spans="2:5" ht="15" customHeight="1">
      <c r="B89" s="81"/>
      <c r="C89" s="62" t="s">
        <v>197</v>
      </c>
      <c r="D89" s="63">
        <v>3</v>
      </c>
      <c r="E89" s="64">
        <v>2.6084688287999997E-4</v>
      </c>
    </row>
    <row r="90" spans="2:5" ht="15" customHeight="1">
      <c r="B90" s="81"/>
      <c r="C90" s="62" t="s">
        <v>208</v>
      </c>
      <c r="D90" s="63">
        <v>1</v>
      </c>
      <c r="E90" s="64">
        <v>8.6948960960000005E-5</v>
      </c>
    </row>
    <row r="91" spans="2:5" ht="15" customHeight="1">
      <c r="B91" s="81"/>
      <c r="C91" s="62" t="s">
        <v>83</v>
      </c>
      <c r="D91" s="63">
        <v>1</v>
      </c>
      <c r="E91" s="64">
        <v>8.6948960960000005E-5</v>
      </c>
    </row>
    <row r="92" spans="2:5" ht="15" customHeight="1">
      <c r="B92" s="81"/>
      <c r="C92" s="62" t="s">
        <v>200</v>
      </c>
      <c r="D92" s="63">
        <v>2</v>
      </c>
      <c r="E92" s="64">
        <v>1.7389792192000001E-4</v>
      </c>
    </row>
    <row r="93" spans="2:5" ht="15" customHeight="1">
      <c r="B93" s="81"/>
      <c r="C93" s="62" t="s">
        <v>202</v>
      </c>
      <c r="D93" s="63">
        <v>1</v>
      </c>
      <c r="E93" s="64">
        <v>8.6948960960000005E-5</v>
      </c>
    </row>
    <row r="94" spans="2:5" ht="15" customHeight="1">
      <c r="B94" s="81"/>
      <c r="C94" s="62" t="s">
        <v>203</v>
      </c>
      <c r="D94" s="63">
        <v>17</v>
      </c>
      <c r="E94" s="64">
        <v>1.4781323363190001E-3</v>
      </c>
    </row>
    <row r="95" spans="2:5" ht="15" customHeight="1">
      <c r="B95" s="81"/>
      <c r="C95" s="62" t="s">
        <v>209</v>
      </c>
      <c r="D95" s="63">
        <v>4</v>
      </c>
      <c r="E95" s="64">
        <v>3.4779584384000002E-4</v>
      </c>
    </row>
    <row r="96" spans="2:5" ht="15" customHeight="1">
      <c r="B96" s="81"/>
      <c r="C96" s="62" t="s">
        <v>204</v>
      </c>
      <c r="D96" s="63">
        <v>108</v>
      </c>
      <c r="E96" s="64">
        <v>9.3904877836710008E-3</v>
      </c>
    </row>
    <row r="97" spans="2:5" ht="15" customHeight="1">
      <c r="B97" s="81"/>
      <c r="C97" s="62" t="s">
        <v>210</v>
      </c>
      <c r="D97" s="63">
        <v>6</v>
      </c>
      <c r="E97" s="64">
        <v>5.2169376575899999E-4</v>
      </c>
    </row>
    <row r="98" spans="2:5" ht="15" customHeight="1">
      <c r="B98" s="80"/>
      <c r="C98" s="36" t="s">
        <v>28</v>
      </c>
      <c r="D98" s="35">
        <v>205</v>
      </c>
      <c r="E98" s="34">
        <v>1.7824536996782998E-2</v>
      </c>
    </row>
    <row r="99" spans="2:5" ht="15" customHeight="1">
      <c r="B99" s="79" t="s">
        <v>106</v>
      </c>
      <c r="C99" s="62" t="s">
        <v>190</v>
      </c>
      <c r="D99" s="63">
        <v>1</v>
      </c>
      <c r="E99" s="64">
        <v>8.6948960960000005E-5</v>
      </c>
    </row>
    <row r="100" spans="2:5" ht="15" customHeight="1">
      <c r="B100" s="81"/>
      <c r="C100" s="62" t="s">
        <v>197</v>
      </c>
      <c r="D100" s="63">
        <v>1</v>
      </c>
      <c r="E100" s="64">
        <v>8.6948960960000005E-5</v>
      </c>
    </row>
    <row r="101" spans="2:5" ht="15" customHeight="1">
      <c r="B101" s="81"/>
      <c r="C101" s="62" t="s">
        <v>203</v>
      </c>
      <c r="D101" s="63">
        <v>1</v>
      </c>
      <c r="E101" s="64">
        <v>8.6948960960000005E-5</v>
      </c>
    </row>
    <row r="102" spans="2:5" ht="15" customHeight="1">
      <c r="B102" s="81"/>
      <c r="C102" s="62" t="s">
        <v>204</v>
      </c>
      <c r="D102" s="63">
        <v>4</v>
      </c>
      <c r="E102" s="64">
        <v>3.4779584384000002E-4</v>
      </c>
    </row>
    <row r="103" spans="2:5" ht="15" customHeight="1">
      <c r="B103" s="80"/>
      <c r="C103" s="36" t="s">
        <v>28</v>
      </c>
      <c r="D103" s="35">
        <v>7</v>
      </c>
      <c r="E103" s="34">
        <v>6.0864272671900003E-4</v>
      </c>
    </row>
    <row r="104" spans="2:5" ht="15" customHeight="1">
      <c r="B104" s="79" t="s">
        <v>107</v>
      </c>
      <c r="C104" s="62" t="s">
        <v>200</v>
      </c>
      <c r="D104" s="63">
        <v>1</v>
      </c>
      <c r="E104" s="64">
        <v>8.6948960960000005E-5</v>
      </c>
    </row>
    <row r="105" spans="2:5" ht="15" customHeight="1">
      <c r="B105" s="81"/>
      <c r="C105" s="62" t="s">
        <v>203</v>
      </c>
      <c r="D105" s="63">
        <v>1</v>
      </c>
      <c r="E105" s="64">
        <v>8.6948960960000005E-5</v>
      </c>
    </row>
    <row r="106" spans="2:5" ht="15" customHeight="1">
      <c r="B106" s="80"/>
      <c r="C106" s="36" t="s">
        <v>28</v>
      </c>
      <c r="D106" s="35">
        <v>2</v>
      </c>
      <c r="E106" s="34">
        <v>1.7389792192000001E-4</v>
      </c>
    </row>
    <row r="107" spans="2:5" ht="15" customHeight="1">
      <c r="B107" s="79" t="s">
        <v>108</v>
      </c>
      <c r="C107" s="62" t="s">
        <v>211</v>
      </c>
      <c r="D107" s="63">
        <v>1</v>
      </c>
      <c r="E107" s="64">
        <v>8.6948960960000005E-5</v>
      </c>
    </row>
    <row r="108" spans="2:5" ht="15" customHeight="1">
      <c r="B108" s="81"/>
      <c r="C108" s="62" t="s">
        <v>189</v>
      </c>
      <c r="D108" s="63">
        <v>3</v>
      </c>
      <c r="E108" s="64">
        <v>2.6084688287999997E-4</v>
      </c>
    </row>
    <row r="109" spans="2:5" ht="15" customHeight="1">
      <c r="B109" s="81"/>
      <c r="C109" s="62" t="s">
        <v>190</v>
      </c>
      <c r="D109" s="63">
        <v>2</v>
      </c>
      <c r="E109" s="64">
        <v>1.7389792192000001E-4</v>
      </c>
    </row>
    <row r="110" spans="2:5" ht="15" customHeight="1">
      <c r="B110" s="81"/>
      <c r="C110" s="62" t="s">
        <v>206</v>
      </c>
      <c r="D110" s="63">
        <v>5</v>
      </c>
      <c r="E110" s="64">
        <v>4.3474480480000001E-4</v>
      </c>
    </row>
    <row r="111" spans="2:5" ht="15" customHeight="1">
      <c r="B111" s="81"/>
      <c r="C111" s="62" t="s">
        <v>213</v>
      </c>
      <c r="D111" s="63">
        <v>2</v>
      </c>
      <c r="E111" s="64">
        <v>1.7389792192000001E-4</v>
      </c>
    </row>
    <row r="112" spans="2:5" ht="15" customHeight="1">
      <c r="B112" s="81"/>
      <c r="C112" s="62" t="s">
        <v>214</v>
      </c>
      <c r="D112" s="63">
        <v>1</v>
      </c>
      <c r="E112" s="64">
        <v>8.6948960960000005E-5</v>
      </c>
    </row>
    <row r="113" spans="2:5" ht="15" customHeight="1">
      <c r="B113" s="81"/>
      <c r="C113" s="62" t="s">
        <v>215</v>
      </c>
      <c r="D113" s="63">
        <v>1</v>
      </c>
      <c r="E113" s="64">
        <v>8.6948960960000005E-5</v>
      </c>
    </row>
    <row r="114" spans="2:5" ht="15" customHeight="1">
      <c r="B114" s="81"/>
      <c r="C114" s="62" t="s">
        <v>193</v>
      </c>
      <c r="D114" s="63">
        <v>8</v>
      </c>
      <c r="E114" s="64">
        <v>6.9559168767899997E-4</v>
      </c>
    </row>
    <row r="115" spans="2:5" ht="15" customHeight="1">
      <c r="B115" s="81"/>
      <c r="C115" s="62" t="s">
        <v>194</v>
      </c>
      <c r="D115" s="63">
        <v>29</v>
      </c>
      <c r="E115" s="64">
        <v>2.5215198678380001E-3</v>
      </c>
    </row>
    <row r="116" spans="2:5" ht="15" customHeight="1">
      <c r="B116" s="81"/>
      <c r="C116" s="62" t="s">
        <v>195</v>
      </c>
      <c r="D116" s="63">
        <v>47</v>
      </c>
      <c r="E116" s="64">
        <v>4.0866011651160003E-3</v>
      </c>
    </row>
    <row r="117" spans="2:5" ht="15" customHeight="1">
      <c r="B117" s="81"/>
      <c r="C117" s="62" t="s">
        <v>196</v>
      </c>
      <c r="D117" s="63">
        <v>1</v>
      </c>
      <c r="E117" s="64">
        <v>8.6948960960000005E-5</v>
      </c>
    </row>
    <row r="118" spans="2:5" ht="15" customHeight="1">
      <c r="B118" s="81"/>
      <c r="C118" s="62" t="s">
        <v>197</v>
      </c>
      <c r="D118" s="63">
        <v>20</v>
      </c>
      <c r="E118" s="64">
        <v>1.7389792191979999E-3</v>
      </c>
    </row>
    <row r="119" spans="2:5" ht="15" customHeight="1">
      <c r="B119" s="81"/>
      <c r="C119" s="62" t="s">
        <v>208</v>
      </c>
      <c r="D119" s="63">
        <v>1</v>
      </c>
      <c r="E119" s="64">
        <v>8.6948960960000005E-5</v>
      </c>
    </row>
    <row r="120" spans="2:5" ht="15" customHeight="1">
      <c r="B120" s="81"/>
      <c r="C120" s="62" t="s">
        <v>199</v>
      </c>
      <c r="D120" s="63">
        <v>1</v>
      </c>
      <c r="E120" s="64">
        <v>8.6948960960000005E-5</v>
      </c>
    </row>
    <row r="121" spans="2:5" ht="15" customHeight="1">
      <c r="B121" s="81"/>
      <c r="C121" s="62" t="s">
        <v>200</v>
      </c>
      <c r="D121" s="63">
        <v>6</v>
      </c>
      <c r="E121" s="64">
        <v>5.2169376575899999E-4</v>
      </c>
    </row>
    <row r="122" spans="2:5" ht="15" customHeight="1">
      <c r="B122" s="81"/>
      <c r="C122" s="62" t="s">
        <v>202</v>
      </c>
      <c r="D122" s="63">
        <v>6</v>
      </c>
      <c r="E122" s="64">
        <v>5.2169376575899999E-4</v>
      </c>
    </row>
    <row r="123" spans="2:5" ht="15" customHeight="1">
      <c r="B123" s="81"/>
      <c r="C123" s="62" t="s">
        <v>203</v>
      </c>
      <c r="D123" s="63">
        <v>5</v>
      </c>
      <c r="E123" s="64">
        <v>4.3474480480000001E-4</v>
      </c>
    </row>
    <row r="124" spans="2:5" ht="15" customHeight="1">
      <c r="B124" s="81"/>
      <c r="C124" s="62" t="s">
        <v>204</v>
      </c>
      <c r="D124" s="63">
        <v>37</v>
      </c>
      <c r="E124" s="64">
        <v>3.217111555517E-3</v>
      </c>
    </row>
    <row r="125" spans="2:5" ht="15" customHeight="1">
      <c r="B125" s="81"/>
      <c r="C125" s="62" t="s">
        <v>216</v>
      </c>
      <c r="D125" s="63">
        <v>3</v>
      </c>
      <c r="E125" s="64">
        <v>2.6084688287999997E-4</v>
      </c>
    </row>
    <row r="126" spans="2:5" ht="15" customHeight="1">
      <c r="B126" s="80"/>
      <c r="C126" s="36" t="s">
        <v>28</v>
      </c>
      <c r="D126" s="35">
        <v>179</v>
      </c>
      <c r="E126" s="34">
        <v>1.5563864011824999E-2</v>
      </c>
    </row>
    <row r="127" spans="2:5" ht="15" customHeight="1">
      <c r="B127" s="79" t="s">
        <v>109</v>
      </c>
      <c r="C127" s="62" t="s">
        <v>189</v>
      </c>
      <c r="D127" s="63">
        <v>2</v>
      </c>
      <c r="E127" s="64">
        <v>1.7389792192000001E-4</v>
      </c>
    </row>
    <row r="128" spans="2:5" ht="15" customHeight="1">
      <c r="B128" s="81"/>
      <c r="C128" s="62" t="s">
        <v>191</v>
      </c>
      <c r="D128" s="63">
        <v>2</v>
      </c>
      <c r="E128" s="64">
        <v>1.7389792192000001E-4</v>
      </c>
    </row>
    <row r="129" spans="2:5" ht="15" customHeight="1">
      <c r="B129" s="81"/>
      <c r="C129" s="62" t="s">
        <v>206</v>
      </c>
      <c r="D129" s="63">
        <v>5</v>
      </c>
      <c r="E129" s="64">
        <v>4.3474480480000001E-4</v>
      </c>
    </row>
    <row r="130" spans="2:5" ht="15" customHeight="1">
      <c r="B130" s="81"/>
      <c r="C130" s="62" t="s">
        <v>207</v>
      </c>
      <c r="D130" s="63">
        <v>1</v>
      </c>
      <c r="E130" s="64">
        <v>8.6948960960000005E-5</v>
      </c>
    </row>
    <row r="131" spans="2:5" ht="15" customHeight="1">
      <c r="B131" s="81"/>
      <c r="C131" s="62" t="s">
        <v>217</v>
      </c>
      <c r="D131" s="63">
        <v>2</v>
      </c>
      <c r="E131" s="64">
        <v>1.7389792192000001E-4</v>
      </c>
    </row>
    <row r="132" spans="2:5" ht="15" customHeight="1">
      <c r="B132" s="81"/>
      <c r="C132" s="62" t="s">
        <v>218</v>
      </c>
      <c r="D132" s="63">
        <v>1</v>
      </c>
      <c r="E132" s="64">
        <v>8.6948960960000005E-5</v>
      </c>
    </row>
    <row r="133" spans="2:5" ht="15" customHeight="1">
      <c r="B133" s="81"/>
      <c r="C133" s="62" t="s">
        <v>193</v>
      </c>
      <c r="D133" s="63">
        <v>5</v>
      </c>
      <c r="E133" s="64">
        <v>4.3474480480000001E-4</v>
      </c>
    </row>
    <row r="134" spans="2:5" ht="15" customHeight="1">
      <c r="B134" s="81"/>
      <c r="C134" s="62" t="s">
        <v>194</v>
      </c>
      <c r="D134" s="63">
        <v>16</v>
      </c>
      <c r="E134" s="64">
        <v>1.391183375359E-3</v>
      </c>
    </row>
    <row r="135" spans="2:5" ht="15" customHeight="1">
      <c r="B135" s="81"/>
      <c r="C135" s="62" t="s">
        <v>195</v>
      </c>
      <c r="D135" s="63">
        <v>9</v>
      </c>
      <c r="E135" s="64">
        <v>7.8254064863900001E-4</v>
      </c>
    </row>
    <row r="136" spans="2:5" ht="15" customHeight="1">
      <c r="B136" s="81"/>
      <c r="C136" s="62" t="s">
        <v>212</v>
      </c>
      <c r="D136" s="63">
        <v>1</v>
      </c>
      <c r="E136" s="64">
        <v>8.6948960960000005E-5</v>
      </c>
    </row>
    <row r="137" spans="2:5" ht="15" customHeight="1">
      <c r="B137" s="81"/>
      <c r="C137" s="62" t="s">
        <v>196</v>
      </c>
      <c r="D137" s="63">
        <v>2</v>
      </c>
      <c r="E137" s="64">
        <v>1.7389792192000001E-4</v>
      </c>
    </row>
    <row r="138" spans="2:5" ht="15" customHeight="1">
      <c r="B138" s="81"/>
      <c r="C138" s="62" t="s">
        <v>197</v>
      </c>
      <c r="D138" s="63">
        <v>6</v>
      </c>
      <c r="E138" s="64">
        <v>5.2169376575899999E-4</v>
      </c>
    </row>
    <row r="139" spans="2:5" ht="15" customHeight="1">
      <c r="B139" s="81"/>
      <c r="C139" s="62" t="s">
        <v>208</v>
      </c>
      <c r="D139" s="63">
        <v>1</v>
      </c>
      <c r="E139" s="64">
        <v>8.6948960960000005E-5</v>
      </c>
    </row>
    <row r="140" spans="2:5" ht="15" customHeight="1">
      <c r="B140" s="81"/>
      <c r="C140" s="62" t="s">
        <v>199</v>
      </c>
      <c r="D140" s="63">
        <v>5</v>
      </c>
      <c r="E140" s="64">
        <v>4.3474480480000001E-4</v>
      </c>
    </row>
    <row r="141" spans="2:5" ht="15" customHeight="1">
      <c r="B141" s="81"/>
      <c r="C141" s="62" t="s">
        <v>200</v>
      </c>
      <c r="D141" s="63">
        <v>1</v>
      </c>
      <c r="E141" s="64">
        <v>8.6948960960000005E-5</v>
      </c>
    </row>
    <row r="142" spans="2:5" ht="15" customHeight="1">
      <c r="B142" s="81"/>
      <c r="C142" s="62" t="s">
        <v>201</v>
      </c>
      <c r="D142" s="63">
        <v>1</v>
      </c>
      <c r="E142" s="64">
        <v>8.6948960960000005E-5</v>
      </c>
    </row>
    <row r="143" spans="2:5" ht="15" customHeight="1">
      <c r="B143" s="81"/>
      <c r="C143" s="62" t="s">
        <v>202</v>
      </c>
      <c r="D143" s="63">
        <v>6</v>
      </c>
      <c r="E143" s="64">
        <v>5.2169376575899999E-4</v>
      </c>
    </row>
    <row r="144" spans="2:5" ht="15" customHeight="1">
      <c r="B144" s="81"/>
      <c r="C144" s="62" t="s">
        <v>203</v>
      </c>
      <c r="D144" s="63">
        <v>7</v>
      </c>
      <c r="E144" s="64">
        <v>6.0864272671900003E-4</v>
      </c>
    </row>
    <row r="145" spans="2:5" ht="15" customHeight="1">
      <c r="B145" s="81"/>
      <c r="C145" s="62" t="s">
        <v>209</v>
      </c>
      <c r="D145" s="63">
        <v>1</v>
      </c>
      <c r="E145" s="64">
        <v>8.6948960960000005E-5</v>
      </c>
    </row>
    <row r="146" spans="2:5" ht="15" customHeight="1">
      <c r="B146" s="81"/>
      <c r="C146" s="62" t="s">
        <v>204</v>
      </c>
      <c r="D146" s="63">
        <v>17</v>
      </c>
      <c r="E146" s="64">
        <v>1.4781323363190001E-3</v>
      </c>
    </row>
    <row r="147" spans="2:5" ht="15" customHeight="1">
      <c r="B147" s="80"/>
      <c r="C147" s="36" t="s">
        <v>28</v>
      </c>
      <c r="D147" s="35">
        <v>91</v>
      </c>
      <c r="E147" s="34">
        <v>7.9123554473520003E-3</v>
      </c>
    </row>
    <row r="148" spans="2:5" ht="15" customHeight="1">
      <c r="B148" s="79" t="s">
        <v>110</v>
      </c>
      <c r="C148" s="62" t="s">
        <v>193</v>
      </c>
      <c r="D148" s="63">
        <v>1</v>
      </c>
      <c r="E148" s="64">
        <v>8.6948960960000005E-5</v>
      </c>
    </row>
    <row r="149" spans="2:5" ht="15" customHeight="1">
      <c r="B149" s="81"/>
      <c r="C149" s="62" t="s">
        <v>194</v>
      </c>
      <c r="D149" s="63">
        <v>2</v>
      </c>
      <c r="E149" s="64">
        <v>1.7389792192000001E-4</v>
      </c>
    </row>
    <row r="150" spans="2:5" ht="15" customHeight="1">
      <c r="B150" s="81"/>
      <c r="C150" s="62" t="s">
        <v>197</v>
      </c>
      <c r="D150" s="63">
        <v>1</v>
      </c>
      <c r="E150" s="64">
        <v>8.6948960960000005E-5</v>
      </c>
    </row>
    <row r="151" spans="2:5" ht="15" customHeight="1">
      <c r="B151" s="81"/>
      <c r="C151" s="62" t="s">
        <v>204</v>
      </c>
      <c r="D151" s="63">
        <v>9</v>
      </c>
      <c r="E151" s="64">
        <v>7.8254064863900001E-4</v>
      </c>
    </row>
    <row r="152" spans="2:5" ht="15" customHeight="1">
      <c r="B152" s="81"/>
      <c r="C152" s="62" t="s">
        <v>210</v>
      </c>
      <c r="D152" s="63">
        <v>1</v>
      </c>
      <c r="E152" s="64">
        <v>8.6948960960000005E-5</v>
      </c>
    </row>
    <row r="153" spans="2:5" ht="15" customHeight="1">
      <c r="B153" s="80"/>
      <c r="C153" s="36" t="s">
        <v>28</v>
      </c>
      <c r="D153" s="35">
        <v>14</v>
      </c>
      <c r="E153" s="34">
        <v>1.2172854534389999E-3</v>
      </c>
    </row>
    <row r="154" spans="2:5" ht="15" customHeight="1">
      <c r="B154" s="79" t="s">
        <v>111</v>
      </c>
      <c r="C154" s="62" t="s">
        <v>211</v>
      </c>
      <c r="D154" s="63">
        <v>1</v>
      </c>
      <c r="E154" s="64">
        <v>8.6948960960000005E-5</v>
      </c>
    </row>
    <row r="155" spans="2:5" ht="15" customHeight="1">
      <c r="B155" s="81"/>
      <c r="C155" s="62" t="s">
        <v>189</v>
      </c>
      <c r="D155" s="63">
        <v>3</v>
      </c>
      <c r="E155" s="64">
        <v>2.6084688287999997E-4</v>
      </c>
    </row>
    <row r="156" spans="2:5" ht="15" customHeight="1">
      <c r="B156" s="81"/>
      <c r="C156" s="62" t="s">
        <v>219</v>
      </c>
      <c r="D156" s="63">
        <v>19</v>
      </c>
      <c r="E156" s="64">
        <v>1.6520302582380001E-3</v>
      </c>
    </row>
    <row r="157" spans="2:5" ht="15" customHeight="1">
      <c r="B157" s="81"/>
      <c r="C157" s="62" t="s">
        <v>190</v>
      </c>
      <c r="D157" s="63">
        <v>1</v>
      </c>
      <c r="E157" s="64">
        <v>8.6948960960000005E-5</v>
      </c>
    </row>
    <row r="158" spans="2:5" ht="15" customHeight="1">
      <c r="B158" s="81"/>
      <c r="C158" s="62" t="s">
        <v>206</v>
      </c>
      <c r="D158" s="63">
        <v>10</v>
      </c>
      <c r="E158" s="64">
        <v>8.6948960959899995E-4</v>
      </c>
    </row>
    <row r="159" spans="2:5" ht="15" customHeight="1">
      <c r="B159" s="81"/>
      <c r="C159" s="62" t="s">
        <v>218</v>
      </c>
      <c r="D159" s="63">
        <v>1</v>
      </c>
      <c r="E159" s="64">
        <v>8.6948960960000005E-5</v>
      </c>
    </row>
    <row r="160" spans="2:5" ht="15" customHeight="1">
      <c r="B160" s="81"/>
      <c r="C160" s="62" t="s">
        <v>193</v>
      </c>
      <c r="D160" s="63">
        <v>9</v>
      </c>
      <c r="E160" s="64">
        <v>7.8254064863900001E-4</v>
      </c>
    </row>
    <row r="161" spans="2:5" ht="15" customHeight="1">
      <c r="B161" s="81"/>
      <c r="C161" s="62" t="s">
        <v>194</v>
      </c>
      <c r="D161" s="63">
        <v>21</v>
      </c>
      <c r="E161" s="64">
        <v>1.8259281801579999E-3</v>
      </c>
    </row>
    <row r="162" spans="2:5" ht="15" customHeight="1">
      <c r="B162" s="81"/>
      <c r="C162" s="62" t="s">
        <v>220</v>
      </c>
      <c r="D162" s="63">
        <v>2</v>
      </c>
      <c r="E162" s="64">
        <v>1.7389792192000001E-4</v>
      </c>
    </row>
    <row r="163" spans="2:5" ht="15" customHeight="1">
      <c r="B163" s="81"/>
      <c r="C163" s="62" t="s">
        <v>195</v>
      </c>
      <c r="D163" s="63">
        <v>5</v>
      </c>
      <c r="E163" s="64">
        <v>4.3474480480000001E-4</v>
      </c>
    </row>
    <row r="164" spans="2:5" ht="15" customHeight="1">
      <c r="B164" s="81"/>
      <c r="C164" s="62" t="s">
        <v>212</v>
      </c>
      <c r="D164" s="63">
        <v>1</v>
      </c>
      <c r="E164" s="64">
        <v>8.6948960960000005E-5</v>
      </c>
    </row>
    <row r="165" spans="2:5" ht="15" customHeight="1">
      <c r="B165" s="81"/>
      <c r="C165" s="62" t="s">
        <v>196</v>
      </c>
      <c r="D165" s="63">
        <v>1</v>
      </c>
      <c r="E165" s="64">
        <v>8.6948960960000005E-5</v>
      </c>
    </row>
    <row r="166" spans="2:5" ht="15" customHeight="1">
      <c r="B166" s="81"/>
      <c r="C166" s="62" t="s">
        <v>197</v>
      </c>
      <c r="D166" s="63">
        <v>28</v>
      </c>
      <c r="E166" s="64">
        <v>2.4345709068779998E-3</v>
      </c>
    </row>
    <row r="167" spans="2:5" ht="15" customHeight="1">
      <c r="B167" s="81"/>
      <c r="C167" s="62" t="s">
        <v>198</v>
      </c>
      <c r="D167" s="63">
        <v>2</v>
      </c>
      <c r="E167" s="64">
        <v>1.7389792192000001E-4</v>
      </c>
    </row>
    <row r="168" spans="2:5" ht="15" customHeight="1">
      <c r="B168" s="81"/>
      <c r="C168" s="62" t="s">
        <v>199</v>
      </c>
      <c r="D168" s="63">
        <v>4</v>
      </c>
      <c r="E168" s="64">
        <v>3.4779584384000002E-4</v>
      </c>
    </row>
    <row r="169" spans="2:5" ht="15" customHeight="1">
      <c r="B169" s="81"/>
      <c r="C169" s="62" t="s">
        <v>200</v>
      </c>
      <c r="D169" s="63">
        <v>28</v>
      </c>
      <c r="E169" s="64">
        <v>2.4345709068779998E-3</v>
      </c>
    </row>
    <row r="170" spans="2:5" ht="15" customHeight="1">
      <c r="B170" s="81"/>
      <c r="C170" s="62" t="s">
        <v>201</v>
      </c>
      <c r="D170" s="63">
        <v>2</v>
      </c>
      <c r="E170" s="64">
        <v>1.7389792192000001E-4</v>
      </c>
    </row>
    <row r="171" spans="2:5" ht="15" customHeight="1">
      <c r="B171" s="81"/>
      <c r="C171" s="62" t="s">
        <v>202</v>
      </c>
      <c r="D171" s="63">
        <v>3</v>
      </c>
      <c r="E171" s="64">
        <v>2.6084688287999997E-4</v>
      </c>
    </row>
    <row r="172" spans="2:5" ht="15" customHeight="1">
      <c r="B172" s="81"/>
      <c r="C172" s="62" t="s">
        <v>203</v>
      </c>
      <c r="D172" s="63">
        <v>16</v>
      </c>
      <c r="E172" s="64">
        <v>1.391183375359E-3</v>
      </c>
    </row>
    <row r="173" spans="2:5" ht="15" customHeight="1">
      <c r="B173" s="81"/>
      <c r="C173" s="62" t="s">
        <v>204</v>
      </c>
      <c r="D173" s="63">
        <v>122</v>
      </c>
      <c r="E173" s="64">
        <v>1.0607773237109999E-2</v>
      </c>
    </row>
    <row r="174" spans="2:5" ht="15" customHeight="1">
      <c r="B174" s="81"/>
      <c r="C174" s="62" t="s">
        <v>210</v>
      </c>
      <c r="D174" s="63">
        <v>5</v>
      </c>
      <c r="E174" s="64">
        <v>4.3474480480000001E-4</v>
      </c>
    </row>
    <row r="175" spans="2:5" ht="15" customHeight="1">
      <c r="B175" s="81"/>
      <c r="C175" s="62" t="s">
        <v>221</v>
      </c>
      <c r="D175" s="63">
        <v>2</v>
      </c>
      <c r="E175" s="64">
        <v>1.7389792192000001E-4</v>
      </c>
    </row>
    <row r="176" spans="2:5" ht="15" customHeight="1">
      <c r="B176" s="81"/>
      <c r="C176" s="62" t="s">
        <v>216</v>
      </c>
      <c r="D176" s="63">
        <v>1</v>
      </c>
      <c r="E176" s="64">
        <v>8.6948960960000005E-5</v>
      </c>
    </row>
    <row r="177" spans="2:5" ht="15" customHeight="1">
      <c r="B177" s="80"/>
      <c r="C177" s="36" t="s">
        <v>28</v>
      </c>
      <c r="D177" s="35">
        <v>287</v>
      </c>
      <c r="E177" s="34">
        <v>2.4954351795495999E-2</v>
      </c>
    </row>
    <row r="178" spans="2:5" ht="15" customHeight="1">
      <c r="B178" s="79" t="s">
        <v>112</v>
      </c>
      <c r="C178" s="62" t="s">
        <v>189</v>
      </c>
      <c r="D178" s="63">
        <v>5</v>
      </c>
      <c r="E178" s="64">
        <v>4.3474480480000001E-4</v>
      </c>
    </row>
    <row r="179" spans="2:5" ht="15" customHeight="1">
      <c r="B179" s="81"/>
      <c r="C179" s="62" t="s">
        <v>219</v>
      </c>
      <c r="D179" s="63">
        <v>1</v>
      </c>
      <c r="E179" s="64">
        <v>8.6948960960000005E-5</v>
      </c>
    </row>
    <row r="180" spans="2:5" ht="15" customHeight="1">
      <c r="B180" s="81"/>
      <c r="C180" s="62" t="s">
        <v>222</v>
      </c>
      <c r="D180" s="63">
        <v>2</v>
      </c>
      <c r="E180" s="64">
        <v>1.7389792192000001E-4</v>
      </c>
    </row>
    <row r="181" spans="2:5" ht="15" customHeight="1">
      <c r="B181" s="81"/>
      <c r="C181" s="62" t="s">
        <v>205</v>
      </c>
      <c r="D181" s="63">
        <v>1</v>
      </c>
      <c r="E181" s="64">
        <v>8.6948960960000005E-5</v>
      </c>
    </row>
    <row r="182" spans="2:5" ht="15" customHeight="1">
      <c r="B182" s="81"/>
      <c r="C182" s="62" t="s">
        <v>191</v>
      </c>
      <c r="D182" s="63">
        <v>1</v>
      </c>
      <c r="E182" s="64">
        <v>8.6948960960000005E-5</v>
      </c>
    </row>
    <row r="183" spans="2:5" ht="15" customHeight="1">
      <c r="B183" s="81"/>
      <c r="C183" s="62" t="s">
        <v>206</v>
      </c>
      <c r="D183" s="63">
        <v>2</v>
      </c>
      <c r="E183" s="64">
        <v>1.7389792192000001E-4</v>
      </c>
    </row>
    <row r="184" spans="2:5" ht="15" customHeight="1">
      <c r="B184" s="81"/>
      <c r="C184" s="62" t="s">
        <v>193</v>
      </c>
      <c r="D184" s="63">
        <v>4</v>
      </c>
      <c r="E184" s="64">
        <v>3.4779584384000002E-4</v>
      </c>
    </row>
    <row r="185" spans="2:5" ht="15" customHeight="1">
      <c r="B185" s="81"/>
      <c r="C185" s="62" t="s">
        <v>194</v>
      </c>
      <c r="D185" s="63">
        <v>7</v>
      </c>
      <c r="E185" s="64">
        <v>6.0864272671900003E-4</v>
      </c>
    </row>
    <row r="186" spans="2:5" ht="15" customHeight="1">
      <c r="B186" s="81"/>
      <c r="C186" s="62" t="s">
        <v>195</v>
      </c>
      <c r="D186" s="63">
        <v>1</v>
      </c>
      <c r="E186" s="64">
        <v>8.6948960960000005E-5</v>
      </c>
    </row>
    <row r="187" spans="2:5" ht="15" customHeight="1">
      <c r="B187" s="81"/>
      <c r="C187" s="62" t="s">
        <v>196</v>
      </c>
      <c r="D187" s="63">
        <v>4</v>
      </c>
      <c r="E187" s="64">
        <v>3.4779584384000002E-4</v>
      </c>
    </row>
    <row r="188" spans="2:5" ht="15" customHeight="1">
      <c r="B188" s="81"/>
      <c r="C188" s="62" t="s">
        <v>197</v>
      </c>
      <c r="D188" s="63">
        <v>7</v>
      </c>
      <c r="E188" s="64">
        <v>6.0864272671900003E-4</v>
      </c>
    </row>
    <row r="189" spans="2:5" ht="15" customHeight="1">
      <c r="B189" s="81"/>
      <c r="C189" s="62" t="s">
        <v>199</v>
      </c>
      <c r="D189" s="63">
        <v>6</v>
      </c>
      <c r="E189" s="64">
        <v>5.2169376575899999E-4</v>
      </c>
    </row>
    <row r="190" spans="2:5" ht="15" customHeight="1">
      <c r="B190" s="81"/>
      <c r="C190" s="62" t="s">
        <v>200</v>
      </c>
      <c r="D190" s="63">
        <v>11</v>
      </c>
      <c r="E190" s="64">
        <v>9.56438570559E-4</v>
      </c>
    </row>
    <row r="191" spans="2:5" ht="15" customHeight="1">
      <c r="B191" s="81"/>
      <c r="C191" s="62" t="s">
        <v>202</v>
      </c>
      <c r="D191" s="63">
        <v>2</v>
      </c>
      <c r="E191" s="64">
        <v>1.7389792192000001E-4</v>
      </c>
    </row>
    <row r="192" spans="2:5" ht="15" customHeight="1">
      <c r="B192" s="81"/>
      <c r="C192" s="62" t="s">
        <v>203</v>
      </c>
      <c r="D192" s="63">
        <v>8</v>
      </c>
      <c r="E192" s="64">
        <v>6.9559168767899997E-4</v>
      </c>
    </row>
    <row r="193" spans="2:5" ht="15" customHeight="1">
      <c r="B193" s="81"/>
      <c r="C193" s="62" t="s">
        <v>209</v>
      </c>
      <c r="D193" s="63">
        <v>2</v>
      </c>
      <c r="E193" s="64">
        <v>1.7389792192000001E-4</v>
      </c>
    </row>
    <row r="194" spans="2:5" ht="15" customHeight="1">
      <c r="B194" s="81"/>
      <c r="C194" s="62" t="s">
        <v>204</v>
      </c>
      <c r="D194" s="63">
        <v>31</v>
      </c>
      <c r="E194" s="64">
        <v>2.6954177897570001E-3</v>
      </c>
    </row>
    <row r="195" spans="2:5" ht="15" customHeight="1">
      <c r="B195" s="81"/>
      <c r="C195" s="62" t="s">
        <v>210</v>
      </c>
      <c r="D195" s="63">
        <v>1</v>
      </c>
      <c r="E195" s="64">
        <v>8.6948960960000005E-5</v>
      </c>
    </row>
    <row r="196" spans="2:5" ht="15" customHeight="1">
      <c r="B196" s="80"/>
      <c r="C196" s="36" t="s">
        <v>28</v>
      </c>
      <c r="D196" s="35">
        <v>96</v>
      </c>
      <c r="E196" s="34">
        <v>8.3471002521520003E-3</v>
      </c>
    </row>
    <row r="197" spans="2:5" ht="15" customHeight="1">
      <c r="B197" s="79" t="s">
        <v>113</v>
      </c>
      <c r="C197" s="62" t="s">
        <v>190</v>
      </c>
      <c r="D197" s="63">
        <v>1</v>
      </c>
      <c r="E197" s="64">
        <v>8.6948960960000005E-5</v>
      </c>
    </row>
    <row r="198" spans="2:5" ht="15" customHeight="1">
      <c r="B198" s="81"/>
      <c r="C198" s="62" t="s">
        <v>206</v>
      </c>
      <c r="D198" s="63">
        <v>1</v>
      </c>
      <c r="E198" s="64">
        <v>8.6948960960000005E-5</v>
      </c>
    </row>
    <row r="199" spans="2:5" ht="15" customHeight="1">
      <c r="B199" s="81"/>
      <c r="C199" s="62" t="s">
        <v>193</v>
      </c>
      <c r="D199" s="63">
        <v>2</v>
      </c>
      <c r="E199" s="64">
        <v>1.7389792192000001E-4</v>
      </c>
    </row>
    <row r="200" spans="2:5" ht="15" customHeight="1">
      <c r="B200" s="81"/>
      <c r="C200" s="62" t="s">
        <v>194</v>
      </c>
      <c r="D200" s="63">
        <v>1</v>
      </c>
      <c r="E200" s="64">
        <v>8.6948960960000005E-5</v>
      </c>
    </row>
    <row r="201" spans="2:5" ht="15" customHeight="1">
      <c r="B201" s="81"/>
      <c r="C201" s="62" t="s">
        <v>197</v>
      </c>
      <c r="D201" s="63">
        <v>1</v>
      </c>
      <c r="E201" s="64">
        <v>8.6948960960000005E-5</v>
      </c>
    </row>
    <row r="202" spans="2:5" ht="15" customHeight="1">
      <c r="B202" s="81"/>
      <c r="C202" s="62" t="s">
        <v>199</v>
      </c>
      <c r="D202" s="63">
        <v>2</v>
      </c>
      <c r="E202" s="64">
        <v>1.7389792192000001E-4</v>
      </c>
    </row>
    <row r="203" spans="2:5" ht="15" customHeight="1">
      <c r="B203" s="81"/>
      <c r="C203" s="62" t="s">
        <v>202</v>
      </c>
      <c r="D203" s="63">
        <v>4</v>
      </c>
      <c r="E203" s="64">
        <v>3.4779584384000002E-4</v>
      </c>
    </row>
    <row r="204" spans="2:5" ht="15" customHeight="1">
      <c r="B204" s="81"/>
      <c r="C204" s="62" t="s">
        <v>203</v>
      </c>
      <c r="D204" s="63">
        <v>1</v>
      </c>
      <c r="E204" s="64">
        <v>8.6948960960000005E-5</v>
      </c>
    </row>
    <row r="205" spans="2:5" ht="15" customHeight="1">
      <c r="B205" s="81"/>
      <c r="C205" s="62" t="s">
        <v>204</v>
      </c>
      <c r="D205" s="63">
        <v>5</v>
      </c>
      <c r="E205" s="64">
        <v>4.3474480480000001E-4</v>
      </c>
    </row>
    <row r="206" spans="2:5" ht="15" customHeight="1">
      <c r="B206" s="80"/>
      <c r="C206" s="36" t="s">
        <v>28</v>
      </c>
      <c r="D206" s="35">
        <v>18</v>
      </c>
      <c r="E206" s="34">
        <v>1.565081297278E-3</v>
      </c>
    </row>
    <row r="207" spans="2:5" ht="15" customHeight="1">
      <c r="B207" s="79" t="s">
        <v>114</v>
      </c>
      <c r="C207" s="62" t="s">
        <v>211</v>
      </c>
      <c r="D207" s="63">
        <v>1</v>
      </c>
      <c r="E207" s="64">
        <v>8.6948960960000005E-5</v>
      </c>
    </row>
    <row r="208" spans="2:5" ht="15" customHeight="1">
      <c r="B208" s="81"/>
      <c r="C208" s="62" t="s">
        <v>189</v>
      </c>
      <c r="D208" s="63">
        <v>7</v>
      </c>
      <c r="E208" s="64">
        <v>6.0864272671900003E-4</v>
      </c>
    </row>
    <row r="209" spans="2:5" ht="15" customHeight="1">
      <c r="B209" s="81"/>
      <c r="C209" s="62" t="s">
        <v>206</v>
      </c>
      <c r="D209" s="63">
        <v>6</v>
      </c>
      <c r="E209" s="64">
        <v>5.2169376575899999E-4</v>
      </c>
    </row>
    <row r="210" spans="2:5" ht="15" customHeight="1">
      <c r="B210" s="81"/>
      <c r="C210" s="62" t="s">
        <v>215</v>
      </c>
      <c r="D210" s="63">
        <v>1</v>
      </c>
      <c r="E210" s="64">
        <v>8.6948960960000005E-5</v>
      </c>
    </row>
    <row r="211" spans="2:5" ht="15" customHeight="1">
      <c r="B211" s="81"/>
      <c r="C211" s="62" t="s">
        <v>193</v>
      </c>
      <c r="D211" s="63">
        <v>14</v>
      </c>
      <c r="E211" s="64">
        <v>1.2172854534389999E-3</v>
      </c>
    </row>
    <row r="212" spans="2:5" ht="15" customHeight="1">
      <c r="B212" s="81"/>
      <c r="C212" s="62" t="s">
        <v>194</v>
      </c>
      <c r="D212" s="63">
        <v>14</v>
      </c>
      <c r="E212" s="64">
        <v>1.2172854534389999E-3</v>
      </c>
    </row>
    <row r="213" spans="2:5" ht="15" customHeight="1">
      <c r="B213" s="81"/>
      <c r="C213" s="62" t="s">
        <v>195</v>
      </c>
      <c r="D213" s="63">
        <v>14</v>
      </c>
      <c r="E213" s="64">
        <v>1.2172854534389999E-3</v>
      </c>
    </row>
    <row r="214" spans="2:5" ht="15" customHeight="1">
      <c r="B214" s="81"/>
      <c r="C214" s="62" t="s">
        <v>223</v>
      </c>
      <c r="D214" s="63">
        <v>1</v>
      </c>
      <c r="E214" s="64">
        <v>8.6948960960000005E-5</v>
      </c>
    </row>
    <row r="215" spans="2:5" ht="15" customHeight="1">
      <c r="B215" s="81"/>
      <c r="C215" s="62" t="s">
        <v>212</v>
      </c>
      <c r="D215" s="63">
        <v>1</v>
      </c>
      <c r="E215" s="64">
        <v>8.6948960960000005E-5</v>
      </c>
    </row>
    <row r="216" spans="2:5" ht="15" customHeight="1">
      <c r="B216" s="81"/>
      <c r="C216" s="62" t="s">
        <v>197</v>
      </c>
      <c r="D216" s="63">
        <v>4</v>
      </c>
      <c r="E216" s="64">
        <v>3.4779584384000002E-4</v>
      </c>
    </row>
    <row r="217" spans="2:5" ht="15" customHeight="1">
      <c r="B217" s="81"/>
      <c r="C217" s="62" t="s">
        <v>199</v>
      </c>
      <c r="D217" s="63">
        <v>3</v>
      </c>
      <c r="E217" s="64">
        <v>2.6084688287999997E-4</v>
      </c>
    </row>
    <row r="218" spans="2:5" ht="15" customHeight="1">
      <c r="B218" s="81"/>
      <c r="C218" s="62" t="s">
        <v>200</v>
      </c>
      <c r="D218" s="63">
        <v>2</v>
      </c>
      <c r="E218" s="64">
        <v>1.7389792192000001E-4</v>
      </c>
    </row>
    <row r="219" spans="2:5" ht="15" customHeight="1">
      <c r="B219" s="81"/>
      <c r="C219" s="62" t="s">
        <v>202</v>
      </c>
      <c r="D219" s="63">
        <v>8</v>
      </c>
      <c r="E219" s="64">
        <v>6.9559168767899997E-4</v>
      </c>
    </row>
    <row r="220" spans="2:5" ht="15" customHeight="1">
      <c r="B220" s="81"/>
      <c r="C220" s="62" t="s">
        <v>203</v>
      </c>
      <c r="D220" s="63">
        <v>5</v>
      </c>
      <c r="E220" s="64">
        <v>4.3474480480000001E-4</v>
      </c>
    </row>
    <row r="221" spans="2:5" ht="15" customHeight="1">
      <c r="B221" s="81"/>
      <c r="C221" s="62" t="s">
        <v>204</v>
      </c>
      <c r="D221" s="63">
        <v>103</v>
      </c>
      <c r="E221" s="64">
        <v>8.9557429788710008E-3</v>
      </c>
    </row>
    <row r="222" spans="2:5" ht="15" customHeight="1">
      <c r="B222" s="81"/>
      <c r="C222" s="62" t="s">
        <v>210</v>
      </c>
      <c r="D222" s="63">
        <v>1</v>
      </c>
      <c r="E222" s="64">
        <v>8.6948960960000005E-5</v>
      </c>
    </row>
    <row r="223" spans="2:5" ht="15" customHeight="1">
      <c r="B223" s="80"/>
      <c r="C223" s="36" t="s">
        <v>28</v>
      </c>
      <c r="D223" s="35">
        <v>185</v>
      </c>
      <c r="E223" s="34">
        <v>1.6085557777585E-2</v>
      </c>
    </row>
    <row r="224" spans="2:5" ht="15" customHeight="1">
      <c r="B224" s="79" t="s">
        <v>115</v>
      </c>
      <c r="C224" s="62" t="s">
        <v>189</v>
      </c>
      <c r="D224" s="63">
        <v>1</v>
      </c>
      <c r="E224" s="64">
        <v>8.6948960960000005E-5</v>
      </c>
    </row>
    <row r="225" spans="2:5" ht="15" customHeight="1">
      <c r="B225" s="81"/>
      <c r="C225" s="62" t="s">
        <v>191</v>
      </c>
      <c r="D225" s="63">
        <v>1</v>
      </c>
      <c r="E225" s="64">
        <v>8.6948960960000005E-5</v>
      </c>
    </row>
    <row r="226" spans="2:5" ht="15" customHeight="1">
      <c r="B226" s="81"/>
      <c r="C226" s="62" t="s">
        <v>206</v>
      </c>
      <c r="D226" s="63">
        <v>1</v>
      </c>
      <c r="E226" s="64">
        <v>8.6948960960000005E-5</v>
      </c>
    </row>
    <row r="227" spans="2:5" ht="15" customHeight="1">
      <c r="B227" s="81"/>
      <c r="C227" s="62" t="s">
        <v>217</v>
      </c>
      <c r="D227" s="63">
        <v>1</v>
      </c>
      <c r="E227" s="64">
        <v>8.6948960960000005E-5</v>
      </c>
    </row>
    <row r="228" spans="2:5" ht="15" customHeight="1">
      <c r="B228" s="81"/>
      <c r="C228" s="62" t="s">
        <v>193</v>
      </c>
      <c r="D228" s="63">
        <v>3</v>
      </c>
      <c r="E228" s="64">
        <v>2.6084688287999997E-4</v>
      </c>
    </row>
    <row r="229" spans="2:5" ht="15" customHeight="1">
      <c r="B229" s="81"/>
      <c r="C229" s="62" t="s">
        <v>194</v>
      </c>
      <c r="D229" s="63">
        <v>13</v>
      </c>
      <c r="E229" s="64">
        <v>1.1303364924790001E-3</v>
      </c>
    </row>
    <row r="230" spans="2:5" ht="15" customHeight="1">
      <c r="B230" s="81"/>
      <c r="C230" s="62" t="s">
        <v>223</v>
      </c>
      <c r="D230" s="63">
        <v>1</v>
      </c>
      <c r="E230" s="64">
        <v>8.6948960960000005E-5</v>
      </c>
    </row>
    <row r="231" spans="2:5" ht="15" customHeight="1">
      <c r="B231" s="81"/>
      <c r="C231" s="62" t="s">
        <v>212</v>
      </c>
      <c r="D231" s="63">
        <v>1</v>
      </c>
      <c r="E231" s="64">
        <v>8.6948960960000005E-5</v>
      </c>
    </row>
    <row r="232" spans="2:5" ht="15" customHeight="1">
      <c r="B232" s="81"/>
      <c r="C232" s="62" t="s">
        <v>197</v>
      </c>
      <c r="D232" s="63">
        <v>4</v>
      </c>
      <c r="E232" s="64">
        <v>3.4779584384000002E-4</v>
      </c>
    </row>
    <row r="233" spans="2:5" ht="15" customHeight="1">
      <c r="B233" s="81"/>
      <c r="C233" s="62" t="s">
        <v>198</v>
      </c>
      <c r="D233" s="63">
        <v>2</v>
      </c>
      <c r="E233" s="64">
        <v>1.7389792192000001E-4</v>
      </c>
    </row>
    <row r="234" spans="2:5" ht="15" customHeight="1">
      <c r="B234" s="81"/>
      <c r="C234" s="62" t="s">
        <v>199</v>
      </c>
      <c r="D234" s="63">
        <v>7</v>
      </c>
      <c r="E234" s="64">
        <v>6.0864272671900003E-4</v>
      </c>
    </row>
    <row r="235" spans="2:5" ht="15" customHeight="1">
      <c r="B235" s="81"/>
      <c r="C235" s="62" t="s">
        <v>202</v>
      </c>
      <c r="D235" s="63">
        <v>4</v>
      </c>
      <c r="E235" s="64">
        <v>3.4779584384000002E-4</v>
      </c>
    </row>
    <row r="236" spans="2:5" ht="15" customHeight="1">
      <c r="B236" s="81"/>
      <c r="C236" s="62" t="s">
        <v>203</v>
      </c>
      <c r="D236" s="63">
        <v>2</v>
      </c>
      <c r="E236" s="64">
        <v>1.7389792192000001E-4</v>
      </c>
    </row>
    <row r="237" spans="2:5" ht="15" customHeight="1">
      <c r="B237" s="81"/>
      <c r="C237" s="62" t="s">
        <v>204</v>
      </c>
      <c r="D237" s="63">
        <v>27</v>
      </c>
      <c r="E237" s="64">
        <v>2.347621945918E-3</v>
      </c>
    </row>
    <row r="238" spans="2:5" ht="15" customHeight="1">
      <c r="B238" s="81"/>
      <c r="C238" s="62" t="s">
        <v>210</v>
      </c>
      <c r="D238" s="63">
        <v>6</v>
      </c>
      <c r="E238" s="64">
        <v>5.2169376575899999E-4</v>
      </c>
    </row>
    <row r="239" spans="2:5" ht="15" customHeight="1">
      <c r="B239" s="80"/>
      <c r="C239" s="36" t="s">
        <v>28</v>
      </c>
      <c r="D239" s="35">
        <v>74</v>
      </c>
      <c r="E239" s="34">
        <v>6.4342231110339999E-3</v>
      </c>
    </row>
    <row r="240" spans="2:5" ht="15" customHeight="1">
      <c r="B240" s="79" t="s">
        <v>116</v>
      </c>
      <c r="C240" s="62" t="s">
        <v>189</v>
      </c>
      <c r="D240" s="63">
        <v>1</v>
      </c>
      <c r="E240" s="64">
        <v>8.6948960960000005E-5</v>
      </c>
    </row>
    <row r="241" spans="2:5" ht="15" customHeight="1">
      <c r="B241" s="81"/>
      <c r="C241" s="62" t="s">
        <v>219</v>
      </c>
      <c r="D241" s="63">
        <v>1</v>
      </c>
      <c r="E241" s="64">
        <v>8.6948960960000005E-5</v>
      </c>
    </row>
    <row r="242" spans="2:5" ht="15" customHeight="1">
      <c r="B242" s="81"/>
      <c r="C242" s="62" t="s">
        <v>206</v>
      </c>
      <c r="D242" s="63">
        <v>1</v>
      </c>
      <c r="E242" s="64">
        <v>8.6948960960000005E-5</v>
      </c>
    </row>
    <row r="243" spans="2:5" ht="15" customHeight="1">
      <c r="B243" s="81"/>
      <c r="C243" s="62" t="s">
        <v>215</v>
      </c>
      <c r="D243" s="63">
        <v>1</v>
      </c>
      <c r="E243" s="64">
        <v>8.6948960960000005E-5</v>
      </c>
    </row>
    <row r="244" spans="2:5" ht="15" customHeight="1">
      <c r="B244" s="81"/>
      <c r="C244" s="62" t="s">
        <v>193</v>
      </c>
      <c r="D244" s="63">
        <v>2</v>
      </c>
      <c r="E244" s="64">
        <v>1.7389792192000001E-4</v>
      </c>
    </row>
    <row r="245" spans="2:5" ht="15" customHeight="1">
      <c r="B245" s="81"/>
      <c r="C245" s="62" t="s">
        <v>194</v>
      </c>
      <c r="D245" s="63">
        <v>11</v>
      </c>
      <c r="E245" s="64">
        <v>9.56438570559E-4</v>
      </c>
    </row>
    <row r="246" spans="2:5" ht="15" customHeight="1">
      <c r="B246" s="81"/>
      <c r="C246" s="62" t="s">
        <v>195</v>
      </c>
      <c r="D246" s="63">
        <v>1</v>
      </c>
      <c r="E246" s="64">
        <v>8.6948960960000005E-5</v>
      </c>
    </row>
    <row r="247" spans="2:5" ht="15" customHeight="1">
      <c r="B247" s="81"/>
      <c r="C247" s="62" t="s">
        <v>196</v>
      </c>
      <c r="D247" s="63">
        <v>2</v>
      </c>
      <c r="E247" s="64">
        <v>1.7389792192000001E-4</v>
      </c>
    </row>
    <row r="248" spans="2:5" ht="15" customHeight="1">
      <c r="B248" s="81"/>
      <c r="C248" s="62" t="s">
        <v>208</v>
      </c>
      <c r="D248" s="63">
        <v>2</v>
      </c>
      <c r="E248" s="64">
        <v>1.7389792192000001E-4</v>
      </c>
    </row>
    <row r="249" spans="2:5" ht="15" customHeight="1">
      <c r="B249" s="81"/>
      <c r="C249" s="62" t="s">
        <v>199</v>
      </c>
      <c r="D249" s="63">
        <v>3</v>
      </c>
      <c r="E249" s="64">
        <v>2.6084688287999997E-4</v>
      </c>
    </row>
    <row r="250" spans="2:5" ht="15" customHeight="1">
      <c r="B250" s="81"/>
      <c r="C250" s="62" t="s">
        <v>200</v>
      </c>
      <c r="D250" s="63">
        <v>2</v>
      </c>
      <c r="E250" s="64">
        <v>1.7389792192000001E-4</v>
      </c>
    </row>
    <row r="251" spans="2:5" ht="15" customHeight="1">
      <c r="B251" s="81"/>
      <c r="C251" s="62" t="s">
        <v>201</v>
      </c>
      <c r="D251" s="63">
        <v>2</v>
      </c>
      <c r="E251" s="64">
        <v>1.7389792192000001E-4</v>
      </c>
    </row>
    <row r="252" spans="2:5" ht="15" customHeight="1">
      <c r="B252" s="81"/>
      <c r="C252" s="62" t="s">
        <v>202</v>
      </c>
      <c r="D252" s="63">
        <v>1</v>
      </c>
      <c r="E252" s="64">
        <v>8.6948960960000005E-5</v>
      </c>
    </row>
    <row r="253" spans="2:5" ht="15" customHeight="1">
      <c r="B253" s="81"/>
      <c r="C253" s="62" t="s">
        <v>203</v>
      </c>
      <c r="D253" s="63">
        <v>3</v>
      </c>
      <c r="E253" s="64">
        <v>2.6084688287999997E-4</v>
      </c>
    </row>
    <row r="254" spans="2:5" ht="15" customHeight="1">
      <c r="B254" s="81"/>
      <c r="C254" s="62" t="s">
        <v>204</v>
      </c>
      <c r="D254" s="63">
        <v>9</v>
      </c>
      <c r="E254" s="64">
        <v>7.8254064863900001E-4</v>
      </c>
    </row>
    <row r="255" spans="2:5" ht="15" customHeight="1">
      <c r="B255" s="80"/>
      <c r="C255" s="36" t="s">
        <v>28</v>
      </c>
      <c r="D255" s="35">
        <v>42</v>
      </c>
      <c r="E255" s="34">
        <v>3.6518563603159999E-3</v>
      </c>
    </row>
    <row r="256" spans="2:5" ht="15" customHeight="1">
      <c r="B256" s="79" t="s">
        <v>117</v>
      </c>
      <c r="C256" s="62" t="s">
        <v>194</v>
      </c>
      <c r="D256" s="63">
        <v>1</v>
      </c>
      <c r="E256" s="64">
        <v>8.6948960960000005E-5</v>
      </c>
    </row>
    <row r="257" spans="2:5" ht="15" customHeight="1">
      <c r="B257" s="81"/>
      <c r="C257" s="62" t="s">
        <v>197</v>
      </c>
      <c r="D257" s="63">
        <v>1</v>
      </c>
      <c r="E257" s="64">
        <v>8.6948960960000005E-5</v>
      </c>
    </row>
    <row r="258" spans="2:5" ht="15" customHeight="1">
      <c r="B258" s="81"/>
      <c r="C258" s="62" t="s">
        <v>199</v>
      </c>
      <c r="D258" s="63">
        <v>1</v>
      </c>
      <c r="E258" s="64">
        <v>8.6948960960000005E-5</v>
      </c>
    </row>
    <row r="259" spans="2:5" ht="15" customHeight="1">
      <c r="B259" s="81"/>
      <c r="C259" s="62" t="s">
        <v>203</v>
      </c>
      <c r="D259" s="63">
        <v>1</v>
      </c>
      <c r="E259" s="64">
        <v>8.6948960960000005E-5</v>
      </c>
    </row>
    <row r="260" spans="2:5" ht="15" customHeight="1">
      <c r="B260" s="80"/>
      <c r="C260" s="36" t="s">
        <v>28</v>
      </c>
      <c r="D260" s="35">
        <v>4</v>
      </c>
      <c r="E260" s="34">
        <v>3.4779584384000002E-4</v>
      </c>
    </row>
    <row r="261" spans="2:5" ht="15" customHeight="1">
      <c r="B261" s="79" t="s">
        <v>118</v>
      </c>
      <c r="C261" s="62" t="s">
        <v>199</v>
      </c>
      <c r="D261" s="63">
        <v>1</v>
      </c>
      <c r="E261" s="64">
        <v>8.6948960960000005E-5</v>
      </c>
    </row>
    <row r="262" spans="2:5" ht="15" customHeight="1">
      <c r="B262" s="80"/>
      <c r="C262" s="36" t="s">
        <v>28</v>
      </c>
      <c r="D262" s="35">
        <v>1</v>
      </c>
      <c r="E262" s="34">
        <v>8.6948960960000005E-5</v>
      </c>
    </row>
    <row r="263" spans="2:5" ht="15" customHeight="1">
      <c r="B263" s="79" t="s">
        <v>119</v>
      </c>
      <c r="C263" s="62" t="s">
        <v>189</v>
      </c>
      <c r="D263" s="63">
        <v>1</v>
      </c>
      <c r="E263" s="64">
        <v>8.6948960960000005E-5</v>
      </c>
    </row>
    <row r="264" spans="2:5" ht="15" customHeight="1">
      <c r="B264" s="81"/>
      <c r="C264" s="62" t="s">
        <v>206</v>
      </c>
      <c r="D264" s="63">
        <v>3</v>
      </c>
      <c r="E264" s="64">
        <v>2.6084688287999997E-4</v>
      </c>
    </row>
    <row r="265" spans="2:5" ht="15" customHeight="1">
      <c r="B265" s="81"/>
      <c r="C265" s="62" t="s">
        <v>193</v>
      </c>
      <c r="D265" s="63">
        <v>4</v>
      </c>
      <c r="E265" s="64">
        <v>3.4779584384000002E-4</v>
      </c>
    </row>
    <row r="266" spans="2:5" ht="15" customHeight="1">
      <c r="B266" s="81"/>
      <c r="C266" s="62" t="s">
        <v>194</v>
      </c>
      <c r="D266" s="63">
        <v>3</v>
      </c>
      <c r="E266" s="64">
        <v>2.6084688287999997E-4</v>
      </c>
    </row>
    <row r="267" spans="2:5" ht="15" customHeight="1">
      <c r="B267" s="81"/>
      <c r="C267" s="62" t="s">
        <v>199</v>
      </c>
      <c r="D267" s="63">
        <v>3</v>
      </c>
      <c r="E267" s="64">
        <v>2.6084688287999997E-4</v>
      </c>
    </row>
    <row r="268" spans="2:5" ht="15" customHeight="1">
      <c r="B268" s="81"/>
      <c r="C268" s="62" t="s">
        <v>200</v>
      </c>
      <c r="D268" s="63">
        <v>1</v>
      </c>
      <c r="E268" s="64">
        <v>8.6948960960000005E-5</v>
      </c>
    </row>
    <row r="269" spans="2:5" ht="15" customHeight="1">
      <c r="B269" s="81"/>
      <c r="C269" s="62" t="s">
        <v>202</v>
      </c>
      <c r="D269" s="63">
        <v>2</v>
      </c>
      <c r="E269" s="64">
        <v>1.7389792192000001E-4</v>
      </c>
    </row>
    <row r="270" spans="2:5" ht="15" customHeight="1">
      <c r="B270" s="81"/>
      <c r="C270" s="62" t="s">
        <v>203</v>
      </c>
      <c r="D270" s="63">
        <v>4</v>
      </c>
      <c r="E270" s="64">
        <v>3.4779584384000002E-4</v>
      </c>
    </row>
    <row r="271" spans="2:5" ht="15" customHeight="1">
      <c r="B271" s="81"/>
      <c r="C271" s="62" t="s">
        <v>204</v>
      </c>
      <c r="D271" s="63">
        <v>15</v>
      </c>
      <c r="E271" s="64">
        <v>1.304234414399E-3</v>
      </c>
    </row>
    <row r="272" spans="2:5" ht="15" customHeight="1">
      <c r="B272" s="80"/>
      <c r="C272" s="36" t="s">
        <v>28</v>
      </c>
      <c r="D272" s="35">
        <v>36</v>
      </c>
      <c r="E272" s="34">
        <v>3.1301625945570001E-3</v>
      </c>
    </row>
    <row r="273" spans="2:5" ht="15" customHeight="1">
      <c r="B273" s="79" t="s">
        <v>120</v>
      </c>
      <c r="C273" s="62" t="s">
        <v>189</v>
      </c>
      <c r="D273" s="63">
        <v>7</v>
      </c>
      <c r="E273" s="64">
        <v>6.0864272671900003E-4</v>
      </c>
    </row>
    <row r="274" spans="2:5" ht="15" customHeight="1">
      <c r="B274" s="81"/>
      <c r="C274" s="62" t="s">
        <v>219</v>
      </c>
      <c r="D274" s="63">
        <v>2</v>
      </c>
      <c r="E274" s="64">
        <v>1.7389792192000001E-4</v>
      </c>
    </row>
    <row r="275" spans="2:5" ht="15" customHeight="1">
      <c r="B275" s="81"/>
      <c r="C275" s="62" t="s">
        <v>190</v>
      </c>
      <c r="D275" s="63">
        <v>1</v>
      </c>
      <c r="E275" s="64">
        <v>8.6948960960000005E-5</v>
      </c>
    </row>
    <row r="276" spans="2:5" ht="15" customHeight="1">
      <c r="B276" s="81"/>
      <c r="C276" s="62" t="s">
        <v>206</v>
      </c>
      <c r="D276" s="63">
        <v>6</v>
      </c>
      <c r="E276" s="64">
        <v>5.2169376575899999E-4</v>
      </c>
    </row>
    <row r="277" spans="2:5" ht="15" customHeight="1">
      <c r="B277" s="81"/>
      <c r="C277" s="62" t="s">
        <v>207</v>
      </c>
      <c r="D277" s="63">
        <v>1</v>
      </c>
      <c r="E277" s="64">
        <v>8.6948960960000005E-5</v>
      </c>
    </row>
    <row r="278" spans="2:5" ht="15" customHeight="1">
      <c r="B278" s="81"/>
      <c r="C278" s="62" t="s">
        <v>218</v>
      </c>
      <c r="D278" s="63">
        <v>1</v>
      </c>
      <c r="E278" s="64">
        <v>8.6948960960000005E-5</v>
      </c>
    </row>
    <row r="279" spans="2:5" ht="15" customHeight="1">
      <c r="B279" s="81"/>
      <c r="C279" s="62" t="s">
        <v>193</v>
      </c>
      <c r="D279" s="63">
        <v>9</v>
      </c>
      <c r="E279" s="64">
        <v>7.8254064863900001E-4</v>
      </c>
    </row>
    <row r="280" spans="2:5" ht="15" customHeight="1">
      <c r="B280" s="81"/>
      <c r="C280" s="62" t="s">
        <v>194</v>
      </c>
      <c r="D280" s="63">
        <v>7</v>
      </c>
      <c r="E280" s="64">
        <v>6.0864272671900003E-4</v>
      </c>
    </row>
    <row r="281" spans="2:5" ht="15" customHeight="1">
      <c r="B281" s="81"/>
      <c r="C281" s="62" t="s">
        <v>195</v>
      </c>
      <c r="D281" s="63">
        <v>1</v>
      </c>
      <c r="E281" s="64">
        <v>8.6948960960000005E-5</v>
      </c>
    </row>
    <row r="282" spans="2:5" ht="15" customHeight="1">
      <c r="B282" s="81"/>
      <c r="C282" s="62" t="s">
        <v>212</v>
      </c>
      <c r="D282" s="63">
        <v>1</v>
      </c>
      <c r="E282" s="64">
        <v>8.6948960960000005E-5</v>
      </c>
    </row>
    <row r="283" spans="2:5" ht="15" customHeight="1">
      <c r="B283" s="81"/>
      <c r="C283" s="62" t="s">
        <v>197</v>
      </c>
      <c r="D283" s="63">
        <v>13</v>
      </c>
      <c r="E283" s="64">
        <v>1.1303364924790001E-3</v>
      </c>
    </row>
    <row r="284" spans="2:5" ht="15" customHeight="1">
      <c r="B284" s="81"/>
      <c r="C284" s="62" t="s">
        <v>199</v>
      </c>
      <c r="D284" s="63">
        <v>3</v>
      </c>
      <c r="E284" s="64">
        <v>2.6084688287999997E-4</v>
      </c>
    </row>
    <row r="285" spans="2:5" ht="15" customHeight="1">
      <c r="B285" s="81"/>
      <c r="C285" s="62" t="s">
        <v>83</v>
      </c>
      <c r="D285" s="63">
        <v>1</v>
      </c>
      <c r="E285" s="64">
        <v>8.6948960960000005E-5</v>
      </c>
    </row>
    <row r="286" spans="2:5" ht="15" customHeight="1">
      <c r="B286" s="81"/>
      <c r="C286" s="62" t="s">
        <v>200</v>
      </c>
      <c r="D286" s="63">
        <v>6</v>
      </c>
      <c r="E286" s="64">
        <v>5.2169376575899999E-4</v>
      </c>
    </row>
    <row r="287" spans="2:5" ht="15" customHeight="1">
      <c r="B287" s="81"/>
      <c r="C287" s="62" t="s">
        <v>201</v>
      </c>
      <c r="D287" s="63">
        <v>2</v>
      </c>
      <c r="E287" s="64">
        <v>1.7389792192000001E-4</v>
      </c>
    </row>
    <row r="288" spans="2:5" ht="15" customHeight="1">
      <c r="B288" s="81"/>
      <c r="C288" s="62" t="s">
        <v>202</v>
      </c>
      <c r="D288" s="63">
        <v>3</v>
      </c>
      <c r="E288" s="64">
        <v>2.6084688287999997E-4</v>
      </c>
    </row>
    <row r="289" spans="2:5" ht="15" customHeight="1">
      <c r="B289" s="81"/>
      <c r="C289" s="62" t="s">
        <v>203</v>
      </c>
      <c r="D289" s="63">
        <v>5</v>
      </c>
      <c r="E289" s="64">
        <v>4.3474480480000001E-4</v>
      </c>
    </row>
    <row r="290" spans="2:5" ht="15" customHeight="1">
      <c r="B290" s="81"/>
      <c r="C290" s="62" t="s">
        <v>209</v>
      </c>
      <c r="D290" s="63">
        <v>1</v>
      </c>
      <c r="E290" s="64">
        <v>8.6948960960000005E-5</v>
      </c>
    </row>
    <row r="291" spans="2:5" ht="15" customHeight="1">
      <c r="B291" s="81"/>
      <c r="C291" s="62" t="s">
        <v>204</v>
      </c>
      <c r="D291" s="63">
        <v>29</v>
      </c>
      <c r="E291" s="64">
        <v>2.5215198678380001E-3</v>
      </c>
    </row>
    <row r="292" spans="2:5" ht="15" customHeight="1">
      <c r="B292" s="81"/>
      <c r="C292" s="62" t="s">
        <v>210</v>
      </c>
      <c r="D292" s="63">
        <v>2</v>
      </c>
      <c r="E292" s="64">
        <v>1.7389792192000001E-4</v>
      </c>
    </row>
    <row r="293" spans="2:5" ht="15" customHeight="1">
      <c r="B293" s="81"/>
      <c r="C293" s="62" t="s">
        <v>216</v>
      </c>
      <c r="D293" s="63">
        <v>1</v>
      </c>
      <c r="E293" s="64">
        <v>8.6948960960000005E-5</v>
      </c>
    </row>
    <row r="294" spans="2:5" ht="15" customHeight="1">
      <c r="B294" s="80"/>
      <c r="C294" s="36" t="s">
        <v>28</v>
      </c>
      <c r="D294" s="35">
        <v>102</v>
      </c>
      <c r="E294" s="34">
        <v>8.8687940179110001E-3</v>
      </c>
    </row>
    <row r="295" spans="2:5" ht="15" customHeight="1">
      <c r="B295" s="79" t="s">
        <v>121</v>
      </c>
      <c r="C295" s="62" t="s">
        <v>189</v>
      </c>
      <c r="D295" s="63">
        <v>1</v>
      </c>
      <c r="E295" s="64">
        <v>8.6948960960000005E-5</v>
      </c>
    </row>
    <row r="296" spans="2:5" ht="15" customHeight="1">
      <c r="B296" s="81"/>
      <c r="C296" s="62" t="s">
        <v>219</v>
      </c>
      <c r="D296" s="63">
        <v>3</v>
      </c>
      <c r="E296" s="64">
        <v>2.6084688287999997E-4</v>
      </c>
    </row>
    <row r="297" spans="2:5" ht="15" customHeight="1">
      <c r="B297" s="81"/>
      <c r="C297" s="62" t="s">
        <v>206</v>
      </c>
      <c r="D297" s="63">
        <v>1</v>
      </c>
      <c r="E297" s="64">
        <v>8.6948960960000005E-5</v>
      </c>
    </row>
    <row r="298" spans="2:5" ht="15" customHeight="1">
      <c r="B298" s="81"/>
      <c r="C298" s="62" t="s">
        <v>194</v>
      </c>
      <c r="D298" s="63">
        <v>1</v>
      </c>
      <c r="E298" s="64">
        <v>8.6948960960000005E-5</v>
      </c>
    </row>
    <row r="299" spans="2:5" ht="15" customHeight="1">
      <c r="B299" s="81"/>
      <c r="C299" s="62" t="s">
        <v>195</v>
      </c>
      <c r="D299" s="63">
        <v>2</v>
      </c>
      <c r="E299" s="64">
        <v>1.7389792192000001E-4</v>
      </c>
    </row>
    <row r="300" spans="2:5" ht="15" customHeight="1">
      <c r="B300" s="81"/>
      <c r="C300" s="62" t="s">
        <v>197</v>
      </c>
      <c r="D300" s="63">
        <v>2</v>
      </c>
      <c r="E300" s="64">
        <v>1.7389792192000001E-4</v>
      </c>
    </row>
    <row r="301" spans="2:5" ht="15" customHeight="1">
      <c r="B301" s="81"/>
      <c r="C301" s="62" t="s">
        <v>200</v>
      </c>
      <c r="D301" s="63">
        <v>2</v>
      </c>
      <c r="E301" s="64">
        <v>1.7389792192000001E-4</v>
      </c>
    </row>
    <row r="302" spans="2:5" ht="15" customHeight="1">
      <c r="B302" s="81"/>
      <c r="C302" s="62" t="s">
        <v>202</v>
      </c>
      <c r="D302" s="63">
        <v>1</v>
      </c>
      <c r="E302" s="64">
        <v>8.6948960960000005E-5</v>
      </c>
    </row>
    <row r="303" spans="2:5" ht="15" customHeight="1">
      <c r="B303" s="81"/>
      <c r="C303" s="62" t="s">
        <v>203</v>
      </c>
      <c r="D303" s="63">
        <v>2</v>
      </c>
      <c r="E303" s="64">
        <v>1.7389792192000001E-4</v>
      </c>
    </row>
    <row r="304" spans="2:5" ht="15" customHeight="1">
      <c r="B304" s="81"/>
      <c r="C304" s="62" t="s">
        <v>204</v>
      </c>
      <c r="D304" s="63">
        <v>7</v>
      </c>
      <c r="E304" s="64">
        <v>6.0864272671900003E-4</v>
      </c>
    </row>
    <row r="305" spans="2:5" ht="15" customHeight="1">
      <c r="B305" s="80"/>
      <c r="C305" s="36" t="s">
        <v>28</v>
      </c>
      <c r="D305" s="35">
        <v>22</v>
      </c>
      <c r="E305" s="34">
        <v>1.912877141118E-3</v>
      </c>
    </row>
    <row r="306" spans="2:5" ht="15" customHeight="1">
      <c r="B306" s="79" t="s">
        <v>122</v>
      </c>
      <c r="C306" s="62" t="s">
        <v>189</v>
      </c>
      <c r="D306" s="63">
        <v>1</v>
      </c>
      <c r="E306" s="64">
        <v>8.6948960960000005E-5</v>
      </c>
    </row>
    <row r="307" spans="2:5" ht="15" customHeight="1">
      <c r="B307" s="81"/>
      <c r="C307" s="62" t="s">
        <v>219</v>
      </c>
      <c r="D307" s="63">
        <v>1</v>
      </c>
      <c r="E307" s="64">
        <v>8.6948960960000005E-5</v>
      </c>
    </row>
    <row r="308" spans="2:5" ht="15" customHeight="1">
      <c r="B308" s="81"/>
      <c r="C308" s="62" t="s">
        <v>206</v>
      </c>
      <c r="D308" s="63">
        <v>3</v>
      </c>
      <c r="E308" s="64">
        <v>2.6084688287999997E-4</v>
      </c>
    </row>
    <row r="309" spans="2:5" ht="15" customHeight="1">
      <c r="B309" s="81"/>
      <c r="C309" s="62" t="s">
        <v>193</v>
      </c>
      <c r="D309" s="63">
        <v>17</v>
      </c>
      <c r="E309" s="64">
        <v>1.4781323363190001E-3</v>
      </c>
    </row>
    <row r="310" spans="2:5" ht="15" customHeight="1">
      <c r="B310" s="81"/>
      <c r="C310" s="62" t="s">
        <v>194</v>
      </c>
      <c r="D310" s="63">
        <v>10</v>
      </c>
      <c r="E310" s="64">
        <v>8.6948960959899995E-4</v>
      </c>
    </row>
    <row r="311" spans="2:5" ht="15" customHeight="1">
      <c r="B311" s="81"/>
      <c r="C311" s="62" t="s">
        <v>195</v>
      </c>
      <c r="D311" s="63">
        <v>2</v>
      </c>
      <c r="E311" s="64">
        <v>1.7389792192000001E-4</v>
      </c>
    </row>
    <row r="312" spans="2:5" ht="15" customHeight="1">
      <c r="B312" s="81"/>
      <c r="C312" s="62" t="s">
        <v>197</v>
      </c>
      <c r="D312" s="63">
        <v>3</v>
      </c>
      <c r="E312" s="64">
        <v>2.6084688287999997E-4</v>
      </c>
    </row>
    <row r="313" spans="2:5" ht="15" customHeight="1">
      <c r="B313" s="81"/>
      <c r="C313" s="62" t="s">
        <v>198</v>
      </c>
      <c r="D313" s="63">
        <v>1</v>
      </c>
      <c r="E313" s="64">
        <v>8.6948960960000005E-5</v>
      </c>
    </row>
    <row r="314" spans="2:5" ht="15" customHeight="1">
      <c r="B314" s="81"/>
      <c r="C314" s="62" t="s">
        <v>199</v>
      </c>
      <c r="D314" s="63">
        <v>2</v>
      </c>
      <c r="E314" s="64">
        <v>1.7389792192000001E-4</v>
      </c>
    </row>
    <row r="315" spans="2:5" ht="15" customHeight="1">
      <c r="B315" s="81"/>
      <c r="C315" s="62" t="s">
        <v>200</v>
      </c>
      <c r="D315" s="63">
        <v>7</v>
      </c>
      <c r="E315" s="64">
        <v>6.0864272671900003E-4</v>
      </c>
    </row>
    <row r="316" spans="2:5" ht="15" customHeight="1">
      <c r="B316" s="81"/>
      <c r="C316" s="62" t="s">
        <v>201</v>
      </c>
      <c r="D316" s="63">
        <v>1</v>
      </c>
      <c r="E316" s="64">
        <v>8.6948960960000005E-5</v>
      </c>
    </row>
    <row r="317" spans="2:5" ht="15" customHeight="1">
      <c r="B317" s="81"/>
      <c r="C317" s="62" t="s">
        <v>202</v>
      </c>
      <c r="D317" s="63">
        <v>1</v>
      </c>
      <c r="E317" s="64">
        <v>8.6948960960000005E-5</v>
      </c>
    </row>
    <row r="318" spans="2:5" ht="15" customHeight="1">
      <c r="B318" s="81"/>
      <c r="C318" s="62" t="s">
        <v>203</v>
      </c>
      <c r="D318" s="63">
        <v>4</v>
      </c>
      <c r="E318" s="64">
        <v>3.4779584384000002E-4</v>
      </c>
    </row>
    <row r="319" spans="2:5" ht="15" customHeight="1">
      <c r="B319" s="81"/>
      <c r="C319" s="62" t="s">
        <v>209</v>
      </c>
      <c r="D319" s="63">
        <v>1</v>
      </c>
      <c r="E319" s="64">
        <v>8.6948960960000005E-5</v>
      </c>
    </row>
    <row r="320" spans="2:5" ht="15" customHeight="1">
      <c r="B320" s="81"/>
      <c r="C320" s="62" t="s">
        <v>204</v>
      </c>
      <c r="D320" s="63">
        <v>28</v>
      </c>
      <c r="E320" s="64">
        <v>2.4345709068779998E-3</v>
      </c>
    </row>
    <row r="321" spans="2:5" ht="15" customHeight="1">
      <c r="B321" s="81"/>
      <c r="C321" s="62" t="s">
        <v>210</v>
      </c>
      <c r="D321" s="63">
        <v>1</v>
      </c>
      <c r="E321" s="64">
        <v>8.6948960960000005E-5</v>
      </c>
    </row>
    <row r="322" spans="2:5" ht="15" customHeight="1">
      <c r="B322" s="80"/>
      <c r="C322" s="36" t="s">
        <v>28</v>
      </c>
      <c r="D322" s="35">
        <v>83</v>
      </c>
      <c r="E322" s="34">
        <v>7.216763759673E-3</v>
      </c>
    </row>
    <row r="323" spans="2:5" ht="15" customHeight="1">
      <c r="B323" s="79" t="s">
        <v>123</v>
      </c>
      <c r="C323" s="62" t="s">
        <v>195</v>
      </c>
      <c r="D323" s="63">
        <v>1</v>
      </c>
      <c r="E323" s="64">
        <v>8.6948960960000005E-5</v>
      </c>
    </row>
    <row r="324" spans="2:5" ht="15" customHeight="1">
      <c r="B324" s="81"/>
      <c r="C324" s="62" t="s">
        <v>197</v>
      </c>
      <c r="D324" s="63">
        <v>1</v>
      </c>
      <c r="E324" s="64">
        <v>8.6948960960000005E-5</v>
      </c>
    </row>
    <row r="325" spans="2:5" ht="15" customHeight="1">
      <c r="B325" s="81"/>
      <c r="C325" s="62" t="s">
        <v>204</v>
      </c>
      <c r="D325" s="63">
        <v>2</v>
      </c>
      <c r="E325" s="64">
        <v>1.7389792192000001E-4</v>
      </c>
    </row>
    <row r="326" spans="2:5" ht="15" customHeight="1">
      <c r="B326" s="80"/>
      <c r="C326" s="36" t="s">
        <v>28</v>
      </c>
      <c r="D326" s="35">
        <v>4</v>
      </c>
      <c r="E326" s="34">
        <v>3.4779584384000002E-4</v>
      </c>
    </row>
    <row r="327" spans="2:5" ht="15" customHeight="1">
      <c r="B327" s="79" t="s">
        <v>124</v>
      </c>
      <c r="C327" s="62" t="s">
        <v>189</v>
      </c>
      <c r="D327" s="63">
        <v>3</v>
      </c>
      <c r="E327" s="64">
        <v>2.6084688287999997E-4</v>
      </c>
    </row>
    <row r="328" spans="2:5" ht="15" customHeight="1">
      <c r="B328" s="81"/>
      <c r="C328" s="62" t="s">
        <v>206</v>
      </c>
      <c r="D328" s="63">
        <v>2</v>
      </c>
      <c r="E328" s="64">
        <v>1.7389792192000001E-4</v>
      </c>
    </row>
    <row r="329" spans="2:5" ht="15" customHeight="1">
      <c r="B329" s="81"/>
      <c r="C329" s="62" t="s">
        <v>207</v>
      </c>
      <c r="D329" s="63">
        <v>1</v>
      </c>
      <c r="E329" s="64">
        <v>8.6948960960000005E-5</v>
      </c>
    </row>
    <row r="330" spans="2:5" ht="15" customHeight="1">
      <c r="B330" s="81"/>
      <c r="C330" s="62" t="s">
        <v>213</v>
      </c>
      <c r="D330" s="63">
        <v>1</v>
      </c>
      <c r="E330" s="64">
        <v>8.6948960960000005E-5</v>
      </c>
    </row>
    <row r="331" spans="2:5" ht="15" customHeight="1">
      <c r="B331" s="81"/>
      <c r="C331" s="62" t="s">
        <v>193</v>
      </c>
      <c r="D331" s="63">
        <v>1</v>
      </c>
      <c r="E331" s="64">
        <v>8.6948960960000005E-5</v>
      </c>
    </row>
    <row r="332" spans="2:5" ht="15" customHeight="1">
      <c r="B332" s="81"/>
      <c r="C332" s="62" t="s">
        <v>194</v>
      </c>
      <c r="D332" s="63">
        <v>1</v>
      </c>
      <c r="E332" s="64">
        <v>8.6948960960000005E-5</v>
      </c>
    </row>
    <row r="333" spans="2:5" ht="15" customHeight="1">
      <c r="B333" s="81"/>
      <c r="C333" s="62" t="s">
        <v>200</v>
      </c>
      <c r="D333" s="63">
        <v>1</v>
      </c>
      <c r="E333" s="64">
        <v>8.6948960960000005E-5</v>
      </c>
    </row>
    <row r="334" spans="2:5" ht="15" customHeight="1">
      <c r="B334" s="81"/>
      <c r="C334" s="62" t="s">
        <v>203</v>
      </c>
      <c r="D334" s="63">
        <v>1</v>
      </c>
      <c r="E334" s="64">
        <v>8.6948960960000005E-5</v>
      </c>
    </row>
    <row r="335" spans="2:5" ht="15" customHeight="1">
      <c r="B335" s="81"/>
      <c r="C335" s="62" t="s">
        <v>204</v>
      </c>
      <c r="D335" s="63">
        <v>37</v>
      </c>
      <c r="E335" s="64">
        <v>3.217111555517E-3</v>
      </c>
    </row>
    <row r="336" spans="2:5" ht="15" customHeight="1">
      <c r="B336" s="81"/>
      <c r="C336" s="62" t="s">
        <v>216</v>
      </c>
      <c r="D336" s="63">
        <v>1</v>
      </c>
      <c r="E336" s="64">
        <v>8.6948960960000005E-5</v>
      </c>
    </row>
    <row r="337" spans="2:5" ht="15" customHeight="1">
      <c r="B337" s="80"/>
      <c r="C337" s="36" t="s">
        <v>28</v>
      </c>
      <c r="D337" s="35">
        <v>49</v>
      </c>
      <c r="E337" s="34">
        <v>4.260499087036E-3</v>
      </c>
    </row>
    <row r="338" spans="2:5" ht="15" customHeight="1">
      <c r="B338" s="82" t="s">
        <v>125</v>
      </c>
      <c r="C338" s="62" t="s">
        <v>206</v>
      </c>
      <c r="D338" s="63">
        <v>3</v>
      </c>
      <c r="E338" s="64">
        <v>2.6084688287999997E-4</v>
      </c>
    </row>
    <row r="339" spans="2:5" ht="15" customHeight="1">
      <c r="B339" s="83"/>
      <c r="C339" s="62" t="s">
        <v>224</v>
      </c>
      <c r="D339" s="63">
        <v>1</v>
      </c>
      <c r="E339" s="64">
        <v>8.6948960960000005E-5</v>
      </c>
    </row>
    <row r="340" spans="2:5" ht="15" customHeight="1">
      <c r="B340" s="83"/>
      <c r="C340" s="62" t="s">
        <v>193</v>
      </c>
      <c r="D340" s="63">
        <v>7</v>
      </c>
      <c r="E340" s="64">
        <v>6.0864272671900003E-4</v>
      </c>
    </row>
    <row r="341" spans="2:5" ht="15" customHeight="1">
      <c r="B341" s="83"/>
      <c r="C341" s="62" t="s">
        <v>194</v>
      </c>
      <c r="D341" s="63">
        <v>5</v>
      </c>
      <c r="E341" s="64">
        <v>4.3474480480000001E-4</v>
      </c>
    </row>
    <row r="342" spans="2:5" ht="15" customHeight="1">
      <c r="B342" s="83"/>
      <c r="C342" s="62" t="s">
        <v>195</v>
      </c>
      <c r="D342" s="63">
        <v>4</v>
      </c>
      <c r="E342" s="64">
        <v>3.4779584384000002E-4</v>
      </c>
    </row>
    <row r="343" spans="2:5" ht="15" customHeight="1">
      <c r="B343" s="83"/>
      <c r="C343" s="62" t="s">
        <v>196</v>
      </c>
      <c r="D343" s="63">
        <v>1</v>
      </c>
      <c r="E343" s="64">
        <v>8.6948960960000005E-5</v>
      </c>
    </row>
    <row r="344" spans="2:5" ht="15" customHeight="1">
      <c r="B344" s="83"/>
      <c r="C344" s="62" t="s">
        <v>208</v>
      </c>
      <c r="D344" s="63">
        <v>2</v>
      </c>
      <c r="E344" s="64">
        <v>1.7389792192000001E-4</v>
      </c>
    </row>
    <row r="345" spans="2:5" ht="15" customHeight="1">
      <c r="B345" s="83"/>
      <c r="C345" s="62" t="s">
        <v>199</v>
      </c>
      <c r="D345" s="63">
        <v>1</v>
      </c>
      <c r="E345" s="64">
        <v>8.6948960960000005E-5</v>
      </c>
    </row>
    <row r="346" spans="2:5" ht="15" customHeight="1">
      <c r="B346" s="83"/>
      <c r="C346" s="62" t="s">
        <v>200</v>
      </c>
      <c r="D346" s="63">
        <v>4</v>
      </c>
      <c r="E346" s="64">
        <v>3.4779584384000002E-4</v>
      </c>
    </row>
    <row r="347" spans="2:5" ht="15" customHeight="1">
      <c r="B347" s="83"/>
      <c r="C347" s="62" t="s">
        <v>203</v>
      </c>
      <c r="D347" s="63">
        <v>4</v>
      </c>
      <c r="E347" s="64">
        <v>3.4779584384000002E-4</v>
      </c>
    </row>
    <row r="348" spans="2:5" ht="15" customHeight="1">
      <c r="B348" s="83"/>
      <c r="C348" s="62" t="s">
        <v>209</v>
      </c>
      <c r="D348" s="63">
        <v>1</v>
      </c>
      <c r="E348" s="64">
        <v>8.6948960960000005E-5</v>
      </c>
    </row>
    <row r="349" spans="2:5" ht="15" customHeight="1">
      <c r="B349" s="83"/>
      <c r="C349" s="62" t="s">
        <v>204</v>
      </c>
      <c r="D349" s="63">
        <v>48</v>
      </c>
      <c r="E349" s="64">
        <v>4.1735501260760002E-3</v>
      </c>
    </row>
    <row r="350" spans="2:5" ht="15" customHeight="1">
      <c r="B350" s="83"/>
      <c r="C350" s="62" t="s">
        <v>210</v>
      </c>
      <c r="D350" s="63">
        <v>1</v>
      </c>
      <c r="E350" s="64">
        <v>8.6948960960000005E-5</v>
      </c>
    </row>
    <row r="351" spans="2:5" ht="15" customHeight="1">
      <c r="B351" s="84"/>
      <c r="C351" s="36" t="s">
        <v>28</v>
      </c>
      <c r="D351" s="35">
        <v>82</v>
      </c>
      <c r="E351" s="34">
        <v>7.1298147987130002E-3</v>
      </c>
    </row>
    <row r="352" spans="2:5" ht="15" customHeight="1">
      <c r="B352" s="79" t="s">
        <v>126</v>
      </c>
      <c r="C352" s="62" t="s">
        <v>189</v>
      </c>
      <c r="D352" s="63">
        <v>2</v>
      </c>
      <c r="E352" s="64">
        <v>1.7389792192000001E-4</v>
      </c>
    </row>
    <row r="353" spans="2:5" ht="15" customHeight="1">
      <c r="B353" s="81"/>
      <c r="C353" s="62" t="s">
        <v>225</v>
      </c>
      <c r="D353" s="63">
        <v>1</v>
      </c>
      <c r="E353" s="64">
        <v>8.6948960960000005E-5</v>
      </c>
    </row>
    <row r="354" spans="2:5" ht="15" customHeight="1">
      <c r="B354" s="81"/>
      <c r="C354" s="62" t="s">
        <v>196</v>
      </c>
      <c r="D354" s="63">
        <v>1</v>
      </c>
      <c r="E354" s="64">
        <v>8.6948960960000005E-5</v>
      </c>
    </row>
    <row r="355" spans="2:5" ht="15" customHeight="1">
      <c r="B355" s="81"/>
      <c r="C355" s="62" t="s">
        <v>197</v>
      </c>
      <c r="D355" s="63">
        <v>4</v>
      </c>
      <c r="E355" s="64">
        <v>3.4779584384000002E-4</v>
      </c>
    </row>
    <row r="356" spans="2:5" ht="15" customHeight="1">
      <c r="B356" s="81"/>
      <c r="C356" s="62" t="s">
        <v>200</v>
      </c>
      <c r="D356" s="63">
        <v>3</v>
      </c>
      <c r="E356" s="64">
        <v>2.6084688287999997E-4</v>
      </c>
    </row>
    <row r="357" spans="2:5" ht="15" customHeight="1">
      <c r="B357" s="81"/>
      <c r="C357" s="62" t="s">
        <v>201</v>
      </c>
      <c r="D357" s="63">
        <v>1</v>
      </c>
      <c r="E357" s="64">
        <v>8.6948960960000005E-5</v>
      </c>
    </row>
    <row r="358" spans="2:5" ht="15" customHeight="1">
      <c r="B358" s="81"/>
      <c r="C358" s="62" t="s">
        <v>204</v>
      </c>
      <c r="D358" s="63">
        <v>2</v>
      </c>
      <c r="E358" s="64">
        <v>1.7389792192000001E-4</v>
      </c>
    </row>
    <row r="359" spans="2:5" ht="15" customHeight="1">
      <c r="B359" s="80"/>
      <c r="C359" s="36" t="s">
        <v>28</v>
      </c>
      <c r="D359" s="35">
        <v>14</v>
      </c>
      <c r="E359" s="34">
        <v>1.2172854534389999E-3</v>
      </c>
    </row>
    <row r="360" spans="2:5" ht="15" customHeight="1">
      <c r="B360" s="79" t="s">
        <v>127</v>
      </c>
      <c r="C360" s="62" t="s">
        <v>189</v>
      </c>
      <c r="D360" s="63">
        <v>1</v>
      </c>
      <c r="E360" s="64">
        <v>8.6948960960000005E-5</v>
      </c>
    </row>
    <row r="361" spans="2:5" ht="15" customHeight="1">
      <c r="B361" s="81"/>
      <c r="C361" s="62" t="s">
        <v>219</v>
      </c>
      <c r="D361" s="63">
        <v>1</v>
      </c>
      <c r="E361" s="64">
        <v>8.6948960960000005E-5</v>
      </c>
    </row>
    <row r="362" spans="2:5" ht="15" customHeight="1">
      <c r="B362" s="81"/>
      <c r="C362" s="62" t="s">
        <v>191</v>
      </c>
      <c r="D362" s="63">
        <v>1</v>
      </c>
      <c r="E362" s="64">
        <v>8.6948960960000005E-5</v>
      </c>
    </row>
    <row r="363" spans="2:5" ht="15" customHeight="1">
      <c r="B363" s="81"/>
      <c r="C363" s="62" t="s">
        <v>206</v>
      </c>
      <c r="D363" s="63">
        <v>6</v>
      </c>
      <c r="E363" s="64">
        <v>5.2169376575899999E-4</v>
      </c>
    </row>
    <row r="364" spans="2:5" ht="15" customHeight="1">
      <c r="B364" s="81"/>
      <c r="C364" s="62" t="s">
        <v>193</v>
      </c>
      <c r="D364" s="63">
        <v>13</v>
      </c>
      <c r="E364" s="64">
        <v>1.1303364924790001E-3</v>
      </c>
    </row>
    <row r="365" spans="2:5" ht="15" customHeight="1">
      <c r="B365" s="81"/>
      <c r="C365" s="62" t="s">
        <v>194</v>
      </c>
      <c r="D365" s="63">
        <v>3</v>
      </c>
      <c r="E365" s="64">
        <v>2.6084688287999997E-4</v>
      </c>
    </row>
    <row r="366" spans="2:5" ht="15" customHeight="1">
      <c r="B366" s="81"/>
      <c r="C366" s="62" t="s">
        <v>195</v>
      </c>
      <c r="D366" s="63">
        <v>1</v>
      </c>
      <c r="E366" s="64">
        <v>8.6948960960000005E-5</v>
      </c>
    </row>
    <row r="367" spans="2:5" ht="15" customHeight="1">
      <c r="B367" s="81"/>
      <c r="C367" s="62" t="s">
        <v>199</v>
      </c>
      <c r="D367" s="63">
        <v>1</v>
      </c>
      <c r="E367" s="64">
        <v>8.6948960960000005E-5</v>
      </c>
    </row>
    <row r="368" spans="2:5" ht="15" customHeight="1">
      <c r="B368" s="81"/>
      <c r="C368" s="62" t="s">
        <v>200</v>
      </c>
      <c r="D368" s="63">
        <v>2</v>
      </c>
      <c r="E368" s="64">
        <v>1.7389792192000001E-4</v>
      </c>
    </row>
    <row r="369" spans="2:5" ht="15" customHeight="1">
      <c r="B369" s="81"/>
      <c r="C369" s="62" t="s">
        <v>202</v>
      </c>
      <c r="D369" s="63">
        <v>2</v>
      </c>
      <c r="E369" s="64">
        <v>1.7389792192000001E-4</v>
      </c>
    </row>
    <row r="370" spans="2:5" ht="15" customHeight="1">
      <c r="B370" s="81"/>
      <c r="C370" s="62" t="s">
        <v>203</v>
      </c>
      <c r="D370" s="63">
        <v>9</v>
      </c>
      <c r="E370" s="64">
        <v>7.8254064863900001E-4</v>
      </c>
    </row>
    <row r="371" spans="2:5" ht="15" customHeight="1">
      <c r="B371" s="81"/>
      <c r="C371" s="62" t="s">
        <v>209</v>
      </c>
      <c r="D371" s="63">
        <v>1</v>
      </c>
      <c r="E371" s="64">
        <v>8.6948960960000005E-5</v>
      </c>
    </row>
    <row r="372" spans="2:5" ht="15" customHeight="1">
      <c r="B372" s="81"/>
      <c r="C372" s="62" t="s">
        <v>204</v>
      </c>
      <c r="D372" s="63">
        <v>69</v>
      </c>
      <c r="E372" s="64">
        <v>5.9994783062339999E-3</v>
      </c>
    </row>
    <row r="373" spans="2:5" ht="15" customHeight="1">
      <c r="B373" s="81"/>
      <c r="C373" s="62" t="s">
        <v>210</v>
      </c>
      <c r="D373" s="63">
        <v>10</v>
      </c>
      <c r="E373" s="64">
        <v>8.6948960959899995E-4</v>
      </c>
    </row>
    <row r="374" spans="2:5" ht="15" customHeight="1">
      <c r="B374" s="81"/>
      <c r="C374" s="62" t="s">
        <v>216</v>
      </c>
      <c r="D374" s="63">
        <v>1</v>
      </c>
      <c r="E374" s="64">
        <v>8.6948960960000005E-5</v>
      </c>
    </row>
    <row r="375" spans="2:5" ht="15" customHeight="1">
      <c r="B375" s="80"/>
      <c r="C375" s="36" t="s">
        <v>28</v>
      </c>
      <c r="D375" s="35">
        <v>121</v>
      </c>
      <c r="E375" s="34">
        <v>1.052082427615E-2</v>
      </c>
    </row>
    <row r="376" spans="2:5" ht="15" customHeight="1">
      <c r="B376" s="79" t="s">
        <v>128</v>
      </c>
      <c r="C376" s="62" t="s">
        <v>189</v>
      </c>
      <c r="D376" s="63">
        <v>1</v>
      </c>
      <c r="E376" s="64">
        <v>8.6948960960000005E-5</v>
      </c>
    </row>
    <row r="377" spans="2:5" ht="15" customHeight="1">
      <c r="B377" s="81"/>
      <c r="C377" s="62" t="s">
        <v>206</v>
      </c>
      <c r="D377" s="63">
        <v>2</v>
      </c>
      <c r="E377" s="64">
        <v>1.7389792192000001E-4</v>
      </c>
    </row>
    <row r="378" spans="2:5" ht="15" customHeight="1">
      <c r="B378" s="81"/>
      <c r="C378" s="62" t="s">
        <v>195</v>
      </c>
      <c r="D378" s="63">
        <v>4</v>
      </c>
      <c r="E378" s="64">
        <v>3.4779584384000002E-4</v>
      </c>
    </row>
    <row r="379" spans="2:5" ht="15" customHeight="1">
      <c r="B379" s="81"/>
      <c r="C379" s="62" t="s">
        <v>196</v>
      </c>
      <c r="D379" s="63">
        <v>1</v>
      </c>
      <c r="E379" s="64">
        <v>8.6948960960000005E-5</v>
      </c>
    </row>
    <row r="380" spans="2:5" ht="15" customHeight="1">
      <c r="B380" s="81"/>
      <c r="C380" s="62" t="s">
        <v>197</v>
      </c>
      <c r="D380" s="63">
        <v>2</v>
      </c>
      <c r="E380" s="64">
        <v>1.7389792192000001E-4</v>
      </c>
    </row>
    <row r="381" spans="2:5" ht="15" customHeight="1">
      <c r="B381" s="81"/>
      <c r="C381" s="62" t="s">
        <v>208</v>
      </c>
      <c r="D381" s="63">
        <v>1</v>
      </c>
      <c r="E381" s="64">
        <v>8.6948960960000005E-5</v>
      </c>
    </row>
    <row r="382" spans="2:5" ht="15" customHeight="1">
      <c r="B382" s="81"/>
      <c r="C382" s="62" t="s">
        <v>200</v>
      </c>
      <c r="D382" s="63">
        <v>6</v>
      </c>
      <c r="E382" s="64">
        <v>5.2169376575899999E-4</v>
      </c>
    </row>
    <row r="383" spans="2:5" ht="15" customHeight="1">
      <c r="B383" s="81"/>
      <c r="C383" s="62" t="s">
        <v>201</v>
      </c>
      <c r="D383" s="63">
        <v>1</v>
      </c>
      <c r="E383" s="64">
        <v>8.6948960960000005E-5</v>
      </c>
    </row>
    <row r="384" spans="2:5" ht="15" customHeight="1">
      <c r="B384" s="81"/>
      <c r="C384" s="62" t="s">
        <v>204</v>
      </c>
      <c r="D384" s="63">
        <v>4</v>
      </c>
      <c r="E384" s="64">
        <v>3.4779584384000002E-4</v>
      </c>
    </row>
    <row r="385" spans="2:5" ht="15" customHeight="1">
      <c r="B385" s="81"/>
      <c r="C385" s="62" t="s">
        <v>210</v>
      </c>
      <c r="D385" s="63">
        <v>1</v>
      </c>
      <c r="E385" s="64">
        <v>8.6948960960000005E-5</v>
      </c>
    </row>
    <row r="386" spans="2:5" ht="15" customHeight="1">
      <c r="B386" s="80"/>
      <c r="C386" s="36" t="s">
        <v>28</v>
      </c>
      <c r="D386" s="35">
        <v>23</v>
      </c>
      <c r="E386" s="34">
        <v>1.9998261020779998E-3</v>
      </c>
    </row>
    <row r="387" spans="2:5" ht="15" customHeight="1">
      <c r="B387" s="79" t="s">
        <v>129</v>
      </c>
      <c r="C387" s="62" t="s">
        <v>189</v>
      </c>
      <c r="D387" s="63">
        <v>1</v>
      </c>
      <c r="E387" s="64">
        <v>8.6948960960000005E-5</v>
      </c>
    </row>
    <row r="388" spans="2:5" ht="15" customHeight="1">
      <c r="B388" s="81"/>
      <c r="C388" s="62" t="s">
        <v>219</v>
      </c>
      <c r="D388" s="63">
        <v>1</v>
      </c>
      <c r="E388" s="64">
        <v>8.6948960960000005E-5</v>
      </c>
    </row>
    <row r="389" spans="2:5" ht="15" customHeight="1">
      <c r="B389" s="81"/>
      <c r="C389" s="62" t="s">
        <v>206</v>
      </c>
      <c r="D389" s="63">
        <v>1</v>
      </c>
      <c r="E389" s="64">
        <v>8.6948960960000005E-5</v>
      </c>
    </row>
    <row r="390" spans="2:5" ht="15" customHeight="1">
      <c r="B390" s="81"/>
      <c r="C390" s="62" t="s">
        <v>207</v>
      </c>
      <c r="D390" s="63">
        <v>2</v>
      </c>
      <c r="E390" s="64">
        <v>1.7389792192000001E-4</v>
      </c>
    </row>
    <row r="391" spans="2:5" ht="15" customHeight="1">
      <c r="B391" s="81"/>
      <c r="C391" s="62" t="s">
        <v>193</v>
      </c>
      <c r="D391" s="63">
        <v>7</v>
      </c>
      <c r="E391" s="64">
        <v>6.0864272671900003E-4</v>
      </c>
    </row>
    <row r="392" spans="2:5" ht="15" customHeight="1">
      <c r="B392" s="81"/>
      <c r="C392" s="62" t="s">
        <v>194</v>
      </c>
      <c r="D392" s="63">
        <v>14</v>
      </c>
      <c r="E392" s="64">
        <v>1.2172854534389999E-3</v>
      </c>
    </row>
    <row r="393" spans="2:5" ht="15" customHeight="1">
      <c r="B393" s="81"/>
      <c r="C393" s="62" t="s">
        <v>195</v>
      </c>
      <c r="D393" s="63">
        <v>3</v>
      </c>
      <c r="E393" s="64">
        <v>2.6084688287999997E-4</v>
      </c>
    </row>
    <row r="394" spans="2:5" ht="15" customHeight="1">
      <c r="B394" s="81"/>
      <c r="C394" s="62" t="s">
        <v>196</v>
      </c>
      <c r="D394" s="63">
        <v>2</v>
      </c>
      <c r="E394" s="64">
        <v>1.7389792192000001E-4</v>
      </c>
    </row>
    <row r="395" spans="2:5" ht="15" customHeight="1">
      <c r="B395" s="81"/>
      <c r="C395" s="62" t="s">
        <v>197</v>
      </c>
      <c r="D395" s="63">
        <v>7</v>
      </c>
      <c r="E395" s="64">
        <v>6.0864272671900003E-4</v>
      </c>
    </row>
    <row r="396" spans="2:5" ht="15" customHeight="1">
      <c r="B396" s="81"/>
      <c r="C396" s="62" t="s">
        <v>199</v>
      </c>
      <c r="D396" s="63">
        <v>4</v>
      </c>
      <c r="E396" s="64">
        <v>3.4779584384000002E-4</v>
      </c>
    </row>
    <row r="397" spans="2:5" ht="15" customHeight="1">
      <c r="B397" s="81"/>
      <c r="C397" s="62" t="s">
        <v>200</v>
      </c>
      <c r="D397" s="63">
        <v>10</v>
      </c>
      <c r="E397" s="64">
        <v>8.6948960959899995E-4</v>
      </c>
    </row>
    <row r="398" spans="2:5" ht="15" customHeight="1">
      <c r="B398" s="81"/>
      <c r="C398" s="62" t="s">
        <v>201</v>
      </c>
      <c r="D398" s="63">
        <v>1</v>
      </c>
      <c r="E398" s="64">
        <v>8.6948960960000005E-5</v>
      </c>
    </row>
    <row r="399" spans="2:5" ht="15" customHeight="1">
      <c r="B399" s="81"/>
      <c r="C399" s="62" t="s">
        <v>202</v>
      </c>
      <c r="D399" s="63">
        <v>9</v>
      </c>
      <c r="E399" s="64">
        <v>7.8254064863900001E-4</v>
      </c>
    </row>
    <row r="400" spans="2:5" ht="15" customHeight="1">
      <c r="B400" s="81"/>
      <c r="C400" s="62" t="s">
        <v>203</v>
      </c>
      <c r="D400" s="63">
        <v>9</v>
      </c>
      <c r="E400" s="64">
        <v>7.8254064863900001E-4</v>
      </c>
    </row>
    <row r="401" spans="2:5" ht="15" customHeight="1">
      <c r="B401" s="81"/>
      <c r="C401" s="62" t="s">
        <v>204</v>
      </c>
      <c r="D401" s="63">
        <v>38</v>
      </c>
      <c r="E401" s="64">
        <v>3.3040605164770002E-3</v>
      </c>
    </row>
    <row r="402" spans="2:5" ht="15" customHeight="1">
      <c r="B402" s="81"/>
      <c r="C402" s="62" t="s">
        <v>210</v>
      </c>
      <c r="D402" s="63">
        <v>1</v>
      </c>
      <c r="E402" s="64">
        <v>8.6948960960000005E-5</v>
      </c>
    </row>
    <row r="403" spans="2:5" ht="15" customHeight="1">
      <c r="B403" s="80"/>
      <c r="C403" s="36" t="s">
        <v>28</v>
      </c>
      <c r="D403" s="35">
        <v>110</v>
      </c>
      <c r="E403" s="34">
        <v>9.5643857055910005E-3</v>
      </c>
    </row>
    <row r="404" spans="2:5" ht="15" customHeight="1">
      <c r="B404" s="79" t="s">
        <v>130</v>
      </c>
      <c r="C404" s="62" t="s">
        <v>194</v>
      </c>
      <c r="D404" s="63">
        <v>1</v>
      </c>
      <c r="E404" s="64">
        <v>8.6948960960000005E-5</v>
      </c>
    </row>
    <row r="405" spans="2:5" ht="15" customHeight="1">
      <c r="B405" s="81"/>
      <c r="C405" s="62" t="s">
        <v>202</v>
      </c>
      <c r="D405" s="63">
        <v>1</v>
      </c>
      <c r="E405" s="64">
        <v>8.6948960960000005E-5</v>
      </c>
    </row>
    <row r="406" spans="2:5" ht="15" customHeight="1">
      <c r="B406" s="81"/>
      <c r="C406" s="62" t="s">
        <v>204</v>
      </c>
      <c r="D406" s="63">
        <v>2</v>
      </c>
      <c r="E406" s="64">
        <v>1.7389792192000001E-4</v>
      </c>
    </row>
    <row r="407" spans="2:5" ht="15" customHeight="1">
      <c r="B407" s="80"/>
      <c r="C407" s="36" t="s">
        <v>28</v>
      </c>
      <c r="D407" s="35">
        <v>4</v>
      </c>
      <c r="E407" s="34">
        <v>3.4779584384000002E-4</v>
      </c>
    </row>
    <row r="408" spans="2:5" ht="15" customHeight="1">
      <c r="B408" s="79" t="s">
        <v>131</v>
      </c>
      <c r="C408" s="62" t="s">
        <v>190</v>
      </c>
      <c r="D408" s="63">
        <v>1</v>
      </c>
      <c r="E408" s="64">
        <v>8.6948960960000005E-5</v>
      </c>
    </row>
    <row r="409" spans="2:5" ht="15" customHeight="1">
      <c r="B409" s="81"/>
      <c r="C409" s="62" t="s">
        <v>206</v>
      </c>
      <c r="D409" s="63">
        <v>1</v>
      </c>
      <c r="E409" s="64">
        <v>8.6948960960000005E-5</v>
      </c>
    </row>
    <row r="410" spans="2:5" ht="15" customHeight="1">
      <c r="B410" s="81"/>
      <c r="C410" s="62" t="s">
        <v>207</v>
      </c>
      <c r="D410" s="63">
        <v>1</v>
      </c>
      <c r="E410" s="64">
        <v>8.6948960960000005E-5</v>
      </c>
    </row>
    <row r="411" spans="2:5" ht="15" customHeight="1">
      <c r="B411" s="81"/>
      <c r="C411" s="62" t="s">
        <v>194</v>
      </c>
      <c r="D411" s="63">
        <v>4</v>
      </c>
      <c r="E411" s="64">
        <v>3.4779584384000002E-4</v>
      </c>
    </row>
    <row r="412" spans="2:5" ht="15" customHeight="1">
      <c r="B412" s="81"/>
      <c r="C412" s="62" t="s">
        <v>223</v>
      </c>
      <c r="D412" s="63">
        <v>1</v>
      </c>
      <c r="E412" s="64">
        <v>8.6948960960000005E-5</v>
      </c>
    </row>
    <row r="413" spans="2:5" ht="15" customHeight="1">
      <c r="B413" s="81"/>
      <c r="C413" s="62" t="s">
        <v>197</v>
      </c>
      <c r="D413" s="63">
        <v>2</v>
      </c>
      <c r="E413" s="64">
        <v>1.7389792192000001E-4</v>
      </c>
    </row>
    <row r="414" spans="2:5" ht="15" customHeight="1">
      <c r="B414" s="81"/>
      <c r="C414" s="62" t="s">
        <v>198</v>
      </c>
      <c r="D414" s="63">
        <v>1</v>
      </c>
      <c r="E414" s="64">
        <v>8.6948960960000005E-5</v>
      </c>
    </row>
    <row r="415" spans="2:5" ht="15" customHeight="1">
      <c r="B415" s="81"/>
      <c r="C415" s="62" t="s">
        <v>199</v>
      </c>
      <c r="D415" s="63">
        <v>2</v>
      </c>
      <c r="E415" s="64">
        <v>1.7389792192000001E-4</v>
      </c>
    </row>
    <row r="416" spans="2:5" ht="15" customHeight="1">
      <c r="B416" s="81"/>
      <c r="C416" s="62" t="s">
        <v>200</v>
      </c>
      <c r="D416" s="63">
        <v>2</v>
      </c>
      <c r="E416" s="64">
        <v>1.7389792192000001E-4</v>
      </c>
    </row>
    <row r="417" spans="2:5" ht="15" customHeight="1">
      <c r="B417" s="81"/>
      <c r="C417" s="62" t="s">
        <v>202</v>
      </c>
      <c r="D417" s="63">
        <v>3</v>
      </c>
      <c r="E417" s="64">
        <v>2.6084688287999997E-4</v>
      </c>
    </row>
    <row r="418" spans="2:5" ht="15" customHeight="1">
      <c r="B418" s="81"/>
      <c r="C418" s="62" t="s">
        <v>204</v>
      </c>
      <c r="D418" s="63">
        <v>11</v>
      </c>
      <c r="E418" s="64">
        <v>9.56438570559E-4</v>
      </c>
    </row>
    <row r="419" spans="2:5" ht="15" customHeight="1">
      <c r="B419" s="81"/>
      <c r="C419" s="62" t="s">
        <v>210</v>
      </c>
      <c r="D419" s="63">
        <v>1</v>
      </c>
      <c r="E419" s="64">
        <v>8.6948960960000005E-5</v>
      </c>
    </row>
    <row r="420" spans="2:5" ht="15" customHeight="1">
      <c r="B420" s="80"/>
      <c r="C420" s="36" t="s">
        <v>28</v>
      </c>
      <c r="D420" s="35">
        <v>30</v>
      </c>
      <c r="E420" s="34">
        <v>2.6084688287969999E-3</v>
      </c>
    </row>
    <row r="421" spans="2:5" ht="15" customHeight="1">
      <c r="B421" s="79" t="s">
        <v>132</v>
      </c>
      <c r="C421" s="62" t="s">
        <v>189</v>
      </c>
      <c r="D421" s="63">
        <v>23</v>
      </c>
      <c r="E421" s="64">
        <v>1.9998261020779998E-3</v>
      </c>
    </row>
    <row r="422" spans="2:5" ht="15" customHeight="1">
      <c r="B422" s="81"/>
      <c r="C422" s="62" t="s">
        <v>219</v>
      </c>
      <c r="D422" s="63">
        <v>5</v>
      </c>
      <c r="E422" s="64">
        <v>4.3474480480000001E-4</v>
      </c>
    </row>
    <row r="423" spans="2:5" ht="15" customHeight="1">
      <c r="B423" s="81"/>
      <c r="C423" s="62" t="s">
        <v>205</v>
      </c>
      <c r="D423" s="63">
        <v>1</v>
      </c>
      <c r="E423" s="64">
        <v>8.6948960960000005E-5</v>
      </c>
    </row>
    <row r="424" spans="2:5" ht="15" customHeight="1">
      <c r="B424" s="81"/>
      <c r="C424" s="62" t="s">
        <v>190</v>
      </c>
      <c r="D424" s="63">
        <v>1</v>
      </c>
      <c r="E424" s="64">
        <v>8.6948960960000005E-5</v>
      </c>
    </row>
    <row r="425" spans="2:5" ht="15" customHeight="1">
      <c r="B425" s="81"/>
      <c r="C425" s="62" t="s">
        <v>191</v>
      </c>
      <c r="D425" s="63">
        <v>1</v>
      </c>
      <c r="E425" s="64">
        <v>8.6948960960000005E-5</v>
      </c>
    </row>
    <row r="426" spans="2:5" ht="15" customHeight="1">
      <c r="B426" s="81"/>
      <c r="C426" s="62" t="s">
        <v>206</v>
      </c>
      <c r="D426" s="63">
        <v>48</v>
      </c>
      <c r="E426" s="64">
        <v>4.1735501260760002E-3</v>
      </c>
    </row>
    <row r="427" spans="2:5" ht="15" customHeight="1">
      <c r="B427" s="81"/>
      <c r="C427" s="62" t="s">
        <v>207</v>
      </c>
      <c r="D427" s="63">
        <v>2</v>
      </c>
      <c r="E427" s="64">
        <v>1.7389792192000001E-4</v>
      </c>
    </row>
    <row r="428" spans="2:5" ht="15" customHeight="1">
      <c r="B428" s="81"/>
      <c r="C428" s="62" t="s">
        <v>215</v>
      </c>
      <c r="D428" s="63">
        <v>3</v>
      </c>
      <c r="E428" s="64">
        <v>2.6084688287999997E-4</v>
      </c>
    </row>
    <row r="429" spans="2:5" ht="15" customHeight="1">
      <c r="B429" s="81"/>
      <c r="C429" s="62" t="s">
        <v>193</v>
      </c>
      <c r="D429" s="63">
        <v>35</v>
      </c>
      <c r="E429" s="64">
        <v>3.0432136335969999E-3</v>
      </c>
    </row>
    <row r="430" spans="2:5" ht="15" customHeight="1">
      <c r="B430" s="81"/>
      <c r="C430" s="62" t="s">
        <v>194</v>
      </c>
      <c r="D430" s="63">
        <v>34</v>
      </c>
      <c r="E430" s="64">
        <v>2.956264672637E-3</v>
      </c>
    </row>
    <row r="431" spans="2:5" ht="15" customHeight="1">
      <c r="B431" s="81"/>
      <c r="C431" s="62" t="s">
        <v>220</v>
      </c>
      <c r="D431" s="63">
        <v>1</v>
      </c>
      <c r="E431" s="64">
        <v>8.6948960960000005E-5</v>
      </c>
    </row>
    <row r="432" spans="2:5" ht="15" customHeight="1">
      <c r="B432" s="81"/>
      <c r="C432" s="62" t="s">
        <v>195</v>
      </c>
      <c r="D432" s="63">
        <v>31</v>
      </c>
      <c r="E432" s="64">
        <v>2.6954177897570001E-3</v>
      </c>
    </row>
    <row r="433" spans="2:5" ht="15" customHeight="1">
      <c r="B433" s="81"/>
      <c r="C433" s="62" t="s">
        <v>225</v>
      </c>
      <c r="D433" s="63">
        <v>3</v>
      </c>
      <c r="E433" s="64">
        <v>2.6084688287999997E-4</v>
      </c>
    </row>
    <row r="434" spans="2:5" ht="15" customHeight="1">
      <c r="B434" s="81"/>
      <c r="C434" s="62" t="s">
        <v>223</v>
      </c>
      <c r="D434" s="63">
        <v>13</v>
      </c>
      <c r="E434" s="64">
        <v>1.1303364924790001E-3</v>
      </c>
    </row>
    <row r="435" spans="2:5" ht="15" customHeight="1">
      <c r="B435" s="81"/>
      <c r="C435" s="62" t="s">
        <v>212</v>
      </c>
      <c r="D435" s="63">
        <v>3</v>
      </c>
      <c r="E435" s="64">
        <v>2.6084688287999997E-4</v>
      </c>
    </row>
    <row r="436" spans="2:5" ht="15" customHeight="1">
      <c r="B436" s="81"/>
      <c r="C436" s="62" t="s">
        <v>197</v>
      </c>
      <c r="D436" s="63">
        <v>24</v>
      </c>
      <c r="E436" s="64">
        <v>2.0867750630380001E-3</v>
      </c>
    </row>
    <row r="437" spans="2:5" ht="15" customHeight="1">
      <c r="B437" s="81"/>
      <c r="C437" s="62" t="s">
        <v>208</v>
      </c>
      <c r="D437" s="63">
        <v>1</v>
      </c>
      <c r="E437" s="64">
        <v>8.6948960960000005E-5</v>
      </c>
    </row>
    <row r="438" spans="2:5" ht="15" customHeight="1">
      <c r="B438" s="81"/>
      <c r="C438" s="62" t="s">
        <v>199</v>
      </c>
      <c r="D438" s="63">
        <v>3</v>
      </c>
      <c r="E438" s="64">
        <v>2.6084688287999997E-4</v>
      </c>
    </row>
    <row r="439" spans="2:5" ht="15" customHeight="1">
      <c r="B439" s="81"/>
      <c r="C439" s="62" t="s">
        <v>200</v>
      </c>
      <c r="D439" s="63">
        <v>16</v>
      </c>
      <c r="E439" s="64">
        <v>1.391183375359E-3</v>
      </c>
    </row>
    <row r="440" spans="2:5" ht="15" customHeight="1">
      <c r="B440" s="81"/>
      <c r="C440" s="62" t="s">
        <v>201</v>
      </c>
      <c r="D440" s="63">
        <v>5</v>
      </c>
      <c r="E440" s="64">
        <v>4.3474480480000001E-4</v>
      </c>
    </row>
    <row r="441" spans="2:5" ht="15" customHeight="1">
      <c r="B441" s="81"/>
      <c r="C441" s="62" t="s">
        <v>202</v>
      </c>
      <c r="D441" s="63">
        <v>18</v>
      </c>
      <c r="E441" s="64">
        <v>1.565081297278E-3</v>
      </c>
    </row>
    <row r="442" spans="2:5" ht="15" customHeight="1">
      <c r="B442" s="81"/>
      <c r="C442" s="62" t="s">
        <v>203</v>
      </c>
      <c r="D442" s="63">
        <v>34</v>
      </c>
      <c r="E442" s="64">
        <v>2.956264672637E-3</v>
      </c>
    </row>
    <row r="443" spans="2:5" ht="15" customHeight="1">
      <c r="B443" s="81"/>
      <c r="C443" s="62" t="s">
        <v>209</v>
      </c>
      <c r="D443" s="63">
        <v>2</v>
      </c>
      <c r="E443" s="64">
        <v>1.7389792192000001E-4</v>
      </c>
    </row>
    <row r="444" spans="2:5" ht="15" customHeight="1">
      <c r="B444" s="81"/>
      <c r="C444" s="62" t="s">
        <v>204</v>
      </c>
      <c r="D444" s="63">
        <v>145</v>
      </c>
      <c r="E444" s="64">
        <v>1.2607599339187999E-2</v>
      </c>
    </row>
    <row r="445" spans="2:5" ht="15" customHeight="1">
      <c r="B445" s="81"/>
      <c r="C445" s="62" t="s">
        <v>210</v>
      </c>
      <c r="D445" s="63">
        <v>16</v>
      </c>
      <c r="E445" s="64">
        <v>1.391183375359E-3</v>
      </c>
    </row>
    <row r="446" spans="2:5" ht="15" customHeight="1">
      <c r="B446" s="81"/>
      <c r="C446" s="62" t="s">
        <v>221</v>
      </c>
      <c r="D446" s="63">
        <v>1</v>
      </c>
      <c r="E446" s="64">
        <v>8.6948960960000005E-5</v>
      </c>
    </row>
    <row r="447" spans="2:5" ht="15" customHeight="1">
      <c r="B447" s="81"/>
      <c r="C447" s="62" t="s">
        <v>216</v>
      </c>
      <c r="D447" s="63">
        <v>3</v>
      </c>
      <c r="E447" s="64">
        <v>2.6084688287999997E-4</v>
      </c>
    </row>
    <row r="448" spans="2:5" ht="15" customHeight="1">
      <c r="B448" s="80"/>
      <c r="C448" s="36" t="s">
        <v>28</v>
      </c>
      <c r="D448" s="35">
        <v>472</v>
      </c>
      <c r="E448" s="34">
        <v>4.1039909573080999E-2</v>
      </c>
    </row>
    <row r="449" spans="2:5" ht="15" customHeight="1">
      <c r="B449" s="79" t="s">
        <v>133</v>
      </c>
      <c r="C449" s="62" t="s">
        <v>197</v>
      </c>
      <c r="D449" s="63">
        <v>1</v>
      </c>
      <c r="E449" s="64">
        <v>8.6948960960000005E-5</v>
      </c>
    </row>
    <row r="450" spans="2:5" ht="15" customHeight="1">
      <c r="B450" s="81"/>
      <c r="C450" s="62" t="s">
        <v>208</v>
      </c>
      <c r="D450" s="63">
        <v>1</v>
      </c>
      <c r="E450" s="64">
        <v>8.6948960960000005E-5</v>
      </c>
    </row>
    <row r="451" spans="2:5" ht="15" customHeight="1">
      <c r="B451" s="81"/>
      <c r="C451" s="62" t="s">
        <v>204</v>
      </c>
      <c r="D451" s="63">
        <v>4</v>
      </c>
      <c r="E451" s="64">
        <v>3.4779584384000002E-4</v>
      </c>
    </row>
    <row r="452" spans="2:5" ht="15" customHeight="1">
      <c r="B452" s="80"/>
      <c r="C452" s="36" t="s">
        <v>28</v>
      </c>
      <c r="D452" s="35">
        <v>6</v>
      </c>
      <c r="E452" s="34">
        <v>5.2169376575899999E-4</v>
      </c>
    </row>
    <row r="453" spans="2:5" ht="15" customHeight="1">
      <c r="B453" s="79" t="s">
        <v>134</v>
      </c>
      <c r="C453" s="62" t="s">
        <v>189</v>
      </c>
      <c r="D453" s="63">
        <v>1</v>
      </c>
      <c r="E453" s="64">
        <v>8.6948960960000005E-5</v>
      </c>
    </row>
    <row r="454" spans="2:5" ht="15" customHeight="1">
      <c r="B454" s="81"/>
      <c r="C454" s="62" t="s">
        <v>190</v>
      </c>
      <c r="D454" s="63">
        <v>1</v>
      </c>
      <c r="E454" s="64">
        <v>8.6948960960000005E-5</v>
      </c>
    </row>
    <row r="455" spans="2:5" ht="15" customHeight="1">
      <c r="B455" s="81"/>
      <c r="C455" s="62" t="s">
        <v>217</v>
      </c>
      <c r="D455" s="63">
        <v>1</v>
      </c>
      <c r="E455" s="64">
        <v>8.6948960960000005E-5</v>
      </c>
    </row>
    <row r="456" spans="2:5" ht="15" customHeight="1">
      <c r="B456" s="81"/>
      <c r="C456" s="62" t="s">
        <v>193</v>
      </c>
      <c r="D456" s="63">
        <v>1</v>
      </c>
      <c r="E456" s="64">
        <v>8.6948960960000005E-5</v>
      </c>
    </row>
    <row r="457" spans="2:5" ht="15" customHeight="1">
      <c r="B457" s="81"/>
      <c r="C457" s="62" t="s">
        <v>194</v>
      </c>
      <c r="D457" s="63">
        <v>2</v>
      </c>
      <c r="E457" s="64">
        <v>1.7389792192000001E-4</v>
      </c>
    </row>
    <row r="458" spans="2:5" ht="15" customHeight="1">
      <c r="B458" s="81"/>
      <c r="C458" s="62" t="s">
        <v>197</v>
      </c>
      <c r="D458" s="63">
        <v>1</v>
      </c>
      <c r="E458" s="64">
        <v>8.6948960960000005E-5</v>
      </c>
    </row>
    <row r="459" spans="2:5" ht="15" customHeight="1">
      <c r="B459" s="81"/>
      <c r="C459" s="62" t="s">
        <v>199</v>
      </c>
      <c r="D459" s="63">
        <v>3</v>
      </c>
      <c r="E459" s="64">
        <v>2.6084688287999997E-4</v>
      </c>
    </row>
    <row r="460" spans="2:5" ht="15" customHeight="1">
      <c r="B460" s="81"/>
      <c r="C460" s="62" t="s">
        <v>200</v>
      </c>
      <c r="D460" s="63">
        <v>1</v>
      </c>
      <c r="E460" s="64">
        <v>8.6948960960000005E-5</v>
      </c>
    </row>
    <row r="461" spans="2:5" ht="15" customHeight="1">
      <c r="B461" s="81"/>
      <c r="C461" s="62" t="s">
        <v>204</v>
      </c>
      <c r="D461" s="63">
        <v>2</v>
      </c>
      <c r="E461" s="64">
        <v>1.7389792192000001E-4</v>
      </c>
    </row>
    <row r="462" spans="2:5" ht="15" customHeight="1">
      <c r="B462" s="80"/>
      <c r="C462" s="36" t="s">
        <v>28</v>
      </c>
      <c r="D462" s="35">
        <v>13</v>
      </c>
      <c r="E462" s="34">
        <v>1.1303364924790001E-3</v>
      </c>
    </row>
    <row r="463" spans="2:5" ht="15" customHeight="1">
      <c r="B463" s="79" t="s">
        <v>135</v>
      </c>
      <c r="C463" s="62" t="s">
        <v>189</v>
      </c>
      <c r="D463" s="63">
        <v>1</v>
      </c>
      <c r="E463" s="64">
        <v>8.6948960960000005E-5</v>
      </c>
    </row>
    <row r="464" spans="2:5" ht="15" customHeight="1">
      <c r="B464" s="81"/>
      <c r="C464" s="62" t="s">
        <v>190</v>
      </c>
      <c r="D464" s="63">
        <v>2</v>
      </c>
      <c r="E464" s="64">
        <v>1.7389792192000001E-4</v>
      </c>
    </row>
    <row r="465" spans="2:5" ht="15" customHeight="1">
      <c r="B465" s="81"/>
      <c r="C465" s="62" t="s">
        <v>206</v>
      </c>
      <c r="D465" s="63">
        <v>8</v>
      </c>
      <c r="E465" s="64">
        <v>6.9559168767899997E-4</v>
      </c>
    </row>
    <row r="466" spans="2:5" ht="15" customHeight="1">
      <c r="B466" s="81"/>
      <c r="C466" s="62" t="s">
        <v>193</v>
      </c>
      <c r="D466" s="63">
        <v>3</v>
      </c>
      <c r="E466" s="64">
        <v>2.6084688287999997E-4</v>
      </c>
    </row>
    <row r="467" spans="2:5" ht="15" customHeight="1">
      <c r="B467" s="81"/>
      <c r="C467" s="62" t="s">
        <v>194</v>
      </c>
      <c r="D467" s="63">
        <v>10</v>
      </c>
      <c r="E467" s="64">
        <v>8.6948960959899995E-4</v>
      </c>
    </row>
    <row r="468" spans="2:5" ht="15" customHeight="1">
      <c r="B468" s="81"/>
      <c r="C468" s="62" t="s">
        <v>195</v>
      </c>
      <c r="D468" s="63">
        <v>1</v>
      </c>
      <c r="E468" s="64">
        <v>8.6948960960000005E-5</v>
      </c>
    </row>
    <row r="469" spans="2:5" ht="15" customHeight="1">
      <c r="B469" s="81"/>
      <c r="C469" s="62" t="s">
        <v>212</v>
      </c>
      <c r="D469" s="63">
        <v>1</v>
      </c>
      <c r="E469" s="64">
        <v>8.6948960960000005E-5</v>
      </c>
    </row>
    <row r="470" spans="2:5" ht="15" customHeight="1">
      <c r="B470" s="81"/>
      <c r="C470" s="62" t="s">
        <v>196</v>
      </c>
      <c r="D470" s="63">
        <v>1</v>
      </c>
      <c r="E470" s="64">
        <v>8.6948960960000005E-5</v>
      </c>
    </row>
    <row r="471" spans="2:5" ht="15" customHeight="1">
      <c r="B471" s="81"/>
      <c r="C471" s="62" t="s">
        <v>197</v>
      </c>
      <c r="D471" s="63">
        <v>8</v>
      </c>
      <c r="E471" s="64">
        <v>6.9559168767899997E-4</v>
      </c>
    </row>
    <row r="472" spans="2:5" ht="15" customHeight="1">
      <c r="B472" s="81"/>
      <c r="C472" s="62" t="s">
        <v>208</v>
      </c>
      <c r="D472" s="63">
        <v>1</v>
      </c>
      <c r="E472" s="64">
        <v>8.6948960960000005E-5</v>
      </c>
    </row>
    <row r="473" spans="2:5" ht="15" customHeight="1">
      <c r="B473" s="81"/>
      <c r="C473" s="62" t="s">
        <v>199</v>
      </c>
      <c r="D473" s="63">
        <v>2</v>
      </c>
      <c r="E473" s="64">
        <v>1.7389792192000001E-4</v>
      </c>
    </row>
    <row r="474" spans="2:5" ht="15" customHeight="1">
      <c r="B474" s="81"/>
      <c r="C474" s="62" t="s">
        <v>200</v>
      </c>
      <c r="D474" s="63">
        <v>4</v>
      </c>
      <c r="E474" s="64">
        <v>3.4779584384000002E-4</v>
      </c>
    </row>
    <row r="475" spans="2:5" ht="15" customHeight="1">
      <c r="B475" s="81"/>
      <c r="C475" s="62" t="s">
        <v>202</v>
      </c>
      <c r="D475" s="63">
        <v>1</v>
      </c>
      <c r="E475" s="64">
        <v>8.6948960960000005E-5</v>
      </c>
    </row>
    <row r="476" spans="2:5" ht="15" customHeight="1">
      <c r="B476" s="81"/>
      <c r="C476" s="62" t="s">
        <v>203</v>
      </c>
      <c r="D476" s="63">
        <v>6</v>
      </c>
      <c r="E476" s="64">
        <v>5.2169376575899999E-4</v>
      </c>
    </row>
    <row r="477" spans="2:5" ht="15" customHeight="1">
      <c r="B477" s="81"/>
      <c r="C477" s="62" t="s">
        <v>204</v>
      </c>
      <c r="D477" s="63">
        <v>10</v>
      </c>
      <c r="E477" s="64">
        <v>8.6948960959899995E-4</v>
      </c>
    </row>
    <row r="478" spans="2:5" ht="15" customHeight="1">
      <c r="B478" s="81"/>
      <c r="C478" s="62" t="s">
        <v>210</v>
      </c>
      <c r="D478" s="63">
        <v>1</v>
      </c>
      <c r="E478" s="64">
        <v>8.6948960960000005E-5</v>
      </c>
    </row>
    <row r="479" spans="2:5" ht="15" customHeight="1">
      <c r="B479" s="80"/>
      <c r="C479" s="36" t="s">
        <v>28</v>
      </c>
      <c r="D479" s="35">
        <v>60</v>
      </c>
      <c r="E479" s="34">
        <v>5.2169376575949998E-3</v>
      </c>
    </row>
    <row r="480" spans="2:5" ht="15" customHeight="1">
      <c r="B480" s="79" t="s">
        <v>136</v>
      </c>
      <c r="C480" s="62" t="s">
        <v>206</v>
      </c>
      <c r="D480" s="63">
        <v>1</v>
      </c>
      <c r="E480" s="64">
        <v>8.6948960960000005E-5</v>
      </c>
    </row>
    <row r="481" spans="2:5" ht="15" customHeight="1">
      <c r="B481" s="81"/>
      <c r="C481" s="62" t="s">
        <v>194</v>
      </c>
      <c r="D481" s="63">
        <v>4</v>
      </c>
      <c r="E481" s="64">
        <v>3.4779584384000002E-4</v>
      </c>
    </row>
    <row r="482" spans="2:5" ht="15" customHeight="1">
      <c r="B482" s="81"/>
      <c r="C482" s="62" t="s">
        <v>195</v>
      </c>
      <c r="D482" s="63">
        <v>1</v>
      </c>
      <c r="E482" s="64">
        <v>8.6948960960000005E-5</v>
      </c>
    </row>
    <row r="483" spans="2:5" ht="15" customHeight="1">
      <c r="B483" s="81"/>
      <c r="C483" s="62" t="s">
        <v>203</v>
      </c>
      <c r="D483" s="63">
        <v>2</v>
      </c>
      <c r="E483" s="64">
        <v>1.7389792192000001E-4</v>
      </c>
    </row>
    <row r="484" spans="2:5" ht="15" customHeight="1">
      <c r="B484" s="81"/>
      <c r="C484" s="62" t="s">
        <v>204</v>
      </c>
      <c r="D484" s="63">
        <v>2</v>
      </c>
      <c r="E484" s="64">
        <v>1.7389792192000001E-4</v>
      </c>
    </row>
    <row r="485" spans="2:5" ht="15" customHeight="1">
      <c r="B485" s="80"/>
      <c r="C485" s="36" t="s">
        <v>28</v>
      </c>
      <c r="D485" s="35">
        <v>10</v>
      </c>
      <c r="E485" s="34">
        <v>8.6948960959899995E-4</v>
      </c>
    </row>
    <row r="486" spans="2:5" ht="15" customHeight="1">
      <c r="B486" s="79" t="s">
        <v>137</v>
      </c>
      <c r="C486" s="62" t="s">
        <v>189</v>
      </c>
      <c r="D486" s="63">
        <v>1</v>
      </c>
      <c r="E486" s="64">
        <v>8.6948960960000005E-5</v>
      </c>
    </row>
    <row r="487" spans="2:5" ht="15" customHeight="1">
      <c r="B487" s="81"/>
      <c r="C487" s="62" t="s">
        <v>219</v>
      </c>
      <c r="D487" s="63">
        <v>3</v>
      </c>
      <c r="E487" s="64">
        <v>2.6084688287999997E-4</v>
      </c>
    </row>
    <row r="488" spans="2:5" ht="15" customHeight="1">
      <c r="B488" s="81"/>
      <c r="C488" s="62" t="s">
        <v>190</v>
      </c>
      <c r="D488" s="63">
        <v>2</v>
      </c>
      <c r="E488" s="64">
        <v>1.7389792192000001E-4</v>
      </c>
    </row>
    <row r="489" spans="2:5" ht="15" customHeight="1">
      <c r="B489" s="81"/>
      <c r="C489" s="62" t="s">
        <v>192</v>
      </c>
      <c r="D489" s="63">
        <v>1</v>
      </c>
      <c r="E489" s="64">
        <v>8.6948960960000005E-5</v>
      </c>
    </row>
    <row r="490" spans="2:5" ht="15" customHeight="1">
      <c r="B490" s="81"/>
      <c r="C490" s="62" t="s">
        <v>206</v>
      </c>
      <c r="D490" s="63">
        <v>3</v>
      </c>
      <c r="E490" s="64">
        <v>2.6084688287999997E-4</v>
      </c>
    </row>
    <row r="491" spans="2:5" ht="15" customHeight="1">
      <c r="B491" s="81"/>
      <c r="C491" s="62" t="s">
        <v>207</v>
      </c>
      <c r="D491" s="63">
        <v>2</v>
      </c>
      <c r="E491" s="64">
        <v>1.7389792192000001E-4</v>
      </c>
    </row>
    <row r="492" spans="2:5" ht="15" customHeight="1">
      <c r="B492" s="81"/>
      <c r="C492" s="62" t="s">
        <v>213</v>
      </c>
      <c r="D492" s="63">
        <v>2</v>
      </c>
      <c r="E492" s="64">
        <v>1.7389792192000001E-4</v>
      </c>
    </row>
    <row r="493" spans="2:5" ht="15" customHeight="1">
      <c r="B493" s="81"/>
      <c r="C493" s="62" t="s">
        <v>217</v>
      </c>
      <c r="D493" s="63">
        <v>1</v>
      </c>
      <c r="E493" s="64">
        <v>8.6948960960000005E-5</v>
      </c>
    </row>
    <row r="494" spans="2:5" ht="15" customHeight="1">
      <c r="B494" s="81"/>
      <c r="C494" s="62" t="s">
        <v>193</v>
      </c>
      <c r="D494" s="63">
        <v>2</v>
      </c>
      <c r="E494" s="64">
        <v>1.7389792192000001E-4</v>
      </c>
    </row>
    <row r="495" spans="2:5" ht="15" customHeight="1">
      <c r="B495" s="81"/>
      <c r="C495" s="62" t="s">
        <v>194</v>
      </c>
      <c r="D495" s="63">
        <v>18</v>
      </c>
      <c r="E495" s="64">
        <v>1.565081297278E-3</v>
      </c>
    </row>
    <row r="496" spans="2:5" ht="15" customHeight="1">
      <c r="B496" s="81"/>
      <c r="C496" s="62" t="s">
        <v>195</v>
      </c>
      <c r="D496" s="63">
        <v>6</v>
      </c>
      <c r="E496" s="64">
        <v>5.2169376575899999E-4</v>
      </c>
    </row>
    <row r="497" spans="2:5" ht="15" customHeight="1">
      <c r="B497" s="81"/>
      <c r="C497" s="62" t="s">
        <v>212</v>
      </c>
      <c r="D497" s="63">
        <v>4</v>
      </c>
      <c r="E497" s="64">
        <v>3.4779584384000002E-4</v>
      </c>
    </row>
    <row r="498" spans="2:5" ht="15" customHeight="1">
      <c r="B498" s="81"/>
      <c r="C498" s="62" t="s">
        <v>197</v>
      </c>
      <c r="D498" s="63">
        <v>8</v>
      </c>
      <c r="E498" s="64">
        <v>6.9559168767899997E-4</v>
      </c>
    </row>
    <row r="499" spans="2:5" ht="15" customHeight="1">
      <c r="B499" s="81"/>
      <c r="C499" s="62" t="s">
        <v>208</v>
      </c>
      <c r="D499" s="63">
        <v>2</v>
      </c>
      <c r="E499" s="64">
        <v>1.7389792192000001E-4</v>
      </c>
    </row>
    <row r="500" spans="2:5" ht="15" customHeight="1">
      <c r="B500" s="81"/>
      <c r="C500" s="62" t="s">
        <v>199</v>
      </c>
      <c r="D500" s="63">
        <v>3</v>
      </c>
      <c r="E500" s="64">
        <v>2.6084688287999997E-4</v>
      </c>
    </row>
    <row r="501" spans="2:5" ht="15" customHeight="1">
      <c r="B501" s="81"/>
      <c r="C501" s="62" t="s">
        <v>200</v>
      </c>
      <c r="D501" s="63">
        <v>9</v>
      </c>
      <c r="E501" s="64">
        <v>7.8254064863900001E-4</v>
      </c>
    </row>
    <row r="502" spans="2:5" ht="15" customHeight="1">
      <c r="B502" s="81"/>
      <c r="C502" s="62" t="s">
        <v>202</v>
      </c>
      <c r="D502" s="63">
        <v>3</v>
      </c>
      <c r="E502" s="64">
        <v>2.6084688287999997E-4</v>
      </c>
    </row>
    <row r="503" spans="2:5" ht="15" customHeight="1">
      <c r="B503" s="81"/>
      <c r="C503" s="62" t="s">
        <v>203</v>
      </c>
      <c r="D503" s="63">
        <v>2</v>
      </c>
      <c r="E503" s="64">
        <v>1.7389792192000001E-4</v>
      </c>
    </row>
    <row r="504" spans="2:5" ht="15" customHeight="1">
      <c r="B504" s="81"/>
      <c r="C504" s="62" t="s">
        <v>204</v>
      </c>
      <c r="D504" s="63">
        <v>25</v>
      </c>
      <c r="E504" s="64">
        <v>2.1737240239979999E-3</v>
      </c>
    </row>
    <row r="505" spans="2:5" ht="15" customHeight="1">
      <c r="B505" s="81"/>
      <c r="C505" s="62" t="s">
        <v>210</v>
      </c>
      <c r="D505" s="63">
        <v>5</v>
      </c>
      <c r="E505" s="64">
        <v>4.3474480480000001E-4</v>
      </c>
    </row>
    <row r="506" spans="2:5" ht="15" customHeight="1">
      <c r="B506" s="81"/>
      <c r="C506" s="62" t="s">
        <v>221</v>
      </c>
      <c r="D506" s="63">
        <v>2</v>
      </c>
      <c r="E506" s="64">
        <v>1.7389792192000001E-4</v>
      </c>
    </row>
    <row r="507" spans="2:5" ht="15" customHeight="1">
      <c r="B507" s="80"/>
      <c r="C507" s="36" t="s">
        <v>28</v>
      </c>
      <c r="D507" s="35">
        <v>104</v>
      </c>
      <c r="E507" s="34">
        <v>9.0426919398309998E-3</v>
      </c>
    </row>
    <row r="508" spans="2:5" ht="15" customHeight="1">
      <c r="B508" s="79" t="s">
        <v>138</v>
      </c>
      <c r="C508" s="62" t="s">
        <v>211</v>
      </c>
      <c r="D508" s="63">
        <v>15</v>
      </c>
      <c r="E508" s="64">
        <v>1.304234414399E-3</v>
      </c>
    </row>
    <row r="509" spans="2:5" ht="15" customHeight="1">
      <c r="B509" s="81"/>
      <c r="C509" s="62" t="s">
        <v>189</v>
      </c>
      <c r="D509" s="63">
        <v>516</v>
      </c>
      <c r="E509" s="64">
        <v>4.4865663855316998E-2</v>
      </c>
    </row>
    <row r="510" spans="2:5" ht="15" customHeight="1">
      <c r="B510" s="81"/>
      <c r="C510" s="62" t="s">
        <v>219</v>
      </c>
      <c r="D510" s="63">
        <v>135</v>
      </c>
      <c r="E510" s="64">
        <v>1.1738109729589E-2</v>
      </c>
    </row>
    <row r="511" spans="2:5" ht="15" customHeight="1">
      <c r="B511" s="81"/>
      <c r="C511" s="62" t="s">
        <v>222</v>
      </c>
      <c r="D511" s="63">
        <v>12</v>
      </c>
      <c r="E511" s="64">
        <v>1.043387531519E-3</v>
      </c>
    </row>
    <row r="512" spans="2:5" ht="15" customHeight="1">
      <c r="B512" s="81"/>
      <c r="C512" s="62" t="s">
        <v>205</v>
      </c>
      <c r="D512" s="63">
        <v>17</v>
      </c>
      <c r="E512" s="64">
        <v>1.4781323363190001E-3</v>
      </c>
    </row>
    <row r="513" spans="2:5" ht="15" customHeight="1">
      <c r="B513" s="81"/>
      <c r="C513" s="62" t="s">
        <v>190</v>
      </c>
      <c r="D513" s="63">
        <v>72</v>
      </c>
      <c r="E513" s="64">
        <v>6.2603251891140002E-3</v>
      </c>
    </row>
    <row r="514" spans="2:5" ht="15" customHeight="1">
      <c r="B514" s="81"/>
      <c r="C514" s="62" t="s">
        <v>191</v>
      </c>
      <c r="D514" s="63">
        <v>39</v>
      </c>
      <c r="E514" s="64">
        <v>3.391009477437E-3</v>
      </c>
    </row>
    <row r="515" spans="2:5" ht="15" customHeight="1">
      <c r="B515" s="81"/>
      <c r="C515" s="62" t="s">
        <v>192</v>
      </c>
      <c r="D515" s="63">
        <v>40</v>
      </c>
      <c r="E515" s="64">
        <v>3.4779584383969999E-3</v>
      </c>
    </row>
    <row r="516" spans="2:5" ht="15" customHeight="1">
      <c r="B516" s="81"/>
      <c r="C516" s="62" t="s">
        <v>206</v>
      </c>
      <c r="D516" s="63">
        <v>165</v>
      </c>
      <c r="E516" s="64">
        <v>1.4346578558385999E-2</v>
      </c>
    </row>
    <row r="517" spans="2:5" ht="15" customHeight="1">
      <c r="B517" s="81"/>
      <c r="C517" s="62" t="s">
        <v>207</v>
      </c>
      <c r="D517" s="63">
        <v>53</v>
      </c>
      <c r="E517" s="64">
        <v>4.6082949308760002E-3</v>
      </c>
    </row>
    <row r="518" spans="2:5" ht="15" customHeight="1">
      <c r="B518" s="81"/>
      <c r="C518" s="62" t="s">
        <v>213</v>
      </c>
      <c r="D518" s="63">
        <v>30</v>
      </c>
      <c r="E518" s="64">
        <v>2.6084688287969999E-3</v>
      </c>
    </row>
    <row r="519" spans="2:5" ht="15" customHeight="1">
      <c r="B519" s="81"/>
      <c r="C519" s="62" t="s">
        <v>214</v>
      </c>
      <c r="D519" s="63">
        <v>10</v>
      </c>
      <c r="E519" s="64">
        <v>8.6948960959899995E-4</v>
      </c>
    </row>
    <row r="520" spans="2:5" ht="15" customHeight="1">
      <c r="B520" s="81"/>
      <c r="C520" s="62" t="s">
        <v>224</v>
      </c>
      <c r="D520" s="63">
        <v>5</v>
      </c>
      <c r="E520" s="64">
        <v>4.3474480480000001E-4</v>
      </c>
    </row>
    <row r="521" spans="2:5" ht="15" customHeight="1">
      <c r="B521" s="81"/>
      <c r="C521" s="62" t="s">
        <v>215</v>
      </c>
      <c r="D521" s="63">
        <v>31</v>
      </c>
      <c r="E521" s="64">
        <v>2.6954177897570001E-3</v>
      </c>
    </row>
    <row r="522" spans="2:5" ht="15" customHeight="1">
      <c r="B522" s="81"/>
      <c r="C522" s="62" t="s">
        <v>217</v>
      </c>
      <c r="D522" s="63">
        <v>7</v>
      </c>
      <c r="E522" s="64">
        <v>6.0864272671900003E-4</v>
      </c>
    </row>
    <row r="523" spans="2:5" ht="15" customHeight="1">
      <c r="B523" s="81"/>
      <c r="C523" s="62" t="s">
        <v>218</v>
      </c>
      <c r="D523" s="63">
        <v>6</v>
      </c>
      <c r="E523" s="64">
        <v>5.2169376575899999E-4</v>
      </c>
    </row>
    <row r="524" spans="2:5" ht="15" customHeight="1">
      <c r="B524" s="81"/>
      <c r="C524" s="62" t="s">
        <v>193</v>
      </c>
      <c r="D524" s="63">
        <v>274</v>
      </c>
      <c r="E524" s="64">
        <v>2.3824015303017001E-2</v>
      </c>
    </row>
    <row r="525" spans="2:5" ht="15" customHeight="1">
      <c r="B525" s="81"/>
      <c r="C525" s="62" t="s">
        <v>194</v>
      </c>
      <c r="D525" s="63">
        <v>1369</v>
      </c>
      <c r="E525" s="64">
        <v>0.119033127554126</v>
      </c>
    </row>
    <row r="526" spans="2:5" ht="15" customHeight="1">
      <c r="B526" s="81"/>
      <c r="C526" s="62" t="s">
        <v>220</v>
      </c>
      <c r="D526" s="63">
        <v>13</v>
      </c>
      <c r="E526" s="64">
        <v>1.1303364924790001E-3</v>
      </c>
    </row>
    <row r="527" spans="2:5" ht="15" customHeight="1">
      <c r="B527" s="81"/>
      <c r="C527" s="62" t="s">
        <v>195</v>
      </c>
      <c r="D527" s="63">
        <v>767</v>
      </c>
      <c r="E527" s="64">
        <v>6.6689853056255993E-2</v>
      </c>
    </row>
    <row r="528" spans="2:5" ht="15" customHeight="1">
      <c r="B528" s="81"/>
      <c r="C528" s="62" t="s">
        <v>226</v>
      </c>
      <c r="D528" s="63">
        <v>7</v>
      </c>
      <c r="E528" s="64">
        <v>6.0864272671900003E-4</v>
      </c>
    </row>
    <row r="529" spans="2:5" ht="15" customHeight="1">
      <c r="B529" s="81"/>
      <c r="C529" s="62" t="s">
        <v>225</v>
      </c>
      <c r="D529" s="63">
        <v>19</v>
      </c>
      <c r="E529" s="64">
        <v>1.6520302582380001E-3</v>
      </c>
    </row>
    <row r="530" spans="2:5" ht="15" customHeight="1">
      <c r="B530" s="81"/>
      <c r="C530" s="62" t="s">
        <v>223</v>
      </c>
      <c r="D530" s="63">
        <v>4</v>
      </c>
      <c r="E530" s="64">
        <v>3.4779584384000002E-4</v>
      </c>
    </row>
    <row r="531" spans="2:5" ht="15" customHeight="1">
      <c r="B531" s="81"/>
      <c r="C531" s="62" t="s">
        <v>212</v>
      </c>
      <c r="D531" s="63">
        <v>44</v>
      </c>
      <c r="E531" s="64">
        <v>3.825754282236E-3</v>
      </c>
    </row>
    <row r="532" spans="2:5" ht="15" customHeight="1">
      <c r="B532" s="81"/>
      <c r="C532" s="62" t="s">
        <v>196</v>
      </c>
      <c r="D532" s="63">
        <v>38</v>
      </c>
      <c r="E532" s="64">
        <v>3.3040605164770002E-3</v>
      </c>
    </row>
    <row r="533" spans="2:5" ht="15" customHeight="1">
      <c r="B533" s="81"/>
      <c r="C533" s="62" t="s">
        <v>197</v>
      </c>
      <c r="D533" s="63">
        <v>916</v>
      </c>
      <c r="E533" s="64">
        <v>7.9645248239283997E-2</v>
      </c>
    </row>
    <row r="534" spans="2:5" ht="15" customHeight="1">
      <c r="B534" s="81"/>
      <c r="C534" s="62" t="s">
        <v>198</v>
      </c>
      <c r="D534" s="63">
        <v>34</v>
      </c>
      <c r="E534" s="64">
        <v>2.956264672637E-3</v>
      </c>
    </row>
    <row r="535" spans="2:5" ht="15" customHeight="1">
      <c r="B535" s="81"/>
      <c r="C535" s="62" t="s">
        <v>208</v>
      </c>
      <c r="D535" s="63">
        <v>36</v>
      </c>
      <c r="E535" s="64">
        <v>3.1301625945570001E-3</v>
      </c>
    </row>
    <row r="536" spans="2:5" ht="15" customHeight="1">
      <c r="B536" s="81"/>
      <c r="C536" s="62" t="s">
        <v>199</v>
      </c>
      <c r="D536" s="63">
        <v>214</v>
      </c>
      <c r="E536" s="64">
        <v>1.8607077645422E-2</v>
      </c>
    </row>
    <row r="537" spans="2:5" ht="15" customHeight="1">
      <c r="B537" s="81"/>
      <c r="C537" s="62" t="s">
        <v>83</v>
      </c>
      <c r="D537" s="63">
        <v>1</v>
      </c>
      <c r="E537" s="64">
        <v>8.6948960960000005E-5</v>
      </c>
    </row>
    <row r="538" spans="2:5" ht="15" customHeight="1">
      <c r="B538" s="81"/>
      <c r="C538" s="62" t="s">
        <v>200</v>
      </c>
      <c r="D538" s="63">
        <v>435</v>
      </c>
      <c r="E538" s="64">
        <v>3.7822798017563997E-2</v>
      </c>
    </row>
    <row r="539" spans="2:5" ht="15" customHeight="1">
      <c r="B539" s="81"/>
      <c r="C539" s="62" t="s">
        <v>201</v>
      </c>
      <c r="D539" s="63">
        <v>165</v>
      </c>
      <c r="E539" s="64">
        <v>1.4346578558385999E-2</v>
      </c>
    </row>
    <row r="540" spans="2:5" ht="15" customHeight="1">
      <c r="B540" s="81"/>
      <c r="C540" s="62" t="s">
        <v>202</v>
      </c>
      <c r="D540" s="63">
        <v>663</v>
      </c>
      <c r="E540" s="64">
        <v>5.7647161116424997E-2</v>
      </c>
    </row>
    <row r="541" spans="2:5" ht="15" customHeight="1">
      <c r="B541" s="81"/>
      <c r="C541" s="62" t="s">
        <v>203</v>
      </c>
      <c r="D541" s="63">
        <v>358</v>
      </c>
      <c r="E541" s="64">
        <v>3.1127728023649999E-2</v>
      </c>
    </row>
    <row r="542" spans="2:5" ht="15" customHeight="1">
      <c r="B542" s="81"/>
      <c r="C542" s="62" t="s">
        <v>209</v>
      </c>
      <c r="D542" s="63">
        <v>13</v>
      </c>
      <c r="E542" s="64">
        <v>1.1303364924790001E-3</v>
      </c>
    </row>
    <row r="543" spans="2:5" ht="15" customHeight="1">
      <c r="B543" s="81"/>
      <c r="C543" s="62" t="s">
        <v>204</v>
      </c>
      <c r="D543" s="63">
        <v>1409</v>
      </c>
      <c r="E543" s="64">
        <v>0.122511085992522</v>
      </c>
    </row>
    <row r="544" spans="2:5" ht="15" customHeight="1">
      <c r="B544" s="81"/>
      <c r="C544" s="62" t="s">
        <v>210</v>
      </c>
      <c r="D544" s="63">
        <v>50</v>
      </c>
      <c r="E544" s="64">
        <v>4.3474480479959998E-3</v>
      </c>
    </row>
    <row r="545" spans="2:5" ht="15" customHeight="1">
      <c r="B545" s="81"/>
      <c r="C545" s="62" t="s">
        <v>221</v>
      </c>
      <c r="D545" s="63">
        <v>15</v>
      </c>
      <c r="E545" s="64">
        <v>1.304234414399E-3</v>
      </c>
    </row>
    <row r="546" spans="2:5" ht="15" customHeight="1">
      <c r="B546" s="81"/>
      <c r="C546" s="62" t="s">
        <v>216</v>
      </c>
      <c r="D546" s="63">
        <v>59</v>
      </c>
      <c r="E546" s="64">
        <v>5.1299886966349999E-3</v>
      </c>
    </row>
    <row r="547" spans="2:5" ht="15" customHeight="1">
      <c r="B547" s="80"/>
      <c r="C547" s="36" t="s">
        <v>28</v>
      </c>
      <c r="D547" s="35">
        <v>8056</v>
      </c>
      <c r="E547" s="34">
        <v>0.70046082949308797</v>
      </c>
    </row>
    <row r="548" spans="2:5" ht="15" customHeight="1">
      <c r="B548" s="79" t="s">
        <v>139</v>
      </c>
      <c r="C548" s="62" t="s">
        <v>189</v>
      </c>
      <c r="D548" s="63">
        <v>2</v>
      </c>
      <c r="E548" s="64">
        <v>1.7389792192000001E-4</v>
      </c>
    </row>
    <row r="549" spans="2:5" ht="15" customHeight="1">
      <c r="B549" s="81"/>
      <c r="C549" s="62" t="s">
        <v>206</v>
      </c>
      <c r="D549" s="63">
        <v>1</v>
      </c>
      <c r="E549" s="64">
        <v>8.6948960960000005E-5</v>
      </c>
    </row>
    <row r="550" spans="2:5" ht="15" customHeight="1">
      <c r="B550" s="81"/>
      <c r="C550" s="62" t="s">
        <v>197</v>
      </c>
      <c r="D550" s="63">
        <v>3</v>
      </c>
      <c r="E550" s="64">
        <v>2.6084688287999997E-4</v>
      </c>
    </row>
    <row r="551" spans="2:5" ht="15" customHeight="1">
      <c r="B551" s="81"/>
      <c r="C551" s="62" t="s">
        <v>200</v>
      </c>
      <c r="D551" s="63">
        <v>2</v>
      </c>
      <c r="E551" s="64">
        <v>1.7389792192000001E-4</v>
      </c>
    </row>
    <row r="552" spans="2:5" ht="15" customHeight="1">
      <c r="B552" s="81"/>
      <c r="C552" s="62" t="s">
        <v>204</v>
      </c>
      <c r="D552" s="63">
        <v>12</v>
      </c>
      <c r="E552" s="64">
        <v>1.043387531519E-3</v>
      </c>
    </row>
    <row r="553" spans="2:5" ht="15" customHeight="1">
      <c r="B553" s="80"/>
      <c r="C553" s="36" t="s">
        <v>28</v>
      </c>
      <c r="D553" s="35">
        <v>20</v>
      </c>
      <c r="E553" s="34">
        <v>1.7389792191979999E-3</v>
      </c>
    </row>
    <row r="554" spans="2:5" ht="15" customHeight="1">
      <c r="B554" s="79" t="s">
        <v>140</v>
      </c>
      <c r="C554" s="62" t="s">
        <v>204</v>
      </c>
      <c r="D554" s="63">
        <v>1</v>
      </c>
      <c r="E554" s="64">
        <v>8.6948960960000005E-5</v>
      </c>
    </row>
    <row r="555" spans="2:5" ht="15" customHeight="1">
      <c r="B555" s="80"/>
      <c r="C555" s="36" t="s">
        <v>28</v>
      </c>
      <c r="D555" s="35">
        <v>1</v>
      </c>
      <c r="E555" s="34">
        <v>8.6948960960000005E-5</v>
      </c>
    </row>
    <row r="556" spans="2:5" ht="15" customHeight="1">
      <c r="B556" s="79" t="s">
        <v>141</v>
      </c>
      <c r="C556" s="62" t="s">
        <v>189</v>
      </c>
      <c r="D556" s="63">
        <v>5</v>
      </c>
      <c r="E556" s="64">
        <v>4.3474480480000001E-4</v>
      </c>
    </row>
    <row r="557" spans="2:5" ht="15" customHeight="1">
      <c r="B557" s="81"/>
      <c r="C557" s="62" t="s">
        <v>207</v>
      </c>
      <c r="D557" s="63">
        <v>1</v>
      </c>
      <c r="E557" s="64">
        <v>8.6948960960000005E-5</v>
      </c>
    </row>
    <row r="558" spans="2:5" ht="15" customHeight="1">
      <c r="B558" s="81"/>
      <c r="C558" s="62" t="s">
        <v>215</v>
      </c>
      <c r="D558" s="63">
        <v>2</v>
      </c>
      <c r="E558" s="64">
        <v>1.7389792192000001E-4</v>
      </c>
    </row>
    <row r="559" spans="2:5" ht="15" customHeight="1">
      <c r="B559" s="81"/>
      <c r="C559" s="62" t="s">
        <v>193</v>
      </c>
      <c r="D559" s="63">
        <v>1</v>
      </c>
      <c r="E559" s="64">
        <v>8.6948960960000005E-5</v>
      </c>
    </row>
    <row r="560" spans="2:5" ht="15" customHeight="1">
      <c r="B560" s="81"/>
      <c r="C560" s="62" t="s">
        <v>194</v>
      </c>
      <c r="D560" s="63">
        <v>4</v>
      </c>
      <c r="E560" s="64">
        <v>3.4779584384000002E-4</v>
      </c>
    </row>
    <row r="561" spans="2:5" ht="15" customHeight="1">
      <c r="B561" s="81"/>
      <c r="C561" s="62" t="s">
        <v>195</v>
      </c>
      <c r="D561" s="63">
        <v>1</v>
      </c>
      <c r="E561" s="64">
        <v>8.6948960960000005E-5</v>
      </c>
    </row>
    <row r="562" spans="2:5" ht="15" customHeight="1">
      <c r="B562" s="81"/>
      <c r="C562" s="62" t="s">
        <v>199</v>
      </c>
      <c r="D562" s="63">
        <v>1</v>
      </c>
      <c r="E562" s="64">
        <v>8.6948960960000005E-5</v>
      </c>
    </row>
    <row r="563" spans="2:5" ht="15" customHeight="1">
      <c r="B563" s="81"/>
      <c r="C563" s="62" t="s">
        <v>200</v>
      </c>
      <c r="D563" s="63">
        <v>1</v>
      </c>
      <c r="E563" s="64">
        <v>8.6948960960000005E-5</v>
      </c>
    </row>
    <row r="564" spans="2:5" ht="15" customHeight="1">
      <c r="B564" s="81"/>
      <c r="C564" s="62" t="s">
        <v>204</v>
      </c>
      <c r="D564" s="63">
        <v>4</v>
      </c>
      <c r="E564" s="64">
        <v>3.4779584384000002E-4</v>
      </c>
    </row>
    <row r="565" spans="2:5" ht="15" customHeight="1">
      <c r="B565" s="80"/>
      <c r="C565" s="36" t="s">
        <v>28</v>
      </c>
      <c r="D565" s="35">
        <v>20</v>
      </c>
      <c r="E565" s="34">
        <v>1.7389792191979999E-3</v>
      </c>
    </row>
    <row r="566" spans="2:5" ht="15" customHeight="1">
      <c r="B566" s="79" t="s">
        <v>86</v>
      </c>
      <c r="C566" s="62" t="s">
        <v>219</v>
      </c>
      <c r="D566" s="63">
        <v>1</v>
      </c>
      <c r="E566" s="64">
        <v>8.6948960960000005E-5</v>
      </c>
    </row>
    <row r="567" spans="2:5" ht="15" customHeight="1">
      <c r="B567" s="81"/>
      <c r="C567" s="62" t="s">
        <v>200</v>
      </c>
      <c r="D567" s="63">
        <v>1</v>
      </c>
      <c r="E567" s="64">
        <v>8.6948960960000005E-5</v>
      </c>
    </row>
    <row r="568" spans="2:5" ht="15" customHeight="1">
      <c r="B568" s="81"/>
      <c r="C568" s="62" t="s">
        <v>202</v>
      </c>
      <c r="D568" s="63">
        <v>1</v>
      </c>
      <c r="E568" s="64">
        <v>8.6948960960000005E-5</v>
      </c>
    </row>
    <row r="569" spans="2:5" ht="15" customHeight="1">
      <c r="B569" s="81"/>
      <c r="C569" s="62" t="s">
        <v>204</v>
      </c>
      <c r="D569" s="63">
        <v>4</v>
      </c>
      <c r="E569" s="64">
        <v>3.4779584384000002E-4</v>
      </c>
    </row>
    <row r="570" spans="2:5" ht="15" customHeight="1">
      <c r="B570" s="80"/>
      <c r="C570" s="36" t="s">
        <v>28</v>
      </c>
      <c r="D570" s="35">
        <v>7</v>
      </c>
      <c r="E570" s="34">
        <v>6.0864272671900003E-4</v>
      </c>
    </row>
    <row r="571" spans="2:5" ht="15" customHeight="1">
      <c r="B571" s="79" t="s">
        <v>142</v>
      </c>
      <c r="C571" s="62" t="s">
        <v>189</v>
      </c>
      <c r="D571" s="63">
        <v>7</v>
      </c>
      <c r="E571" s="64">
        <v>6.0864272671900003E-4</v>
      </c>
    </row>
    <row r="572" spans="2:5" ht="15" customHeight="1">
      <c r="B572" s="81"/>
      <c r="C572" s="62" t="s">
        <v>219</v>
      </c>
      <c r="D572" s="63">
        <v>1</v>
      </c>
      <c r="E572" s="64">
        <v>8.6948960960000005E-5</v>
      </c>
    </row>
    <row r="573" spans="2:5" ht="15" customHeight="1">
      <c r="B573" s="81"/>
      <c r="C573" s="62" t="s">
        <v>190</v>
      </c>
      <c r="D573" s="63">
        <v>1</v>
      </c>
      <c r="E573" s="64">
        <v>8.6948960960000005E-5</v>
      </c>
    </row>
    <row r="574" spans="2:5" ht="15" customHeight="1">
      <c r="B574" s="81"/>
      <c r="C574" s="62" t="s">
        <v>191</v>
      </c>
      <c r="D574" s="63">
        <v>2</v>
      </c>
      <c r="E574" s="64">
        <v>1.7389792192000001E-4</v>
      </c>
    </row>
    <row r="575" spans="2:5" ht="15" customHeight="1">
      <c r="B575" s="81"/>
      <c r="C575" s="62" t="s">
        <v>206</v>
      </c>
      <c r="D575" s="63">
        <v>9</v>
      </c>
      <c r="E575" s="64">
        <v>7.8254064863900001E-4</v>
      </c>
    </row>
    <row r="576" spans="2:5" ht="15" customHeight="1">
      <c r="B576" s="81"/>
      <c r="C576" s="62" t="s">
        <v>193</v>
      </c>
      <c r="D576" s="63">
        <v>14</v>
      </c>
      <c r="E576" s="64">
        <v>1.2172854534389999E-3</v>
      </c>
    </row>
    <row r="577" spans="2:5" ht="15" customHeight="1">
      <c r="B577" s="81"/>
      <c r="C577" s="62" t="s">
        <v>194</v>
      </c>
      <c r="D577" s="63">
        <v>7</v>
      </c>
      <c r="E577" s="64">
        <v>6.0864272671900003E-4</v>
      </c>
    </row>
    <row r="578" spans="2:5" ht="15" customHeight="1">
      <c r="B578" s="81"/>
      <c r="C578" s="62" t="s">
        <v>195</v>
      </c>
      <c r="D578" s="63">
        <v>3</v>
      </c>
      <c r="E578" s="64">
        <v>2.6084688287999997E-4</v>
      </c>
    </row>
    <row r="579" spans="2:5" ht="15" customHeight="1">
      <c r="B579" s="81"/>
      <c r="C579" s="62" t="s">
        <v>197</v>
      </c>
      <c r="D579" s="63">
        <v>11</v>
      </c>
      <c r="E579" s="64">
        <v>9.56438570559E-4</v>
      </c>
    </row>
    <row r="580" spans="2:5" ht="15" customHeight="1">
      <c r="B580" s="81"/>
      <c r="C580" s="62" t="s">
        <v>200</v>
      </c>
      <c r="D580" s="63">
        <v>2</v>
      </c>
      <c r="E580" s="64">
        <v>1.7389792192000001E-4</v>
      </c>
    </row>
    <row r="581" spans="2:5" ht="15" customHeight="1">
      <c r="B581" s="81"/>
      <c r="C581" s="62" t="s">
        <v>203</v>
      </c>
      <c r="D581" s="63">
        <v>6</v>
      </c>
      <c r="E581" s="64">
        <v>5.2169376575899999E-4</v>
      </c>
    </row>
    <row r="582" spans="2:5" ht="15" customHeight="1">
      <c r="B582" s="81"/>
      <c r="C582" s="62" t="s">
        <v>204</v>
      </c>
      <c r="D582" s="63">
        <v>42</v>
      </c>
      <c r="E582" s="64">
        <v>3.6518563603159999E-3</v>
      </c>
    </row>
    <row r="583" spans="2:5" ht="15" customHeight="1">
      <c r="B583" s="81"/>
      <c r="C583" s="62" t="s">
        <v>210</v>
      </c>
      <c r="D583" s="63">
        <v>1</v>
      </c>
      <c r="E583" s="64">
        <v>8.6948960960000005E-5</v>
      </c>
    </row>
    <row r="584" spans="2:5" ht="15" customHeight="1">
      <c r="B584" s="80"/>
      <c r="C584" s="36" t="s">
        <v>28</v>
      </c>
      <c r="D584" s="35">
        <v>106</v>
      </c>
      <c r="E584" s="34">
        <v>9.2165898617509994E-3</v>
      </c>
    </row>
    <row r="585" spans="2:5" ht="15" customHeight="1">
      <c r="B585" s="79" t="s">
        <v>143</v>
      </c>
      <c r="C585" s="62" t="s">
        <v>206</v>
      </c>
      <c r="D585" s="63">
        <v>1</v>
      </c>
      <c r="E585" s="64">
        <v>8.6948960960000005E-5</v>
      </c>
    </row>
    <row r="586" spans="2:5" ht="15" customHeight="1">
      <c r="B586" s="81"/>
      <c r="C586" s="62" t="s">
        <v>193</v>
      </c>
      <c r="D586" s="63">
        <v>1</v>
      </c>
      <c r="E586" s="64">
        <v>8.6948960960000005E-5</v>
      </c>
    </row>
    <row r="587" spans="2:5" ht="15" customHeight="1">
      <c r="B587" s="81"/>
      <c r="C587" s="62" t="s">
        <v>194</v>
      </c>
      <c r="D587" s="63">
        <v>1</v>
      </c>
      <c r="E587" s="64">
        <v>8.6948960960000005E-5</v>
      </c>
    </row>
    <row r="588" spans="2:5" ht="15" customHeight="1">
      <c r="B588" s="81"/>
      <c r="C588" s="62" t="s">
        <v>195</v>
      </c>
      <c r="D588" s="63">
        <v>1</v>
      </c>
      <c r="E588" s="64">
        <v>8.6948960960000005E-5</v>
      </c>
    </row>
    <row r="589" spans="2:5" ht="15" customHeight="1">
      <c r="B589" s="81"/>
      <c r="C589" s="62" t="s">
        <v>197</v>
      </c>
      <c r="D589" s="63">
        <v>1</v>
      </c>
      <c r="E589" s="64">
        <v>8.6948960960000005E-5</v>
      </c>
    </row>
    <row r="590" spans="2:5" ht="15" customHeight="1">
      <c r="B590" s="81"/>
      <c r="C590" s="62" t="s">
        <v>200</v>
      </c>
      <c r="D590" s="63">
        <v>1</v>
      </c>
      <c r="E590" s="64">
        <v>8.6948960960000005E-5</v>
      </c>
    </row>
    <row r="591" spans="2:5" ht="15" customHeight="1">
      <c r="B591" s="81"/>
      <c r="C591" s="62" t="s">
        <v>202</v>
      </c>
      <c r="D591" s="63">
        <v>1</v>
      </c>
      <c r="E591" s="64">
        <v>8.6948960960000005E-5</v>
      </c>
    </row>
    <row r="592" spans="2:5" ht="15" customHeight="1">
      <c r="B592" s="81"/>
      <c r="C592" s="62" t="s">
        <v>203</v>
      </c>
      <c r="D592" s="63">
        <v>1</v>
      </c>
      <c r="E592" s="64">
        <v>8.6948960960000005E-5</v>
      </c>
    </row>
    <row r="593" spans="2:5" ht="15" customHeight="1">
      <c r="B593" s="81"/>
      <c r="C593" s="62" t="s">
        <v>204</v>
      </c>
      <c r="D593" s="63">
        <v>7</v>
      </c>
      <c r="E593" s="64">
        <v>6.0864272671900003E-4</v>
      </c>
    </row>
    <row r="594" spans="2:5" ht="15" customHeight="1">
      <c r="B594" s="81"/>
      <c r="C594" s="62" t="s">
        <v>210</v>
      </c>
      <c r="D594" s="63">
        <v>1</v>
      </c>
      <c r="E594" s="64">
        <v>8.6948960960000005E-5</v>
      </c>
    </row>
    <row r="595" spans="2:5" ht="15" customHeight="1">
      <c r="B595" s="80"/>
      <c r="C595" s="36" t="s">
        <v>28</v>
      </c>
      <c r="D595" s="35">
        <v>16</v>
      </c>
      <c r="E595" s="34">
        <v>1.391183375359E-3</v>
      </c>
    </row>
    <row r="596" spans="2:5" ht="15" customHeight="1">
      <c r="B596" s="77" t="s">
        <v>28</v>
      </c>
      <c r="C596" s="78"/>
      <c r="D596" s="60">
        <v>11501</v>
      </c>
      <c r="E596" s="61">
        <v>1</v>
      </c>
    </row>
    <row r="598" spans="2:5" ht="15" customHeight="1">
      <c r="B598" s="15" t="s">
        <v>97</v>
      </c>
    </row>
    <row r="599" spans="2:5" ht="15" customHeight="1">
      <c r="B599" s="17" t="s">
        <v>17</v>
      </c>
    </row>
    <row r="600" spans="2:5" ht="15" customHeight="1">
      <c r="B600" s="16" t="s">
        <v>98</v>
      </c>
    </row>
    <row r="601" spans="2:5" ht="15" customHeight="1">
      <c r="B601" s="15" t="s">
        <v>16</v>
      </c>
    </row>
    <row r="602" spans="2:5" ht="15" customHeight="1">
      <c r="B602" s="15" t="s">
        <v>99</v>
      </c>
    </row>
  </sheetData>
  <mergeCells count="47">
    <mergeCell ref="B10:B26"/>
    <mergeCell ref="B27:B28"/>
    <mergeCell ref="B29:B42"/>
    <mergeCell ref="B43:B56"/>
    <mergeCell ref="B263:B272"/>
    <mergeCell ref="B327:B337"/>
    <mergeCell ref="B338:B351"/>
    <mergeCell ref="B352:B359"/>
    <mergeCell ref="B7:E8"/>
    <mergeCell ref="B273:B294"/>
    <mergeCell ref="B295:B305"/>
    <mergeCell ref="B306:B322"/>
    <mergeCell ref="B323:B326"/>
    <mergeCell ref="B127:B147"/>
    <mergeCell ref="B148:B153"/>
    <mergeCell ref="B154:B177"/>
    <mergeCell ref="B78:B98"/>
    <mergeCell ref="B99:B103"/>
    <mergeCell ref="B104:B106"/>
    <mergeCell ref="B107:B126"/>
    <mergeCell ref="B57:B77"/>
    <mergeCell ref="B408:B420"/>
    <mergeCell ref="B421:B448"/>
    <mergeCell ref="B449:B452"/>
    <mergeCell ref="B453:B462"/>
    <mergeCell ref="B360:B375"/>
    <mergeCell ref="B376:B386"/>
    <mergeCell ref="B387:B403"/>
    <mergeCell ref="B404:B407"/>
    <mergeCell ref="B178:B196"/>
    <mergeCell ref="B197:B206"/>
    <mergeCell ref="B207:B223"/>
    <mergeCell ref="B224:B239"/>
    <mergeCell ref="B240:B255"/>
    <mergeCell ref="B256:B260"/>
    <mergeCell ref="B261:B262"/>
    <mergeCell ref="B463:B479"/>
    <mergeCell ref="B480:B485"/>
    <mergeCell ref="B486:B507"/>
    <mergeCell ref="B508:B547"/>
    <mergeCell ref="B548:B553"/>
    <mergeCell ref="B596:C596"/>
    <mergeCell ref="B554:B555"/>
    <mergeCell ref="B556:B565"/>
    <mergeCell ref="B566:B570"/>
    <mergeCell ref="B571:B584"/>
    <mergeCell ref="B585:B59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813"/>
  <sheetViews>
    <sheetView showGridLines="0" view="pageBreakPreview" topLeftCell="A790" zoomScale="85" zoomScaleNormal="85" zoomScaleSheetLayoutView="85" workbookViewId="0">
      <selection activeCell="B811" sqref="B811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2.5429687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85"/>
      <c r="C7" s="85"/>
      <c r="D7" s="85"/>
      <c r="E7" s="85"/>
    </row>
    <row r="8" spans="1:5" s="41" customFormat="1" ht="33" customHeight="1">
      <c r="A8" s="42"/>
      <c r="B8" s="85"/>
      <c r="C8" s="85"/>
      <c r="D8" s="85"/>
      <c r="E8" s="85"/>
    </row>
    <row r="9" spans="1:5" s="25" customFormat="1" ht="40.5" customHeight="1">
      <c r="B9" s="38" t="s">
        <v>21</v>
      </c>
      <c r="C9" s="40" t="s">
        <v>23</v>
      </c>
      <c r="D9" s="39" t="s">
        <v>19</v>
      </c>
      <c r="E9" s="38" t="s">
        <v>18</v>
      </c>
    </row>
    <row r="10" spans="1:5" ht="14.5" customHeight="1">
      <c r="B10" s="79" t="s">
        <v>63</v>
      </c>
      <c r="C10" s="62" t="s">
        <v>189</v>
      </c>
      <c r="D10" s="63">
        <v>4</v>
      </c>
      <c r="E10" s="64">
        <v>3.4779584384000002E-4</v>
      </c>
    </row>
    <row r="11" spans="1:5" ht="14.5" customHeight="1">
      <c r="B11" s="81"/>
      <c r="C11" s="62" t="s">
        <v>206</v>
      </c>
      <c r="D11" s="63">
        <v>8</v>
      </c>
      <c r="E11" s="64">
        <v>6.9559168767899997E-4</v>
      </c>
    </row>
    <row r="12" spans="1:5" ht="14.5" customHeight="1">
      <c r="B12" s="81"/>
      <c r="C12" s="62" t="s">
        <v>193</v>
      </c>
      <c r="D12" s="63">
        <v>11</v>
      </c>
      <c r="E12" s="64">
        <v>9.56438570559E-4</v>
      </c>
    </row>
    <row r="13" spans="1:5" ht="14.5" customHeight="1">
      <c r="B13" s="81"/>
      <c r="C13" s="62" t="s">
        <v>194</v>
      </c>
      <c r="D13" s="63">
        <v>11</v>
      </c>
      <c r="E13" s="64">
        <v>9.56438570559E-4</v>
      </c>
    </row>
    <row r="14" spans="1:5" ht="14.5" customHeight="1">
      <c r="B14" s="81"/>
      <c r="C14" s="62" t="s">
        <v>195</v>
      </c>
      <c r="D14" s="63">
        <v>4</v>
      </c>
      <c r="E14" s="64">
        <v>3.4779584384000002E-4</v>
      </c>
    </row>
    <row r="15" spans="1:5" ht="14.5" customHeight="1">
      <c r="B15" s="81"/>
      <c r="C15" s="62" t="s">
        <v>212</v>
      </c>
      <c r="D15" s="63">
        <v>1</v>
      </c>
      <c r="E15" s="64">
        <v>8.6948960960000005E-5</v>
      </c>
    </row>
    <row r="16" spans="1:5" ht="14.5" customHeight="1">
      <c r="B16" s="81"/>
      <c r="C16" s="62" t="s">
        <v>197</v>
      </c>
      <c r="D16" s="63">
        <v>6</v>
      </c>
      <c r="E16" s="64">
        <v>5.2169376575899999E-4</v>
      </c>
    </row>
    <row r="17" spans="2:5" ht="14.5" customHeight="1">
      <c r="B17" s="81"/>
      <c r="C17" s="62" t="s">
        <v>198</v>
      </c>
      <c r="D17" s="63">
        <v>1</v>
      </c>
      <c r="E17" s="64">
        <v>8.6948960960000005E-5</v>
      </c>
    </row>
    <row r="18" spans="2:5" ht="14.5" customHeight="1">
      <c r="B18" s="81"/>
      <c r="C18" s="62" t="s">
        <v>200</v>
      </c>
      <c r="D18" s="63">
        <v>1</v>
      </c>
      <c r="E18" s="64">
        <v>8.6948960960000005E-5</v>
      </c>
    </row>
    <row r="19" spans="2:5" ht="14.5" customHeight="1">
      <c r="B19" s="81"/>
      <c r="C19" s="62" t="s">
        <v>201</v>
      </c>
      <c r="D19" s="63">
        <v>3</v>
      </c>
      <c r="E19" s="64">
        <v>2.6084688287999997E-4</v>
      </c>
    </row>
    <row r="20" spans="2:5" ht="14.5" customHeight="1">
      <c r="B20" s="81"/>
      <c r="C20" s="62" t="s">
        <v>202</v>
      </c>
      <c r="D20" s="63">
        <v>5</v>
      </c>
      <c r="E20" s="64">
        <v>4.3474480480000001E-4</v>
      </c>
    </row>
    <row r="21" spans="2:5" ht="14.5" customHeight="1">
      <c r="B21" s="81"/>
      <c r="C21" s="62" t="s">
        <v>203</v>
      </c>
      <c r="D21" s="63">
        <v>6</v>
      </c>
      <c r="E21" s="64">
        <v>5.2169376575899999E-4</v>
      </c>
    </row>
    <row r="22" spans="2:5" ht="14.5" customHeight="1">
      <c r="B22" s="81"/>
      <c r="C22" s="62" t="s">
        <v>209</v>
      </c>
      <c r="D22" s="63">
        <v>3</v>
      </c>
      <c r="E22" s="64">
        <v>2.6084688287999997E-4</v>
      </c>
    </row>
    <row r="23" spans="2:5" ht="14.5" customHeight="1">
      <c r="B23" s="81"/>
      <c r="C23" s="62" t="s">
        <v>204</v>
      </c>
      <c r="D23" s="63">
        <v>60</v>
      </c>
      <c r="E23" s="64">
        <v>5.2169376575949998E-3</v>
      </c>
    </row>
    <row r="24" spans="2:5" ht="14.5" customHeight="1">
      <c r="B24" s="81"/>
      <c r="C24" s="62" t="s">
        <v>210</v>
      </c>
      <c r="D24" s="63">
        <v>3</v>
      </c>
      <c r="E24" s="64">
        <v>2.6084688287999997E-4</v>
      </c>
    </row>
    <row r="25" spans="2:5" ht="14.5" customHeight="1">
      <c r="B25" s="81"/>
      <c r="C25" s="62" t="s">
        <v>216</v>
      </c>
      <c r="D25" s="63">
        <v>2</v>
      </c>
      <c r="E25" s="64">
        <v>1.7389792192000001E-4</v>
      </c>
    </row>
    <row r="26" spans="2:5" ht="14.5" customHeight="1">
      <c r="B26" s="80"/>
      <c r="C26" s="36" t="s">
        <v>28</v>
      </c>
      <c r="D26" s="35">
        <v>129</v>
      </c>
      <c r="E26" s="34">
        <v>1.1216415963829E-2</v>
      </c>
    </row>
    <row r="27" spans="2:5" ht="14.5" customHeight="1">
      <c r="B27" s="79" t="s">
        <v>60</v>
      </c>
      <c r="C27" s="62" t="s">
        <v>189</v>
      </c>
      <c r="D27" s="63">
        <v>4</v>
      </c>
      <c r="E27" s="64">
        <v>3.4779584384000002E-4</v>
      </c>
    </row>
    <row r="28" spans="2:5" ht="14.5" customHeight="1">
      <c r="B28" s="81"/>
      <c r="C28" s="62" t="s">
        <v>219</v>
      </c>
      <c r="D28" s="63">
        <v>2</v>
      </c>
      <c r="E28" s="64">
        <v>1.7389792192000001E-4</v>
      </c>
    </row>
    <row r="29" spans="2:5" ht="14.5" customHeight="1">
      <c r="B29" s="81"/>
      <c r="C29" s="62" t="s">
        <v>190</v>
      </c>
      <c r="D29" s="63">
        <v>1</v>
      </c>
      <c r="E29" s="64">
        <v>8.6948960960000005E-5</v>
      </c>
    </row>
    <row r="30" spans="2:5" ht="14.5" customHeight="1">
      <c r="B30" s="81"/>
      <c r="C30" s="62" t="s">
        <v>191</v>
      </c>
      <c r="D30" s="63">
        <v>3</v>
      </c>
      <c r="E30" s="64">
        <v>2.6084688287999997E-4</v>
      </c>
    </row>
    <row r="31" spans="2:5" ht="14.5" customHeight="1">
      <c r="B31" s="81"/>
      <c r="C31" s="62" t="s">
        <v>192</v>
      </c>
      <c r="D31" s="63">
        <v>1</v>
      </c>
      <c r="E31" s="64">
        <v>8.6948960960000005E-5</v>
      </c>
    </row>
    <row r="32" spans="2:5" ht="14.5" customHeight="1">
      <c r="B32" s="81"/>
      <c r="C32" s="62" t="s">
        <v>206</v>
      </c>
      <c r="D32" s="63">
        <v>5</v>
      </c>
      <c r="E32" s="64">
        <v>4.3474480480000001E-4</v>
      </c>
    </row>
    <row r="33" spans="2:5" ht="14.5" customHeight="1">
      <c r="B33" s="81"/>
      <c r="C33" s="62" t="s">
        <v>207</v>
      </c>
      <c r="D33" s="63">
        <v>2</v>
      </c>
      <c r="E33" s="64">
        <v>1.7389792192000001E-4</v>
      </c>
    </row>
    <row r="34" spans="2:5" ht="14.5" customHeight="1">
      <c r="B34" s="81"/>
      <c r="C34" s="62" t="s">
        <v>217</v>
      </c>
      <c r="D34" s="63">
        <v>3</v>
      </c>
      <c r="E34" s="64">
        <v>2.6084688287999997E-4</v>
      </c>
    </row>
    <row r="35" spans="2:5" ht="14.5" customHeight="1">
      <c r="B35" s="81"/>
      <c r="C35" s="62" t="s">
        <v>218</v>
      </c>
      <c r="D35" s="63">
        <v>1</v>
      </c>
      <c r="E35" s="64">
        <v>8.6948960960000005E-5</v>
      </c>
    </row>
    <row r="36" spans="2:5" ht="14.5" customHeight="1">
      <c r="B36" s="81"/>
      <c r="C36" s="62" t="s">
        <v>193</v>
      </c>
      <c r="D36" s="63">
        <v>10</v>
      </c>
      <c r="E36" s="64">
        <v>8.6948960959899995E-4</v>
      </c>
    </row>
    <row r="37" spans="2:5" ht="14.5" customHeight="1">
      <c r="B37" s="81"/>
      <c r="C37" s="62" t="s">
        <v>194</v>
      </c>
      <c r="D37" s="63">
        <v>36</v>
      </c>
      <c r="E37" s="64">
        <v>3.1301625945570001E-3</v>
      </c>
    </row>
    <row r="38" spans="2:5" ht="14.5" customHeight="1">
      <c r="B38" s="81"/>
      <c r="C38" s="62" t="s">
        <v>195</v>
      </c>
      <c r="D38" s="63">
        <v>15</v>
      </c>
      <c r="E38" s="64">
        <v>1.304234414399E-3</v>
      </c>
    </row>
    <row r="39" spans="2:5" ht="14.5" customHeight="1">
      <c r="B39" s="81"/>
      <c r="C39" s="62" t="s">
        <v>212</v>
      </c>
      <c r="D39" s="63">
        <v>4</v>
      </c>
      <c r="E39" s="64">
        <v>3.4779584384000002E-4</v>
      </c>
    </row>
    <row r="40" spans="2:5" ht="14.5" customHeight="1">
      <c r="B40" s="81"/>
      <c r="C40" s="62" t="s">
        <v>196</v>
      </c>
      <c r="D40" s="63">
        <v>3</v>
      </c>
      <c r="E40" s="64">
        <v>2.6084688287999997E-4</v>
      </c>
    </row>
    <row r="41" spans="2:5" ht="14.5" customHeight="1">
      <c r="B41" s="81"/>
      <c r="C41" s="62" t="s">
        <v>197</v>
      </c>
      <c r="D41" s="63">
        <v>11</v>
      </c>
      <c r="E41" s="64">
        <v>9.56438570559E-4</v>
      </c>
    </row>
    <row r="42" spans="2:5" ht="14.5" customHeight="1">
      <c r="B42" s="81"/>
      <c r="C42" s="62" t="s">
        <v>198</v>
      </c>
      <c r="D42" s="63">
        <v>3</v>
      </c>
      <c r="E42" s="64">
        <v>2.6084688287999997E-4</v>
      </c>
    </row>
    <row r="43" spans="2:5" ht="14.5" customHeight="1">
      <c r="B43" s="81"/>
      <c r="C43" s="62" t="s">
        <v>208</v>
      </c>
      <c r="D43" s="63">
        <v>2</v>
      </c>
      <c r="E43" s="64">
        <v>1.7389792192000001E-4</v>
      </c>
    </row>
    <row r="44" spans="2:5" ht="14.5" customHeight="1">
      <c r="B44" s="81"/>
      <c r="C44" s="62" t="s">
        <v>199</v>
      </c>
      <c r="D44" s="63">
        <v>8</v>
      </c>
      <c r="E44" s="64">
        <v>6.9559168767899997E-4</v>
      </c>
    </row>
    <row r="45" spans="2:5" ht="14.5" customHeight="1">
      <c r="B45" s="81"/>
      <c r="C45" s="62" t="s">
        <v>200</v>
      </c>
      <c r="D45" s="63">
        <v>3</v>
      </c>
      <c r="E45" s="64">
        <v>2.6084688287999997E-4</v>
      </c>
    </row>
    <row r="46" spans="2:5" ht="14.5" customHeight="1">
      <c r="B46" s="81"/>
      <c r="C46" s="62" t="s">
        <v>201</v>
      </c>
      <c r="D46" s="63">
        <v>2</v>
      </c>
      <c r="E46" s="64">
        <v>1.7389792192000001E-4</v>
      </c>
    </row>
    <row r="47" spans="2:5" ht="14.5" customHeight="1">
      <c r="B47" s="81"/>
      <c r="C47" s="62" t="s">
        <v>202</v>
      </c>
      <c r="D47" s="63">
        <v>11</v>
      </c>
      <c r="E47" s="64">
        <v>9.56438570559E-4</v>
      </c>
    </row>
    <row r="48" spans="2:5" ht="14.5" customHeight="1">
      <c r="B48" s="81"/>
      <c r="C48" s="62" t="s">
        <v>203</v>
      </c>
      <c r="D48" s="63">
        <v>9</v>
      </c>
      <c r="E48" s="64">
        <v>7.8254064863900001E-4</v>
      </c>
    </row>
    <row r="49" spans="2:5" ht="14.5" customHeight="1">
      <c r="B49" s="81"/>
      <c r="C49" s="62" t="s">
        <v>209</v>
      </c>
      <c r="D49" s="63">
        <v>1</v>
      </c>
      <c r="E49" s="64">
        <v>8.6948960960000005E-5</v>
      </c>
    </row>
    <row r="50" spans="2:5" ht="14.5" customHeight="1">
      <c r="B50" s="81"/>
      <c r="C50" s="62" t="s">
        <v>204</v>
      </c>
      <c r="D50" s="63">
        <v>38</v>
      </c>
      <c r="E50" s="64">
        <v>3.3040605164770002E-3</v>
      </c>
    </row>
    <row r="51" spans="2:5" ht="14.5" customHeight="1">
      <c r="B51" s="81"/>
      <c r="C51" s="62" t="s">
        <v>210</v>
      </c>
      <c r="D51" s="63">
        <v>4</v>
      </c>
      <c r="E51" s="64">
        <v>3.4779584384000002E-4</v>
      </c>
    </row>
    <row r="52" spans="2:5" ht="14.5" customHeight="1">
      <c r="B52" s="81"/>
      <c r="C52" s="62" t="s">
        <v>221</v>
      </c>
      <c r="D52" s="63">
        <v>1</v>
      </c>
      <c r="E52" s="64">
        <v>8.6948960960000005E-5</v>
      </c>
    </row>
    <row r="53" spans="2:5" ht="14.5" customHeight="1">
      <c r="B53" s="80"/>
      <c r="C53" s="36" t="s">
        <v>28</v>
      </c>
      <c r="D53" s="35">
        <v>183</v>
      </c>
      <c r="E53" s="34">
        <v>1.5911659855664999E-2</v>
      </c>
    </row>
    <row r="54" spans="2:5" ht="14.5" customHeight="1">
      <c r="B54" s="79" t="s">
        <v>51</v>
      </c>
      <c r="C54" s="62" t="s">
        <v>211</v>
      </c>
      <c r="D54" s="63">
        <v>3</v>
      </c>
      <c r="E54" s="64">
        <v>2.6084688287999997E-4</v>
      </c>
    </row>
    <row r="55" spans="2:5" ht="14.5" customHeight="1">
      <c r="B55" s="81"/>
      <c r="C55" s="62" t="s">
        <v>189</v>
      </c>
      <c r="D55" s="63">
        <v>35</v>
      </c>
      <c r="E55" s="64">
        <v>3.0432136335969999E-3</v>
      </c>
    </row>
    <row r="56" spans="2:5" ht="14.5" customHeight="1">
      <c r="B56" s="81"/>
      <c r="C56" s="62" t="s">
        <v>219</v>
      </c>
      <c r="D56" s="63">
        <v>1</v>
      </c>
      <c r="E56" s="64">
        <v>8.6948960960000005E-5</v>
      </c>
    </row>
    <row r="57" spans="2:5" ht="14.5" customHeight="1">
      <c r="B57" s="81"/>
      <c r="C57" s="62" t="s">
        <v>222</v>
      </c>
      <c r="D57" s="63">
        <v>1</v>
      </c>
      <c r="E57" s="64">
        <v>8.6948960960000005E-5</v>
      </c>
    </row>
    <row r="58" spans="2:5" ht="14.5" customHeight="1">
      <c r="B58" s="81"/>
      <c r="C58" s="62" t="s">
        <v>205</v>
      </c>
      <c r="D58" s="63">
        <v>1</v>
      </c>
      <c r="E58" s="64">
        <v>8.6948960960000005E-5</v>
      </c>
    </row>
    <row r="59" spans="2:5" ht="14.5" customHeight="1">
      <c r="B59" s="81"/>
      <c r="C59" s="62" t="s">
        <v>190</v>
      </c>
      <c r="D59" s="63">
        <v>8</v>
      </c>
      <c r="E59" s="64">
        <v>6.9559168767899997E-4</v>
      </c>
    </row>
    <row r="60" spans="2:5" ht="14.5" customHeight="1">
      <c r="B60" s="81"/>
      <c r="C60" s="62" t="s">
        <v>192</v>
      </c>
      <c r="D60" s="63">
        <v>20</v>
      </c>
      <c r="E60" s="64">
        <v>1.7389792191979999E-3</v>
      </c>
    </row>
    <row r="61" spans="2:5" ht="14.5" customHeight="1">
      <c r="B61" s="81"/>
      <c r="C61" s="62" t="s">
        <v>206</v>
      </c>
      <c r="D61" s="63">
        <v>20</v>
      </c>
      <c r="E61" s="64">
        <v>1.7389792191979999E-3</v>
      </c>
    </row>
    <row r="62" spans="2:5" ht="14.5" customHeight="1">
      <c r="B62" s="81"/>
      <c r="C62" s="62" t="s">
        <v>207</v>
      </c>
      <c r="D62" s="63">
        <v>3</v>
      </c>
      <c r="E62" s="64">
        <v>2.6084688287999997E-4</v>
      </c>
    </row>
    <row r="63" spans="2:5" ht="14.5" customHeight="1">
      <c r="B63" s="81"/>
      <c r="C63" s="62" t="s">
        <v>213</v>
      </c>
      <c r="D63" s="63">
        <v>3</v>
      </c>
      <c r="E63" s="64">
        <v>2.6084688287999997E-4</v>
      </c>
    </row>
    <row r="64" spans="2:5" ht="14.5" customHeight="1">
      <c r="B64" s="81"/>
      <c r="C64" s="62" t="s">
        <v>214</v>
      </c>
      <c r="D64" s="63">
        <v>1</v>
      </c>
      <c r="E64" s="64">
        <v>8.6948960960000005E-5</v>
      </c>
    </row>
    <row r="65" spans="2:5" ht="14.5" customHeight="1">
      <c r="B65" s="81"/>
      <c r="C65" s="62" t="s">
        <v>215</v>
      </c>
      <c r="D65" s="63">
        <v>5</v>
      </c>
      <c r="E65" s="64">
        <v>4.3474480480000001E-4</v>
      </c>
    </row>
    <row r="66" spans="2:5" ht="14.5" customHeight="1">
      <c r="B66" s="81"/>
      <c r="C66" s="62" t="s">
        <v>193</v>
      </c>
      <c r="D66" s="63">
        <v>57</v>
      </c>
      <c r="E66" s="64">
        <v>4.9560907747150003E-3</v>
      </c>
    </row>
    <row r="67" spans="2:5" ht="14.5" customHeight="1">
      <c r="B67" s="81"/>
      <c r="C67" s="62" t="s">
        <v>194</v>
      </c>
      <c r="D67" s="63">
        <v>166</v>
      </c>
      <c r="E67" s="64">
        <v>1.4433527519346E-2</v>
      </c>
    </row>
    <row r="68" spans="2:5" ht="14.5" customHeight="1">
      <c r="B68" s="81"/>
      <c r="C68" s="62" t="s">
        <v>195</v>
      </c>
      <c r="D68" s="63">
        <v>53</v>
      </c>
      <c r="E68" s="64">
        <v>4.6082949308760002E-3</v>
      </c>
    </row>
    <row r="69" spans="2:5" ht="14.5" customHeight="1">
      <c r="B69" s="81"/>
      <c r="C69" s="62" t="s">
        <v>226</v>
      </c>
      <c r="D69" s="63">
        <v>1</v>
      </c>
      <c r="E69" s="64">
        <v>8.6948960960000005E-5</v>
      </c>
    </row>
    <row r="70" spans="2:5" ht="14.5" customHeight="1">
      <c r="B70" s="81"/>
      <c r="C70" s="62" t="s">
        <v>196</v>
      </c>
      <c r="D70" s="63">
        <v>3</v>
      </c>
      <c r="E70" s="64">
        <v>2.6084688287999997E-4</v>
      </c>
    </row>
    <row r="71" spans="2:5" ht="14.5" customHeight="1">
      <c r="B71" s="81"/>
      <c r="C71" s="62" t="s">
        <v>197</v>
      </c>
      <c r="D71" s="63">
        <v>72</v>
      </c>
      <c r="E71" s="64">
        <v>6.2603251891140002E-3</v>
      </c>
    </row>
    <row r="72" spans="2:5" ht="14.5" customHeight="1">
      <c r="B72" s="81"/>
      <c r="C72" s="62" t="s">
        <v>198</v>
      </c>
      <c r="D72" s="63">
        <v>4</v>
      </c>
      <c r="E72" s="64">
        <v>3.4779584384000002E-4</v>
      </c>
    </row>
    <row r="73" spans="2:5" ht="14.5" customHeight="1">
      <c r="B73" s="81"/>
      <c r="C73" s="62" t="s">
        <v>208</v>
      </c>
      <c r="D73" s="63">
        <v>3</v>
      </c>
      <c r="E73" s="64">
        <v>2.6084688287999997E-4</v>
      </c>
    </row>
    <row r="74" spans="2:5" ht="14.5" customHeight="1">
      <c r="B74" s="81"/>
      <c r="C74" s="62" t="s">
        <v>199</v>
      </c>
      <c r="D74" s="63">
        <v>16</v>
      </c>
      <c r="E74" s="64">
        <v>1.391183375359E-3</v>
      </c>
    </row>
    <row r="75" spans="2:5" ht="14.5" customHeight="1">
      <c r="B75" s="81"/>
      <c r="C75" s="62" t="s">
        <v>200</v>
      </c>
      <c r="D75" s="63">
        <v>35</v>
      </c>
      <c r="E75" s="64">
        <v>3.0432136335969999E-3</v>
      </c>
    </row>
    <row r="76" spans="2:5" ht="14.5" customHeight="1">
      <c r="B76" s="81"/>
      <c r="C76" s="62" t="s">
        <v>201</v>
      </c>
      <c r="D76" s="63">
        <v>26</v>
      </c>
      <c r="E76" s="64">
        <v>2.2606729849580002E-3</v>
      </c>
    </row>
    <row r="77" spans="2:5" ht="14.5" customHeight="1">
      <c r="B77" s="81"/>
      <c r="C77" s="62" t="s">
        <v>202</v>
      </c>
      <c r="D77" s="63">
        <v>36</v>
      </c>
      <c r="E77" s="64">
        <v>3.1301625945570001E-3</v>
      </c>
    </row>
    <row r="78" spans="2:5" ht="14.5" customHeight="1">
      <c r="B78" s="81"/>
      <c r="C78" s="62" t="s">
        <v>203</v>
      </c>
      <c r="D78" s="63">
        <v>31</v>
      </c>
      <c r="E78" s="64">
        <v>2.6954177897570001E-3</v>
      </c>
    </row>
    <row r="79" spans="2:5" ht="14.5" customHeight="1">
      <c r="B79" s="81"/>
      <c r="C79" s="62" t="s">
        <v>204</v>
      </c>
      <c r="D79" s="63">
        <v>69</v>
      </c>
      <c r="E79" s="64">
        <v>5.9994783062339999E-3</v>
      </c>
    </row>
    <row r="80" spans="2:5" ht="14.5" customHeight="1">
      <c r="B80" s="81"/>
      <c r="C80" s="62" t="s">
        <v>210</v>
      </c>
      <c r="D80" s="63">
        <v>7</v>
      </c>
      <c r="E80" s="64">
        <v>6.0864272671900003E-4</v>
      </c>
    </row>
    <row r="81" spans="2:5" ht="14.5" customHeight="1">
      <c r="B81" s="81"/>
      <c r="C81" s="62" t="s">
        <v>221</v>
      </c>
      <c r="D81" s="63">
        <v>3</v>
      </c>
      <c r="E81" s="64">
        <v>2.6084688287999997E-4</v>
      </c>
    </row>
    <row r="82" spans="2:5" ht="14.5" customHeight="1">
      <c r="B82" s="81"/>
      <c r="C82" s="62" t="s">
        <v>216</v>
      </c>
      <c r="D82" s="63">
        <v>1</v>
      </c>
      <c r="E82" s="64">
        <v>8.6948960960000005E-5</v>
      </c>
    </row>
    <row r="83" spans="2:5" ht="14.5" customHeight="1">
      <c r="B83" s="80"/>
      <c r="C83" s="36" t="s">
        <v>28</v>
      </c>
      <c r="D83" s="35">
        <v>684</v>
      </c>
      <c r="E83" s="34">
        <v>5.9473089296583001E-2</v>
      </c>
    </row>
    <row r="84" spans="2:5" ht="14.5" customHeight="1">
      <c r="B84" s="79" t="s">
        <v>88</v>
      </c>
      <c r="C84" s="62" t="s">
        <v>193</v>
      </c>
      <c r="D84" s="63">
        <v>1</v>
      </c>
      <c r="E84" s="64">
        <v>8.6948960960000005E-5</v>
      </c>
    </row>
    <row r="85" spans="2:5" ht="14.5" customHeight="1">
      <c r="B85" s="81"/>
      <c r="C85" s="62" t="s">
        <v>194</v>
      </c>
      <c r="D85" s="63">
        <v>2</v>
      </c>
      <c r="E85" s="64">
        <v>1.7389792192000001E-4</v>
      </c>
    </row>
    <row r="86" spans="2:5" ht="14.5" customHeight="1">
      <c r="B86" s="81"/>
      <c r="C86" s="62" t="s">
        <v>195</v>
      </c>
      <c r="D86" s="63">
        <v>1</v>
      </c>
      <c r="E86" s="64">
        <v>8.6948960960000005E-5</v>
      </c>
    </row>
    <row r="87" spans="2:5" ht="14.5" customHeight="1">
      <c r="B87" s="81"/>
      <c r="C87" s="62" t="s">
        <v>197</v>
      </c>
      <c r="D87" s="63">
        <v>2</v>
      </c>
      <c r="E87" s="64">
        <v>1.7389792192000001E-4</v>
      </c>
    </row>
    <row r="88" spans="2:5" ht="14.5" customHeight="1">
      <c r="B88" s="81"/>
      <c r="C88" s="62" t="s">
        <v>204</v>
      </c>
      <c r="D88" s="63">
        <v>10</v>
      </c>
      <c r="E88" s="64">
        <v>8.6948960959899995E-4</v>
      </c>
    </row>
    <row r="89" spans="2:5" ht="14.5" customHeight="1">
      <c r="B89" s="81"/>
      <c r="C89" s="62" t="s">
        <v>210</v>
      </c>
      <c r="D89" s="63">
        <v>1</v>
      </c>
      <c r="E89" s="64">
        <v>8.6948960960000005E-5</v>
      </c>
    </row>
    <row r="90" spans="2:5" ht="14.5" customHeight="1">
      <c r="B90" s="80"/>
      <c r="C90" s="36" t="s">
        <v>28</v>
      </c>
      <c r="D90" s="35">
        <v>17</v>
      </c>
      <c r="E90" s="34">
        <v>1.4781323363190001E-3</v>
      </c>
    </row>
    <row r="91" spans="2:5" ht="14.5" customHeight="1">
      <c r="B91" s="79" t="s">
        <v>93</v>
      </c>
      <c r="C91" s="62" t="s">
        <v>190</v>
      </c>
      <c r="D91" s="63">
        <v>1</v>
      </c>
      <c r="E91" s="64">
        <v>8.6948960960000005E-5</v>
      </c>
    </row>
    <row r="92" spans="2:5" ht="14.5" customHeight="1">
      <c r="B92" s="81"/>
      <c r="C92" s="62" t="s">
        <v>194</v>
      </c>
      <c r="D92" s="63">
        <v>1</v>
      </c>
      <c r="E92" s="64">
        <v>8.6948960960000005E-5</v>
      </c>
    </row>
    <row r="93" spans="2:5" ht="14.5" customHeight="1">
      <c r="B93" s="81"/>
      <c r="C93" s="62" t="s">
        <v>197</v>
      </c>
      <c r="D93" s="63">
        <v>1</v>
      </c>
      <c r="E93" s="64">
        <v>8.6948960960000005E-5</v>
      </c>
    </row>
    <row r="94" spans="2:5" ht="14.5" customHeight="1">
      <c r="B94" s="81"/>
      <c r="C94" s="62" t="s">
        <v>199</v>
      </c>
      <c r="D94" s="63">
        <v>1</v>
      </c>
      <c r="E94" s="64">
        <v>8.6948960960000005E-5</v>
      </c>
    </row>
    <row r="95" spans="2:5" ht="14.5" customHeight="1">
      <c r="B95" s="81"/>
      <c r="C95" s="62" t="s">
        <v>204</v>
      </c>
      <c r="D95" s="63">
        <v>5</v>
      </c>
      <c r="E95" s="64">
        <v>4.3474480480000001E-4</v>
      </c>
    </row>
    <row r="96" spans="2:5" ht="14.5" customHeight="1">
      <c r="B96" s="80"/>
      <c r="C96" s="36" t="s">
        <v>28</v>
      </c>
      <c r="D96" s="35">
        <v>9</v>
      </c>
      <c r="E96" s="34">
        <v>7.8254064863900001E-4</v>
      </c>
    </row>
    <row r="97" spans="2:5" ht="14.5" customHeight="1">
      <c r="B97" s="79" t="s">
        <v>73</v>
      </c>
      <c r="C97" s="62" t="s">
        <v>189</v>
      </c>
      <c r="D97" s="63">
        <v>2</v>
      </c>
      <c r="E97" s="64">
        <v>1.7389792192000001E-4</v>
      </c>
    </row>
    <row r="98" spans="2:5" ht="14.5" customHeight="1">
      <c r="B98" s="81"/>
      <c r="C98" s="62" t="s">
        <v>205</v>
      </c>
      <c r="D98" s="63">
        <v>1</v>
      </c>
      <c r="E98" s="64">
        <v>8.6948960960000005E-5</v>
      </c>
    </row>
    <row r="99" spans="2:5" ht="14.5" customHeight="1">
      <c r="B99" s="81"/>
      <c r="C99" s="62" t="s">
        <v>191</v>
      </c>
      <c r="D99" s="63">
        <v>1</v>
      </c>
      <c r="E99" s="64">
        <v>8.6948960960000005E-5</v>
      </c>
    </row>
    <row r="100" spans="2:5" ht="14.5" customHeight="1">
      <c r="B100" s="81"/>
      <c r="C100" s="62" t="s">
        <v>206</v>
      </c>
      <c r="D100" s="63">
        <v>4</v>
      </c>
      <c r="E100" s="64">
        <v>3.4779584384000002E-4</v>
      </c>
    </row>
    <row r="101" spans="2:5" ht="14.5" customHeight="1">
      <c r="B101" s="81"/>
      <c r="C101" s="62" t="s">
        <v>213</v>
      </c>
      <c r="D101" s="63">
        <v>1</v>
      </c>
      <c r="E101" s="64">
        <v>8.6948960960000005E-5</v>
      </c>
    </row>
    <row r="102" spans="2:5" ht="14.5" customHeight="1">
      <c r="B102" s="81"/>
      <c r="C102" s="62" t="s">
        <v>193</v>
      </c>
      <c r="D102" s="63">
        <v>6</v>
      </c>
      <c r="E102" s="64">
        <v>5.2169376575899999E-4</v>
      </c>
    </row>
    <row r="103" spans="2:5" ht="14.5" customHeight="1">
      <c r="B103" s="81"/>
      <c r="C103" s="62" t="s">
        <v>194</v>
      </c>
      <c r="D103" s="63">
        <v>4</v>
      </c>
      <c r="E103" s="64">
        <v>3.4779584384000002E-4</v>
      </c>
    </row>
    <row r="104" spans="2:5" ht="14.5" customHeight="1">
      <c r="B104" s="81"/>
      <c r="C104" s="62" t="s">
        <v>195</v>
      </c>
      <c r="D104" s="63">
        <v>1</v>
      </c>
      <c r="E104" s="64">
        <v>8.6948960960000005E-5</v>
      </c>
    </row>
    <row r="105" spans="2:5" ht="14.5" customHeight="1">
      <c r="B105" s="81"/>
      <c r="C105" s="62" t="s">
        <v>196</v>
      </c>
      <c r="D105" s="63">
        <v>2</v>
      </c>
      <c r="E105" s="64">
        <v>1.7389792192000001E-4</v>
      </c>
    </row>
    <row r="106" spans="2:5" ht="14.5" customHeight="1">
      <c r="B106" s="81"/>
      <c r="C106" s="62" t="s">
        <v>197</v>
      </c>
      <c r="D106" s="63">
        <v>1</v>
      </c>
      <c r="E106" s="64">
        <v>8.6948960960000005E-5</v>
      </c>
    </row>
    <row r="107" spans="2:5" ht="14.5" customHeight="1">
      <c r="B107" s="81"/>
      <c r="C107" s="62" t="s">
        <v>208</v>
      </c>
      <c r="D107" s="63">
        <v>1</v>
      </c>
      <c r="E107" s="64">
        <v>8.6948960960000005E-5</v>
      </c>
    </row>
    <row r="108" spans="2:5" ht="14.5" customHeight="1">
      <c r="B108" s="81"/>
      <c r="C108" s="62" t="s">
        <v>199</v>
      </c>
      <c r="D108" s="63">
        <v>3</v>
      </c>
      <c r="E108" s="64">
        <v>2.6084688287999997E-4</v>
      </c>
    </row>
    <row r="109" spans="2:5" ht="14.5" customHeight="1">
      <c r="B109" s="81"/>
      <c r="C109" s="62" t="s">
        <v>200</v>
      </c>
      <c r="D109" s="63">
        <v>15</v>
      </c>
      <c r="E109" s="64">
        <v>1.304234414399E-3</v>
      </c>
    </row>
    <row r="110" spans="2:5" ht="14.5" customHeight="1">
      <c r="B110" s="81"/>
      <c r="C110" s="62" t="s">
        <v>201</v>
      </c>
      <c r="D110" s="63">
        <v>1</v>
      </c>
      <c r="E110" s="64">
        <v>8.6948960960000005E-5</v>
      </c>
    </row>
    <row r="111" spans="2:5" ht="14.5" customHeight="1">
      <c r="B111" s="81"/>
      <c r="C111" s="62" t="s">
        <v>202</v>
      </c>
      <c r="D111" s="63">
        <v>1</v>
      </c>
      <c r="E111" s="64">
        <v>8.6948960960000005E-5</v>
      </c>
    </row>
    <row r="112" spans="2:5" ht="14.5" customHeight="1">
      <c r="B112" s="81"/>
      <c r="C112" s="62" t="s">
        <v>203</v>
      </c>
      <c r="D112" s="63">
        <v>5</v>
      </c>
      <c r="E112" s="64">
        <v>4.3474480480000001E-4</v>
      </c>
    </row>
    <row r="113" spans="2:5" ht="14.5" customHeight="1">
      <c r="B113" s="81"/>
      <c r="C113" s="62" t="s">
        <v>204</v>
      </c>
      <c r="D113" s="63">
        <v>22</v>
      </c>
      <c r="E113" s="64">
        <v>1.912877141118E-3</v>
      </c>
    </row>
    <row r="114" spans="2:5" ht="14.5" customHeight="1">
      <c r="B114" s="81"/>
      <c r="C114" s="62" t="s">
        <v>210</v>
      </c>
      <c r="D114" s="63">
        <v>2</v>
      </c>
      <c r="E114" s="64">
        <v>1.7389792192000001E-4</v>
      </c>
    </row>
    <row r="115" spans="2:5" ht="14.5" customHeight="1">
      <c r="B115" s="80"/>
      <c r="C115" s="36" t="s">
        <v>28</v>
      </c>
      <c r="D115" s="35">
        <v>73</v>
      </c>
      <c r="E115" s="34">
        <v>6.3472741500740001E-3</v>
      </c>
    </row>
    <row r="116" spans="2:5" ht="14.5" customHeight="1">
      <c r="B116" s="79" t="s">
        <v>53</v>
      </c>
      <c r="C116" s="62" t="s">
        <v>211</v>
      </c>
      <c r="D116" s="63">
        <v>1</v>
      </c>
      <c r="E116" s="64">
        <v>8.6948960960000005E-5</v>
      </c>
    </row>
    <row r="117" spans="2:5" ht="14.5" customHeight="1">
      <c r="B117" s="81"/>
      <c r="C117" s="62" t="s">
        <v>189</v>
      </c>
      <c r="D117" s="63">
        <v>6</v>
      </c>
      <c r="E117" s="64">
        <v>5.2169376575899999E-4</v>
      </c>
    </row>
    <row r="118" spans="2:5" ht="14.5" customHeight="1">
      <c r="B118" s="81"/>
      <c r="C118" s="62" t="s">
        <v>219</v>
      </c>
      <c r="D118" s="63">
        <v>20</v>
      </c>
      <c r="E118" s="64">
        <v>1.7389792191979999E-3</v>
      </c>
    </row>
    <row r="119" spans="2:5" ht="14.5" customHeight="1">
      <c r="B119" s="81"/>
      <c r="C119" s="62" t="s">
        <v>222</v>
      </c>
      <c r="D119" s="63">
        <v>2</v>
      </c>
      <c r="E119" s="64">
        <v>1.7389792192000001E-4</v>
      </c>
    </row>
    <row r="120" spans="2:5" ht="14.5" customHeight="1">
      <c r="B120" s="81"/>
      <c r="C120" s="62" t="s">
        <v>205</v>
      </c>
      <c r="D120" s="63">
        <v>1</v>
      </c>
      <c r="E120" s="64">
        <v>8.6948960960000005E-5</v>
      </c>
    </row>
    <row r="121" spans="2:5" ht="14.5" customHeight="1">
      <c r="B121" s="81"/>
      <c r="C121" s="62" t="s">
        <v>190</v>
      </c>
      <c r="D121" s="63">
        <v>2</v>
      </c>
      <c r="E121" s="64">
        <v>1.7389792192000001E-4</v>
      </c>
    </row>
    <row r="122" spans="2:5" ht="14.5" customHeight="1">
      <c r="B122" s="81"/>
      <c r="C122" s="62" t="s">
        <v>191</v>
      </c>
      <c r="D122" s="63">
        <v>1</v>
      </c>
      <c r="E122" s="64">
        <v>8.6948960960000005E-5</v>
      </c>
    </row>
    <row r="123" spans="2:5" ht="14.5" customHeight="1">
      <c r="B123" s="81"/>
      <c r="C123" s="62" t="s">
        <v>206</v>
      </c>
      <c r="D123" s="63">
        <v>13</v>
      </c>
      <c r="E123" s="64">
        <v>1.1303364924790001E-3</v>
      </c>
    </row>
    <row r="124" spans="2:5" ht="14.5" customHeight="1">
      <c r="B124" s="81"/>
      <c r="C124" s="62" t="s">
        <v>207</v>
      </c>
      <c r="D124" s="63">
        <v>1</v>
      </c>
      <c r="E124" s="64">
        <v>8.6948960960000005E-5</v>
      </c>
    </row>
    <row r="125" spans="2:5" ht="14.5" customHeight="1">
      <c r="B125" s="81"/>
      <c r="C125" s="62" t="s">
        <v>217</v>
      </c>
      <c r="D125" s="63">
        <v>1</v>
      </c>
      <c r="E125" s="64">
        <v>8.6948960960000005E-5</v>
      </c>
    </row>
    <row r="126" spans="2:5" ht="14.5" customHeight="1">
      <c r="B126" s="81"/>
      <c r="C126" s="62" t="s">
        <v>218</v>
      </c>
      <c r="D126" s="63">
        <v>1</v>
      </c>
      <c r="E126" s="64">
        <v>8.6948960960000005E-5</v>
      </c>
    </row>
    <row r="127" spans="2:5" ht="14.5" customHeight="1">
      <c r="B127" s="81"/>
      <c r="C127" s="62" t="s">
        <v>193</v>
      </c>
      <c r="D127" s="63">
        <v>17</v>
      </c>
      <c r="E127" s="64">
        <v>1.4781323363190001E-3</v>
      </c>
    </row>
    <row r="128" spans="2:5" ht="14.5" customHeight="1">
      <c r="B128" s="81"/>
      <c r="C128" s="62" t="s">
        <v>194</v>
      </c>
      <c r="D128" s="63">
        <v>28</v>
      </c>
      <c r="E128" s="64">
        <v>2.4345709068779998E-3</v>
      </c>
    </row>
    <row r="129" spans="2:5" ht="14.5" customHeight="1">
      <c r="B129" s="81"/>
      <c r="C129" s="62" t="s">
        <v>220</v>
      </c>
      <c r="D129" s="63">
        <v>2</v>
      </c>
      <c r="E129" s="64">
        <v>1.7389792192000001E-4</v>
      </c>
    </row>
    <row r="130" spans="2:5" ht="14.5" customHeight="1">
      <c r="B130" s="81"/>
      <c r="C130" s="62" t="s">
        <v>195</v>
      </c>
      <c r="D130" s="63">
        <v>4</v>
      </c>
      <c r="E130" s="64">
        <v>3.4779584384000002E-4</v>
      </c>
    </row>
    <row r="131" spans="2:5" ht="14.5" customHeight="1">
      <c r="B131" s="81"/>
      <c r="C131" s="62" t="s">
        <v>212</v>
      </c>
      <c r="D131" s="63">
        <v>1</v>
      </c>
      <c r="E131" s="64">
        <v>8.6948960960000005E-5</v>
      </c>
    </row>
    <row r="132" spans="2:5" ht="14.5" customHeight="1">
      <c r="B132" s="81"/>
      <c r="C132" s="62" t="s">
        <v>196</v>
      </c>
      <c r="D132" s="63">
        <v>1</v>
      </c>
      <c r="E132" s="64">
        <v>8.6948960960000005E-5</v>
      </c>
    </row>
    <row r="133" spans="2:5" ht="14.5" customHeight="1">
      <c r="B133" s="81"/>
      <c r="C133" s="62" t="s">
        <v>197</v>
      </c>
      <c r="D133" s="63">
        <v>36</v>
      </c>
      <c r="E133" s="64">
        <v>3.1301625945570001E-3</v>
      </c>
    </row>
    <row r="134" spans="2:5" ht="14.5" customHeight="1">
      <c r="B134" s="81"/>
      <c r="C134" s="62" t="s">
        <v>198</v>
      </c>
      <c r="D134" s="63">
        <v>2</v>
      </c>
      <c r="E134" s="64">
        <v>1.7389792192000001E-4</v>
      </c>
    </row>
    <row r="135" spans="2:5" ht="14.5" customHeight="1">
      <c r="B135" s="81"/>
      <c r="C135" s="62" t="s">
        <v>199</v>
      </c>
      <c r="D135" s="63">
        <v>10</v>
      </c>
      <c r="E135" s="64">
        <v>8.6948960959899995E-4</v>
      </c>
    </row>
    <row r="136" spans="2:5" ht="14.5" customHeight="1">
      <c r="B136" s="81"/>
      <c r="C136" s="62" t="s">
        <v>200</v>
      </c>
      <c r="D136" s="63">
        <v>36</v>
      </c>
      <c r="E136" s="64">
        <v>3.1301625945570001E-3</v>
      </c>
    </row>
    <row r="137" spans="2:5" ht="14.5" customHeight="1">
      <c r="B137" s="81"/>
      <c r="C137" s="62" t="s">
        <v>201</v>
      </c>
      <c r="D137" s="63">
        <v>2</v>
      </c>
      <c r="E137" s="64">
        <v>1.7389792192000001E-4</v>
      </c>
    </row>
    <row r="138" spans="2:5" ht="14.5" customHeight="1">
      <c r="B138" s="81"/>
      <c r="C138" s="62" t="s">
        <v>202</v>
      </c>
      <c r="D138" s="63">
        <v>5</v>
      </c>
      <c r="E138" s="64">
        <v>4.3474480480000001E-4</v>
      </c>
    </row>
    <row r="139" spans="2:5" ht="14.5" customHeight="1">
      <c r="B139" s="81"/>
      <c r="C139" s="62" t="s">
        <v>203</v>
      </c>
      <c r="D139" s="63">
        <v>23</v>
      </c>
      <c r="E139" s="64">
        <v>1.9998261020779998E-3</v>
      </c>
    </row>
    <row r="140" spans="2:5" ht="14.5" customHeight="1">
      <c r="B140" s="81"/>
      <c r="C140" s="62" t="s">
        <v>209</v>
      </c>
      <c r="D140" s="63">
        <v>2</v>
      </c>
      <c r="E140" s="64">
        <v>1.7389792192000001E-4</v>
      </c>
    </row>
    <row r="141" spans="2:5" ht="14.5" customHeight="1">
      <c r="B141" s="81"/>
      <c r="C141" s="62" t="s">
        <v>204</v>
      </c>
      <c r="D141" s="63">
        <v>157</v>
      </c>
      <c r="E141" s="64">
        <v>1.3650986870707E-2</v>
      </c>
    </row>
    <row r="142" spans="2:5" ht="14.5" customHeight="1">
      <c r="B142" s="81"/>
      <c r="C142" s="62" t="s">
        <v>210</v>
      </c>
      <c r="D142" s="63">
        <v>8</v>
      </c>
      <c r="E142" s="64">
        <v>6.9559168767899997E-4</v>
      </c>
    </row>
    <row r="143" spans="2:5" ht="14.5" customHeight="1">
      <c r="B143" s="81"/>
      <c r="C143" s="62" t="s">
        <v>221</v>
      </c>
      <c r="D143" s="63">
        <v>2</v>
      </c>
      <c r="E143" s="64">
        <v>1.7389792192000001E-4</v>
      </c>
    </row>
    <row r="144" spans="2:5" ht="14.5" customHeight="1">
      <c r="B144" s="81"/>
      <c r="C144" s="62" t="s">
        <v>216</v>
      </c>
      <c r="D144" s="63">
        <v>1</v>
      </c>
      <c r="E144" s="64">
        <v>8.6948960960000005E-5</v>
      </c>
    </row>
    <row r="145" spans="2:5" ht="14.5" customHeight="1">
      <c r="B145" s="80"/>
      <c r="C145" s="36" t="s">
        <v>28</v>
      </c>
      <c r="D145" s="35">
        <v>386</v>
      </c>
      <c r="E145" s="34">
        <v>3.3562298930527999E-2</v>
      </c>
    </row>
    <row r="146" spans="2:5" ht="14.5" customHeight="1">
      <c r="B146" s="79" t="s">
        <v>48</v>
      </c>
      <c r="C146" s="62" t="s">
        <v>211</v>
      </c>
      <c r="D146" s="63">
        <v>1</v>
      </c>
      <c r="E146" s="64">
        <v>8.6948960960000005E-5</v>
      </c>
    </row>
    <row r="147" spans="2:5" ht="14.5" customHeight="1">
      <c r="B147" s="81"/>
      <c r="C147" s="62" t="s">
        <v>189</v>
      </c>
      <c r="D147" s="63">
        <v>252</v>
      </c>
      <c r="E147" s="64">
        <v>2.1911138161899001E-2</v>
      </c>
    </row>
    <row r="148" spans="2:5" ht="14.5" customHeight="1">
      <c r="B148" s="81"/>
      <c r="C148" s="62" t="s">
        <v>219</v>
      </c>
      <c r="D148" s="63">
        <v>52</v>
      </c>
      <c r="E148" s="64">
        <v>4.5213459699160003E-3</v>
      </c>
    </row>
    <row r="149" spans="2:5" ht="14.5" customHeight="1">
      <c r="B149" s="81"/>
      <c r="C149" s="62" t="s">
        <v>222</v>
      </c>
      <c r="D149" s="63">
        <v>4</v>
      </c>
      <c r="E149" s="64">
        <v>3.4779584384000002E-4</v>
      </c>
    </row>
    <row r="150" spans="2:5" ht="14.5" customHeight="1">
      <c r="B150" s="81"/>
      <c r="C150" s="62" t="s">
        <v>205</v>
      </c>
      <c r="D150" s="63">
        <v>8</v>
      </c>
      <c r="E150" s="64">
        <v>6.9559168767899997E-4</v>
      </c>
    </row>
    <row r="151" spans="2:5" ht="14.5" customHeight="1">
      <c r="B151" s="81"/>
      <c r="C151" s="62" t="s">
        <v>190</v>
      </c>
      <c r="D151" s="63">
        <v>22</v>
      </c>
      <c r="E151" s="64">
        <v>1.912877141118E-3</v>
      </c>
    </row>
    <row r="152" spans="2:5" ht="14.5" customHeight="1">
      <c r="B152" s="81"/>
      <c r="C152" s="62" t="s">
        <v>191</v>
      </c>
      <c r="D152" s="63">
        <v>7</v>
      </c>
      <c r="E152" s="64">
        <v>6.0864272671900003E-4</v>
      </c>
    </row>
    <row r="153" spans="2:5" ht="14.5" customHeight="1">
      <c r="B153" s="81"/>
      <c r="C153" s="62" t="s">
        <v>192</v>
      </c>
      <c r="D153" s="63">
        <v>8</v>
      </c>
      <c r="E153" s="64">
        <v>6.9559168767899997E-4</v>
      </c>
    </row>
    <row r="154" spans="2:5" ht="14.5" customHeight="1">
      <c r="B154" s="81"/>
      <c r="C154" s="62" t="s">
        <v>206</v>
      </c>
      <c r="D154" s="63">
        <v>48</v>
      </c>
      <c r="E154" s="64">
        <v>4.1735501260760002E-3</v>
      </c>
    </row>
    <row r="155" spans="2:5" ht="14.5" customHeight="1">
      <c r="B155" s="81"/>
      <c r="C155" s="62" t="s">
        <v>207</v>
      </c>
      <c r="D155" s="63">
        <v>22</v>
      </c>
      <c r="E155" s="64">
        <v>1.912877141118E-3</v>
      </c>
    </row>
    <row r="156" spans="2:5" ht="14.5" customHeight="1">
      <c r="B156" s="81"/>
      <c r="C156" s="62" t="s">
        <v>213</v>
      </c>
      <c r="D156" s="63">
        <v>7</v>
      </c>
      <c r="E156" s="64">
        <v>6.0864272671900003E-4</v>
      </c>
    </row>
    <row r="157" spans="2:5" ht="14.5" customHeight="1">
      <c r="B157" s="81"/>
      <c r="C157" s="62" t="s">
        <v>214</v>
      </c>
      <c r="D157" s="63">
        <v>1</v>
      </c>
      <c r="E157" s="64">
        <v>8.6948960960000005E-5</v>
      </c>
    </row>
    <row r="158" spans="2:5" ht="14.5" customHeight="1">
      <c r="B158" s="81"/>
      <c r="C158" s="62" t="s">
        <v>224</v>
      </c>
      <c r="D158" s="63">
        <v>1</v>
      </c>
      <c r="E158" s="64">
        <v>8.6948960960000005E-5</v>
      </c>
    </row>
    <row r="159" spans="2:5" ht="14.5" customHeight="1">
      <c r="B159" s="81"/>
      <c r="C159" s="62" t="s">
        <v>215</v>
      </c>
      <c r="D159" s="63">
        <v>15</v>
      </c>
      <c r="E159" s="64">
        <v>1.304234414399E-3</v>
      </c>
    </row>
    <row r="160" spans="2:5" ht="14.5" customHeight="1">
      <c r="B160" s="81"/>
      <c r="C160" s="62" t="s">
        <v>217</v>
      </c>
      <c r="D160" s="63">
        <v>4</v>
      </c>
      <c r="E160" s="64">
        <v>3.4779584384000002E-4</v>
      </c>
    </row>
    <row r="161" spans="2:5" ht="14.5" customHeight="1">
      <c r="B161" s="81"/>
      <c r="C161" s="62" t="s">
        <v>218</v>
      </c>
      <c r="D161" s="63">
        <v>3</v>
      </c>
      <c r="E161" s="64">
        <v>2.6084688287999997E-4</v>
      </c>
    </row>
    <row r="162" spans="2:5" ht="14.5" customHeight="1">
      <c r="B162" s="81"/>
      <c r="C162" s="62" t="s">
        <v>193</v>
      </c>
      <c r="D162" s="63">
        <v>94</v>
      </c>
      <c r="E162" s="64">
        <v>8.1732023302320007E-3</v>
      </c>
    </row>
    <row r="163" spans="2:5" ht="14.5" customHeight="1">
      <c r="B163" s="81"/>
      <c r="C163" s="62" t="s">
        <v>194</v>
      </c>
      <c r="D163" s="63">
        <v>485</v>
      </c>
      <c r="E163" s="64">
        <v>4.2170246065560003E-2</v>
      </c>
    </row>
    <row r="164" spans="2:5" ht="14.5" customHeight="1">
      <c r="B164" s="81"/>
      <c r="C164" s="62" t="s">
        <v>220</v>
      </c>
      <c r="D164" s="63">
        <v>7</v>
      </c>
      <c r="E164" s="64">
        <v>6.0864272671900003E-4</v>
      </c>
    </row>
    <row r="165" spans="2:5" ht="14.5" customHeight="1">
      <c r="B165" s="81"/>
      <c r="C165" s="62" t="s">
        <v>195</v>
      </c>
      <c r="D165" s="63">
        <v>344</v>
      </c>
      <c r="E165" s="64">
        <v>2.9910442570210999E-2</v>
      </c>
    </row>
    <row r="166" spans="2:5" ht="14.5" customHeight="1">
      <c r="B166" s="81"/>
      <c r="C166" s="62" t="s">
        <v>226</v>
      </c>
      <c r="D166" s="63">
        <v>3</v>
      </c>
      <c r="E166" s="64">
        <v>2.6084688287999997E-4</v>
      </c>
    </row>
    <row r="167" spans="2:5" ht="14.5" customHeight="1">
      <c r="B167" s="81"/>
      <c r="C167" s="62" t="s">
        <v>225</v>
      </c>
      <c r="D167" s="63">
        <v>4</v>
      </c>
      <c r="E167" s="64">
        <v>3.4779584384000002E-4</v>
      </c>
    </row>
    <row r="168" spans="2:5" ht="14.5" customHeight="1">
      <c r="B168" s="81"/>
      <c r="C168" s="62" t="s">
        <v>212</v>
      </c>
      <c r="D168" s="63">
        <v>10</v>
      </c>
      <c r="E168" s="64">
        <v>8.6948960959899995E-4</v>
      </c>
    </row>
    <row r="169" spans="2:5" ht="14.5" customHeight="1">
      <c r="B169" s="81"/>
      <c r="C169" s="62" t="s">
        <v>196</v>
      </c>
      <c r="D169" s="63">
        <v>10</v>
      </c>
      <c r="E169" s="64">
        <v>8.6948960959899995E-4</v>
      </c>
    </row>
    <row r="170" spans="2:5" ht="14.5" customHeight="1">
      <c r="B170" s="81"/>
      <c r="C170" s="62" t="s">
        <v>197</v>
      </c>
      <c r="D170" s="63">
        <v>288</v>
      </c>
      <c r="E170" s="64">
        <v>2.5041300756456001E-2</v>
      </c>
    </row>
    <row r="171" spans="2:5" ht="14.5" customHeight="1">
      <c r="B171" s="81"/>
      <c r="C171" s="62" t="s">
        <v>198</v>
      </c>
      <c r="D171" s="63">
        <v>19</v>
      </c>
      <c r="E171" s="64">
        <v>1.6520302582380001E-3</v>
      </c>
    </row>
    <row r="172" spans="2:5" ht="14.5" customHeight="1">
      <c r="B172" s="81"/>
      <c r="C172" s="62" t="s">
        <v>208</v>
      </c>
      <c r="D172" s="63">
        <v>12</v>
      </c>
      <c r="E172" s="64">
        <v>1.043387531519E-3</v>
      </c>
    </row>
    <row r="173" spans="2:5" ht="14.5" customHeight="1">
      <c r="B173" s="81"/>
      <c r="C173" s="62" t="s">
        <v>199</v>
      </c>
      <c r="D173" s="63">
        <v>92</v>
      </c>
      <c r="E173" s="64">
        <v>7.9993044083119993E-3</v>
      </c>
    </row>
    <row r="174" spans="2:5" ht="14.5" customHeight="1">
      <c r="B174" s="81"/>
      <c r="C174" s="62" t="s">
        <v>83</v>
      </c>
      <c r="D174" s="63">
        <v>1</v>
      </c>
      <c r="E174" s="64">
        <v>8.6948960960000005E-5</v>
      </c>
    </row>
    <row r="175" spans="2:5" ht="14.5" customHeight="1">
      <c r="B175" s="81"/>
      <c r="C175" s="62" t="s">
        <v>200</v>
      </c>
      <c r="D175" s="63">
        <v>128</v>
      </c>
      <c r="E175" s="64">
        <v>1.1129467002869001E-2</v>
      </c>
    </row>
    <row r="176" spans="2:5" ht="14.5" customHeight="1">
      <c r="B176" s="81"/>
      <c r="C176" s="62" t="s">
        <v>201</v>
      </c>
      <c r="D176" s="63">
        <v>41</v>
      </c>
      <c r="E176" s="64">
        <v>3.5649073993570001E-3</v>
      </c>
    </row>
    <row r="177" spans="2:5" ht="14.5" customHeight="1">
      <c r="B177" s="81"/>
      <c r="C177" s="62" t="s">
        <v>202</v>
      </c>
      <c r="D177" s="63">
        <v>182</v>
      </c>
      <c r="E177" s="64">
        <v>1.5824710894705E-2</v>
      </c>
    </row>
    <row r="178" spans="2:5" ht="14.5" customHeight="1">
      <c r="B178" s="81"/>
      <c r="C178" s="62" t="s">
        <v>203</v>
      </c>
      <c r="D178" s="63">
        <v>105</v>
      </c>
      <c r="E178" s="64">
        <v>9.1296409007910004E-3</v>
      </c>
    </row>
    <row r="179" spans="2:5" ht="14.5" customHeight="1">
      <c r="B179" s="81"/>
      <c r="C179" s="62" t="s">
        <v>209</v>
      </c>
      <c r="D179" s="63">
        <v>2</v>
      </c>
      <c r="E179" s="64">
        <v>1.7389792192000001E-4</v>
      </c>
    </row>
    <row r="180" spans="2:5" ht="14.5" customHeight="1">
      <c r="B180" s="81"/>
      <c r="C180" s="62" t="s">
        <v>204</v>
      </c>
      <c r="D180" s="63">
        <v>630</v>
      </c>
      <c r="E180" s="64">
        <v>5.4777845404746998E-2</v>
      </c>
    </row>
    <row r="181" spans="2:5" ht="14.5" customHeight="1">
      <c r="B181" s="81"/>
      <c r="C181" s="62" t="s">
        <v>210</v>
      </c>
      <c r="D181" s="63">
        <v>20</v>
      </c>
      <c r="E181" s="64">
        <v>1.7389792191979999E-3</v>
      </c>
    </row>
    <row r="182" spans="2:5" ht="14.5" customHeight="1">
      <c r="B182" s="81"/>
      <c r="C182" s="62" t="s">
        <v>221</v>
      </c>
      <c r="D182" s="63">
        <v>3</v>
      </c>
      <c r="E182" s="64">
        <v>2.6084688287999997E-4</v>
      </c>
    </row>
    <row r="183" spans="2:5" ht="14.5" customHeight="1">
      <c r="B183" s="81"/>
      <c r="C183" s="62" t="s">
        <v>216</v>
      </c>
      <c r="D183" s="63">
        <v>25</v>
      </c>
      <c r="E183" s="64">
        <v>2.1737240239979999E-3</v>
      </c>
    </row>
    <row r="184" spans="2:5" ht="14.5" customHeight="1">
      <c r="B184" s="80"/>
      <c r="C184" s="36" t="s">
        <v>28</v>
      </c>
      <c r="D184" s="35">
        <v>2960</v>
      </c>
      <c r="E184" s="34">
        <v>0.25736892444135301</v>
      </c>
    </row>
    <row r="185" spans="2:5" ht="14.5" customHeight="1">
      <c r="B185" s="79" t="s">
        <v>65</v>
      </c>
      <c r="C185" s="62" t="s">
        <v>189</v>
      </c>
      <c r="D185" s="63">
        <v>58</v>
      </c>
      <c r="E185" s="64">
        <v>5.0430397356750001E-3</v>
      </c>
    </row>
    <row r="186" spans="2:5" ht="14.5" customHeight="1">
      <c r="B186" s="81"/>
      <c r="C186" s="62" t="s">
        <v>219</v>
      </c>
      <c r="D186" s="63">
        <v>1</v>
      </c>
      <c r="E186" s="64">
        <v>8.6948960960000005E-5</v>
      </c>
    </row>
    <row r="187" spans="2:5" ht="14.5" customHeight="1">
      <c r="B187" s="81"/>
      <c r="C187" s="62" t="s">
        <v>192</v>
      </c>
      <c r="D187" s="63">
        <v>2</v>
      </c>
      <c r="E187" s="64">
        <v>1.7389792192000001E-4</v>
      </c>
    </row>
    <row r="188" spans="2:5" ht="14.5" customHeight="1">
      <c r="B188" s="81"/>
      <c r="C188" s="62" t="s">
        <v>206</v>
      </c>
      <c r="D188" s="63">
        <v>2</v>
      </c>
      <c r="E188" s="64">
        <v>1.7389792192000001E-4</v>
      </c>
    </row>
    <row r="189" spans="2:5" ht="14.5" customHeight="1">
      <c r="B189" s="81"/>
      <c r="C189" s="62" t="s">
        <v>207</v>
      </c>
      <c r="D189" s="63">
        <v>1</v>
      </c>
      <c r="E189" s="64">
        <v>8.6948960960000005E-5</v>
      </c>
    </row>
    <row r="190" spans="2:5" ht="14.5" customHeight="1">
      <c r="B190" s="81"/>
      <c r="C190" s="62" t="s">
        <v>214</v>
      </c>
      <c r="D190" s="63">
        <v>1</v>
      </c>
      <c r="E190" s="64">
        <v>8.6948960960000005E-5</v>
      </c>
    </row>
    <row r="191" spans="2:5" ht="14.5" customHeight="1">
      <c r="B191" s="81"/>
      <c r="C191" s="62" t="s">
        <v>215</v>
      </c>
      <c r="D191" s="63">
        <v>4</v>
      </c>
      <c r="E191" s="64">
        <v>3.4779584384000002E-4</v>
      </c>
    </row>
    <row r="192" spans="2:5" ht="14.5" customHeight="1">
      <c r="B192" s="81"/>
      <c r="C192" s="62" t="s">
        <v>217</v>
      </c>
      <c r="D192" s="63">
        <v>1</v>
      </c>
      <c r="E192" s="64">
        <v>8.6948960960000005E-5</v>
      </c>
    </row>
    <row r="193" spans="2:5" ht="14.5" customHeight="1">
      <c r="B193" s="81"/>
      <c r="C193" s="62" t="s">
        <v>218</v>
      </c>
      <c r="D193" s="63">
        <v>1</v>
      </c>
      <c r="E193" s="64">
        <v>8.6948960960000005E-5</v>
      </c>
    </row>
    <row r="194" spans="2:5" ht="14.5" customHeight="1">
      <c r="B194" s="81"/>
      <c r="C194" s="62" t="s">
        <v>193</v>
      </c>
      <c r="D194" s="63">
        <v>1</v>
      </c>
      <c r="E194" s="64">
        <v>8.6948960960000005E-5</v>
      </c>
    </row>
    <row r="195" spans="2:5" ht="14.5" customHeight="1">
      <c r="B195" s="81"/>
      <c r="C195" s="62" t="s">
        <v>194</v>
      </c>
      <c r="D195" s="63">
        <v>5</v>
      </c>
      <c r="E195" s="64">
        <v>4.3474480480000001E-4</v>
      </c>
    </row>
    <row r="196" spans="2:5" ht="14.5" customHeight="1">
      <c r="B196" s="81"/>
      <c r="C196" s="62" t="s">
        <v>195</v>
      </c>
      <c r="D196" s="63">
        <v>7</v>
      </c>
      <c r="E196" s="64">
        <v>6.0864272671900003E-4</v>
      </c>
    </row>
    <row r="197" spans="2:5" ht="14.5" customHeight="1">
      <c r="B197" s="81"/>
      <c r="C197" s="62" t="s">
        <v>225</v>
      </c>
      <c r="D197" s="63">
        <v>1</v>
      </c>
      <c r="E197" s="64">
        <v>8.6948960960000005E-5</v>
      </c>
    </row>
    <row r="198" spans="2:5" ht="14.5" customHeight="1">
      <c r="B198" s="81"/>
      <c r="C198" s="62" t="s">
        <v>223</v>
      </c>
      <c r="D198" s="63">
        <v>1</v>
      </c>
      <c r="E198" s="64">
        <v>8.6948960960000005E-5</v>
      </c>
    </row>
    <row r="199" spans="2:5" ht="14.5" customHeight="1">
      <c r="B199" s="81"/>
      <c r="C199" s="62" t="s">
        <v>212</v>
      </c>
      <c r="D199" s="63">
        <v>2</v>
      </c>
      <c r="E199" s="64">
        <v>1.7389792192000001E-4</v>
      </c>
    </row>
    <row r="200" spans="2:5" ht="14.5" customHeight="1">
      <c r="B200" s="81"/>
      <c r="C200" s="62" t="s">
        <v>197</v>
      </c>
      <c r="D200" s="63">
        <v>13</v>
      </c>
      <c r="E200" s="64">
        <v>1.1303364924790001E-3</v>
      </c>
    </row>
    <row r="201" spans="2:5" ht="14.5" customHeight="1">
      <c r="B201" s="81"/>
      <c r="C201" s="62" t="s">
        <v>199</v>
      </c>
      <c r="D201" s="63">
        <v>1</v>
      </c>
      <c r="E201" s="64">
        <v>8.6948960960000005E-5</v>
      </c>
    </row>
    <row r="202" spans="2:5" ht="14.5" customHeight="1">
      <c r="B202" s="81"/>
      <c r="C202" s="62" t="s">
        <v>200</v>
      </c>
      <c r="D202" s="63">
        <v>8</v>
      </c>
      <c r="E202" s="64">
        <v>6.9559168767899997E-4</v>
      </c>
    </row>
    <row r="203" spans="2:5" ht="14.5" customHeight="1">
      <c r="B203" s="81"/>
      <c r="C203" s="62" t="s">
        <v>202</v>
      </c>
      <c r="D203" s="63">
        <v>7</v>
      </c>
      <c r="E203" s="64">
        <v>6.0864272671900003E-4</v>
      </c>
    </row>
    <row r="204" spans="2:5" ht="14.5" customHeight="1">
      <c r="B204" s="81"/>
      <c r="C204" s="62" t="s">
        <v>203</v>
      </c>
      <c r="D204" s="63">
        <v>3</v>
      </c>
      <c r="E204" s="64">
        <v>2.6084688287999997E-4</v>
      </c>
    </row>
    <row r="205" spans="2:5" ht="14.5" customHeight="1">
      <c r="B205" s="81"/>
      <c r="C205" s="62" t="s">
        <v>204</v>
      </c>
      <c r="D205" s="63">
        <v>5</v>
      </c>
      <c r="E205" s="64">
        <v>4.3474480480000001E-4</v>
      </c>
    </row>
    <row r="206" spans="2:5" ht="14.5" customHeight="1">
      <c r="B206" s="81"/>
      <c r="C206" s="62" t="s">
        <v>216</v>
      </c>
      <c r="D206" s="63">
        <v>1</v>
      </c>
      <c r="E206" s="64">
        <v>8.6948960960000005E-5</v>
      </c>
    </row>
    <row r="207" spans="2:5" ht="14.5" customHeight="1">
      <c r="B207" s="80"/>
      <c r="C207" s="36" t="s">
        <v>28</v>
      </c>
      <c r="D207" s="35">
        <v>126</v>
      </c>
      <c r="E207" s="34">
        <v>1.0955569080948999E-2</v>
      </c>
    </row>
    <row r="208" spans="2:5" ht="14.5" customHeight="1">
      <c r="B208" s="79" t="s">
        <v>57</v>
      </c>
      <c r="C208" s="62" t="s">
        <v>211</v>
      </c>
      <c r="D208" s="63">
        <v>1</v>
      </c>
      <c r="E208" s="64">
        <v>8.6948960960000005E-5</v>
      </c>
    </row>
    <row r="209" spans="2:5" ht="14.5" customHeight="1">
      <c r="B209" s="81"/>
      <c r="C209" s="62" t="s">
        <v>189</v>
      </c>
      <c r="D209" s="63">
        <v>5</v>
      </c>
      <c r="E209" s="64">
        <v>4.3474480480000001E-4</v>
      </c>
    </row>
    <row r="210" spans="2:5" ht="14.5" customHeight="1">
      <c r="B210" s="81"/>
      <c r="C210" s="62" t="s">
        <v>190</v>
      </c>
      <c r="D210" s="63">
        <v>2</v>
      </c>
      <c r="E210" s="64">
        <v>1.7389792192000001E-4</v>
      </c>
    </row>
    <row r="211" spans="2:5" ht="14.5" customHeight="1">
      <c r="B211" s="81"/>
      <c r="C211" s="62" t="s">
        <v>191</v>
      </c>
      <c r="D211" s="63">
        <v>1</v>
      </c>
      <c r="E211" s="64">
        <v>8.6948960960000005E-5</v>
      </c>
    </row>
    <row r="212" spans="2:5" ht="14.5" customHeight="1">
      <c r="B212" s="81"/>
      <c r="C212" s="62" t="s">
        <v>206</v>
      </c>
      <c r="D212" s="63">
        <v>19</v>
      </c>
      <c r="E212" s="64">
        <v>1.6520302582380001E-3</v>
      </c>
    </row>
    <row r="213" spans="2:5" ht="14.5" customHeight="1">
      <c r="B213" s="81"/>
      <c r="C213" s="62" t="s">
        <v>207</v>
      </c>
      <c r="D213" s="63">
        <v>1</v>
      </c>
      <c r="E213" s="64">
        <v>8.6948960960000005E-5</v>
      </c>
    </row>
    <row r="214" spans="2:5" ht="14.5" customHeight="1">
      <c r="B214" s="81"/>
      <c r="C214" s="62" t="s">
        <v>193</v>
      </c>
      <c r="D214" s="63">
        <v>20</v>
      </c>
      <c r="E214" s="64">
        <v>1.7389792191979999E-3</v>
      </c>
    </row>
    <row r="215" spans="2:5" ht="14.5" customHeight="1">
      <c r="B215" s="81"/>
      <c r="C215" s="62" t="s">
        <v>194</v>
      </c>
      <c r="D215" s="63">
        <v>10</v>
      </c>
      <c r="E215" s="64">
        <v>8.6948960959899995E-4</v>
      </c>
    </row>
    <row r="216" spans="2:5" ht="14.5" customHeight="1">
      <c r="B216" s="81"/>
      <c r="C216" s="62" t="s">
        <v>195</v>
      </c>
      <c r="D216" s="63">
        <v>4</v>
      </c>
      <c r="E216" s="64">
        <v>3.4779584384000002E-4</v>
      </c>
    </row>
    <row r="217" spans="2:5" ht="14.5" customHeight="1">
      <c r="B217" s="81"/>
      <c r="C217" s="62" t="s">
        <v>212</v>
      </c>
      <c r="D217" s="63">
        <v>1</v>
      </c>
      <c r="E217" s="64">
        <v>8.6948960960000005E-5</v>
      </c>
    </row>
    <row r="218" spans="2:5" ht="14.5" customHeight="1">
      <c r="B218" s="81"/>
      <c r="C218" s="62" t="s">
        <v>196</v>
      </c>
      <c r="D218" s="63">
        <v>1</v>
      </c>
      <c r="E218" s="64">
        <v>8.6948960960000005E-5</v>
      </c>
    </row>
    <row r="219" spans="2:5" ht="14.5" customHeight="1">
      <c r="B219" s="81"/>
      <c r="C219" s="62" t="s">
        <v>197</v>
      </c>
      <c r="D219" s="63">
        <v>5</v>
      </c>
      <c r="E219" s="64">
        <v>4.3474480480000001E-4</v>
      </c>
    </row>
    <row r="220" spans="2:5" ht="14.5" customHeight="1">
      <c r="B220" s="81"/>
      <c r="C220" s="62" t="s">
        <v>208</v>
      </c>
      <c r="D220" s="63">
        <v>1</v>
      </c>
      <c r="E220" s="64">
        <v>8.6948960960000005E-5</v>
      </c>
    </row>
    <row r="221" spans="2:5" ht="14.5" customHeight="1">
      <c r="B221" s="81"/>
      <c r="C221" s="62" t="s">
        <v>83</v>
      </c>
      <c r="D221" s="63">
        <v>1</v>
      </c>
      <c r="E221" s="64">
        <v>8.6948960960000005E-5</v>
      </c>
    </row>
    <row r="222" spans="2:5" ht="14.5" customHeight="1">
      <c r="B222" s="81"/>
      <c r="C222" s="62" t="s">
        <v>200</v>
      </c>
      <c r="D222" s="63">
        <v>3</v>
      </c>
      <c r="E222" s="64">
        <v>2.6084688287999997E-4</v>
      </c>
    </row>
    <row r="223" spans="2:5" ht="14.5" customHeight="1">
      <c r="B223" s="81"/>
      <c r="C223" s="62" t="s">
        <v>203</v>
      </c>
      <c r="D223" s="63">
        <v>17</v>
      </c>
      <c r="E223" s="64">
        <v>1.4781323363190001E-3</v>
      </c>
    </row>
    <row r="224" spans="2:5" ht="14.5" customHeight="1">
      <c r="B224" s="81"/>
      <c r="C224" s="62" t="s">
        <v>209</v>
      </c>
      <c r="D224" s="63">
        <v>3</v>
      </c>
      <c r="E224" s="64">
        <v>2.6084688287999997E-4</v>
      </c>
    </row>
    <row r="225" spans="2:5" ht="14.5" customHeight="1">
      <c r="B225" s="81"/>
      <c r="C225" s="62" t="s">
        <v>204</v>
      </c>
      <c r="D225" s="63">
        <v>112</v>
      </c>
      <c r="E225" s="64">
        <v>9.7382836275110001E-3</v>
      </c>
    </row>
    <row r="226" spans="2:5" ht="14.5" customHeight="1">
      <c r="B226" s="81"/>
      <c r="C226" s="62" t="s">
        <v>210</v>
      </c>
      <c r="D226" s="63">
        <v>5</v>
      </c>
      <c r="E226" s="64">
        <v>4.3474480480000001E-4</v>
      </c>
    </row>
    <row r="227" spans="2:5" ht="14.5" customHeight="1">
      <c r="B227" s="80"/>
      <c r="C227" s="36" t="s">
        <v>28</v>
      </c>
      <c r="D227" s="35">
        <v>212</v>
      </c>
      <c r="E227" s="34">
        <v>1.8433179723501999E-2</v>
      </c>
    </row>
    <row r="228" spans="2:5" ht="14.5" customHeight="1">
      <c r="B228" s="79" t="s">
        <v>78</v>
      </c>
      <c r="C228" s="62" t="s">
        <v>189</v>
      </c>
      <c r="D228" s="63">
        <v>1</v>
      </c>
      <c r="E228" s="64">
        <v>8.6948960960000005E-5</v>
      </c>
    </row>
    <row r="229" spans="2:5" ht="14.5" customHeight="1">
      <c r="B229" s="81"/>
      <c r="C229" s="62" t="s">
        <v>219</v>
      </c>
      <c r="D229" s="63">
        <v>1</v>
      </c>
      <c r="E229" s="64">
        <v>8.6948960960000005E-5</v>
      </c>
    </row>
    <row r="230" spans="2:5" ht="14.5" customHeight="1">
      <c r="B230" s="81"/>
      <c r="C230" s="62" t="s">
        <v>206</v>
      </c>
      <c r="D230" s="63">
        <v>4</v>
      </c>
      <c r="E230" s="64">
        <v>3.4779584384000002E-4</v>
      </c>
    </row>
    <row r="231" spans="2:5" ht="14.5" customHeight="1">
      <c r="B231" s="81"/>
      <c r="C231" s="62" t="s">
        <v>193</v>
      </c>
      <c r="D231" s="63">
        <v>4</v>
      </c>
      <c r="E231" s="64">
        <v>3.4779584384000002E-4</v>
      </c>
    </row>
    <row r="232" spans="2:5" ht="14.5" customHeight="1">
      <c r="B232" s="81"/>
      <c r="C232" s="62" t="s">
        <v>194</v>
      </c>
      <c r="D232" s="63">
        <v>8</v>
      </c>
      <c r="E232" s="64">
        <v>6.9559168767899997E-4</v>
      </c>
    </row>
    <row r="233" spans="2:5" ht="14.5" customHeight="1">
      <c r="B233" s="81"/>
      <c r="C233" s="62" t="s">
        <v>223</v>
      </c>
      <c r="D233" s="63">
        <v>1</v>
      </c>
      <c r="E233" s="64">
        <v>8.6948960960000005E-5</v>
      </c>
    </row>
    <row r="234" spans="2:5" ht="14.5" customHeight="1">
      <c r="B234" s="81"/>
      <c r="C234" s="62" t="s">
        <v>197</v>
      </c>
      <c r="D234" s="63">
        <v>2</v>
      </c>
      <c r="E234" s="64">
        <v>1.7389792192000001E-4</v>
      </c>
    </row>
    <row r="235" spans="2:5" ht="14.5" customHeight="1">
      <c r="B235" s="81"/>
      <c r="C235" s="62" t="s">
        <v>199</v>
      </c>
      <c r="D235" s="63">
        <v>4</v>
      </c>
      <c r="E235" s="64">
        <v>3.4779584384000002E-4</v>
      </c>
    </row>
    <row r="236" spans="2:5" ht="14.5" customHeight="1">
      <c r="B236" s="81"/>
      <c r="C236" s="62" t="s">
        <v>200</v>
      </c>
      <c r="D236" s="63">
        <v>2</v>
      </c>
      <c r="E236" s="64">
        <v>1.7389792192000001E-4</v>
      </c>
    </row>
    <row r="237" spans="2:5" ht="14.5" customHeight="1">
      <c r="B237" s="81"/>
      <c r="C237" s="62" t="s">
        <v>202</v>
      </c>
      <c r="D237" s="63">
        <v>5</v>
      </c>
      <c r="E237" s="64">
        <v>4.3474480480000001E-4</v>
      </c>
    </row>
    <row r="238" spans="2:5" ht="14.5" customHeight="1">
      <c r="B238" s="81"/>
      <c r="C238" s="62" t="s">
        <v>203</v>
      </c>
      <c r="D238" s="63">
        <v>3</v>
      </c>
      <c r="E238" s="64">
        <v>2.6084688287999997E-4</v>
      </c>
    </row>
    <row r="239" spans="2:5" ht="14.5" customHeight="1">
      <c r="B239" s="81"/>
      <c r="C239" s="62" t="s">
        <v>204</v>
      </c>
      <c r="D239" s="63">
        <v>20</v>
      </c>
      <c r="E239" s="64">
        <v>1.7389792191979999E-3</v>
      </c>
    </row>
    <row r="240" spans="2:5" ht="14.5" customHeight="1">
      <c r="B240" s="80"/>
      <c r="C240" s="36" t="s">
        <v>28</v>
      </c>
      <c r="D240" s="35">
        <v>55</v>
      </c>
      <c r="E240" s="34">
        <v>4.7821928527949998E-3</v>
      </c>
    </row>
    <row r="241" spans="2:5" ht="14.5" customHeight="1">
      <c r="B241" s="79" t="s">
        <v>79</v>
      </c>
      <c r="C241" s="62" t="s">
        <v>189</v>
      </c>
      <c r="D241" s="63">
        <v>1</v>
      </c>
      <c r="E241" s="64">
        <v>8.6948960960000005E-5</v>
      </c>
    </row>
    <row r="242" spans="2:5" ht="14.5" customHeight="1">
      <c r="B242" s="81"/>
      <c r="C242" s="62" t="s">
        <v>219</v>
      </c>
      <c r="D242" s="63">
        <v>3</v>
      </c>
      <c r="E242" s="64">
        <v>2.6084688287999997E-4</v>
      </c>
    </row>
    <row r="243" spans="2:5" ht="14.5" customHeight="1">
      <c r="B243" s="81"/>
      <c r="C243" s="62" t="s">
        <v>191</v>
      </c>
      <c r="D243" s="63">
        <v>1</v>
      </c>
      <c r="E243" s="64">
        <v>8.6948960960000005E-5</v>
      </c>
    </row>
    <row r="244" spans="2:5" ht="14.5" customHeight="1">
      <c r="B244" s="81"/>
      <c r="C244" s="62" t="s">
        <v>194</v>
      </c>
      <c r="D244" s="63">
        <v>2</v>
      </c>
      <c r="E244" s="64">
        <v>1.7389792192000001E-4</v>
      </c>
    </row>
    <row r="245" spans="2:5" ht="14.5" customHeight="1">
      <c r="B245" s="81"/>
      <c r="C245" s="62" t="s">
        <v>220</v>
      </c>
      <c r="D245" s="63">
        <v>1</v>
      </c>
      <c r="E245" s="64">
        <v>8.6948960960000005E-5</v>
      </c>
    </row>
    <row r="246" spans="2:5" ht="14.5" customHeight="1">
      <c r="B246" s="81"/>
      <c r="C246" s="62" t="s">
        <v>195</v>
      </c>
      <c r="D246" s="63">
        <v>7</v>
      </c>
      <c r="E246" s="64">
        <v>6.0864272671900003E-4</v>
      </c>
    </row>
    <row r="247" spans="2:5" ht="14.5" customHeight="1">
      <c r="B247" s="81"/>
      <c r="C247" s="62" t="s">
        <v>225</v>
      </c>
      <c r="D247" s="63">
        <v>1</v>
      </c>
      <c r="E247" s="64">
        <v>8.6948960960000005E-5</v>
      </c>
    </row>
    <row r="248" spans="2:5" ht="14.5" customHeight="1">
      <c r="B248" s="81"/>
      <c r="C248" s="62" t="s">
        <v>197</v>
      </c>
      <c r="D248" s="63">
        <v>12</v>
      </c>
      <c r="E248" s="64">
        <v>1.043387531519E-3</v>
      </c>
    </row>
    <row r="249" spans="2:5" ht="14.5" customHeight="1">
      <c r="B249" s="81"/>
      <c r="C249" s="62" t="s">
        <v>199</v>
      </c>
      <c r="D249" s="63">
        <v>3</v>
      </c>
      <c r="E249" s="64">
        <v>2.6084688287999997E-4</v>
      </c>
    </row>
    <row r="250" spans="2:5" ht="14.5" customHeight="1">
      <c r="B250" s="81"/>
      <c r="C250" s="62" t="s">
        <v>200</v>
      </c>
      <c r="D250" s="63">
        <v>1</v>
      </c>
      <c r="E250" s="64">
        <v>8.6948960960000005E-5</v>
      </c>
    </row>
    <row r="251" spans="2:5" ht="14.5" customHeight="1">
      <c r="B251" s="81"/>
      <c r="C251" s="62" t="s">
        <v>202</v>
      </c>
      <c r="D251" s="63">
        <v>6</v>
      </c>
      <c r="E251" s="64">
        <v>5.2169376575899999E-4</v>
      </c>
    </row>
    <row r="252" spans="2:5" ht="14.5" customHeight="1">
      <c r="B252" s="81"/>
      <c r="C252" s="62" t="s">
        <v>204</v>
      </c>
      <c r="D252" s="63">
        <v>1</v>
      </c>
      <c r="E252" s="64">
        <v>8.6948960960000005E-5</v>
      </c>
    </row>
    <row r="253" spans="2:5" ht="14.5" customHeight="1">
      <c r="B253" s="81"/>
      <c r="C253" s="62" t="s">
        <v>221</v>
      </c>
      <c r="D253" s="63">
        <v>1</v>
      </c>
      <c r="E253" s="64">
        <v>8.6948960960000005E-5</v>
      </c>
    </row>
    <row r="254" spans="2:5" ht="14.5" customHeight="1">
      <c r="B254" s="81"/>
      <c r="C254" s="62" t="s">
        <v>216</v>
      </c>
      <c r="D254" s="63">
        <v>3</v>
      </c>
      <c r="E254" s="64">
        <v>2.6084688287999997E-4</v>
      </c>
    </row>
    <row r="255" spans="2:5" ht="14.5" customHeight="1">
      <c r="B255" s="80"/>
      <c r="C255" s="36" t="s">
        <v>28</v>
      </c>
      <c r="D255" s="35">
        <v>43</v>
      </c>
      <c r="E255" s="34">
        <v>3.7388053212760002E-3</v>
      </c>
    </row>
    <row r="256" spans="2:5" ht="14.5" customHeight="1">
      <c r="B256" s="79" t="s">
        <v>56</v>
      </c>
      <c r="C256" s="62" t="s">
        <v>189</v>
      </c>
      <c r="D256" s="63">
        <v>1</v>
      </c>
      <c r="E256" s="64">
        <v>8.6948960960000005E-5</v>
      </c>
    </row>
    <row r="257" spans="2:5" ht="14.5" customHeight="1">
      <c r="B257" s="81"/>
      <c r="C257" s="62" t="s">
        <v>191</v>
      </c>
      <c r="D257" s="63">
        <v>1</v>
      </c>
      <c r="E257" s="64">
        <v>8.6948960960000005E-5</v>
      </c>
    </row>
    <row r="258" spans="2:5" ht="14.5" customHeight="1">
      <c r="B258" s="81"/>
      <c r="C258" s="62" t="s">
        <v>206</v>
      </c>
      <c r="D258" s="63">
        <v>22</v>
      </c>
      <c r="E258" s="64">
        <v>1.912877141118E-3</v>
      </c>
    </row>
    <row r="259" spans="2:5" ht="14.5" customHeight="1">
      <c r="B259" s="81"/>
      <c r="C259" s="62" t="s">
        <v>193</v>
      </c>
      <c r="D259" s="63">
        <v>24</v>
      </c>
      <c r="E259" s="64">
        <v>2.0867750630380001E-3</v>
      </c>
    </row>
    <row r="260" spans="2:5" ht="14.5" customHeight="1">
      <c r="B260" s="81"/>
      <c r="C260" s="62" t="s">
        <v>194</v>
      </c>
      <c r="D260" s="63">
        <v>5</v>
      </c>
      <c r="E260" s="64">
        <v>4.3474480480000001E-4</v>
      </c>
    </row>
    <row r="261" spans="2:5" ht="14.5" customHeight="1">
      <c r="B261" s="81"/>
      <c r="C261" s="62" t="s">
        <v>195</v>
      </c>
      <c r="D261" s="63">
        <v>1</v>
      </c>
      <c r="E261" s="64">
        <v>8.6948960960000005E-5</v>
      </c>
    </row>
    <row r="262" spans="2:5" ht="14.5" customHeight="1">
      <c r="B262" s="81"/>
      <c r="C262" s="62" t="s">
        <v>223</v>
      </c>
      <c r="D262" s="63">
        <v>1</v>
      </c>
      <c r="E262" s="64">
        <v>8.6948960960000005E-5</v>
      </c>
    </row>
    <row r="263" spans="2:5" ht="14.5" customHeight="1">
      <c r="B263" s="81"/>
      <c r="C263" s="62" t="s">
        <v>212</v>
      </c>
      <c r="D263" s="63">
        <v>1</v>
      </c>
      <c r="E263" s="64">
        <v>8.6948960960000005E-5</v>
      </c>
    </row>
    <row r="264" spans="2:5" ht="14.5" customHeight="1">
      <c r="B264" s="81"/>
      <c r="C264" s="62" t="s">
        <v>197</v>
      </c>
      <c r="D264" s="63">
        <v>2</v>
      </c>
      <c r="E264" s="64">
        <v>1.7389792192000001E-4</v>
      </c>
    </row>
    <row r="265" spans="2:5" ht="14.5" customHeight="1">
      <c r="B265" s="81"/>
      <c r="C265" s="62" t="s">
        <v>208</v>
      </c>
      <c r="D265" s="63">
        <v>1</v>
      </c>
      <c r="E265" s="64">
        <v>8.6948960960000005E-5</v>
      </c>
    </row>
    <row r="266" spans="2:5" ht="14.5" customHeight="1">
      <c r="B266" s="81"/>
      <c r="C266" s="62" t="s">
        <v>199</v>
      </c>
      <c r="D266" s="63">
        <v>2</v>
      </c>
      <c r="E266" s="64">
        <v>1.7389792192000001E-4</v>
      </c>
    </row>
    <row r="267" spans="2:5" ht="14.5" customHeight="1">
      <c r="B267" s="81"/>
      <c r="C267" s="62" t="s">
        <v>200</v>
      </c>
      <c r="D267" s="63">
        <v>2</v>
      </c>
      <c r="E267" s="64">
        <v>1.7389792192000001E-4</v>
      </c>
    </row>
    <row r="268" spans="2:5" ht="14.5" customHeight="1">
      <c r="B268" s="81"/>
      <c r="C268" s="62" t="s">
        <v>202</v>
      </c>
      <c r="D268" s="63">
        <v>2</v>
      </c>
      <c r="E268" s="64">
        <v>1.7389792192000001E-4</v>
      </c>
    </row>
    <row r="269" spans="2:5" ht="14.5" customHeight="1">
      <c r="B269" s="81"/>
      <c r="C269" s="62" t="s">
        <v>203</v>
      </c>
      <c r="D269" s="63">
        <v>17</v>
      </c>
      <c r="E269" s="64">
        <v>1.4781323363190001E-3</v>
      </c>
    </row>
    <row r="270" spans="2:5" ht="14.5" customHeight="1">
      <c r="B270" s="81"/>
      <c r="C270" s="62" t="s">
        <v>204</v>
      </c>
      <c r="D270" s="63">
        <v>142</v>
      </c>
      <c r="E270" s="64">
        <v>1.2346752456308001E-2</v>
      </c>
    </row>
    <row r="271" spans="2:5" ht="14.5" customHeight="1">
      <c r="B271" s="81"/>
      <c r="C271" s="62" t="s">
        <v>210</v>
      </c>
      <c r="D271" s="63">
        <v>11</v>
      </c>
      <c r="E271" s="64">
        <v>9.56438570559E-4</v>
      </c>
    </row>
    <row r="272" spans="2:5" ht="14.5" customHeight="1">
      <c r="B272" s="80"/>
      <c r="C272" s="36" t="s">
        <v>28</v>
      </c>
      <c r="D272" s="35">
        <v>235</v>
      </c>
      <c r="E272" s="34">
        <v>2.0433005825580001E-2</v>
      </c>
    </row>
    <row r="273" spans="2:5" ht="14.5" customHeight="1">
      <c r="B273" s="79" t="s">
        <v>84</v>
      </c>
      <c r="C273" s="62" t="s">
        <v>189</v>
      </c>
      <c r="D273" s="63">
        <v>2</v>
      </c>
      <c r="E273" s="64">
        <v>1.7389792192000001E-4</v>
      </c>
    </row>
    <row r="274" spans="2:5" ht="14.5" customHeight="1">
      <c r="B274" s="81"/>
      <c r="C274" s="62" t="s">
        <v>190</v>
      </c>
      <c r="D274" s="63">
        <v>1</v>
      </c>
      <c r="E274" s="64">
        <v>8.6948960960000005E-5</v>
      </c>
    </row>
    <row r="275" spans="2:5" ht="14.5" customHeight="1">
      <c r="B275" s="81"/>
      <c r="C275" s="62" t="s">
        <v>217</v>
      </c>
      <c r="D275" s="63">
        <v>1</v>
      </c>
      <c r="E275" s="64">
        <v>8.6948960960000005E-5</v>
      </c>
    </row>
    <row r="276" spans="2:5" ht="14.5" customHeight="1">
      <c r="B276" s="81"/>
      <c r="C276" s="62" t="s">
        <v>193</v>
      </c>
      <c r="D276" s="63">
        <v>1</v>
      </c>
      <c r="E276" s="64">
        <v>8.6948960960000005E-5</v>
      </c>
    </row>
    <row r="277" spans="2:5" ht="14.5" customHeight="1">
      <c r="B277" s="81"/>
      <c r="C277" s="62" t="s">
        <v>194</v>
      </c>
      <c r="D277" s="63">
        <v>3</v>
      </c>
      <c r="E277" s="64">
        <v>2.6084688287999997E-4</v>
      </c>
    </row>
    <row r="278" spans="2:5" ht="14.5" customHeight="1">
      <c r="B278" s="81"/>
      <c r="C278" s="62" t="s">
        <v>225</v>
      </c>
      <c r="D278" s="63">
        <v>1</v>
      </c>
      <c r="E278" s="64">
        <v>8.6948960960000005E-5</v>
      </c>
    </row>
    <row r="279" spans="2:5" ht="14.5" customHeight="1">
      <c r="B279" s="81"/>
      <c r="C279" s="62" t="s">
        <v>197</v>
      </c>
      <c r="D279" s="63">
        <v>4</v>
      </c>
      <c r="E279" s="64">
        <v>3.4779584384000002E-4</v>
      </c>
    </row>
    <row r="280" spans="2:5" ht="14.5" customHeight="1">
      <c r="B280" s="81"/>
      <c r="C280" s="62" t="s">
        <v>199</v>
      </c>
      <c r="D280" s="63">
        <v>3</v>
      </c>
      <c r="E280" s="64">
        <v>2.6084688287999997E-4</v>
      </c>
    </row>
    <row r="281" spans="2:5" ht="14.5" customHeight="1">
      <c r="B281" s="81"/>
      <c r="C281" s="62" t="s">
        <v>200</v>
      </c>
      <c r="D281" s="63">
        <v>3</v>
      </c>
      <c r="E281" s="64">
        <v>2.6084688287999997E-4</v>
      </c>
    </row>
    <row r="282" spans="2:5" ht="14.5" customHeight="1">
      <c r="B282" s="81"/>
      <c r="C282" s="62" t="s">
        <v>201</v>
      </c>
      <c r="D282" s="63">
        <v>1</v>
      </c>
      <c r="E282" s="64">
        <v>8.6948960960000005E-5</v>
      </c>
    </row>
    <row r="283" spans="2:5" ht="14.5" customHeight="1">
      <c r="B283" s="81"/>
      <c r="C283" s="62" t="s">
        <v>203</v>
      </c>
      <c r="D283" s="63">
        <v>1</v>
      </c>
      <c r="E283" s="64">
        <v>8.6948960960000005E-5</v>
      </c>
    </row>
    <row r="284" spans="2:5" ht="14.5" customHeight="1">
      <c r="B284" s="81"/>
      <c r="C284" s="62" t="s">
        <v>204</v>
      </c>
      <c r="D284" s="63">
        <v>4</v>
      </c>
      <c r="E284" s="64">
        <v>3.4779584384000002E-4</v>
      </c>
    </row>
    <row r="285" spans="2:5" ht="14.5" customHeight="1">
      <c r="B285" s="80"/>
      <c r="C285" s="36" t="s">
        <v>28</v>
      </c>
      <c r="D285" s="35">
        <v>25</v>
      </c>
      <c r="E285" s="34">
        <v>2.1737240239979999E-3</v>
      </c>
    </row>
    <row r="286" spans="2:5" ht="14.5" customHeight="1">
      <c r="B286" s="79" t="s">
        <v>80</v>
      </c>
      <c r="C286" s="62" t="s">
        <v>189</v>
      </c>
      <c r="D286" s="63">
        <v>2</v>
      </c>
      <c r="E286" s="64">
        <v>1.7389792192000001E-4</v>
      </c>
    </row>
    <row r="287" spans="2:5" ht="14.5" customHeight="1">
      <c r="B287" s="81"/>
      <c r="C287" s="62" t="s">
        <v>206</v>
      </c>
      <c r="D287" s="63">
        <v>1</v>
      </c>
      <c r="E287" s="64">
        <v>8.6948960960000005E-5</v>
      </c>
    </row>
    <row r="288" spans="2:5" ht="14.5" customHeight="1">
      <c r="B288" s="81"/>
      <c r="C288" s="62" t="s">
        <v>193</v>
      </c>
      <c r="D288" s="63">
        <v>3</v>
      </c>
      <c r="E288" s="64">
        <v>2.6084688287999997E-4</v>
      </c>
    </row>
    <row r="289" spans="2:5" ht="14.5" customHeight="1">
      <c r="B289" s="81"/>
      <c r="C289" s="62" t="s">
        <v>194</v>
      </c>
      <c r="D289" s="63">
        <v>1</v>
      </c>
      <c r="E289" s="64">
        <v>8.6948960960000005E-5</v>
      </c>
    </row>
    <row r="290" spans="2:5" ht="14.5" customHeight="1">
      <c r="B290" s="81"/>
      <c r="C290" s="62" t="s">
        <v>208</v>
      </c>
      <c r="D290" s="63">
        <v>2</v>
      </c>
      <c r="E290" s="64">
        <v>1.7389792192000001E-4</v>
      </c>
    </row>
    <row r="291" spans="2:5" ht="14.5" customHeight="1">
      <c r="B291" s="81"/>
      <c r="C291" s="62" t="s">
        <v>199</v>
      </c>
      <c r="D291" s="63">
        <v>2</v>
      </c>
      <c r="E291" s="64">
        <v>1.7389792192000001E-4</v>
      </c>
    </row>
    <row r="292" spans="2:5" ht="14.5" customHeight="1">
      <c r="B292" s="81"/>
      <c r="C292" s="62" t="s">
        <v>204</v>
      </c>
      <c r="D292" s="63">
        <v>28</v>
      </c>
      <c r="E292" s="64">
        <v>2.4345709068779998E-3</v>
      </c>
    </row>
    <row r="293" spans="2:5" ht="14.5" customHeight="1">
      <c r="B293" s="81"/>
      <c r="C293" s="62" t="s">
        <v>210</v>
      </c>
      <c r="D293" s="63">
        <v>1</v>
      </c>
      <c r="E293" s="64">
        <v>8.6948960960000005E-5</v>
      </c>
    </row>
    <row r="294" spans="2:5" ht="14.5" customHeight="1">
      <c r="B294" s="80"/>
      <c r="C294" s="36" t="s">
        <v>28</v>
      </c>
      <c r="D294" s="35">
        <v>40</v>
      </c>
      <c r="E294" s="34">
        <v>3.4779584383969999E-3</v>
      </c>
    </row>
    <row r="295" spans="2:5" ht="14.5" customHeight="1">
      <c r="B295" s="79" t="s">
        <v>50</v>
      </c>
      <c r="C295" s="62" t="s">
        <v>211</v>
      </c>
      <c r="D295" s="63">
        <v>5</v>
      </c>
      <c r="E295" s="64">
        <v>4.3474480480000001E-4</v>
      </c>
    </row>
    <row r="296" spans="2:5" ht="14.5" customHeight="1">
      <c r="B296" s="81"/>
      <c r="C296" s="62" t="s">
        <v>189</v>
      </c>
      <c r="D296" s="63">
        <v>82</v>
      </c>
      <c r="E296" s="64">
        <v>7.1298147987130002E-3</v>
      </c>
    </row>
    <row r="297" spans="2:5" ht="14.5" customHeight="1">
      <c r="B297" s="81"/>
      <c r="C297" s="62" t="s">
        <v>219</v>
      </c>
      <c r="D297" s="63">
        <v>34</v>
      </c>
      <c r="E297" s="64">
        <v>2.956264672637E-3</v>
      </c>
    </row>
    <row r="298" spans="2:5" ht="14.5" customHeight="1">
      <c r="B298" s="81"/>
      <c r="C298" s="62" t="s">
        <v>222</v>
      </c>
      <c r="D298" s="63">
        <v>2</v>
      </c>
      <c r="E298" s="64">
        <v>1.7389792192000001E-4</v>
      </c>
    </row>
    <row r="299" spans="2:5" ht="14.5" customHeight="1">
      <c r="B299" s="81"/>
      <c r="C299" s="62" t="s">
        <v>205</v>
      </c>
      <c r="D299" s="63">
        <v>4</v>
      </c>
      <c r="E299" s="64">
        <v>3.4779584384000002E-4</v>
      </c>
    </row>
    <row r="300" spans="2:5" ht="14.5" customHeight="1">
      <c r="B300" s="81"/>
      <c r="C300" s="62" t="s">
        <v>190</v>
      </c>
      <c r="D300" s="63">
        <v>34</v>
      </c>
      <c r="E300" s="64">
        <v>2.956264672637E-3</v>
      </c>
    </row>
    <row r="301" spans="2:5" ht="14.5" customHeight="1">
      <c r="B301" s="81"/>
      <c r="C301" s="62" t="s">
        <v>191</v>
      </c>
      <c r="D301" s="63">
        <v>10</v>
      </c>
      <c r="E301" s="64">
        <v>8.6948960959899995E-4</v>
      </c>
    </row>
    <row r="302" spans="2:5" ht="14.5" customHeight="1">
      <c r="B302" s="81"/>
      <c r="C302" s="62" t="s">
        <v>192</v>
      </c>
      <c r="D302" s="63">
        <v>5</v>
      </c>
      <c r="E302" s="64">
        <v>4.3474480480000001E-4</v>
      </c>
    </row>
    <row r="303" spans="2:5" ht="14.5" customHeight="1">
      <c r="B303" s="81"/>
      <c r="C303" s="62" t="s">
        <v>206</v>
      </c>
      <c r="D303" s="63">
        <v>40</v>
      </c>
      <c r="E303" s="64">
        <v>3.4779584383969999E-3</v>
      </c>
    </row>
    <row r="304" spans="2:5" ht="14.5" customHeight="1">
      <c r="B304" s="81"/>
      <c r="C304" s="62" t="s">
        <v>207</v>
      </c>
      <c r="D304" s="63">
        <v>9</v>
      </c>
      <c r="E304" s="64">
        <v>7.8254064863900001E-4</v>
      </c>
    </row>
    <row r="305" spans="2:5" ht="14.5" customHeight="1">
      <c r="B305" s="81"/>
      <c r="C305" s="62" t="s">
        <v>213</v>
      </c>
      <c r="D305" s="63">
        <v>9</v>
      </c>
      <c r="E305" s="64">
        <v>7.8254064863900001E-4</v>
      </c>
    </row>
    <row r="306" spans="2:5" ht="14.5" customHeight="1">
      <c r="B306" s="81"/>
      <c r="C306" s="62" t="s">
        <v>214</v>
      </c>
      <c r="D306" s="63">
        <v>5</v>
      </c>
      <c r="E306" s="64">
        <v>4.3474480480000001E-4</v>
      </c>
    </row>
    <row r="307" spans="2:5" ht="14.5" customHeight="1">
      <c r="B307" s="81"/>
      <c r="C307" s="62" t="s">
        <v>224</v>
      </c>
      <c r="D307" s="63">
        <v>1</v>
      </c>
      <c r="E307" s="64">
        <v>8.6948960960000005E-5</v>
      </c>
    </row>
    <row r="308" spans="2:5" ht="14.5" customHeight="1">
      <c r="B308" s="81"/>
      <c r="C308" s="62" t="s">
        <v>215</v>
      </c>
      <c r="D308" s="63">
        <v>3</v>
      </c>
      <c r="E308" s="64">
        <v>2.6084688287999997E-4</v>
      </c>
    </row>
    <row r="309" spans="2:5" ht="14.5" customHeight="1">
      <c r="B309" s="81"/>
      <c r="C309" s="62" t="s">
        <v>217</v>
      </c>
      <c r="D309" s="63">
        <v>1</v>
      </c>
      <c r="E309" s="64">
        <v>8.6948960960000005E-5</v>
      </c>
    </row>
    <row r="310" spans="2:5" ht="14.5" customHeight="1">
      <c r="B310" s="81"/>
      <c r="C310" s="62" t="s">
        <v>218</v>
      </c>
      <c r="D310" s="63">
        <v>1</v>
      </c>
      <c r="E310" s="64">
        <v>8.6948960960000005E-5</v>
      </c>
    </row>
    <row r="311" spans="2:5" ht="14.5" customHeight="1">
      <c r="B311" s="81"/>
      <c r="C311" s="62" t="s">
        <v>193</v>
      </c>
      <c r="D311" s="63">
        <v>49</v>
      </c>
      <c r="E311" s="64">
        <v>4.260499087036E-3</v>
      </c>
    </row>
    <row r="312" spans="2:5" ht="14.5" customHeight="1">
      <c r="B312" s="81"/>
      <c r="C312" s="62" t="s">
        <v>194</v>
      </c>
      <c r="D312" s="63">
        <v>325</v>
      </c>
      <c r="E312" s="64">
        <v>2.8258412311973E-2</v>
      </c>
    </row>
    <row r="313" spans="2:5" ht="14.5" customHeight="1">
      <c r="B313" s="81"/>
      <c r="C313" s="62" t="s">
        <v>220</v>
      </c>
      <c r="D313" s="63">
        <v>2</v>
      </c>
      <c r="E313" s="64">
        <v>1.7389792192000001E-4</v>
      </c>
    </row>
    <row r="314" spans="2:5" ht="14.5" customHeight="1">
      <c r="B314" s="81"/>
      <c r="C314" s="62" t="s">
        <v>195</v>
      </c>
      <c r="D314" s="63">
        <v>105</v>
      </c>
      <c r="E314" s="64">
        <v>9.1296409007910004E-3</v>
      </c>
    </row>
    <row r="315" spans="2:5" ht="14.5" customHeight="1">
      <c r="B315" s="81"/>
      <c r="C315" s="62" t="s">
        <v>226</v>
      </c>
      <c r="D315" s="63">
        <v>1</v>
      </c>
      <c r="E315" s="64">
        <v>8.6948960960000005E-5</v>
      </c>
    </row>
    <row r="316" spans="2:5" ht="14.5" customHeight="1">
      <c r="B316" s="81"/>
      <c r="C316" s="62" t="s">
        <v>225</v>
      </c>
      <c r="D316" s="63">
        <v>3</v>
      </c>
      <c r="E316" s="64">
        <v>2.6084688287999997E-4</v>
      </c>
    </row>
    <row r="317" spans="2:5" ht="14.5" customHeight="1">
      <c r="B317" s="81"/>
      <c r="C317" s="62" t="s">
        <v>223</v>
      </c>
      <c r="D317" s="63">
        <v>2</v>
      </c>
      <c r="E317" s="64">
        <v>1.7389792192000001E-4</v>
      </c>
    </row>
    <row r="318" spans="2:5" ht="14.5" customHeight="1">
      <c r="B318" s="81"/>
      <c r="C318" s="62" t="s">
        <v>212</v>
      </c>
      <c r="D318" s="63">
        <v>4</v>
      </c>
      <c r="E318" s="64">
        <v>3.4779584384000002E-4</v>
      </c>
    </row>
    <row r="319" spans="2:5" ht="14.5" customHeight="1">
      <c r="B319" s="81"/>
      <c r="C319" s="62" t="s">
        <v>196</v>
      </c>
      <c r="D319" s="63">
        <v>13</v>
      </c>
      <c r="E319" s="64">
        <v>1.1303364924790001E-3</v>
      </c>
    </row>
    <row r="320" spans="2:5" ht="14.5" customHeight="1">
      <c r="B320" s="81"/>
      <c r="C320" s="62" t="s">
        <v>197</v>
      </c>
      <c r="D320" s="63">
        <v>182</v>
      </c>
      <c r="E320" s="64">
        <v>1.5824710894705E-2</v>
      </c>
    </row>
    <row r="321" spans="2:5" ht="14.5" customHeight="1">
      <c r="B321" s="81"/>
      <c r="C321" s="62" t="s">
        <v>198</v>
      </c>
      <c r="D321" s="63">
        <v>4</v>
      </c>
      <c r="E321" s="64">
        <v>3.4779584384000002E-4</v>
      </c>
    </row>
    <row r="322" spans="2:5" ht="14.5" customHeight="1">
      <c r="B322" s="81"/>
      <c r="C322" s="62" t="s">
        <v>208</v>
      </c>
      <c r="D322" s="63">
        <v>12</v>
      </c>
      <c r="E322" s="64">
        <v>1.043387531519E-3</v>
      </c>
    </row>
    <row r="323" spans="2:5" ht="14.5" customHeight="1">
      <c r="B323" s="81"/>
      <c r="C323" s="62" t="s">
        <v>199</v>
      </c>
      <c r="D323" s="63">
        <v>29</v>
      </c>
      <c r="E323" s="64">
        <v>2.5215198678380001E-3</v>
      </c>
    </row>
    <row r="324" spans="2:5" ht="14.5" customHeight="1">
      <c r="B324" s="81"/>
      <c r="C324" s="62" t="s">
        <v>200</v>
      </c>
      <c r="D324" s="63">
        <v>115</v>
      </c>
      <c r="E324" s="64">
        <v>9.9991305103899995E-3</v>
      </c>
    </row>
    <row r="325" spans="2:5" ht="14.5" customHeight="1">
      <c r="B325" s="81"/>
      <c r="C325" s="62" t="s">
        <v>201</v>
      </c>
      <c r="D325" s="63">
        <v>34</v>
      </c>
      <c r="E325" s="64">
        <v>2.956264672637E-3</v>
      </c>
    </row>
    <row r="326" spans="2:5" ht="14.5" customHeight="1">
      <c r="B326" s="81"/>
      <c r="C326" s="62" t="s">
        <v>202</v>
      </c>
      <c r="D326" s="63">
        <v>94</v>
      </c>
      <c r="E326" s="64">
        <v>8.1732023302320007E-3</v>
      </c>
    </row>
    <row r="327" spans="2:5" ht="14.5" customHeight="1">
      <c r="B327" s="81"/>
      <c r="C327" s="62" t="s">
        <v>203</v>
      </c>
      <c r="D327" s="63">
        <v>113</v>
      </c>
      <c r="E327" s="64">
        <v>9.8252325884710008E-3</v>
      </c>
    </row>
    <row r="328" spans="2:5" ht="14.5" customHeight="1">
      <c r="B328" s="81"/>
      <c r="C328" s="62" t="s">
        <v>209</v>
      </c>
      <c r="D328" s="63">
        <v>6</v>
      </c>
      <c r="E328" s="64">
        <v>5.2169376575899999E-4</v>
      </c>
    </row>
    <row r="329" spans="2:5" ht="14.5" customHeight="1">
      <c r="B329" s="81"/>
      <c r="C329" s="62" t="s">
        <v>204</v>
      </c>
      <c r="D329" s="63">
        <v>300</v>
      </c>
      <c r="E329" s="64">
        <v>2.6084688287975E-2</v>
      </c>
    </row>
    <row r="330" spans="2:5" ht="14.5" customHeight="1">
      <c r="B330" s="81"/>
      <c r="C330" s="62" t="s">
        <v>210</v>
      </c>
      <c r="D330" s="63">
        <v>7</v>
      </c>
      <c r="E330" s="64">
        <v>6.0864272671900003E-4</v>
      </c>
    </row>
    <row r="331" spans="2:5" ht="14.5" customHeight="1">
      <c r="B331" s="81"/>
      <c r="C331" s="62" t="s">
        <v>221</v>
      </c>
      <c r="D331" s="63">
        <v>3</v>
      </c>
      <c r="E331" s="64">
        <v>2.6084688287999997E-4</v>
      </c>
    </row>
    <row r="332" spans="2:5" ht="14.5" customHeight="1">
      <c r="B332" s="81"/>
      <c r="C332" s="62" t="s">
        <v>216</v>
      </c>
      <c r="D332" s="63">
        <v>17</v>
      </c>
      <c r="E332" s="64">
        <v>1.4781323363190001E-3</v>
      </c>
    </row>
    <row r="333" spans="2:5" ht="14.5" customHeight="1">
      <c r="B333" s="80"/>
      <c r="C333" s="36" t="s">
        <v>28</v>
      </c>
      <c r="D333" s="35">
        <v>1665</v>
      </c>
      <c r="E333" s="34">
        <v>0.144770019998261</v>
      </c>
    </row>
    <row r="334" spans="2:5" ht="14.5" customHeight="1">
      <c r="B334" s="79" t="s">
        <v>71</v>
      </c>
      <c r="C334" s="62" t="s">
        <v>189</v>
      </c>
      <c r="D334" s="63">
        <v>3</v>
      </c>
      <c r="E334" s="64">
        <v>2.6084688287999997E-4</v>
      </c>
    </row>
    <row r="335" spans="2:5" ht="14.5" customHeight="1">
      <c r="B335" s="81"/>
      <c r="C335" s="62" t="s">
        <v>191</v>
      </c>
      <c r="D335" s="63">
        <v>1</v>
      </c>
      <c r="E335" s="64">
        <v>8.6948960960000005E-5</v>
      </c>
    </row>
    <row r="336" spans="2:5" ht="14.5" customHeight="1">
      <c r="B336" s="81"/>
      <c r="C336" s="62" t="s">
        <v>206</v>
      </c>
      <c r="D336" s="63">
        <v>1</v>
      </c>
      <c r="E336" s="64">
        <v>8.6948960960000005E-5</v>
      </c>
    </row>
    <row r="337" spans="2:5" ht="14.5" customHeight="1">
      <c r="B337" s="81"/>
      <c r="C337" s="62" t="s">
        <v>193</v>
      </c>
      <c r="D337" s="63">
        <v>2</v>
      </c>
      <c r="E337" s="64">
        <v>1.7389792192000001E-4</v>
      </c>
    </row>
    <row r="338" spans="2:5" ht="14.5" customHeight="1">
      <c r="B338" s="81"/>
      <c r="C338" s="62" t="s">
        <v>194</v>
      </c>
      <c r="D338" s="63">
        <v>7</v>
      </c>
      <c r="E338" s="64">
        <v>6.0864272671900003E-4</v>
      </c>
    </row>
    <row r="339" spans="2:5" ht="14.5" customHeight="1">
      <c r="B339" s="81"/>
      <c r="C339" s="62" t="s">
        <v>195</v>
      </c>
      <c r="D339" s="63">
        <v>1</v>
      </c>
      <c r="E339" s="64">
        <v>8.6948960960000005E-5</v>
      </c>
    </row>
    <row r="340" spans="2:5" ht="14.5" customHeight="1">
      <c r="B340" s="81"/>
      <c r="C340" s="62" t="s">
        <v>212</v>
      </c>
      <c r="D340" s="63">
        <v>1</v>
      </c>
      <c r="E340" s="64">
        <v>8.6948960960000005E-5</v>
      </c>
    </row>
    <row r="341" spans="2:5" ht="14.5" customHeight="1">
      <c r="B341" s="81"/>
      <c r="C341" s="62" t="s">
        <v>196</v>
      </c>
      <c r="D341" s="63">
        <v>4</v>
      </c>
      <c r="E341" s="64">
        <v>3.4779584384000002E-4</v>
      </c>
    </row>
    <row r="342" spans="2:5" ht="14.5" customHeight="1">
      <c r="B342" s="81"/>
      <c r="C342" s="62" t="s">
        <v>197</v>
      </c>
      <c r="D342" s="63">
        <v>3</v>
      </c>
      <c r="E342" s="64">
        <v>2.6084688287999997E-4</v>
      </c>
    </row>
    <row r="343" spans="2:5" ht="14.5" customHeight="1">
      <c r="B343" s="81"/>
      <c r="C343" s="62" t="s">
        <v>198</v>
      </c>
      <c r="D343" s="63">
        <v>3</v>
      </c>
      <c r="E343" s="64">
        <v>2.6084688287999997E-4</v>
      </c>
    </row>
    <row r="344" spans="2:5" ht="14.5" customHeight="1">
      <c r="B344" s="81"/>
      <c r="C344" s="62" t="s">
        <v>199</v>
      </c>
      <c r="D344" s="63">
        <v>8</v>
      </c>
      <c r="E344" s="64">
        <v>6.9559168767899997E-4</v>
      </c>
    </row>
    <row r="345" spans="2:5" ht="14.5" customHeight="1">
      <c r="B345" s="81"/>
      <c r="C345" s="62" t="s">
        <v>200</v>
      </c>
      <c r="D345" s="63">
        <v>6</v>
      </c>
      <c r="E345" s="64">
        <v>5.2169376575899999E-4</v>
      </c>
    </row>
    <row r="346" spans="2:5" ht="14.5" customHeight="1">
      <c r="B346" s="81"/>
      <c r="C346" s="62" t="s">
        <v>202</v>
      </c>
      <c r="D346" s="63">
        <v>4</v>
      </c>
      <c r="E346" s="64">
        <v>3.4779584384000002E-4</v>
      </c>
    </row>
    <row r="347" spans="2:5" ht="14.5" customHeight="1">
      <c r="B347" s="81"/>
      <c r="C347" s="62" t="s">
        <v>203</v>
      </c>
      <c r="D347" s="63">
        <v>4</v>
      </c>
      <c r="E347" s="64">
        <v>3.4779584384000002E-4</v>
      </c>
    </row>
    <row r="348" spans="2:5" ht="14.5" customHeight="1">
      <c r="B348" s="81"/>
      <c r="C348" s="62" t="s">
        <v>204</v>
      </c>
      <c r="D348" s="63">
        <v>26</v>
      </c>
      <c r="E348" s="64">
        <v>2.2606729849580002E-3</v>
      </c>
    </row>
    <row r="349" spans="2:5" ht="14.5" customHeight="1">
      <c r="B349" s="81"/>
      <c r="C349" s="62" t="s">
        <v>210</v>
      </c>
      <c r="D349" s="63">
        <v>4</v>
      </c>
      <c r="E349" s="64">
        <v>3.4779584384000002E-4</v>
      </c>
    </row>
    <row r="350" spans="2:5" ht="14.5" customHeight="1">
      <c r="B350" s="80"/>
      <c r="C350" s="36" t="s">
        <v>28</v>
      </c>
      <c r="D350" s="35">
        <v>78</v>
      </c>
      <c r="E350" s="34">
        <v>6.782018954873E-3</v>
      </c>
    </row>
    <row r="351" spans="2:5" ht="14.5" customHeight="1">
      <c r="B351" s="79" t="s">
        <v>54</v>
      </c>
      <c r="C351" s="62" t="s">
        <v>211</v>
      </c>
      <c r="D351" s="63">
        <v>1</v>
      </c>
      <c r="E351" s="64">
        <v>8.6948960960000005E-5</v>
      </c>
    </row>
    <row r="352" spans="2:5" ht="14.5" customHeight="1">
      <c r="B352" s="81"/>
      <c r="C352" s="62" t="s">
        <v>189</v>
      </c>
      <c r="D352" s="63">
        <v>8</v>
      </c>
      <c r="E352" s="64">
        <v>6.9559168767899997E-4</v>
      </c>
    </row>
    <row r="353" spans="2:5" ht="14.5" customHeight="1">
      <c r="B353" s="81"/>
      <c r="C353" s="62" t="s">
        <v>219</v>
      </c>
      <c r="D353" s="63">
        <v>1</v>
      </c>
      <c r="E353" s="64">
        <v>8.6948960960000005E-5</v>
      </c>
    </row>
    <row r="354" spans="2:5" ht="14.5" customHeight="1">
      <c r="B354" s="81"/>
      <c r="C354" s="62" t="s">
        <v>206</v>
      </c>
      <c r="D354" s="63">
        <v>9</v>
      </c>
      <c r="E354" s="64">
        <v>7.8254064863900001E-4</v>
      </c>
    </row>
    <row r="355" spans="2:5" ht="14.5" customHeight="1">
      <c r="B355" s="81"/>
      <c r="C355" s="62" t="s">
        <v>215</v>
      </c>
      <c r="D355" s="63">
        <v>1</v>
      </c>
      <c r="E355" s="64">
        <v>8.6948960960000005E-5</v>
      </c>
    </row>
    <row r="356" spans="2:5" ht="14.5" customHeight="1">
      <c r="B356" s="81"/>
      <c r="C356" s="62" t="s">
        <v>193</v>
      </c>
      <c r="D356" s="63">
        <v>30</v>
      </c>
      <c r="E356" s="64">
        <v>2.6084688287969999E-3</v>
      </c>
    </row>
    <row r="357" spans="2:5" ht="14.5" customHeight="1">
      <c r="B357" s="81"/>
      <c r="C357" s="62" t="s">
        <v>194</v>
      </c>
      <c r="D357" s="63">
        <v>25</v>
      </c>
      <c r="E357" s="64">
        <v>2.1737240239979999E-3</v>
      </c>
    </row>
    <row r="358" spans="2:5" ht="14.5" customHeight="1">
      <c r="B358" s="81"/>
      <c r="C358" s="62" t="s">
        <v>195</v>
      </c>
      <c r="D358" s="63">
        <v>15</v>
      </c>
      <c r="E358" s="64">
        <v>1.304234414399E-3</v>
      </c>
    </row>
    <row r="359" spans="2:5" ht="14.5" customHeight="1">
      <c r="B359" s="81"/>
      <c r="C359" s="62" t="s">
        <v>223</v>
      </c>
      <c r="D359" s="63">
        <v>1</v>
      </c>
      <c r="E359" s="64">
        <v>8.6948960960000005E-5</v>
      </c>
    </row>
    <row r="360" spans="2:5" ht="14.5" customHeight="1">
      <c r="B360" s="81"/>
      <c r="C360" s="62" t="s">
        <v>212</v>
      </c>
      <c r="D360" s="63">
        <v>1</v>
      </c>
      <c r="E360" s="64">
        <v>8.6948960960000005E-5</v>
      </c>
    </row>
    <row r="361" spans="2:5" ht="14.5" customHeight="1">
      <c r="B361" s="81"/>
      <c r="C361" s="62" t="s">
        <v>197</v>
      </c>
      <c r="D361" s="63">
        <v>8</v>
      </c>
      <c r="E361" s="64">
        <v>6.9559168767899997E-4</v>
      </c>
    </row>
    <row r="362" spans="2:5" ht="14.5" customHeight="1">
      <c r="B362" s="81"/>
      <c r="C362" s="62" t="s">
        <v>198</v>
      </c>
      <c r="D362" s="63">
        <v>1</v>
      </c>
      <c r="E362" s="64">
        <v>8.6948960960000005E-5</v>
      </c>
    </row>
    <row r="363" spans="2:5" ht="14.5" customHeight="1">
      <c r="B363" s="81"/>
      <c r="C363" s="62" t="s">
        <v>199</v>
      </c>
      <c r="D363" s="63">
        <v>5</v>
      </c>
      <c r="E363" s="64">
        <v>4.3474480480000001E-4</v>
      </c>
    </row>
    <row r="364" spans="2:5" ht="14.5" customHeight="1">
      <c r="B364" s="81"/>
      <c r="C364" s="62" t="s">
        <v>200</v>
      </c>
      <c r="D364" s="63">
        <v>9</v>
      </c>
      <c r="E364" s="64">
        <v>7.8254064863900001E-4</v>
      </c>
    </row>
    <row r="365" spans="2:5" ht="14.5" customHeight="1">
      <c r="B365" s="81"/>
      <c r="C365" s="62" t="s">
        <v>201</v>
      </c>
      <c r="D365" s="63">
        <v>1</v>
      </c>
      <c r="E365" s="64">
        <v>8.6948960960000005E-5</v>
      </c>
    </row>
    <row r="366" spans="2:5" ht="14.5" customHeight="1">
      <c r="B366" s="81"/>
      <c r="C366" s="62" t="s">
        <v>202</v>
      </c>
      <c r="D366" s="63">
        <v>8</v>
      </c>
      <c r="E366" s="64">
        <v>6.9559168767899997E-4</v>
      </c>
    </row>
    <row r="367" spans="2:5" ht="14.5" customHeight="1">
      <c r="B367" s="81"/>
      <c r="C367" s="62" t="s">
        <v>203</v>
      </c>
      <c r="D367" s="63">
        <v>8</v>
      </c>
      <c r="E367" s="64">
        <v>6.9559168767899997E-4</v>
      </c>
    </row>
    <row r="368" spans="2:5" ht="14.5" customHeight="1">
      <c r="B368" s="81"/>
      <c r="C368" s="62" t="s">
        <v>209</v>
      </c>
      <c r="D368" s="63">
        <v>1</v>
      </c>
      <c r="E368" s="64">
        <v>8.6948960960000005E-5</v>
      </c>
    </row>
    <row r="369" spans="2:5" ht="14.5" customHeight="1">
      <c r="B369" s="81"/>
      <c r="C369" s="62" t="s">
        <v>204</v>
      </c>
      <c r="D369" s="63">
        <v>129</v>
      </c>
      <c r="E369" s="64">
        <v>1.1216415963829E-2</v>
      </c>
    </row>
    <row r="370" spans="2:5" ht="14.5" customHeight="1">
      <c r="B370" s="81"/>
      <c r="C370" s="62" t="s">
        <v>210</v>
      </c>
      <c r="D370" s="63">
        <v>2</v>
      </c>
      <c r="E370" s="64">
        <v>1.7389792192000001E-4</v>
      </c>
    </row>
    <row r="371" spans="2:5" ht="14.5" customHeight="1">
      <c r="B371" s="80"/>
      <c r="C371" s="36" t="s">
        <v>28</v>
      </c>
      <c r="D371" s="35">
        <v>264</v>
      </c>
      <c r="E371" s="34">
        <v>2.2954525693418E-2</v>
      </c>
    </row>
    <row r="372" spans="2:5" ht="14.5" customHeight="1">
      <c r="B372" s="79" t="s">
        <v>67</v>
      </c>
      <c r="C372" s="62" t="s">
        <v>211</v>
      </c>
      <c r="D372" s="63">
        <v>1</v>
      </c>
      <c r="E372" s="64">
        <v>8.6948960960000005E-5</v>
      </c>
    </row>
    <row r="373" spans="2:5" ht="14.5" customHeight="1">
      <c r="B373" s="81"/>
      <c r="C373" s="62" t="s">
        <v>189</v>
      </c>
      <c r="D373" s="63">
        <v>1</v>
      </c>
      <c r="E373" s="64">
        <v>8.6948960960000005E-5</v>
      </c>
    </row>
    <row r="374" spans="2:5" ht="14.5" customHeight="1">
      <c r="B374" s="81"/>
      <c r="C374" s="62" t="s">
        <v>222</v>
      </c>
      <c r="D374" s="63">
        <v>1</v>
      </c>
      <c r="E374" s="64">
        <v>8.6948960960000005E-5</v>
      </c>
    </row>
    <row r="375" spans="2:5" ht="14.5" customHeight="1">
      <c r="B375" s="81"/>
      <c r="C375" s="62" t="s">
        <v>205</v>
      </c>
      <c r="D375" s="63">
        <v>1</v>
      </c>
      <c r="E375" s="64">
        <v>8.6948960960000005E-5</v>
      </c>
    </row>
    <row r="376" spans="2:5" ht="14.5" customHeight="1">
      <c r="B376" s="81"/>
      <c r="C376" s="62" t="s">
        <v>206</v>
      </c>
      <c r="D376" s="63">
        <v>3</v>
      </c>
      <c r="E376" s="64">
        <v>2.6084688287999997E-4</v>
      </c>
    </row>
    <row r="377" spans="2:5" ht="14.5" customHeight="1">
      <c r="B377" s="81"/>
      <c r="C377" s="62" t="s">
        <v>207</v>
      </c>
      <c r="D377" s="63">
        <v>3</v>
      </c>
      <c r="E377" s="64">
        <v>2.6084688287999997E-4</v>
      </c>
    </row>
    <row r="378" spans="2:5" ht="14.5" customHeight="1">
      <c r="B378" s="81"/>
      <c r="C378" s="62" t="s">
        <v>213</v>
      </c>
      <c r="D378" s="63">
        <v>2</v>
      </c>
      <c r="E378" s="64">
        <v>1.7389792192000001E-4</v>
      </c>
    </row>
    <row r="379" spans="2:5" ht="14.5" customHeight="1">
      <c r="B379" s="81"/>
      <c r="C379" s="62" t="s">
        <v>224</v>
      </c>
      <c r="D379" s="63">
        <v>2</v>
      </c>
      <c r="E379" s="64">
        <v>1.7389792192000001E-4</v>
      </c>
    </row>
    <row r="380" spans="2:5" ht="14.5" customHeight="1">
      <c r="B380" s="81"/>
      <c r="C380" s="62" t="s">
        <v>193</v>
      </c>
      <c r="D380" s="63">
        <v>2</v>
      </c>
      <c r="E380" s="64">
        <v>1.7389792192000001E-4</v>
      </c>
    </row>
    <row r="381" spans="2:5" ht="14.5" customHeight="1">
      <c r="B381" s="81"/>
      <c r="C381" s="62" t="s">
        <v>194</v>
      </c>
      <c r="D381" s="63">
        <v>18</v>
      </c>
      <c r="E381" s="64">
        <v>1.565081297278E-3</v>
      </c>
    </row>
    <row r="382" spans="2:5" ht="14.5" customHeight="1">
      <c r="B382" s="81"/>
      <c r="C382" s="62" t="s">
        <v>195</v>
      </c>
      <c r="D382" s="63">
        <v>3</v>
      </c>
      <c r="E382" s="64">
        <v>2.6084688287999997E-4</v>
      </c>
    </row>
    <row r="383" spans="2:5" ht="14.5" customHeight="1">
      <c r="B383" s="81"/>
      <c r="C383" s="62" t="s">
        <v>196</v>
      </c>
      <c r="D383" s="63">
        <v>1</v>
      </c>
      <c r="E383" s="64">
        <v>8.6948960960000005E-5</v>
      </c>
    </row>
    <row r="384" spans="2:5" ht="14.5" customHeight="1">
      <c r="B384" s="81"/>
      <c r="C384" s="62" t="s">
        <v>197</v>
      </c>
      <c r="D384" s="63">
        <v>11</v>
      </c>
      <c r="E384" s="64">
        <v>9.56438570559E-4</v>
      </c>
    </row>
    <row r="385" spans="2:5" ht="14.5" customHeight="1">
      <c r="B385" s="81"/>
      <c r="C385" s="62" t="s">
        <v>198</v>
      </c>
      <c r="D385" s="63">
        <v>1</v>
      </c>
      <c r="E385" s="64">
        <v>8.6948960960000005E-5</v>
      </c>
    </row>
    <row r="386" spans="2:5" ht="14.5" customHeight="1">
      <c r="B386" s="81"/>
      <c r="C386" s="62" t="s">
        <v>199</v>
      </c>
      <c r="D386" s="63">
        <v>2</v>
      </c>
      <c r="E386" s="64">
        <v>1.7389792192000001E-4</v>
      </c>
    </row>
    <row r="387" spans="2:5" ht="14.5" customHeight="1">
      <c r="B387" s="81"/>
      <c r="C387" s="62" t="s">
        <v>200</v>
      </c>
      <c r="D387" s="63">
        <v>26</v>
      </c>
      <c r="E387" s="64">
        <v>2.2606729849580002E-3</v>
      </c>
    </row>
    <row r="388" spans="2:5" ht="14.5" customHeight="1">
      <c r="B388" s="81"/>
      <c r="C388" s="62" t="s">
        <v>201</v>
      </c>
      <c r="D388" s="63">
        <v>3</v>
      </c>
      <c r="E388" s="64">
        <v>2.6084688287999997E-4</v>
      </c>
    </row>
    <row r="389" spans="2:5" ht="14.5" customHeight="1">
      <c r="B389" s="81"/>
      <c r="C389" s="62" t="s">
        <v>202</v>
      </c>
      <c r="D389" s="63">
        <v>3</v>
      </c>
      <c r="E389" s="64">
        <v>2.6084688287999997E-4</v>
      </c>
    </row>
    <row r="390" spans="2:5" ht="14.5" customHeight="1">
      <c r="B390" s="81"/>
      <c r="C390" s="62" t="s">
        <v>203</v>
      </c>
      <c r="D390" s="63">
        <v>14</v>
      </c>
      <c r="E390" s="64">
        <v>1.2172854534389999E-3</v>
      </c>
    </row>
    <row r="391" spans="2:5" ht="14.5" customHeight="1">
      <c r="B391" s="81"/>
      <c r="C391" s="62" t="s">
        <v>204</v>
      </c>
      <c r="D391" s="63">
        <v>16</v>
      </c>
      <c r="E391" s="64">
        <v>1.391183375359E-3</v>
      </c>
    </row>
    <row r="392" spans="2:5" ht="14.5" customHeight="1">
      <c r="B392" s="81"/>
      <c r="C392" s="62" t="s">
        <v>210</v>
      </c>
      <c r="D392" s="63">
        <v>1</v>
      </c>
      <c r="E392" s="64">
        <v>8.6948960960000005E-5</v>
      </c>
    </row>
    <row r="393" spans="2:5" ht="14.5" customHeight="1">
      <c r="B393" s="81"/>
      <c r="C393" s="62" t="s">
        <v>216</v>
      </c>
      <c r="D393" s="63">
        <v>1</v>
      </c>
      <c r="E393" s="64">
        <v>8.6948960960000005E-5</v>
      </c>
    </row>
    <row r="394" spans="2:5" ht="14.5" customHeight="1">
      <c r="B394" s="80"/>
      <c r="C394" s="36" t="s">
        <v>28</v>
      </c>
      <c r="D394" s="35">
        <v>116</v>
      </c>
      <c r="E394" s="34">
        <v>1.008607947135E-2</v>
      </c>
    </row>
    <row r="395" spans="2:5" ht="14.5" customHeight="1">
      <c r="B395" s="79" t="s">
        <v>69</v>
      </c>
      <c r="C395" s="62" t="s">
        <v>206</v>
      </c>
      <c r="D395" s="63">
        <v>2</v>
      </c>
      <c r="E395" s="64">
        <v>1.7389792192000001E-4</v>
      </c>
    </row>
    <row r="396" spans="2:5" ht="14.5" customHeight="1">
      <c r="B396" s="81"/>
      <c r="C396" s="62" t="s">
        <v>224</v>
      </c>
      <c r="D396" s="63">
        <v>1</v>
      </c>
      <c r="E396" s="64">
        <v>8.6948960960000005E-5</v>
      </c>
    </row>
    <row r="397" spans="2:5" ht="14.5" customHeight="1">
      <c r="B397" s="81"/>
      <c r="C397" s="62" t="s">
        <v>193</v>
      </c>
      <c r="D397" s="63">
        <v>7</v>
      </c>
      <c r="E397" s="64">
        <v>6.0864272671900003E-4</v>
      </c>
    </row>
    <row r="398" spans="2:5" ht="14.5" customHeight="1">
      <c r="B398" s="81"/>
      <c r="C398" s="62" t="s">
        <v>194</v>
      </c>
      <c r="D398" s="63">
        <v>5</v>
      </c>
      <c r="E398" s="64">
        <v>4.3474480480000001E-4</v>
      </c>
    </row>
    <row r="399" spans="2:5" ht="14.5" customHeight="1">
      <c r="B399" s="81"/>
      <c r="C399" s="62" t="s">
        <v>195</v>
      </c>
      <c r="D399" s="63">
        <v>4</v>
      </c>
      <c r="E399" s="64">
        <v>3.4779584384000002E-4</v>
      </c>
    </row>
    <row r="400" spans="2:5" ht="14.5" customHeight="1">
      <c r="B400" s="81"/>
      <c r="C400" s="62" t="s">
        <v>196</v>
      </c>
      <c r="D400" s="63">
        <v>1</v>
      </c>
      <c r="E400" s="64">
        <v>8.6948960960000005E-5</v>
      </c>
    </row>
    <row r="401" spans="2:5" ht="14.5" customHeight="1">
      <c r="B401" s="81"/>
      <c r="C401" s="62" t="s">
        <v>208</v>
      </c>
      <c r="D401" s="63">
        <v>2</v>
      </c>
      <c r="E401" s="64">
        <v>1.7389792192000001E-4</v>
      </c>
    </row>
    <row r="402" spans="2:5" ht="14.5" customHeight="1">
      <c r="B402" s="81"/>
      <c r="C402" s="62" t="s">
        <v>199</v>
      </c>
      <c r="D402" s="63">
        <v>1</v>
      </c>
      <c r="E402" s="64">
        <v>8.6948960960000005E-5</v>
      </c>
    </row>
    <row r="403" spans="2:5" ht="14.5" customHeight="1">
      <c r="B403" s="81"/>
      <c r="C403" s="62" t="s">
        <v>200</v>
      </c>
      <c r="D403" s="63">
        <v>5</v>
      </c>
      <c r="E403" s="64">
        <v>4.3474480480000001E-4</v>
      </c>
    </row>
    <row r="404" spans="2:5" ht="14.5" customHeight="1">
      <c r="B404" s="81"/>
      <c r="C404" s="62" t="s">
        <v>203</v>
      </c>
      <c r="D404" s="63">
        <v>4</v>
      </c>
      <c r="E404" s="64">
        <v>3.4779584384000002E-4</v>
      </c>
    </row>
    <row r="405" spans="2:5" ht="14.5" customHeight="1">
      <c r="B405" s="81"/>
      <c r="C405" s="62" t="s">
        <v>209</v>
      </c>
      <c r="D405" s="63">
        <v>1</v>
      </c>
      <c r="E405" s="64">
        <v>8.6948960960000005E-5</v>
      </c>
    </row>
    <row r="406" spans="2:5" ht="14.5" customHeight="1">
      <c r="B406" s="81"/>
      <c r="C406" s="62" t="s">
        <v>204</v>
      </c>
      <c r="D406" s="63">
        <v>45</v>
      </c>
      <c r="E406" s="64">
        <v>3.9127032431959998E-3</v>
      </c>
    </row>
    <row r="407" spans="2:5" ht="14.5" customHeight="1">
      <c r="B407" s="81"/>
      <c r="C407" s="62" t="s">
        <v>210</v>
      </c>
      <c r="D407" s="63">
        <v>2</v>
      </c>
      <c r="E407" s="64">
        <v>1.7389792192000001E-4</v>
      </c>
    </row>
    <row r="408" spans="2:5" ht="14.5" customHeight="1">
      <c r="B408" s="80"/>
      <c r="C408" s="36" t="s">
        <v>28</v>
      </c>
      <c r="D408" s="35">
        <v>80</v>
      </c>
      <c r="E408" s="34">
        <v>6.9559168767929997E-3</v>
      </c>
    </row>
    <row r="409" spans="2:5" ht="14.5" customHeight="1">
      <c r="B409" s="79" t="s">
        <v>59</v>
      </c>
      <c r="C409" s="62" t="s">
        <v>189</v>
      </c>
      <c r="D409" s="63">
        <v>3</v>
      </c>
      <c r="E409" s="64">
        <v>2.6084688287999997E-4</v>
      </c>
    </row>
    <row r="410" spans="2:5" ht="14.5" customHeight="1">
      <c r="B410" s="81"/>
      <c r="C410" s="62" t="s">
        <v>219</v>
      </c>
      <c r="D410" s="63">
        <v>3</v>
      </c>
      <c r="E410" s="64">
        <v>2.6084688287999997E-4</v>
      </c>
    </row>
    <row r="411" spans="2:5" ht="14.5" customHeight="1">
      <c r="B411" s="81"/>
      <c r="C411" s="62" t="s">
        <v>205</v>
      </c>
      <c r="D411" s="63">
        <v>1</v>
      </c>
      <c r="E411" s="64">
        <v>8.6948960960000005E-5</v>
      </c>
    </row>
    <row r="412" spans="2:5" ht="14.5" customHeight="1">
      <c r="B412" s="81"/>
      <c r="C412" s="62" t="s">
        <v>190</v>
      </c>
      <c r="D412" s="63">
        <v>2</v>
      </c>
      <c r="E412" s="64">
        <v>1.7389792192000001E-4</v>
      </c>
    </row>
    <row r="413" spans="2:5" ht="14.5" customHeight="1">
      <c r="B413" s="81"/>
      <c r="C413" s="62" t="s">
        <v>191</v>
      </c>
      <c r="D413" s="63">
        <v>4</v>
      </c>
      <c r="E413" s="64">
        <v>3.4779584384000002E-4</v>
      </c>
    </row>
    <row r="414" spans="2:5" ht="14.5" customHeight="1">
      <c r="B414" s="81"/>
      <c r="C414" s="62" t="s">
        <v>192</v>
      </c>
      <c r="D414" s="63">
        <v>2</v>
      </c>
      <c r="E414" s="64">
        <v>1.7389792192000001E-4</v>
      </c>
    </row>
    <row r="415" spans="2:5" ht="14.5" customHeight="1">
      <c r="B415" s="81"/>
      <c r="C415" s="62" t="s">
        <v>206</v>
      </c>
      <c r="D415" s="63">
        <v>10</v>
      </c>
      <c r="E415" s="64">
        <v>8.6948960959899995E-4</v>
      </c>
    </row>
    <row r="416" spans="2:5" ht="14.5" customHeight="1">
      <c r="B416" s="81"/>
      <c r="C416" s="62" t="s">
        <v>207</v>
      </c>
      <c r="D416" s="63">
        <v>3</v>
      </c>
      <c r="E416" s="64">
        <v>2.6084688287999997E-4</v>
      </c>
    </row>
    <row r="417" spans="2:5" ht="14.5" customHeight="1">
      <c r="B417" s="81"/>
      <c r="C417" s="62" t="s">
        <v>213</v>
      </c>
      <c r="D417" s="63">
        <v>2</v>
      </c>
      <c r="E417" s="64">
        <v>1.7389792192000001E-4</v>
      </c>
    </row>
    <row r="418" spans="2:5" ht="14.5" customHeight="1">
      <c r="B418" s="81"/>
      <c r="C418" s="62" t="s">
        <v>193</v>
      </c>
      <c r="D418" s="63">
        <v>11</v>
      </c>
      <c r="E418" s="64">
        <v>9.56438570559E-4</v>
      </c>
    </row>
    <row r="419" spans="2:5" ht="14.5" customHeight="1">
      <c r="B419" s="81"/>
      <c r="C419" s="62" t="s">
        <v>194</v>
      </c>
      <c r="D419" s="63">
        <v>24</v>
      </c>
      <c r="E419" s="64">
        <v>2.0867750630380001E-3</v>
      </c>
    </row>
    <row r="420" spans="2:5" ht="14.5" customHeight="1">
      <c r="B420" s="81"/>
      <c r="C420" s="62" t="s">
        <v>195</v>
      </c>
      <c r="D420" s="63">
        <v>9</v>
      </c>
      <c r="E420" s="64">
        <v>7.8254064863900001E-4</v>
      </c>
    </row>
    <row r="421" spans="2:5" ht="14.5" customHeight="1">
      <c r="B421" s="81"/>
      <c r="C421" s="62" t="s">
        <v>223</v>
      </c>
      <c r="D421" s="63">
        <v>3</v>
      </c>
      <c r="E421" s="64">
        <v>2.6084688287999997E-4</v>
      </c>
    </row>
    <row r="422" spans="2:5" ht="14.5" customHeight="1">
      <c r="B422" s="81"/>
      <c r="C422" s="62" t="s">
        <v>196</v>
      </c>
      <c r="D422" s="63">
        <v>1</v>
      </c>
      <c r="E422" s="64">
        <v>8.6948960960000005E-5</v>
      </c>
    </row>
    <row r="423" spans="2:5" ht="14.5" customHeight="1">
      <c r="B423" s="81"/>
      <c r="C423" s="62" t="s">
        <v>197</v>
      </c>
      <c r="D423" s="63">
        <v>14</v>
      </c>
      <c r="E423" s="64">
        <v>1.2172854534389999E-3</v>
      </c>
    </row>
    <row r="424" spans="2:5" ht="14.5" customHeight="1">
      <c r="B424" s="81"/>
      <c r="C424" s="62" t="s">
        <v>208</v>
      </c>
      <c r="D424" s="63">
        <v>1</v>
      </c>
      <c r="E424" s="64">
        <v>8.6948960960000005E-5</v>
      </c>
    </row>
    <row r="425" spans="2:5" ht="14.5" customHeight="1">
      <c r="B425" s="81"/>
      <c r="C425" s="62" t="s">
        <v>199</v>
      </c>
      <c r="D425" s="63">
        <v>4</v>
      </c>
      <c r="E425" s="64">
        <v>3.4779584384000002E-4</v>
      </c>
    </row>
    <row r="426" spans="2:5" ht="14.5" customHeight="1">
      <c r="B426" s="81"/>
      <c r="C426" s="62" t="s">
        <v>200</v>
      </c>
      <c r="D426" s="63">
        <v>13</v>
      </c>
      <c r="E426" s="64">
        <v>1.1303364924790001E-3</v>
      </c>
    </row>
    <row r="427" spans="2:5" ht="14.5" customHeight="1">
      <c r="B427" s="81"/>
      <c r="C427" s="62" t="s">
        <v>201</v>
      </c>
      <c r="D427" s="63">
        <v>3</v>
      </c>
      <c r="E427" s="64">
        <v>2.6084688287999997E-4</v>
      </c>
    </row>
    <row r="428" spans="2:5" ht="14.5" customHeight="1">
      <c r="B428" s="81"/>
      <c r="C428" s="62" t="s">
        <v>202</v>
      </c>
      <c r="D428" s="63">
        <v>1</v>
      </c>
      <c r="E428" s="64">
        <v>8.6948960960000005E-5</v>
      </c>
    </row>
    <row r="429" spans="2:5" ht="14.5" customHeight="1">
      <c r="B429" s="81"/>
      <c r="C429" s="62" t="s">
        <v>203</v>
      </c>
      <c r="D429" s="63">
        <v>13</v>
      </c>
      <c r="E429" s="64">
        <v>1.1303364924790001E-3</v>
      </c>
    </row>
    <row r="430" spans="2:5" ht="14.5" customHeight="1">
      <c r="B430" s="81"/>
      <c r="C430" s="62" t="s">
        <v>204</v>
      </c>
      <c r="D430" s="63">
        <v>63</v>
      </c>
      <c r="E430" s="64">
        <v>5.4777845404750001E-3</v>
      </c>
    </row>
    <row r="431" spans="2:5" ht="14.5" customHeight="1">
      <c r="B431" s="81"/>
      <c r="C431" s="62" t="s">
        <v>210</v>
      </c>
      <c r="D431" s="63">
        <v>3</v>
      </c>
      <c r="E431" s="64">
        <v>2.6084688287999997E-4</v>
      </c>
    </row>
    <row r="432" spans="2:5" ht="14.5" customHeight="1">
      <c r="B432" s="81"/>
      <c r="C432" s="62" t="s">
        <v>221</v>
      </c>
      <c r="D432" s="63">
        <v>1</v>
      </c>
      <c r="E432" s="64">
        <v>8.6948960960000005E-5</v>
      </c>
    </row>
    <row r="433" spans="2:5" ht="14.5" customHeight="1">
      <c r="B433" s="80"/>
      <c r="C433" s="36" t="s">
        <v>28</v>
      </c>
      <c r="D433" s="35">
        <v>194</v>
      </c>
      <c r="E433" s="34">
        <v>1.6868098426223999E-2</v>
      </c>
    </row>
    <row r="434" spans="2:5" ht="14.5" customHeight="1">
      <c r="B434" s="79" t="s">
        <v>55</v>
      </c>
      <c r="C434" s="62" t="s">
        <v>205</v>
      </c>
      <c r="D434" s="63">
        <v>1</v>
      </c>
      <c r="E434" s="64">
        <v>8.6948960960000005E-5</v>
      </c>
    </row>
    <row r="435" spans="2:5" ht="14.5" customHeight="1">
      <c r="B435" s="81"/>
      <c r="C435" s="62" t="s">
        <v>190</v>
      </c>
      <c r="D435" s="63">
        <v>1</v>
      </c>
      <c r="E435" s="64">
        <v>8.6948960960000005E-5</v>
      </c>
    </row>
    <row r="436" spans="2:5" ht="14.5" customHeight="1">
      <c r="B436" s="81"/>
      <c r="C436" s="62" t="s">
        <v>206</v>
      </c>
      <c r="D436" s="63">
        <v>11</v>
      </c>
      <c r="E436" s="64">
        <v>9.56438570559E-4</v>
      </c>
    </row>
    <row r="437" spans="2:5" ht="14.5" customHeight="1">
      <c r="B437" s="81"/>
      <c r="C437" s="62" t="s">
        <v>193</v>
      </c>
      <c r="D437" s="63">
        <v>4</v>
      </c>
      <c r="E437" s="64">
        <v>3.4779584384000002E-4</v>
      </c>
    </row>
    <row r="438" spans="2:5" ht="14.5" customHeight="1">
      <c r="B438" s="81"/>
      <c r="C438" s="62" t="s">
        <v>194</v>
      </c>
      <c r="D438" s="63">
        <v>5</v>
      </c>
      <c r="E438" s="64">
        <v>4.3474480480000001E-4</v>
      </c>
    </row>
    <row r="439" spans="2:5" ht="14.5" customHeight="1">
      <c r="B439" s="81"/>
      <c r="C439" s="62" t="s">
        <v>195</v>
      </c>
      <c r="D439" s="63">
        <v>1</v>
      </c>
      <c r="E439" s="64">
        <v>8.6948960960000005E-5</v>
      </c>
    </row>
    <row r="440" spans="2:5" ht="14.5" customHeight="1">
      <c r="B440" s="81"/>
      <c r="C440" s="62" t="s">
        <v>197</v>
      </c>
      <c r="D440" s="63">
        <v>1</v>
      </c>
      <c r="E440" s="64">
        <v>8.6948960960000005E-5</v>
      </c>
    </row>
    <row r="441" spans="2:5" ht="14.5" customHeight="1">
      <c r="B441" s="81"/>
      <c r="C441" s="62" t="s">
        <v>208</v>
      </c>
      <c r="D441" s="63">
        <v>1</v>
      </c>
      <c r="E441" s="64">
        <v>8.6948960960000005E-5</v>
      </c>
    </row>
    <row r="442" spans="2:5" ht="14.5" customHeight="1">
      <c r="B442" s="81"/>
      <c r="C442" s="62" t="s">
        <v>199</v>
      </c>
      <c r="D442" s="63">
        <v>1</v>
      </c>
      <c r="E442" s="64">
        <v>8.6948960960000005E-5</v>
      </c>
    </row>
    <row r="443" spans="2:5" ht="14.5" customHeight="1">
      <c r="B443" s="81"/>
      <c r="C443" s="62" t="s">
        <v>200</v>
      </c>
      <c r="D443" s="63">
        <v>12</v>
      </c>
      <c r="E443" s="64">
        <v>1.043387531519E-3</v>
      </c>
    </row>
    <row r="444" spans="2:5" ht="14.5" customHeight="1">
      <c r="B444" s="81"/>
      <c r="C444" s="62" t="s">
        <v>201</v>
      </c>
      <c r="D444" s="63">
        <v>2</v>
      </c>
      <c r="E444" s="64">
        <v>1.7389792192000001E-4</v>
      </c>
    </row>
    <row r="445" spans="2:5" ht="14.5" customHeight="1">
      <c r="B445" s="81"/>
      <c r="C445" s="62" t="s">
        <v>202</v>
      </c>
      <c r="D445" s="63">
        <v>1</v>
      </c>
      <c r="E445" s="64">
        <v>8.6948960960000005E-5</v>
      </c>
    </row>
    <row r="446" spans="2:5" ht="14.5" customHeight="1">
      <c r="B446" s="81"/>
      <c r="C446" s="62" t="s">
        <v>203</v>
      </c>
      <c r="D446" s="63">
        <v>15</v>
      </c>
      <c r="E446" s="64">
        <v>1.304234414399E-3</v>
      </c>
    </row>
    <row r="447" spans="2:5" ht="14.5" customHeight="1">
      <c r="B447" s="81"/>
      <c r="C447" s="62" t="s">
        <v>209</v>
      </c>
      <c r="D447" s="63">
        <v>1</v>
      </c>
      <c r="E447" s="64">
        <v>8.6948960960000005E-5</v>
      </c>
    </row>
    <row r="448" spans="2:5" ht="14.5" customHeight="1">
      <c r="B448" s="81"/>
      <c r="C448" s="62" t="s">
        <v>204</v>
      </c>
      <c r="D448" s="63">
        <v>176</v>
      </c>
      <c r="E448" s="64">
        <v>1.5303017128945001E-2</v>
      </c>
    </row>
    <row r="449" spans="2:5" ht="14.5" customHeight="1">
      <c r="B449" s="81"/>
      <c r="C449" s="62" t="s">
        <v>210</v>
      </c>
      <c r="D449" s="63">
        <v>7</v>
      </c>
      <c r="E449" s="64">
        <v>6.0864272671900003E-4</v>
      </c>
    </row>
    <row r="450" spans="2:5" ht="14.5" customHeight="1">
      <c r="B450" s="80"/>
      <c r="C450" s="36" t="s">
        <v>28</v>
      </c>
      <c r="D450" s="35">
        <v>240</v>
      </c>
      <c r="E450" s="34">
        <v>2.0867750630379999E-2</v>
      </c>
    </row>
    <row r="451" spans="2:5" ht="14.5" customHeight="1">
      <c r="B451" s="79" t="s">
        <v>58</v>
      </c>
      <c r="C451" s="62" t="s">
        <v>189</v>
      </c>
      <c r="D451" s="63">
        <v>7</v>
      </c>
      <c r="E451" s="64">
        <v>6.0864272671900003E-4</v>
      </c>
    </row>
    <row r="452" spans="2:5" ht="14.5" customHeight="1">
      <c r="B452" s="81"/>
      <c r="C452" s="62" t="s">
        <v>219</v>
      </c>
      <c r="D452" s="63">
        <v>2</v>
      </c>
      <c r="E452" s="64">
        <v>1.7389792192000001E-4</v>
      </c>
    </row>
    <row r="453" spans="2:5" ht="14.5" customHeight="1">
      <c r="B453" s="81"/>
      <c r="C453" s="62" t="s">
        <v>222</v>
      </c>
      <c r="D453" s="63">
        <v>3</v>
      </c>
      <c r="E453" s="64">
        <v>2.6084688287999997E-4</v>
      </c>
    </row>
    <row r="454" spans="2:5" ht="14.5" customHeight="1">
      <c r="B454" s="81"/>
      <c r="C454" s="62" t="s">
        <v>191</v>
      </c>
      <c r="D454" s="63">
        <v>1</v>
      </c>
      <c r="E454" s="64">
        <v>8.6948960960000005E-5</v>
      </c>
    </row>
    <row r="455" spans="2:5" ht="14.5" customHeight="1">
      <c r="B455" s="81"/>
      <c r="C455" s="62" t="s">
        <v>206</v>
      </c>
      <c r="D455" s="63">
        <v>10</v>
      </c>
      <c r="E455" s="64">
        <v>8.6948960959899995E-4</v>
      </c>
    </row>
    <row r="456" spans="2:5" ht="14.5" customHeight="1">
      <c r="B456" s="81"/>
      <c r="C456" s="62" t="s">
        <v>207</v>
      </c>
      <c r="D456" s="63">
        <v>1</v>
      </c>
      <c r="E456" s="64">
        <v>8.6948960960000005E-5</v>
      </c>
    </row>
    <row r="457" spans="2:5" ht="14.5" customHeight="1">
      <c r="B457" s="81"/>
      <c r="C457" s="62" t="s">
        <v>213</v>
      </c>
      <c r="D457" s="63">
        <v>4</v>
      </c>
      <c r="E457" s="64">
        <v>3.4779584384000002E-4</v>
      </c>
    </row>
    <row r="458" spans="2:5" ht="14.5" customHeight="1">
      <c r="B458" s="81"/>
      <c r="C458" s="62" t="s">
        <v>214</v>
      </c>
      <c r="D458" s="63">
        <v>1</v>
      </c>
      <c r="E458" s="64">
        <v>8.6948960960000005E-5</v>
      </c>
    </row>
    <row r="459" spans="2:5" ht="14.5" customHeight="1">
      <c r="B459" s="81"/>
      <c r="C459" s="62" t="s">
        <v>193</v>
      </c>
      <c r="D459" s="63">
        <v>9</v>
      </c>
      <c r="E459" s="64">
        <v>7.8254064863900001E-4</v>
      </c>
    </row>
    <row r="460" spans="2:5" ht="14.5" customHeight="1">
      <c r="B460" s="81"/>
      <c r="C460" s="62" t="s">
        <v>194</v>
      </c>
      <c r="D460" s="63">
        <v>12</v>
      </c>
      <c r="E460" s="64">
        <v>1.043387531519E-3</v>
      </c>
    </row>
    <row r="461" spans="2:5" ht="14.5" customHeight="1">
      <c r="B461" s="81"/>
      <c r="C461" s="62" t="s">
        <v>195</v>
      </c>
      <c r="D461" s="63">
        <v>4</v>
      </c>
      <c r="E461" s="64">
        <v>3.4779584384000002E-4</v>
      </c>
    </row>
    <row r="462" spans="2:5" ht="14.5" customHeight="1">
      <c r="B462" s="81"/>
      <c r="C462" s="62" t="s">
        <v>226</v>
      </c>
      <c r="D462" s="63">
        <v>1</v>
      </c>
      <c r="E462" s="64">
        <v>8.6948960960000005E-5</v>
      </c>
    </row>
    <row r="463" spans="2:5" ht="14.5" customHeight="1">
      <c r="B463" s="81"/>
      <c r="C463" s="62" t="s">
        <v>225</v>
      </c>
      <c r="D463" s="63">
        <v>2</v>
      </c>
      <c r="E463" s="64">
        <v>1.7389792192000001E-4</v>
      </c>
    </row>
    <row r="464" spans="2:5" ht="14.5" customHeight="1">
      <c r="B464" s="81"/>
      <c r="C464" s="62" t="s">
        <v>196</v>
      </c>
      <c r="D464" s="63">
        <v>5</v>
      </c>
      <c r="E464" s="64">
        <v>4.3474480480000001E-4</v>
      </c>
    </row>
    <row r="465" spans="2:5" ht="14.5" customHeight="1">
      <c r="B465" s="81"/>
      <c r="C465" s="62" t="s">
        <v>197</v>
      </c>
      <c r="D465" s="63">
        <v>6</v>
      </c>
      <c r="E465" s="64">
        <v>5.2169376575899999E-4</v>
      </c>
    </row>
    <row r="466" spans="2:5" ht="14.5" customHeight="1">
      <c r="B466" s="81"/>
      <c r="C466" s="62" t="s">
        <v>198</v>
      </c>
      <c r="D466" s="63">
        <v>1</v>
      </c>
      <c r="E466" s="64">
        <v>8.6948960960000005E-5</v>
      </c>
    </row>
    <row r="467" spans="2:5" ht="14.5" customHeight="1">
      <c r="B467" s="81"/>
      <c r="C467" s="62" t="s">
        <v>208</v>
      </c>
      <c r="D467" s="63">
        <v>2</v>
      </c>
      <c r="E467" s="64">
        <v>1.7389792192000001E-4</v>
      </c>
    </row>
    <row r="468" spans="2:5" ht="14.5" customHeight="1">
      <c r="B468" s="81"/>
      <c r="C468" s="62" t="s">
        <v>199</v>
      </c>
      <c r="D468" s="63">
        <v>2</v>
      </c>
      <c r="E468" s="64">
        <v>1.7389792192000001E-4</v>
      </c>
    </row>
    <row r="469" spans="2:5" ht="14.5" customHeight="1">
      <c r="B469" s="81"/>
      <c r="C469" s="62" t="s">
        <v>200</v>
      </c>
      <c r="D469" s="63">
        <v>42</v>
      </c>
      <c r="E469" s="64">
        <v>3.6518563603159999E-3</v>
      </c>
    </row>
    <row r="470" spans="2:5" ht="14.5" customHeight="1">
      <c r="B470" s="81"/>
      <c r="C470" s="62" t="s">
        <v>201</v>
      </c>
      <c r="D470" s="63">
        <v>6</v>
      </c>
      <c r="E470" s="64">
        <v>5.2169376575899999E-4</v>
      </c>
    </row>
    <row r="471" spans="2:5" ht="14.5" customHeight="1">
      <c r="B471" s="81"/>
      <c r="C471" s="62" t="s">
        <v>202</v>
      </c>
      <c r="D471" s="63">
        <v>5</v>
      </c>
      <c r="E471" s="64">
        <v>4.3474480480000001E-4</v>
      </c>
    </row>
    <row r="472" spans="2:5" ht="14.5" customHeight="1">
      <c r="B472" s="81"/>
      <c r="C472" s="62" t="s">
        <v>203</v>
      </c>
      <c r="D472" s="63">
        <v>26</v>
      </c>
      <c r="E472" s="64">
        <v>2.2606729849580002E-3</v>
      </c>
    </row>
    <row r="473" spans="2:5" ht="14.5" customHeight="1">
      <c r="B473" s="81"/>
      <c r="C473" s="62" t="s">
        <v>204</v>
      </c>
      <c r="D473" s="63">
        <v>55</v>
      </c>
      <c r="E473" s="64">
        <v>4.7821928527949998E-3</v>
      </c>
    </row>
    <row r="474" spans="2:5" ht="14.5" customHeight="1">
      <c r="B474" s="81"/>
      <c r="C474" s="62" t="s">
        <v>210</v>
      </c>
      <c r="D474" s="63">
        <v>2</v>
      </c>
      <c r="E474" s="64">
        <v>1.7389792192000001E-4</v>
      </c>
    </row>
    <row r="475" spans="2:5" ht="14.5" customHeight="1">
      <c r="B475" s="81"/>
      <c r="C475" s="62" t="s">
        <v>216</v>
      </c>
      <c r="D475" s="63">
        <v>1</v>
      </c>
      <c r="E475" s="64">
        <v>8.6948960960000005E-5</v>
      </c>
    </row>
    <row r="476" spans="2:5" ht="14.5" customHeight="1">
      <c r="B476" s="80"/>
      <c r="C476" s="36" t="s">
        <v>28</v>
      </c>
      <c r="D476" s="35">
        <v>210</v>
      </c>
      <c r="E476" s="34">
        <v>1.8259281801582001E-2</v>
      </c>
    </row>
    <row r="477" spans="2:5" ht="14.5" customHeight="1">
      <c r="B477" s="79" t="s">
        <v>76</v>
      </c>
      <c r="C477" s="62" t="s">
        <v>206</v>
      </c>
      <c r="D477" s="63">
        <v>2</v>
      </c>
      <c r="E477" s="64">
        <v>1.7389792192000001E-4</v>
      </c>
    </row>
    <row r="478" spans="2:5" ht="14.5" customHeight="1">
      <c r="B478" s="81"/>
      <c r="C478" s="62" t="s">
        <v>213</v>
      </c>
      <c r="D478" s="63">
        <v>1</v>
      </c>
      <c r="E478" s="64">
        <v>8.6948960960000005E-5</v>
      </c>
    </row>
    <row r="479" spans="2:5" ht="14.5" customHeight="1">
      <c r="B479" s="81"/>
      <c r="C479" s="62" t="s">
        <v>215</v>
      </c>
      <c r="D479" s="63">
        <v>1</v>
      </c>
      <c r="E479" s="64">
        <v>8.6948960960000005E-5</v>
      </c>
    </row>
    <row r="480" spans="2:5" ht="14.5" customHeight="1">
      <c r="B480" s="81"/>
      <c r="C480" s="62" t="s">
        <v>193</v>
      </c>
      <c r="D480" s="63">
        <v>5</v>
      </c>
      <c r="E480" s="64">
        <v>4.3474480480000001E-4</v>
      </c>
    </row>
    <row r="481" spans="2:5" ht="14.5" customHeight="1">
      <c r="B481" s="81"/>
      <c r="C481" s="62" t="s">
        <v>194</v>
      </c>
      <c r="D481" s="63">
        <v>7</v>
      </c>
      <c r="E481" s="64">
        <v>6.0864272671900003E-4</v>
      </c>
    </row>
    <row r="482" spans="2:5" ht="14.5" customHeight="1">
      <c r="B482" s="81"/>
      <c r="C482" s="62" t="s">
        <v>195</v>
      </c>
      <c r="D482" s="63">
        <v>18</v>
      </c>
      <c r="E482" s="64">
        <v>1.565081297278E-3</v>
      </c>
    </row>
    <row r="483" spans="2:5" ht="14.5" customHeight="1">
      <c r="B483" s="81"/>
      <c r="C483" s="62" t="s">
        <v>196</v>
      </c>
      <c r="D483" s="63">
        <v>1</v>
      </c>
      <c r="E483" s="64">
        <v>8.6948960960000005E-5</v>
      </c>
    </row>
    <row r="484" spans="2:5" ht="14.5" customHeight="1">
      <c r="B484" s="81"/>
      <c r="C484" s="62" t="s">
        <v>197</v>
      </c>
      <c r="D484" s="63">
        <v>1</v>
      </c>
      <c r="E484" s="64">
        <v>8.6948960960000005E-5</v>
      </c>
    </row>
    <row r="485" spans="2:5" ht="14.5" customHeight="1">
      <c r="B485" s="81"/>
      <c r="C485" s="62" t="s">
        <v>200</v>
      </c>
      <c r="D485" s="63">
        <v>5</v>
      </c>
      <c r="E485" s="64">
        <v>4.3474480480000001E-4</v>
      </c>
    </row>
    <row r="486" spans="2:5" ht="14.5" customHeight="1">
      <c r="B486" s="81"/>
      <c r="C486" s="62" t="s">
        <v>202</v>
      </c>
      <c r="D486" s="63">
        <v>1</v>
      </c>
      <c r="E486" s="64">
        <v>8.6948960960000005E-5</v>
      </c>
    </row>
    <row r="487" spans="2:5" ht="14.5" customHeight="1">
      <c r="B487" s="81"/>
      <c r="C487" s="62" t="s">
        <v>203</v>
      </c>
      <c r="D487" s="63">
        <v>2</v>
      </c>
      <c r="E487" s="64">
        <v>1.7389792192000001E-4</v>
      </c>
    </row>
    <row r="488" spans="2:5" ht="14.5" customHeight="1">
      <c r="B488" s="81"/>
      <c r="C488" s="62" t="s">
        <v>204</v>
      </c>
      <c r="D488" s="63">
        <v>18</v>
      </c>
      <c r="E488" s="64">
        <v>1.565081297278E-3</v>
      </c>
    </row>
    <row r="489" spans="2:5" ht="14.5" customHeight="1">
      <c r="B489" s="80"/>
      <c r="C489" s="36" t="s">
        <v>28</v>
      </c>
      <c r="D489" s="35">
        <v>62</v>
      </c>
      <c r="E489" s="34">
        <v>5.3908355795150003E-3</v>
      </c>
    </row>
    <row r="490" spans="2:5" ht="14.5" customHeight="1">
      <c r="B490" s="79" t="s">
        <v>68</v>
      </c>
      <c r="C490" s="62" t="s">
        <v>189</v>
      </c>
      <c r="D490" s="63">
        <v>8</v>
      </c>
      <c r="E490" s="64">
        <v>6.9559168767899997E-4</v>
      </c>
    </row>
    <row r="491" spans="2:5" ht="14.5" customHeight="1">
      <c r="B491" s="81"/>
      <c r="C491" s="62" t="s">
        <v>219</v>
      </c>
      <c r="D491" s="63">
        <v>1</v>
      </c>
      <c r="E491" s="64">
        <v>8.6948960960000005E-5</v>
      </c>
    </row>
    <row r="492" spans="2:5" ht="14.5" customHeight="1">
      <c r="B492" s="81"/>
      <c r="C492" s="62" t="s">
        <v>190</v>
      </c>
      <c r="D492" s="63">
        <v>1</v>
      </c>
      <c r="E492" s="64">
        <v>8.6948960960000005E-5</v>
      </c>
    </row>
    <row r="493" spans="2:5" ht="14.5" customHeight="1">
      <c r="B493" s="81"/>
      <c r="C493" s="62" t="s">
        <v>191</v>
      </c>
      <c r="D493" s="63">
        <v>1</v>
      </c>
      <c r="E493" s="64">
        <v>8.6948960960000005E-5</v>
      </c>
    </row>
    <row r="494" spans="2:5" ht="14.5" customHeight="1">
      <c r="B494" s="81"/>
      <c r="C494" s="62" t="s">
        <v>206</v>
      </c>
      <c r="D494" s="63">
        <v>1</v>
      </c>
      <c r="E494" s="64">
        <v>8.6948960960000005E-5</v>
      </c>
    </row>
    <row r="495" spans="2:5" ht="14.5" customHeight="1">
      <c r="B495" s="81"/>
      <c r="C495" s="62" t="s">
        <v>193</v>
      </c>
      <c r="D495" s="63">
        <v>13</v>
      </c>
      <c r="E495" s="64">
        <v>1.1303364924790001E-3</v>
      </c>
    </row>
    <row r="496" spans="2:5" ht="14.5" customHeight="1">
      <c r="B496" s="81"/>
      <c r="C496" s="62" t="s">
        <v>194</v>
      </c>
      <c r="D496" s="63">
        <v>5</v>
      </c>
      <c r="E496" s="64">
        <v>4.3474480480000001E-4</v>
      </c>
    </row>
    <row r="497" spans="2:5" ht="14.5" customHeight="1">
      <c r="B497" s="81"/>
      <c r="C497" s="62" t="s">
        <v>195</v>
      </c>
      <c r="D497" s="63">
        <v>3</v>
      </c>
      <c r="E497" s="64">
        <v>2.6084688287999997E-4</v>
      </c>
    </row>
    <row r="498" spans="2:5" ht="14.5" customHeight="1">
      <c r="B498" s="81"/>
      <c r="C498" s="62" t="s">
        <v>197</v>
      </c>
      <c r="D498" s="63">
        <v>10</v>
      </c>
      <c r="E498" s="64">
        <v>8.6948960959899995E-4</v>
      </c>
    </row>
    <row r="499" spans="2:5" ht="14.5" customHeight="1">
      <c r="B499" s="81"/>
      <c r="C499" s="62" t="s">
        <v>200</v>
      </c>
      <c r="D499" s="63">
        <v>1</v>
      </c>
      <c r="E499" s="64">
        <v>8.6948960960000005E-5</v>
      </c>
    </row>
    <row r="500" spans="2:5" ht="14.5" customHeight="1">
      <c r="B500" s="81"/>
      <c r="C500" s="62" t="s">
        <v>203</v>
      </c>
      <c r="D500" s="63">
        <v>6</v>
      </c>
      <c r="E500" s="64">
        <v>5.2169376575899999E-4</v>
      </c>
    </row>
    <row r="501" spans="2:5" ht="14.5" customHeight="1">
      <c r="B501" s="81"/>
      <c r="C501" s="62" t="s">
        <v>204</v>
      </c>
      <c r="D501" s="63">
        <v>35</v>
      </c>
      <c r="E501" s="64">
        <v>3.0432136335969999E-3</v>
      </c>
    </row>
    <row r="502" spans="2:5" ht="14.5" customHeight="1">
      <c r="B502" s="81"/>
      <c r="C502" s="62" t="s">
        <v>210</v>
      </c>
      <c r="D502" s="63">
        <v>1</v>
      </c>
      <c r="E502" s="64">
        <v>8.6948960960000005E-5</v>
      </c>
    </row>
    <row r="503" spans="2:5" ht="14.5" customHeight="1">
      <c r="B503" s="80"/>
      <c r="C503" s="36" t="s">
        <v>28</v>
      </c>
      <c r="D503" s="35">
        <v>86</v>
      </c>
      <c r="E503" s="34">
        <v>7.4776106425530004E-3</v>
      </c>
    </row>
    <row r="504" spans="2:5" ht="14.5" customHeight="1">
      <c r="B504" s="79" t="s">
        <v>95</v>
      </c>
      <c r="C504" s="62" t="s">
        <v>202</v>
      </c>
      <c r="D504" s="63">
        <v>1</v>
      </c>
      <c r="E504" s="64">
        <v>8.6948960960000005E-5</v>
      </c>
    </row>
    <row r="505" spans="2:5" ht="14.5" customHeight="1">
      <c r="B505" s="81"/>
      <c r="C505" s="62" t="s">
        <v>204</v>
      </c>
      <c r="D505" s="63">
        <v>1</v>
      </c>
      <c r="E505" s="64">
        <v>8.6948960960000005E-5</v>
      </c>
    </row>
    <row r="506" spans="2:5" ht="14.5" customHeight="1">
      <c r="B506" s="80"/>
      <c r="C506" s="36" t="s">
        <v>28</v>
      </c>
      <c r="D506" s="35">
        <v>2</v>
      </c>
      <c r="E506" s="34">
        <v>1.7389792192000001E-4</v>
      </c>
    </row>
    <row r="507" spans="2:5" ht="14.5" customHeight="1">
      <c r="B507" s="79" t="s">
        <v>75</v>
      </c>
      <c r="C507" s="62" t="s">
        <v>189</v>
      </c>
      <c r="D507" s="63">
        <v>2</v>
      </c>
      <c r="E507" s="64">
        <v>1.7389792192000001E-4</v>
      </c>
    </row>
    <row r="508" spans="2:5" ht="14.5" customHeight="1">
      <c r="B508" s="81"/>
      <c r="C508" s="62" t="s">
        <v>219</v>
      </c>
      <c r="D508" s="63">
        <v>4</v>
      </c>
      <c r="E508" s="64">
        <v>3.4779584384000002E-4</v>
      </c>
    </row>
    <row r="509" spans="2:5" ht="14.5" customHeight="1">
      <c r="B509" s="81"/>
      <c r="C509" s="62" t="s">
        <v>206</v>
      </c>
      <c r="D509" s="63">
        <v>1</v>
      </c>
      <c r="E509" s="64">
        <v>8.6948960960000005E-5</v>
      </c>
    </row>
    <row r="510" spans="2:5" ht="14.5" customHeight="1">
      <c r="B510" s="81"/>
      <c r="C510" s="62" t="s">
        <v>215</v>
      </c>
      <c r="D510" s="63">
        <v>1</v>
      </c>
      <c r="E510" s="64">
        <v>8.6948960960000005E-5</v>
      </c>
    </row>
    <row r="511" spans="2:5" ht="14.5" customHeight="1">
      <c r="B511" s="81"/>
      <c r="C511" s="62" t="s">
        <v>193</v>
      </c>
      <c r="D511" s="63">
        <v>2</v>
      </c>
      <c r="E511" s="64">
        <v>1.7389792192000001E-4</v>
      </c>
    </row>
    <row r="512" spans="2:5" ht="14.5" customHeight="1">
      <c r="B512" s="81"/>
      <c r="C512" s="62" t="s">
        <v>194</v>
      </c>
      <c r="D512" s="63">
        <v>12</v>
      </c>
      <c r="E512" s="64">
        <v>1.043387531519E-3</v>
      </c>
    </row>
    <row r="513" spans="2:5" ht="14.5" customHeight="1">
      <c r="B513" s="81"/>
      <c r="C513" s="62" t="s">
        <v>195</v>
      </c>
      <c r="D513" s="63">
        <v>3</v>
      </c>
      <c r="E513" s="64">
        <v>2.6084688287999997E-4</v>
      </c>
    </row>
    <row r="514" spans="2:5" ht="14.5" customHeight="1">
      <c r="B514" s="81"/>
      <c r="C514" s="62" t="s">
        <v>196</v>
      </c>
      <c r="D514" s="63">
        <v>2</v>
      </c>
      <c r="E514" s="64">
        <v>1.7389792192000001E-4</v>
      </c>
    </row>
    <row r="515" spans="2:5" ht="14.5" customHeight="1">
      <c r="B515" s="81"/>
      <c r="C515" s="62" t="s">
        <v>197</v>
      </c>
      <c r="D515" s="63">
        <v>2</v>
      </c>
      <c r="E515" s="64">
        <v>1.7389792192000001E-4</v>
      </c>
    </row>
    <row r="516" spans="2:5" ht="14.5" customHeight="1">
      <c r="B516" s="81"/>
      <c r="C516" s="62" t="s">
        <v>208</v>
      </c>
      <c r="D516" s="63">
        <v>2</v>
      </c>
      <c r="E516" s="64">
        <v>1.7389792192000001E-4</v>
      </c>
    </row>
    <row r="517" spans="2:5" ht="14.5" customHeight="1">
      <c r="B517" s="81"/>
      <c r="C517" s="62" t="s">
        <v>199</v>
      </c>
      <c r="D517" s="63">
        <v>3</v>
      </c>
      <c r="E517" s="64">
        <v>2.6084688287999997E-4</v>
      </c>
    </row>
    <row r="518" spans="2:5" ht="14.5" customHeight="1">
      <c r="B518" s="81"/>
      <c r="C518" s="62" t="s">
        <v>200</v>
      </c>
      <c r="D518" s="63">
        <v>4</v>
      </c>
      <c r="E518" s="64">
        <v>3.4779584384000002E-4</v>
      </c>
    </row>
    <row r="519" spans="2:5" ht="14.5" customHeight="1">
      <c r="B519" s="81"/>
      <c r="C519" s="62" t="s">
        <v>201</v>
      </c>
      <c r="D519" s="63">
        <v>3</v>
      </c>
      <c r="E519" s="64">
        <v>2.6084688287999997E-4</v>
      </c>
    </row>
    <row r="520" spans="2:5" ht="14.5" customHeight="1">
      <c r="B520" s="81"/>
      <c r="C520" s="62" t="s">
        <v>202</v>
      </c>
      <c r="D520" s="63">
        <v>2</v>
      </c>
      <c r="E520" s="64">
        <v>1.7389792192000001E-4</v>
      </c>
    </row>
    <row r="521" spans="2:5" ht="14.5" customHeight="1">
      <c r="B521" s="81"/>
      <c r="C521" s="62" t="s">
        <v>203</v>
      </c>
      <c r="D521" s="63">
        <v>6</v>
      </c>
      <c r="E521" s="64">
        <v>5.2169376575899999E-4</v>
      </c>
    </row>
    <row r="522" spans="2:5" ht="14.5" customHeight="1">
      <c r="B522" s="81"/>
      <c r="C522" s="62" t="s">
        <v>204</v>
      </c>
      <c r="D522" s="63">
        <v>16</v>
      </c>
      <c r="E522" s="64">
        <v>1.391183375359E-3</v>
      </c>
    </row>
    <row r="523" spans="2:5" ht="14.5" customHeight="1">
      <c r="B523" s="80"/>
      <c r="C523" s="36" t="s">
        <v>28</v>
      </c>
      <c r="D523" s="35">
        <v>65</v>
      </c>
      <c r="E523" s="34">
        <v>5.6516824623949998E-3</v>
      </c>
    </row>
    <row r="524" spans="2:5" ht="14.5" customHeight="1">
      <c r="B524" s="79" t="s">
        <v>81</v>
      </c>
      <c r="C524" s="62" t="s">
        <v>189</v>
      </c>
      <c r="D524" s="63">
        <v>1</v>
      </c>
      <c r="E524" s="64">
        <v>8.6948960960000005E-5</v>
      </c>
    </row>
    <row r="525" spans="2:5" ht="14.5" customHeight="1">
      <c r="B525" s="81"/>
      <c r="C525" s="62" t="s">
        <v>206</v>
      </c>
      <c r="D525" s="63">
        <v>2</v>
      </c>
      <c r="E525" s="64">
        <v>1.7389792192000001E-4</v>
      </c>
    </row>
    <row r="526" spans="2:5" ht="14.5" customHeight="1">
      <c r="B526" s="81"/>
      <c r="C526" s="62" t="s">
        <v>195</v>
      </c>
      <c r="D526" s="63">
        <v>4</v>
      </c>
      <c r="E526" s="64">
        <v>3.4779584384000002E-4</v>
      </c>
    </row>
    <row r="527" spans="2:5" ht="14.5" customHeight="1">
      <c r="B527" s="81"/>
      <c r="C527" s="62" t="s">
        <v>196</v>
      </c>
      <c r="D527" s="63">
        <v>2</v>
      </c>
      <c r="E527" s="64">
        <v>1.7389792192000001E-4</v>
      </c>
    </row>
    <row r="528" spans="2:5" ht="14.5" customHeight="1">
      <c r="B528" s="81"/>
      <c r="C528" s="62" t="s">
        <v>197</v>
      </c>
      <c r="D528" s="63">
        <v>3</v>
      </c>
      <c r="E528" s="64">
        <v>2.6084688287999997E-4</v>
      </c>
    </row>
    <row r="529" spans="2:5" ht="14.5" customHeight="1">
      <c r="B529" s="81"/>
      <c r="C529" s="62" t="s">
        <v>208</v>
      </c>
      <c r="D529" s="63">
        <v>1</v>
      </c>
      <c r="E529" s="64">
        <v>8.6948960960000005E-5</v>
      </c>
    </row>
    <row r="530" spans="2:5" ht="14.5" customHeight="1">
      <c r="B530" s="81"/>
      <c r="C530" s="62" t="s">
        <v>200</v>
      </c>
      <c r="D530" s="63">
        <v>8</v>
      </c>
      <c r="E530" s="64">
        <v>6.9559168767899997E-4</v>
      </c>
    </row>
    <row r="531" spans="2:5" ht="14.5" customHeight="1">
      <c r="B531" s="81"/>
      <c r="C531" s="62" t="s">
        <v>201</v>
      </c>
      <c r="D531" s="63">
        <v>1</v>
      </c>
      <c r="E531" s="64">
        <v>8.6948960960000005E-5</v>
      </c>
    </row>
    <row r="532" spans="2:5" ht="14.5" customHeight="1">
      <c r="B532" s="81"/>
      <c r="C532" s="62" t="s">
        <v>202</v>
      </c>
      <c r="D532" s="63">
        <v>1</v>
      </c>
      <c r="E532" s="64">
        <v>8.6948960960000005E-5</v>
      </c>
    </row>
    <row r="533" spans="2:5" ht="14.5" customHeight="1">
      <c r="B533" s="81"/>
      <c r="C533" s="62" t="s">
        <v>203</v>
      </c>
      <c r="D533" s="63">
        <v>1</v>
      </c>
      <c r="E533" s="64">
        <v>8.6948960960000005E-5</v>
      </c>
    </row>
    <row r="534" spans="2:5" ht="14.5" customHeight="1">
      <c r="B534" s="81"/>
      <c r="C534" s="62" t="s">
        <v>204</v>
      </c>
      <c r="D534" s="63">
        <v>5</v>
      </c>
      <c r="E534" s="64">
        <v>4.3474480480000001E-4</v>
      </c>
    </row>
    <row r="535" spans="2:5" ht="14.5" customHeight="1">
      <c r="B535" s="81"/>
      <c r="C535" s="62" t="s">
        <v>210</v>
      </c>
      <c r="D535" s="63">
        <v>1</v>
      </c>
      <c r="E535" s="64">
        <v>8.6948960960000005E-5</v>
      </c>
    </row>
    <row r="536" spans="2:5" ht="14.5" customHeight="1">
      <c r="B536" s="80"/>
      <c r="C536" s="36" t="s">
        <v>28</v>
      </c>
      <c r="D536" s="35">
        <v>30</v>
      </c>
      <c r="E536" s="34">
        <v>2.6084688287969999E-3</v>
      </c>
    </row>
    <row r="537" spans="2:5" ht="14.5" customHeight="1">
      <c r="B537" s="79" t="s">
        <v>52</v>
      </c>
      <c r="C537" s="62" t="s">
        <v>189</v>
      </c>
      <c r="D537" s="63">
        <v>21</v>
      </c>
      <c r="E537" s="64">
        <v>1.8259281801579999E-3</v>
      </c>
    </row>
    <row r="538" spans="2:5" ht="14.5" customHeight="1">
      <c r="B538" s="81"/>
      <c r="C538" s="62" t="s">
        <v>219</v>
      </c>
      <c r="D538" s="63">
        <v>4</v>
      </c>
      <c r="E538" s="64">
        <v>3.4779584384000002E-4</v>
      </c>
    </row>
    <row r="539" spans="2:5" ht="14.5" customHeight="1">
      <c r="B539" s="81"/>
      <c r="C539" s="62" t="s">
        <v>205</v>
      </c>
      <c r="D539" s="63">
        <v>1</v>
      </c>
      <c r="E539" s="64">
        <v>8.6948960960000005E-5</v>
      </c>
    </row>
    <row r="540" spans="2:5" ht="14.5" customHeight="1">
      <c r="B540" s="81"/>
      <c r="C540" s="62" t="s">
        <v>190</v>
      </c>
      <c r="D540" s="63">
        <v>1</v>
      </c>
      <c r="E540" s="64">
        <v>8.6948960960000005E-5</v>
      </c>
    </row>
    <row r="541" spans="2:5" ht="14.5" customHeight="1">
      <c r="B541" s="81"/>
      <c r="C541" s="62" t="s">
        <v>191</v>
      </c>
      <c r="D541" s="63">
        <v>1</v>
      </c>
      <c r="E541" s="64">
        <v>8.6948960960000005E-5</v>
      </c>
    </row>
    <row r="542" spans="2:5" ht="14.5" customHeight="1">
      <c r="B542" s="81"/>
      <c r="C542" s="62" t="s">
        <v>206</v>
      </c>
      <c r="D542" s="63">
        <v>41</v>
      </c>
      <c r="E542" s="64">
        <v>3.5649073993570001E-3</v>
      </c>
    </row>
    <row r="543" spans="2:5" ht="14.5" customHeight="1">
      <c r="B543" s="81"/>
      <c r="C543" s="62" t="s">
        <v>215</v>
      </c>
      <c r="D543" s="63">
        <v>3</v>
      </c>
      <c r="E543" s="64">
        <v>2.6084688287999997E-4</v>
      </c>
    </row>
    <row r="544" spans="2:5" ht="14.5" customHeight="1">
      <c r="B544" s="81"/>
      <c r="C544" s="62" t="s">
        <v>193</v>
      </c>
      <c r="D544" s="63">
        <v>34</v>
      </c>
      <c r="E544" s="64">
        <v>2.956264672637E-3</v>
      </c>
    </row>
    <row r="545" spans="2:5" ht="14.5" customHeight="1">
      <c r="B545" s="81"/>
      <c r="C545" s="62" t="s">
        <v>194</v>
      </c>
      <c r="D545" s="63">
        <v>31</v>
      </c>
      <c r="E545" s="64">
        <v>2.6954177897570001E-3</v>
      </c>
    </row>
    <row r="546" spans="2:5" ht="14.5" customHeight="1">
      <c r="B546" s="81"/>
      <c r="C546" s="62" t="s">
        <v>220</v>
      </c>
      <c r="D546" s="63">
        <v>1</v>
      </c>
      <c r="E546" s="64">
        <v>8.6948960960000005E-5</v>
      </c>
    </row>
    <row r="547" spans="2:5" ht="14.5" customHeight="1">
      <c r="B547" s="81"/>
      <c r="C547" s="62" t="s">
        <v>195</v>
      </c>
      <c r="D547" s="63">
        <v>29</v>
      </c>
      <c r="E547" s="64">
        <v>2.5215198678380001E-3</v>
      </c>
    </row>
    <row r="548" spans="2:5" ht="14.5" customHeight="1">
      <c r="B548" s="81"/>
      <c r="C548" s="62" t="s">
        <v>225</v>
      </c>
      <c r="D548" s="63">
        <v>3</v>
      </c>
      <c r="E548" s="64">
        <v>2.6084688287999997E-4</v>
      </c>
    </row>
    <row r="549" spans="2:5" ht="14.5" customHeight="1">
      <c r="B549" s="81"/>
      <c r="C549" s="62" t="s">
        <v>223</v>
      </c>
      <c r="D549" s="63">
        <v>11</v>
      </c>
      <c r="E549" s="64">
        <v>9.56438570559E-4</v>
      </c>
    </row>
    <row r="550" spans="2:5" ht="14.5" customHeight="1">
      <c r="B550" s="81"/>
      <c r="C550" s="62" t="s">
        <v>212</v>
      </c>
      <c r="D550" s="63">
        <v>3</v>
      </c>
      <c r="E550" s="64">
        <v>2.6084688287999997E-4</v>
      </c>
    </row>
    <row r="551" spans="2:5" ht="14.5" customHeight="1">
      <c r="B551" s="81"/>
      <c r="C551" s="62" t="s">
        <v>197</v>
      </c>
      <c r="D551" s="63">
        <v>22</v>
      </c>
      <c r="E551" s="64">
        <v>1.912877141118E-3</v>
      </c>
    </row>
    <row r="552" spans="2:5" ht="14.5" customHeight="1">
      <c r="B552" s="81"/>
      <c r="C552" s="62" t="s">
        <v>208</v>
      </c>
      <c r="D552" s="63">
        <v>1</v>
      </c>
      <c r="E552" s="64">
        <v>8.6948960960000005E-5</v>
      </c>
    </row>
    <row r="553" spans="2:5" ht="14.5" customHeight="1">
      <c r="B553" s="81"/>
      <c r="C553" s="62" t="s">
        <v>199</v>
      </c>
      <c r="D553" s="63">
        <v>3</v>
      </c>
      <c r="E553" s="64">
        <v>2.6084688287999997E-4</v>
      </c>
    </row>
    <row r="554" spans="2:5" ht="14.5" customHeight="1">
      <c r="B554" s="81"/>
      <c r="C554" s="62" t="s">
        <v>200</v>
      </c>
      <c r="D554" s="63">
        <v>15</v>
      </c>
      <c r="E554" s="64">
        <v>1.304234414399E-3</v>
      </c>
    </row>
    <row r="555" spans="2:5" ht="14.5" customHeight="1">
      <c r="B555" s="81"/>
      <c r="C555" s="62" t="s">
        <v>201</v>
      </c>
      <c r="D555" s="63">
        <v>4</v>
      </c>
      <c r="E555" s="64">
        <v>3.4779584384000002E-4</v>
      </c>
    </row>
    <row r="556" spans="2:5" ht="14.5" customHeight="1">
      <c r="B556" s="81"/>
      <c r="C556" s="62" t="s">
        <v>202</v>
      </c>
      <c r="D556" s="63">
        <v>19</v>
      </c>
      <c r="E556" s="64">
        <v>1.6520302582380001E-3</v>
      </c>
    </row>
    <row r="557" spans="2:5" ht="14.5" customHeight="1">
      <c r="B557" s="81"/>
      <c r="C557" s="62" t="s">
        <v>203</v>
      </c>
      <c r="D557" s="63">
        <v>27</v>
      </c>
      <c r="E557" s="64">
        <v>2.347621945918E-3</v>
      </c>
    </row>
    <row r="558" spans="2:5" ht="14.5" customHeight="1">
      <c r="B558" s="81"/>
      <c r="C558" s="62" t="s">
        <v>209</v>
      </c>
      <c r="D558" s="63">
        <v>2</v>
      </c>
      <c r="E558" s="64">
        <v>1.7389792192000001E-4</v>
      </c>
    </row>
    <row r="559" spans="2:5" ht="14.5" customHeight="1">
      <c r="B559" s="81"/>
      <c r="C559" s="62" t="s">
        <v>204</v>
      </c>
      <c r="D559" s="63">
        <v>123</v>
      </c>
      <c r="E559" s="64">
        <v>1.069472219807E-2</v>
      </c>
    </row>
    <row r="560" spans="2:5" ht="14.5" customHeight="1">
      <c r="B560" s="81"/>
      <c r="C560" s="62" t="s">
        <v>210</v>
      </c>
      <c r="D560" s="63">
        <v>14</v>
      </c>
      <c r="E560" s="64">
        <v>1.2172854534389999E-3</v>
      </c>
    </row>
    <row r="561" spans="2:5" ht="14.5" customHeight="1">
      <c r="B561" s="81"/>
      <c r="C561" s="62" t="s">
        <v>221</v>
      </c>
      <c r="D561" s="63">
        <v>1</v>
      </c>
      <c r="E561" s="64">
        <v>8.6948960960000005E-5</v>
      </c>
    </row>
    <row r="562" spans="2:5" ht="14.5" customHeight="1">
      <c r="B562" s="81"/>
      <c r="C562" s="62" t="s">
        <v>216</v>
      </c>
      <c r="D562" s="63">
        <v>3</v>
      </c>
      <c r="E562" s="64">
        <v>2.6084688287999997E-4</v>
      </c>
    </row>
    <row r="563" spans="2:5" ht="14.5" customHeight="1">
      <c r="B563" s="80"/>
      <c r="C563" s="36" t="s">
        <v>28</v>
      </c>
      <c r="D563" s="35">
        <v>418</v>
      </c>
      <c r="E563" s="34">
        <v>3.6344665681245003E-2</v>
      </c>
    </row>
    <row r="564" spans="2:5" ht="14.5" customHeight="1">
      <c r="B564" s="79" t="s">
        <v>74</v>
      </c>
      <c r="C564" s="62" t="s">
        <v>189</v>
      </c>
      <c r="D564" s="63">
        <v>3</v>
      </c>
      <c r="E564" s="64">
        <v>2.6084688287999997E-4</v>
      </c>
    </row>
    <row r="565" spans="2:5" ht="14.5" customHeight="1">
      <c r="B565" s="81"/>
      <c r="C565" s="62" t="s">
        <v>190</v>
      </c>
      <c r="D565" s="63">
        <v>1</v>
      </c>
      <c r="E565" s="64">
        <v>8.6948960960000005E-5</v>
      </c>
    </row>
    <row r="566" spans="2:5" ht="14.5" customHeight="1">
      <c r="B566" s="81"/>
      <c r="C566" s="62" t="s">
        <v>206</v>
      </c>
      <c r="D566" s="63">
        <v>3</v>
      </c>
      <c r="E566" s="64">
        <v>2.6084688287999997E-4</v>
      </c>
    </row>
    <row r="567" spans="2:5" ht="14.5" customHeight="1">
      <c r="B567" s="81"/>
      <c r="C567" s="62" t="s">
        <v>207</v>
      </c>
      <c r="D567" s="63">
        <v>1</v>
      </c>
      <c r="E567" s="64">
        <v>8.6948960960000005E-5</v>
      </c>
    </row>
    <row r="568" spans="2:5" ht="14.5" customHeight="1">
      <c r="B568" s="81"/>
      <c r="C568" s="62" t="s">
        <v>213</v>
      </c>
      <c r="D568" s="63">
        <v>1</v>
      </c>
      <c r="E568" s="64">
        <v>8.6948960960000005E-5</v>
      </c>
    </row>
    <row r="569" spans="2:5" ht="14.5" customHeight="1">
      <c r="B569" s="81"/>
      <c r="C569" s="62" t="s">
        <v>193</v>
      </c>
      <c r="D569" s="63">
        <v>3</v>
      </c>
      <c r="E569" s="64">
        <v>2.6084688287999997E-4</v>
      </c>
    </row>
    <row r="570" spans="2:5" ht="14.5" customHeight="1">
      <c r="B570" s="81"/>
      <c r="C570" s="62" t="s">
        <v>194</v>
      </c>
      <c r="D570" s="63">
        <v>2</v>
      </c>
      <c r="E570" s="64">
        <v>1.7389792192000001E-4</v>
      </c>
    </row>
    <row r="571" spans="2:5" ht="14.5" customHeight="1">
      <c r="B571" s="81"/>
      <c r="C571" s="62" t="s">
        <v>197</v>
      </c>
      <c r="D571" s="63">
        <v>1</v>
      </c>
      <c r="E571" s="64">
        <v>8.6948960960000005E-5</v>
      </c>
    </row>
    <row r="572" spans="2:5" ht="14.5" customHeight="1">
      <c r="B572" s="81"/>
      <c r="C572" s="62" t="s">
        <v>199</v>
      </c>
      <c r="D572" s="63">
        <v>2</v>
      </c>
      <c r="E572" s="64">
        <v>1.7389792192000001E-4</v>
      </c>
    </row>
    <row r="573" spans="2:5" ht="14.5" customHeight="1">
      <c r="B573" s="81"/>
      <c r="C573" s="62" t="s">
        <v>200</v>
      </c>
      <c r="D573" s="63">
        <v>1</v>
      </c>
      <c r="E573" s="64">
        <v>8.6948960960000005E-5</v>
      </c>
    </row>
    <row r="574" spans="2:5" ht="14.5" customHeight="1">
      <c r="B574" s="81"/>
      <c r="C574" s="62" t="s">
        <v>202</v>
      </c>
      <c r="D574" s="63">
        <v>1</v>
      </c>
      <c r="E574" s="64">
        <v>8.6948960960000005E-5</v>
      </c>
    </row>
    <row r="575" spans="2:5" ht="14.5" customHeight="1">
      <c r="B575" s="81"/>
      <c r="C575" s="62" t="s">
        <v>203</v>
      </c>
      <c r="D575" s="63">
        <v>3</v>
      </c>
      <c r="E575" s="64">
        <v>2.6084688287999997E-4</v>
      </c>
    </row>
    <row r="576" spans="2:5" ht="14.5" customHeight="1">
      <c r="B576" s="81"/>
      <c r="C576" s="62" t="s">
        <v>204</v>
      </c>
      <c r="D576" s="63">
        <v>43</v>
      </c>
      <c r="E576" s="64">
        <v>3.7388053212760002E-3</v>
      </c>
    </row>
    <row r="577" spans="2:5" ht="14.5" customHeight="1">
      <c r="B577" s="81"/>
      <c r="C577" s="62" t="s">
        <v>216</v>
      </c>
      <c r="D577" s="63">
        <v>1</v>
      </c>
      <c r="E577" s="64">
        <v>8.6948960960000005E-5</v>
      </c>
    </row>
    <row r="578" spans="2:5" ht="14.5" customHeight="1">
      <c r="B578" s="80"/>
      <c r="C578" s="36" t="s">
        <v>28</v>
      </c>
      <c r="D578" s="35">
        <v>66</v>
      </c>
      <c r="E578" s="34">
        <v>5.7386314233540004E-3</v>
      </c>
    </row>
    <row r="579" spans="2:5" ht="14.5" customHeight="1">
      <c r="B579" s="79" t="s">
        <v>66</v>
      </c>
      <c r="C579" s="62" t="s">
        <v>211</v>
      </c>
      <c r="D579" s="63">
        <v>1</v>
      </c>
      <c r="E579" s="64">
        <v>8.6948960960000005E-5</v>
      </c>
    </row>
    <row r="580" spans="2:5" ht="14.5" customHeight="1">
      <c r="B580" s="81"/>
      <c r="C580" s="62" t="s">
        <v>189</v>
      </c>
      <c r="D580" s="63">
        <v>4</v>
      </c>
      <c r="E580" s="64">
        <v>3.4779584384000002E-4</v>
      </c>
    </row>
    <row r="581" spans="2:5" ht="14.5" customHeight="1">
      <c r="B581" s="81"/>
      <c r="C581" s="62" t="s">
        <v>190</v>
      </c>
      <c r="D581" s="63">
        <v>2</v>
      </c>
      <c r="E581" s="64">
        <v>1.7389792192000001E-4</v>
      </c>
    </row>
    <row r="582" spans="2:5" ht="14.5" customHeight="1">
      <c r="B582" s="81"/>
      <c r="C582" s="62" t="s">
        <v>206</v>
      </c>
      <c r="D582" s="63">
        <v>3</v>
      </c>
      <c r="E582" s="64">
        <v>2.6084688287999997E-4</v>
      </c>
    </row>
    <row r="583" spans="2:5" ht="14.5" customHeight="1">
      <c r="B583" s="81"/>
      <c r="C583" s="62" t="s">
        <v>213</v>
      </c>
      <c r="D583" s="63">
        <v>1</v>
      </c>
      <c r="E583" s="64">
        <v>8.6948960960000005E-5</v>
      </c>
    </row>
    <row r="584" spans="2:5" ht="14.5" customHeight="1">
      <c r="B584" s="81"/>
      <c r="C584" s="62" t="s">
        <v>214</v>
      </c>
      <c r="D584" s="63">
        <v>1</v>
      </c>
      <c r="E584" s="64">
        <v>8.6948960960000005E-5</v>
      </c>
    </row>
    <row r="585" spans="2:5" ht="14.5" customHeight="1">
      <c r="B585" s="81"/>
      <c r="C585" s="62" t="s">
        <v>193</v>
      </c>
      <c r="D585" s="63">
        <v>3</v>
      </c>
      <c r="E585" s="64">
        <v>2.6084688287999997E-4</v>
      </c>
    </row>
    <row r="586" spans="2:5" ht="14.5" customHeight="1">
      <c r="B586" s="81"/>
      <c r="C586" s="62" t="s">
        <v>194</v>
      </c>
      <c r="D586" s="63">
        <v>21</v>
      </c>
      <c r="E586" s="64">
        <v>1.8259281801579999E-3</v>
      </c>
    </row>
    <row r="587" spans="2:5" ht="14.5" customHeight="1">
      <c r="B587" s="81"/>
      <c r="C587" s="62" t="s">
        <v>195</v>
      </c>
      <c r="D587" s="63">
        <v>28</v>
      </c>
      <c r="E587" s="64">
        <v>2.4345709068779998E-3</v>
      </c>
    </row>
    <row r="588" spans="2:5" ht="14.5" customHeight="1">
      <c r="B588" s="81"/>
      <c r="C588" s="62" t="s">
        <v>197</v>
      </c>
      <c r="D588" s="63">
        <v>19</v>
      </c>
      <c r="E588" s="64">
        <v>1.6520302582380001E-3</v>
      </c>
    </row>
    <row r="589" spans="2:5" ht="14.5" customHeight="1">
      <c r="B589" s="81"/>
      <c r="C589" s="62" t="s">
        <v>208</v>
      </c>
      <c r="D589" s="63">
        <v>1</v>
      </c>
      <c r="E589" s="64">
        <v>8.6948960960000005E-5</v>
      </c>
    </row>
    <row r="590" spans="2:5" ht="14.5" customHeight="1">
      <c r="B590" s="81"/>
      <c r="C590" s="62" t="s">
        <v>199</v>
      </c>
      <c r="D590" s="63">
        <v>2</v>
      </c>
      <c r="E590" s="64">
        <v>1.7389792192000001E-4</v>
      </c>
    </row>
    <row r="591" spans="2:5" ht="14.5" customHeight="1">
      <c r="B591" s="81"/>
      <c r="C591" s="62" t="s">
        <v>200</v>
      </c>
      <c r="D591" s="63">
        <v>1</v>
      </c>
      <c r="E591" s="64">
        <v>8.6948960960000005E-5</v>
      </c>
    </row>
    <row r="592" spans="2:5" ht="14.5" customHeight="1">
      <c r="B592" s="81"/>
      <c r="C592" s="62" t="s">
        <v>202</v>
      </c>
      <c r="D592" s="63">
        <v>5</v>
      </c>
      <c r="E592" s="64">
        <v>4.3474480480000001E-4</v>
      </c>
    </row>
    <row r="593" spans="2:5" ht="14.5" customHeight="1">
      <c r="B593" s="81"/>
      <c r="C593" s="62" t="s">
        <v>203</v>
      </c>
      <c r="D593" s="63">
        <v>3</v>
      </c>
      <c r="E593" s="64">
        <v>2.6084688287999997E-4</v>
      </c>
    </row>
    <row r="594" spans="2:5" ht="14.5" customHeight="1">
      <c r="B594" s="81"/>
      <c r="C594" s="62" t="s">
        <v>204</v>
      </c>
      <c r="D594" s="63">
        <v>19</v>
      </c>
      <c r="E594" s="64">
        <v>1.6520302582380001E-3</v>
      </c>
    </row>
    <row r="595" spans="2:5" ht="14.5" customHeight="1">
      <c r="B595" s="81"/>
      <c r="C595" s="62" t="s">
        <v>216</v>
      </c>
      <c r="D595" s="63">
        <v>3</v>
      </c>
      <c r="E595" s="64">
        <v>2.6084688287999997E-4</v>
      </c>
    </row>
    <row r="596" spans="2:5" ht="14.5" customHeight="1">
      <c r="B596" s="80"/>
      <c r="C596" s="36" t="s">
        <v>28</v>
      </c>
      <c r="D596" s="35">
        <v>117</v>
      </c>
      <c r="E596" s="34">
        <v>1.0173028432309999E-2</v>
      </c>
    </row>
    <row r="597" spans="2:5" ht="14.5" customHeight="1">
      <c r="B597" s="79" t="s">
        <v>90</v>
      </c>
      <c r="C597" s="62" t="s">
        <v>193</v>
      </c>
      <c r="D597" s="63">
        <v>1</v>
      </c>
      <c r="E597" s="64">
        <v>8.6948960960000005E-5</v>
      </c>
    </row>
    <row r="598" spans="2:5" ht="14.5" customHeight="1">
      <c r="B598" s="81"/>
      <c r="C598" s="62" t="s">
        <v>203</v>
      </c>
      <c r="D598" s="63">
        <v>1</v>
      </c>
      <c r="E598" s="64">
        <v>8.6948960960000005E-5</v>
      </c>
    </row>
    <row r="599" spans="2:5" ht="14.5" customHeight="1">
      <c r="B599" s="81"/>
      <c r="C599" s="62" t="s">
        <v>204</v>
      </c>
      <c r="D599" s="63">
        <v>10</v>
      </c>
      <c r="E599" s="64">
        <v>8.6948960959899995E-4</v>
      </c>
    </row>
    <row r="600" spans="2:5" ht="14.5" customHeight="1">
      <c r="B600" s="81"/>
      <c r="C600" s="62" t="s">
        <v>210</v>
      </c>
      <c r="D600" s="63">
        <v>1</v>
      </c>
      <c r="E600" s="64">
        <v>8.6948960960000005E-5</v>
      </c>
    </row>
    <row r="601" spans="2:5" ht="14.5" customHeight="1">
      <c r="B601" s="80"/>
      <c r="C601" s="36" t="s">
        <v>28</v>
      </c>
      <c r="D601" s="35">
        <v>13</v>
      </c>
      <c r="E601" s="34">
        <v>1.1303364924790001E-3</v>
      </c>
    </row>
    <row r="602" spans="2:5" ht="14.5" customHeight="1">
      <c r="B602" s="79" t="s">
        <v>72</v>
      </c>
      <c r="C602" s="62" t="s">
        <v>189</v>
      </c>
      <c r="D602" s="63">
        <v>2</v>
      </c>
      <c r="E602" s="64">
        <v>1.7389792192000001E-4</v>
      </c>
    </row>
    <row r="603" spans="2:5" ht="14.5" customHeight="1">
      <c r="B603" s="81"/>
      <c r="C603" s="62" t="s">
        <v>205</v>
      </c>
      <c r="D603" s="63">
        <v>1</v>
      </c>
      <c r="E603" s="64">
        <v>8.6948960960000005E-5</v>
      </c>
    </row>
    <row r="604" spans="2:5" ht="14.5" customHeight="1">
      <c r="B604" s="81"/>
      <c r="C604" s="62" t="s">
        <v>206</v>
      </c>
      <c r="D604" s="63">
        <v>3</v>
      </c>
      <c r="E604" s="64">
        <v>2.6084688287999997E-4</v>
      </c>
    </row>
    <row r="605" spans="2:5" ht="14.5" customHeight="1">
      <c r="B605" s="81"/>
      <c r="C605" s="62" t="s">
        <v>193</v>
      </c>
      <c r="D605" s="63">
        <v>8</v>
      </c>
      <c r="E605" s="64">
        <v>6.9559168767899997E-4</v>
      </c>
    </row>
    <row r="606" spans="2:5" ht="14.5" customHeight="1">
      <c r="B606" s="81"/>
      <c r="C606" s="62" t="s">
        <v>194</v>
      </c>
      <c r="D606" s="63">
        <v>6</v>
      </c>
      <c r="E606" s="64">
        <v>5.2169376575899999E-4</v>
      </c>
    </row>
    <row r="607" spans="2:5" ht="14.5" customHeight="1">
      <c r="B607" s="81"/>
      <c r="C607" s="62" t="s">
        <v>195</v>
      </c>
      <c r="D607" s="63">
        <v>3</v>
      </c>
      <c r="E607" s="64">
        <v>2.6084688287999997E-4</v>
      </c>
    </row>
    <row r="608" spans="2:5" ht="14.5" customHeight="1">
      <c r="B608" s="81"/>
      <c r="C608" s="62" t="s">
        <v>196</v>
      </c>
      <c r="D608" s="63">
        <v>1</v>
      </c>
      <c r="E608" s="64">
        <v>8.6948960960000005E-5</v>
      </c>
    </row>
    <row r="609" spans="2:5" ht="14.5" customHeight="1">
      <c r="B609" s="81"/>
      <c r="C609" s="62" t="s">
        <v>197</v>
      </c>
      <c r="D609" s="63">
        <v>2</v>
      </c>
      <c r="E609" s="64">
        <v>1.7389792192000001E-4</v>
      </c>
    </row>
    <row r="610" spans="2:5" ht="14.5" customHeight="1">
      <c r="B610" s="81"/>
      <c r="C610" s="62" t="s">
        <v>200</v>
      </c>
      <c r="D610" s="63">
        <v>4</v>
      </c>
      <c r="E610" s="64">
        <v>3.4779584384000002E-4</v>
      </c>
    </row>
    <row r="611" spans="2:5" ht="14.5" customHeight="1">
      <c r="B611" s="81"/>
      <c r="C611" s="62" t="s">
        <v>203</v>
      </c>
      <c r="D611" s="63">
        <v>4</v>
      </c>
      <c r="E611" s="64">
        <v>3.4779584384000002E-4</v>
      </c>
    </row>
    <row r="612" spans="2:5" ht="14.5" customHeight="1">
      <c r="B612" s="81"/>
      <c r="C612" s="62" t="s">
        <v>204</v>
      </c>
      <c r="D612" s="63">
        <v>42</v>
      </c>
      <c r="E612" s="64">
        <v>3.6518563603159999E-3</v>
      </c>
    </row>
    <row r="613" spans="2:5" ht="14.5" customHeight="1">
      <c r="B613" s="80"/>
      <c r="C613" s="36" t="s">
        <v>28</v>
      </c>
      <c r="D613" s="35">
        <v>76</v>
      </c>
      <c r="E613" s="34">
        <v>6.6081210329540004E-3</v>
      </c>
    </row>
    <row r="614" spans="2:5" ht="14.5" customHeight="1">
      <c r="B614" s="79" t="s">
        <v>94</v>
      </c>
      <c r="C614" s="62" t="s">
        <v>197</v>
      </c>
      <c r="D614" s="63">
        <v>1</v>
      </c>
      <c r="E614" s="64">
        <v>8.6948960960000005E-5</v>
      </c>
    </row>
    <row r="615" spans="2:5" ht="14.5" customHeight="1">
      <c r="B615" s="81"/>
      <c r="C615" s="62" t="s">
        <v>208</v>
      </c>
      <c r="D615" s="63">
        <v>1</v>
      </c>
      <c r="E615" s="64">
        <v>8.6948960960000005E-5</v>
      </c>
    </row>
    <row r="616" spans="2:5" ht="14.5" customHeight="1">
      <c r="B616" s="81"/>
      <c r="C616" s="62" t="s">
        <v>204</v>
      </c>
      <c r="D616" s="63">
        <v>4</v>
      </c>
      <c r="E616" s="64">
        <v>3.4779584384000002E-4</v>
      </c>
    </row>
    <row r="617" spans="2:5" ht="14.5" customHeight="1">
      <c r="B617" s="80"/>
      <c r="C617" s="36" t="s">
        <v>28</v>
      </c>
      <c r="D617" s="35">
        <v>6</v>
      </c>
      <c r="E617" s="34">
        <v>5.2169376575899999E-4</v>
      </c>
    </row>
    <row r="618" spans="2:5" ht="14.5" customHeight="1">
      <c r="B618" s="79" t="s">
        <v>64</v>
      </c>
      <c r="C618" s="62" t="s">
        <v>189</v>
      </c>
      <c r="D618" s="63">
        <v>14</v>
      </c>
      <c r="E618" s="64">
        <v>1.2172854534389999E-3</v>
      </c>
    </row>
    <row r="619" spans="2:5" ht="14.5" customHeight="1">
      <c r="B619" s="81"/>
      <c r="C619" s="62" t="s">
        <v>219</v>
      </c>
      <c r="D619" s="63">
        <v>1</v>
      </c>
      <c r="E619" s="64">
        <v>8.6948960960000005E-5</v>
      </c>
    </row>
    <row r="620" spans="2:5" ht="14.5" customHeight="1">
      <c r="B620" s="81"/>
      <c r="C620" s="62" t="s">
        <v>205</v>
      </c>
      <c r="D620" s="63">
        <v>1</v>
      </c>
      <c r="E620" s="64">
        <v>8.6948960960000005E-5</v>
      </c>
    </row>
    <row r="621" spans="2:5" ht="14.5" customHeight="1">
      <c r="B621" s="81"/>
      <c r="C621" s="62" t="s">
        <v>190</v>
      </c>
      <c r="D621" s="63">
        <v>1</v>
      </c>
      <c r="E621" s="64">
        <v>8.6948960960000005E-5</v>
      </c>
    </row>
    <row r="622" spans="2:5" ht="14.5" customHeight="1">
      <c r="B622" s="81"/>
      <c r="C622" s="62" t="s">
        <v>191</v>
      </c>
      <c r="D622" s="63">
        <v>14</v>
      </c>
      <c r="E622" s="64">
        <v>1.2172854534389999E-3</v>
      </c>
    </row>
    <row r="623" spans="2:5" ht="14.5" customHeight="1">
      <c r="B623" s="81"/>
      <c r="C623" s="62" t="s">
        <v>215</v>
      </c>
      <c r="D623" s="63">
        <v>1</v>
      </c>
      <c r="E623" s="64">
        <v>8.6948960960000005E-5</v>
      </c>
    </row>
    <row r="624" spans="2:5" ht="14.5" customHeight="1">
      <c r="B624" s="81"/>
      <c r="C624" s="62" t="s">
        <v>193</v>
      </c>
      <c r="D624" s="63">
        <v>2</v>
      </c>
      <c r="E624" s="64">
        <v>1.7389792192000001E-4</v>
      </c>
    </row>
    <row r="625" spans="2:5" ht="14.5" customHeight="1">
      <c r="B625" s="81"/>
      <c r="C625" s="62" t="s">
        <v>194</v>
      </c>
      <c r="D625" s="63">
        <v>20</v>
      </c>
      <c r="E625" s="64">
        <v>1.7389792191979999E-3</v>
      </c>
    </row>
    <row r="626" spans="2:5" ht="14.5" customHeight="1">
      <c r="B626" s="81"/>
      <c r="C626" s="62" t="s">
        <v>195</v>
      </c>
      <c r="D626" s="63">
        <v>12</v>
      </c>
      <c r="E626" s="64">
        <v>1.043387531519E-3</v>
      </c>
    </row>
    <row r="627" spans="2:5" ht="14.5" customHeight="1">
      <c r="B627" s="81"/>
      <c r="C627" s="62" t="s">
        <v>212</v>
      </c>
      <c r="D627" s="63">
        <v>19</v>
      </c>
      <c r="E627" s="64">
        <v>1.6520302582380001E-3</v>
      </c>
    </row>
    <row r="628" spans="2:5" ht="14.5" customHeight="1">
      <c r="B628" s="81"/>
      <c r="C628" s="62" t="s">
        <v>197</v>
      </c>
      <c r="D628" s="63">
        <v>6</v>
      </c>
      <c r="E628" s="64">
        <v>5.2169376575899999E-4</v>
      </c>
    </row>
    <row r="629" spans="2:5" ht="14.5" customHeight="1">
      <c r="B629" s="81"/>
      <c r="C629" s="62" t="s">
        <v>199</v>
      </c>
      <c r="D629" s="63">
        <v>1</v>
      </c>
      <c r="E629" s="64">
        <v>8.6948960960000005E-5</v>
      </c>
    </row>
    <row r="630" spans="2:5" ht="14.5" customHeight="1">
      <c r="B630" s="81"/>
      <c r="C630" s="62" t="s">
        <v>200</v>
      </c>
      <c r="D630" s="63">
        <v>2</v>
      </c>
      <c r="E630" s="64">
        <v>1.7389792192000001E-4</v>
      </c>
    </row>
    <row r="631" spans="2:5" ht="14.5" customHeight="1">
      <c r="B631" s="81"/>
      <c r="C631" s="62" t="s">
        <v>201</v>
      </c>
      <c r="D631" s="63">
        <v>5</v>
      </c>
      <c r="E631" s="64">
        <v>4.3474480480000001E-4</v>
      </c>
    </row>
    <row r="632" spans="2:5" ht="14.5" customHeight="1">
      <c r="B632" s="81"/>
      <c r="C632" s="62" t="s">
        <v>202</v>
      </c>
      <c r="D632" s="63">
        <v>2</v>
      </c>
      <c r="E632" s="64">
        <v>1.7389792192000001E-4</v>
      </c>
    </row>
    <row r="633" spans="2:5" ht="14.5" customHeight="1">
      <c r="B633" s="81"/>
      <c r="C633" s="62" t="s">
        <v>203</v>
      </c>
      <c r="D633" s="63">
        <v>5</v>
      </c>
      <c r="E633" s="64">
        <v>4.3474480480000001E-4</v>
      </c>
    </row>
    <row r="634" spans="2:5" ht="14.5" customHeight="1">
      <c r="B634" s="81"/>
      <c r="C634" s="62" t="s">
        <v>209</v>
      </c>
      <c r="D634" s="63">
        <v>1</v>
      </c>
      <c r="E634" s="64">
        <v>8.6948960960000005E-5</v>
      </c>
    </row>
    <row r="635" spans="2:5" ht="14.5" customHeight="1">
      <c r="B635" s="81"/>
      <c r="C635" s="62" t="s">
        <v>204</v>
      </c>
      <c r="D635" s="63">
        <v>22</v>
      </c>
      <c r="E635" s="64">
        <v>1.912877141118E-3</v>
      </c>
    </row>
    <row r="636" spans="2:5" ht="14.5" customHeight="1">
      <c r="B636" s="80"/>
      <c r="C636" s="36" t="s">
        <v>28</v>
      </c>
      <c r="D636" s="35">
        <v>129</v>
      </c>
      <c r="E636" s="34">
        <v>1.1216415963829E-2</v>
      </c>
    </row>
    <row r="637" spans="2:5" ht="14.5" customHeight="1">
      <c r="B637" s="79" t="s">
        <v>61</v>
      </c>
      <c r="C637" s="62" t="s">
        <v>189</v>
      </c>
      <c r="D637" s="63">
        <v>2</v>
      </c>
      <c r="E637" s="64">
        <v>1.7389792192000001E-4</v>
      </c>
    </row>
    <row r="638" spans="2:5" ht="14.5" customHeight="1">
      <c r="B638" s="81"/>
      <c r="C638" s="62" t="s">
        <v>219</v>
      </c>
      <c r="D638" s="63">
        <v>1</v>
      </c>
      <c r="E638" s="64">
        <v>8.6948960960000005E-5</v>
      </c>
    </row>
    <row r="639" spans="2:5" ht="14.5" customHeight="1">
      <c r="B639" s="81"/>
      <c r="C639" s="62" t="s">
        <v>190</v>
      </c>
      <c r="D639" s="63">
        <v>2</v>
      </c>
      <c r="E639" s="64">
        <v>1.7389792192000001E-4</v>
      </c>
    </row>
    <row r="640" spans="2:5" ht="14.5" customHeight="1">
      <c r="B640" s="81"/>
      <c r="C640" s="62" t="s">
        <v>206</v>
      </c>
      <c r="D640" s="63">
        <v>10</v>
      </c>
      <c r="E640" s="64">
        <v>8.6948960959899995E-4</v>
      </c>
    </row>
    <row r="641" spans="2:5" ht="14.5" customHeight="1">
      <c r="B641" s="81"/>
      <c r="C641" s="62" t="s">
        <v>207</v>
      </c>
      <c r="D641" s="63">
        <v>2</v>
      </c>
      <c r="E641" s="64">
        <v>1.7389792192000001E-4</v>
      </c>
    </row>
    <row r="642" spans="2:5" ht="14.5" customHeight="1">
      <c r="B642" s="81"/>
      <c r="C642" s="62" t="s">
        <v>193</v>
      </c>
      <c r="D642" s="63">
        <v>9</v>
      </c>
      <c r="E642" s="64">
        <v>7.8254064863900001E-4</v>
      </c>
    </row>
    <row r="643" spans="2:5" ht="14.5" customHeight="1">
      <c r="B643" s="81"/>
      <c r="C643" s="62" t="s">
        <v>194</v>
      </c>
      <c r="D643" s="63">
        <v>28</v>
      </c>
      <c r="E643" s="64">
        <v>2.4345709068779998E-3</v>
      </c>
    </row>
    <row r="644" spans="2:5" ht="14.5" customHeight="1">
      <c r="B644" s="81"/>
      <c r="C644" s="62" t="s">
        <v>195</v>
      </c>
      <c r="D644" s="63">
        <v>4</v>
      </c>
      <c r="E644" s="64">
        <v>3.4779584384000002E-4</v>
      </c>
    </row>
    <row r="645" spans="2:5" ht="14.5" customHeight="1">
      <c r="B645" s="81"/>
      <c r="C645" s="62" t="s">
        <v>212</v>
      </c>
      <c r="D645" s="63">
        <v>2</v>
      </c>
      <c r="E645" s="64">
        <v>1.7389792192000001E-4</v>
      </c>
    </row>
    <row r="646" spans="2:5" ht="14.5" customHeight="1">
      <c r="B646" s="81"/>
      <c r="C646" s="62" t="s">
        <v>196</v>
      </c>
      <c r="D646" s="63">
        <v>3</v>
      </c>
      <c r="E646" s="64">
        <v>2.6084688287999997E-4</v>
      </c>
    </row>
    <row r="647" spans="2:5" ht="14.5" customHeight="1">
      <c r="B647" s="81"/>
      <c r="C647" s="62" t="s">
        <v>197</v>
      </c>
      <c r="D647" s="63">
        <v>16</v>
      </c>
      <c r="E647" s="64">
        <v>1.391183375359E-3</v>
      </c>
    </row>
    <row r="648" spans="2:5" ht="14.5" customHeight="1">
      <c r="B648" s="81"/>
      <c r="C648" s="62" t="s">
        <v>208</v>
      </c>
      <c r="D648" s="63">
        <v>1</v>
      </c>
      <c r="E648" s="64">
        <v>8.6948960960000005E-5</v>
      </c>
    </row>
    <row r="649" spans="2:5" ht="14.5" customHeight="1">
      <c r="B649" s="81"/>
      <c r="C649" s="62" t="s">
        <v>199</v>
      </c>
      <c r="D649" s="63">
        <v>4</v>
      </c>
      <c r="E649" s="64">
        <v>3.4779584384000002E-4</v>
      </c>
    </row>
    <row r="650" spans="2:5" ht="14.5" customHeight="1">
      <c r="B650" s="81"/>
      <c r="C650" s="62" t="s">
        <v>200</v>
      </c>
      <c r="D650" s="63">
        <v>14</v>
      </c>
      <c r="E650" s="64">
        <v>1.2172854534389999E-3</v>
      </c>
    </row>
    <row r="651" spans="2:5" ht="14.5" customHeight="1">
      <c r="B651" s="81"/>
      <c r="C651" s="62" t="s">
        <v>201</v>
      </c>
      <c r="D651" s="63">
        <v>1</v>
      </c>
      <c r="E651" s="64">
        <v>8.6948960960000005E-5</v>
      </c>
    </row>
    <row r="652" spans="2:5" ht="14.5" customHeight="1">
      <c r="B652" s="81"/>
      <c r="C652" s="62" t="s">
        <v>202</v>
      </c>
      <c r="D652" s="63">
        <v>10</v>
      </c>
      <c r="E652" s="64">
        <v>8.6948960959899995E-4</v>
      </c>
    </row>
    <row r="653" spans="2:5" ht="14.5" customHeight="1">
      <c r="B653" s="81"/>
      <c r="C653" s="62" t="s">
        <v>203</v>
      </c>
      <c r="D653" s="63">
        <v>15</v>
      </c>
      <c r="E653" s="64">
        <v>1.304234414399E-3</v>
      </c>
    </row>
    <row r="654" spans="2:5" ht="14.5" customHeight="1">
      <c r="B654" s="81"/>
      <c r="C654" s="62" t="s">
        <v>204</v>
      </c>
      <c r="D654" s="63">
        <v>51</v>
      </c>
      <c r="E654" s="64">
        <v>4.4343970089559996E-3</v>
      </c>
    </row>
    <row r="655" spans="2:5" ht="14.5" customHeight="1">
      <c r="B655" s="81"/>
      <c r="C655" s="62" t="s">
        <v>210</v>
      </c>
      <c r="D655" s="63">
        <v>3</v>
      </c>
      <c r="E655" s="64">
        <v>2.6084688287999997E-4</v>
      </c>
    </row>
    <row r="656" spans="2:5" ht="14.5" customHeight="1">
      <c r="B656" s="80"/>
      <c r="C656" s="36" t="s">
        <v>28</v>
      </c>
      <c r="D656" s="35">
        <v>178</v>
      </c>
      <c r="E656" s="34">
        <v>1.5476915050865001E-2</v>
      </c>
    </row>
    <row r="657" spans="2:5" ht="14.5" customHeight="1">
      <c r="B657" s="79" t="s">
        <v>83</v>
      </c>
      <c r="C657" s="62" t="s">
        <v>193</v>
      </c>
      <c r="D657" s="63">
        <v>1</v>
      </c>
      <c r="E657" s="64">
        <v>8.6948960960000005E-5</v>
      </c>
    </row>
    <row r="658" spans="2:5" ht="14.5" customHeight="1">
      <c r="B658" s="81"/>
      <c r="C658" s="62" t="s">
        <v>195</v>
      </c>
      <c r="D658" s="63">
        <v>1</v>
      </c>
      <c r="E658" s="64">
        <v>8.6948960960000005E-5</v>
      </c>
    </row>
    <row r="659" spans="2:5" ht="14.5" customHeight="1">
      <c r="B659" s="81"/>
      <c r="C659" s="62" t="s">
        <v>196</v>
      </c>
      <c r="D659" s="63">
        <v>1</v>
      </c>
      <c r="E659" s="64">
        <v>8.6948960960000005E-5</v>
      </c>
    </row>
    <row r="660" spans="2:5" ht="14.5" customHeight="1">
      <c r="B660" s="81"/>
      <c r="C660" s="62" t="s">
        <v>199</v>
      </c>
      <c r="D660" s="63">
        <v>1</v>
      </c>
      <c r="E660" s="64">
        <v>8.6948960960000005E-5</v>
      </c>
    </row>
    <row r="661" spans="2:5" ht="14.5" customHeight="1">
      <c r="B661" s="81"/>
      <c r="C661" s="62" t="s">
        <v>200</v>
      </c>
      <c r="D661" s="63">
        <v>1</v>
      </c>
      <c r="E661" s="64">
        <v>8.6948960960000005E-5</v>
      </c>
    </row>
    <row r="662" spans="2:5" ht="14.5" customHeight="1">
      <c r="B662" s="81"/>
      <c r="C662" s="62" t="s">
        <v>202</v>
      </c>
      <c r="D662" s="63">
        <v>2</v>
      </c>
      <c r="E662" s="64">
        <v>1.7389792192000001E-4</v>
      </c>
    </row>
    <row r="663" spans="2:5" ht="14.5" customHeight="1">
      <c r="B663" s="81"/>
      <c r="C663" s="62" t="s">
        <v>203</v>
      </c>
      <c r="D663" s="63">
        <v>3</v>
      </c>
      <c r="E663" s="64">
        <v>2.6084688287999997E-4</v>
      </c>
    </row>
    <row r="664" spans="2:5" ht="14.5" customHeight="1">
      <c r="B664" s="81"/>
      <c r="C664" s="62" t="s">
        <v>204</v>
      </c>
      <c r="D664" s="63">
        <v>16</v>
      </c>
      <c r="E664" s="64">
        <v>1.391183375359E-3</v>
      </c>
    </row>
    <row r="665" spans="2:5" ht="14.5" customHeight="1">
      <c r="B665" s="80"/>
      <c r="C665" s="36" t="s">
        <v>28</v>
      </c>
      <c r="D665" s="35">
        <v>26</v>
      </c>
      <c r="E665" s="34">
        <v>2.2606729849580002E-3</v>
      </c>
    </row>
    <row r="666" spans="2:5" ht="14.5" customHeight="1">
      <c r="B666" s="79" t="s">
        <v>62</v>
      </c>
      <c r="C666" s="62" t="s">
        <v>189</v>
      </c>
      <c r="D666" s="63">
        <v>6</v>
      </c>
      <c r="E666" s="64">
        <v>5.2169376575899999E-4</v>
      </c>
    </row>
    <row r="667" spans="2:5" ht="14.5" customHeight="1">
      <c r="B667" s="81"/>
      <c r="C667" s="62" t="s">
        <v>219</v>
      </c>
      <c r="D667" s="63">
        <v>2</v>
      </c>
      <c r="E667" s="64">
        <v>1.7389792192000001E-4</v>
      </c>
    </row>
    <row r="668" spans="2:5" ht="14.5" customHeight="1">
      <c r="B668" s="81"/>
      <c r="C668" s="62" t="s">
        <v>190</v>
      </c>
      <c r="D668" s="63">
        <v>1</v>
      </c>
      <c r="E668" s="64">
        <v>8.6948960960000005E-5</v>
      </c>
    </row>
    <row r="669" spans="2:5" ht="14.5" customHeight="1">
      <c r="B669" s="81"/>
      <c r="C669" s="62" t="s">
        <v>206</v>
      </c>
      <c r="D669" s="63">
        <v>16</v>
      </c>
      <c r="E669" s="64">
        <v>1.391183375359E-3</v>
      </c>
    </row>
    <row r="670" spans="2:5" ht="14.5" customHeight="1">
      <c r="B670" s="81"/>
      <c r="C670" s="62" t="s">
        <v>207</v>
      </c>
      <c r="D670" s="63">
        <v>1</v>
      </c>
      <c r="E670" s="64">
        <v>8.6948960960000005E-5</v>
      </c>
    </row>
    <row r="671" spans="2:5" ht="14.5" customHeight="1">
      <c r="B671" s="81"/>
      <c r="C671" s="62" t="s">
        <v>218</v>
      </c>
      <c r="D671" s="63">
        <v>1</v>
      </c>
      <c r="E671" s="64">
        <v>8.6948960960000005E-5</v>
      </c>
    </row>
    <row r="672" spans="2:5" ht="14.5" customHeight="1">
      <c r="B672" s="81"/>
      <c r="C672" s="62" t="s">
        <v>193</v>
      </c>
      <c r="D672" s="63">
        <v>9</v>
      </c>
      <c r="E672" s="64">
        <v>7.8254064863900001E-4</v>
      </c>
    </row>
    <row r="673" spans="2:5" ht="14.5" customHeight="1">
      <c r="B673" s="81"/>
      <c r="C673" s="62" t="s">
        <v>194</v>
      </c>
      <c r="D673" s="63">
        <v>12</v>
      </c>
      <c r="E673" s="64">
        <v>1.043387531519E-3</v>
      </c>
    </row>
    <row r="674" spans="2:5" ht="14.5" customHeight="1">
      <c r="B674" s="81"/>
      <c r="C674" s="62" t="s">
        <v>195</v>
      </c>
      <c r="D674" s="63">
        <v>1</v>
      </c>
      <c r="E674" s="64">
        <v>8.6948960960000005E-5</v>
      </c>
    </row>
    <row r="675" spans="2:5" ht="14.5" customHeight="1">
      <c r="B675" s="81"/>
      <c r="C675" s="62" t="s">
        <v>212</v>
      </c>
      <c r="D675" s="63">
        <v>1</v>
      </c>
      <c r="E675" s="64">
        <v>8.6948960960000005E-5</v>
      </c>
    </row>
    <row r="676" spans="2:5" ht="14.5" customHeight="1">
      <c r="B676" s="81"/>
      <c r="C676" s="62" t="s">
        <v>197</v>
      </c>
      <c r="D676" s="63">
        <v>12</v>
      </c>
      <c r="E676" s="64">
        <v>1.043387531519E-3</v>
      </c>
    </row>
    <row r="677" spans="2:5" ht="14.5" customHeight="1">
      <c r="B677" s="81"/>
      <c r="C677" s="62" t="s">
        <v>199</v>
      </c>
      <c r="D677" s="63">
        <v>3</v>
      </c>
      <c r="E677" s="64">
        <v>2.6084688287999997E-4</v>
      </c>
    </row>
    <row r="678" spans="2:5" ht="14.5" customHeight="1">
      <c r="B678" s="81"/>
      <c r="C678" s="62" t="s">
        <v>83</v>
      </c>
      <c r="D678" s="63">
        <v>1</v>
      </c>
      <c r="E678" s="64">
        <v>8.6948960960000005E-5</v>
      </c>
    </row>
    <row r="679" spans="2:5" ht="14.5" customHeight="1">
      <c r="B679" s="81"/>
      <c r="C679" s="62" t="s">
        <v>200</v>
      </c>
      <c r="D679" s="63">
        <v>6</v>
      </c>
      <c r="E679" s="64">
        <v>5.2169376575899999E-4</v>
      </c>
    </row>
    <row r="680" spans="2:5" ht="14.5" customHeight="1">
      <c r="B680" s="81"/>
      <c r="C680" s="62" t="s">
        <v>201</v>
      </c>
      <c r="D680" s="63">
        <v>2</v>
      </c>
      <c r="E680" s="64">
        <v>1.7389792192000001E-4</v>
      </c>
    </row>
    <row r="681" spans="2:5" ht="14.5" customHeight="1">
      <c r="B681" s="81"/>
      <c r="C681" s="62" t="s">
        <v>202</v>
      </c>
      <c r="D681" s="63">
        <v>6</v>
      </c>
      <c r="E681" s="64">
        <v>5.2169376575899999E-4</v>
      </c>
    </row>
    <row r="682" spans="2:5" ht="14.5" customHeight="1">
      <c r="B682" s="81"/>
      <c r="C682" s="62" t="s">
        <v>203</v>
      </c>
      <c r="D682" s="63">
        <v>7</v>
      </c>
      <c r="E682" s="64">
        <v>6.0864272671900003E-4</v>
      </c>
    </row>
    <row r="683" spans="2:5" ht="14.5" customHeight="1">
      <c r="B683" s="81"/>
      <c r="C683" s="62" t="s">
        <v>209</v>
      </c>
      <c r="D683" s="63">
        <v>1</v>
      </c>
      <c r="E683" s="64">
        <v>8.6948960960000005E-5</v>
      </c>
    </row>
    <row r="684" spans="2:5" ht="14.5" customHeight="1">
      <c r="B684" s="81"/>
      <c r="C684" s="62" t="s">
        <v>204</v>
      </c>
      <c r="D684" s="63">
        <v>39</v>
      </c>
      <c r="E684" s="64">
        <v>3.391009477437E-3</v>
      </c>
    </row>
    <row r="685" spans="2:5" ht="14.5" customHeight="1">
      <c r="B685" s="81"/>
      <c r="C685" s="62" t="s">
        <v>210</v>
      </c>
      <c r="D685" s="63">
        <v>2</v>
      </c>
      <c r="E685" s="64">
        <v>1.7389792192000001E-4</v>
      </c>
    </row>
    <row r="686" spans="2:5" ht="14.5" customHeight="1">
      <c r="B686" s="81"/>
      <c r="C686" s="62" t="s">
        <v>216</v>
      </c>
      <c r="D686" s="63">
        <v>1</v>
      </c>
      <c r="E686" s="64">
        <v>8.6948960960000005E-5</v>
      </c>
    </row>
    <row r="687" spans="2:5" ht="14.5" customHeight="1">
      <c r="B687" s="80"/>
      <c r="C687" s="36" t="s">
        <v>28</v>
      </c>
      <c r="D687" s="35">
        <v>130</v>
      </c>
      <c r="E687" s="34">
        <v>1.1303364924789E-2</v>
      </c>
    </row>
    <row r="688" spans="2:5" ht="14.5" customHeight="1">
      <c r="B688" s="79" t="s">
        <v>85</v>
      </c>
      <c r="C688" s="62" t="s">
        <v>189</v>
      </c>
      <c r="D688" s="63">
        <v>2</v>
      </c>
      <c r="E688" s="64">
        <v>1.7389792192000001E-4</v>
      </c>
    </row>
    <row r="689" spans="2:5" ht="14.5" customHeight="1">
      <c r="B689" s="81"/>
      <c r="C689" s="62" t="s">
        <v>206</v>
      </c>
      <c r="D689" s="63">
        <v>1</v>
      </c>
      <c r="E689" s="64">
        <v>8.6948960960000005E-5</v>
      </c>
    </row>
    <row r="690" spans="2:5" ht="14.5" customHeight="1">
      <c r="B690" s="81"/>
      <c r="C690" s="62" t="s">
        <v>197</v>
      </c>
      <c r="D690" s="63">
        <v>3</v>
      </c>
      <c r="E690" s="64">
        <v>2.6084688287999997E-4</v>
      </c>
    </row>
    <row r="691" spans="2:5" ht="14.5" customHeight="1">
      <c r="B691" s="81"/>
      <c r="C691" s="62" t="s">
        <v>200</v>
      </c>
      <c r="D691" s="63">
        <v>2</v>
      </c>
      <c r="E691" s="64">
        <v>1.7389792192000001E-4</v>
      </c>
    </row>
    <row r="692" spans="2:5" ht="14.5" customHeight="1">
      <c r="B692" s="81"/>
      <c r="C692" s="62" t="s">
        <v>202</v>
      </c>
      <c r="D692" s="63">
        <v>1</v>
      </c>
      <c r="E692" s="64">
        <v>8.6948960960000005E-5</v>
      </c>
    </row>
    <row r="693" spans="2:5" ht="14.5" customHeight="1">
      <c r="B693" s="81"/>
      <c r="C693" s="62" t="s">
        <v>204</v>
      </c>
      <c r="D693" s="63">
        <v>14</v>
      </c>
      <c r="E693" s="64">
        <v>1.2172854534389999E-3</v>
      </c>
    </row>
    <row r="694" spans="2:5" ht="14.5" customHeight="1">
      <c r="B694" s="81"/>
      <c r="C694" s="62" t="s">
        <v>210</v>
      </c>
      <c r="D694" s="63">
        <v>1</v>
      </c>
      <c r="E694" s="64">
        <v>8.6948960960000005E-5</v>
      </c>
    </row>
    <row r="695" spans="2:5" ht="14.5" customHeight="1">
      <c r="B695" s="80"/>
      <c r="C695" s="36" t="s">
        <v>28</v>
      </c>
      <c r="D695" s="35">
        <v>24</v>
      </c>
      <c r="E695" s="34">
        <v>2.0867750630380001E-3</v>
      </c>
    </row>
    <row r="696" spans="2:5" ht="14.5" customHeight="1">
      <c r="B696" s="79" t="s">
        <v>49</v>
      </c>
      <c r="C696" s="62" t="s">
        <v>211</v>
      </c>
      <c r="D696" s="63">
        <v>5</v>
      </c>
      <c r="E696" s="64">
        <v>4.3474480480000001E-4</v>
      </c>
    </row>
    <row r="697" spans="2:5" ht="14.5" customHeight="1">
      <c r="B697" s="81"/>
      <c r="C697" s="62" t="s">
        <v>189</v>
      </c>
      <c r="D697" s="63">
        <v>63</v>
      </c>
      <c r="E697" s="64">
        <v>5.4777845404750001E-3</v>
      </c>
    </row>
    <row r="698" spans="2:5" ht="14.5" customHeight="1">
      <c r="B698" s="81"/>
      <c r="C698" s="62" t="s">
        <v>219</v>
      </c>
      <c r="D698" s="63">
        <v>40</v>
      </c>
      <c r="E698" s="64">
        <v>3.4779584383969999E-3</v>
      </c>
    </row>
    <row r="699" spans="2:5" ht="14.5" customHeight="1">
      <c r="B699" s="81"/>
      <c r="C699" s="62" t="s">
        <v>222</v>
      </c>
      <c r="D699" s="63">
        <v>1</v>
      </c>
      <c r="E699" s="64">
        <v>8.6948960960000005E-5</v>
      </c>
    </row>
    <row r="700" spans="2:5" ht="14.5" customHeight="1">
      <c r="B700" s="81"/>
      <c r="C700" s="62" t="s">
        <v>205</v>
      </c>
      <c r="D700" s="63">
        <v>1</v>
      </c>
      <c r="E700" s="64">
        <v>8.6948960960000005E-5</v>
      </c>
    </row>
    <row r="701" spans="2:5" ht="14.5" customHeight="1">
      <c r="B701" s="81"/>
      <c r="C701" s="62" t="s">
        <v>190</v>
      </c>
      <c r="D701" s="63">
        <v>7</v>
      </c>
      <c r="E701" s="64">
        <v>6.0864272671900003E-4</v>
      </c>
    </row>
    <row r="702" spans="2:5" ht="14.5" customHeight="1">
      <c r="B702" s="81"/>
      <c r="C702" s="62" t="s">
        <v>191</v>
      </c>
      <c r="D702" s="63">
        <v>4</v>
      </c>
      <c r="E702" s="64">
        <v>3.4779584384000002E-4</v>
      </c>
    </row>
    <row r="703" spans="2:5" ht="14.5" customHeight="1">
      <c r="B703" s="81"/>
      <c r="C703" s="62" t="s">
        <v>192</v>
      </c>
      <c r="D703" s="63">
        <v>4</v>
      </c>
      <c r="E703" s="64">
        <v>3.4779584384000002E-4</v>
      </c>
    </row>
    <row r="704" spans="2:5" ht="14.5" customHeight="1">
      <c r="B704" s="81"/>
      <c r="C704" s="62" t="s">
        <v>206</v>
      </c>
      <c r="D704" s="63">
        <v>15</v>
      </c>
      <c r="E704" s="64">
        <v>1.304234414399E-3</v>
      </c>
    </row>
    <row r="705" spans="2:5" ht="14.5" customHeight="1">
      <c r="B705" s="81"/>
      <c r="C705" s="62" t="s">
        <v>207</v>
      </c>
      <c r="D705" s="63">
        <v>14</v>
      </c>
      <c r="E705" s="64">
        <v>1.2172854534389999E-3</v>
      </c>
    </row>
    <row r="706" spans="2:5" ht="14.5" customHeight="1">
      <c r="B706" s="81"/>
      <c r="C706" s="62" t="s">
        <v>213</v>
      </c>
      <c r="D706" s="63">
        <v>4</v>
      </c>
      <c r="E706" s="64">
        <v>3.4779584384000002E-4</v>
      </c>
    </row>
    <row r="707" spans="2:5" ht="14.5" customHeight="1">
      <c r="B707" s="81"/>
      <c r="C707" s="62" t="s">
        <v>214</v>
      </c>
      <c r="D707" s="63">
        <v>1</v>
      </c>
      <c r="E707" s="64">
        <v>8.6948960960000005E-5</v>
      </c>
    </row>
    <row r="708" spans="2:5" ht="14.5" customHeight="1">
      <c r="B708" s="81"/>
      <c r="C708" s="62" t="s">
        <v>224</v>
      </c>
      <c r="D708" s="63">
        <v>1</v>
      </c>
      <c r="E708" s="64">
        <v>8.6948960960000005E-5</v>
      </c>
    </row>
    <row r="709" spans="2:5" ht="14.5" customHeight="1">
      <c r="B709" s="81"/>
      <c r="C709" s="62" t="s">
        <v>215</v>
      </c>
      <c r="D709" s="63">
        <v>3</v>
      </c>
      <c r="E709" s="64">
        <v>2.6084688287999997E-4</v>
      </c>
    </row>
    <row r="710" spans="2:5" ht="14.5" customHeight="1">
      <c r="B710" s="81"/>
      <c r="C710" s="62" t="s">
        <v>217</v>
      </c>
      <c r="D710" s="63">
        <v>1</v>
      </c>
      <c r="E710" s="64">
        <v>8.6948960960000005E-5</v>
      </c>
    </row>
    <row r="711" spans="2:5" ht="14.5" customHeight="1">
      <c r="B711" s="81"/>
      <c r="C711" s="62" t="s">
        <v>218</v>
      </c>
      <c r="D711" s="63">
        <v>1</v>
      </c>
      <c r="E711" s="64">
        <v>8.6948960960000005E-5</v>
      </c>
    </row>
    <row r="712" spans="2:5" ht="14.5" customHeight="1">
      <c r="B712" s="81"/>
      <c r="C712" s="62" t="s">
        <v>193</v>
      </c>
      <c r="D712" s="63">
        <v>30</v>
      </c>
      <c r="E712" s="64">
        <v>2.6084688287969999E-3</v>
      </c>
    </row>
    <row r="713" spans="2:5" ht="14.5" customHeight="1">
      <c r="B713" s="81"/>
      <c r="C713" s="62" t="s">
        <v>194</v>
      </c>
      <c r="D713" s="63">
        <v>315</v>
      </c>
      <c r="E713" s="64">
        <v>2.7388922702373999E-2</v>
      </c>
    </row>
    <row r="714" spans="2:5" ht="14.5" customHeight="1">
      <c r="B714" s="81"/>
      <c r="C714" s="62" t="s">
        <v>220</v>
      </c>
      <c r="D714" s="63">
        <v>3</v>
      </c>
      <c r="E714" s="64">
        <v>2.6084688287999997E-4</v>
      </c>
    </row>
    <row r="715" spans="2:5" ht="14.5" customHeight="1">
      <c r="B715" s="81"/>
      <c r="C715" s="62" t="s">
        <v>195</v>
      </c>
      <c r="D715" s="63">
        <v>231</v>
      </c>
      <c r="E715" s="64">
        <v>2.0085209981741001E-2</v>
      </c>
    </row>
    <row r="716" spans="2:5" ht="14.5" customHeight="1">
      <c r="B716" s="81"/>
      <c r="C716" s="62" t="s">
        <v>226</v>
      </c>
      <c r="D716" s="63">
        <v>1</v>
      </c>
      <c r="E716" s="64">
        <v>8.6948960960000005E-5</v>
      </c>
    </row>
    <row r="717" spans="2:5" ht="14.5" customHeight="1">
      <c r="B717" s="81"/>
      <c r="C717" s="62" t="s">
        <v>225</v>
      </c>
      <c r="D717" s="63">
        <v>8</v>
      </c>
      <c r="E717" s="64">
        <v>6.9559168767899997E-4</v>
      </c>
    </row>
    <row r="718" spans="2:5" ht="14.5" customHeight="1">
      <c r="B718" s="81"/>
      <c r="C718" s="62" t="s">
        <v>212</v>
      </c>
      <c r="D718" s="63">
        <v>7</v>
      </c>
      <c r="E718" s="64">
        <v>6.0864272671900003E-4</v>
      </c>
    </row>
    <row r="719" spans="2:5" ht="14.5" customHeight="1">
      <c r="B719" s="81"/>
      <c r="C719" s="62" t="s">
        <v>196</v>
      </c>
      <c r="D719" s="63">
        <v>4</v>
      </c>
      <c r="E719" s="64">
        <v>3.4779584384000002E-4</v>
      </c>
    </row>
    <row r="720" spans="2:5" ht="14.5" customHeight="1">
      <c r="B720" s="81"/>
      <c r="C720" s="62" t="s">
        <v>197</v>
      </c>
      <c r="D720" s="63">
        <v>317</v>
      </c>
      <c r="E720" s="64">
        <v>2.7562820624294E-2</v>
      </c>
    </row>
    <row r="721" spans="2:5" ht="14.5" customHeight="1">
      <c r="B721" s="81"/>
      <c r="C721" s="62" t="s">
        <v>198</v>
      </c>
      <c r="D721" s="63">
        <v>4</v>
      </c>
      <c r="E721" s="64">
        <v>3.4779584384000002E-4</v>
      </c>
    </row>
    <row r="722" spans="2:5" ht="14.5" customHeight="1">
      <c r="B722" s="81"/>
      <c r="C722" s="62" t="s">
        <v>208</v>
      </c>
      <c r="D722" s="63">
        <v>5</v>
      </c>
      <c r="E722" s="64">
        <v>4.3474480480000001E-4</v>
      </c>
    </row>
    <row r="723" spans="2:5" ht="14.5" customHeight="1">
      <c r="B723" s="81"/>
      <c r="C723" s="62" t="s">
        <v>199</v>
      </c>
      <c r="D723" s="63">
        <v>65</v>
      </c>
      <c r="E723" s="64">
        <v>5.6516824623949998E-3</v>
      </c>
    </row>
    <row r="724" spans="2:5" ht="14.5" customHeight="1">
      <c r="B724" s="81"/>
      <c r="C724" s="62" t="s">
        <v>200</v>
      </c>
      <c r="D724" s="63">
        <v>61</v>
      </c>
      <c r="E724" s="64">
        <v>5.3038866185549996E-3</v>
      </c>
    </row>
    <row r="725" spans="2:5" ht="14.5" customHeight="1">
      <c r="B725" s="81"/>
      <c r="C725" s="62" t="s">
        <v>201</v>
      </c>
      <c r="D725" s="63">
        <v>45</v>
      </c>
      <c r="E725" s="64">
        <v>3.9127032431959998E-3</v>
      </c>
    </row>
    <row r="726" spans="2:5" ht="14.5" customHeight="1">
      <c r="B726" s="81"/>
      <c r="C726" s="62" t="s">
        <v>202</v>
      </c>
      <c r="D726" s="63">
        <v>323</v>
      </c>
      <c r="E726" s="64">
        <v>2.8084514390053002E-2</v>
      </c>
    </row>
    <row r="727" spans="2:5" ht="14.5" customHeight="1">
      <c r="B727" s="81"/>
      <c r="C727" s="62" t="s">
        <v>203</v>
      </c>
      <c r="D727" s="63">
        <v>41</v>
      </c>
      <c r="E727" s="64">
        <v>3.5649073993570001E-3</v>
      </c>
    </row>
    <row r="728" spans="2:5" ht="14.5" customHeight="1">
      <c r="B728" s="81"/>
      <c r="C728" s="62" t="s">
        <v>209</v>
      </c>
      <c r="D728" s="63">
        <v>3</v>
      </c>
      <c r="E728" s="64">
        <v>2.6084688287999997E-4</v>
      </c>
    </row>
    <row r="729" spans="2:5" ht="14.5" customHeight="1">
      <c r="B729" s="81"/>
      <c r="C729" s="62" t="s">
        <v>204</v>
      </c>
      <c r="D729" s="63">
        <v>146</v>
      </c>
      <c r="E729" s="64">
        <v>1.2694548300148E-2</v>
      </c>
    </row>
    <row r="730" spans="2:5" ht="14.5" customHeight="1">
      <c r="B730" s="81"/>
      <c r="C730" s="62" t="s">
        <v>210</v>
      </c>
      <c r="D730" s="63">
        <v>7</v>
      </c>
      <c r="E730" s="64">
        <v>6.0864272671900003E-4</v>
      </c>
    </row>
    <row r="731" spans="2:5" ht="14.5" customHeight="1">
      <c r="B731" s="81"/>
      <c r="C731" s="62" t="s">
        <v>221</v>
      </c>
      <c r="D731" s="63">
        <v>5</v>
      </c>
      <c r="E731" s="64">
        <v>4.3474480480000001E-4</v>
      </c>
    </row>
    <row r="732" spans="2:5" ht="14.5" customHeight="1">
      <c r="B732" s="81"/>
      <c r="C732" s="62" t="s">
        <v>216</v>
      </c>
      <c r="D732" s="63">
        <v>9</v>
      </c>
      <c r="E732" s="64">
        <v>7.8254064863900001E-4</v>
      </c>
    </row>
    <row r="733" spans="2:5" ht="14.5" customHeight="1">
      <c r="B733" s="80"/>
      <c r="C733" s="36" t="s">
        <v>28</v>
      </c>
      <c r="D733" s="35">
        <v>1795</v>
      </c>
      <c r="E733" s="34">
        <v>0.15607338492305001</v>
      </c>
    </row>
    <row r="734" spans="2:5" ht="14.5" customHeight="1">
      <c r="B734" s="79" t="s">
        <v>77</v>
      </c>
      <c r="C734" s="62" t="s">
        <v>189</v>
      </c>
      <c r="D734" s="63">
        <v>2</v>
      </c>
      <c r="E734" s="64">
        <v>1.7389792192000001E-4</v>
      </c>
    </row>
    <row r="735" spans="2:5" ht="14.5" customHeight="1">
      <c r="B735" s="81"/>
      <c r="C735" s="62" t="s">
        <v>206</v>
      </c>
      <c r="D735" s="63">
        <v>3</v>
      </c>
      <c r="E735" s="64">
        <v>2.6084688287999997E-4</v>
      </c>
    </row>
    <row r="736" spans="2:5" ht="14.5" customHeight="1">
      <c r="B736" s="81"/>
      <c r="C736" s="62" t="s">
        <v>193</v>
      </c>
      <c r="D736" s="63">
        <v>4</v>
      </c>
      <c r="E736" s="64">
        <v>3.4779584384000002E-4</v>
      </c>
    </row>
    <row r="737" spans="2:5" ht="14.5" customHeight="1">
      <c r="B737" s="81"/>
      <c r="C737" s="62" t="s">
        <v>194</v>
      </c>
      <c r="D737" s="63">
        <v>2</v>
      </c>
      <c r="E737" s="64">
        <v>1.7389792192000001E-4</v>
      </c>
    </row>
    <row r="738" spans="2:5" ht="14.5" customHeight="1">
      <c r="B738" s="81"/>
      <c r="C738" s="62" t="s">
        <v>197</v>
      </c>
      <c r="D738" s="63">
        <v>1</v>
      </c>
      <c r="E738" s="64">
        <v>8.6948960960000005E-5</v>
      </c>
    </row>
    <row r="739" spans="2:5" ht="14.5" customHeight="1">
      <c r="B739" s="81"/>
      <c r="C739" s="62" t="s">
        <v>199</v>
      </c>
      <c r="D739" s="63">
        <v>1</v>
      </c>
      <c r="E739" s="64">
        <v>8.6948960960000005E-5</v>
      </c>
    </row>
    <row r="740" spans="2:5" ht="14.5" customHeight="1">
      <c r="B740" s="81"/>
      <c r="C740" s="62" t="s">
        <v>200</v>
      </c>
      <c r="D740" s="63">
        <v>2</v>
      </c>
      <c r="E740" s="64">
        <v>1.7389792192000001E-4</v>
      </c>
    </row>
    <row r="741" spans="2:5" ht="14.5" customHeight="1">
      <c r="B741" s="81"/>
      <c r="C741" s="62" t="s">
        <v>202</v>
      </c>
      <c r="D741" s="63">
        <v>1</v>
      </c>
      <c r="E741" s="64">
        <v>8.6948960960000005E-5</v>
      </c>
    </row>
    <row r="742" spans="2:5" ht="14.5" customHeight="1">
      <c r="B742" s="81"/>
      <c r="C742" s="62" t="s">
        <v>203</v>
      </c>
      <c r="D742" s="63">
        <v>2</v>
      </c>
      <c r="E742" s="64">
        <v>1.7389792192000001E-4</v>
      </c>
    </row>
    <row r="743" spans="2:5" ht="14.5" customHeight="1">
      <c r="B743" s="81"/>
      <c r="C743" s="62" t="s">
        <v>204</v>
      </c>
      <c r="D743" s="63">
        <v>42</v>
      </c>
      <c r="E743" s="64">
        <v>3.6518563603159999E-3</v>
      </c>
    </row>
    <row r="744" spans="2:5" ht="14.5" customHeight="1">
      <c r="B744" s="81"/>
      <c r="C744" s="62" t="s">
        <v>210</v>
      </c>
      <c r="D744" s="63">
        <v>2</v>
      </c>
      <c r="E744" s="64">
        <v>1.7389792192000001E-4</v>
      </c>
    </row>
    <row r="745" spans="2:5" ht="14.5" customHeight="1">
      <c r="B745" s="80"/>
      <c r="C745" s="36" t="s">
        <v>28</v>
      </c>
      <c r="D745" s="35">
        <v>62</v>
      </c>
      <c r="E745" s="34">
        <v>5.3908355795150003E-3</v>
      </c>
    </row>
    <row r="746" spans="2:5" ht="14.5" customHeight="1">
      <c r="B746" s="79" t="s">
        <v>89</v>
      </c>
      <c r="C746" s="62" t="s">
        <v>207</v>
      </c>
      <c r="D746" s="63">
        <v>1</v>
      </c>
      <c r="E746" s="64">
        <v>8.6948960960000005E-5</v>
      </c>
    </row>
    <row r="747" spans="2:5" ht="14.5" customHeight="1">
      <c r="B747" s="81"/>
      <c r="C747" s="62" t="s">
        <v>194</v>
      </c>
      <c r="D747" s="63">
        <v>1</v>
      </c>
      <c r="E747" s="64">
        <v>8.6948960960000005E-5</v>
      </c>
    </row>
    <row r="748" spans="2:5" ht="14.5" customHeight="1">
      <c r="B748" s="81"/>
      <c r="C748" s="62" t="s">
        <v>197</v>
      </c>
      <c r="D748" s="63">
        <v>1</v>
      </c>
      <c r="E748" s="64">
        <v>8.6948960960000005E-5</v>
      </c>
    </row>
    <row r="749" spans="2:5" ht="14.5" customHeight="1">
      <c r="B749" s="81"/>
      <c r="C749" s="62" t="s">
        <v>198</v>
      </c>
      <c r="D749" s="63">
        <v>1</v>
      </c>
      <c r="E749" s="64">
        <v>8.6948960960000005E-5</v>
      </c>
    </row>
    <row r="750" spans="2:5" ht="14.5" customHeight="1">
      <c r="B750" s="81"/>
      <c r="C750" s="62" t="s">
        <v>200</v>
      </c>
      <c r="D750" s="63">
        <v>2</v>
      </c>
      <c r="E750" s="64">
        <v>1.7389792192000001E-4</v>
      </c>
    </row>
    <row r="751" spans="2:5" ht="14.5" customHeight="1">
      <c r="B751" s="81"/>
      <c r="C751" s="62" t="s">
        <v>203</v>
      </c>
      <c r="D751" s="63">
        <v>1</v>
      </c>
      <c r="E751" s="64">
        <v>8.6948960960000005E-5</v>
      </c>
    </row>
    <row r="752" spans="2:5" ht="14.5" customHeight="1">
      <c r="B752" s="81"/>
      <c r="C752" s="62" t="s">
        <v>204</v>
      </c>
      <c r="D752" s="63">
        <v>9</v>
      </c>
      <c r="E752" s="64">
        <v>7.8254064863900001E-4</v>
      </c>
    </row>
    <row r="753" spans="2:5" ht="14.5" customHeight="1">
      <c r="B753" s="80"/>
      <c r="C753" s="36" t="s">
        <v>28</v>
      </c>
      <c r="D753" s="35">
        <v>16</v>
      </c>
      <c r="E753" s="34">
        <v>1.391183375359E-3</v>
      </c>
    </row>
    <row r="754" spans="2:5" ht="14.5" customHeight="1">
      <c r="B754" s="79" t="s">
        <v>87</v>
      </c>
      <c r="C754" s="62" t="s">
        <v>206</v>
      </c>
      <c r="D754" s="63">
        <v>3</v>
      </c>
      <c r="E754" s="64">
        <v>2.6084688287999997E-4</v>
      </c>
    </row>
    <row r="755" spans="2:5" ht="14.5" customHeight="1">
      <c r="B755" s="81"/>
      <c r="C755" s="62" t="s">
        <v>195</v>
      </c>
      <c r="D755" s="63">
        <v>1</v>
      </c>
      <c r="E755" s="64">
        <v>8.6948960960000005E-5</v>
      </c>
    </row>
    <row r="756" spans="2:5" ht="14.5" customHeight="1">
      <c r="B756" s="81"/>
      <c r="C756" s="62" t="s">
        <v>200</v>
      </c>
      <c r="D756" s="63">
        <v>1</v>
      </c>
      <c r="E756" s="64">
        <v>8.6948960960000005E-5</v>
      </c>
    </row>
    <row r="757" spans="2:5" ht="14.5" customHeight="1">
      <c r="B757" s="81"/>
      <c r="C757" s="62" t="s">
        <v>203</v>
      </c>
      <c r="D757" s="63">
        <v>2</v>
      </c>
      <c r="E757" s="64">
        <v>1.7389792192000001E-4</v>
      </c>
    </row>
    <row r="758" spans="2:5" ht="14.5" customHeight="1">
      <c r="B758" s="81"/>
      <c r="C758" s="62" t="s">
        <v>204</v>
      </c>
      <c r="D758" s="63">
        <v>13</v>
      </c>
      <c r="E758" s="64">
        <v>1.1303364924790001E-3</v>
      </c>
    </row>
    <row r="759" spans="2:5" ht="14.5" customHeight="1">
      <c r="B759" s="80"/>
      <c r="C759" s="36" t="s">
        <v>28</v>
      </c>
      <c r="D759" s="35">
        <v>20</v>
      </c>
      <c r="E759" s="34">
        <v>1.7389792191979999E-3</v>
      </c>
    </row>
    <row r="760" spans="2:5" ht="14.5" customHeight="1">
      <c r="B760" s="79" t="s">
        <v>82</v>
      </c>
      <c r="C760" s="62" t="s">
        <v>189</v>
      </c>
      <c r="D760" s="63">
        <v>1</v>
      </c>
      <c r="E760" s="64">
        <v>8.6948960960000005E-5</v>
      </c>
    </row>
    <row r="761" spans="2:5" ht="14.5" customHeight="1">
      <c r="B761" s="81"/>
      <c r="C761" s="62" t="s">
        <v>206</v>
      </c>
      <c r="D761" s="63">
        <v>1</v>
      </c>
      <c r="E761" s="64">
        <v>8.6948960960000005E-5</v>
      </c>
    </row>
    <row r="762" spans="2:5" ht="14.5" customHeight="1">
      <c r="B762" s="81"/>
      <c r="C762" s="62" t="s">
        <v>193</v>
      </c>
      <c r="D762" s="63">
        <v>2</v>
      </c>
      <c r="E762" s="64">
        <v>1.7389792192000001E-4</v>
      </c>
    </row>
    <row r="763" spans="2:5" ht="14.5" customHeight="1">
      <c r="B763" s="81"/>
      <c r="C763" s="62" t="s">
        <v>194</v>
      </c>
      <c r="D763" s="63">
        <v>2</v>
      </c>
      <c r="E763" s="64">
        <v>1.7389792192000001E-4</v>
      </c>
    </row>
    <row r="764" spans="2:5" ht="14.5" customHeight="1">
      <c r="B764" s="81"/>
      <c r="C764" s="62" t="s">
        <v>200</v>
      </c>
      <c r="D764" s="63">
        <v>1</v>
      </c>
      <c r="E764" s="64">
        <v>8.6948960960000005E-5</v>
      </c>
    </row>
    <row r="765" spans="2:5" ht="14.5" customHeight="1">
      <c r="B765" s="81"/>
      <c r="C765" s="62" t="s">
        <v>202</v>
      </c>
      <c r="D765" s="63">
        <v>1</v>
      </c>
      <c r="E765" s="64">
        <v>8.6948960960000005E-5</v>
      </c>
    </row>
    <row r="766" spans="2:5" ht="14.5" customHeight="1">
      <c r="B766" s="81"/>
      <c r="C766" s="62" t="s">
        <v>203</v>
      </c>
      <c r="D766" s="63">
        <v>1</v>
      </c>
      <c r="E766" s="64">
        <v>8.6948960960000005E-5</v>
      </c>
    </row>
    <row r="767" spans="2:5" ht="14.5" customHeight="1">
      <c r="B767" s="81"/>
      <c r="C767" s="62" t="s">
        <v>204</v>
      </c>
      <c r="D767" s="63">
        <v>18</v>
      </c>
      <c r="E767" s="64">
        <v>1.565081297278E-3</v>
      </c>
    </row>
    <row r="768" spans="2:5" ht="14.5" customHeight="1">
      <c r="B768" s="80"/>
      <c r="C768" s="36" t="s">
        <v>28</v>
      </c>
      <c r="D768" s="35">
        <v>27</v>
      </c>
      <c r="E768" s="34">
        <v>2.347621945918E-3</v>
      </c>
    </row>
    <row r="769" spans="2:5" ht="14.5" customHeight="1">
      <c r="B769" s="79" t="s">
        <v>70</v>
      </c>
      <c r="C769" s="62" t="s">
        <v>189</v>
      </c>
      <c r="D769" s="63">
        <v>3</v>
      </c>
      <c r="E769" s="64">
        <v>2.6084688287999997E-4</v>
      </c>
    </row>
    <row r="770" spans="2:5" ht="14.5" customHeight="1">
      <c r="B770" s="81"/>
      <c r="C770" s="62" t="s">
        <v>206</v>
      </c>
      <c r="D770" s="63">
        <v>1</v>
      </c>
      <c r="E770" s="64">
        <v>8.6948960960000005E-5</v>
      </c>
    </row>
    <row r="771" spans="2:5" ht="14.5" customHeight="1">
      <c r="B771" s="81"/>
      <c r="C771" s="62" t="s">
        <v>193</v>
      </c>
      <c r="D771" s="63">
        <v>13</v>
      </c>
      <c r="E771" s="64">
        <v>1.1303364924790001E-3</v>
      </c>
    </row>
    <row r="772" spans="2:5" ht="14.5" customHeight="1">
      <c r="B772" s="81"/>
      <c r="C772" s="62" t="s">
        <v>194</v>
      </c>
      <c r="D772" s="63">
        <v>2</v>
      </c>
      <c r="E772" s="64">
        <v>1.7389792192000001E-4</v>
      </c>
    </row>
    <row r="773" spans="2:5" ht="14.5" customHeight="1">
      <c r="B773" s="81"/>
      <c r="C773" s="62" t="s">
        <v>195</v>
      </c>
      <c r="D773" s="63">
        <v>1</v>
      </c>
      <c r="E773" s="64">
        <v>8.6948960960000005E-5</v>
      </c>
    </row>
    <row r="774" spans="2:5" ht="14.5" customHeight="1">
      <c r="B774" s="81"/>
      <c r="C774" s="62" t="s">
        <v>196</v>
      </c>
      <c r="D774" s="63">
        <v>1</v>
      </c>
      <c r="E774" s="64">
        <v>8.6948960960000005E-5</v>
      </c>
    </row>
    <row r="775" spans="2:5" ht="14.5" customHeight="1">
      <c r="B775" s="81"/>
      <c r="C775" s="62" t="s">
        <v>197</v>
      </c>
      <c r="D775" s="63">
        <v>1</v>
      </c>
      <c r="E775" s="64">
        <v>8.6948960960000005E-5</v>
      </c>
    </row>
    <row r="776" spans="2:5" ht="14.5" customHeight="1">
      <c r="B776" s="81"/>
      <c r="C776" s="62" t="s">
        <v>200</v>
      </c>
      <c r="D776" s="63">
        <v>8</v>
      </c>
      <c r="E776" s="64">
        <v>6.9559168767899997E-4</v>
      </c>
    </row>
    <row r="777" spans="2:5" ht="14.5" customHeight="1">
      <c r="B777" s="81"/>
      <c r="C777" s="62" t="s">
        <v>202</v>
      </c>
      <c r="D777" s="63">
        <v>1</v>
      </c>
      <c r="E777" s="64">
        <v>8.6948960960000005E-5</v>
      </c>
    </row>
    <row r="778" spans="2:5" ht="14.5" customHeight="1">
      <c r="B778" s="81"/>
      <c r="C778" s="62" t="s">
        <v>203</v>
      </c>
      <c r="D778" s="63">
        <v>5</v>
      </c>
      <c r="E778" s="64">
        <v>4.3474480480000001E-4</v>
      </c>
    </row>
    <row r="779" spans="2:5" ht="14.5" customHeight="1">
      <c r="B779" s="81"/>
      <c r="C779" s="62" t="s">
        <v>204</v>
      </c>
      <c r="D779" s="63">
        <v>42</v>
      </c>
      <c r="E779" s="64">
        <v>3.6518563603159999E-3</v>
      </c>
    </row>
    <row r="780" spans="2:5" ht="14.5" customHeight="1">
      <c r="B780" s="81"/>
      <c r="C780" s="62" t="s">
        <v>210</v>
      </c>
      <c r="D780" s="63">
        <v>1</v>
      </c>
      <c r="E780" s="64">
        <v>8.6948960960000005E-5</v>
      </c>
    </row>
    <row r="781" spans="2:5" ht="14.5" customHeight="1">
      <c r="B781" s="80"/>
      <c r="C781" s="36" t="s">
        <v>28</v>
      </c>
      <c r="D781" s="35">
        <v>79</v>
      </c>
      <c r="E781" s="34">
        <v>6.8689679158329998E-3</v>
      </c>
    </row>
    <row r="782" spans="2:5" ht="14.5" customHeight="1">
      <c r="B782" s="79" t="s">
        <v>91</v>
      </c>
      <c r="C782" s="62" t="s">
        <v>219</v>
      </c>
      <c r="D782" s="63">
        <v>1</v>
      </c>
      <c r="E782" s="64">
        <v>8.6948960960000005E-5</v>
      </c>
    </row>
    <row r="783" spans="2:5" ht="14.5" customHeight="1">
      <c r="B783" s="81"/>
      <c r="C783" s="62" t="s">
        <v>200</v>
      </c>
      <c r="D783" s="63">
        <v>1</v>
      </c>
      <c r="E783" s="64">
        <v>8.6948960960000005E-5</v>
      </c>
    </row>
    <row r="784" spans="2:5" ht="14.5" customHeight="1">
      <c r="B784" s="81"/>
      <c r="C784" s="62" t="s">
        <v>202</v>
      </c>
      <c r="D784" s="63">
        <v>1</v>
      </c>
      <c r="E784" s="64">
        <v>8.6948960960000005E-5</v>
      </c>
    </row>
    <row r="785" spans="2:5" ht="14.5" customHeight="1">
      <c r="B785" s="81"/>
      <c r="C785" s="62" t="s">
        <v>204</v>
      </c>
      <c r="D785" s="63">
        <v>10</v>
      </c>
      <c r="E785" s="64">
        <v>8.6948960959899995E-4</v>
      </c>
    </row>
    <row r="786" spans="2:5" ht="14.5" customHeight="1">
      <c r="B786" s="80"/>
      <c r="C786" s="36" t="s">
        <v>28</v>
      </c>
      <c r="D786" s="35">
        <v>13</v>
      </c>
      <c r="E786" s="34">
        <v>1.1303364924790001E-3</v>
      </c>
    </row>
    <row r="787" spans="2:5" ht="14.5" customHeight="1">
      <c r="B787" s="79" t="s">
        <v>92</v>
      </c>
      <c r="C787" s="62" t="s">
        <v>190</v>
      </c>
      <c r="D787" s="63">
        <v>1</v>
      </c>
      <c r="E787" s="64">
        <v>8.6948960960000005E-5</v>
      </c>
    </row>
    <row r="788" spans="2:5" ht="14.5" customHeight="1">
      <c r="B788" s="81"/>
      <c r="C788" s="62" t="s">
        <v>206</v>
      </c>
      <c r="D788" s="63">
        <v>1</v>
      </c>
      <c r="E788" s="64">
        <v>8.6948960960000005E-5</v>
      </c>
    </row>
    <row r="789" spans="2:5" ht="14.5" customHeight="1">
      <c r="B789" s="81"/>
      <c r="C789" s="62" t="s">
        <v>200</v>
      </c>
      <c r="D789" s="63">
        <v>1</v>
      </c>
      <c r="E789" s="64">
        <v>8.6948960960000005E-5</v>
      </c>
    </row>
    <row r="790" spans="2:5" ht="14.5" customHeight="1">
      <c r="B790" s="81"/>
      <c r="C790" s="62" t="s">
        <v>204</v>
      </c>
      <c r="D790" s="63">
        <v>9</v>
      </c>
      <c r="E790" s="64">
        <v>7.8254064863900001E-4</v>
      </c>
    </row>
    <row r="791" spans="2:5" ht="14.5" customHeight="1">
      <c r="B791" s="80"/>
      <c r="C791" s="36" t="s">
        <v>28</v>
      </c>
      <c r="D791" s="35">
        <v>12</v>
      </c>
      <c r="E791" s="34">
        <v>1.043387531519E-3</v>
      </c>
    </row>
    <row r="792" spans="2:5" ht="14.5" customHeight="1">
      <c r="B792" s="79" t="s">
        <v>86</v>
      </c>
      <c r="C792" s="62" t="s">
        <v>189</v>
      </c>
      <c r="D792" s="63">
        <v>5</v>
      </c>
      <c r="E792" s="64">
        <v>4.3474480480000001E-4</v>
      </c>
    </row>
    <row r="793" spans="2:5" ht="14.5" customHeight="1">
      <c r="B793" s="81"/>
      <c r="C793" s="62" t="s">
        <v>207</v>
      </c>
      <c r="D793" s="63">
        <v>1</v>
      </c>
      <c r="E793" s="64">
        <v>8.6948960960000005E-5</v>
      </c>
    </row>
    <row r="794" spans="2:5" ht="14.5" customHeight="1">
      <c r="B794" s="81"/>
      <c r="C794" s="62" t="s">
        <v>215</v>
      </c>
      <c r="D794" s="63">
        <v>2</v>
      </c>
      <c r="E794" s="64">
        <v>1.7389792192000001E-4</v>
      </c>
    </row>
    <row r="795" spans="2:5" ht="14.5" customHeight="1">
      <c r="B795" s="81"/>
      <c r="C795" s="62" t="s">
        <v>193</v>
      </c>
      <c r="D795" s="63">
        <v>1</v>
      </c>
      <c r="E795" s="64">
        <v>8.6948960960000005E-5</v>
      </c>
    </row>
    <row r="796" spans="2:5" ht="14.5" customHeight="1">
      <c r="B796" s="81"/>
      <c r="C796" s="62" t="s">
        <v>194</v>
      </c>
      <c r="D796" s="63">
        <v>4</v>
      </c>
      <c r="E796" s="64">
        <v>3.4779584384000002E-4</v>
      </c>
    </row>
    <row r="797" spans="2:5" ht="14.5" customHeight="1">
      <c r="B797" s="81"/>
      <c r="C797" s="62" t="s">
        <v>195</v>
      </c>
      <c r="D797" s="63">
        <v>1</v>
      </c>
      <c r="E797" s="64">
        <v>8.6948960960000005E-5</v>
      </c>
    </row>
    <row r="798" spans="2:5" ht="14.5" customHeight="1">
      <c r="B798" s="81"/>
      <c r="C798" s="62" t="s">
        <v>197</v>
      </c>
      <c r="D798" s="63">
        <v>1</v>
      </c>
      <c r="E798" s="64">
        <v>8.6948960960000005E-5</v>
      </c>
    </row>
    <row r="799" spans="2:5" ht="14.5" customHeight="1">
      <c r="B799" s="81"/>
      <c r="C799" s="62" t="s">
        <v>199</v>
      </c>
      <c r="D799" s="63">
        <v>2</v>
      </c>
      <c r="E799" s="64">
        <v>1.7389792192000001E-4</v>
      </c>
    </row>
    <row r="800" spans="2:5" ht="14.5" customHeight="1">
      <c r="B800" s="81"/>
      <c r="C800" s="62" t="s">
        <v>200</v>
      </c>
      <c r="D800" s="63">
        <v>1</v>
      </c>
      <c r="E800" s="64">
        <v>8.6948960960000005E-5</v>
      </c>
    </row>
    <row r="801" spans="2:5" ht="14.5" customHeight="1">
      <c r="B801" s="81"/>
      <c r="C801" s="62" t="s">
        <v>203</v>
      </c>
      <c r="D801" s="63">
        <v>1</v>
      </c>
      <c r="E801" s="64">
        <v>8.6948960960000005E-5</v>
      </c>
    </row>
    <row r="802" spans="2:5" ht="14.5" customHeight="1">
      <c r="B802" s="81"/>
      <c r="C802" s="62" t="s">
        <v>204</v>
      </c>
      <c r="D802" s="63">
        <v>4</v>
      </c>
      <c r="E802" s="64">
        <v>3.4779584384000002E-4</v>
      </c>
    </row>
    <row r="803" spans="2:5" ht="14.5" customHeight="1">
      <c r="B803" s="80"/>
      <c r="C803" s="36" t="s">
        <v>28</v>
      </c>
      <c r="D803" s="35">
        <v>23</v>
      </c>
      <c r="E803" s="34">
        <v>1.9998261020779998E-3</v>
      </c>
    </row>
    <row r="804" spans="2:5" ht="14.5" customHeight="1">
      <c r="B804" s="79" t="s">
        <v>96</v>
      </c>
      <c r="C804" s="62" t="s">
        <v>206</v>
      </c>
      <c r="D804" s="63">
        <v>1</v>
      </c>
      <c r="E804" s="64">
        <v>8.6948960960000005E-5</v>
      </c>
    </row>
    <row r="805" spans="2:5" ht="14.5" customHeight="1">
      <c r="B805" s="81"/>
      <c r="C805" s="62" t="s">
        <v>204</v>
      </c>
      <c r="D805" s="63">
        <v>1</v>
      </c>
      <c r="E805" s="64">
        <v>8.6948960960000005E-5</v>
      </c>
    </row>
    <row r="806" spans="2:5" ht="14.5" customHeight="1">
      <c r="B806" s="80"/>
      <c r="C806" s="36" t="s">
        <v>28</v>
      </c>
      <c r="D806" s="35">
        <v>2</v>
      </c>
      <c r="E806" s="34">
        <v>1.7389792192000001E-4</v>
      </c>
    </row>
    <row r="807" spans="2:5" ht="14.5" customHeight="1">
      <c r="B807" s="77" t="s">
        <v>28</v>
      </c>
      <c r="C807" s="78"/>
      <c r="D807" s="60">
        <v>11501</v>
      </c>
      <c r="E807" s="61">
        <v>1</v>
      </c>
    </row>
    <row r="808" spans="2:5" ht="14.5" customHeight="1"/>
    <row r="809" spans="2:5" ht="14.5" customHeight="1">
      <c r="B809" s="15" t="s">
        <v>97</v>
      </c>
    </row>
    <row r="810" spans="2:5" ht="14.5" customHeight="1">
      <c r="B810" s="17" t="s">
        <v>17</v>
      </c>
    </row>
    <row r="811" spans="2:5" ht="14.5" customHeight="1">
      <c r="B811" s="16" t="s">
        <v>98</v>
      </c>
    </row>
    <row r="812" spans="2:5" ht="14.5" customHeight="1">
      <c r="B812" s="15" t="s">
        <v>16</v>
      </c>
    </row>
    <row r="813" spans="2:5" ht="14.5" customHeight="1">
      <c r="B813" s="15" t="s">
        <v>99</v>
      </c>
    </row>
  </sheetData>
  <mergeCells count="51">
    <mergeCell ref="B618:B636"/>
    <mergeCell ref="B146:B184"/>
    <mergeCell ref="B185:B207"/>
    <mergeCell ref="B208:B227"/>
    <mergeCell ref="B97:B115"/>
    <mergeCell ref="B116:B145"/>
    <mergeCell ref="B228:B240"/>
    <mergeCell ref="B477:B489"/>
    <mergeCell ref="B409:B433"/>
    <mergeCell ref="B7:E8"/>
    <mergeCell ref="B602:B613"/>
    <mergeCell ref="B614:B617"/>
    <mergeCell ref="B10:B26"/>
    <mergeCell ref="B27:B53"/>
    <mergeCell ref="B54:B83"/>
    <mergeCell ref="B84:B90"/>
    <mergeCell ref="B91:B96"/>
    <mergeCell ref="B241:B255"/>
    <mergeCell ref="B256:B272"/>
    <mergeCell ref="B273:B285"/>
    <mergeCell ref="B286:B294"/>
    <mergeCell ref="B295:B333"/>
    <mergeCell ref="B334:B350"/>
    <mergeCell ref="B351:B371"/>
    <mergeCell ref="B372:B394"/>
    <mergeCell ref="B395:B408"/>
    <mergeCell ref="B657:B665"/>
    <mergeCell ref="B637:B656"/>
    <mergeCell ref="B434:B450"/>
    <mergeCell ref="B524:B536"/>
    <mergeCell ref="B537:B563"/>
    <mergeCell ref="B564:B578"/>
    <mergeCell ref="B579:B596"/>
    <mergeCell ref="B597:B601"/>
    <mergeCell ref="B490:B503"/>
    <mergeCell ref="B504:B506"/>
    <mergeCell ref="B507:B523"/>
    <mergeCell ref="B451:B476"/>
    <mergeCell ref="B666:B687"/>
    <mergeCell ref="B688:B695"/>
    <mergeCell ref="B696:B733"/>
    <mergeCell ref="B734:B745"/>
    <mergeCell ref="B787:B791"/>
    <mergeCell ref="B792:B803"/>
    <mergeCell ref="B804:B806"/>
    <mergeCell ref="B807:C807"/>
    <mergeCell ref="B746:B753"/>
    <mergeCell ref="B754:B759"/>
    <mergeCell ref="B760:B768"/>
    <mergeCell ref="B769:B781"/>
    <mergeCell ref="B782:B78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B1:D73"/>
  <sheetViews>
    <sheetView showGridLines="0" view="pageBreakPreview" topLeftCell="A5" zoomScale="115" zoomScaleNormal="100" zoomScaleSheetLayoutView="115" workbookViewId="0">
      <selection activeCell="E12" sqref="E12"/>
    </sheetView>
  </sheetViews>
  <sheetFormatPr baseColWidth="10" defaultColWidth="11.453125" defaultRowHeight="14.5"/>
  <cols>
    <col min="1" max="1" width="9.26953125" style="13" customWidth="1"/>
    <col min="2" max="2" width="36.179687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3.632812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76" t="s">
        <v>39</v>
      </c>
      <c r="C7" s="76"/>
      <c r="D7" s="76"/>
    </row>
    <row r="8" spans="2:4" s="25" customFormat="1" ht="15" customHeight="1">
      <c r="B8" s="76"/>
      <c r="C8" s="76"/>
      <c r="D8" s="76"/>
    </row>
    <row r="9" spans="2:4" s="25" customFormat="1" ht="33" customHeight="1">
      <c r="B9" s="76"/>
      <c r="C9" s="76"/>
      <c r="D9" s="76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26</v>
      </c>
      <c r="C11" s="27" t="s">
        <v>25</v>
      </c>
      <c r="D11" s="26" t="s">
        <v>18</v>
      </c>
    </row>
    <row r="12" spans="2:4" ht="14.5" customHeight="1">
      <c r="B12" s="23" t="s">
        <v>227</v>
      </c>
      <c r="C12" s="22">
        <v>58</v>
      </c>
      <c r="D12" s="21">
        <v>5.0430397356750001E-3</v>
      </c>
    </row>
    <row r="13" spans="2:4" ht="14.5" customHeight="1">
      <c r="B13" s="23" t="s">
        <v>228</v>
      </c>
      <c r="C13" s="22">
        <v>31</v>
      </c>
      <c r="D13" s="21">
        <v>2.6954177897570001E-3</v>
      </c>
    </row>
    <row r="14" spans="2:4" ht="14.5" customHeight="1">
      <c r="B14" s="23" t="s">
        <v>229</v>
      </c>
      <c r="C14" s="22">
        <v>43</v>
      </c>
      <c r="D14" s="21">
        <v>3.7388053212760002E-3</v>
      </c>
    </row>
    <row r="15" spans="2:4" ht="14.5" customHeight="1">
      <c r="B15" s="23" t="s">
        <v>230</v>
      </c>
      <c r="C15" s="22">
        <v>94</v>
      </c>
      <c r="D15" s="21">
        <v>8.1732023302320007E-3</v>
      </c>
    </row>
    <row r="16" spans="2:4" ht="14.5" customHeight="1">
      <c r="B16" s="23" t="s">
        <v>231</v>
      </c>
      <c r="C16" s="22">
        <v>53</v>
      </c>
      <c r="D16" s="21">
        <v>4.6082949308760002E-3</v>
      </c>
    </row>
    <row r="17" spans="2:4" ht="14.5" customHeight="1">
      <c r="B17" s="23" t="s">
        <v>232</v>
      </c>
      <c r="C17" s="22">
        <v>72</v>
      </c>
      <c r="D17" s="21">
        <v>6.2603251891140002E-3</v>
      </c>
    </row>
    <row r="18" spans="2:4" ht="14.5" customHeight="1">
      <c r="B18" s="23" t="s">
        <v>233</v>
      </c>
      <c r="C18" s="22">
        <v>605</v>
      </c>
      <c r="D18" s="21">
        <v>5.2604121380749998E-2</v>
      </c>
    </row>
    <row r="19" spans="2:4" ht="14.5" customHeight="1">
      <c r="B19" s="23" t="s">
        <v>234</v>
      </c>
      <c r="C19" s="22">
        <v>844</v>
      </c>
      <c r="D19" s="21">
        <v>7.3384923050169998E-2</v>
      </c>
    </row>
    <row r="20" spans="2:4" ht="14.5" customHeight="1">
      <c r="B20" s="23" t="s">
        <v>235</v>
      </c>
      <c r="C20" s="22">
        <v>95</v>
      </c>
      <c r="D20" s="21">
        <v>8.2601512911919996E-3</v>
      </c>
    </row>
    <row r="21" spans="2:4" ht="14.5" customHeight="1">
      <c r="B21" s="23" t="s">
        <v>236</v>
      </c>
      <c r="C21" s="22">
        <v>243</v>
      </c>
      <c r="D21" s="21">
        <v>2.1128597513259999E-2</v>
      </c>
    </row>
    <row r="22" spans="2:4" ht="14.5" customHeight="1">
      <c r="B22" s="23" t="s">
        <v>237</v>
      </c>
      <c r="C22" s="22">
        <v>525</v>
      </c>
      <c r="D22" s="21">
        <v>4.5648204503956E-2</v>
      </c>
    </row>
    <row r="23" spans="2:4" ht="14.5" customHeight="1">
      <c r="B23" s="23" t="s">
        <v>238</v>
      </c>
      <c r="C23" s="22">
        <v>3544</v>
      </c>
      <c r="D23" s="21">
        <v>0.30814711764194402</v>
      </c>
    </row>
    <row r="24" spans="2:4" ht="14.5" customHeight="1">
      <c r="B24" s="23" t="s">
        <v>239</v>
      </c>
      <c r="C24" s="22">
        <v>333</v>
      </c>
      <c r="D24" s="21">
        <v>2.8954003999651999E-2</v>
      </c>
    </row>
    <row r="25" spans="2:4" ht="14.5" customHeight="1">
      <c r="B25" s="23" t="s">
        <v>240</v>
      </c>
      <c r="C25" s="22">
        <v>766</v>
      </c>
      <c r="D25" s="21">
        <v>6.6602904095295998E-2</v>
      </c>
    </row>
    <row r="26" spans="2:4" ht="14.5" customHeight="1">
      <c r="B26" s="23" t="s">
        <v>241</v>
      </c>
      <c r="C26" s="22">
        <v>2954</v>
      </c>
      <c r="D26" s="21">
        <v>0.25684723067559301</v>
      </c>
    </row>
    <row r="27" spans="2:4" ht="14.5" customHeight="1">
      <c r="B27" s="23" t="s">
        <v>242</v>
      </c>
      <c r="C27" s="22">
        <v>47</v>
      </c>
      <c r="D27" s="21">
        <v>4.0866011651160003E-3</v>
      </c>
    </row>
    <row r="28" spans="2:4" ht="14.5" customHeight="1">
      <c r="B28" s="23" t="s">
        <v>243</v>
      </c>
      <c r="C28" s="22">
        <v>49</v>
      </c>
      <c r="D28" s="21">
        <v>4.260499087036E-3</v>
      </c>
    </row>
    <row r="29" spans="2:4" ht="14.5" customHeight="1">
      <c r="B29" s="23" t="s">
        <v>244</v>
      </c>
      <c r="C29" s="22">
        <v>32</v>
      </c>
      <c r="D29" s="21">
        <v>2.7823667507169999E-3</v>
      </c>
    </row>
    <row r="30" spans="2:4" ht="14.5" customHeight="1">
      <c r="B30" s="23" t="s">
        <v>245</v>
      </c>
      <c r="C30" s="22">
        <v>14</v>
      </c>
      <c r="D30" s="21">
        <v>1.2172854534389999E-3</v>
      </c>
    </row>
    <row r="31" spans="2:4" ht="14.5" customHeight="1">
      <c r="B31" s="23" t="s">
        <v>246</v>
      </c>
      <c r="C31" s="22">
        <v>235</v>
      </c>
      <c r="D31" s="21">
        <v>2.0433005825580001E-2</v>
      </c>
    </row>
    <row r="32" spans="2:4" ht="14.5" customHeight="1">
      <c r="B32" s="23" t="s">
        <v>247</v>
      </c>
      <c r="C32" s="22">
        <v>822</v>
      </c>
      <c r="D32" s="21">
        <v>7.1472045909050999E-2</v>
      </c>
    </row>
    <row r="33" spans="2:4" ht="14.5" customHeight="1">
      <c r="B33" s="23" t="s">
        <v>248</v>
      </c>
      <c r="C33" s="22">
        <v>6</v>
      </c>
      <c r="D33" s="21">
        <v>5.2169376575899999E-4</v>
      </c>
    </row>
    <row r="34" spans="2:4" ht="14.5" customHeight="1">
      <c r="B34" s="23" t="s">
        <v>249</v>
      </c>
      <c r="C34" s="22">
        <v>29</v>
      </c>
      <c r="D34" s="21">
        <v>2.5215198678380001E-3</v>
      </c>
    </row>
    <row r="35" spans="2:4" ht="14.5" customHeight="1">
      <c r="B35" s="23" t="s">
        <v>250</v>
      </c>
      <c r="C35" s="22">
        <v>7</v>
      </c>
      <c r="D35" s="21">
        <v>6.0864272671900003E-4</v>
      </c>
    </row>
    <row r="36" spans="2:4" ht="14.5" customHeight="1">
      <c r="B36" s="20" t="s">
        <v>28</v>
      </c>
      <c r="C36" s="19">
        <v>11501</v>
      </c>
      <c r="D36" s="18">
        <v>1</v>
      </c>
    </row>
    <row r="37" spans="2:4" ht="14.5" customHeight="1">
      <c r="C37" s="13"/>
    </row>
    <row r="38" spans="2:4" ht="14.5" customHeight="1">
      <c r="B38" s="15" t="s">
        <v>97</v>
      </c>
      <c r="C38" s="13"/>
    </row>
    <row r="39" spans="2:4" ht="14.5" customHeight="1">
      <c r="B39" s="17" t="s">
        <v>17</v>
      </c>
      <c r="C39" s="13"/>
    </row>
    <row r="40" spans="2:4" ht="14.5" customHeight="1">
      <c r="B40" s="16" t="s">
        <v>98</v>
      </c>
      <c r="C40" s="13"/>
    </row>
    <row r="41" spans="2:4" ht="14.5" customHeight="1">
      <c r="B41" s="15" t="s">
        <v>16</v>
      </c>
      <c r="C41" s="13"/>
    </row>
    <row r="42" spans="2:4" ht="14.5" customHeight="1">
      <c r="B42" s="15" t="s">
        <v>99</v>
      </c>
      <c r="C42" s="13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  <row r="71" spans="3:3">
      <c r="C71" s="13"/>
    </row>
    <row r="72" spans="3:3">
      <c r="C72" s="13"/>
    </row>
    <row r="73" spans="3:3">
      <c r="C73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508"/>
  <sheetViews>
    <sheetView showGridLines="0" view="pageBreakPreview" zoomScale="85" zoomScaleNormal="85" zoomScaleSheetLayoutView="85" workbookViewId="0">
      <selection activeCell="E513" sqref="E513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1.45312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85"/>
      <c r="C7" s="85"/>
      <c r="D7" s="85"/>
      <c r="E7" s="85"/>
    </row>
    <row r="8" spans="1:5" s="41" customFormat="1" ht="33" customHeight="1">
      <c r="A8" s="42"/>
      <c r="B8" s="85"/>
      <c r="C8" s="85"/>
      <c r="D8" s="85"/>
      <c r="E8" s="85"/>
    </row>
    <row r="9" spans="1:5" s="25" customFormat="1" ht="40.5" customHeight="1">
      <c r="B9" s="38" t="s">
        <v>27</v>
      </c>
      <c r="C9" s="40" t="s">
        <v>24</v>
      </c>
      <c r="D9" s="39" t="s">
        <v>19</v>
      </c>
      <c r="E9" s="38" t="s">
        <v>18</v>
      </c>
    </row>
    <row r="10" spans="1:5" ht="14.5" customHeight="1">
      <c r="B10" s="79" t="s">
        <v>227</v>
      </c>
      <c r="C10" s="62" t="s">
        <v>102</v>
      </c>
      <c r="D10" s="63">
        <v>1</v>
      </c>
      <c r="E10" s="64">
        <v>8.6948960960000005E-5</v>
      </c>
    </row>
    <row r="11" spans="1:5" ht="14.5" customHeight="1">
      <c r="B11" s="81"/>
      <c r="C11" s="62" t="s">
        <v>104</v>
      </c>
      <c r="D11" s="63">
        <v>4</v>
      </c>
      <c r="E11" s="64">
        <v>3.4779584384000002E-4</v>
      </c>
    </row>
    <row r="12" spans="1:5" ht="14.5" customHeight="1">
      <c r="B12" s="81"/>
      <c r="C12" s="62" t="s">
        <v>105</v>
      </c>
      <c r="D12" s="63">
        <v>3</v>
      </c>
      <c r="E12" s="64">
        <v>2.6084688287999997E-4</v>
      </c>
    </row>
    <row r="13" spans="1:5" ht="14.5" customHeight="1">
      <c r="B13" s="81"/>
      <c r="C13" s="62" t="s">
        <v>108</v>
      </c>
      <c r="D13" s="63">
        <v>1</v>
      </c>
      <c r="E13" s="64">
        <v>8.6948960960000005E-5</v>
      </c>
    </row>
    <row r="14" spans="1:5" ht="14.5" customHeight="1">
      <c r="B14" s="81"/>
      <c r="C14" s="62" t="s">
        <v>114</v>
      </c>
      <c r="D14" s="63">
        <v>2</v>
      </c>
      <c r="E14" s="64">
        <v>1.7389792192000001E-4</v>
      </c>
    </row>
    <row r="15" spans="1:5" ht="14.5" customHeight="1">
      <c r="B15" s="81"/>
      <c r="C15" s="62" t="s">
        <v>120</v>
      </c>
      <c r="D15" s="63">
        <v>1</v>
      </c>
      <c r="E15" s="64">
        <v>8.6948960960000005E-5</v>
      </c>
    </row>
    <row r="16" spans="1:5" ht="14.5" customHeight="1">
      <c r="B16" s="81"/>
      <c r="C16" s="62" t="s">
        <v>124</v>
      </c>
      <c r="D16" s="63">
        <v>1</v>
      </c>
      <c r="E16" s="64">
        <v>8.6948960960000005E-5</v>
      </c>
    </row>
    <row r="17" spans="2:5" ht="14.5" customHeight="1">
      <c r="B17" s="81"/>
      <c r="C17" s="62" t="s">
        <v>127</v>
      </c>
      <c r="D17" s="63">
        <v>1</v>
      </c>
      <c r="E17" s="64">
        <v>8.6948960960000005E-5</v>
      </c>
    </row>
    <row r="18" spans="2:5" ht="14.5" customHeight="1">
      <c r="B18" s="81"/>
      <c r="C18" s="62" t="s">
        <v>128</v>
      </c>
      <c r="D18" s="63">
        <v>1</v>
      </c>
      <c r="E18" s="64">
        <v>8.6948960960000005E-5</v>
      </c>
    </row>
    <row r="19" spans="2:5" ht="14.5" customHeight="1">
      <c r="B19" s="81"/>
      <c r="C19" s="62" t="s">
        <v>129</v>
      </c>
      <c r="D19" s="63">
        <v>1</v>
      </c>
      <c r="E19" s="64">
        <v>8.6948960960000005E-5</v>
      </c>
    </row>
    <row r="20" spans="2:5" ht="14.5" customHeight="1">
      <c r="B20" s="81"/>
      <c r="C20" s="62" t="s">
        <v>132</v>
      </c>
      <c r="D20" s="63">
        <v>1</v>
      </c>
      <c r="E20" s="64">
        <v>8.6948960960000005E-5</v>
      </c>
    </row>
    <row r="21" spans="2:5" ht="14.5" customHeight="1">
      <c r="B21" s="81"/>
      <c r="C21" s="62" t="s">
        <v>134</v>
      </c>
      <c r="D21" s="63">
        <v>1</v>
      </c>
      <c r="E21" s="64">
        <v>8.6948960960000005E-5</v>
      </c>
    </row>
    <row r="22" spans="2:5" ht="14.5" customHeight="1">
      <c r="B22" s="81"/>
      <c r="C22" s="62" t="s">
        <v>138</v>
      </c>
      <c r="D22" s="63">
        <v>38</v>
      </c>
      <c r="E22" s="64">
        <v>3.3040605164770002E-3</v>
      </c>
    </row>
    <row r="23" spans="2:5" ht="14.5" customHeight="1">
      <c r="B23" s="81"/>
      <c r="C23" s="62" t="s">
        <v>142</v>
      </c>
      <c r="D23" s="63">
        <v>2</v>
      </c>
      <c r="E23" s="64">
        <v>1.7389792192000001E-4</v>
      </c>
    </row>
    <row r="24" spans="2:5" ht="14.5" customHeight="1">
      <c r="B24" s="80"/>
      <c r="C24" s="36" t="s">
        <v>28</v>
      </c>
      <c r="D24" s="35">
        <v>58</v>
      </c>
      <c r="E24" s="34">
        <v>5.0430397356750001E-3</v>
      </c>
    </row>
    <row r="25" spans="2:5" ht="14.5" customHeight="1">
      <c r="B25" s="79" t="s">
        <v>228</v>
      </c>
      <c r="C25" s="62" t="s">
        <v>104</v>
      </c>
      <c r="D25" s="63">
        <v>3</v>
      </c>
      <c r="E25" s="64">
        <v>2.6084688287999997E-4</v>
      </c>
    </row>
    <row r="26" spans="2:5" ht="14.5" customHeight="1">
      <c r="B26" s="81"/>
      <c r="C26" s="62" t="s">
        <v>114</v>
      </c>
      <c r="D26" s="63">
        <v>2</v>
      </c>
      <c r="E26" s="64">
        <v>1.7389792192000001E-4</v>
      </c>
    </row>
    <row r="27" spans="2:5" ht="14.5" customHeight="1">
      <c r="B27" s="81"/>
      <c r="C27" s="62" t="s">
        <v>121</v>
      </c>
      <c r="D27" s="63">
        <v>1</v>
      </c>
      <c r="E27" s="64">
        <v>8.6948960960000005E-5</v>
      </c>
    </row>
    <row r="28" spans="2:5" ht="14.5" customHeight="1">
      <c r="B28" s="81"/>
      <c r="C28" s="62" t="s">
        <v>132</v>
      </c>
      <c r="D28" s="63">
        <v>2</v>
      </c>
      <c r="E28" s="64">
        <v>1.7389792192000001E-4</v>
      </c>
    </row>
    <row r="29" spans="2:5" ht="14.5" customHeight="1">
      <c r="B29" s="81"/>
      <c r="C29" s="62" t="s">
        <v>137</v>
      </c>
      <c r="D29" s="63">
        <v>1</v>
      </c>
      <c r="E29" s="64">
        <v>8.6948960960000005E-5</v>
      </c>
    </row>
    <row r="30" spans="2:5" ht="14.5" customHeight="1">
      <c r="B30" s="81"/>
      <c r="C30" s="62" t="s">
        <v>138</v>
      </c>
      <c r="D30" s="63">
        <v>22</v>
      </c>
      <c r="E30" s="64">
        <v>1.912877141118E-3</v>
      </c>
    </row>
    <row r="31" spans="2:5" ht="14.5" customHeight="1">
      <c r="B31" s="80"/>
      <c r="C31" s="36" t="s">
        <v>28</v>
      </c>
      <c r="D31" s="35">
        <v>31</v>
      </c>
      <c r="E31" s="34">
        <v>2.6954177897570001E-3</v>
      </c>
    </row>
    <row r="32" spans="2:5" ht="14.5" customHeight="1">
      <c r="B32" s="79" t="s">
        <v>229</v>
      </c>
      <c r="C32" s="62" t="s">
        <v>104</v>
      </c>
      <c r="D32" s="63">
        <v>2</v>
      </c>
      <c r="E32" s="64">
        <v>1.7389792192000001E-4</v>
      </c>
    </row>
    <row r="33" spans="2:5" ht="14.5" customHeight="1">
      <c r="B33" s="81"/>
      <c r="C33" s="62" t="s">
        <v>105</v>
      </c>
      <c r="D33" s="63">
        <v>2</v>
      </c>
      <c r="E33" s="64">
        <v>1.7389792192000001E-4</v>
      </c>
    </row>
    <row r="34" spans="2:5" ht="14.5" customHeight="1">
      <c r="B34" s="81"/>
      <c r="C34" s="62" t="s">
        <v>108</v>
      </c>
      <c r="D34" s="63">
        <v>2</v>
      </c>
      <c r="E34" s="64">
        <v>1.7389792192000001E-4</v>
      </c>
    </row>
    <row r="35" spans="2:5" ht="14.5" customHeight="1">
      <c r="B35" s="81"/>
      <c r="C35" s="62" t="s">
        <v>114</v>
      </c>
      <c r="D35" s="63">
        <v>3</v>
      </c>
      <c r="E35" s="64">
        <v>2.6084688287999997E-4</v>
      </c>
    </row>
    <row r="36" spans="2:5" ht="14.5" customHeight="1">
      <c r="B36" s="81"/>
      <c r="C36" s="62" t="s">
        <v>132</v>
      </c>
      <c r="D36" s="63">
        <v>4</v>
      </c>
      <c r="E36" s="64">
        <v>3.4779584384000002E-4</v>
      </c>
    </row>
    <row r="37" spans="2:5" ht="14.5" customHeight="1">
      <c r="B37" s="81"/>
      <c r="C37" s="62" t="s">
        <v>138</v>
      </c>
      <c r="D37" s="63">
        <v>29</v>
      </c>
      <c r="E37" s="64">
        <v>2.5215198678380001E-3</v>
      </c>
    </row>
    <row r="38" spans="2:5" ht="14.5" customHeight="1">
      <c r="B38" s="81"/>
      <c r="C38" s="62" t="s">
        <v>141</v>
      </c>
      <c r="D38" s="63">
        <v>1</v>
      </c>
      <c r="E38" s="64">
        <v>8.6948960960000005E-5</v>
      </c>
    </row>
    <row r="39" spans="2:5" ht="14.5" customHeight="1">
      <c r="B39" s="80"/>
      <c r="C39" s="36" t="s">
        <v>28</v>
      </c>
      <c r="D39" s="35">
        <v>43</v>
      </c>
      <c r="E39" s="34">
        <v>3.7388053212760002E-3</v>
      </c>
    </row>
    <row r="40" spans="2:5" ht="14.5" customHeight="1">
      <c r="B40" s="79" t="s">
        <v>230</v>
      </c>
      <c r="C40" s="62" t="s">
        <v>102</v>
      </c>
      <c r="D40" s="63">
        <v>1</v>
      </c>
      <c r="E40" s="64">
        <v>8.6948960960000005E-5</v>
      </c>
    </row>
    <row r="41" spans="2:5" ht="14.5" customHeight="1">
      <c r="B41" s="81"/>
      <c r="C41" s="62" t="s">
        <v>104</v>
      </c>
      <c r="D41" s="63">
        <v>5</v>
      </c>
      <c r="E41" s="64">
        <v>4.3474480480000001E-4</v>
      </c>
    </row>
    <row r="42" spans="2:5" ht="14.5" customHeight="1">
      <c r="B42" s="81"/>
      <c r="C42" s="62" t="s">
        <v>105</v>
      </c>
      <c r="D42" s="63">
        <v>1</v>
      </c>
      <c r="E42" s="64">
        <v>8.6948960960000005E-5</v>
      </c>
    </row>
    <row r="43" spans="2:5" ht="14.5" customHeight="1">
      <c r="B43" s="81"/>
      <c r="C43" s="62" t="s">
        <v>108</v>
      </c>
      <c r="D43" s="63">
        <v>2</v>
      </c>
      <c r="E43" s="64">
        <v>1.7389792192000001E-4</v>
      </c>
    </row>
    <row r="44" spans="2:5" ht="14.5" customHeight="1">
      <c r="B44" s="81"/>
      <c r="C44" s="62" t="s">
        <v>109</v>
      </c>
      <c r="D44" s="63">
        <v>1</v>
      </c>
      <c r="E44" s="64">
        <v>8.6948960960000005E-5</v>
      </c>
    </row>
    <row r="45" spans="2:5" ht="14.5" customHeight="1">
      <c r="B45" s="81"/>
      <c r="C45" s="62" t="s">
        <v>111</v>
      </c>
      <c r="D45" s="63">
        <v>3</v>
      </c>
      <c r="E45" s="64">
        <v>2.6084688287999997E-4</v>
      </c>
    </row>
    <row r="46" spans="2:5" ht="14.5" customHeight="1">
      <c r="B46" s="81"/>
      <c r="C46" s="62" t="s">
        <v>112</v>
      </c>
      <c r="D46" s="63">
        <v>1</v>
      </c>
      <c r="E46" s="64">
        <v>8.6948960960000005E-5</v>
      </c>
    </row>
    <row r="47" spans="2:5" ht="14.5" customHeight="1">
      <c r="B47" s="81"/>
      <c r="C47" s="62" t="s">
        <v>114</v>
      </c>
      <c r="D47" s="63">
        <v>3</v>
      </c>
      <c r="E47" s="64">
        <v>2.6084688287999997E-4</v>
      </c>
    </row>
    <row r="48" spans="2:5" ht="14.5" customHeight="1">
      <c r="B48" s="81"/>
      <c r="C48" s="62" t="s">
        <v>115</v>
      </c>
      <c r="D48" s="63">
        <v>2</v>
      </c>
      <c r="E48" s="64">
        <v>1.7389792192000001E-4</v>
      </c>
    </row>
    <row r="49" spans="2:5" ht="14.5" customHeight="1">
      <c r="B49" s="81"/>
      <c r="C49" s="62" t="s">
        <v>116</v>
      </c>
      <c r="D49" s="63">
        <v>1</v>
      </c>
      <c r="E49" s="64">
        <v>8.6948960960000005E-5</v>
      </c>
    </row>
    <row r="50" spans="2:5" ht="14.5" customHeight="1">
      <c r="B50" s="81"/>
      <c r="C50" s="62" t="s">
        <v>122</v>
      </c>
      <c r="D50" s="63">
        <v>1</v>
      </c>
      <c r="E50" s="64">
        <v>8.6948960960000005E-5</v>
      </c>
    </row>
    <row r="51" spans="2:5" ht="14.5" customHeight="1">
      <c r="B51" s="81"/>
      <c r="C51" s="62" t="s">
        <v>125</v>
      </c>
      <c r="D51" s="63">
        <v>2</v>
      </c>
      <c r="E51" s="64">
        <v>1.7389792192000001E-4</v>
      </c>
    </row>
    <row r="52" spans="2:5" ht="14.5" customHeight="1">
      <c r="B52" s="81"/>
      <c r="C52" s="62" t="s">
        <v>132</v>
      </c>
      <c r="D52" s="63">
        <v>6</v>
      </c>
      <c r="E52" s="64">
        <v>5.2169376575899999E-4</v>
      </c>
    </row>
    <row r="53" spans="2:5" ht="14.5" customHeight="1">
      <c r="B53" s="81"/>
      <c r="C53" s="62" t="s">
        <v>138</v>
      </c>
      <c r="D53" s="63">
        <v>65</v>
      </c>
      <c r="E53" s="64">
        <v>5.6516824623949998E-3</v>
      </c>
    </row>
    <row r="54" spans="2:5" ht="14.5" customHeight="1">
      <c r="B54" s="80"/>
      <c r="C54" s="36" t="s">
        <v>28</v>
      </c>
      <c r="D54" s="35">
        <v>94</v>
      </c>
      <c r="E54" s="34">
        <v>8.1732023302320007E-3</v>
      </c>
    </row>
    <row r="55" spans="2:5" ht="14.5" customHeight="1">
      <c r="B55" s="79" t="s">
        <v>231</v>
      </c>
      <c r="C55" s="62" t="s">
        <v>102</v>
      </c>
      <c r="D55" s="63">
        <v>1</v>
      </c>
      <c r="E55" s="64">
        <v>8.6948960960000005E-5</v>
      </c>
    </row>
    <row r="56" spans="2:5" ht="14.5" customHeight="1">
      <c r="B56" s="81"/>
      <c r="C56" s="62" t="s">
        <v>104</v>
      </c>
      <c r="D56" s="63">
        <v>2</v>
      </c>
      <c r="E56" s="64">
        <v>1.7389792192000001E-4</v>
      </c>
    </row>
    <row r="57" spans="2:5" ht="14.5" customHeight="1">
      <c r="B57" s="81"/>
      <c r="C57" s="62" t="s">
        <v>108</v>
      </c>
      <c r="D57" s="63">
        <v>2</v>
      </c>
      <c r="E57" s="64">
        <v>1.7389792192000001E-4</v>
      </c>
    </row>
    <row r="58" spans="2:5" ht="14.5" customHeight="1">
      <c r="B58" s="81"/>
      <c r="C58" s="62" t="s">
        <v>109</v>
      </c>
      <c r="D58" s="63">
        <v>2</v>
      </c>
      <c r="E58" s="64">
        <v>1.7389792192000001E-4</v>
      </c>
    </row>
    <row r="59" spans="2:5" ht="14.5" customHeight="1">
      <c r="B59" s="81"/>
      <c r="C59" s="62" t="s">
        <v>112</v>
      </c>
      <c r="D59" s="63">
        <v>1</v>
      </c>
      <c r="E59" s="64">
        <v>8.6948960960000005E-5</v>
      </c>
    </row>
    <row r="60" spans="2:5" ht="14.5" customHeight="1">
      <c r="B60" s="81"/>
      <c r="C60" s="62" t="s">
        <v>114</v>
      </c>
      <c r="D60" s="63">
        <v>1</v>
      </c>
      <c r="E60" s="64">
        <v>8.6948960960000005E-5</v>
      </c>
    </row>
    <row r="61" spans="2:5" ht="14.5" customHeight="1">
      <c r="B61" s="81"/>
      <c r="C61" s="62" t="s">
        <v>120</v>
      </c>
      <c r="D61" s="63">
        <v>2</v>
      </c>
      <c r="E61" s="64">
        <v>1.7389792192000001E-4</v>
      </c>
    </row>
    <row r="62" spans="2:5" ht="14.5" customHeight="1">
      <c r="B62" s="81"/>
      <c r="C62" s="62" t="s">
        <v>125</v>
      </c>
      <c r="D62" s="63">
        <v>1</v>
      </c>
      <c r="E62" s="64">
        <v>8.6948960960000005E-5</v>
      </c>
    </row>
    <row r="63" spans="2:5" ht="14.5" customHeight="1">
      <c r="B63" s="81"/>
      <c r="C63" s="62" t="s">
        <v>129</v>
      </c>
      <c r="D63" s="63">
        <v>1</v>
      </c>
      <c r="E63" s="64">
        <v>8.6948960960000005E-5</v>
      </c>
    </row>
    <row r="64" spans="2:5" ht="14.5" customHeight="1">
      <c r="B64" s="81"/>
      <c r="C64" s="62" t="s">
        <v>132</v>
      </c>
      <c r="D64" s="63">
        <v>1</v>
      </c>
      <c r="E64" s="64">
        <v>8.6948960960000005E-5</v>
      </c>
    </row>
    <row r="65" spans="2:5" ht="14.5" customHeight="1">
      <c r="B65" s="81"/>
      <c r="C65" s="62" t="s">
        <v>138</v>
      </c>
      <c r="D65" s="63">
        <v>38</v>
      </c>
      <c r="E65" s="64">
        <v>3.3040605164770002E-3</v>
      </c>
    </row>
    <row r="66" spans="2:5" ht="14.5" customHeight="1">
      <c r="B66" s="81"/>
      <c r="C66" s="62" t="s">
        <v>142</v>
      </c>
      <c r="D66" s="63">
        <v>1</v>
      </c>
      <c r="E66" s="64">
        <v>8.6948960960000005E-5</v>
      </c>
    </row>
    <row r="67" spans="2:5" ht="14.5" customHeight="1">
      <c r="B67" s="80"/>
      <c r="C67" s="36" t="s">
        <v>28</v>
      </c>
      <c r="D67" s="35">
        <v>53</v>
      </c>
      <c r="E67" s="34">
        <v>4.6082949308760002E-3</v>
      </c>
    </row>
    <row r="68" spans="2:5" ht="14.5" customHeight="1">
      <c r="B68" s="79" t="s">
        <v>232</v>
      </c>
      <c r="C68" s="62" t="s">
        <v>100</v>
      </c>
      <c r="D68" s="63">
        <v>1</v>
      </c>
      <c r="E68" s="64">
        <v>8.6948960960000005E-5</v>
      </c>
    </row>
    <row r="69" spans="2:5" ht="14.5" customHeight="1">
      <c r="B69" s="81"/>
      <c r="C69" s="62" t="s">
        <v>104</v>
      </c>
      <c r="D69" s="63">
        <v>1</v>
      </c>
      <c r="E69" s="64">
        <v>8.6948960960000005E-5</v>
      </c>
    </row>
    <row r="70" spans="2:5" ht="14.5" customHeight="1">
      <c r="B70" s="81"/>
      <c r="C70" s="62" t="s">
        <v>105</v>
      </c>
      <c r="D70" s="63">
        <v>1</v>
      </c>
      <c r="E70" s="64">
        <v>8.6948960960000005E-5</v>
      </c>
    </row>
    <row r="71" spans="2:5" ht="14.5" customHeight="1">
      <c r="B71" s="81"/>
      <c r="C71" s="62" t="s">
        <v>108</v>
      </c>
      <c r="D71" s="63">
        <v>1</v>
      </c>
      <c r="E71" s="64">
        <v>8.6948960960000005E-5</v>
      </c>
    </row>
    <row r="72" spans="2:5" ht="14.5" customHeight="1">
      <c r="B72" s="81"/>
      <c r="C72" s="62" t="s">
        <v>109</v>
      </c>
      <c r="D72" s="63">
        <v>1</v>
      </c>
      <c r="E72" s="64">
        <v>8.6948960960000005E-5</v>
      </c>
    </row>
    <row r="73" spans="2:5" ht="14.5" customHeight="1">
      <c r="B73" s="81"/>
      <c r="C73" s="62" t="s">
        <v>112</v>
      </c>
      <c r="D73" s="63">
        <v>1</v>
      </c>
      <c r="E73" s="64">
        <v>8.6948960960000005E-5</v>
      </c>
    </row>
    <row r="74" spans="2:5" ht="14.5" customHeight="1">
      <c r="B74" s="81"/>
      <c r="C74" s="62" t="s">
        <v>114</v>
      </c>
      <c r="D74" s="63">
        <v>1</v>
      </c>
      <c r="E74" s="64">
        <v>8.6948960960000005E-5</v>
      </c>
    </row>
    <row r="75" spans="2:5" ht="14.5" customHeight="1">
      <c r="B75" s="81"/>
      <c r="C75" s="62" t="s">
        <v>115</v>
      </c>
      <c r="D75" s="63">
        <v>2</v>
      </c>
      <c r="E75" s="64">
        <v>1.7389792192000001E-4</v>
      </c>
    </row>
    <row r="76" spans="2:5" ht="14.5" customHeight="1">
      <c r="B76" s="81"/>
      <c r="C76" s="62" t="s">
        <v>120</v>
      </c>
      <c r="D76" s="63">
        <v>1</v>
      </c>
      <c r="E76" s="64">
        <v>8.6948960960000005E-5</v>
      </c>
    </row>
    <row r="77" spans="2:5" ht="14.5" customHeight="1">
      <c r="B77" s="81"/>
      <c r="C77" s="62" t="s">
        <v>121</v>
      </c>
      <c r="D77" s="63">
        <v>1</v>
      </c>
      <c r="E77" s="64">
        <v>8.6948960960000005E-5</v>
      </c>
    </row>
    <row r="78" spans="2:5" ht="14.5" customHeight="1">
      <c r="B78" s="81"/>
      <c r="C78" s="62" t="s">
        <v>122</v>
      </c>
      <c r="D78" s="63">
        <v>2</v>
      </c>
      <c r="E78" s="64">
        <v>1.7389792192000001E-4</v>
      </c>
    </row>
    <row r="79" spans="2:5" ht="14.5" customHeight="1">
      <c r="B79" s="81"/>
      <c r="C79" s="62" t="s">
        <v>123</v>
      </c>
      <c r="D79" s="63">
        <v>1</v>
      </c>
      <c r="E79" s="64">
        <v>8.6948960960000005E-5</v>
      </c>
    </row>
    <row r="80" spans="2:5" ht="14.5" customHeight="1">
      <c r="B80" s="81"/>
      <c r="C80" s="62" t="s">
        <v>125</v>
      </c>
      <c r="D80" s="63">
        <v>1</v>
      </c>
      <c r="E80" s="64">
        <v>8.6948960960000005E-5</v>
      </c>
    </row>
    <row r="81" spans="2:5" ht="14.5" customHeight="1">
      <c r="B81" s="81"/>
      <c r="C81" s="62" t="s">
        <v>127</v>
      </c>
      <c r="D81" s="63">
        <v>1</v>
      </c>
      <c r="E81" s="64">
        <v>8.6948960960000005E-5</v>
      </c>
    </row>
    <row r="82" spans="2:5" ht="14.5" customHeight="1">
      <c r="B82" s="81"/>
      <c r="C82" s="62" t="s">
        <v>129</v>
      </c>
      <c r="D82" s="63">
        <v>1</v>
      </c>
      <c r="E82" s="64">
        <v>8.6948960960000005E-5</v>
      </c>
    </row>
    <row r="83" spans="2:5" ht="14.5" customHeight="1">
      <c r="B83" s="81"/>
      <c r="C83" s="62" t="s">
        <v>132</v>
      </c>
      <c r="D83" s="63">
        <v>5</v>
      </c>
      <c r="E83" s="64">
        <v>4.3474480480000001E-4</v>
      </c>
    </row>
    <row r="84" spans="2:5" ht="14.5" customHeight="1">
      <c r="B84" s="81"/>
      <c r="C84" s="62" t="s">
        <v>135</v>
      </c>
      <c r="D84" s="63">
        <v>1</v>
      </c>
      <c r="E84" s="64">
        <v>8.6948960960000005E-5</v>
      </c>
    </row>
    <row r="85" spans="2:5" ht="14.5" customHeight="1">
      <c r="B85" s="81"/>
      <c r="C85" s="62" t="s">
        <v>137</v>
      </c>
      <c r="D85" s="63">
        <v>2</v>
      </c>
      <c r="E85" s="64">
        <v>1.7389792192000001E-4</v>
      </c>
    </row>
    <row r="86" spans="2:5" ht="14.5" customHeight="1">
      <c r="B86" s="81"/>
      <c r="C86" s="62" t="s">
        <v>138</v>
      </c>
      <c r="D86" s="63">
        <v>45</v>
      </c>
      <c r="E86" s="64">
        <v>3.9127032431959998E-3</v>
      </c>
    </row>
    <row r="87" spans="2:5" ht="14.5" customHeight="1">
      <c r="B87" s="81"/>
      <c r="C87" s="62" t="s">
        <v>142</v>
      </c>
      <c r="D87" s="63">
        <v>1</v>
      </c>
      <c r="E87" s="64">
        <v>8.6948960960000005E-5</v>
      </c>
    </row>
    <row r="88" spans="2:5" ht="14.5" customHeight="1">
      <c r="B88" s="81"/>
      <c r="C88" s="62" t="s">
        <v>143</v>
      </c>
      <c r="D88" s="63">
        <v>1</v>
      </c>
      <c r="E88" s="64">
        <v>8.6948960960000005E-5</v>
      </c>
    </row>
    <row r="89" spans="2:5" ht="14.5" customHeight="1">
      <c r="B89" s="80"/>
      <c r="C89" s="36" t="s">
        <v>28</v>
      </c>
      <c r="D89" s="35">
        <v>72</v>
      </c>
      <c r="E89" s="34">
        <v>6.2603251891140002E-3</v>
      </c>
    </row>
    <row r="90" spans="2:5" ht="14.5" customHeight="1">
      <c r="B90" s="79" t="s">
        <v>233</v>
      </c>
      <c r="C90" s="62" t="s">
        <v>100</v>
      </c>
      <c r="D90" s="63">
        <v>3</v>
      </c>
      <c r="E90" s="64">
        <v>2.6084688287999997E-4</v>
      </c>
    </row>
    <row r="91" spans="2:5" ht="14.5" customHeight="1">
      <c r="B91" s="81"/>
      <c r="C91" s="62" t="s">
        <v>102</v>
      </c>
      <c r="D91" s="63">
        <v>4</v>
      </c>
      <c r="E91" s="64">
        <v>3.4779584384000002E-4</v>
      </c>
    </row>
    <row r="92" spans="2:5" ht="14.5" customHeight="1">
      <c r="B92" s="81"/>
      <c r="C92" s="62" t="s">
        <v>103</v>
      </c>
      <c r="D92" s="63">
        <v>5</v>
      </c>
      <c r="E92" s="64">
        <v>4.3474480480000001E-4</v>
      </c>
    </row>
    <row r="93" spans="2:5" ht="14.5" customHeight="1">
      <c r="B93" s="81"/>
      <c r="C93" s="62" t="s">
        <v>104</v>
      </c>
      <c r="D93" s="63">
        <v>34</v>
      </c>
      <c r="E93" s="64">
        <v>2.956264672637E-3</v>
      </c>
    </row>
    <row r="94" spans="2:5" ht="14.5" customHeight="1">
      <c r="B94" s="81"/>
      <c r="C94" s="62" t="s">
        <v>105</v>
      </c>
      <c r="D94" s="63">
        <v>8</v>
      </c>
      <c r="E94" s="64">
        <v>6.9559168767899997E-4</v>
      </c>
    </row>
    <row r="95" spans="2:5" ht="14.5" customHeight="1">
      <c r="B95" s="81"/>
      <c r="C95" s="62" t="s">
        <v>107</v>
      </c>
      <c r="D95" s="63">
        <v>1</v>
      </c>
      <c r="E95" s="64">
        <v>8.6948960960000005E-5</v>
      </c>
    </row>
    <row r="96" spans="2:5" ht="14.5" customHeight="1">
      <c r="B96" s="81"/>
      <c r="C96" s="62" t="s">
        <v>108</v>
      </c>
      <c r="D96" s="63">
        <v>8</v>
      </c>
      <c r="E96" s="64">
        <v>6.9559168767899997E-4</v>
      </c>
    </row>
    <row r="97" spans="2:5" ht="14.5" customHeight="1">
      <c r="B97" s="81"/>
      <c r="C97" s="62" t="s">
        <v>109</v>
      </c>
      <c r="D97" s="63">
        <v>2</v>
      </c>
      <c r="E97" s="64">
        <v>1.7389792192000001E-4</v>
      </c>
    </row>
    <row r="98" spans="2:5" ht="14.5" customHeight="1">
      <c r="B98" s="81"/>
      <c r="C98" s="62" t="s">
        <v>110</v>
      </c>
      <c r="D98" s="63">
        <v>1</v>
      </c>
      <c r="E98" s="64">
        <v>8.6948960960000005E-5</v>
      </c>
    </row>
    <row r="99" spans="2:5" ht="14.5" customHeight="1">
      <c r="B99" s="81"/>
      <c r="C99" s="62" t="s">
        <v>111</v>
      </c>
      <c r="D99" s="63">
        <v>5</v>
      </c>
      <c r="E99" s="64">
        <v>4.3474480480000001E-4</v>
      </c>
    </row>
    <row r="100" spans="2:5" ht="14.5" customHeight="1">
      <c r="B100" s="81"/>
      <c r="C100" s="62" t="s">
        <v>112</v>
      </c>
      <c r="D100" s="63">
        <v>5</v>
      </c>
      <c r="E100" s="64">
        <v>4.3474480480000001E-4</v>
      </c>
    </row>
    <row r="101" spans="2:5" ht="14.5" customHeight="1">
      <c r="B101" s="81"/>
      <c r="C101" s="62" t="s">
        <v>114</v>
      </c>
      <c r="D101" s="63">
        <v>5</v>
      </c>
      <c r="E101" s="64">
        <v>4.3474480480000001E-4</v>
      </c>
    </row>
    <row r="102" spans="2:5" ht="14.5" customHeight="1">
      <c r="B102" s="81"/>
      <c r="C102" s="62" t="s">
        <v>115</v>
      </c>
      <c r="D102" s="63">
        <v>7</v>
      </c>
      <c r="E102" s="64">
        <v>6.0864272671900003E-4</v>
      </c>
    </row>
    <row r="103" spans="2:5" ht="14.5" customHeight="1">
      <c r="B103" s="81"/>
      <c r="C103" s="62" t="s">
        <v>116</v>
      </c>
      <c r="D103" s="63">
        <v>1</v>
      </c>
      <c r="E103" s="64">
        <v>8.6948960960000005E-5</v>
      </c>
    </row>
    <row r="104" spans="2:5" ht="14.5" customHeight="1">
      <c r="B104" s="81"/>
      <c r="C104" s="62" t="s">
        <v>119</v>
      </c>
      <c r="D104" s="63">
        <v>3</v>
      </c>
      <c r="E104" s="64">
        <v>2.6084688287999997E-4</v>
      </c>
    </row>
    <row r="105" spans="2:5" ht="14.5" customHeight="1">
      <c r="B105" s="81"/>
      <c r="C105" s="62" t="s">
        <v>120</v>
      </c>
      <c r="D105" s="63">
        <v>3</v>
      </c>
      <c r="E105" s="64">
        <v>2.6084688287999997E-4</v>
      </c>
    </row>
    <row r="106" spans="2:5" ht="14.5" customHeight="1">
      <c r="B106" s="81"/>
      <c r="C106" s="62" t="s">
        <v>122</v>
      </c>
      <c r="D106" s="63">
        <v>3</v>
      </c>
      <c r="E106" s="64">
        <v>2.6084688287999997E-4</v>
      </c>
    </row>
    <row r="107" spans="2:5" ht="14.5" customHeight="1">
      <c r="B107" s="81"/>
      <c r="C107" s="62" t="s">
        <v>124</v>
      </c>
      <c r="D107" s="63">
        <v>1</v>
      </c>
      <c r="E107" s="64">
        <v>8.6948960960000005E-5</v>
      </c>
    </row>
    <row r="108" spans="2:5" ht="14.5" customHeight="1">
      <c r="B108" s="81"/>
      <c r="C108" s="62" t="s">
        <v>125</v>
      </c>
      <c r="D108" s="63">
        <v>5</v>
      </c>
      <c r="E108" s="64">
        <v>4.3474480480000001E-4</v>
      </c>
    </row>
    <row r="109" spans="2:5" ht="14.5" customHeight="1">
      <c r="B109" s="81"/>
      <c r="C109" s="62" t="s">
        <v>126</v>
      </c>
      <c r="D109" s="63">
        <v>2</v>
      </c>
      <c r="E109" s="64">
        <v>1.7389792192000001E-4</v>
      </c>
    </row>
    <row r="110" spans="2:5" ht="14.5" customHeight="1">
      <c r="B110" s="81"/>
      <c r="C110" s="62" t="s">
        <v>127</v>
      </c>
      <c r="D110" s="63">
        <v>5</v>
      </c>
      <c r="E110" s="64">
        <v>4.3474480480000001E-4</v>
      </c>
    </row>
    <row r="111" spans="2:5" ht="14.5" customHeight="1">
      <c r="B111" s="81"/>
      <c r="C111" s="62" t="s">
        <v>129</v>
      </c>
      <c r="D111" s="63">
        <v>7</v>
      </c>
      <c r="E111" s="64">
        <v>6.0864272671900003E-4</v>
      </c>
    </row>
    <row r="112" spans="2:5" ht="14.5" customHeight="1">
      <c r="B112" s="81"/>
      <c r="C112" s="62" t="s">
        <v>130</v>
      </c>
      <c r="D112" s="63">
        <v>1</v>
      </c>
      <c r="E112" s="64">
        <v>8.6948960960000005E-5</v>
      </c>
    </row>
    <row r="113" spans="2:5" ht="14.5" customHeight="1">
      <c r="B113" s="81"/>
      <c r="C113" s="62" t="s">
        <v>131</v>
      </c>
      <c r="D113" s="63">
        <v>4</v>
      </c>
      <c r="E113" s="64">
        <v>3.4779584384000002E-4</v>
      </c>
    </row>
    <row r="114" spans="2:5" ht="14.5" customHeight="1">
      <c r="B114" s="81"/>
      <c r="C114" s="62" t="s">
        <v>132</v>
      </c>
      <c r="D114" s="63">
        <v>24</v>
      </c>
      <c r="E114" s="64">
        <v>2.0867750630380001E-3</v>
      </c>
    </row>
    <row r="115" spans="2:5" ht="14.5" customHeight="1">
      <c r="B115" s="81"/>
      <c r="C115" s="62" t="s">
        <v>135</v>
      </c>
      <c r="D115" s="63">
        <v>4</v>
      </c>
      <c r="E115" s="64">
        <v>3.4779584384000002E-4</v>
      </c>
    </row>
    <row r="116" spans="2:5" ht="14.5" customHeight="1">
      <c r="B116" s="81"/>
      <c r="C116" s="62" t="s">
        <v>137</v>
      </c>
      <c r="D116" s="63">
        <v>5</v>
      </c>
      <c r="E116" s="64">
        <v>4.3474480480000001E-4</v>
      </c>
    </row>
    <row r="117" spans="2:5" ht="14.5" customHeight="1">
      <c r="B117" s="81"/>
      <c r="C117" s="62" t="s">
        <v>138</v>
      </c>
      <c r="D117" s="63">
        <v>443</v>
      </c>
      <c r="E117" s="64">
        <v>3.8518389705243003E-2</v>
      </c>
    </row>
    <row r="118" spans="2:5" ht="14.5" customHeight="1">
      <c r="B118" s="81"/>
      <c r="C118" s="62" t="s">
        <v>86</v>
      </c>
      <c r="D118" s="63">
        <v>1</v>
      </c>
      <c r="E118" s="64">
        <v>8.6948960960000005E-5</v>
      </c>
    </row>
    <row r="119" spans="2:5" ht="14.5" customHeight="1">
      <c r="B119" s="81"/>
      <c r="C119" s="62" t="s">
        <v>142</v>
      </c>
      <c r="D119" s="63">
        <v>4</v>
      </c>
      <c r="E119" s="64">
        <v>3.4779584384000002E-4</v>
      </c>
    </row>
    <row r="120" spans="2:5" ht="14.5" customHeight="1">
      <c r="B120" s="81"/>
      <c r="C120" s="62" t="s">
        <v>143</v>
      </c>
      <c r="D120" s="63">
        <v>1</v>
      </c>
      <c r="E120" s="64">
        <v>8.6948960960000005E-5</v>
      </c>
    </row>
    <row r="121" spans="2:5" ht="14.5" customHeight="1">
      <c r="B121" s="80"/>
      <c r="C121" s="36" t="s">
        <v>28</v>
      </c>
      <c r="D121" s="35">
        <v>605</v>
      </c>
      <c r="E121" s="34">
        <v>5.2604121380749998E-2</v>
      </c>
    </row>
    <row r="122" spans="2:5" ht="14.5" customHeight="1">
      <c r="B122" s="79" t="s">
        <v>234</v>
      </c>
      <c r="C122" s="62" t="s">
        <v>100</v>
      </c>
      <c r="D122" s="63">
        <v>2</v>
      </c>
      <c r="E122" s="64">
        <v>1.7389792192000001E-4</v>
      </c>
    </row>
    <row r="123" spans="2:5" ht="14.5" customHeight="1">
      <c r="B123" s="81"/>
      <c r="C123" s="62" t="s">
        <v>102</v>
      </c>
      <c r="D123" s="63">
        <v>11</v>
      </c>
      <c r="E123" s="64">
        <v>9.56438570559E-4</v>
      </c>
    </row>
    <row r="124" spans="2:5" ht="14.5" customHeight="1">
      <c r="B124" s="81"/>
      <c r="C124" s="62" t="s">
        <v>103</v>
      </c>
      <c r="D124" s="63">
        <v>3</v>
      </c>
      <c r="E124" s="64">
        <v>2.6084688287999997E-4</v>
      </c>
    </row>
    <row r="125" spans="2:5" ht="14.5" customHeight="1">
      <c r="B125" s="81"/>
      <c r="C125" s="62" t="s">
        <v>104</v>
      </c>
      <c r="D125" s="63">
        <v>42</v>
      </c>
      <c r="E125" s="64">
        <v>3.6518563603159999E-3</v>
      </c>
    </row>
    <row r="126" spans="2:5" ht="14.5" customHeight="1">
      <c r="B126" s="81"/>
      <c r="C126" s="62" t="s">
        <v>105</v>
      </c>
      <c r="D126" s="63">
        <v>20</v>
      </c>
      <c r="E126" s="64">
        <v>1.7389792191979999E-3</v>
      </c>
    </row>
    <row r="127" spans="2:5" ht="14.5" customHeight="1">
      <c r="B127" s="81"/>
      <c r="C127" s="62" t="s">
        <v>108</v>
      </c>
      <c r="D127" s="63">
        <v>28</v>
      </c>
      <c r="E127" s="64">
        <v>2.4345709068779998E-3</v>
      </c>
    </row>
    <row r="128" spans="2:5" ht="14.5" customHeight="1">
      <c r="B128" s="81"/>
      <c r="C128" s="62" t="s">
        <v>109</v>
      </c>
      <c r="D128" s="63">
        <v>7</v>
      </c>
      <c r="E128" s="64">
        <v>6.0864272671900003E-4</v>
      </c>
    </row>
    <row r="129" spans="2:5" ht="14.5" customHeight="1">
      <c r="B129" s="81"/>
      <c r="C129" s="62" t="s">
        <v>110</v>
      </c>
      <c r="D129" s="63">
        <v>1</v>
      </c>
      <c r="E129" s="64">
        <v>8.6948960960000005E-5</v>
      </c>
    </row>
    <row r="130" spans="2:5" ht="14.5" customHeight="1">
      <c r="B130" s="81"/>
      <c r="C130" s="62" t="s">
        <v>111</v>
      </c>
      <c r="D130" s="63">
        <v>26</v>
      </c>
      <c r="E130" s="64">
        <v>2.2606729849580002E-3</v>
      </c>
    </row>
    <row r="131" spans="2:5" ht="14.5" customHeight="1">
      <c r="B131" s="81"/>
      <c r="C131" s="62" t="s">
        <v>112</v>
      </c>
      <c r="D131" s="63">
        <v>8</v>
      </c>
      <c r="E131" s="64">
        <v>6.9559168767899997E-4</v>
      </c>
    </row>
    <row r="132" spans="2:5" ht="14.5" customHeight="1">
      <c r="B132" s="81"/>
      <c r="C132" s="62" t="s">
        <v>113</v>
      </c>
      <c r="D132" s="63">
        <v>1</v>
      </c>
      <c r="E132" s="64">
        <v>8.6948960960000005E-5</v>
      </c>
    </row>
    <row r="133" spans="2:5" ht="14.5" customHeight="1">
      <c r="B133" s="81"/>
      <c r="C133" s="62" t="s">
        <v>114</v>
      </c>
      <c r="D133" s="63">
        <v>19</v>
      </c>
      <c r="E133" s="64">
        <v>1.6520302582380001E-3</v>
      </c>
    </row>
    <row r="134" spans="2:5" ht="14.5" customHeight="1">
      <c r="B134" s="81"/>
      <c r="C134" s="62" t="s">
        <v>115</v>
      </c>
      <c r="D134" s="63">
        <v>5</v>
      </c>
      <c r="E134" s="64">
        <v>4.3474480480000001E-4</v>
      </c>
    </row>
    <row r="135" spans="2:5" ht="14.5" customHeight="1">
      <c r="B135" s="81"/>
      <c r="C135" s="62" t="s">
        <v>116</v>
      </c>
      <c r="D135" s="63">
        <v>2</v>
      </c>
      <c r="E135" s="64">
        <v>1.7389792192000001E-4</v>
      </c>
    </row>
    <row r="136" spans="2:5" ht="14.5" customHeight="1">
      <c r="B136" s="81"/>
      <c r="C136" s="62" t="s">
        <v>119</v>
      </c>
      <c r="D136" s="63">
        <v>3</v>
      </c>
      <c r="E136" s="64">
        <v>2.6084688287999997E-4</v>
      </c>
    </row>
    <row r="137" spans="2:5" ht="14.5" customHeight="1">
      <c r="B137" s="81"/>
      <c r="C137" s="62" t="s">
        <v>120</v>
      </c>
      <c r="D137" s="63">
        <v>8</v>
      </c>
      <c r="E137" s="64">
        <v>6.9559168767899997E-4</v>
      </c>
    </row>
    <row r="138" spans="2:5" ht="14.5" customHeight="1">
      <c r="B138" s="81"/>
      <c r="C138" s="62" t="s">
        <v>121</v>
      </c>
      <c r="D138" s="63">
        <v>1</v>
      </c>
      <c r="E138" s="64">
        <v>8.6948960960000005E-5</v>
      </c>
    </row>
    <row r="139" spans="2:5" ht="14.5" customHeight="1">
      <c r="B139" s="81"/>
      <c r="C139" s="62" t="s">
        <v>122</v>
      </c>
      <c r="D139" s="63">
        <v>5</v>
      </c>
      <c r="E139" s="64">
        <v>4.3474480480000001E-4</v>
      </c>
    </row>
    <row r="140" spans="2:5" ht="14.5" customHeight="1">
      <c r="B140" s="81"/>
      <c r="C140" s="62" t="s">
        <v>123</v>
      </c>
      <c r="D140" s="63">
        <v>1</v>
      </c>
      <c r="E140" s="64">
        <v>8.6948960960000005E-5</v>
      </c>
    </row>
    <row r="141" spans="2:5" ht="14.5" customHeight="1">
      <c r="B141" s="81"/>
      <c r="C141" s="62" t="s">
        <v>124</v>
      </c>
      <c r="D141" s="63">
        <v>5</v>
      </c>
      <c r="E141" s="64">
        <v>4.3474480480000001E-4</v>
      </c>
    </row>
    <row r="142" spans="2:5" ht="14.5" customHeight="1">
      <c r="B142" s="81"/>
      <c r="C142" s="62" t="s">
        <v>125</v>
      </c>
      <c r="D142" s="63">
        <v>5</v>
      </c>
      <c r="E142" s="64">
        <v>4.3474480480000001E-4</v>
      </c>
    </row>
    <row r="143" spans="2:5" ht="14.5" customHeight="1">
      <c r="B143" s="81"/>
      <c r="C143" s="62" t="s">
        <v>127</v>
      </c>
      <c r="D143" s="63">
        <v>12</v>
      </c>
      <c r="E143" s="64">
        <v>1.043387531519E-3</v>
      </c>
    </row>
    <row r="144" spans="2:5" ht="14.5" customHeight="1">
      <c r="B144" s="81"/>
      <c r="C144" s="62" t="s">
        <v>129</v>
      </c>
      <c r="D144" s="63">
        <v>15</v>
      </c>
      <c r="E144" s="64">
        <v>1.304234414399E-3</v>
      </c>
    </row>
    <row r="145" spans="2:5" ht="14.5" customHeight="1">
      <c r="B145" s="81"/>
      <c r="C145" s="62" t="s">
        <v>131</v>
      </c>
      <c r="D145" s="63">
        <v>2</v>
      </c>
      <c r="E145" s="64">
        <v>1.7389792192000001E-4</v>
      </c>
    </row>
    <row r="146" spans="2:5" ht="14.5" customHeight="1">
      <c r="B146" s="81"/>
      <c r="C146" s="62" t="s">
        <v>132</v>
      </c>
      <c r="D146" s="63">
        <v>50</v>
      </c>
      <c r="E146" s="64">
        <v>4.3474480479959998E-3</v>
      </c>
    </row>
    <row r="147" spans="2:5" ht="14.5" customHeight="1">
      <c r="B147" s="81"/>
      <c r="C147" s="62" t="s">
        <v>133</v>
      </c>
      <c r="D147" s="63">
        <v>2</v>
      </c>
      <c r="E147" s="64">
        <v>1.7389792192000001E-4</v>
      </c>
    </row>
    <row r="148" spans="2:5" ht="14.5" customHeight="1">
      <c r="B148" s="81"/>
      <c r="C148" s="62" t="s">
        <v>134</v>
      </c>
      <c r="D148" s="63">
        <v>1</v>
      </c>
      <c r="E148" s="64">
        <v>8.6948960960000005E-5</v>
      </c>
    </row>
    <row r="149" spans="2:5" ht="14.5" customHeight="1">
      <c r="B149" s="81"/>
      <c r="C149" s="62" t="s">
        <v>135</v>
      </c>
      <c r="D149" s="63">
        <v>7</v>
      </c>
      <c r="E149" s="64">
        <v>6.0864272671900003E-4</v>
      </c>
    </row>
    <row r="150" spans="2:5" ht="14.5" customHeight="1">
      <c r="B150" s="81"/>
      <c r="C150" s="62" t="s">
        <v>137</v>
      </c>
      <c r="D150" s="63">
        <v>6</v>
      </c>
      <c r="E150" s="64">
        <v>5.2169376575899999E-4</v>
      </c>
    </row>
    <row r="151" spans="2:5" ht="14.5" customHeight="1">
      <c r="B151" s="81"/>
      <c r="C151" s="62" t="s">
        <v>138</v>
      </c>
      <c r="D151" s="63">
        <v>532</v>
      </c>
      <c r="E151" s="64">
        <v>4.6256847230676003E-2</v>
      </c>
    </row>
    <row r="152" spans="2:5" ht="14.5" customHeight="1">
      <c r="B152" s="81"/>
      <c r="C152" s="62" t="s">
        <v>139</v>
      </c>
      <c r="D152" s="63">
        <v>2</v>
      </c>
      <c r="E152" s="64">
        <v>1.7389792192000001E-4</v>
      </c>
    </row>
    <row r="153" spans="2:5" ht="14.5" customHeight="1">
      <c r="B153" s="81"/>
      <c r="C153" s="62" t="s">
        <v>141</v>
      </c>
      <c r="D153" s="63">
        <v>3</v>
      </c>
      <c r="E153" s="64">
        <v>2.6084688287999997E-4</v>
      </c>
    </row>
    <row r="154" spans="2:5" ht="14.5" customHeight="1">
      <c r="B154" s="81"/>
      <c r="C154" s="62" t="s">
        <v>86</v>
      </c>
      <c r="D154" s="63">
        <v>1</v>
      </c>
      <c r="E154" s="64">
        <v>8.6948960960000005E-5</v>
      </c>
    </row>
    <row r="155" spans="2:5" ht="14.5" customHeight="1">
      <c r="B155" s="81"/>
      <c r="C155" s="62" t="s">
        <v>142</v>
      </c>
      <c r="D155" s="63">
        <v>8</v>
      </c>
      <c r="E155" s="64">
        <v>6.9559168767899997E-4</v>
      </c>
    </row>
    <row r="156" spans="2:5" ht="14.5" customHeight="1">
      <c r="B156" s="80"/>
      <c r="C156" s="36" t="s">
        <v>28</v>
      </c>
      <c r="D156" s="35">
        <v>844</v>
      </c>
      <c r="E156" s="34">
        <v>7.3384923050169998E-2</v>
      </c>
    </row>
    <row r="157" spans="2:5" ht="14.5" customHeight="1">
      <c r="B157" s="79" t="s">
        <v>235</v>
      </c>
      <c r="C157" s="62" t="s">
        <v>100</v>
      </c>
      <c r="D157" s="63">
        <v>1</v>
      </c>
      <c r="E157" s="64">
        <v>8.6948960960000005E-5</v>
      </c>
    </row>
    <row r="158" spans="2:5" ht="14.5" customHeight="1">
      <c r="B158" s="81"/>
      <c r="C158" s="62" t="s">
        <v>103</v>
      </c>
      <c r="D158" s="63">
        <v>1</v>
      </c>
      <c r="E158" s="64">
        <v>8.6948960960000005E-5</v>
      </c>
    </row>
    <row r="159" spans="2:5" ht="14.5" customHeight="1">
      <c r="B159" s="81"/>
      <c r="C159" s="62" t="s">
        <v>104</v>
      </c>
      <c r="D159" s="63">
        <v>12</v>
      </c>
      <c r="E159" s="64">
        <v>1.043387531519E-3</v>
      </c>
    </row>
    <row r="160" spans="2:5" ht="14.5" customHeight="1">
      <c r="B160" s="81"/>
      <c r="C160" s="62" t="s">
        <v>105</v>
      </c>
      <c r="D160" s="63">
        <v>2</v>
      </c>
      <c r="E160" s="64">
        <v>1.7389792192000001E-4</v>
      </c>
    </row>
    <row r="161" spans="2:5" ht="14.5" customHeight="1">
      <c r="B161" s="81"/>
      <c r="C161" s="62" t="s">
        <v>108</v>
      </c>
      <c r="D161" s="63">
        <v>1</v>
      </c>
      <c r="E161" s="64">
        <v>8.6948960960000005E-5</v>
      </c>
    </row>
    <row r="162" spans="2:5" ht="14.5" customHeight="1">
      <c r="B162" s="81"/>
      <c r="C162" s="62" t="s">
        <v>110</v>
      </c>
      <c r="D162" s="63">
        <v>1</v>
      </c>
      <c r="E162" s="64">
        <v>8.6948960960000005E-5</v>
      </c>
    </row>
    <row r="163" spans="2:5" ht="14.5" customHeight="1">
      <c r="B163" s="81"/>
      <c r="C163" s="62" t="s">
        <v>113</v>
      </c>
      <c r="D163" s="63">
        <v>1</v>
      </c>
      <c r="E163" s="64">
        <v>8.6948960960000005E-5</v>
      </c>
    </row>
    <row r="164" spans="2:5" ht="14.5" customHeight="1">
      <c r="B164" s="81"/>
      <c r="C164" s="62" t="s">
        <v>115</v>
      </c>
      <c r="D164" s="63">
        <v>3</v>
      </c>
      <c r="E164" s="64">
        <v>2.6084688287999997E-4</v>
      </c>
    </row>
    <row r="165" spans="2:5" ht="14.5" customHeight="1">
      <c r="B165" s="81"/>
      <c r="C165" s="62" t="s">
        <v>119</v>
      </c>
      <c r="D165" s="63">
        <v>1</v>
      </c>
      <c r="E165" s="64">
        <v>8.6948960960000005E-5</v>
      </c>
    </row>
    <row r="166" spans="2:5" ht="14.5" customHeight="1">
      <c r="B166" s="81"/>
      <c r="C166" s="62" t="s">
        <v>121</v>
      </c>
      <c r="D166" s="63">
        <v>1</v>
      </c>
      <c r="E166" s="64">
        <v>8.6948960960000005E-5</v>
      </c>
    </row>
    <row r="167" spans="2:5" ht="14.5" customHeight="1">
      <c r="B167" s="81"/>
      <c r="C167" s="62" t="s">
        <v>122</v>
      </c>
      <c r="D167" s="63">
        <v>1</v>
      </c>
      <c r="E167" s="64">
        <v>8.6948960960000005E-5</v>
      </c>
    </row>
    <row r="168" spans="2:5" ht="14.5" customHeight="1">
      <c r="B168" s="81"/>
      <c r="C168" s="62" t="s">
        <v>125</v>
      </c>
      <c r="D168" s="63">
        <v>1</v>
      </c>
      <c r="E168" s="64">
        <v>8.6948960960000005E-5</v>
      </c>
    </row>
    <row r="169" spans="2:5" ht="14.5" customHeight="1">
      <c r="B169" s="81"/>
      <c r="C169" s="62" t="s">
        <v>132</v>
      </c>
      <c r="D169" s="63">
        <v>1</v>
      </c>
      <c r="E169" s="64">
        <v>8.6948960960000005E-5</v>
      </c>
    </row>
    <row r="170" spans="2:5" ht="14.5" customHeight="1">
      <c r="B170" s="81"/>
      <c r="C170" s="62" t="s">
        <v>134</v>
      </c>
      <c r="D170" s="63">
        <v>1</v>
      </c>
      <c r="E170" s="64">
        <v>8.6948960960000005E-5</v>
      </c>
    </row>
    <row r="171" spans="2:5" ht="14.5" customHeight="1">
      <c r="B171" s="81"/>
      <c r="C171" s="62" t="s">
        <v>137</v>
      </c>
      <c r="D171" s="63">
        <v>1</v>
      </c>
      <c r="E171" s="64">
        <v>8.6948960960000005E-5</v>
      </c>
    </row>
    <row r="172" spans="2:5" ht="14.5" customHeight="1">
      <c r="B172" s="81"/>
      <c r="C172" s="62" t="s">
        <v>138</v>
      </c>
      <c r="D172" s="63">
        <v>65</v>
      </c>
      <c r="E172" s="64">
        <v>5.6516824623949998E-3</v>
      </c>
    </row>
    <row r="173" spans="2:5" ht="14.5" customHeight="1">
      <c r="B173" s="81"/>
      <c r="C173" s="62" t="s">
        <v>142</v>
      </c>
      <c r="D173" s="63">
        <v>1</v>
      </c>
      <c r="E173" s="64">
        <v>8.6948960960000005E-5</v>
      </c>
    </row>
    <row r="174" spans="2:5" ht="14.5" customHeight="1">
      <c r="B174" s="80"/>
      <c r="C174" s="36" t="s">
        <v>28</v>
      </c>
      <c r="D174" s="35">
        <v>95</v>
      </c>
      <c r="E174" s="34">
        <v>8.2601512911919996E-3</v>
      </c>
    </row>
    <row r="175" spans="2:5" ht="14.5" customHeight="1">
      <c r="B175" s="79" t="s">
        <v>236</v>
      </c>
      <c r="C175" s="62" t="s">
        <v>102</v>
      </c>
      <c r="D175" s="63">
        <v>4</v>
      </c>
      <c r="E175" s="64">
        <v>3.4779584384000002E-4</v>
      </c>
    </row>
    <row r="176" spans="2:5" ht="14.5" customHeight="1">
      <c r="B176" s="81"/>
      <c r="C176" s="62" t="s">
        <v>104</v>
      </c>
      <c r="D176" s="63">
        <v>12</v>
      </c>
      <c r="E176" s="64">
        <v>1.043387531519E-3</v>
      </c>
    </row>
    <row r="177" spans="2:5" ht="14.5" customHeight="1">
      <c r="B177" s="81"/>
      <c r="C177" s="62" t="s">
        <v>105</v>
      </c>
      <c r="D177" s="63">
        <v>5</v>
      </c>
      <c r="E177" s="64">
        <v>4.3474480480000001E-4</v>
      </c>
    </row>
    <row r="178" spans="2:5" ht="14.5" customHeight="1">
      <c r="B178" s="81"/>
      <c r="C178" s="62" t="s">
        <v>106</v>
      </c>
      <c r="D178" s="63">
        <v>1</v>
      </c>
      <c r="E178" s="64">
        <v>8.6948960960000005E-5</v>
      </c>
    </row>
    <row r="179" spans="2:5" ht="14.5" customHeight="1">
      <c r="B179" s="81"/>
      <c r="C179" s="62" t="s">
        <v>108</v>
      </c>
      <c r="D179" s="63">
        <v>2</v>
      </c>
      <c r="E179" s="64">
        <v>1.7389792192000001E-4</v>
      </c>
    </row>
    <row r="180" spans="2:5" ht="14.5" customHeight="1">
      <c r="B180" s="81"/>
      <c r="C180" s="62" t="s">
        <v>109</v>
      </c>
      <c r="D180" s="63">
        <v>2</v>
      </c>
      <c r="E180" s="64">
        <v>1.7389792192000001E-4</v>
      </c>
    </row>
    <row r="181" spans="2:5" ht="14.5" customHeight="1">
      <c r="B181" s="81"/>
      <c r="C181" s="62" t="s">
        <v>111</v>
      </c>
      <c r="D181" s="63">
        <v>6</v>
      </c>
      <c r="E181" s="64">
        <v>5.2169376575899999E-4</v>
      </c>
    </row>
    <row r="182" spans="2:5" ht="14.5" customHeight="1">
      <c r="B182" s="81"/>
      <c r="C182" s="62" t="s">
        <v>112</v>
      </c>
      <c r="D182" s="63">
        <v>1</v>
      </c>
      <c r="E182" s="64">
        <v>8.6948960960000005E-5</v>
      </c>
    </row>
    <row r="183" spans="2:5" ht="14.5" customHeight="1">
      <c r="B183" s="81"/>
      <c r="C183" s="62" t="s">
        <v>114</v>
      </c>
      <c r="D183" s="63">
        <v>4</v>
      </c>
      <c r="E183" s="64">
        <v>3.4779584384000002E-4</v>
      </c>
    </row>
    <row r="184" spans="2:5" ht="14.5" customHeight="1">
      <c r="B184" s="81"/>
      <c r="C184" s="62" t="s">
        <v>115</v>
      </c>
      <c r="D184" s="63">
        <v>2</v>
      </c>
      <c r="E184" s="64">
        <v>1.7389792192000001E-4</v>
      </c>
    </row>
    <row r="185" spans="2:5" ht="14.5" customHeight="1">
      <c r="B185" s="81"/>
      <c r="C185" s="62" t="s">
        <v>116</v>
      </c>
      <c r="D185" s="63">
        <v>2</v>
      </c>
      <c r="E185" s="64">
        <v>1.7389792192000001E-4</v>
      </c>
    </row>
    <row r="186" spans="2:5" ht="14.5" customHeight="1">
      <c r="B186" s="81"/>
      <c r="C186" s="62" t="s">
        <v>117</v>
      </c>
      <c r="D186" s="63">
        <v>1</v>
      </c>
      <c r="E186" s="64">
        <v>8.6948960960000005E-5</v>
      </c>
    </row>
    <row r="187" spans="2:5" ht="14.5" customHeight="1">
      <c r="B187" s="81"/>
      <c r="C187" s="62" t="s">
        <v>120</v>
      </c>
      <c r="D187" s="63">
        <v>1</v>
      </c>
      <c r="E187" s="64">
        <v>8.6948960960000005E-5</v>
      </c>
    </row>
    <row r="188" spans="2:5" ht="14.5" customHeight="1">
      <c r="B188" s="81"/>
      <c r="C188" s="62" t="s">
        <v>122</v>
      </c>
      <c r="D188" s="63">
        <v>2</v>
      </c>
      <c r="E188" s="64">
        <v>1.7389792192000001E-4</v>
      </c>
    </row>
    <row r="189" spans="2:5" ht="14.5" customHeight="1">
      <c r="B189" s="81"/>
      <c r="C189" s="62" t="s">
        <v>124</v>
      </c>
      <c r="D189" s="63">
        <v>2</v>
      </c>
      <c r="E189" s="64">
        <v>1.7389792192000001E-4</v>
      </c>
    </row>
    <row r="190" spans="2:5" ht="14.5" customHeight="1">
      <c r="B190" s="81"/>
      <c r="C190" s="62" t="s">
        <v>125</v>
      </c>
      <c r="D190" s="63">
        <v>3</v>
      </c>
      <c r="E190" s="64">
        <v>2.6084688287999997E-4</v>
      </c>
    </row>
    <row r="191" spans="2:5" ht="14.5" customHeight="1">
      <c r="B191" s="81"/>
      <c r="C191" s="62" t="s">
        <v>127</v>
      </c>
      <c r="D191" s="63">
        <v>3</v>
      </c>
      <c r="E191" s="64">
        <v>2.6084688287999997E-4</v>
      </c>
    </row>
    <row r="192" spans="2:5" ht="14.5" customHeight="1">
      <c r="B192" s="81"/>
      <c r="C192" s="62" t="s">
        <v>128</v>
      </c>
      <c r="D192" s="63">
        <v>1</v>
      </c>
      <c r="E192" s="64">
        <v>8.6948960960000005E-5</v>
      </c>
    </row>
    <row r="193" spans="2:5" ht="14.5" customHeight="1">
      <c r="B193" s="81"/>
      <c r="C193" s="62" t="s">
        <v>129</v>
      </c>
      <c r="D193" s="63">
        <v>5</v>
      </c>
      <c r="E193" s="64">
        <v>4.3474480480000001E-4</v>
      </c>
    </row>
    <row r="194" spans="2:5" ht="14.5" customHeight="1">
      <c r="B194" s="81"/>
      <c r="C194" s="62" t="s">
        <v>131</v>
      </c>
      <c r="D194" s="63">
        <v>1</v>
      </c>
      <c r="E194" s="64">
        <v>8.6948960960000005E-5</v>
      </c>
    </row>
    <row r="195" spans="2:5" ht="14.5" customHeight="1">
      <c r="B195" s="81"/>
      <c r="C195" s="62" t="s">
        <v>132</v>
      </c>
      <c r="D195" s="63">
        <v>14</v>
      </c>
      <c r="E195" s="64">
        <v>1.2172854534389999E-3</v>
      </c>
    </row>
    <row r="196" spans="2:5" ht="14.5" customHeight="1">
      <c r="B196" s="81"/>
      <c r="C196" s="62" t="s">
        <v>133</v>
      </c>
      <c r="D196" s="63">
        <v>1</v>
      </c>
      <c r="E196" s="64">
        <v>8.6948960960000005E-5</v>
      </c>
    </row>
    <row r="197" spans="2:5" ht="14.5" customHeight="1">
      <c r="B197" s="81"/>
      <c r="C197" s="62" t="s">
        <v>135</v>
      </c>
      <c r="D197" s="63">
        <v>4</v>
      </c>
      <c r="E197" s="64">
        <v>3.4779584384000002E-4</v>
      </c>
    </row>
    <row r="198" spans="2:5" ht="14.5" customHeight="1">
      <c r="B198" s="81"/>
      <c r="C198" s="62" t="s">
        <v>137</v>
      </c>
      <c r="D198" s="63">
        <v>3</v>
      </c>
      <c r="E198" s="64">
        <v>2.6084688287999997E-4</v>
      </c>
    </row>
    <row r="199" spans="2:5" ht="14.5" customHeight="1">
      <c r="B199" s="81"/>
      <c r="C199" s="62" t="s">
        <v>138</v>
      </c>
      <c r="D199" s="63">
        <v>156</v>
      </c>
      <c r="E199" s="64">
        <v>1.3564037909746999E-2</v>
      </c>
    </row>
    <row r="200" spans="2:5" ht="14.5" customHeight="1">
      <c r="B200" s="81"/>
      <c r="C200" s="62" t="s">
        <v>141</v>
      </c>
      <c r="D200" s="63">
        <v>2</v>
      </c>
      <c r="E200" s="64">
        <v>1.7389792192000001E-4</v>
      </c>
    </row>
    <row r="201" spans="2:5" ht="14.5" customHeight="1">
      <c r="B201" s="81"/>
      <c r="C201" s="62" t="s">
        <v>142</v>
      </c>
      <c r="D201" s="63">
        <v>2</v>
      </c>
      <c r="E201" s="64">
        <v>1.7389792192000001E-4</v>
      </c>
    </row>
    <row r="202" spans="2:5" ht="14.5" customHeight="1">
      <c r="B202" s="81"/>
      <c r="C202" s="62" t="s">
        <v>143</v>
      </c>
      <c r="D202" s="63">
        <v>1</v>
      </c>
      <c r="E202" s="64">
        <v>8.6948960960000005E-5</v>
      </c>
    </row>
    <row r="203" spans="2:5" ht="14.5" customHeight="1">
      <c r="B203" s="80"/>
      <c r="C203" s="36" t="s">
        <v>28</v>
      </c>
      <c r="D203" s="35">
        <v>243</v>
      </c>
      <c r="E203" s="34">
        <v>2.1128597513259999E-2</v>
      </c>
    </row>
    <row r="204" spans="2:5" ht="14.5" customHeight="1">
      <c r="B204" s="79" t="s">
        <v>237</v>
      </c>
      <c r="C204" s="62" t="s">
        <v>102</v>
      </c>
      <c r="D204" s="63">
        <v>1</v>
      </c>
      <c r="E204" s="64">
        <v>8.6948960960000005E-5</v>
      </c>
    </row>
    <row r="205" spans="2:5" ht="14.5" customHeight="1">
      <c r="B205" s="81"/>
      <c r="C205" s="62" t="s">
        <v>103</v>
      </c>
      <c r="D205" s="63">
        <v>1</v>
      </c>
      <c r="E205" s="64">
        <v>8.6948960960000005E-5</v>
      </c>
    </row>
    <row r="206" spans="2:5" ht="14.5" customHeight="1">
      <c r="B206" s="81"/>
      <c r="C206" s="62" t="s">
        <v>104</v>
      </c>
      <c r="D206" s="63">
        <v>27</v>
      </c>
      <c r="E206" s="64">
        <v>2.347621945918E-3</v>
      </c>
    </row>
    <row r="207" spans="2:5" ht="14.5" customHeight="1">
      <c r="B207" s="81"/>
      <c r="C207" s="62" t="s">
        <v>105</v>
      </c>
      <c r="D207" s="63">
        <v>8</v>
      </c>
      <c r="E207" s="64">
        <v>6.9559168767899997E-4</v>
      </c>
    </row>
    <row r="208" spans="2:5" ht="14.5" customHeight="1">
      <c r="B208" s="81"/>
      <c r="C208" s="62" t="s">
        <v>108</v>
      </c>
      <c r="D208" s="63">
        <v>6</v>
      </c>
      <c r="E208" s="64">
        <v>5.2169376575899999E-4</v>
      </c>
    </row>
    <row r="209" spans="2:5" ht="14.5" customHeight="1">
      <c r="B209" s="81"/>
      <c r="C209" s="62" t="s">
        <v>109</v>
      </c>
      <c r="D209" s="63">
        <v>3</v>
      </c>
      <c r="E209" s="64">
        <v>2.6084688287999997E-4</v>
      </c>
    </row>
    <row r="210" spans="2:5" ht="14.5" customHeight="1">
      <c r="B210" s="81"/>
      <c r="C210" s="62" t="s">
        <v>110</v>
      </c>
      <c r="D210" s="63">
        <v>2</v>
      </c>
      <c r="E210" s="64">
        <v>1.7389792192000001E-4</v>
      </c>
    </row>
    <row r="211" spans="2:5" ht="14.5" customHeight="1">
      <c r="B211" s="81"/>
      <c r="C211" s="62" t="s">
        <v>111</v>
      </c>
      <c r="D211" s="63">
        <v>12</v>
      </c>
      <c r="E211" s="64">
        <v>1.043387531519E-3</v>
      </c>
    </row>
    <row r="212" spans="2:5" ht="14.5" customHeight="1">
      <c r="B212" s="81"/>
      <c r="C212" s="62" t="s">
        <v>112</v>
      </c>
      <c r="D212" s="63">
        <v>1</v>
      </c>
      <c r="E212" s="64">
        <v>8.6948960960000005E-5</v>
      </c>
    </row>
    <row r="213" spans="2:5" ht="14.5" customHeight="1">
      <c r="B213" s="81"/>
      <c r="C213" s="62" t="s">
        <v>113</v>
      </c>
      <c r="D213" s="63">
        <v>1</v>
      </c>
      <c r="E213" s="64">
        <v>8.6948960960000005E-5</v>
      </c>
    </row>
    <row r="214" spans="2:5" ht="14.5" customHeight="1">
      <c r="B214" s="81"/>
      <c r="C214" s="62" t="s">
        <v>114</v>
      </c>
      <c r="D214" s="63">
        <v>8</v>
      </c>
      <c r="E214" s="64">
        <v>6.9559168767899997E-4</v>
      </c>
    </row>
    <row r="215" spans="2:5" ht="14.5" customHeight="1">
      <c r="B215" s="81"/>
      <c r="C215" s="62" t="s">
        <v>115</v>
      </c>
      <c r="D215" s="63">
        <v>5</v>
      </c>
      <c r="E215" s="64">
        <v>4.3474480480000001E-4</v>
      </c>
    </row>
    <row r="216" spans="2:5" ht="14.5" customHeight="1">
      <c r="B216" s="81"/>
      <c r="C216" s="62" t="s">
        <v>116</v>
      </c>
      <c r="D216" s="63">
        <v>2</v>
      </c>
      <c r="E216" s="64">
        <v>1.7389792192000001E-4</v>
      </c>
    </row>
    <row r="217" spans="2:5" ht="14.5" customHeight="1">
      <c r="B217" s="81"/>
      <c r="C217" s="62" t="s">
        <v>120</v>
      </c>
      <c r="D217" s="63">
        <v>5</v>
      </c>
      <c r="E217" s="64">
        <v>4.3474480480000001E-4</v>
      </c>
    </row>
    <row r="218" spans="2:5" ht="14.5" customHeight="1">
      <c r="B218" s="81"/>
      <c r="C218" s="62" t="s">
        <v>122</v>
      </c>
      <c r="D218" s="63">
        <v>3</v>
      </c>
      <c r="E218" s="64">
        <v>2.6084688287999997E-4</v>
      </c>
    </row>
    <row r="219" spans="2:5" ht="14.5" customHeight="1">
      <c r="B219" s="81"/>
      <c r="C219" s="62" t="s">
        <v>124</v>
      </c>
      <c r="D219" s="63">
        <v>2</v>
      </c>
      <c r="E219" s="64">
        <v>1.7389792192000001E-4</v>
      </c>
    </row>
    <row r="220" spans="2:5" ht="14.5" customHeight="1">
      <c r="B220" s="81"/>
      <c r="C220" s="62" t="s">
        <v>125</v>
      </c>
      <c r="D220" s="63">
        <v>2</v>
      </c>
      <c r="E220" s="64">
        <v>1.7389792192000001E-4</v>
      </c>
    </row>
    <row r="221" spans="2:5" ht="14.5" customHeight="1">
      <c r="B221" s="81"/>
      <c r="C221" s="62" t="s">
        <v>126</v>
      </c>
      <c r="D221" s="63">
        <v>1</v>
      </c>
      <c r="E221" s="64">
        <v>8.6948960960000005E-5</v>
      </c>
    </row>
    <row r="222" spans="2:5" ht="14.5" customHeight="1">
      <c r="B222" s="81"/>
      <c r="C222" s="62" t="s">
        <v>127</v>
      </c>
      <c r="D222" s="63">
        <v>10</v>
      </c>
      <c r="E222" s="64">
        <v>8.6948960959899995E-4</v>
      </c>
    </row>
    <row r="223" spans="2:5" ht="14.5" customHeight="1">
      <c r="B223" s="81"/>
      <c r="C223" s="62" t="s">
        <v>128</v>
      </c>
      <c r="D223" s="63">
        <v>1</v>
      </c>
      <c r="E223" s="64">
        <v>8.6948960960000005E-5</v>
      </c>
    </row>
    <row r="224" spans="2:5" ht="14.5" customHeight="1">
      <c r="B224" s="81"/>
      <c r="C224" s="62" t="s">
        <v>129</v>
      </c>
      <c r="D224" s="63">
        <v>2</v>
      </c>
      <c r="E224" s="64">
        <v>1.7389792192000001E-4</v>
      </c>
    </row>
    <row r="225" spans="2:5" ht="14.5" customHeight="1">
      <c r="B225" s="81"/>
      <c r="C225" s="62" t="s">
        <v>132</v>
      </c>
      <c r="D225" s="63">
        <v>9</v>
      </c>
      <c r="E225" s="64">
        <v>7.8254064863900001E-4</v>
      </c>
    </row>
    <row r="226" spans="2:5" ht="14.5" customHeight="1">
      <c r="B226" s="81"/>
      <c r="C226" s="62" t="s">
        <v>133</v>
      </c>
      <c r="D226" s="63">
        <v>1</v>
      </c>
      <c r="E226" s="64">
        <v>8.6948960960000005E-5</v>
      </c>
    </row>
    <row r="227" spans="2:5" ht="14.5" customHeight="1">
      <c r="B227" s="81"/>
      <c r="C227" s="62" t="s">
        <v>135</v>
      </c>
      <c r="D227" s="63">
        <v>1</v>
      </c>
      <c r="E227" s="64">
        <v>8.6948960960000005E-5</v>
      </c>
    </row>
    <row r="228" spans="2:5" ht="14.5" customHeight="1">
      <c r="B228" s="81"/>
      <c r="C228" s="62" t="s">
        <v>137</v>
      </c>
      <c r="D228" s="63">
        <v>7</v>
      </c>
      <c r="E228" s="64">
        <v>6.0864272671900003E-4</v>
      </c>
    </row>
    <row r="229" spans="2:5" ht="14.5" customHeight="1">
      <c r="B229" s="81"/>
      <c r="C229" s="62" t="s">
        <v>138</v>
      </c>
      <c r="D229" s="63">
        <v>397</v>
      </c>
      <c r="E229" s="64">
        <v>3.4518737501086999E-2</v>
      </c>
    </row>
    <row r="230" spans="2:5" ht="14.5" customHeight="1">
      <c r="B230" s="81"/>
      <c r="C230" s="62" t="s">
        <v>141</v>
      </c>
      <c r="D230" s="63">
        <v>1</v>
      </c>
      <c r="E230" s="64">
        <v>8.6948960960000005E-5</v>
      </c>
    </row>
    <row r="231" spans="2:5" ht="14.5" customHeight="1">
      <c r="B231" s="81"/>
      <c r="C231" s="62" t="s">
        <v>142</v>
      </c>
      <c r="D231" s="63">
        <v>5</v>
      </c>
      <c r="E231" s="64">
        <v>4.3474480480000001E-4</v>
      </c>
    </row>
    <row r="232" spans="2:5" ht="14.5" customHeight="1">
      <c r="B232" s="81"/>
      <c r="C232" s="62" t="s">
        <v>143</v>
      </c>
      <c r="D232" s="63">
        <v>1</v>
      </c>
      <c r="E232" s="64">
        <v>8.6948960960000005E-5</v>
      </c>
    </row>
    <row r="233" spans="2:5" ht="14.5" customHeight="1">
      <c r="B233" s="80"/>
      <c r="C233" s="36" t="s">
        <v>28</v>
      </c>
      <c r="D233" s="35">
        <v>525</v>
      </c>
      <c r="E233" s="34">
        <v>4.5648204503956E-2</v>
      </c>
    </row>
    <row r="234" spans="2:5" ht="14.5" customHeight="1">
      <c r="B234" s="79" t="s">
        <v>238</v>
      </c>
      <c r="C234" s="62" t="s">
        <v>100</v>
      </c>
      <c r="D234" s="63">
        <v>22</v>
      </c>
      <c r="E234" s="64">
        <v>1.912877141118E-3</v>
      </c>
    </row>
    <row r="235" spans="2:5" ht="14.5" customHeight="1">
      <c r="B235" s="81"/>
      <c r="C235" s="62" t="s">
        <v>101</v>
      </c>
      <c r="D235" s="63">
        <v>1</v>
      </c>
      <c r="E235" s="64">
        <v>8.6948960960000005E-5</v>
      </c>
    </row>
    <row r="236" spans="2:5" ht="14.5" customHeight="1">
      <c r="B236" s="81"/>
      <c r="C236" s="62" t="s">
        <v>102</v>
      </c>
      <c r="D236" s="63">
        <v>30</v>
      </c>
      <c r="E236" s="64">
        <v>2.6084688287969999E-3</v>
      </c>
    </row>
    <row r="237" spans="2:5" ht="14.5" customHeight="1">
      <c r="B237" s="81"/>
      <c r="C237" s="62" t="s">
        <v>103</v>
      </c>
      <c r="D237" s="63">
        <v>15</v>
      </c>
      <c r="E237" s="64">
        <v>1.304234414399E-3</v>
      </c>
    </row>
    <row r="238" spans="2:5" ht="14.5" customHeight="1">
      <c r="B238" s="81"/>
      <c r="C238" s="62" t="s">
        <v>104</v>
      </c>
      <c r="D238" s="63">
        <v>161</v>
      </c>
      <c r="E238" s="64">
        <v>1.3998782714546999E-2</v>
      </c>
    </row>
    <row r="239" spans="2:5" ht="14.5" customHeight="1">
      <c r="B239" s="81"/>
      <c r="C239" s="62" t="s">
        <v>105</v>
      </c>
      <c r="D239" s="63">
        <v>72</v>
      </c>
      <c r="E239" s="64">
        <v>6.2603251891140002E-3</v>
      </c>
    </row>
    <row r="240" spans="2:5" ht="14.5" customHeight="1">
      <c r="B240" s="81"/>
      <c r="C240" s="62" t="s">
        <v>106</v>
      </c>
      <c r="D240" s="63">
        <v>2</v>
      </c>
      <c r="E240" s="64">
        <v>1.7389792192000001E-4</v>
      </c>
    </row>
    <row r="241" spans="2:5" ht="14.5" customHeight="1">
      <c r="B241" s="81"/>
      <c r="C241" s="62" t="s">
        <v>107</v>
      </c>
      <c r="D241" s="63">
        <v>1</v>
      </c>
      <c r="E241" s="64">
        <v>8.6948960960000005E-5</v>
      </c>
    </row>
    <row r="242" spans="2:5" ht="14.5" customHeight="1">
      <c r="B242" s="81"/>
      <c r="C242" s="62" t="s">
        <v>108</v>
      </c>
      <c r="D242" s="63">
        <v>51</v>
      </c>
      <c r="E242" s="64">
        <v>4.4343970089559996E-3</v>
      </c>
    </row>
    <row r="243" spans="2:5" ht="14.5" customHeight="1">
      <c r="B243" s="81"/>
      <c r="C243" s="62" t="s">
        <v>109</v>
      </c>
      <c r="D243" s="63">
        <v>27</v>
      </c>
      <c r="E243" s="64">
        <v>2.347621945918E-3</v>
      </c>
    </row>
    <row r="244" spans="2:5" ht="14.5" customHeight="1">
      <c r="B244" s="81"/>
      <c r="C244" s="62" t="s">
        <v>110</v>
      </c>
      <c r="D244" s="63">
        <v>2</v>
      </c>
      <c r="E244" s="64">
        <v>1.7389792192000001E-4</v>
      </c>
    </row>
    <row r="245" spans="2:5" ht="14.5" customHeight="1">
      <c r="B245" s="81"/>
      <c r="C245" s="62" t="s">
        <v>111</v>
      </c>
      <c r="D245" s="63">
        <v>104</v>
      </c>
      <c r="E245" s="64">
        <v>9.0426919398309998E-3</v>
      </c>
    </row>
    <row r="246" spans="2:5" ht="14.5" customHeight="1">
      <c r="B246" s="81"/>
      <c r="C246" s="62" t="s">
        <v>112</v>
      </c>
      <c r="D246" s="63">
        <v>30</v>
      </c>
      <c r="E246" s="64">
        <v>2.6084688287969999E-3</v>
      </c>
    </row>
    <row r="247" spans="2:5" ht="14.5" customHeight="1">
      <c r="B247" s="81"/>
      <c r="C247" s="62" t="s">
        <v>113</v>
      </c>
      <c r="D247" s="63">
        <v>6</v>
      </c>
      <c r="E247" s="64">
        <v>5.2169376575899999E-4</v>
      </c>
    </row>
    <row r="248" spans="2:5" ht="14.5" customHeight="1">
      <c r="B248" s="81"/>
      <c r="C248" s="62" t="s">
        <v>114</v>
      </c>
      <c r="D248" s="63">
        <v>47</v>
      </c>
      <c r="E248" s="64">
        <v>4.0866011651160003E-3</v>
      </c>
    </row>
    <row r="249" spans="2:5" ht="14.5" customHeight="1">
      <c r="B249" s="81"/>
      <c r="C249" s="62" t="s">
        <v>115</v>
      </c>
      <c r="D249" s="63">
        <v>18</v>
      </c>
      <c r="E249" s="64">
        <v>1.565081297278E-3</v>
      </c>
    </row>
    <row r="250" spans="2:5" ht="14.5" customHeight="1">
      <c r="B250" s="81"/>
      <c r="C250" s="62" t="s">
        <v>116</v>
      </c>
      <c r="D250" s="63">
        <v>11</v>
      </c>
      <c r="E250" s="64">
        <v>9.56438570559E-4</v>
      </c>
    </row>
    <row r="251" spans="2:5" ht="14.5" customHeight="1">
      <c r="B251" s="81"/>
      <c r="C251" s="62" t="s">
        <v>117</v>
      </c>
      <c r="D251" s="63">
        <v>2</v>
      </c>
      <c r="E251" s="64">
        <v>1.7389792192000001E-4</v>
      </c>
    </row>
    <row r="252" spans="2:5" ht="14.5" customHeight="1">
      <c r="B252" s="81"/>
      <c r="C252" s="62" t="s">
        <v>118</v>
      </c>
      <c r="D252" s="63">
        <v>1</v>
      </c>
      <c r="E252" s="64">
        <v>8.6948960960000005E-5</v>
      </c>
    </row>
    <row r="253" spans="2:5" ht="14.5" customHeight="1">
      <c r="B253" s="81"/>
      <c r="C253" s="62" t="s">
        <v>119</v>
      </c>
      <c r="D253" s="63">
        <v>13</v>
      </c>
      <c r="E253" s="64">
        <v>1.1303364924790001E-3</v>
      </c>
    </row>
    <row r="254" spans="2:5" ht="14.5" customHeight="1">
      <c r="B254" s="81"/>
      <c r="C254" s="62" t="s">
        <v>120</v>
      </c>
      <c r="D254" s="63">
        <v>35</v>
      </c>
      <c r="E254" s="64">
        <v>3.0432136335969999E-3</v>
      </c>
    </row>
    <row r="255" spans="2:5" ht="14.5" customHeight="1">
      <c r="B255" s="81"/>
      <c r="C255" s="62" t="s">
        <v>121</v>
      </c>
      <c r="D255" s="63">
        <v>7</v>
      </c>
      <c r="E255" s="64">
        <v>6.0864272671900003E-4</v>
      </c>
    </row>
    <row r="256" spans="2:5" ht="14.5" customHeight="1">
      <c r="B256" s="81"/>
      <c r="C256" s="62" t="s">
        <v>122</v>
      </c>
      <c r="D256" s="63">
        <v>26</v>
      </c>
      <c r="E256" s="64">
        <v>2.2606729849580002E-3</v>
      </c>
    </row>
    <row r="257" spans="2:5" ht="14.5" customHeight="1">
      <c r="B257" s="81"/>
      <c r="C257" s="62" t="s">
        <v>123</v>
      </c>
      <c r="D257" s="63">
        <v>2</v>
      </c>
      <c r="E257" s="64">
        <v>1.7389792192000001E-4</v>
      </c>
    </row>
    <row r="258" spans="2:5" ht="14.5" customHeight="1">
      <c r="B258" s="81"/>
      <c r="C258" s="62" t="s">
        <v>124</v>
      </c>
      <c r="D258" s="63">
        <v>16</v>
      </c>
      <c r="E258" s="64">
        <v>1.391183375359E-3</v>
      </c>
    </row>
    <row r="259" spans="2:5" ht="14.5" customHeight="1">
      <c r="B259" s="81"/>
      <c r="C259" s="62" t="s">
        <v>125</v>
      </c>
      <c r="D259" s="63">
        <v>24</v>
      </c>
      <c r="E259" s="64">
        <v>2.0867750630380001E-3</v>
      </c>
    </row>
    <row r="260" spans="2:5" ht="14.5" customHeight="1">
      <c r="B260" s="81"/>
      <c r="C260" s="62" t="s">
        <v>126</v>
      </c>
      <c r="D260" s="63">
        <v>2</v>
      </c>
      <c r="E260" s="64">
        <v>1.7389792192000001E-4</v>
      </c>
    </row>
    <row r="261" spans="2:5" ht="14.5" customHeight="1">
      <c r="B261" s="81"/>
      <c r="C261" s="62" t="s">
        <v>127</v>
      </c>
      <c r="D261" s="63">
        <v>43</v>
      </c>
      <c r="E261" s="64">
        <v>3.7388053212760002E-3</v>
      </c>
    </row>
    <row r="262" spans="2:5" ht="14.5" customHeight="1">
      <c r="B262" s="81"/>
      <c r="C262" s="62" t="s">
        <v>128</v>
      </c>
      <c r="D262" s="63">
        <v>10</v>
      </c>
      <c r="E262" s="64">
        <v>8.6948960959899995E-4</v>
      </c>
    </row>
    <row r="263" spans="2:5" ht="14.5" customHeight="1">
      <c r="B263" s="81"/>
      <c r="C263" s="62" t="s">
        <v>129</v>
      </c>
      <c r="D263" s="63">
        <v>44</v>
      </c>
      <c r="E263" s="64">
        <v>3.825754282236E-3</v>
      </c>
    </row>
    <row r="264" spans="2:5" ht="14.5" customHeight="1">
      <c r="B264" s="81"/>
      <c r="C264" s="62" t="s">
        <v>130</v>
      </c>
      <c r="D264" s="63">
        <v>2</v>
      </c>
      <c r="E264" s="64">
        <v>1.7389792192000001E-4</v>
      </c>
    </row>
    <row r="265" spans="2:5" ht="14.5" customHeight="1">
      <c r="B265" s="81"/>
      <c r="C265" s="62" t="s">
        <v>131</v>
      </c>
      <c r="D265" s="63">
        <v>13</v>
      </c>
      <c r="E265" s="64">
        <v>1.1303364924790001E-3</v>
      </c>
    </row>
    <row r="266" spans="2:5" ht="14.5" customHeight="1">
      <c r="B266" s="81"/>
      <c r="C266" s="62" t="s">
        <v>132</v>
      </c>
      <c r="D266" s="63">
        <v>150</v>
      </c>
      <c r="E266" s="64">
        <v>1.3042344143987E-2</v>
      </c>
    </row>
    <row r="267" spans="2:5" ht="14.5" customHeight="1">
      <c r="B267" s="81"/>
      <c r="C267" s="62" t="s">
        <v>133</v>
      </c>
      <c r="D267" s="63">
        <v>1</v>
      </c>
      <c r="E267" s="64">
        <v>8.6948960960000005E-5</v>
      </c>
    </row>
    <row r="268" spans="2:5" ht="14.5" customHeight="1">
      <c r="B268" s="81"/>
      <c r="C268" s="62" t="s">
        <v>134</v>
      </c>
      <c r="D268" s="63">
        <v>2</v>
      </c>
      <c r="E268" s="64">
        <v>1.7389792192000001E-4</v>
      </c>
    </row>
    <row r="269" spans="2:5" ht="14.5" customHeight="1">
      <c r="B269" s="81"/>
      <c r="C269" s="62" t="s">
        <v>135</v>
      </c>
      <c r="D269" s="63">
        <v>21</v>
      </c>
      <c r="E269" s="64">
        <v>1.8259281801579999E-3</v>
      </c>
    </row>
    <row r="270" spans="2:5" ht="14.5" customHeight="1">
      <c r="B270" s="81"/>
      <c r="C270" s="62" t="s">
        <v>136</v>
      </c>
      <c r="D270" s="63">
        <v>5</v>
      </c>
      <c r="E270" s="64">
        <v>4.3474480480000001E-4</v>
      </c>
    </row>
    <row r="271" spans="2:5" ht="14.5" customHeight="1">
      <c r="B271" s="81"/>
      <c r="C271" s="62" t="s">
        <v>137</v>
      </c>
      <c r="D271" s="63">
        <v>37</v>
      </c>
      <c r="E271" s="64">
        <v>3.217111555517E-3</v>
      </c>
    </row>
    <row r="272" spans="2:5" ht="14.5" customHeight="1">
      <c r="B272" s="81"/>
      <c r="C272" s="62" t="s">
        <v>138</v>
      </c>
      <c r="D272" s="63">
        <v>2439</v>
      </c>
      <c r="E272" s="64">
        <v>0.21206851578123601</v>
      </c>
    </row>
    <row r="273" spans="2:5" ht="14.5" customHeight="1">
      <c r="B273" s="81"/>
      <c r="C273" s="62" t="s">
        <v>139</v>
      </c>
      <c r="D273" s="63">
        <v>5</v>
      </c>
      <c r="E273" s="64">
        <v>4.3474480480000001E-4</v>
      </c>
    </row>
    <row r="274" spans="2:5" ht="14.5" customHeight="1">
      <c r="B274" s="81"/>
      <c r="C274" s="62" t="s">
        <v>140</v>
      </c>
      <c r="D274" s="63">
        <v>1</v>
      </c>
      <c r="E274" s="64">
        <v>8.6948960960000005E-5</v>
      </c>
    </row>
    <row r="275" spans="2:5" ht="14.5" customHeight="1">
      <c r="B275" s="81"/>
      <c r="C275" s="62" t="s">
        <v>141</v>
      </c>
      <c r="D275" s="63">
        <v>3</v>
      </c>
      <c r="E275" s="64">
        <v>2.6084688287999997E-4</v>
      </c>
    </row>
    <row r="276" spans="2:5" ht="14.5" customHeight="1">
      <c r="B276" s="81"/>
      <c r="C276" s="62" t="s">
        <v>86</v>
      </c>
      <c r="D276" s="63">
        <v>3</v>
      </c>
      <c r="E276" s="64">
        <v>2.6084688287999997E-4</v>
      </c>
    </row>
    <row r="277" spans="2:5" ht="14.5" customHeight="1">
      <c r="B277" s="81"/>
      <c r="C277" s="62" t="s">
        <v>142</v>
      </c>
      <c r="D277" s="63">
        <v>33</v>
      </c>
      <c r="E277" s="64">
        <v>2.8693157116770002E-3</v>
      </c>
    </row>
    <row r="278" spans="2:5" ht="14.5" customHeight="1">
      <c r="B278" s="81"/>
      <c r="C278" s="62" t="s">
        <v>143</v>
      </c>
      <c r="D278" s="63">
        <v>4</v>
      </c>
      <c r="E278" s="64">
        <v>3.4779584384000002E-4</v>
      </c>
    </row>
    <row r="279" spans="2:5" ht="14.5" customHeight="1">
      <c r="B279" s="80"/>
      <c r="C279" s="36" t="s">
        <v>28</v>
      </c>
      <c r="D279" s="35">
        <v>3544</v>
      </c>
      <c r="E279" s="34">
        <v>0.30814711764194402</v>
      </c>
    </row>
    <row r="280" spans="2:5" ht="14.5" customHeight="1">
      <c r="B280" s="79" t="s">
        <v>239</v>
      </c>
      <c r="C280" s="62" t="s">
        <v>100</v>
      </c>
      <c r="D280" s="63">
        <v>3</v>
      </c>
      <c r="E280" s="64">
        <v>2.6084688287999997E-4</v>
      </c>
    </row>
    <row r="281" spans="2:5" ht="14.5" customHeight="1">
      <c r="B281" s="81"/>
      <c r="C281" s="62" t="s">
        <v>102</v>
      </c>
      <c r="D281" s="63">
        <v>4</v>
      </c>
      <c r="E281" s="64">
        <v>3.4779584384000002E-4</v>
      </c>
    </row>
    <row r="282" spans="2:5" ht="14.5" customHeight="1">
      <c r="B282" s="81"/>
      <c r="C282" s="62" t="s">
        <v>103</v>
      </c>
      <c r="D282" s="63">
        <v>2</v>
      </c>
      <c r="E282" s="64">
        <v>1.7389792192000001E-4</v>
      </c>
    </row>
    <row r="283" spans="2:5" ht="14.5" customHeight="1">
      <c r="B283" s="81"/>
      <c r="C283" s="62" t="s">
        <v>104</v>
      </c>
      <c r="D283" s="63">
        <v>14</v>
      </c>
      <c r="E283" s="64">
        <v>1.2172854534389999E-3</v>
      </c>
    </row>
    <row r="284" spans="2:5" ht="14.5" customHeight="1">
      <c r="B284" s="81"/>
      <c r="C284" s="62" t="s">
        <v>105</v>
      </c>
      <c r="D284" s="63">
        <v>7</v>
      </c>
      <c r="E284" s="64">
        <v>6.0864272671900003E-4</v>
      </c>
    </row>
    <row r="285" spans="2:5" ht="14.5" customHeight="1">
      <c r="B285" s="81"/>
      <c r="C285" s="62" t="s">
        <v>108</v>
      </c>
      <c r="D285" s="63">
        <v>7</v>
      </c>
      <c r="E285" s="64">
        <v>6.0864272671900003E-4</v>
      </c>
    </row>
    <row r="286" spans="2:5" ht="14.5" customHeight="1">
      <c r="B286" s="81"/>
      <c r="C286" s="62" t="s">
        <v>109</v>
      </c>
      <c r="D286" s="63">
        <v>5</v>
      </c>
      <c r="E286" s="64">
        <v>4.3474480480000001E-4</v>
      </c>
    </row>
    <row r="287" spans="2:5" ht="14.5" customHeight="1">
      <c r="B287" s="81"/>
      <c r="C287" s="62" t="s">
        <v>111</v>
      </c>
      <c r="D287" s="63">
        <v>5</v>
      </c>
      <c r="E287" s="64">
        <v>4.3474480480000001E-4</v>
      </c>
    </row>
    <row r="288" spans="2:5" ht="14.5" customHeight="1">
      <c r="B288" s="81"/>
      <c r="C288" s="62" t="s">
        <v>112</v>
      </c>
      <c r="D288" s="63">
        <v>3</v>
      </c>
      <c r="E288" s="64">
        <v>2.6084688287999997E-4</v>
      </c>
    </row>
    <row r="289" spans="2:5" ht="14.5" customHeight="1">
      <c r="B289" s="81"/>
      <c r="C289" s="62" t="s">
        <v>114</v>
      </c>
      <c r="D289" s="63">
        <v>5</v>
      </c>
      <c r="E289" s="64">
        <v>4.3474480480000001E-4</v>
      </c>
    </row>
    <row r="290" spans="2:5" ht="14.5" customHeight="1">
      <c r="B290" s="81"/>
      <c r="C290" s="62" t="s">
        <v>115</v>
      </c>
      <c r="D290" s="63">
        <v>2</v>
      </c>
      <c r="E290" s="64">
        <v>1.7389792192000001E-4</v>
      </c>
    </row>
    <row r="291" spans="2:5" ht="14.5" customHeight="1">
      <c r="B291" s="81"/>
      <c r="C291" s="62" t="s">
        <v>119</v>
      </c>
      <c r="D291" s="63">
        <v>1</v>
      </c>
      <c r="E291" s="64">
        <v>8.6948960960000005E-5</v>
      </c>
    </row>
    <row r="292" spans="2:5" ht="14.5" customHeight="1">
      <c r="B292" s="81"/>
      <c r="C292" s="62" t="s">
        <v>120</v>
      </c>
      <c r="D292" s="63">
        <v>3</v>
      </c>
      <c r="E292" s="64">
        <v>2.6084688287999997E-4</v>
      </c>
    </row>
    <row r="293" spans="2:5" ht="14.5" customHeight="1">
      <c r="B293" s="81"/>
      <c r="C293" s="62" t="s">
        <v>121</v>
      </c>
      <c r="D293" s="63">
        <v>1</v>
      </c>
      <c r="E293" s="64">
        <v>8.6948960960000005E-5</v>
      </c>
    </row>
    <row r="294" spans="2:5" ht="14.5" customHeight="1">
      <c r="B294" s="81"/>
      <c r="C294" s="62" t="s">
        <v>122</v>
      </c>
      <c r="D294" s="63">
        <v>2</v>
      </c>
      <c r="E294" s="64">
        <v>1.7389792192000001E-4</v>
      </c>
    </row>
    <row r="295" spans="2:5" ht="14.5" customHeight="1">
      <c r="B295" s="81"/>
      <c r="C295" s="62" t="s">
        <v>124</v>
      </c>
      <c r="D295" s="63">
        <v>1</v>
      </c>
      <c r="E295" s="64">
        <v>8.6948960960000005E-5</v>
      </c>
    </row>
    <row r="296" spans="2:5" ht="14.5" customHeight="1">
      <c r="B296" s="81"/>
      <c r="C296" s="62" t="s">
        <v>125</v>
      </c>
      <c r="D296" s="63">
        <v>3</v>
      </c>
      <c r="E296" s="64">
        <v>2.6084688287999997E-4</v>
      </c>
    </row>
    <row r="297" spans="2:5" ht="14.5" customHeight="1">
      <c r="B297" s="81"/>
      <c r="C297" s="62" t="s">
        <v>127</v>
      </c>
      <c r="D297" s="63">
        <v>5</v>
      </c>
      <c r="E297" s="64">
        <v>4.3474480480000001E-4</v>
      </c>
    </row>
    <row r="298" spans="2:5" ht="14.5" customHeight="1">
      <c r="B298" s="81"/>
      <c r="C298" s="62" t="s">
        <v>129</v>
      </c>
      <c r="D298" s="63">
        <v>4</v>
      </c>
      <c r="E298" s="64">
        <v>3.4779584384000002E-4</v>
      </c>
    </row>
    <row r="299" spans="2:5" ht="14.5" customHeight="1">
      <c r="B299" s="81"/>
      <c r="C299" s="62" t="s">
        <v>132</v>
      </c>
      <c r="D299" s="63">
        <v>11</v>
      </c>
      <c r="E299" s="64">
        <v>9.56438570559E-4</v>
      </c>
    </row>
    <row r="300" spans="2:5" ht="14.5" customHeight="1">
      <c r="B300" s="81"/>
      <c r="C300" s="62" t="s">
        <v>135</v>
      </c>
      <c r="D300" s="63">
        <v>4</v>
      </c>
      <c r="E300" s="64">
        <v>3.4779584384000002E-4</v>
      </c>
    </row>
    <row r="301" spans="2:5" ht="14.5" customHeight="1">
      <c r="B301" s="81"/>
      <c r="C301" s="62" t="s">
        <v>136</v>
      </c>
      <c r="D301" s="63">
        <v>1</v>
      </c>
      <c r="E301" s="64">
        <v>8.6948960960000005E-5</v>
      </c>
    </row>
    <row r="302" spans="2:5" ht="14.5" customHeight="1">
      <c r="B302" s="81"/>
      <c r="C302" s="62" t="s">
        <v>137</v>
      </c>
      <c r="D302" s="63">
        <v>3</v>
      </c>
      <c r="E302" s="64">
        <v>2.6084688287999997E-4</v>
      </c>
    </row>
    <row r="303" spans="2:5" ht="14.5" customHeight="1">
      <c r="B303" s="81"/>
      <c r="C303" s="62" t="s">
        <v>138</v>
      </c>
      <c r="D303" s="63">
        <v>232</v>
      </c>
      <c r="E303" s="64">
        <v>2.0172158942701E-2</v>
      </c>
    </row>
    <row r="304" spans="2:5" ht="14.5" customHeight="1">
      <c r="B304" s="81"/>
      <c r="C304" s="62" t="s">
        <v>142</v>
      </c>
      <c r="D304" s="63">
        <v>4</v>
      </c>
      <c r="E304" s="64">
        <v>3.4779584384000002E-4</v>
      </c>
    </row>
    <row r="305" spans="2:5" ht="14.5" customHeight="1">
      <c r="B305" s="81"/>
      <c r="C305" s="62" t="s">
        <v>143</v>
      </c>
      <c r="D305" s="63">
        <v>1</v>
      </c>
      <c r="E305" s="64">
        <v>8.6948960960000005E-5</v>
      </c>
    </row>
    <row r="306" spans="2:5" ht="14.5" customHeight="1">
      <c r="B306" s="80"/>
      <c r="C306" s="36" t="s">
        <v>28</v>
      </c>
      <c r="D306" s="35">
        <v>333</v>
      </c>
      <c r="E306" s="34">
        <v>2.8954003999651999E-2</v>
      </c>
    </row>
    <row r="307" spans="2:5" ht="14.5" customHeight="1">
      <c r="B307" s="79" t="s">
        <v>240</v>
      </c>
      <c r="C307" s="62" t="s">
        <v>100</v>
      </c>
      <c r="D307" s="63">
        <v>6</v>
      </c>
      <c r="E307" s="64">
        <v>5.2169376575899999E-4</v>
      </c>
    </row>
    <row r="308" spans="2:5" ht="14.5" customHeight="1">
      <c r="B308" s="81"/>
      <c r="C308" s="62" t="s">
        <v>102</v>
      </c>
      <c r="D308" s="63">
        <v>3</v>
      </c>
      <c r="E308" s="64">
        <v>2.6084688287999997E-4</v>
      </c>
    </row>
    <row r="309" spans="2:5" ht="14.5" customHeight="1">
      <c r="B309" s="81"/>
      <c r="C309" s="62" t="s">
        <v>103</v>
      </c>
      <c r="D309" s="63">
        <v>5</v>
      </c>
      <c r="E309" s="64">
        <v>4.3474480480000001E-4</v>
      </c>
    </row>
    <row r="310" spans="2:5" ht="14.5" customHeight="1">
      <c r="B310" s="81"/>
      <c r="C310" s="62" t="s">
        <v>104</v>
      </c>
      <c r="D310" s="63">
        <v>27</v>
      </c>
      <c r="E310" s="64">
        <v>2.347621945918E-3</v>
      </c>
    </row>
    <row r="311" spans="2:5" ht="14.5" customHeight="1">
      <c r="B311" s="81"/>
      <c r="C311" s="62" t="s">
        <v>105</v>
      </c>
      <c r="D311" s="63">
        <v>10</v>
      </c>
      <c r="E311" s="64">
        <v>8.6948960959899995E-4</v>
      </c>
    </row>
    <row r="312" spans="2:5" ht="14.5" customHeight="1">
      <c r="B312" s="81"/>
      <c r="C312" s="62" t="s">
        <v>108</v>
      </c>
      <c r="D312" s="63">
        <v>16</v>
      </c>
      <c r="E312" s="64">
        <v>1.391183375359E-3</v>
      </c>
    </row>
    <row r="313" spans="2:5" ht="14.5" customHeight="1">
      <c r="B313" s="81"/>
      <c r="C313" s="62" t="s">
        <v>109</v>
      </c>
      <c r="D313" s="63">
        <v>4</v>
      </c>
      <c r="E313" s="64">
        <v>3.4779584384000002E-4</v>
      </c>
    </row>
    <row r="314" spans="2:5" ht="14.5" customHeight="1">
      <c r="B314" s="81"/>
      <c r="C314" s="62" t="s">
        <v>111</v>
      </c>
      <c r="D314" s="63">
        <v>12</v>
      </c>
      <c r="E314" s="64">
        <v>1.043387531519E-3</v>
      </c>
    </row>
    <row r="315" spans="2:5" ht="14.5" customHeight="1">
      <c r="B315" s="81"/>
      <c r="C315" s="62" t="s">
        <v>112</v>
      </c>
      <c r="D315" s="63">
        <v>10</v>
      </c>
      <c r="E315" s="64">
        <v>8.6948960959899995E-4</v>
      </c>
    </row>
    <row r="316" spans="2:5" ht="14.5" customHeight="1">
      <c r="B316" s="81"/>
      <c r="C316" s="62" t="s">
        <v>113</v>
      </c>
      <c r="D316" s="63">
        <v>2</v>
      </c>
      <c r="E316" s="64">
        <v>1.7389792192000001E-4</v>
      </c>
    </row>
    <row r="317" spans="2:5" ht="14.5" customHeight="1">
      <c r="B317" s="81"/>
      <c r="C317" s="62" t="s">
        <v>114</v>
      </c>
      <c r="D317" s="63">
        <v>25</v>
      </c>
      <c r="E317" s="64">
        <v>2.1737240239979999E-3</v>
      </c>
    </row>
    <row r="318" spans="2:5" ht="14.5" customHeight="1">
      <c r="B318" s="81"/>
      <c r="C318" s="62" t="s">
        <v>115</v>
      </c>
      <c r="D318" s="63">
        <v>2</v>
      </c>
      <c r="E318" s="64">
        <v>1.7389792192000001E-4</v>
      </c>
    </row>
    <row r="319" spans="2:5" ht="14.5" customHeight="1">
      <c r="B319" s="81"/>
      <c r="C319" s="62" t="s">
        <v>116</v>
      </c>
      <c r="D319" s="63">
        <v>2</v>
      </c>
      <c r="E319" s="64">
        <v>1.7389792192000001E-4</v>
      </c>
    </row>
    <row r="320" spans="2:5" ht="14.5" customHeight="1">
      <c r="B320" s="81"/>
      <c r="C320" s="62" t="s">
        <v>119</v>
      </c>
      <c r="D320" s="63">
        <v>4</v>
      </c>
      <c r="E320" s="64">
        <v>3.4779584384000002E-4</v>
      </c>
    </row>
    <row r="321" spans="2:5" ht="14.5" customHeight="1">
      <c r="B321" s="81"/>
      <c r="C321" s="62" t="s">
        <v>120</v>
      </c>
      <c r="D321" s="63">
        <v>4</v>
      </c>
      <c r="E321" s="64">
        <v>3.4779584384000002E-4</v>
      </c>
    </row>
    <row r="322" spans="2:5" ht="14.5" customHeight="1">
      <c r="B322" s="81"/>
      <c r="C322" s="62" t="s">
        <v>121</v>
      </c>
      <c r="D322" s="63">
        <v>1</v>
      </c>
      <c r="E322" s="64">
        <v>8.6948960960000005E-5</v>
      </c>
    </row>
    <row r="323" spans="2:5" ht="14.5" customHeight="1">
      <c r="B323" s="81"/>
      <c r="C323" s="62" t="s">
        <v>122</v>
      </c>
      <c r="D323" s="63">
        <v>8</v>
      </c>
      <c r="E323" s="64">
        <v>6.9559168767899997E-4</v>
      </c>
    </row>
    <row r="324" spans="2:5" ht="14.5" customHeight="1">
      <c r="B324" s="81"/>
      <c r="C324" s="62" t="s">
        <v>124</v>
      </c>
      <c r="D324" s="63">
        <v>4</v>
      </c>
      <c r="E324" s="64">
        <v>3.4779584384000002E-4</v>
      </c>
    </row>
    <row r="325" spans="2:5" ht="14.5" customHeight="1">
      <c r="B325" s="81"/>
      <c r="C325" s="62" t="s">
        <v>125</v>
      </c>
      <c r="D325" s="63">
        <v>9</v>
      </c>
      <c r="E325" s="64">
        <v>7.8254064863900001E-4</v>
      </c>
    </row>
    <row r="326" spans="2:5" ht="14.5" customHeight="1">
      <c r="B326" s="81"/>
      <c r="C326" s="62" t="s">
        <v>126</v>
      </c>
      <c r="D326" s="63">
        <v>3</v>
      </c>
      <c r="E326" s="64">
        <v>2.6084688287999997E-4</v>
      </c>
    </row>
    <row r="327" spans="2:5" ht="14.5" customHeight="1">
      <c r="B327" s="81"/>
      <c r="C327" s="62" t="s">
        <v>127</v>
      </c>
      <c r="D327" s="63">
        <v>7</v>
      </c>
      <c r="E327" s="64">
        <v>6.0864272671900003E-4</v>
      </c>
    </row>
    <row r="328" spans="2:5" ht="14.5" customHeight="1">
      <c r="B328" s="81"/>
      <c r="C328" s="62" t="s">
        <v>129</v>
      </c>
      <c r="D328" s="63">
        <v>4</v>
      </c>
      <c r="E328" s="64">
        <v>3.4779584384000002E-4</v>
      </c>
    </row>
    <row r="329" spans="2:5" ht="14.5" customHeight="1">
      <c r="B329" s="81"/>
      <c r="C329" s="62" t="s">
        <v>130</v>
      </c>
      <c r="D329" s="63">
        <v>1</v>
      </c>
      <c r="E329" s="64">
        <v>8.6948960960000005E-5</v>
      </c>
    </row>
    <row r="330" spans="2:5" ht="14.5" customHeight="1">
      <c r="B330" s="81"/>
      <c r="C330" s="62" t="s">
        <v>131</v>
      </c>
      <c r="D330" s="63">
        <v>2</v>
      </c>
      <c r="E330" s="64">
        <v>1.7389792192000001E-4</v>
      </c>
    </row>
    <row r="331" spans="2:5" ht="14.5" customHeight="1">
      <c r="B331" s="81"/>
      <c r="C331" s="62" t="s">
        <v>132</v>
      </c>
      <c r="D331" s="63">
        <v>39</v>
      </c>
      <c r="E331" s="64">
        <v>3.391009477437E-3</v>
      </c>
    </row>
    <row r="332" spans="2:5" ht="14.5" customHeight="1">
      <c r="B332" s="81"/>
      <c r="C332" s="62" t="s">
        <v>135</v>
      </c>
      <c r="D332" s="63">
        <v>4</v>
      </c>
      <c r="E332" s="64">
        <v>3.4779584384000002E-4</v>
      </c>
    </row>
    <row r="333" spans="2:5" ht="14.5" customHeight="1">
      <c r="B333" s="81"/>
      <c r="C333" s="62" t="s">
        <v>136</v>
      </c>
      <c r="D333" s="63">
        <v>1</v>
      </c>
      <c r="E333" s="64">
        <v>8.6948960960000005E-5</v>
      </c>
    </row>
    <row r="334" spans="2:5" ht="14.5" customHeight="1">
      <c r="B334" s="81"/>
      <c r="C334" s="62" t="s">
        <v>137</v>
      </c>
      <c r="D334" s="63">
        <v>4</v>
      </c>
      <c r="E334" s="64">
        <v>3.4779584384000002E-4</v>
      </c>
    </row>
    <row r="335" spans="2:5" ht="14.5" customHeight="1">
      <c r="B335" s="81"/>
      <c r="C335" s="62" t="s">
        <v>138</v>
      </c>
      <c r="D335" s="63">
        <v>535</v>
      </c>
      <c r="E335" s="64">
        <v>4.6517694113554997E-2</v>
      </c>
    </row>
    <row r="336" spans="2:5" ht="14.5" customHeight="1">
      <c r="B336" s="81"/>
      <c r="C336" s="62" t="s">
        <v>139</v>
      </c>
      <c r="D336" s="63">
        <v>1</v>
      </c>
      <c r="E336" s="64">
        <v>8.6948960960000005E-5</v>
      </c>
    </row>
    <row r="337" spans="2:5" ht="14.5" customHeight="1">
      <c r="B337" s="81"/>
      <c r="C337" s="62" t="s">
        <v>141</v>
      </c>
      <c r="D337" s="63">
        <v>1</v>
      </c>
      <c r="E337" s="64">
        <v>8.6948960960000005E-5</v>
      </c>
    </row>
    <row r="338" spans="2:5" ht="14.5" customHeight="1">
      <c r="B338" s="81"/>
      <c r="C338" s="62" t="s">
        <v>142</v>
      </c>
      <c r="D338" s="63">
        <v>9</v>
      </c>
      <c r="E338" s="64">
        <v>7.8254064863900001E-4</v>
      </c>
    </row>
    <row r="339" spans="2:5" ht="14.5" customHeight="1">
      <c r="B339" s="81"/>
      <c r="C339" s="62" t="s">
        <v>143</v>
      </c>
      <c r="D339" s="63">
        <v>1</v>
      </c>
      <c r="E339" s="64">
        <v>8.6948960960000005E-5</v>
      </c>
    </row>
    <row r="340" spans="2:5" ht="14.5" customHeight="1">
      <c r="B340" s="80"/>
      <c r="C340" s="36" t="s">
        <v>28</v>
      </c>
      <c r="D340" s="35">
        <v>766</v>
      </c>
      <c r="E340" s="34">
        <v>6.6602904095295998E-2</v>
      </c>
    </row>
    <row r="341" spans="2:5" ht="14.5" customHeight="1">
      <c r="B341" s="79" t="s">
        <v>241</v>
      </c>
      <c r="C341" s="62" t="s">
        <v>100</v>
      </c>
      <c r="D341" s="63">
        <v>17</v>
      </c>
      <c r="E341" s="64">
        <v>1.4781323363190001E-3</v>
      </c>
    </row>
    <row r="342" spans="2:5" ht="14.5" customHeight="1">
      <c r="B342" s="81"/>
      <c r="C342" s="62" t="s">
        <v>101</v>
      </c>
      <c r="D342" s="63">
        <v>4</v>
      </c>
      <c r="E342" s="64">
        <v>3.4779584384000002E-4</v>
      </c>
    </row>
    <row r="343" spans="2:5" ht="14.5" customHeight="1">
      <c r="B343" s="81"/>
      <c r="C343" s="62" t="s">
        <v>102</v>
      </c>
      <c r="D343" s="63">
        <v>18</v>
      </c>
      <c r="E343" s="64">
        <v>1.565081297278E-3</v>
      </c>
    </row>
    <row r="344" spans="2:5" ht="14.5" customHeight="1">
      <c r="B344" s="81"/>
      <c r="C344" s="62" t="s">
        <v>103</v>
      </c>
      <c r="D344" s="63">
        <v>13</v>
      </c>
      <c r="E344" s="64">
        <v>1.1303364924790001E-3</v>
      </c>
    </row>
    <row r="345" spans="2:5" ht="14.5" customHeight="1">
      <c r="B345" s="81"/>
      <c r="C345" s="62" t="s">
        <v>104</v>
      </c>
      <c r="D345" s="63">
        <v>116</v>
      </c>
      <c r="E345" s="64">
        <v>1.008607947135E-2</v>
      </c>
    </row>
    <row r="346" spans="2:5" ht="14.5" customHeight="1">
      <c r="B346" s="81"/>
      <c r="C346" s="62" t="s">
        <v>105</v>
      </c>
      <c r="D346" s="63">
        <v>53</v>
      </c>
      <c r="E346" s="64">
        <v>4.6082949308760002E-3</v>
      </c>
    </row>
    <row r="347" spans="2:5" ht="14.5" customHeight="1">
      <c r="B347" s="81"/>
      <c r="C347" s="62" t="s">
        <v>106</v>
      </c>
      <c r="D347" s="63">
        <v>1</v>
      </c>
      <c r="E347" s="64">
        <v>8.6948960960000005E-5</v>
      </c>
    </row>
    <row r="348" spans="2:5" ht="14.5" customHeight="1">
      <c r="B348" s="81"/>
      <c r="C348" s="62" t="s">
        <v>108</v>
      </c>
      <c r="D348" s="63">
        <v>36</v>
      </c>
      <c r="E348" s="64">
        <v>3.1301625945570001E-3</v>
      </c>
    </row>
    <row r="349" spans="2:5" ht="14.5" customHeight="1">
      <c r="B349" s="81"/>
      <c r="C349" s="62" t="s">
        <v>109</v>
      </c>
      <c r="D349" s="63">
        <v>25</v>
      </c>
      <c r="E349" s="64">
        <v>2.1737240239979999E-3</v>
      </c>
    </row>
    <row r="350" spans="2:5" ht="14.5" customHeight="1">
      <c r="B350" s="81"/>
      <c r="C350" s="62" t="s">
        <v>110</v>
      </c>
      <c r="D350" s="63">
        <v>4</v>
      </c>
      <c r="E350" s="64">
        <v>3.4779584384000002E-4</v>
      </c>
    </row>
    <row r="351" spans="2:5" ht="14.5" customHeight="1">
      <c r="B351" s="81"/>
      <c r="C351" s="62" t="s">
        <v>111</v>
      </c>
      <c r="D351" s="63">
        <v>69</v>
      </c>
      <c r="E351" s="64">
        <v>5.9994783062339999E-3</v>
      </c>
    </row>
    <row r="352" spans="2:5" ht="14.5" customHeight="1">
      <c r="B352" s="81"/>
      <c r="C352" s="62" t="s">
        <v>112</v>
      </c>
      <c r="D352" s="63">
        <v>24</v>
      </c>
      <c r="E352" s="64">
        <v>2.0867750630380001E-3</v>
      </c>
    </row>
    <row r="353" spans="2:5" ht="14.5" customHeight="1">
      <c r="B353" s="81"/>
      <c r="C353" s="62" t="s">
        <v>113</v>
      </c>
      <c r="D353" s="63">
        <v>3</v>
      </c>
      <c r="E353" s="64">
        <v>2.6084688287999997E-4</v>
      </c>
    </row>
    <row r="354" spans="2:5" ht="14.5" customHeight="1">
      <c r="B354" s="81"/>
      <c r="C354" s="62" t="s">
        <v>114</v>
      </c>
      <c r="D354" s="63">
        <v>41</v>
      </c>
      <c r="E354" s="64">
        <v>3.5649073993570001E-3</v>
      </c>
    </row>
    <row r="355" spans="2:5" ht="14.5" customHeight="1">
      <c r="B355" s="81"/>
      <c r="C355" s="62" t="s">
        <v>115</v>
      </c>
      <c r="D355" s="63">
        <v>23</v>
      </c>
      <c r="E355" s="64">
        <v>1.9998261020779998E-3</v>
      </c>
    </row>
    <row r="356" spans="2:5" ht="14.5" customHeight="1">
      <c r="B356" s="81"/>
      <c r="C356" s="62" t="s">
        <v>116</v>
      </c>
      <c r="D356" s="63">
        <v>13</v>
      </c>
      <c r="E356" s="64">
        <v>1.1303364924790001E-3</v>
      </c>
    </row>
    <row r="357" spans="2:5" ht="14.5" customHeight="1">
      <c r="B357" s="81"/>
      <c r="C357" s="62" t="s">
        <v>117</v>
      </c>
      <c r="D357" s="63">
        <v>1</v>
      </c>
      <c r="E357" s="64">
        <v>8.6948960960000005E-5</v>
      </c>
    </row>
    <row r="358" spans="2:5" ht="14.5" customHeight="1">
      <c r="B358" s="81"/>
      <c r="C358" s="62" t="s">
        <v>119</v>
      </c>
      <c r="D358" s="63">
        <v>8</v>
      </c>
      <c r="E358" s="64">
        <v>6.9559168767899997E-4</v>
      </c>
    </row>
    <row r="359" spans="2:5" ht="14.5" customHeight="1">
      <c r="B359" s="81"/>
      <c r="C359" s="62" t="s">
        <v>120</v>
      </c>
      <c r="D359" s="63">
        <v>25</v>
      </c>
      <c r="E359" s="64">
        <v>2.1737240239979999E-3</v>
      </c>
    </row>
    <row r="360" spans="2:5" ht="14.5" customHeight="1">
      <c r="B360" s="81"/>
      <c r="C360" s="62" t="s">
        <v>121</v>
      </c>
      <c r="D360" s="63">
        <v>5</v>
      </c>
      <c r="E360" s="64">
        <v>4.3474480480000001E-4</v>
      </c>
    </row>
    <row r="361" spans="2:5" ht="14.5" customHeight="1">
      <c r="B361" s="81"/>
      <c r="C361" s="62" t="s">
        <v>122</v>
      </c>
      <c r="D361" s="63">
        <v>25</v>
      </c>
      <c r="E361" s="64">
        <v>2.1737240239979999E-3</v>
      </c>
    </row>
    <row r="362" spans="2:5" ht="14.5" customHeight="1">
      <c r="B362" s="81"/>
      <c r="C362" s="62" t="s">
        <v>124</v>
      </c>
      <c r="D362" s="63">
        <v>10</v>
      </c>
      <c r="E362" s="64">
        <v>8.6948960959899995E-4</v>
      </c>
    </row>
    <row r="363" spans="2:5" ht="14.5" customHeight="1">
      <c r="B363" s="81"/>
      <c r="C363" s="62" t="s">
        <v>125</v>
      </c>
      <c r="D363" s="63">
        <v>18</v>
      </c>
      <c r="E363" s="64">
        <v>1.565081297278E-3</v>
      </c>
    </row>
    <row r="364" spans="2:5" ht="14.5" customHeight="1">
      <c r="B364" s="81"/>
      <c r="C364" s="62" t="s">
        <v>126</v>
      </c>
      <c r="D364" s="63">
        <v>4</v>
      </c>
      <c r="E364" s="64">
        <v>3.4779584384000002E-4</v>
      </c>
    </row>
    <row r="365" spans="2:5" ht="14.5" customHeight="1">
      <c r="B365" s="81"/>
      <c r="C365" s="62" t="s">
        <v>127</v>
      </c>
      <c r="D365" s="63">
        <v>25</v>
      </c>
      <c r="E365" s="64">
        <v>2.1737240239979999E-3</v>
      </c>
    </row>
    <row r="366" spans="2:5" ht="14.5" customHeight="1">
      <c r="B366" s="81"/>
      <c r="C366" s="62" t="s">
        <v>128</v>
      </c>
      <c r="D366" s="63">
        <v>4</v>
      </c>
      <c r="E366" s="64">
        <v>3.4779584384000002E-4</v>
      </c>
    </row>
    <row r="367" spans="2:5" ht="14.5" customHeight="1">
      <c r="B367" s="81"/>
      <c r="C367" s="62" t="s">
        <v>129</v>
      </c>
      <c r="D367" s="63">
        <v>18</v>
      </c>
      <c r="E367" s="64">
        <v>1.565081297278E-3</v>
      </c>
    </row>
    <row r="368" spans="2:5" ht="14.5" customHeight="1">
      <c r="B368" s="81"/>
      <c r="C368" s="62" t="s">
        <v>131</v>
      </c>
      <c r="D368" s="63">
        <v>4</v>
      </c>
      <c r="E368" s="64">
        <v>3.4779584384000002E-4</v>
      </c>
    </row>
    <row r="369" spans="2:5" ht="14.5" customHeight="1">
      <c r="B369" s="81"/>
      <c r="C369" s="62" t="s">
        <v>132</v>
      </c>
      <c r="D369" s="63">
        <v>121</v>
      </c>
      <c r="E369" s="64">
        <v>1.052082427615E-2</v>
      </c>
    </row>
    <row r="370" spans="2:5" ht="14.5" customHeight="1">
      <c r="B370" s="81"/>
      <c r="C370" s="62" t="s">
        <v>133</v>
      </c>
      <c r="D370" s="63">
        <v>1</v>
      </c>
      <c r="E370" s="64">
        <v>8.6948960960000005E-5</v>
      </c>
    </row>
    <row r="371" spans="2:5" ht="14.5" customHeight="1">
      <c r="B371" s="81"/>
      <c r="C371" s="62" t="s">
        <v>134</v>
      </c>
      <c r="D371" s="63">
        <v>5</v>
      </c>
      <c r="E371" s="64">
        <v>4.3474480480000001E-4</v>
      </c>
    </row>
    <row r="372" spans="2:5" ht="14.5" customHeight="1">
      <c r="B372" s="81"/>
      <c r="C372" s="62" t="s">
        <v>135</v>
      </c>
      <c r="D372" s="63">
        <v>9</v>
      </c>
      <c r="E372" s="64">
        <v>7.8254064863900001E-4</v>
      </c>
    </row>
    <row r="373" spans="2:5" ht="14.5" customHeight="1">
      <c r="B373" s="81"/>
      <c r="C373" s="62" t="s">
        <v>136</v>
      </c>
      <c r="D373" s="63">
        <v>1</v>
      </c>
      <c r="E373" s="64">
        <v>8.6948960960000005E-5</v>
      </c>
    </row>
    <row r="374" spans="2:5" ht="14.5" customHeight="1">
      <c r="B374" s="81"/>
      <c r="C374" s="62" t="s">
        <v>137</v>
      </c>
      <c r="D374" s="63">
        <v>30</v>
      </c>
      <c r="E374" s="64">
        <v>2.6084688287969999E-3</v>
      </c>
    </row>
    <row r="375" spans="2:5" ht="14.5" customHeight="1">
      <c r="B375" s="81"/>
      <c r="C375" s="62" t="s">
        <v>138</v>
      </c>
      <c r="D375" s="63">
        <v>2139</v>
      </c>
      <c r="E375" s="64">
        <v>0.18598382749326101</v>
      </c>
    </row>
    <row r="376" spans="2:5" ht="14.5" customHeight="1">
      <c r="B376" s="81"/>
      <c r="C376" s="62" t="s">
        <v>139</v>
      </c>
      <c r="D376" s="63">
        <v>8</v>
      </c>
      <c r="E376" s="64">
        <v>6.9559168767899997E-4</v>
      </c>
    </row>
    <row r="377" spans="2:5" ht="14.5" customHeight="1">
      <c r="B377" s="81"/>
      <c r="C377" s="62" t="s">
        <v>141</v>
      </c>
      <c r="D377" s="63">
        <v>4</v>
      </c>
      <c r="E377" s="64">
        <v>3.4779584384000002E-4</v>
      </c>
    </row>
    <row r="378" spans="2:5" ht="14.5" customHeight="1">
      <c r="B378" s="81"/>
      <c r="C378" s="62" t="s">
        <v>86</v>
      </c>
      <c r="D378" s="63">
        <v>2</v>
      </c>
      <c r="E378" s="64">
        <v>1.7389792192000001E-4</v>
      </c>
    </row>
    <row r="379" spans="2:5" ht="14.5" customHeight="1">
      <c r="B379" s="81"/>
      <c r="C379" s="62" t="s">
        <v>142</v>
      </c>
      <c r="D379" s="63">
        <v>22</v>
      </c>
      <c r="E379" s="64">
        <v>1.912877141118E-3</v>
      </c>
    </row>
    <row r="380" spans="2:5" ht="14.5" customHeight="1">
      <c r="B380" s="81"/>
      <c r="C380" s="62" t="s">
        <v>143</v>
      </c>
      <c r="D380" s="63">
        <v>5</v>
      </c>
      <c r="E380" s="64">
        <v>4.3474480480000001E-4</v>
      </c>
    </row>
    <row r="381" spans="2:5" ht="14.5" customHeight="1">
      <c r="B381" s="80"/>
      <c r="C381" s="36" t="s">
        <v>28</v>
      </c>
      <c r="D381" s="35">
        <v>2954</v>
      </c>
      <c r="E381" s="34">
        <v>0.25684723067559301</v>
      </c>
    </row>
    <row r="382" spans="2:5" ht="14.5" customHeight="1">
      <c r="B382" s="79" t="s">
        <v>242</v>
      </c>
      <c r="C382" s="62" t="s">
        <v>102</v>
      </c>
      <c r="D382" s="63">
        <v>1</v>
      </c>
      <c r="E382" s="64">
        <v>8.6948960960000005E-5</v>
      </c>
    </row>
    <row r="383" spans="2:5" ht="14.5" customHeight="1">
      <c r="B383" s="81"/>
      <c r="C383" s="62" t="s">
        <v>104</v>
      </c>
      <c r="D383" s="63">
        <v>2</v>
      </c>
      <c r="E383" s="64">
        <v>1.7389792192000001E-4</v>
      </c>
    </row>
    <row r="384" spans="2:5" ht="14.5" customHeight="1">
      <c r="B384" s="81"/>
      <c r="C384" s="62" t="s">
        <v>105</v>
      </c>
      <c r="D384" s="63">
        <v>1</v>
      </c>
      <c r="E384" s="64">
        <v>8.6948960960000005E-5</v>
      </c>
    </row>
    <row r="385" spans="2:5" ht="14.5" customHeight="1">
      <c r="B385" s="81"/>
      <c r="C385" s="62" t="s">
        <v>111</v>
      </c>
      <c r="D385" s="63">
        <v>1</v>
      </c>
      <c r="E385" s="64">
        <v>8.6948960960000005E-5</v>
      </c>
    </row>
    <row r="386" spans="2:5" ht="14.5" customHeight="1">
      <c r="B386" s="81"/>
      <c r="C386" s="62" t="s">
        <v>113</v>
      </c>
      <c r="D386" s="63">
        <v>1</v>
      </c>
      <c r="E386" s="64">
        <v>8.6948960960000005E-5</v>
      </c>
    </row>
    <row r="387" spans="2:5" ht="14.5" customHeight="1">
      <c r="B387" s="81"/>
      <c r="C387" s="62" t="s">
        <v>114</v>
      </c>
      <c r="D387" s="63">
        <v>1</v>
      </c>
      <c r="E387" s="64">
        <v>8.6948960960000005E-5</v>
      </c>
    </row>
    <row r="388" spans="2:5" ht="14.5" customHeight="1">
      <c r="B388" s="81"/>
      <c r="C388" s="62" t="s">
        <v>120</v>
      </c>
      <c r="D388" s="63">
        <v>2</v>
      </c>
      <c r="E388" s="64">
        <v>1.7389792192000001E-4</v>
      </c>
    </row>
    <row r="389" spans="2:5" ht="14.5" customHeight="1">
      <c r="B389" s="81"/>
      <c r="C389" s="62" t="s">
        <v>129</v>
      </c>
      <c r="D389" s="63">
        <v>1</v>
      </c>
      <c r="E389" s="64">
        <v>8.6948960960000005E-5</v>
      </c>
    </row>
    <row r="390" spans="2:5" ht="14.5" customHeight="1">
      <c r="B390" s="81"/>
      <c r="C390" s="62" t="s">
        <v>132</v>
      </c>
      <c r="D390" s="63">
        <v>1</v>
      </c>
      <c r="E390" s="64">
        <v>8.6948960960000005E-5</v>
      </c>
    </row>
    <row r="391" spans="2:5" ht="14.5" customHeight="1">
      <c r="B391" s="81"/>
      <c r="C391" s="62" t="s">
        <v>138</v>
      </c>
      <c r="D391" s="63">
        <v>35</v>
      </c>
      <c r="E391" s="64">
        <v>3.0432136335969999E-3</v>
      </c>
    </row>
    <row r="392" spans="2:5" ht="14.5" customHeight="1">
      <c r="B392" s="81"/>
      <c r="C392" s="62" t="s">
        <v>142</v>
      </c>
      <c r="D392" s="63">
        <v>1</v>
      </c>
      <c r="E392" s="64">
        <v>8.6948960960000005E-5</v>
      </c>
    </row>
    <row r="393" spans="2:5" ht="14.5" customHeight="1">
      <c r="B393" s="80"/>
      <c r="C393" s="36" t="s">
        <v>28</v>
      </c>
      <c r="D393" s="35">
        <v>47</v>
      </c>
      <c r="E393" s="34">
        <v>4.0866011651160003E-3</v>
      </c>
    </row>
    <row r="394" spans="2:5" ht="14.5" customHeight="1">
      <c r="B394" s="79" t="s">
        <v>243</v>
      </c>
      <c r="C394" s="62" t="s">
        <v>104</v>
      </c>
      <c r="D394" s="63">
        <v>7</v>
      </c>
      <c r="E394" s="64">
        <v>6.0864272671900003E-4</v>
      </c>
    </row>
    <row r="395" spans="2:5" ht="14.5" customHeight="1">
      <c r="B395" s="81"/>
      <c r="C395" s="62" t="s">
        <v>105</v>
      </c>
      <c r="D395" s="63">
        <v>2</v>
      </c>
      <c r="E395" s="64">
        <v>1.7389792192000001E-4</v>
      </c>
    </row>
    <row r="396" spans="2:5" ht="14.5" customHeight="1">
      <c r="B396" s="81"/>
      <c r="C396" s="62" t="s">
        <v>111</v>
      </c>
      <c r="D396" s="63">
        <v>2</v>
      </c>
      <c r="E396" s="64">
        <v>1.7389792192000001E-4</v>
      </c>
    </row>
    <row r="397" spans="2:5" ht="14.5" customHeight="1">
      <c r="B397" s="81"/>
      <c r="C397" s="62" t="s">
        <v>114</v>
      </c>
      <c r="D397" s="63">
        <v>1</v>
      </c>
      <c r="E397" s="64">
        <v>8.6948960960000005E-5</v>
      </c>
    </row>
    <row r="398" spans="2:5" ht="14.5" customHeight="1">
      <c r="B398" s="81"/>
      <c r="C398" s="62" t="s">
        <v>116</v>
      </c>
      <c r="D398" s="63">
        <v>1</v>
      </c>
      <c r="E398" s="64">
        <v>8.6948960960000005E-5</v>
      </c>
    </row>
    <row r="399" spans="2:5" ht="14.5" customHeight="1">
      <c r="B399" s="81"/>
      <c r="C399" s="62" t="s">
        <v>120</v>
      </c>
      <c r="D399" s="63">
        <v>1</v>
      </c>
      <c r="E399" s="64">
        <v>8.6948960960000005E-5</v>
      </c>
    </row>
    <row r="400" spans="2:5" ht="14.5" customHeight="1">
      <c r="B400" s="81"/>
      <c r="C400" s="62" t="s">
        <v>124</v>
      </c>
      <c r="D400" s="63">
        <v>1</v>
      </c>
      <c r="E400" s="64">
        <v>8.6948960960000005E-5</v>
      </c>
    </row>
    <row r="401" spans="2:5" ht="14.5" customHeight="1">
      <c r="B401" s="81"/>
      <c r="C401" s="62" t="s">
        <v>132</v>
      </c>
      <c r="D401" s="63">
        <v>3</v>
      </c>
      <c r="E401" s="64">
        <v>2.6084688287999997E-4</v>
      </c>
    </row>
    <row r="402" spans="2:5" ht="14.5" customHeight="1">
      <c r="B402" s="81"/>
      <c r="C402" s="62" t="s">
        <v>134</v>
      </c>
      <c r="D402" s="63">
        <v>1</v>
      </c>
      <c r="E402" s="64">
        <v>8.6948960960000005E-5</v>
      </c>
    </row>
    <row r="403" spans="2:5" ht="14.5" customHeight="1">
      <c r="B403" s="81"/>
      <c r="C403" s="62" t="s">
        <v>137</v>
      </c>
      <c r="D403" s="63">
        <v>1</v>
      </c>
      <c r="E403" s="64">
        <v>8.6948960960000005E-5</v>
      </c>
    </row>
    <row r="404" spans="2:5" ht="14.5" customHeight="1">
      <c r="B404" s="81"/>
      <c r="C404" s="62" t="s">
        <v>138</v>
      </c>
      <c r="D404" s="63">
        <v>29</v>
      </c>
      <c r="E404" s="64">
        <v>2.5215198678380001E-3</v>
      </c>
    </row>
    <row r="405" spans="2:5" ht="14.5" customHeight="1">
      <c r="B405" s="80"/>
      <c r="C405" s="36" t="s">
        <v>28</v>
      </c>
      <c r="D405" s="35">
        <v>49</v>
      </c>
      <c r="E405" s="34">
        <v>4.260499087036E-3</v>
      </c>
    </row>
    <row r="406" spans="2:5" ht="14.5" customHeight="1">
      <c r="B406" s="79" t="s">
        <v>244</v>
      </c>
      <c r="C406" s="62" t="s">
        <v>102</v>
      </c>
      <c r="D406" s="63">
        <v>1</v>
      </c>
      <c r="E406" s="64">
        <v>8.6948960960000005E-5</v>
      </c>
    </row>
    <row r="407" spans="2:5" ht="14.5" customHeight="1">
      <c r="B407" s="81"/>
      <c r="C407" s="62" t="s">
        <v>104</v>
      </c>
      <c r="D407" s="63">
        <v>3</v>
      </c>
      <c r="E407" s="64">
        <v>2.6084688287999997E-4</v>
      </c>
    </row>
    <row r="408" spans="2:5" ht="14.5" customHeight="1">
      <c r="B408" s="81"/>
      <c r="C408" s="62" t="s">
        <v>109</v>
      </c>
      <c r="D408" s="63">
        <v>1</v>
      </c>
      <c r="E408" s="64">
        <v>8.6948960960000005E-5</v>
      </c>
    </row>
    <row r="409" spans="2:5" ht="14.5" customHeight="1">
      <c r="B409" s="81"/>
      <c r="C409" s="62" t="s">
        <v>111</v>
      </c>
      <c r="D409" s="63">
        <v>2</v>
      </c>
      <c r="E409" s="64">
        <v>1.7389792192000001E-4</v>
      </c>
    </row>
    <row r="410" spans="2:5" ht="14.5" customHeight="1">
      <c r="B410" s="81"/>
      <c r="C410" s="62" t="s">
        <v>112</v>
      </c>
      <c r="D410" s="63">
        <v>1</v>
      </c>
      <c r="E410" s="64">
        <v>8.6948960960000005E-5</v>
      </c>
    </row>
    <row r="411" spans="2:5" ht="14.5" customHeight="1">
      <c r="B411" s="81"/>
      <c r="C411" s="62" t="s">
        <v>113</v>
      </c>
      <c r="D411" s="63">
        <v>1</v>
      </c>
      <c r="E411" s="64">
        <v>8.6948960960000005E-5</v>
      </c>
    </row>
    <row r="412" spans="2:5" ht="14.5" customHeight="1">
      <c r="B412" s="81"/>
      <c r="C412" s="62" t="s">
        <v>122</v>
      </c>
      <c r="D412" s="63">
        <v>1</v>
      </c>
      <c r="E412" s="64">
        <v>8.6948960960000005E-5</v>
      </c>
    </row>
    <row r="413" spans="2:5" ht="14.5" customHeight="1">
      <c r="B413" s="81"/>
      <c r="C413" s="62" t="s">
        <v>124</v>
      </c>
      <c r="D413" s="63">
        <v>1</v>
      </c>
      <c r="E413" s="64">
        <v>8.6948960960000005E-5</v>
      </c>
    </row>
    <row r="414" spans="2:5" ht="14.5" customHeight="1">
      <c r="B414" s="81"/>
      <c r="C414" s="62" t="s">
        <v>138</v>
      </c>
      <c r="D414" s="63">
        <v>21</v>
      </c>
      <c r="E414" s="64">
        <v>1.8259281801579999E-3</v>
      </c>
    </row>
    <row r="415" spans="2:5" ht="14.5" customHeight="1">
      <c r="B415" s="80"/>
      <c r="C415" s="36" t="s">
        <v>28</v>
      </c>
      <c r="D415" s="35">
        <v>32</v>
      </c>
      <c r="E415" s="34">
        <v>2.7823667507169999E-3</v>
      </c>
    </row>
    <row r="416" spans="2:5" ht="14.5" customHeight="1">
      <c r="B416" s="79" t="s">
        <v>245</v>
      </c>
      <c r="C416" s="62" t="s">
        <v>104</v>
      </c>
      <c r="D416" s="63">
        <v>2</v>
      </c>
      <c r="E416" s="64">
        <v>1.7389792192000001E-4</v>
      </c>
    </row>
    <row r="417" spans="2:5" ht="14.5" customHeight="1">
      <c r="B417" s="81"/>
      <c r="C417" s="62" t="s">
        <v>108</v>
      </c>
      <c r="D417" s="63">
        <v>1</v>
      </c>
      <c r="E417" s="64">
        <v>8.6948960960000005E-5</v>
      </c>
    </row>
    <row r="418" spans="2:5" ht="14.5" customHeight="1">
      <c r="B418" s="81"/>
      <c r="C418" s="62" t="s">
        <v>109</v>
      </c>
      <c r="D418" s="63">
        <v>1</v>
      </c>
      <c r="E418" s="64">
        <v>8.6948960960000005E-5</v>
      </c>
    </row>
    <row r="419" spans="2:5" ht="14.5" customHeight="1">
      <c r="B419" s="81"/>
      <c r="C419" s="62" t="s">
        <v>124</v>
      </c>
      <c r="D419" s="63">
        <v>1</v>
      </c>
      <c r="E419" s="64">
        <v>8.6948960960000005E-5</v>
      </c>
    </row>
    <row r="420" spans="2:5" ht="14.5" customHeight="1">
      <c r="B420" s="81"/>
      <c r="C420" s="62" t="s">
        <v>138</v>
      </c>
      <c r="D420" s="63">
        <v>9</v>
      </c>
      <c r="E420" s="64">
        <v>7.8254064863900001E-4</v>
      </c>
    </row>
    <row r="421" spans="2:5" ht="14.5" customHeight="1">
      <c r="B421" s="80"/>
      <c r="C421" s="36" t="s">
        <v>28</v>
      </c>
      <c r="D421" s="35">
        <v>14</v>
      </c>
      <c r="E421" s="34">
        <v>1.2172854534389999E-3</v>
      </c>
    </row>
    <row r="422" spans="2:5" ht="14.5" customHeight="1">
      <c r="B422" s="79" t="s">
        <v>246</v>
      </c>
      <c r="C422" s="62" t="s">
        <v>100</v>
      </c>
      <c r="D422" s="63">
        <v>1</v>
      </c>
      <c r="E422" s="64">
        <v>8.6948960960000005E-5</v>
      </c>
    </row>
    <row r="423" spans="2:5" ht="14.5" customHeight="1">
      <c r="B423" s="81"/>
      <c r="C423" s="62" t="s">
        <v>102</v>
      </c>
      <c r="D423" s="63">
        <v>2</v>
      </c>
      <c r="E423" s="64">
        <v>1.7389792192000001E-4</v>
      </c>
    </row>
    <row r="424" spans="2:5" ht="14.5" customHeight="1">
      <c r="B424" s="81"/>
      <c r="C424" s="62" t="s">
        <v>103</v>
      </c>
      <c r="D424" s="63">
        <v>2</v>
      </c>
      <c r="E424" s="64">
        <v>1.7389792192000001E-4</v>
      </c>
    </row>
    <row r="425" spans="2:5" ht="14.5" customHeight="1">
      <c r="B425" s="81"/>
      <c r="C425" s="62" t="s">
        <v>104</v>
      </c>
      <c r="D425" s="63">
        <v>13</v>
      </c>
      <c r="E425" s="64">
        <v>1.1303364924790001E-3</v>
      </c>
    </row>
    <row r="426" spans="2:5" ht="14.5" customHeight="1">
      <c r="B426" s="81"/>
      <c r="C426" s="62" t="s">
        <v>105</v>
      </c>
      <c r="D426" s="63">
        <v>4</v>
      </c>
      <c r="E426" s="64">
        <v>3.4779584384000002E-4</v>
      </c>
    </row>
    <row r="427" spans="2:5" ht="14.5" customHeight="1">
      <c r="B427" s="81"/>
      <c r="C427" s="62" t="s">
        <v>108</v>
      </c>
      <c r="D427" s="63">
        <v>4</v>
      </c>
      <c r="E427" s="64">
        <v>3.4779584384000002E-4</v>
      </c>
    </row>
    <row r="428" spans="2:5" ht="14.5" customHeight="1">
      <c r="B428" s="81"/>
      <c r="C428" s="62" t="s">
        <v>109</v>
      </c>
      <c r="D428" s="63">
        <v>4</v>
      </c>
      <c r="E428" s="64">
        <v>3.4779584384000002E-4</v>
      </c>
    </row>
    <row r="429" spans="2:5" ht="14.5" customHeight="1">
      <c r="B429" s="81"/>
      <c r="C429" s="62" t="s">
        <v>110</v>
      </c>
      <c r="D429" s="63">
        <v>1</v>
      </c>
      <c r="E429" s="64">
        <v>8.6948960960000005E-5</v>
      </c>
    </row>
    <row r="430" spans="2:5" ht="14.5" customHeight="1">
      <c r="B430" s="81"/>
      <c r="C430" s="62" t="s">
        <v>111</v>
      </c>
      <c r="D430" s="63">
        <v>12</v>
      </c>
      <c r="E430" s="64">
        <v>1.043387531519E-3</v>
      </c>
    </row>
    <row r="431" spans="2:5" ht="14.5" customHeight="1">
      <c r="B431" s="81"/>
      <c r="C431" s="62" t="s">
        <v>112</v>
      </c>
      <c r="D431" s="63">
        <v>2</v>
      </c>
      <c r="E431" s="64">
        <v>1.7389792192000001E-4</v>
      </c>
    </row>
    <row r="432" spans="2:5" ht="14.5" customHeight="1">
      <c r="B432" s="81"/>
      <c r="C432" s="62" t="s">
        <v>113</v>
      </c>
      <c r="D432" s="63">
        <v>1</v>
      </c>
      <c r="E432" s="64">
        <v>8.6948960960000005E-5</v>
      </c>
    </row>
    <row r="433" spans="2:5" ht="14.5" customHeight="1">
      <c r="B433" s="81"/>
      <c r="C433" s="62" t="s">
        <v>114</v>
      </c>
      <c r="D433" s="63">
        <v>4</v>
      </c>
      <c r="E433" s="64">
        <v>3.4779584384000002E-4</v>
      </c>
    </row>
    <row r="434" spans="2:5" ht="14.5" customHeight="1">
      <c r="B434" s="81"/>
      <c r="C434" s="62" t="s">
        <v>115</v>
      </c>
      <c r="D434" s="63">
        <v>2</v>
      </c>
      <c r="E434" s="64">
        <v>1.7389792192000001E-4</v>
      </c>
    </row>
    <row r="435" spans="2:5" ht="14.5" customHeight="1">
      <c r="B435" s="81"/>
      <c r="C435" s="62" t="s">
        <v>116</v>
      </c>
      <c r="D435" s="63">
        <v>3</v>
      </c>
      <c r="E435" s="64">
        <v>2.6084688287999997E-4</v>
      </c>
    </row>
    <row r="436" spans="2:5" ht="14.5" customHeight="1">
      <c r="B436" s="81"/>
      <c r="C436" s="62" t="s">
        <v>119</v>
      </c>
      <c r="D436" s="63">
        <v>1</v>
      </c>
      <c r="E436" s="64">
        <v>8.6948960960000005E-5</v>
      </c>
    </row>
    <row r="437" spans="2:5" ht="14.5" customHeight="1">
      <c r="B437" s="81"/>
      <c r="C437" s="62" t="s">
        <v>120</v>
      </c>
      <c r="D437" s="63">
        <v>5</v>
      </c>
      <c r="E437" s="64">
        <v>4.3474480480000001E-4</v>
      </c>
    </row>
    <row r="438" spans="2:5" ht="14.5" customHeight="1">
      <c r="B438" s="81"/>
      <c r="C438" s="62" t="s">
        <v>121</v>
      </c>
      <c r="D438" s="63">
        <v>3</v>
      </c>
      <c r="E438" s="64">
        <v>2.6084688287999997E-4</v>
      </c>
    </row>
    <row r="439" spans="2:5" ht="14.5" customHeight="1">
      <c r="B439" s="81"/>
      <c r="C439" s="62" t="s">
        <v>125</v>
      </c>
      <c r="D439" s="63">
        <v>1</v>
      </c>
      <c r="E439" s="64">
        <v>8.6948960960000005E-5</v>
      </c>
    </row>
    <row r="440" spans="2:5" ht="14.5" customHeight="1">
      <c r="B440" s="81"/>
      <c r="C440" s="62" t="s">
        <v>126</v>
      </c>
      <c r="D440" s="63">
        <v>1</v>
      </c>
      <c r="E440" s="64">
        <v>8.6948960960000005E-5</v>
      </c>
    </row>
    <row r="441" spans="2:5" ht="14.5" customHeight="1">
      <c r="B441" s="81"/>
      <c r="C441" s="62" t="s">
        <v>127</v>
      </c>
      <c r="D441" s="63">
        <v>1</v>
      </c>
      <c r="E441" s="64">
        <v>8.6948960960000005E-5</v>
      </c>
    </row>
    <row r="442" spans="2:5" ht="14.5" customHeight="1">
      <c r="B442" s="81"/>
      <c r="C442" s="62" t="s">
        <v>129</v>
      </c>
      <c r="D442" s="63">
        <v>3</v>
      </c>
      <c r="E442" s="64">
        <v>2.6084688287999997E-4</v>
      </c>
    </row>
    <row r="443" spans="2:5" ht="14.5" customHeight="1">
      <c r="B443" s="81"/>
      <c r="C443" s="62" t="s">
        <v>131</v>
      </c>
      <c r="D443" s="63">
        <v>1</v>
      </c>
      <c r="E443" s="64">
        <v>8.6948960960000005E-5</v>
      </c>
    </row>
    <row r="444" spans="2:5" ht="14.5" customHeight="1">
      <c r="B444" s="81"/>
      <c r="C444" s="62" t="s">
        <v>132</v>
      </c>
      <c r="D444" s="63">
        <v>7</v>
      </c>
      <c r="E444" s="64">
        <v>6.0864272671900003E-4</v>
      </c>
    </row>
    <row r="445" spans="2:5" ht="14.5" customHeight="1">
      <c r="B445" s="81"/>
      <c r="C445" s="62" t="s">
        <v>135</v>
      </c>
      <c r="D445" s="63">
        <v>2</v>
      </c>
      <c r="E445" s="64">
        <v>1.7389792192000001E-4</v>
      </c>
    </row>
    <row r="446" spans="2:5" ht="14.5" customHeight="1">
      <c r="B446" s="81"/>
      <c r="C446" s="62" t="s">
        <v>136</v>
      </c>
      <c r="D446" s="63">
        <v>1</v>
      </c>
      <c r="E446" s="64">
        <v>8.6948960960000005E-5</v>
      </c>
    </row>
    <row r="447" spans="2:5" ht="14.5" customHeight="1">
      <c r="B447" s="81"/>
      <c r="C447" s="62" t="s">
        <v>138</v>
      </c>
      <c r="D447" s="63">
        <v>145</v>
      </c>
      <c r="E447" s="64">
        <v>1.2607599339187999E-2</v>
      </c>
    </row>
    <row r="448" spans="2:5" ht="14.5" customHeight="1">
      <c r="B448" s="81"/>
      <c r="C448" s="62" t="s">
        <v>139</v>
      </c>
      <c r="D448" s="63">
        <v>2</v>
      </c>
      <c r="E448" s="64">
        <v>1.7389792192000001E-4</v>
      </c>
    </row>
    <row r="449" spans="2:5" ht="14.5" customHeight="1">
      <c r="B449" s="81"/>
      <c r="C449" s="62" t="s">
        <v>142</v>
      </c>
      <c r="D449" s="63">
        <v>6</v>
      </c>
      <c r="E449" s="64">
        <v>5.2169376575899999E-4</v>
      </c>
    </row>
    <row r="450" spans="2:5" ht="14.5" customHeight="1">
      <c r="B450" s="81"/>
      <c r="C450" s="62" t="s">
        <v>143</v>
      </c>
      <c r="D450" s="63">
        <v>1</v>
      </c>
      <c r="E450" s="64">
        <v>8.6948960960000005E-5</v>
      </c>
    </row>
    <row r="451" spans="2:5" ht="14.5" customHeight="1">
      <c r="B451" s="80"/>
      <c r="C451" s="36" t="s">
        <v>28</v>
      </c>
      <c r="D451" s="35">
        <v>235</v>
      </c>
      <c r="E451" s="34">
        <v>2.0433005825580001E-2</v>
      </c>
    </row>
    <row r="452" spans="2:5" ht="14.5" customHeight="1">
      <c r="B452" s="79" t="s">
        <v>247</v>
      </c>
      <c r="C452" s="62" t="s">
        <v>100</v>
      </c>
      <c r="D452" s="63">
        <v>5</v>
      </c>
      <c r="E452" s="64">
        <v>4.3474480480000001E-4</v>
      </c>
    </row>
    <row r="453" spans="2:5" ht="14.5" customHeight="1">
      <c r="B453" s="81"/>
      <c r="C453" s="62" t="s">
        <v>102</v>
      </c>
      <c r="D453" s="63">
        <v>4</v>
      </c>
      <c r="E453" s="64">
        <v>3.4779584384000002E-4</v>
      </c>
    </row>
    <row r="454" spans="2:5" ht="14.5" customHeight="1">
      <c r="B454" s="81"/>
      <c r="C454" s="62" t="s">
        <v>103</v>
      </c>
      <c r="D454" s="63">
        <v>4</v>
      </c>
      <c r="E454" s="64">
        <v>3.4779584384000002E-4</v>
      </c>
    </row>
    <row r="455" spans="2:5" ht="14.5" customHeight="1">
      <c r="B455" s="81"/>
      <c r="C455" s="62" t="s">
        <v>104</v>
      </c>
      <c r="D455" s="63">
        <v>28</v>
      </c>
      <c r="E455" s="64">
        <v>2.4345709068779998E-3</v>
      </c>
    </row>
    <row r="456" spans="2:5" ht="14.5" customHeight="1">
      <c r="B456" s="81"/>
      <c r="C456" s="62" t="s">
        <v>105</v>
      </c>
      <c r="D456" s="63">
        <v>6</v>
      </c>
      <c r="E456" s="64">
        <v>5.2169376575899999E-4</v>
      </c>
    </row>
    <row r="457" spans="2:5" ht="14.5" customHeight="1">
      <c r="B457" s="81"/>
      <c r="C457" s="62" t="s">
        <v>106</v>
      </c>
      <c r="D457" s="63">
        <v>3</v>
      </c>
      <c r="E457" s="64">
        <v>2.6084688287999997E-4</v>
      </c>
    </row>
    <row r="458" spans="2:5" ht="14.5" customHeight="1">
      <c r="B458" s="81"/>
      <c r="C458" s="62" t="s">
        <v>108</v>
      </c>
      <c r="D458" s="63">
        <v>10</v>
      </c>
      <c r="E458" s="64">
        <v>8.6948960959899995E-4</v>
      </c>
    </row>
    <row r="459" spans="2:5" ht="14.5" customHeight="1">
      <c r="B459" s="81"/>
      <c r="C459" s="62" t="s">
        <v>109</v>
      </c>
      <c r="D459" s="63">
        <v>6</v>
      </c>
      <c r="E459" s="64">
        <v>5.2169376575899999E-4</v>
      </c>
    </row>
    <row r="460" spans="2:5" ht="14.5" customHeight="1">
      <c r="B460" s="81"/>
      <c r="C460" s="62" t="s">
        <v>110</v>
      </c>
      <c r="D460" s="63">
        <v>2</v>
      </c>
      <c r="E460" s="64">
        <v>1.7389792192000001E-4</v>
      </c>
    </row>
    <row r="461" spans="2:5" ht="14.5" customHeight="1">
      <c r="B461" s="81"/>
      <c r="C461" s="62" t="s">
        <v>111</v>
      </c>
      <c r="D461" s="63">
        <v>26</v>
      </c>
      <c r="E461" s="64">
        <v>2.2606729849580002E-3</v>
      </c>
    </row>
    <row r="462" spans="2:5" ht="14.5" customHeight="1">
      <c r="B462" s="81"/>
      <c r="C462" s="62" t="s">
        <v>112</v>
      </c>
      <c r="D462" s="63">
        <v>8</v>
      </c>
      <c r="E462" s="64">
        <v>6.9559168767899997E-4</v>
      </c>
    </row>
    <row r="463" spans="2:5" ht="14.5" customHeight="1">
      <c r="B463" s="81"/>
      <c r="C463" s="62" t="s">
        <v>113</v>
      </c>
      <c r="D463" s="63">
        <v>1</v>
      </c>
      <c r="E463" s="64">
        <v>8.6948960960000005E-5</v>
      </c>
    </row>
    <row r="464" spans="2:5" ht="14.5" customHeight="1">
      <c r="B464" s="81"/>
      <c r="C464" s="62" t="s">
        <v>114</v>
      </c>
      <c r="D464" s="63">
        <v>13</v>
      </c>
      <c r="E464" s="64">
        <v>1.1303364924790001E-3</v>
      </c>
    </row>
    <row r="465" spans="2:5" ht="14.5" customHeight="1">
      <c r="B465" s="81"/>
      <c r="C465" s="62" t="s">
        <v>115</v>
      </c>
      <c r="D465" s="63">
        <v>1</v>
      </c>
      <c r="E465" s="64">
        <v>8.6948960960000005E-5</v>
      </c>
    </row>
    <row r="466" spans="2:5" ht="14.5" customHeight="1">
      <c r="B466" s="81"/>
      <c r="C466" s="62" t="s">
        <v>116</v>
      </c>
      <c r="D466" s="63">
        <v>4</v>
      </c>
      <c r="E466" s="64">
        <v>3.4779584384000002E-4</v>
      </c>
    </row>
    <row r="467" spans="2:5" ht="14.5" customHeight="1">
      <c r="B467" s="81"/>
      <c r="C467" s="62" t="s">
        <v>119</v>
      </c>
      <c r="D467" s="63">
        <v>2</v>
      </c>
      <c r="E467" s="64">
        <v>1.7389792192000001E-4</v>
      </c>
    </row>
    <row r="468" spans="2:5" ht="14.5" customHeight="1">
      <c r="B468" s="81"/>
      <c r="C468" s="62" t="s">
        <v>120</v>
      </c>
      <c r="D468" s="63">
        <v>6</v>
      </c>
      <c r="E468" s="64">
        <v>5.2169376575899999E-4</v>
      </c>
    </row>
    <row r="469" spans="2:5" ht="14.5" customHeight="1">
      <c r="B469" s="81"/>
      <c r="C469" s="62" t="s">
        <v>121</v>
      </c>
      <c r="D469" s="63">
        <v>1</v>
      </c>
      <c r="E469" s="64">
        <v>8.6948960960000005E-5</v>
      </c>
    </row>
    <row r="470" spans="2:5" ht="14.5" customHeight="1">
      <c r="B470" s="81"/>
      <c r="C470" s="62" t="s">
        <v>122</v>
      </c>
      <c r="D470" s="63">
        <v>4</v>
      </c>
      <c r="E470" s="64">
        <v>3.4779584384000002E-4</v>
      </c>
    </row>
    <row r="471" spans="2:5" ht="14.5" customHeight="1">
      <c r="B471" s="81"/>
      <c r="C471" s="62" t="s">
        <v>124</v>
      </c>
      <c r="D471" s="63">
        <v>4</v>
      </c>
      <c r="E471" s="64">
        <v>3.4779584384000002E-4</v>
      </c>
    </row>
    <row r="472" spans="2:5" ht="14.5" customHeight="1">
      <c r="B472" s="81"/>
      <c r="C472" s="62" t="s">
        <v>125</v>
      </c>
      <c r="D472" s="63">
        <v>7</v>
      </c>
      <c r="E472" s="64">
        <v>6.0864272671900003E-4</v>
      </c>
    </row>
    <row r="473" spans="2:5" ht="14.5" customHeight="1">
      <c r="B473" s="81"/>
      <c r="C473" s="62" t="s">
        <v>127</v>
      </c>
      <c r="D473" s="63">
        <v>8</v>
      </c>
      <c r="E473" s="64">
        <v>6.9559168767899997E-4</v>
      </c>
    </row>
    <row r="474" spans="2:5" ht="14.5" customHeight="1">
      <c r="B474" s="81"/>
      <c r="C474" s="62" t="s">
        <v>128</v>
      </c>
      <c r="D474" s="63">
        <v>5</v>
      </c>
      <c r="E474" s="64">
        <v>4.3474480480000001E-4</v>
      </c>
    </row>
    <row r="475" spans="2:5" ht="14.5" customHeight="1">
      <c r="B475" s="81"/>
      <c r="C475" s="62" t="s">
        <v>129</v>
      </c>
      <c r="D475" s="63">
        <v>4</v>
      </c>
      <c r="E475" s="64">
        <v>3.4779584384000002E-4</v>
      </c>
    </row>
    <row r="476" spans="2:5" ht="14.5" customHeight="1">
      <c r="B476" s="81"/>
      <c r="C476" s="62" t="s">
        <v>131</v>
      </c>
      <c r="D476" s="63">
        <v>3</v>
      </c>
      <c r="E476" s="64">
        <v>2.6084688287999997E-4</v>
      </c>
    </row>
    <row r="477" spans="2:5" ht="14.5" customHeight="1">
      <c r="B477" s="81"/>
      <c r="C477" s="62" t="s">
        <v>132</v>
      </c>
      <c r="D477" s="63">
        <v>23</v>
      </c>
      <c r="E477" s="64">
        <v>1.9998261020779998E-3</v>
      </c>
    </row>
    <row r="478" spans="2:5" ht="14.5" customHeight="1">
      <c r="B478" s="81"/>
      <c r="C478" s="62" t="s">
        <v>134</v>
      </c>
      <c r="D478" s="63">
        <v>1</v>
      </c>
      <c r="E478" s="64">
        <v>8.6948960960000005E-5</v>
      </c>
    </row>
    <row r="479" spans="2:5" ht="14.5" customHeight="1">
      <c r="B479" s="81"/>
      <c r="C479" s="62" t="s">
        <v>135</v>
      </c>
      <c r="D479" s="63">
        <v>3</v>
      </c>
      <c r="E479" s="64">
        <v>2.6084688287999997E-4</v>
      </c>
    </row>
    <row r="480" spans="2:5" ht="14.5" customHeight="1">
      <c r="B480" s="81"/>
      <c r="C480" s="62" t="s">
        <v>136</v>
      </c>
      <c r="D480" s="63">
        <v>1</v>
      </c>
      <c r="E480" s="64">
        <v>8.6948960960000005E-5</v>
      </c>
    </row>
    <row r="481" spans="2:5" ht="14.5" customHeight="1">
      <c r="B481" s="81"/>
      <c r="C481" s="62" t="s">
        <v>137</v>
      </c>
      <c r="D481" s="63">
        <v>4</v>
      </c>
      <c r="E481" s="64">
        <v>3.4779584384000002E-4</v>
      </c>
    </row>
    <row r="482" spans="2:5" ht="14.5" customHeight="1">
      <c r="B482" s="81"/>
      <c r="C482" s="62" t="s">
        <v>138</v>
      </c>
      <c r="D482" s="63">
        <v>611</v>
      </c>
      <c r="E482" s="64">
        <v>5.3125815146508999E-2</v>
      </c>
    </row>
    <row r="483" spans="2:5" ht="14.5" customHeight="1">
      <c r="B483" s="81"/>
      <c r="C483" s="62" t="s">
        <v>139</v>
      </c>
      <c r="D483" s="63">
        <v>2</v>
      </c>
      <c r="E483" s="64">
        <v>1.7389792192000001E-4</v>
      </c>
    </row>
    <row r="484" spans="2:5" ht="14.5" customHeight="1">
      <c r="B484" s="81"/>
      <c r="C484" s="62" t="s">
        <v>141</v>
      </c>
      <c r="D484" s="63">
        <v>5</v>
      </c>
      <c r="E484" s="64">
        <v>4.3474480480000001E-4</v>
      </c>
    </row>
    <row r="485" spans="2:5" ht="14.5" customHeight="1">
      <c r="B485" s="81"/>
      <c r="C485" s="62" t="s">
        <v>142</v>
      </c>
      <c r="D485" s="63">
        <v>7</v>
      </c>
      <c r="E485" s="64">
        <v>6.0864272671900003E-4</v>
      </c>
    </row>
    <row r="486" spans="2:5" ht="14.5" customHeight="1">
      <c r="B486" s="80"/>
      <c r="C486" s="36" t="s">
        <v>28</v>
      </c>
      <c r="D486" s="35">
        <v>822</v>
      </c>
      <c r="E486" s="34">
        <v>7.1472045909050999E-2</v>
      </c>
    </row>
    <row r="487" spans="2:5" ht="14.5" customHeight="1">
      <c r="B487" s="79" t="s">
        <v>248</v>
      </c>
      <c r="C487" s="62" t="s">
        <v>111</v>
      </c>
      <c r="D487" s="63">
        <v>1</v>
      </c>
      <c r="E487" s="64">
        <v>8.6948960960000005E-5</v>
      </c>
    </row>
    <row r="488" spans="2:5" ht="14.5" customHeight="1">
      <c r="B488" s="81"/>
      <c r="C488" s="62" t="s">
        <v>138</v>
      </c>
      <c r="D488" s="63">
        <v>5</v>
      </c>
      <c r="E488" s="64">
        <v>4.3474480480000001E-4</v>
      </c>
    </row>
    <row r="489" spans="2:5" ht="14.5" customHeight="1">
      <c r="B489" s="80"/>
      <c r="C489" s="36" t="s">
        <v>28</v>
      </c>
      <c r="D489" s="35">
        <v>6</v>
      </c>
      <c r="E489" s="34">
        <v>5.2169376575899999E-4</v>
      </c>
    </row>
    <row r="490" spans="2:5" ht="14.5" customHeight="1">
      <c r="B490" s="79" t="s">
        <v>249</v>
      </c>
      <c r="C490" s="62" t="s">
        <v>102</v>
      </c>
      <c r="D490" s="63">
        <v>2</v>
      </c>
      <c r="E490" s="64">
        <v>1.7389792192000001E-4</v>
      </c>
    </row>
    <row r="491" spans="2:5" ht="14.5" customHeight="1">
      <c r="B491" s="81"/>
      <c r="C491" s="62" t="s">
        <v>104</v>
      </c>
      <c r="D491" s="63">
        <v>2</v>
      </c>
      <c r="E491" s="64">
        <v>1.7389792192000001E-4</v>
      </c>
    </row>
    <row r="492" spans="2:5" ht="14.5" customHeight="1">
      <c r="B492" s="81"/>
      <c r="C492" s="62" t="s">
        <v>111</v>
      </c>
      <c r="D492" s="63">
        <v>1</v>
      </c>
      <c r="E492" s="64">
        <v>8.6948960960000005E-5</v>
      </c>
    </row>
    <row r="493" spans="2:5" ht="14.5" customHeight="1">
      <c r="B493" s="81"/>
      <c r="C493" s="62" t="s">
        <v>126</v>
      </c>
      <c r="D493" s="63">
        <v>1</v>
      </c>
      <c r="E493" s="64">
        <v>8.6948960960000005E-5</v>
      </c>
    </row>
    <row r="494" spans="2:5" ht="14.5" customHeight="1">
      <c r="B494" s="81"/>
      <c r="C494" s="62" t="s">
        <v>134</v>
      </c>
      <c r="D494" s="63">
        <v>1</v>
      </c>
      <c r="E494" s="64">
        <v>8.6948960960000005E-5</v>
      </c>
    </row>
    <row r="495" spans="2:5" ht="14.5" customHeight="1">
      <c r="B495" s="81"/>
      <c r="C495" s="62" t="s">
        <v>138</v>
      </c>
      <c r="D495" s="63">
        <v>22</v>
      </c>
      <c r="E495" s="64">
        <v>1.912877141118E-3</v>
      </c>
    </row>
    <row r="496" spans="2:5" ht="14.5" customHeight="1">
      <c r="B496" s="80"/>
      <c r="C496" s="36" t="s">
        <v>28</v>
      </c>
      <c r="D496" s="35">
        <v>29</v>
      </c>
      <c r="E496" s="34">
        <v>2.5215198678380001E-3</v>
      </c>
    </row>
    <row r="497" spans="2:5" ht="14.5" customHeight="1">
      <c r="B497" s="79" t="s">
        <v>250</v>
      </c>
      <c r="C497" s="62" t="s">
        <v>104</v>
      </c>
      <c r="D497" s="63">
        <v>1</v>
      </c>
      <c r="E497" s="64">
        <v>8.6948960960000005E-5</v>
      </c>
    </row>
    <row r="498" spans="2:5" ht="14.5" customHeight="1">
      <c r="B498" s="86"/>
      <c r="C498" s="62" t="s">
        <v>108</v>
      </c>
      <c r="D498" s="63">
        <v>1</v>
      </c>
      <c r="E498" s="64">
        <v>8.6948960960000005E-5</v>
      </c>
    </row>
    <row r="499" spans="2:5" ht="14.5" customHeight="1">
      <c r="B499" s="86"/>
      <c r="C499" s="62" t="s">
        <v>128</v>
      </c>
      <c r="D499" s="63">
        <v>1</v>
      </c>
      <c r="E499" s="64">
        <v>8.6948960960000005E-5</v>
      </c>
    </row>
    <row r="500" spans="2:5" ht="14.5" customHeight="1">
      <c r="B500" s="86"/>
      <c r="C500" s="62" t="s">
        <v>138</v>
      </c>
      <c r="D500" s="63">
        <v>4</v>
      </c>
      <c r="E500" s="64">
        <v>3.4779584384000002E-4</v>
      </c>
    </row>
    <row r="501" spans="2:5" ht="14.5" customHeight="1">
      <c r="B501" s="87"/>
      <c r="C501" s="36" t="s">
        <v>28</v>
      </c>
      <c r="D501" s="35">
        <v>7</v>
      </c>
      <c r="E501" s="34">
        <v>6.0864272671900003E-4</v>
      </c>
    </row>
    <row r="502" spans="2:5" ht="14.5" customHeight="1">
      <c r="B502" s="77" t="s">
        <v>28</v>
      </c>
      <c r="C502" s="78"/>
      <c r="D502" s="60">
        <v>11501</v>
      </c>
      <c r="E502" s="61">
        <v>1</v>
      </c>
    </row>
    <row r="503" spans="2:5" ht="14.5" customHeight="1"/>
    <row r="504" spans="2:5" ht="14.5" customHeight="1">
      <c r="B504" s="15" t="s">
        <v>97</v>
      </c>
    </row>
    <row r="505" spans="2:5" ht="14.5" customHeight="1">
      <c r="B505" s="17" t="s">
        <v>17</v>
      </c>
    </row>
    <row r="506" spans="2:5" ht="14.5" customHeight="1">
      <c r="B506" s="16" t="s">
        <v>98</v>
      </c>
    </row>
    <row r="507" spans="2:5" ht="14.5" customHeight="1">
      <c r="B507" s="15" t="s">
        <v>16</v>
      </c>
    </row>
    <row r="508" spans="2:5" ht="14.5" customHeight="1">
      <c r="B508" s="15" t="s">
        <v>99</v>
      </c>
    </row>
  </sheetData>
  <mergeCells count="26">
    <mergeCell ref="B234:B279"/>
    <mergeCell ref="B280:B306"/>
    <mergeCell ref="B307:B340"/>
    <mergeCell ref="B341:B381"/>
    <mergeCell ref="B7:E8"/>
    <mergeCell ref="B175:B203"/>
    <mergeCell ref="B68:B89"/>
    <mergeCell ref="B90:B121"/>
    <mergeCell ref="B122:B156"/>
    <mergeCell ref="B157:B174"/>
    <mergeCell ref="B204:B233"/>
    <mergeCell ref="B10:B24"/>
    <mergeCell ref="B25:B31"/>
    <mergeCell ref="B32:B39"/>
    <mergeCell ref="B40:B54"/>
    <mergeCell ref="B55:B67"/>
    <mergeCell ref="B382:B393"/>
    <mergeCell ref="B394:B405"/>
    <mergeCell ref="B406:B415"/>
    <mergeCell ref="B416:B421"/>
    <mergeCell ref="B422:B451"/>
    <mergeCell ref="B452:B486"/>
    <mergeCell ref="B487:B489"/>
    <mergeCell ref="B490:B496"/>
    <mergeCell ref="B497:B501"/>
    <mergeCell ref="B502:C50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715"/>
  <sheetViews>
    <sheetView showGridLines="0" view="pageBreakPreview" topLeftCell="A692" zoomScale="85" zoomScaleNormal="100" zoomScaleSheetLayoutView="85" workbookViewId="0">
      <selection activeCell="E17" sqref="E17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8.179687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85"/>
      <c r="C7" s="85"/>
      <c r="D7" s="85"/>
      <c r="E7" s="85"/>
    </row>
    <row r="8" spans="1:5" s="41" customFormat="1" ht="33" customHeight="1">
      <c r="A8" s="42"/>
      <c r="B8" s="85"/>
      <c r="C8" s="85"/>
      <c r="D8" s="85"/>
      <c r="E8" s="85"/>
    </row>
    <row r="9" spans="1:5" s="25" customFormat="1" ht="40.5" customHeight="1">
      <c r="B9" s="38" t="s">
        <v>21</v>
      </c>
      <c r="C9" s="40" t="s">
        <v>26</v>
      </c>
      <c r="D9" s="39" t="s">
        <v>19</v>
      </c>
      <c r="E9" s="38" t="s">
        <v>18</v>
      </c>
    </row>
    <row r="10" spans="1:5" ht="14.5" customHeight="1">
      <c r="B10" s="79" t="s">
        <v>63</v>
      </c>
      <c r="C10" s="62" t="s">
        <v>229</v>
      </c>
      <c r="D10" s="63">
        <v>1</v>
      </c>
      <c r="E10" s="64">
        <v>8.6948960960000005E-5</v>
      </c>
    </row>
    <row r="11" spans="1:5" ht="14.5" customHeight="1">
      <c r="B11" s="81"/>
      <c r="C11" s="62" t="s">
        <v>230</v>
      </c>
      <c r="D11" s="63">
        <v>1</v>
      </c>
      <c r="E11" s="64">
        <v>8.6948960960000005E-5</v>
      </c>
    </row>
    <row r="12" spans="1:5" ht="14.5" customHeight="1">
      <c r="B12" s="81"/>
      <c r="C12" s="62" t="s">
        <v>232</v>
      </c>
      <c r="D12" s="63">
        <v>1</v>
      </c>
      <c r="E12" s="64">
        <v>8.6948960960000005E-5</v>
      </c>
    </row>
    <row r="13" spans="1:5" ht="14.5" customHeight="1">
      <c r="B13" s="81"/>
      <c r="C13" s="62" t="s">
        <v>233</v>
      </c>
      <c r="D13" s="63">
        <v>3</v>
      </c>
      <c r="E13" s="64">
        <v>2.6084688287999997E-4</v>
      </c>
    </row>
    <row r="14" spans="1:5" ht="14.5" customHeight="1">
      <c r="B14" s="81"/>
      <c r="C14" s="62" t="s">
        <v>234</v>
      </c>
      <c r="D14" s="63">
        <v>15</v>
      </c>
      <c r="E14" s="64">
        <v>1.304234414399E-3</v>
      </c>
    </row>
    <row r="15" spans="1:5" ht="14.5" customHeight="1">
      <c r="B15" s="81"/>
      <c r="C15" s="62" t="s">
        <v>236</v>
      </c>
      <c r="D15" s="63">
        <v>2</v>
      </c>
      <c r="E15" s="64">
        <v>1.7389792192000001E-4</v>
      </c>
    </row>
    <row r="16" spans="1:5" ht="14.5" customHeight="1">
      <c r="B16" s="81"/>
      <c r="C16" s="62" t="s">
        <v>237</v>
      </c>
      <c r="D16" s="63">
        <v>3</v>
      </c>
      <c r="E16" s="64">
        <v>2.6084688287999997E-4</v>
      </c>
    </row>
    <row r="17" spans="2:5" ht="14.5" customHeight="1">
      <c r="B17" s="81"/>
      <c r="C17" s="62" t="s">
        <v>238</v>
      </c>
      <c r="D17" s="63">
        <v>45</v>
      </c>
      <c r="E17" s="64">
        <v>3.9127032431959998E-3</v>
      </c>
    </row>
    <row r="18" spans="2:5" ht="14.5" customHeight="1">
      <c r="B18" s="81"/>
      <c r="C18" s="62" t="s">
        <v>239</v>
      </c>
      <c r="D18" s="63">
        <v>3</v>
      </c>
      <c r="E18" s="64">
        <v>2.6084688287999997E-4</v>
      </c>
    </row>
    <row r="19" spans="2:5" ht="14.5" customHeight="1">
      <c r="B19" s="81"/>
      <c r="C19" s="62" t="s">
        <v>240</v>
      </c>
      <c r="D19" s="63">
        <v>10</v>
      </c>
      <c r="E19" s="64">
        <v>8.6948960959899995E-4</v>
      </c>
    </row>
    <row r="20" spans="2:5" ht="14.5" customHeight="1">
      <c r="B20" s="81"/>
      <c r="C20" s="62" t="s">
        <v>241</v>
      </c>
      <c r="D20" s="63">
        <v>35</v>
      </c>
      <c r="E20" s="64">
        <v>3.0432136335969999E-3</v>
      </c>
    </row>
    <row r="21" spans="2:5" ht="14.5" customHeight="1">
      <c r="B21" s="81"/>
      <c r="C21" s="62" t="s">
        <v>246</v>
      </c>
      <c r="D21" s="63">
        <v>3</v>
      </c>
      <c r="E21" s="64">
        <v>2.6084688287999997E-4</v>
      </c>
    </row>
    <row r="22" spans="2:5" ht="14.5" customHeight="1">
      <c r="B22" s="81"/>
      <c r="C22" s="62" t="s">
        <v>247</v>
      </c>
      <c r="D22" s="63">
        <v>7</v>
      </c>
      <c r="E22" s="64">
        <v>6.0864272671900003E-4</v>
      </c>
    </row>
    <row r="23" spans="2:5" ht="14.5" customHeight="1">
      <c r="B23" s="80"/>
      <c r="C23" s="36" t="s">
        <v>28</v>
      </c>
      <c r="D23" s="35">
        <v>129</v>
      </c>
      <c r="E23" s="34">
        <v>1.1216415963829E-2</v>
      </c>
    </row>
    <row r="24" spans="2:5" ht="14.5" customHeight="1">
      <c r="B24" s="79" t="s">
        <v>60</v>
      </c>
      <c r="C24" s="62" t="s">
        <v>230</v>
      </c>
      <c r="D24" s="63">
        <v>1</v>
      </c>
      <c r="E24" s="64">
        <v>8.6948960960000005E-5</v>
      </c>
    </row>
    <row r="25" spans="2:5" ht="14.5" customHeight="1">
      <c r="B25" s="81"/>
      <c r="C25" s="62" t="s">
        <v>231</v>
      </c>
      <c r="D25" s="63">
        <v>2</v>
      </c>
      <c r="E25" s="64">
        <v>1.7389792192000001E-4</v>
      </c>
    </row>
    <row r="26" spans="2:5" ht="14.5" customHeight="1">
      <c r="B26" s="81"/>
      <c r="C26" s="62" t="s">
        <v>232</v>
      </c>
      <c r="D26" s="63">
        <v>1</v>
      </c>
      <c r="E26" s="64">
        <v>8.6948960960000005E-5</v>
      </c>
    </row>
    <row r="27" spans="2:5" ht="14.5" customHeight="1">
      <c r="B27" s="81"/>
      <c r="C27" s="62" t="s">
        <v>233</v>
      </c>
      <c r="D27" s="63">
        <v>7</v>
      </c>
      <c r="E27" s="64">
        <v>6.0864272671900003E-4</v>
      </c>
    </row>
    <row r="28" spans="2:5" ht="14.5" customHeight="1">
      <c r="B28" s="81"/>
      <c r="C28" s="62" t="s">
        <v>234</v>
      </c>
      <c r="D28" s="63">
        <v>11</v>
      </c>
      <c r="E28" s="64">
        <v>9.56438570559E-4</v>
      </c>
    </row>
    <row r="29" spans="2:5" ht="14.5" customHeight="1">
      <c r="B29" s="81"/>
      <c r="C29" s="62" t="s">
        <v>235</v>
      </c>
      <c r="D29" s="63">
        <v>2</v>
      </c>
      <c r="E29" s="64">
        <v>1.7389792192000001E-4</v>
      </c>
    </row>
    <row r="30" spans="2:5" ht="14.5" customHeight="1">
      <c r="B30" s="81"/>
      <c r="C30" s="62" t="s">
        <v>236</v>
      </c>
      <c r="D30" s="63">
        <v>3</v>
      </c>
      <c r="E30" s="64">
        <v>2.6084688287999997E-4</v>
      </c>
    </row>
    <row r="31" spans="2:5" ht="14.5" customHeight="1">
      <c r="B31" s="81"/>
      <c r="C31" s="62" t="s">
        <v>237</v>
      </c>
      <c r="D31" s="63">
        <v>5</v>
      </c>
      <c r="E31" s="64">
        <v>4.3474480480000001E-4</v>
      </c>
    </row>
    <row r="32" spans="2:5" ht="14.5" customHeight="1">
      <c r="B32" s="81"/>
      <c r="C32" s="62" t="s">
        <v>238</v>
      </c>
      <c r="D32" s="63">
        <v>66</v>
      </c>
      <c r="E32" s="64">
        <v>5.7386314233540004E-3</v>
      </c>
    </row>
    <row r="33" spans="2:5" ht="14.5" customHeight="1">
      <c r="B33" s="81"/>
      <c r="C33" s="62" t="s">
        <v>239</v>
      </c>
      <c r="D33" s="63">
        <v>9</v>
      </c>
      <c r="E33" s="64">
        <v>7.8254064863900001E-4</v>
      </c>
    </row>
    <row r="34" spans="2:5" ht="14.5" customHeight="1">
      <c r="B34" s="81"/>
      <c r="C34" s="62" t="s">
        <v>240</v>
      </c>
      <c r="D34" s="63">
        <v>8</v>
      </c>
      <c r="E34" s="64">
        <v>6.9559168767899997E-4</v>
      </c>
    </row>
    <row r="35" spans="2:5" ht="14.5" customHeight="1">
      <c r="B35" s="81"/>
      <c r="C35" s="62" t="s">
        <v>241</v>
      </c>
      <c r="D35" s="63">
        <v>50</v>
      </c>
      <c r="E35" s="64">
        <v>4.3474480479959998E-3</v>
      </c>
    </row>
    <row r="36" spans="2:5" ht="14.5" customHeight="1">
      <c r="B36" s="81"/>
      <c r="C36" s="62" t="s">
        <v>243</v>
      </c>
      <c r="D36" s="63">
        <v>1</v>
      </c>
      <c r="E36" s="64">
        <v>8.6948960960000005E-5</v>
      </c>
    </row>
    <row r="37" spans="2:5" ht="14.5" customHeight="1">
      <c r="B37" s="81"/>
      <c r="C37" s="62" t="s">
        <v>244</v>
      </c>
      <c r="D37" s="63">
        <v>1</v>
      </c>
      <c r="E37" s="64">
        <v>8.6948960960000005E-5</v>
      </c>
    </row>
    <row r="38" spans="2:5" ht="14.5" customHeight="1">
      <c r="B38" s="81"/>
      <c r="C38" s="62" t="s">
        <v>246</v>
      </c>
      <c r="D38" s="63">
        <v>5</v>
      </c>
      <c r="E38" s="64">
        <v>4.3474480480000001E-4</v>
      </c>
    </row>
    <row r="39" spans="2:5" ht="14.5" customHeight="1">
      <c r="B39" s="81"/>
      <c r="C39" s="62" t="s">
        <v>247</v>
      </c>
      <c r="D39" s="63">
        <v>11</v>
      </c>
      <c r="E39" s="64">
        <v>9.56438570559E-4</v>
      </c>
    </row>
    <row r="40" spans="2:5" ht="14.5" customHeight="1">
      <c r="B40" s="80"/>
      <c r="C40" s="36" t="s">
        <v>28</v>
      </c>
      <c r="D40" s="35">
        <v>183</v>
      </c>
      <c r="E40" s="34">
        <v>1.5911659855664999E-2</v>
      </c>
    </row>
    <row r="41" spans="2:5" ht="14.5" customHeight="1">
      <c r="B41" s="79" t="s">
        <v>51</v>
      </c>
      <c r="C41" s="62" t="s">
        <v>227</v>
      </c>
      <c r="D41" s="63">
        <v>6</v>
      </c>
      <c r="E41" s="64">
        <v>5.2169376575899999E-4</v>
      </c>
    </row>
    <row r="42" spans="2:5" ht="14.5" customHeight="1">
      <c r="B42" s="81"/>
      <c r="C42" s="62" t="s">
        <v>228</v>
      </c>
      <c r="D42" s="63">
        <v>4</v>
      </c>
      <c r="E42" s="64">
        <v>3.4779584384000002E-4</v>
      </c>
    </row>
    <row r="43" spans="2:5" ht="14.5" customHeight="1">
      <c r="B43" s="81"/>
      <c r="C43" s="62" t="s">
        <v>229</v>
      </c>
      <c r="D43" s="63">
        <v>2</v>
      </c>
      <c r="E43" s="64">
        <v>1.7389792192000001E-4</v>
      </c>
    </row>
    <row r="44" spans="2:5" ht="14.5" customHeight="1">
      <c r="B44" s="81"/>
      <c r="C44" s="62" t="s">
        <v>230</v>
      </c>
      <c r="D44" s="63">
        <v>3</v>
      </c>
      <c r="E44" s="64">
        <v>2.6084688287999997E-4</v>
      </c>
    </row>
    <row r="45" spans="2:5" ht="14.5" customHeight="1">
      <c r="B45" s="81"/>
      <c r="C45" s="62" t="s">
        <v>231</v>
      </c>
      <c r="D45" s="63">
        <v>3</v>
      </c>
      <c r="E45" s="64">
        <v>2.6084688287999997E-4</v>
      </c>
    </row>
    <row r="46" spans="2:5" ht="14.5" customHeight="1">
      <c r="B46" s="81"/>
      <c r="C46" s="62" t="s">
        <v>232</v>
      </c>
      <c r="D46" s="63">
        <v>4</v>
      </c>
      <c r="E46" s="64">
        <v>3.4779584384000002E-4</v>
      </c>
    </row>
    <row r="47" spans="2:5" ht="14.5" customHeight="1">
      <c r="B47" s="81"/>
      <c r="C47" s="62" t="s">
        <v>233</v>
      </c>
      <c r="D47" s="63">
        <v>42</v>
      </c>
      <c r="E47" s="64">
        <v>3.6518563603159999E-3</v>
      </c>
    </row>
    <row r="48" spans="2:5" ht="14.5" customHeight="1">
      <c r="B48" s="81"/>
      <c r="C48" s="62" t="s">
        <v>234</v>
      </c>
      <c r="D48" s="63">
        <v>55</v>
      </c>
      <c r="E48" s="64">
        <v>4.7821928527949998E-3</v>
      </c>
    </row>
    <row r="49" spans="2:5" ht="14.5" customHeight="1">
      <c r="B49" s="81"/>
      <c r="C49" s="62" t="s">
        <v>235</v>
      </c>
      <c r="D49" s="63">
        <v>6</v>
      </c>
      <c r="E49" s="64">
        <v>5.2169376575899999E-4</v>
      </c>
    </row>
    <row r="50" spans="2:5" ht="14.5" customHeight="1">
      <c r="B50" s="81"/>
      <c r="C50" s="62" t="s">
        <v>236</v>
      </c>
      <c r="D50" s="63">
        <v>15</v>
      </c>
      <c r="E50" s="64">
        <v>1.304234414399E-3</v>
      </c>
    </row>
    <row r="51" spans="2:5" ht="14.5" customHeight="1">
      <c r="B51" s="81"/>
      <c r="C51" s="62" t="s">
        <v>237</v>
      </c>
      <c r="D51" s="63">
        <v>35</v>
      </c>
      <c r="E51" s="64">
        <v>3.0432136335969999E-3</v>
      </c>
    </row>
    <row r="52" spans="2:5" ht="14.5" customHeight="1">
      <c r="B52" s="81"/>
      <c r="C52" s="62" t="s">
        <v>238</v>
      </c>
      <c r="D52" s="63">
        <v>207</v>
      </c>
      <c r="E52" s="64">
        <v>1.7998434918703E-2</v>
      </c>
    </row>
    <row r="53" spans="2:5" ht="14.5" customHeight="1">
      <c r="B53" s="81"/>
      <c r="C53" s="62" t="s">
        <v>239</v>
      </c>
      <c r="D53" s="63">
        <v>12</v>
      </c>
      <c r="E53" s="64">
        <v>1.043387531519E-3</v>
      </c>
    </row>
    <row r="54" spans="2:5" ht="14.5" customHeight="1">
      <c r="B54" s="81"/>
      <c r="C54" s="62" t="s">
        <v>240</v>
      </c>
      <c r="D54" s="63">
        <v>46</v>
      </c>
      <c r="E54" s="64">
        <v>3.9996522041559996E-3</v>
      </c>
    </row>
    <row r="55" spans="2:5" ht="14.5" customHeight="1">
      <c r="B55" s="81"/>
      <c r="C55" s="62" t="s">
        <v>241</v>
      </c>
      <c r="D55" s="63">
        <v>173</v>
      </c>
      <c r="E55" s="64">
        <v>1.5042170246066E-2</v>
      </c>
    </row>
    <row r="56" spans="2:5" ht="14.5" customHeight="1">
      <c r="B56" s="81"/>
      <c r="C56" s="62" t="s">
        <v>242</v>
      </c>
      <c r="D56" s="63">
        <v>2</v>
      </c>
      <c r="E56" s="64">
        <v>1.7389792192000001E-4</v>
      </c>
    </row>
    <row r="57" spans="2:5" ht="14.5" customHeight="1">
      <c r="B57" s="81"/>
      <c r="C57" s="62" t="s">
        <v>243</v>
      </c>
      <c r="D57" s="63">
        <v>4</v>
      </c>
      <c r="E57" s="64">
        <v>3.4779584384000002E-4</v>
      </c>
    </row>
    <row r="58" spans="2:5" ht="14.5" customHeight="1">
      <c r="B58" s="81"/>
      <c r="C58" s="62" t="s">
        <v>244</v>
      </c>
      <c r="D58" s="63">
        <v>3</v>
      </c>
      <c r="E58" s="64">
        <v>2.6084688287999997E-4</v>
      </c>
    </row>
    <row r="59" spans="2:5" ht="14.5" customHeight="1">
      <c r="B59" s="81"/>
      <c r="C59" s="62" t="s">
        <v>246</v>
      </c>
      <c r="D59" s="63">
        <v>13</v>
      </c>
      <c r="E59" s="64">
        <v>1.1303364924790001E-3</v>
      </c>
    </row>
    <row r="60" spans="2:5" ht="14.5" customHeight="1">
      <c r="B60" s="81"/>
      <c r="C60" s="62" t="s">
        <v>247</v>
      </c>
      <c r="D60" s="63">
        <v>47</v>
      </c>
      <c r="E60" s="64">
        <v>4.0866011651160003E-3</v>
      </c>
    </row>
    <row r="61" spans="2:5" ht="14.5" customHeight="1">
      <c r="B61" s="81"/>
      <c r="C61" s="62" t="s">
        <v>249</v>
      </c>
      <c r="D61" s="63">
        <v>2</v>
      </c>
      <c r="E61" s="64">
        <v>1.7389792192000001E-4</v>
      </c>
    </row>
    <row r="62" spans="2:5" ht="14.5" customHeight="1">
      <c r="B62" s="80"/>
      <c r="C62" s="36" t="s">
        <v>28</v>
      </c>
      <c r="D62" s="35">
        <v>684</v>
      </c>
      <c r="E62" s="34">
        <v>5.9473089296583001E-2</v>
      </c>
    </row>
    <row r="63" spans="2:5" ht="14.5" customHeight="1">
      <c r="B63" s="79" t="s">
        <v>88</v>
      </c>
      <c r="C63" s="62" t="s">
        <v>233</v>
      </c>
      <c r="D63" s="63">
        <v>1</v>
      </c>
      <c r="E63" s="64">
        <v>8.6948960960000005E-5</v>
      </c>
    </row>
    <row r="64" spans="2:5" ht="14.5" customHeight="1">
      <c r="B64" s="81"/>
      <c r="C64" s="62" t="s">
        <v>234</v>
      </c>
      <c r="D64" s="63">
        <v>1</v>
      </c>
      <c r="E64" s="64">
        <v>8.6948960960000005E-5</v>
      </c>
    </row>
    <row r="65" spans="2:5" ht="14.5" customHeight="1">
      <c r="B65" s="81"/>
      <c r="C65" s="62" t="s">
        <v>235</v>
      </c>
      <c r="D65" s="63">
        <v>1</v>
      </c>
      <c r="E65" s="64">
        <v>8.6948960960000005E-5</v>
      </c>
    </row>
    <row r="66" spans="2:5" ht="14.5" customHeight="1">
      <c r="B66" s="81"/>
      <c r="C66" s="62" t="s">
        <v>237</v>
      </c>
      <c r="D66" s="63">
        <v>2</v>
      </c>
      <c r="E66" s="64">
        <v>1.7389792192000001E-4</v>
      </c>
    </row>
    <row r="67" spans="2:5" ht="14.5" customHeight="1">
      <c r="B67" s="81"/>
      <c r="C67" s="62" t="s">
        <v>238</v>
      </c>
      <c r="D67" s="63">
        <v>4</v>
      </c>
      <c r="E67" s="64">
        <v>3.4779584384000002E-4</v>
      </c>
    </row>
    <row r="68" spans="2:5" ht="14.5" customHeight="1">
      <c r="B68" s="81"/>
      <c r="C68" s="62" t="s">
        <v>241</v>
      </c>
      <c r="D68" s="63">
        <v>5</v>
      </c>
      <c r="E68" s="64">
        <v>4.3474480480000001E-4</v>
      </c>
    </row>
    <row r="69" spans="2:5" ht="14.5" customHeight="1">
      <c r="B69" s="81"/>
      <c r="C69" s="62" t="s">
        <v>246</v>
      </c>
      <c r="D69" s="63">
        <v>1</v>
      </c>
      <c r="E69" s="64">
        <v>8.6948960960000005E-5</v>
      </c>
    </row>
    <row r="70" spans="2:5" ht="14.5" customHeight="1">
      <c r="B70" s="81"/>
      <c r="C70" s="62" t="s">
        <v>247</v>
      </c>
      <c r="D70" s="63">
        <v>2</v>
      </c>
      <c r="E70" s="64">
        <v>1.7389792192000001E-4</v>
      </c>
    </row>
    <row r="71" spans="2:5" ht="14.5" customHeight="1">
      <c r="B71" s="80"/>
      <c r="C71" s="36" t="s">
        <v>28</v>
      </c>
      <c r="D71" s="35">
        <v>17</v>
      </c>
      <c r="E71" s="34">
        <v>1.4781323363190001E-3</v>
      </c>
    </row>
    <row r="72" spans="2:5" ht="14.5" customHeight="1">
      <c r="B72" s="79" t="s">
        <v>93</v>
      </c>
      <c r="C72" s="62" t="s">
        <v>236</v>
      </c>
      <c r="D72" s="63">
        <v>1</v>
      </c>
      <c r="E72" s="64">
        <v>8.6948960960000005E-5</v>
      </c>
    </row>
    <row r="73" spans="2:5" ht="14.5" customHeight="1">
      <c r="B73" s="81"/>
      <c r="C73" s="62" t="s">
        <v>238</v>
      </c>
      <c r="D73" s="63">
        <v>5</v>
      </c>
      <c r="E73" s="64">
        <v>4.3474480480000001E-4</v>
      </c>
    </row>
    <row r="74" spans="2:5" ht="14.5" customHeight="1">
      <c r="B74" s="81"/>
      <c r="C74" s="62" t="s">
        <v>247</v>
      </c>
      <c r="D74" s="63">
        <v>3</v>
      </c>
      <c r="E74" s="64">
        <v>2.6084688287999997E-4</v>
      </c>
    </row>
    <row r="75" spans="2:5" ht="14.5" customHeight="1">
      <c r="B75" s="80"/>
      <c r="C75" s="36" t="s">
        <v>28</v>
      </c>
      <c r="D75" s="35">
        <v>9</v>
      </c>
      <c r="E75" s="34">
        <v>7.8254064863900001E-4</v>
      </c>
    </row>
    <row r="76" spans="2:5" ht="14.5" customHeight="1">
      <c r="B76" s="79" t="s">
        <v>73</v>
      </c>
      <c r="C76" s="62" t="s">
        <v>227</v>
      </c>
      <c r="D76" s="63">
        <v>1</v>
      </c>
      <c r="E76" s="64">
        <v>8.6948960960000005E-5</v>
      </c>
    </row>
    <row r="77" spans="2:5" ht="14.5" customHeight="1">
      <c r="B77" s="81"/>
      <c r="C77" s="62" t="s">
        <v>229</v>
      </c>
      <c r="D77" s="63">
        <v>1</v>
      </c>
      <c r="E77" s="64">
        <v>8.6948960960000005E-5</v>
      </c>
    </row>
    <row r="78" spans="2:5" ht="14.5" customHeight="1">
      <c r="B78" s="81"/>
      <c r="C78" s="62" t="s">
        <v>230</v>
      </c>
      <c r="D78" s="63">
        <v>1</v>
      </c>
      <c r="E78" s="64">
        <v>8.6948960960000005E-5</v>
      </c>
    </row>
    <row r="79" spans="2:5" ht="14.5" customHeight="1">
      <c r="B79" s="81"/>
      <c r="C79" s="62" t="s">
        <v>231</v>
      </c>
      <c r="D79" s="63">
        <v>1</v>
      </c>
      <c r="E79" s="64">
        <v>8.6948960960000005E-5</v>
      </c>
    </row>
    <row r="80" spans="2:5" ht="14.5" customHeight="1">
      <c r="B80" s="81"/>
      <c r="C80" s="62" t="s">
        <v>232</v>
      </c>
      <c r="D80" s="63">
        <v>1</v>
      </c>
      <c r="E80" s="64">
        <v>8.6948960960000005E-5</v>
      </c>
    </row>
    <row r="81" spans="2:5" ht="14.5" customHeight="1">
      <c r="B81" s="81"/>
      <c r="C81" s="62" t="s">
        <v>233</v>
      </c>
      <c r="D81" s="63">
        <v>5</v>
      </c>
      <c r="E81" s="64">
        <v>4.3474480480000001E-4</v>
      </c>
    </row>
    <row r="82" spans="2:5" ht="14.5" customHeight="1">
      <c r="B82" s="81"/>
      <c r="C82" s="62" t="s">
        <v>234</v>
      </c>
      <c r="D82" s="63">
        <v>6</v>
      </c>
      <c r="E82" s="64">
        <v>5.2169376575899999E-4</v>
      </c>
    </row>
    <row r="83" spans="2:5" ht="14.5" customHeight="1">
      <c r="B83" s="81"/>
      <c r="C83" s="62" t="s">
        <v>235</v>
      </c>
      <c r="D83" s="63">
        <v>1</v>
      </c>
      <c r="E83" s="64">
        <v>8.6948960960000005E-5</v>
      </c>
    </row>
    <row r="84" spans="2:5" ht="14.5" customHeight="1">
      <c r="B84" s="81"/>
      <c r="C84" s="62" t="s">
        <v>236</v>
      </c>
      <c r="D84" s="63">
        <v>4</v>
      </c>
      <c r="E84" s="64">
        <v>3.4779584384000002E-4</v>
      </c>
    </row>
    <row r="85" spans="2:5" ht="14.5" customHeight="1">
      <c r="B85" s="81"/>
      <c r="C85" s="62" t="s">
        <v>237</v>
      </c>
      <c r="D85" s="63">
        <v>3</v>
      </c>
      <c r="E85" s="64">
        <v>2.6084688287999997E-4</v>
      </c>
    </row>
    <row r="86" spans="2:5" ht="14.5" customHeight="1">
      <c r="B86" s="81"/>
      <c r="C86" s="62" t="s">
        <v>238</v>
      </c>
      <c r="D86" s="63">
        <v>16</v>
      </c>
      <c r="E86" s="64">
        <v>1.391183375359E-3</v>
      </c>
    </row>
    <row r="87" spans="2:5" ht="14.5" customHeight="1">
      <c r="B87" s="81"/>
      <c r="C87" s="62" t="s">
        <v>239</v>
      </c>
      <c r="D87" s="63">
        <v>4</v>
      </c>
      <c r="E87" s="64">
        <v>3.4779584384000002E-4</v>
      </c>
    </row>
    <row r="88" spans="2:5" ht="14.5" customHeight="1">
      <c r="B88" s="81"/>
      <c r="C88" s="62" t="s">
        <v>240</v>
      </c>
      <c r="D88" s="63">
        <v>3</v>
      </c>
      <c r="E88" s="64">
        <v>2.6084688287999997E-4</v>
      </c>
    </row>
    <row r="89" spans="2:5" ht="14.5" customHeight="1">
      <c r="B89" s="81"/>
      <c r="C89" s="62" t="s">
        <v>241</v>
      </c>
      <c r="D89" s="63">
        <v>20</v>
      </c>
      <c r="E89" s="64">
        <v>1.7389792191979999E-3</v>
      </c>
    </row>
    <row r="90" spans="2:5" ht="14.5" customHeight="1">
      <c r="B90" s="81"/>
      <c r="C90" s="62" t="s">
        <v>247</v>
      </c>
      <c r="D90" s="63">
        <v>6</v>
      </c>
      <c r="E90" s="64">
        <v>5.2169376575899999E-4</v>
      </c>
    </row>
    <row r="91" spans="2:5" ht="14.5" customHeight="1">
      <c r="B91" s="80"/>
      <c r="C91" s="36" t="s">
        <v>28</v>
      </c>
      <c r="D91" s="35">
        <v>73</v>
      </c>
      <c r="E91" s="34">
        <v>6.3472741500740001E-3</v>
      </c>
    </row>
    <row r="92" spans="2:5" ht="14.5" customHeight="1">
      <c r="B92" s="79" t="s">
        <v>53</v>
      </c>
      <c r="C92" s="62" t="s">
        <v>230</v>
      </c>
      <c r="D92" s="63">
        <v>5</v>
      </c>
      <c r="E92" s="64">
        <v>4.3474480480000001E-4</v>
      </c>
    </row>
    <row r="93" spans="2:5" ht="14.5" customHeight="1">
      <c r="B93" s="81"/>
      <c r="C93" s="62" t="s">
        <v>231</v>
      </c>
      <c r="D93" s="63">
        <v>1</v>
      </c>
      <c r="E93" s="64">
        <v>8.6948960960000005E-5</v>
      </c>
    </row>
    <row r="94" spans="2:5" ht="14.5" customHeight="1">
      <c r="B94" s="81"/>
      <c r="C94" s="62" t="s">
        <v>232</v>
      </c>
      <c r="D94" s="63">
        <v>2</v>
      </c>
      <c r="E94" s="64">
        <v>1.7389792192000001E-4</v>
      </c>
    </row>
    <row r="95" spans="2:5" ht="14.5" customHeight="1">
      <c r="B95" s="81"/>
      <c r="C95" s="62" t="s">
        <v>233</v>
      </c>
      <c r="D95" s="63">
        <v>11</v>
      </c>
      <c r="E95" s="64">
        <v>9.56438570559E-4</v>
      </c>
    </row>
    <row r="96" spans="2:5" ht="14.5" customHeight="1">
      <c r="B96" s="81"/>
      <c r="C96" s="62" t="s">
        <v>234</v>
      </c>
      <c r="D96" s="63">
        <v>32</v>
      </c>
      <c r="E96" s="64">
        <v>2.7823667507169999E-3</v>
      </c>
    </row>
    <row r="97" spans="2:5" ht="14.5" customHeight="1">
      <c r="B97" s="81"/>
      <c r="C97" s="62" t="s">
        <v>236</v>
      </c>
      <c r="D97" s="63">
        <v>9</v>
      </c>
      <c r="E97" s="64">
        <v>7.8254064863900001E-4</v>
      </c>
    </row>
    <row r="98" spans="2:5" ht="14.5" customHeight="1">
      <c r="B98" s="81"/>
      <c r="C98" s="62" t="s">
        <v>237</v>
      </c>
      <c r="D98" s="63">
        <v>14</v>
      </c>
      <c r="E98" s="64">
        <v>1.2172854534389999E-3</v>
      </c>
    </row>
    <row r="99" spans="2:5" ht="14.5" customHeight="1">
      <c r="B99" s="81"/>
      <c r="C99" s="62" t="s">
        <v>238</v>
      </c>
      <c r="D99" s="63">
        <v>136</v>
      </c>
      <c r="E99" s="64">
        <v>1.1825058690548999E-2</v>
      </c>
    </row>
    <row r="100" spans="2:5" ht="14.5" customHeight="1">
      <c r="B100" s="81"/>
      <c r="C100" s="62" t="s">
        <v>239</v>
      </c>
      <c r="D100" s="63">
        <v>8</v>
      </c>
      <c r="E100" s="64">
        <v>6.9559168767899997E-4</v>
      </c>
    </row>
    <row r="101" spans="2:5" ht="14.5" customHeight="1">
      <c r="B101" s="81"/>
      <c r="C101" s="62" t="s">
        <v>240</v>
      </c>
      <c r="D101" s="63">
        <v>19</v>
      </c>
      <c r="E101" s="64">
        <v>1.6520302582380001E-3</v>
      </c>
    </row>
    <row r="102" spans="2:5" ht="14.5" customHeight="1">
      <c r="B102" s="81"/>
      <c r="C102" s="62" t="s">
        <v>241</v>
      </c>
      <c r="D102" s="63">
        <v>96</v>
      </c>
      <c r="E102" s="64">
        <v>8.3471002521520003E-3</v>
      </c>
    </row>
    <row r="103" spans="2:5" ht="14.5" customHeight="1">
      <c r="B103" s="81"/>
      <c r="C103" s="62" t="s">
        <v>242</v>
      </c>
      <c r="D103" s="63">
        <v>1</v>
      </c>
      <c r="E103" s="64">
        <v>8.6948960960000005E-5</v>
      </c>
    </row>
    <row r="104" spans="2:5" ht="14.5" customHeight="1">
      <c r="B104" s="81"/>
      <c r="C104" s="62" t="s">
        <v>243</v>
      </c>
      <c r="D104" s="63">
        <v>2</v>
      </c>
      <c r="E104" s="64">
        <v>1.7389792192000001E-4</v>
      </c>
    </row>
    <row r="105" spans="2:5" ht="14.5" customHeight="1">
      <c r="B105" s="81"/>
      <c r="C105" s="62" t="s">
        <v>244</v>
      </c>
      <c r="D105" s="63">
        <v>2</v>
      </c>
      <c r="E105" s="64">
        <v>1.7389792192000001E-4</v>
      </c>
    </row>
    <row r="106" spans="2:5" ht="14.5" customHeight="1">
      <c r="B106" s="81"/>
      <c r="C106" s="62" t="s">
        <v>246</v>
      </c>
      <c r="D106" s="63">
        <v>13</v>
      </c>
      <c r="E106" s="64">
        <v>1.1303364924790001E-3</v>
      </c>
    </row>
    <row r="107" spans="2:5" ht="14.5" customHeight="1">
      <c r="B107" s="81"/>
      <c r="C107" s="62" t="s">
        <v>247</v>
      </c>
      <c r="D107" s="63">
        <v>33</v>
      </c>
      <c r="E107" s="64">
        <v>2.8693157116770002E-3</v>
      </c>
    </row>
    <row r="108" spans="2:5" ht="14.5" customHeight="1">
      <c r="B108" s="81"/>
      <c r="C108" s="62" t="s">
        <v>248</v>
      </c>
      <c r="D108" s="63">
        <v>1</v>
      </c>
      <c r="E108" s="64">
        <v>8.6948960960000005E-5</v>
      </c>
    </row>
    <row r="109" spans="2:5" ht="14.5" customHeight="1">
      <c r="B109" s="81"/>
      <c r="C109" s="62" t="s">
        <v>249</v>
      </c>
      <c r="D109" s="63">
        <v>1</v>
      </c>
      <c r="E109" s="64">
        <v>8.6948960960000005E-5</v>
      </c>
    </row>
    <row r="110" spans="2:5" ht="14.5" customHeight="1">
      <c r="B110" s="80"/>
      <c r="C110" s="36" t="s">
        <v>28</v>
      </c>
      <c r="D110" s="35">
        <v>386</v>
      </c>
      <c r="E110" s="34">
        <v>3.3562298930527999E-2</v>
      </c>
    </row>
    <row r="111" spans="2:5" ht="14.5" customHeight="1">
      <c r="B111" s="79" t="s">
        <v>48</v>
      </c>
      <c r="C111" s="62" t="s">
        <v>227</v>
      </c>
      <c r="D111" s="63">
        <v>7</v>
      </c>
      <c r="E111" s="64">
        <v>6.0864272671900003E-4</v>
      </c>
    </row>
    <row r="112" spans="2:5" ht="14.5" customHeight="1">
      <c r="B112" s="81"/>
      <c r="C112" s="62" t="s">
        <v>228</v>
      </c>
      <c r="D112" s="63">
        <v>5</v>
      </c>
      <c r="E112" s="64">
        <v>4.3474480480000001E-4</v>
      </c>
    </row>
    <row r="113" spans="2:5" ht="14.5" customHeight="1">
      <c r="B113" s="81"/>
      <c r="C113" s="62" t="s">
        <v>229</v>
      </c>
      <c r="D113" s="63">
        <v>9</v>
      </c>
      <c r="E113" s="64">
        <v>7.8254064863900001E-4</v>
      </c>
    </row>
    <row r="114" spans="2:5" ht="14.5" customHeight="1">
      <c r="B114" s="81"/>
      <c r="C114" s="62" t="s">
        <v>230</v>
      </c>
      <c r="D114" s="63">
        <v>18</v>
      </c>
      <c r="E114" s="64">
        <v>1.565081297278E-3</v>
      </c>
    </row>
    <row r="115" spans="2:5" ht="14.5" customHeight="1">
      <c r="B115" s="81"/>
      <c r="C115" s="62" t="s">
        <v>231</v>
      </c>
      <c r="D115" s="63">
        <v>10</v>
      </c>
      <c r="E115" s="64">
        <v>8.6948960959899995E-4</v>
      </c>
    </row>
    <row r="116" spans="2:5" ht="14.5" customHeight="1">
      <c r="B116" s="81"/>
      <c r="C116" s="62" t="s">
        <v>232</v>
      </c>
      <c r="D116" s="63">
        <v>11</v>
      </c>
      <c r="E116" s="64">
        <v>9.56438570559E-4</v>
      </c>
    </row>
    <row r="117" spans="2:5" ht="14.5" customHeight="1">
      <c r="B117" s="81"/>
      <c r="C117" s="62" t="s">
        <v>233</v>
      </c>
      <c r="D117" s="63">
        <v>149</v>
      </c>
      <c r="E117" s="64">
        <v>1.2955395183028E-2</v>
      </c>
    </row>
    <row r="118" spans="2:5" ht="14.5" customHeight="1">
      <c r="B118" s="81"/>
      <c r="C118" s="62" t="s">
        <v>234</v>
      </c>
      <c r="D118" s="63">
        <v>175</v>
      </c>
      <c r="E118" s="64">
        <v>1.5216068167985E-2</v>
      </c>
    </row>
    <row r="119" spans="2:5" ht="14.5" customHeight="1">
      <c r="B119" s="81"/>
      <c r="C119" s="62" t="s">
        <v>235</v>
      </c>
      <c r="D119" s="63">
        <v>24</v>
      </c>
      <c r="E119" s="64">
        <v>2.0867750630380001E-3</v>
      </c>
    </row>
    <row r="120" spans="2:5" ht="14.5" customHeight="1">
      <c r="B120" s="81"/>
      <c r="C120" s="62" t="s">
        <v>236</v>
      </c>
      <c r="D120" s="63">
        <v>39</v>
      </c>
      <c r="E120" s="64">
        <v>3.391009477437E-3</v>
      </c>
    </row>
    <row r="121" spans="2:5" ht="14.5" customHeight="1">
      <c r="B121" s="81"/>
      <c r="C121" s="62" t="s">
        <v>237</v>
      </c>
      <c r="D121" s="63">
        <v>123</v>
      </c>
      <c r="E121" s="64">
        <v>1.069472219807E-2</v>
      </c>
    </row>
    <row r="122" spans="2:5" ht="14.5" customHeight="1">
      <c r="B122" s="81"/>
      <c r="C122" s="62" t="s">
        <v>238</v>
      </c>
      <c r="D122" s="63">
        <v>1011</v>
      </c>
      <c r="E122" s="64">
        <v>8.7905399530476006E-2</v>
      </c>
    </row>
    <row r="123" spans="2:5" ht="14.5" customHeight="1">
      <c r="B123" s="81"/>
      <c r="C123" s="62" t="s">
        <v>239</v>
      </c>
      <c r="D123" s="63">
        <v>83</v>
      </c>
      <c r="E123" s="64">
        <v>7.216763759673E-3</v>
      </c>
    </row>
    <row r="124" spans="2:5" ht="14.5" customHeight="1">
      <c r="B124" s="81"/>
      <c r="C124" s="62" t="s">
        <v>240</v>
      </c>
      <c r="D124" s="63">
        <v>198</v>
      </c>
      <c r="E124" s="64">
        <v>1.7215894270062999E-2</v>
      </c>
    </row>
    <row r="125" spans="2:5" ht="14.5" customHeight="1">
      <c r="B125" s="81"/>
      <c r="C125" s="62" t="s">
        <v>241</v>
      </c>
      <c r="D125" s="63">
        <v>846</v>
      </c>
      <c r="E125" s="64">
        <v>7.3558820972089003E-2</v>
      </c>
    </row>
    <row r="126" spans="2:5" ht="14.5" customHeight="1">
      <c r="B126" s="81"/>
      <c r="C126" s="62" t="s">
        <v>242</v>
      </c>
      <c r="D126" s="63">
        <v>9</v>
      </c>
      <c r="E126" s="64">
        <v>7.8254064863900001E-4</v>
      </c>
    </row>
    <row r="127" spans="2:5" ht="14.5" customHeight="1">
      <c r="B127" s="81"/>
      <c r="C127" s="62" t="s">
        <v>243</v>
      </c>
      <c r="D127" s="63">
        <v>10</v>
      </c>
      <c r="E127" s="64">
        <v>8.6948960959899995E-4</v>
      </c>
    </row>
    <row r="128" spans="2:5" ht="14.5" customHeight="1">
      <c r="B128" s="81"/>
      <c r="C128" s="62" t="s">
        <v>244</v>
      </c>
      <c r="D128" s="63">
        <v>3</v>
      </c>
      <c r="E128" s="64">
        <v>2.6084688287999997E-4</v>
      </c>
    </row>
    <row r="129" spans="2:5" ht="14.5" customHeight="1">
      <c r="B129" s="81"/>
      <c r="C129" s="62" t="s">
        <v>245</v>
      </c>
      <c r="D129" s="63">
        <v>6</v>
      </c>
      <c r="E129" s="64">
        <v>5.2169376575899999E-4</v>
      </c>
    </row>
    <row r="130" spans="2:5" ht="14.5" customHeight="1">
      <c r="B130" s="81"/>
      <c r="C130" s="62" t="s">
        <v>246</v>
      </c>
      <c r="D130" s="63">
        <v>48</v>
      </c>
      <c r="E130" s="64">
        <v>4.1735501260760002E-3</v>
      </c>
    </row>
    <row r="131" spans="2:5" ht="14.5" customHeight="1">
      <c r="B131" s="81"/>
      <c r="C131" s="62" t="s">
        <v>247</v>
      </c>
      <c r="D131" s="63">
        <v>168</v>
      </c>
      <c r="E131" s="64">
        <v>1.4607425441266E-2</v>
      </c>
    </row>
    <row r="132" spans="2:5" ht="14.5" customHeight="1">
      <c r="B132" s="81"/>
      <c r="C132" s="62" t="s">
        <v>248</v>
      </c>
      <c r="D132" s="63">
        <v>4</v>
      </c>
      <c r="E132" s="64">
        <v>3.4779584384000002E-4</v>
      </c>
    </row>
    <row r="133" spans="2:5" ht="14.5" customHeight="1">
      <c r="B133" s="81"/>
      <c r="C133" s="62" t="s">
        <v>249</v>
      </c>
      <c r="D133" s="63">
        <v>3</v>
      </c>
      <c r="E133" s="64">
        <v>2.6084688287999997E-4</v>
      </c>
    </row>
    <row r="134" spans="2:5" ht="14.5" customHeight="1">
      <c r="B134" s="81"/>
      <c r="C134" s="62" t="s">
        <v>250</v>
      </c>
      <c r="D134" s="63">
        <v>1</v>
      </c>
      <c r="E134" s="64">
        <v>8.6948960960000005E-5</v>
      </c>
    </row>
    <row r="135" spans="2:5" ht="14.5" customHeight="1">
      <c r="B135" s="80"/>
      <c r="C135" s="36" t="s">
        <v>28</v>
      </c>
      <c r="D135" s="35">
        <v>2960</v>
      </c>
      <c r="E135" s="34">
        <v>0.25736892444135301</v>
      </c>
    </row>
    <row r="136" spans="2:5" ht="14.5" customHeight="1">
      <c r="B136" s="79" t="s">
        <v>65</v>
      </c>
      <c r="C136" s="62" t="s">
        <v>228</v>
      </c>
      <c r="D136" s="63">
        <v>1</v>
      </c>
      <c r="E136" s="64">
        <v>8.6948960960000005E-5</v>
      </c>
    </row>
    <row r="137" spans="2:5" ht="14.5" customHeight="1">
      <c r="B137" s="81"/>
      <c r="C137" s="62" t="s">
        <v>230</v>
      </c>
      <c r="D137" s="63">
        <v>3</v>
      </c>
      <c r="E137" s="64">
        <v>2.6084688287999997E-4</v>
      </c>
    </row>
    <row r="138" spans="2:5" ht="14.5" customHeight="1">
      <c r="B138" s="81"/>
      <c r="C138" s="62" t="s">
        <v>231</v>
      </c>
      <c r="D138" s="63">
        <v>1</v>
      </c>
      <c r="E138" s="64">
        <v>8.6948960960000005E-5</v>
      </c>
    </row>
    <row r="139" spans="2:5" ht="14.5" customHeight="1">
      <c r="B139" s="81"/>
      <c r="C139" s="62" t="s">
        <v>232</v>
      </c>
      <c r="D139" s="63">
        <v>3</v>
      </c>
      <c r="E139" s="64">
        <v>2.6084688287999997E-4</v>
      </c>
    </row>
    <row r="140" spans="2:5" ht="14.5" customHeight="1">
      <c r="B140" s="81"/>
      <c r="C140" s="62" t="s">
        <v>233</v>
      </c>
      <c r="D140" s="63">
        <v>5</v>
      </c>
      <c r="E140" s="64">
        <v>4.3474480480000001E-4</v>
      </c>
    </row>
    <row r="141" spans="2:5" ht="14.5" customHeight="1">
      <c r="B141" s="81"/>
      <c r="C141" s="62" t="s">
        <v>234</v>
      </c>
      <c r="D141" s="63">
        <v>14</v>
      </c>
      <c r="E141" s="64">
        <v>1.2172854534389999E-3</v>
      </c>
    </row>
    <row r="142" spans="2:5" ht="14.5" customHeight="1">
      <c r="B142" s="81"/>
      <c r="C142" s="62" t="s">
        <v>235</v>
      </c>
      <c r="D142" s="63">
        <v>1</v>
      </c>
      <c r="E142" s="64">
        <v>8.6948960960000005E-5</v>
      </c>
    </row>
    <row r="143" spans="2:5" ht="14.5" customHeight="1">
      <c r="B143" s="81"/>
      <c r="C143" s="62" t="s">
        <v>236</v>
      </c>
      <c r="D143" s="63">
        <v>5</v>
      </c>
      <c r="E143" s="64">
        <v>4.3474480480000001E-4</v>
      </c>
    </row>
    <row r="144" spans="2:5" ht="14.5" customHeight="1">
      <c r="B144" s="81"/>
      <c r="C144" s="62" t="s">
        <v>237</v>
      </c>
      <c r="D144" s="63">
        <v>2</v>
      </c>
      <c r="E144" s="64">
        <v>1.7389792192000001E-4</v>
      </c>
    </row>
    <row r="145" spans="2:5" ht="14.5" customHeight="1">
      <c r="B145" s="81"/>
      <c r="C145" s="62" t="s">
        <v>238</v>
      </c>
      <c r="D145" s="63">
        <v>49</v>
      </c>
      <c r="E145" s="64">
        <v>4.260499087036E-3</v>
      </c>
    </row>
    <row r="146" spans="2:5" ht="14.5" customHeight="1">
      <c r="B146" s="81"/>
      <c r="C146" s="62" t="s">
        <v>239</v>
      </c>
      <c r="D146" s="63">
        <v>1</v>
      </c>
      <c r="E146" s="64">
        <v>8.6948960960000005E-5</v>
      </c>
    </row>
    <row r="147" spans="2:5" ht="14.5" customHeight="1">
      <c r="B147" s="81"/>
      <c r="C147" s="62" t="s">
        <v>240</v>
      </c>
      <c r="D147" s="63">
        <v>1</v>
      </c>
      <c r="E147" s="64">
        <v>8.6948960960000005E-5</v>
      </c>
    </row>
    <row r="148" spans="2:5" ht="14.5" customHeight="1">
      <c r="B148" s="81"/>
      <c r="C148" s="62" t="s">
        <v>241</v>
      </c>
      <c r="D148" s="63">
        <v>29</v>
      </c>
      <c r="E148" s="64">
        <v>2.5215198678380001E-3</v>
      </c>
    </row>
    <row r="149" spans="2:5" ht="14.5" customHeight="1">
      <c r="B149" s="81"/>
      <c r="C149" s="62" t="s">
        <v>242</v>
      </c>
      <c r="D149" s="63">
        <v>1</v>
      </c>
      <c r="E149" s="64">
        <v>8.6948960960000005E-5</v>
      </c>
    </row>
    <row r="150" spans="2:5" ht="14.5" customHeight="1">
      <c r="B150" s="81"/>
      <c r="C150" s="62" t="s">
        <v>243</v>
      </c>
      <c r="D150" s="63">
        <v>1</v>
      </c>
      <c r="E150" s="64">
        <v>8.6948960960000005E-5</v>
      </c>
    </row>
    <row r="151" spans="2:5" ht="14.5" customHeight="1">
      <c r="B151" s="81"/>
      <c r="C151" s="62" t="s">
        <v>246</v>
      </c>
      <c r="D151" s="63">
        <v>1</v>
      </c>
      <c r="E151" s="64">
        <v>8.6948960960000005E-5</v>
      </c>
    </row>
    <row r="152" spans="2:5" ht="14.5" customHeight="1">
      <c r="B152" s="81"/>
      <c r="C152" s="62" t="s">
        <v>247</v>
      </c>
      <c r="D152" s="63">
        <v>4</v>
      </c>
      <c r="E152" s="64">
        <v>3.4779584384000002E-4</v>
      </c>
    </row>
    <row r="153" spans="2:5" ht="14.5" customHeight="1">
      <c r="B153" s="81"/>
      <c r="C153" s="62" t="s">
        <v>249</v>
      </c>
      <c r="D153" s="63">
        <v>4</v>
      </c>
      <c r="E153" s="64">
        <v>3.4779584384000002E-4</v>
      </c>
    </row>
    <row r="154" spans="2:5" ht="14.5" customHeight="1">
      <c r="B154" s="80"/>
      <c r="C154" s="36" t="s">
        <v>28</v>
      </c>
      <c r="D154" s="35">
        <v>126</v>
      </c>
      <c r="E154" s="34">
        <v>1.0955569080948999E-2</v>
      </c>
    </row>
    <row r="155" spans="2:5" ht="14.5" customHeight="1">
      <c r="B155" s="79" t="s">
        <v>57</v>
      </c>
      <c r="C155" s="62" t="s">
        <v>227</v>
      </c>
      <c r="D155" s="63">
        <v>3</v>
      </c>
      <c r="E155" s="64">
        <v>2.6084688287999997E-4</v>
      </c>
    </row>
    <row r="156" spans="2:5" ht="14.5" customHeight="1">
      <c r="B156" s="81"/>
      <c r="C156" s="62" t="s">
        <v>230</v>
      </c>
      <c r="D156" s="63">
        <v>1</v>
      </c>
      <c r="E156" s="64">
        <v>8.6948960960000005E-5</v>
      </c>
    </row>
    <row r="157" spans="2:5" ht="14.5" customHeight="1">
      <c r="B157" s="81"/>
      <c r="C157" s="62" t="s">
        <v>232</v>
      </c>
      <c r="D157" s="63">
        <v>2</v>
      </c>
      <c r="E157" s="64">
        <v>1.7389792192000001E-4</v>
      </c>
    </row>
    <row r="158" spans="2:5" ht="14.5" customHeight="1">
      <c r="B158" s="81"/>
      <c r="C158" s="62" t="s">
        <v>233</v>
      </c>
      <c r="D158" s="63">
        <v>8</v>
      </c>
      <c r="E158" s="64">
        <v>6.9559168767899997E-4</v>
      </c>
    </row>
    <row r="159" spans="2:5" ht="14.5" customHeight="1">
      <c r="B159" s="81"/>
      <c r="C159" s="62" t="s">
        <v>234</v>
      </c>
      <c r="D159" s="63">
        <v>20</v>
      </c>
      <c r="E159" s="64">
        <v>1.7389792191979999E-3</v>
      </c>
    </row>
    <row r="160" spans="2:5" ht="14.5" customHeight="1">
      <c r="B160" s="81"/>
      <c r="C160" s="62" t="s">
        <v>235</v>
      </c>
      <c r="D160" s="63">
        <v>2</v>
      </c>
      <c r="E160" s="64">
        <v>1.7389792192000001E-4</v>
      </c>
    </row>
    <row r="161" spans="2:5" ht="14.5" customHeight="1">
      <c r="B161" s="81"/>
      <c r="C161" s="62" t="s">
        <v>236</v>
      </c>
      <c r="D161" s="63">
        <v>5</v>
      </c>
      <c r="E161" s="64">
        <v>4.3474480480000001E-4</v>
      </c>
    </row>
    <row r="162" spans="2:5" ht="14.5" customHeight="1">
      <c r="B162" s="81"/>
      <c r="C162" s="62" t="s">
        <v>237</v>
      </c>
      <c r="D162" s="63">
        <v>8</v>
      </c>
      <c r="E162" s="64">
        <v>6.9559168767899997E-4</v>
      </c>
    </row>
    <row r="163" spans="2:5" ht="14.5" customHeight="1">
      <c r="B163" s="81"/>
      <c r="C163" s="62" t="s">
        <v>238</v>
      </c>
      <c r="D163" s="63">
        <v>75</v>
      </c>
      <c r="E163" s="64">
        <v>6.5211720719939997E-3</v>
      </c>
    </row>
    <row r="164" spans="2:5" ht="14.5" customHeight="1">
      <c r="B164" s="81"/>
      <c r="C164" s="62" t="s">
        <v>239</v>
      </c>
      <c r="D164" s="63">
        <v>7</v>
      </c>
      <c r="E164" s="64">
        <v>6.0864272671900003E-4</v>
      </c>
    </row>
    <row r="165" spans="2:5" ht="14.5" customHeight="1">
      <c r="B165" s="81"/>
      <c r="C165" s="62" t="s">
        <v>240</v>
      </c>
      <c r="D165" s="63">
        <v>11</v>
      </c>
      <c r="E165" s="64">
        <v>9.56438570559E-4</v>
      </c>
    </row>
    <row r="166" spans="2:5" ht="14.5" customHeight="1">
      <c r="B166" s="81"/>
      <c r="C166" s="62" t="s">
        <v>241</v>
      </c>
      <c r="D166" s="63">
        <v>56</v>
      </c>
      <c r="E166" s="64">
        <v>4.8691418137549996E-3</v>
      </c>
    </row>
    <row r="167" spans="2:5" ht="14.5" customHeight="1">
      <c r="B167" s="81"/>
      <c r="C167" s="62" t="s">
        <v>242</v>
      </c>
      <c r="D167" s="63">
        <v>1</v>
      </c>
      <c r="E167" s="64">
        <v>8.6948960960000005E-5</v>
      </c>
    </row>
    <row r="168" spans="2:5" ht="14.5" customHeight="1">
      <c r="B168" s="81"/>
      <c r="C168" s="62" t="s">
        <v>243</v>
      </c>
      <c r="D168" s="63">
        <v>2</v>
      </c>
      <c r="E168" s="64">
        <v>1.7389792192000001E-4</v>
      </c>
    </row>
    <row r="169" spans="2:5" ht="14.5" customHeight="1">
      <c r="B169" s="81"/>
      <c r="C169" s="62" t="s">
        <v>246</v>
      </c>
      <c r="D169" s="63">
        <v>5</v>
      </c>
      <c r="E169" s="64">
        <v>4.3474480480000001E-4</v>
      </c>
    </row>
    <row r="170" spans="2:5" ht="14.5" customHeight="1">
      <c r="B170" s="81"/>
      <c r="C170" s="62" t="s">
        <v>247</v>
      </c>
      <c r="D170" s="63">
        <v>6</v>
      </c>
      <c r="E170" s="64">
        <v>5.2169376575899999E-4</v>
      </c>
    </row>
    <row r="171" spans="2:5" ht="14.5" customHeight="1">
      <c r="B171" s="80"/>
      <c r="C171" s="36" t="s">
        <v>28</v>
      </c>
      <c r="D171" s="35">
        <v>212</v>
      </c>
      <c r="E171" s="34">
        <v>1.8433179723501999E-2</v>
      </c>
    </row>
    <row r="172" spans="2:5" ht="14.5" customHeight="1">
      <c r="B172" s="79" t="s">
        <v>78</v>
      </c>
      <c r="C172" s="62" t="s">
        <v>233</v>
      </c>
      <c r="D172" s="63">
        <v>3</v>
      </c>
      <c r="E172" s="64">
        <v>2.6084688287999997E-4</v>
      </c>
    </row>
    <row r="173" spans="2:5" ht="14.5" customHeight="1">
      <c r="B173" s="81"/>
      <c r="C173" s="62" t="s">
        <v>234</v>
      </c>
      <c r="D173" s="63">
        <v>4</v>
      </c>
      <c r="E173" s="64">
        <v>3.4779584384000002E-4</v>
      </c>
    </row>
    <row r="174" spans="2:5" ht="14.5" customHeight="1">
      <c r="B174" s="81"/>
      <c r="C174" s="62" t="s">
        <v>235</v>
      </c>
      <c r="D174" s="63">
        <v>1</v>
      </c>
      <c r="E174" s="64">
        <v>8.6948960960000005E-5</v>
      </c>
    </row>
    <row r="175" spans="2:5" ht="14.5" customHeight="1">
      <c r="B175" s="81"/>
      <c r="C175" s="62" t="s">
        <v>237</v>
      </c>
      <c r="D175" s="63">
        <v>1</v>
      </c>
      <c r="E175" s="64">
        <v>8.6948960960000005E-5</v>
      </c>
    </row>
    <row r="176" spans="2:5" ht="14.5" customHeight="1">
      <c r="B176" s="81"/>
      <c r="C176" s="62" t="s">
        <v>238</v>
      </c>
      <c r="D176" s="63">
        <v>21</v>
      </c>
      <c r="E176" s="64">
        <v>1.8259281801579999E-3</v>
      </c>
    </row>
    <row r="177" spans="2:5" ht="14.5" customHeight="1">
      <c r="B177" s="81"/>
      <c r="C177" s="62" t="s">
        <v>239</v>
      </c>
      <c r="D177" s="63">
        <v>1</v>
      </c>
      <c r="E177" s="64">
        <v>8.6948960960000005E-5</v>
      </c>
    </row>
    <row r="178" spans="2:5" ht="14.5" customHeight="1">
      <c r="B178" s="81"/>
      <c r="C178" s="62" t="s">
        <v>240</v>
      </c>
      <c r="D178" s="63">
        <v>6</v>
      </c>
      <c r="E178" s="64">
        <v>5.2169376575899999E-4</v>
      </c>
    </row>
    <row r="179" spans="2:5" ht="14.5" customHeight="1">
      <c r="B179" s="81"/>
      <c r="C179" s="62" t="s">
        <v>241</v>
      </c>
      <c r="D179" s="63">
        <v>13</v>
      </c>
      <c r="E179" s="64">
        <v>1.1303364924790001E-3</v>
      </c>
    </row>
    <row r="180" spans="2:5" ht="14.5" customHeight="1">
      <c r="B180" s="81"/>
      <c r="C180" s="62" t="s">
        <v>246</v>
      </c>
      <c r="D180" s="63">
        <v>2</v>
      </c>
      <c r="E180" s="64">
        <v>1.7389792192000001E-4</v>
      </c>
    </row>
    <row r="181" spans="2:5" ht="14.5" customHeight="1">
      <c r="B181" s="81"/>
      <c r="C181" s="62" t="s">
        <v>247</v>
      </c>
      <c r="D181" s="63">
        <v>3</v>
      </c>
      <c r="E181" s="64">
        <v>2.6084688287999997E-4</v>
      </c>
    </row>
    <row r="182" spans="2:5" ht="14.5" customHeight="1">
      <c r="B182" s="80"/>
      <c r="C182" s="36" t="s">
        <v>28</v>
      </c>
      <c r="D182" s="35">
        <v>55</v>
      </c>
      <c r="E182" s="34">
        <v>4.7821928527949998E-3</v>
      </c>
    </row>
    <row r="183" spans="2:5" ht="14.5" customHeight="1">
      <c r="B183" s="79" t="s">
        <v>79</v>
      </c>
      <c r="C183" s="62" t="s">
        <v>227</v>
      </c>
      <c r="D183" s="63">
        <v>1</v>
      </c>
      <c r="E183" s="64">
        <v>8.6948960960000005E-5</v>
      </c>
    </row>
    <row r="184" spans="2:5" ht="14.5" customHeight="1">
      <c r="B184" s="81"/>
      <c r="C184" s="62" t="s">
        <v>233</v>
      </c>
      <c r="D184" s="63">
        <v>2</v>
      </c>
      <c r="E184" s="64">
        <v>1.7389792192000001E-4</v>
      </c>
    </row>
    <row r="185" spans="2:5" ht="14.5" customHeight="1">
      <c r="B185" s="81"/>
      <c r="C185" s="62" t="s">
        <v>234</v>
      </c>
      <c r="D185" s="63">
        <v>1</v>
      </c>
      <c r="E185" s="64">
        <v>8.6948960960000005E-5</v>
      </c>
    </row>
    <row r="186" spans="2:5" ht="14.5" customHeight="1">
      <c r="B186" s="81"/>
      <c r="C186" s="62" t="s">
        <v>236</v>
      </c>
      <c r="D186" s="63">
        <v>3</v>
      </c>
      <c r="E186" s="64">
        <v>2.6084688287999997E-4</v>
      </c>
    </row>
    <row r="187" spans="2:5" ht="14.5" customHeight="1">
      <c r="B187" s="81"/>
      <c r="C187" s="62" t="s">
        <v>237</v>
      </c>
      <c r="D187" s="63">
        <v>5</v>
      </c>
      <c r="E187" s="64">
        <v>4.3474480480000001E-4</v>
      </c>
    </row>
    <row r="188" spans="2:5" ht="14.5" customHeight="1">
      <c r="B188" s="81"/>
      <c r="C188" s="62" t="s">
        <v>238</v>
      </c>
      <c r="D188" s="63">
        <v>6</v>
      </c>
      <c r="E188" s="64">
        <v>5.2169376575899999E-4</v>
      </c>
    </row>
    <row r="189" spans="2:5" ht="14.5" customHeight="1">
      <c r="B189" s="81"/>
      <c r="C189" s="62" t="s">
        <v>239</v>
      </c>
      <c r="D189" s="63">
        <v>3</v>
      </c>
      <c r="E189" s="64">
        <v>2.6084688287999997E-4</v>
      </c>
    </row>
    <row r="190" spans="2:5" ht="14.5" customHeight="1">
      <c r="B190" s="81"/>
      <c r="C190" s="62" t="s">
        <v>240</v>
      </c>
      <c r="D190" s="63">
        <v>4</v>
      </c>
      <c r="E190" s="64">
        <v>3.4779584384000002E-4</v>
      </c>
    </row>
    <row r="191" spans="2:5" ht="14.5" customHeight="1">
      <c r="B191" s="81"/>
      <c r="C191" s="62" t="s">
        <v>241</v>
      </c>
      <c r="D191" s="63">
        <v>7</v>
      </c>
      <c r="E191" s="64">
        <v>6.0864272671900003E-4</v>
      </c>
    </row>
    <row r="192" spans="2:5" ht="14.5" customHeight="1">
      <c r="B192" s="81"/>
      <c r="C192" s="62" t="s">
        <v>242</v>
      </c>
      <c r="D192" s="63">
        <v>1</v>
      </c>
      <c r="E192" s="64">
        <v>8.6948960960000005E-5</v>
      </c>
    </row>
    <row r="193" spans="2:5" ht="14.5" customHeight="1">
      <c r="B193" s="81"/>
      <c r="C193" s="62" t="s">
        <v>243</v>
      </c>
      <c r="D193" s="63">
        <v>1</v>
      </c>
      <c r="E193" s="64">
        <v>8.6948960960000005E-5</v>
      </c>
    </row>
    <row r="194" spans="2:5" ht="14.5" customHeight="1">
      <c r="B194" s="81"/>
      <c r="C194" s="62" t="s">
        <v>244</v>
      </c>
      <c r="D194" s="63">
        <v>1</v>
      </c>
      <c r="E194" s="64">
        <v>8.6948960960000005E-5</v>
      </c>
    </row>
    <row r="195" spans="2:5" ht="14.5" customHeight="1">
      <c r="B195" s="81"/>
      <c r="C195" s="62" t="s">
        <v>246</v>
      </c>
      <c r="D195" s="63">
        <v>1</v>
      </c>
      <c r="E195" s="64">
        <v>8.6948960960000005E-5</v>
      </c>
    </row>
    <row r="196" spans="2:5" ht="14.5" customHeight="1">
      <c r="B196" s="81"/>
      <c r="C196" s="62" t="s">
        <v>247</v>
      </c>
      <c r="D196" s="63">
        <v>7</v>
      </c>
      <c r="E196" s="64">
        <v>6.0864272671900003E-4</v>
      </c>
    </row>
    <row r="197" spans="2:5" ht="14.5" customHeight="1">
      <c r="B197" s="80"/>
      <c r="C197" s="36" t="s">
        <v>28</v>
      </c>
      <c r="D197" s="35">
        <v>43</v>
      </c>
      <c r="E197" s="34">
        <v>3.7388053212760002E-3</v>
      </c>
    </row>
    <row r="198" spans="2:5" ht="14.5" customHeight="1">
      <c r="B198" s="79" t="s">
        <v>56</v>
      </c>
      <c r="C198" s="62" t="s">
        <v>227</v>
      </c>
      <c r="D198" s="63">
        <v>3</v>
      </c>
      <c r="E198" s="64">
        <v>2.6084688287999997E-4</v>
      </c>
    </row>
    <row r="199" spans="2:5" ht="14.5" customHeight="1">
      <c r="B199" s="81"/>
      <c r="C199" s="62" t="s">
        <v>229</v>
      </c>
      <c r="D199" s="63">
        <v>1</v>
      </c>
      <c r="E199" s="64">
        <v>8.6948960960000005E-5</v>
      </c>
    </row>
    <row r="200" spans="2:5" ht="14.5" customHeight="1">
      <c r="B200" s="81"/>
      <c r="C200" s="62" t="s">
        <v>230</v>
      </c>
      <c r="D200" s="63">
        <v>3</v>
      </c>
      <c r="E200" s="64">
        <v>2.6084688287999997E-4</v>
      </c>
    </row>
    <row r="201" spans="2:5" ht="14.5" customHeight="1">
      <c r="B201" s="81"/>
      <c r="C201" s="62" t="s">
        <v>231</v>
      </c>
      <c r="D201" s="63">
        <v>2</v>
      </c>
      <c r="E201" s="64">
        <v>1.7389792192000001E-4</v>
      </c>
    </row>
    <row r="202" spans="2:5" ht="14.5" customHeight="1">
      <c r="B202" s="81"/>
      <c r="C202" s="62" t="s">
        <v>233</v>
      </c>
      <c r="D202" s="63">
        <v>20</v>
      </c>
      <c r="E202" s="64">
        <v>1.7389792191979999E-3</v>
      </c>
    </row>
    <row r="203" spans="2:5" ht="14.5" customHeight="1">
      <c r="B203" s="81"/>
      <c r="C203" s="62" t="s">
        <v>234</v>
      </c>
      <c r="D203" s="63">
        <v>14</v>
      </c>
      <c r="E203" s="64">
        <v>1.2172854534389999E-3</v>
      </c>
    </row>
    <row r="204" spans="2:5" ht="14.5" customHeight="1">
      <c r="B204" s="81"/>
      <c r="C204" s="62" t="s">
        <v>236</v>
      </c>
      <c r="D204" s="63">
        <v>6</v>
      </c>
      <c r="E204" s="64">
        <v>5.2169376575899999E-4</v>
      </c>
    </row>
    <row r="205" spans="2:5" ht="14.5" customHeight="1">
      <c r="B205" s="81"/>
      <c r="C205" s="62" t="s">
        <v>237</v>
      </c>
      <c r="D205" s="63">
        <v>11</v>
      </c>
      <c r="E205" s="64">
        <v>9.56438570559E-4</v>
      </c>
    </row>
    <row r="206" spans="2:5" ht="14.5" customHeight="1">
      <c r="B206" s="81"/>
      <c r="C206" s="62" t="s">
        <v>238</v>
      </c>
      <c r="D206" s="63">
        <v>80</v>
      </c>
      <c r="E206" s="64">
        <v>6.9559168767929997E-3</v>
      </c>
    </row>
    <row r="207" spans="2:5" ht="14.5" customHeight="1">
      <c r="B207" s="81"/>
      <c r="C207" s="62" t="s">
        <v>239</v>
      </c>
      <c r="D207" s="63">
        <v>10</v>
      </c>
      <c r="E207" s="64">
        <v>8.6948960959899995E-4</v>
      </c>
    </row>
    <row r="208" spans="2:5" ht="14.5" customHeight="1">
      <c r="B208" s="81"/>
      <c r="C208" s="62" t="s">
        <v>240</v>
      </c>
      <c r="D208" s="63">
        <v>8</v>
      </c>
      <c r="E208" s="64">
        <v>6.9559168767899997E-4</v>
      </c>
    </row>
    <row r="209" spans="2:5" ht="14.5" customHeight="1">
      <c r="B209" s="81"/>
      <c r="C209" s="62" t="s">
        <v>241</v>
      </c>
      <c r="D209" s="63">
        <v>43</v>
      </c>
      <c r="E209" s="64">
        <v>3.7388053212760002E-3</v>
      </c>
    </row>
    <row r="210" spans="2:5" ht="14.5" customHeight="1">
      <c r="B210" s="81"/>
      <c r="C210" s="62" t="s">
        <v>242</v>
      </c>
      <c r="D210" s="63">
        <v>1</v>
      </c>
      <c r="E210" s="64">
        <v>8.6948960960000005E-5</v>
      </c>
    </row>
    <row r="211" spans="2:5" ht="14.5" customHeight="1">
      <c r="B211" s="81"/>
      <c r="C211" s="62" t="s">
        <v>246</v>
      </c>
      <c r="D211" s="63">
        <v>3</v>
      </c>
      <c r="E211" s="64">
        <v>2.6084688287999997E-4</v>
      </c>
    </row>
    <row r="212" spans="2:5" ht="14.5" customHeight="1">
      <c r="B212" s="81"/>
      <c r="C212" s="62" t="s">
        <v>247</v>
      </c>
      <c r="D212" s="63">
        <v>28</v>
      </c>
      <c r="E212" s="64">
        <v>2.4345709068779998E-3</v>
      </c>
    </row>
    <row r="213" spans="2:5" ht="14.5" customHeight="1">
      <c r="B213" s="81"/>
      <c r="C213" s="62" t="s">
        <v>249</v>
      </c>
      <c r="D213" s="63">
        <v>2</v>
      </c>
      <c r="E213" s="64">
        <v>1.7389792192000001E-4</v>
      </c>
    </row>
    <row r="214" spans="2:5" ht="14.5" customHeight="1">
      <c r="B214" s="80"/>
      <c r="C214" s="36" t="s">
        <v>28</v>
      </c>
      <c r="D214" s="35">
        <v>235</v>
      </c>
      <c r="E214" s="34">
        <v>2.0433005825580001E-2</v>
      </c>
    </row>
    <row r="215" spans="2:5" ht="14.5" customHeight="1">
      <c r="B215" s="79" t="s">
        <v>84</v>
      </c>
      <c r="C215" s="62" t="s">
        <v>227</v>
      </c>
      <c r="D215" s="63">
        <v>1</v>
      </c>
      <c r="E215" s="64">
        <v>8.6948960960000005E-5</v>
      </c>
    </row>
    <row r="216" spans="2:5" ht="14.5" customHeight="1">
      <c r="B216" s="81"/>
      <c r="C216" s="62" t="s">
        <v>233</v>
      </c>
      <c r="D216" s="63">
        <v>2</v>
      </c>
      <c r="E216" s="64">
        <v>1.7389792192000001E-4</v>
      </c>
    </row>
    <row r="217" spans="2:5" ht="14.5" customHeight="1">
      <c r="B217" s="81"/>
      <c r="C217" s="62" t="s">
        <v>234</v>
      </c>
      <c r="D217" s="63">
        <v>1</v>
      </c>
      <c r="E217" s="64">
        <v>8.6948960960000005E-5</v>
      </c>
    </row>
    <row r="218" spans="2:5" ht="14.5" customHeight="1">
      <c r="B218" s="81"/>
      <c r="C218" s="62" t="s">
        <v>235</v>
      </c>
      <c r="D218" s="63">
        <v>1</v>
      </c>
      <c r="E218" s="64">
        <v>8.6948960960000005E-5</v>
      </c>
    </row>
    <row r="219" spans="2:5" ht="14.5" customHeight="1">
      <c r="B219" s="81"/>
      <c r="C219" s="62" t="s">
        <v>238</v>
      </c>
      <c r="D219" s="63">
        <v>6</v>
      </c>
      <c r="E219" s="64">
        <v>5.2169376575899999E-4</v>
      </c>
    </row>
    <row r="220" spans="2:5" ht="14.5" customHeight="1">
      <c r="B220" s="81"/>
      <c r="C220" s="62" t="s">
        <v>240</v>
      </c>
      <c r="D220" s="63">
        <v>2</v>
      </c>
      <c r="E220" s="64">
        <v>1.7389792192000001E-4</v>
      </c>
    </row>
    <row r="221" spans="2:5" ht="14.5" customHeight="1">
      <c r="B221" s="81"/>
      <c r="C221" s="62" t="s">
        <v>241</v>
      </c>
      <c r="D221" s="63">
        <v>7</v>
      </c>
      <c r="E221" s="64">
        <v>6.0864272671900003E-4</v>
      </c>
    </row>
    <row r="222" spans="2:5" ht="14.5" customHeight="1">
      <c r="B222" s="81"/>
      <c r="C222" s="62" t="s">
        <v>243</v>
      </c>
      <c r="D222" s="63">
        <v>1</v>
      </c>
      <c r="E222" s="64">
        <v>8.6948960960000005E-5</v>
      </c>
    </row>
    <row r="223" spans="2:5" ht="14.5" customHeight="1">
      <c r="B223" s="81"/>
      <c r="C223" s="62" t="s">
        <v>246</v>
      </c>
      <c r="D223" s="63">
        <v>1</v>
      </c>
      <c r="E223" s="64">
        <v>8.6948960960000005E-5</v>
      </c>
    </row>
    <row r="224" spans="2:5" ht="14.5" customHeight="1">
      <c r="B224" s="81"/>
      <c r="C224" s="62" t="s">
        <v>247</v>
      </c>
      <c r="D224" s="63">
        <v>1</v>
      </c>
      <c r="E224" s="64">
        <v>8.6948960960000005E-5</v>
      </c>
    </row>
    <row r="225" spans="2:5" ht="14.5" customHeight="1">
      <c r="B225" s="81"/>
      <c r="C225" s="62" t="s">
        <v>249</v>
      </c>
      <c r="D225" s="63">
        <v>2</v>
      </c>
      <c r="E225" s="64">
        <v>1.7389792192000001E-4</v>
      </c>
    </row>
    <row r="226" spans="2:5" ht="14.5" customHeight="1">
      <c r="B226" s="80"/>
      <c r="C226" s="36" t="s">
        <v>28</v>
      </c>
      <c r="D226" s="35">
        <v>25</v>
      </c>
      <c r="E226" s="34">
        <v>2.1737240239979999E-3</v>
      </c>
    </row>
    <row r="227" spans="2:5" ht="14.5" customHeight="1">
      <c r="B227" s="79" t="s">
        <v>80</v>
      </c>
      <c r="C227" s="62" t="s">
        <v>227</v>
      </c>
      <c r="D227" s="63">
        <v>1</v>
      </c>
      <c r="E227" s="64">
        <v>8.6948960960000005E-5</v>
      </c>
    </row>
    <row r="228" spans="2:5" ht="14.5" customHeight="1">
      <c r="B228" s="81"/>
      <c r="C228" s="62" t="s">
        <v>228</v>
      </c>
      <c r="D228" s="63">
        <v>2</v>
      </c>
      <c r="E228" s="64">
        <v>1.7389792192000001E-4</v>
      </c>
    </row>
    <row r="229" spans="2:5" ht="14.5" customHeight="1">
      <c r="B229" s="81"/>
      <c r="C229" s="62" t="s">
        <v>233</v>
      </c>
      <c r="D229" s="63">
        <v>3</v>
      </c>
      <c r="E229" s="64">
        <v>2.6084688287999997E-4</v>
      </c>
    </row>
    <row r="230" spans="2:5" ht="14.5" customHeight="1">
      <c r="B230" s="81"/>
      <c r="C230" s="62" t="s">
        <v>234</v>
      </c>
      <c r="D230" s="63">
        <v>2</v>
      </c>
      <c r="E230" s="64">
        <v>1.7389792192000001E-4</v>
      </c>
    </row>
    <row r="231" spans="2:5" ht="14.5" customHeight="1">
      <c r="B231" s="81"/>
      <c r="C231" s="62" t="s">
        <v>235</v>
      </c>
      <c r="D231" s="63">
        <v>2</v>
      </c>
      <c r="E231" s="64">
        <v>1.7389792192000001E-4</v>
      </c>
    </row>
    <row r="232" spans="2:5" ht="14.5" customHeight="1">
      <c r="B232" s="81"/>
      <c r="C232" s="62" t="s">
        <v>236</v>
      </c>
      <c r="D232" s="63">
        <v>2</v>
      </c>
      <c r="E232" s="64">
        <v>1.7389792192000001E-4</v>
      </c>
    </row>
    <row r="233" spans="2:5" ht="14.5" customHeight="1">
      <c r="B233" s="81"/>
      <c r="C233" s="62" t="s">
        <v>237</v>
      </c>
      <c r="D233" s="63">
        <v>3</v>
      </c>
      <c r="E233" s="64">
        <v>2.6084688287999997E-4</v>
      </c>
    </row>
    <row r="234" spans="2:5" ht="14.5" customHeight="1">
      <c r="B234" s="81"/>
      <c r="C234" s="62" t="s">
        <v>238</v>
      </c>
      <c r="D234" s="63">
        <v>10</v>
      </c>
      <c r="E234" s="64">
        <v>8.6948960959899995E-4</v>
      </c>
    </row>
    <row r="235" spans="2:5" ht="14.5" customHeight="1">
      <c r="B235" s="81"/>
      <c r="C235" s="62" t="s">
        <v>239</v>
      </c>
      <c r="D235" s="63">
        <v>1</v>
      </c>
      <c r="E235" s="64">
        <v>8.6948960960000005E-5</v>
      </c>
    </row>
    <row r="236" spans="2:5" ht="14.5" customHeight="1">
      <c r="B236" s="81"/>
      <c r="C236" s="62" t="s">
        <v>240</v>
      </c>
      <c r="D236" s="63">
        <v>3</v>
      </c>
      <c r="E236" s="64">
        <v>2.6084688287999997E-4</v>
      </c>
    </row>
    <row r="237" spans="2:5" ht="14.5" customHeight="1">
      <c r="B237" s="81"/>
      <c r="C237" s="62" t="s">
        <v>241</v>
      </c>
      <c r="D237" s="63">
        <v>6</v>
      </c>
      <c r="E237" s="64">
        <v>5.2169376575899999E-4</v>
      </c>
    </row>
    <row r="238" spans="2:5" ht="14.5" customHeight="1">
      <c r="B238" s="81"/>
      <c r="C238" s="62" t="s">
        <v>246</v>
      </c>
      <c r="D238" s="63">
        <v>3</v>
      </c>
      <c r="E238" s="64">
        <v>2.6084688287999997E-4</v>
      </c>
    </row>
    <row r="239" spans="2:5" ht="14.5" customHeight="1">
      <c r="B239" s="81"/>
      <c r="C239" s="62" t="s">
        <v>247</v>
      </c>
      <c r="D239" s="63">
        <v>2</v>
      </c>
      <c r="E239" s="64">
        <v>1.7389792192000001E-4</v>
      </c>
    </row>
    <row r="240" spans="2:5" ht="14.5" customHeight="1">
      <c r="B240" s="80"/>
      <c r="C240" s="36" t="s">
        <v>28</v>
      </c>
      <c r="D240" s="35">
        <v>40</v>
      </c>
      <c r="E240" s="34">
        <v>3.4779584383969999E-3</v>
      </c>
    </row>
    <row r="241" spans="2:5" ht="14.5" customHeight="1">
      <c r="B241" s="88" t="s">
        <v>50</v>
      </c>
      <c r="C241" s="62" t="s">
        <v>227</v>
      </c>
      <c r="D241" s="63">
        <v>8</v>
      </c>
      <c r="E241" s="64">
        <v>6.9559168767899997E-4</v>
      </c>
    </row>
    <row r="242" spans="2:5" ht="14.5" customHeight="1">
      <c r="B242" s="89"/>
      <c r="C242" s="62" t="s">
        <v>228</v>
      </c>
      <c r="D242" s="63">
        <v>5</v>
      </c>
      <c r="E242" s="64">
        <v>4.3474480480000001E-4</v>
      </c>
    </row>
    <row r="243" spans="2:5" ht="14.5" customHeight="1">
      <c r="B243" s="89"/>
      <c r="C243" s="62" t="s">
        <v>229</v>
      </c>
      <c r="D243" s="63">
        <v>7</v>
      </c>
      <c r="E243" s="64">
        <v>6.0864272671900003E-4</v>
      </c>
    </row>
    <row r="244" spans="2:5" ht="14.5" customHeight="1">
      <c r="B244" s="89"/>
      <c r="C244" s="62" t="s">
        <v>230</v>
      </c>
      <c r="D244" s="63">
        <v>20</v>
      </c>
      <c r="E244" s="64">
        <v>1.7389792191979999E-3</v>
      </c>
    </row>
    <row r="245" spans="2:5" ht="14.5" customHeight="1">
      <c r="B245" s="89"/>
      <c r="C245" s="62" t="s">
        <v>231</v>
      </c>
      <c r="D245" s="63">
        <v>9</v>
      </c>
      <c r="E245" s="64">
        <v>7.8254064863900001E-4</v>
      </c>
    </row>
    <row r="246" spans="2:5" ht="14.5" customHeight="1">
      <c r="B246" s="89"/>
      <c r="C246" s="62" t="s">
        <v>232</v>
      </c>
      <c r="D246" s="63">
        <v>10</v>
      </c>
      <c r="E246" s="64">
        <v>8.6948960959899995E-4</v>
      </c>
    </row>
    <row r="247" spans="2:5" ht="14.5" customHeight="1">
      <c r="B247" s="89"/>
      <c r="C247" s="62" t="s">
        <v>233</v>
      </c>
      <c r="D247" s="63">
        <v>77</v>
      </c>
      <c r="E247" s="64">
        <v>6.6950699939140003E-3</v>
      </c>
    </row>
    <row r="248" spans="2:5" ht="14.5" customHeight="1">
      <c r="B248" s="89"/>
      <c r="C248" s="62" t="s">
        <v>234</v>
      </c>
      <c r="D248" s="63">
        <v>134</v>
      </c>
      <c r="E248" s="64">
        <v>1.1651160768629E-2</v>
      </c>
    </row>
    <row r="249" spans="2:5" ht="14.5" customHeight="1">
      <c r="B249" s="89"/>
      <c r="C249" s="62" t="s">
        <v>235</v>
      </c>
      <c r="D249" s="63">
        <v>17</v>
      </c>
      <c r="E249" s="64">
        <v>1.4781323363190001E-3</v>
      </c>
    </row>
    <row r="250" spans="2:5" ht="14.5" customHeight="1">
      <c r="B250" s="89"/>
      <c r="C250" s="62" t="s">
        <v>236</v>
      </c>
      <c r="D250" s="63">
        <v>35</v>
      </c>
      <c r="E250" s="64">
        <v>3.0432136335969999E-3</v>
      </c>
    </row>
    <row r="251" spans="2:5" ht="14.5" customHeight="1">
      <c r="B251" s="89"/>
      <c r="C251" s="62" t="s">
        <v>237</v>
      </c>
      <c r="D251" s="63">
        <v>69</v>
      </c>
      <c r="E251" s="64">
        <v>5.9994783062339999E-3</v>
      </c>
    </row>
    <row r="252" spans="2:5" ht="14.5" customHeight="1">
      <c r="B252" s="89"/>
      <c r="C252" s="62" t="s">
        <v>238</v>
      </c>
      <c r="D252" s="63">
        <v>463</v>
      </c>
      <c r="E252" s="64">
        <v>4.0257368924440998E-2</v>
      </c>
    </row>
    <row r="253" spans="2:5" ht="14.5" customHeight="1">
      <c r="B253" s="89"/>
      <c r="C253" s="62" t="s">
        <v>239</v>
      </c>
      <c r="D253" s="63">
        <v>51</v>
      </c>
      <c r="E253" s="64">
        <v>4.4343970089559996E-3</v>
      </c>
    </row>
    <row r="254" spans="2:5" ht="14.5" customHeight="1">
      <c r="B254" s="89"/>
      <c r="C254" s="62" t="s">
        <v>240</v>
      </c>
      <c r="D254" s="63">
        <v>151</v>
      </c>
      <c r="E254" s="64">
        <v>1.3129293104946999E-2</v>
      </c>
    </row>
    <row r="255" spans="2:5" ht="14.5" customHeight="1">
      <c r="B255" s="89"/>
      <c r="C255" s="62" t="s">
        <v>241</v>
      </c>
      <c r="D255" s="63">
        <v>414</v>
      </c>
      <c r="E255" s="64">
        <v>3.5996869837405E-2</v>
      </c>
    </row>
    <row r="256" spans="2:5" ht="14.5" customHeight="1">
      <c r="B256" s="89"/>
      <c r="C256" s="62" t="s">
        <v>242</v>
      </c>
      <c r="D256" s="63">
        <v>10</v>
      </c>
      <c r="E256" s="64">
        <v>8.6948960959899995E-4</v>
      </c>
    </row>
    <row r="257" spans="2:5" ht="14.5" customHeight="1">
      <c r="B257" s="89"/>
      <c r="C257" s="62" t="s">
        <v>243</v>
      </c>
      <c r="D257" s="63">
        <v>2</v>
      </c>
      <c r="E257" s="64">
        <v>1.7389792192000001E-4</v>
      </c>
    </row>
    <row r="258" spans="2:5" ht="14.5" customHeight="1">
      <c r="B258" s="89"/>
      <c r="C258" s="62" t="s">
        <v>244</v>
      </c>
      <c r="D258" s="63">
        <v>9</v>
      </c>
      <c r="E258" s="64">
        <v>7.8254064863900001E-4</v>
      </c>
    </row>
    <row r="259" spans="2:5" ht="14.5" customHeight="1">
      <c r="B259" s="89"/>
      <c r="C259" s="62" t="s">
        <v>245</v>
      </c>
      <c r="D259" s="63">
        <v>2</v>
      </c>
      <c r="E259" s="64">
        <v>1.7389792192000001E-4</v>
      </c>
    </row>
    <row r="260" spans="2:5" ht="14.5" customHeight="1">
      <c r="B260" s="89"/>
      <c r="C260" s="62" t="s">
        <v>246</v>
      </c>
      <c r="D260" s="63">
        <v>39</v>
      </c>
      <c r="E260" s="64">
        <v>3.391009477437E-3</v>
      </c>
    </row>
    <row r="261" spans="2:5" ht="14.5" customHeight="1">
      <c r="B261" s="89"/>
      <c r="C261" s="62" t="s">
        <v>247</v>
      </c>
      <c r="D261" s="63">
        <v>127</v>
      </c>
      <c r="E261" s="64">
        <v>1.1042518041909E-2</v>
      </c>
    </row>
    <row r="262" spans="2:5" ht="14.5" customHeight="1">
      <c r="B262" s="89"/>
      <c r="C262" s="62" t="s">
        <v>248</v>
      </c>
      <c r="D262" s="63">
        <v>1</v>
      </c>
      <c r="E262" s="64">
        <v>8.6948960960000005E-5</v>
      </c>
    </row>
    <row r="263" spans="2:5" ht="14.5" customHeight="1">
      <c r="B263" s="89"/>
      <c r="C263" s="62" t="s">
        <v>249</v>
      </c>
      <c r="D263" s="63">
        <v>3</v>
      </c>
      <c r="E263" s="64">
        <v>2.6084688287999997E-4</v>
      </c>
    </row>
    <row r="264" spans="2:5" ht="14.5" customHeight="1">
      <c r="B264" s="89"/>
      <c r="C264" s="62" t="s">
        <v>250</v>
      </c>
      <c r="D264" s="63">
        <v>2</v>
      </c>
      <c r="E264" s="64">
        <v>1.7389792192000001E-4</v>
      </c>
    </row>
    <row r="265" spans="2:5" ht="14.5" customHeight="1">
      <c r="B265" s="90"/>
      <c r="C265" s="36" t="s">
        <v>28</v>
      </c>
      <c r="D265" s="35">
        <v>1665</v>
      </c>
      <c r="E265" s="34">
        <v>0.144770019998261</v>
      </c>
    </row>
    <row r="266" spans="2:5" ht="14.5" customHeight="1">
      <c r="B266" s="79" t="s">
        <v>71</v>
      </c>
      <c r="C266" s="62" t="s">
        <v>230</v>
      </c>
      <c r="D266" s="63">
        <v>1</v>
      </c>
      <c r="E266" s="64">
        <v>8.6948960960000005E-5</v>
      </c>
    </row>
    <row r="267" spans="2:5" ht="14.5" customHeight="1">
      <c r="B267" s="81"/>
      <c r="C267" s="62" t="s">
        <v>232</v>
      </c>
      <c r="D267" s="63">
        <v>2</v>
      </c>
      <c r="E267" s="64">
        <v>1.7389792192000001E-4</v>
      </c>
    </row>
    <row r="268" spans="2:5" ht="14.5" customHeight="1">
      <c r="B268" s="81"/>
      <c r="C268" s="62" t="s">
        <v>233</v>
      </c>
      <c r="D268" s="63">
        <v>7</v>
      </c>
      <c r="E268" s="64">
        <v>6.0864272671900003E-4</v>
      </c>
    </row>
    <row r="269" spans="2:5" ht="14.5" customHeight="1">
      <c r="B269" s="81"/>
      <c r="C269" s="62" t="s">
        <v>234</v>
      </c>
      <c r="D269" s="63">
        <v>8</v>
      </c>
      <c r="E269" s="64">
        <v>6.9559168767899997E-4</v>
      </c>
    </row>
    <row r="270" spans="2:5" ht="14.5" customHeight="1">
      <c r="B270" s="81"/>
      <c r="C270" s="62" t="s">
        <v>235</v>
      </c>
      <c r="D270" s="63">
        <v>3</v>
      </c>
      <c r="E270" s="64">
        <v>2.6084688287999997E-4</v>
      </c>
    </row>
    <row r="271" spans="2:5" ht="14.5" customHeight="1">
      <c r="B271" s="81"/>
      <c r="C271" s="62" t="s">
        <v>236</v>
      </c>
      <c r="D271" s="63">
        <v>2</v>
      </c>
      <c r="E271" s="64">
        <v>1.7389792192000001E-4</v>
      </c>
    </row>
    <row r="272" spans="2:5" ht="14.5" customHeight="1">
      <c r="B272" s="81"/>
      <c r="C272" s="62" t="s">
        <v>237</v>
      </c>
      <c r="D272" s="63">
        <v>3</v>
      </c>
      <c r="E272" s="64">
        <v>2.6084688287999997E-4</v>
      </c>
    </row>
    <row r="273" spans="2:5" ht="14.5" customHeight="1">
      <c r="B273" s="81"/>
      <c r="C273" s="62" t="s">
        <v>238</v>
      </c>
      <c r="D273" s="63">
        <v>20</v>
      </c>
      <c r="E273" s="64">
        <v>1.7389792191979999E-3</v>
      </c>
    </row>
    <row r="274" spans="2:5" ht="14.5" customHeight="1">
      <c r="B274" s="81"/>
      <c r="C274" s="62" t="s">
        <v>239</v>
      </c>
      <c r="D274" s="63">
        <v>2</v>
      </c>
      <c r="E274" s="64">
        <v>1.7389792192000001E-4</v>
      </c>
    </row>
    <row r="275" spans="2:5" ht="14.5" customHeight="1">
      <c r="B275" s="81"/>
      <c r="C275" s="62" t="s">
        <v>240</v>
      </c>
      <c r="D275" s="63">
        <v>5</v>
      </c>
      <c r="E275" s="64">
        <v>4.3474480480000001E-4</v>
      </c>
    </row>
    <row r="276" spans="2:5" ht="14.5" customHeight="1">
      <c r="B276" s="81"/>
      <c r="C276" s="62" t="s">
        <v>241</v>
      </c>
      <c r="D276" s="63">
        <v>18</v>
      </c>
      <c r="E276" s="64">
        <v>1.565081297278E-3</v>
      </c>
    </row>
    <row r="277" spans="2:5" ht="14.5" customHeight="1">
      <c r="B277" s="81"/>
      <c r="C277" s="62" t="s">
        <v>244</v>
      </c>
      <c r="D277" s="63">
        <v>1</v>
      </c>
      <c r="E277" s="64">
        <v>8.6948960960000005E-5</v>
      </c>
    </row>
    <row r="278" spans="2:5" ht="14.5" customHeight="1">
      <c r="B278" s="81"/>
      <c r="C278" s="62" t="s">
        <v>246</v>
      </c>
      <c r="D278" s="63">
        <v>1</v>
      </c>
      <c r="E278" s="64">
        <v>8.6948960960000005E-5</v>
      </c>
    </row>
    <row r="279" spans="2:5" ht="14.5" customHeight="1">
      <c r="B279" s="81"/>
      <c r="C279" s="62" t="s">
        <v>247</v>
      </c>
      <c r="D279" s="63">
        <v>5</v>
      </c>
      <c r="E279" s="64">
        <v>4.3474480480000001E-4</v>
      </c>
    </row>
    <row r="280" spans="2:5" ht="14.5" customHeight="1">
      <c r="B280" s="80"/>
      <c r="C280" s="36" t="s">
        <v>28</v>
      </c>
      <c r="D280" s="35">
        <v>78</v>
      </c>
      <c r="E280" s="34">
        <v>6.782018954873E-3</v>
      </c>
    </row>
    <row r="281" spans="2:5" ht="14.5" customHeight="1">
      <c r="B281" s="79" t="s">
        <v>54</v>
      </c>
      <c r="C281" s="62" t="s">
        <v>227</v>
      </c>
      <c r="D281" s="63">
        <v>2</v>
      </c>
      <c r="E281" s="64">
        <v>1.7389792192000001E-4</v>
      </c>
    </row>
    <row r="282" spans="2:5" ht="14.5" customHeight="1">
      <c r="B282" s="81"/>
      <c r="C282" s="62" t="s">
        <v>228</v>
      </c>
      <c r="D282" s="63">
        <v>2</v>
      </c>
      <c r="E282" s="64">
        <v>1.7389792192000001E-4</v>
      </c>
    </row>
    <row r="283" spans="2:5" ht="14.5" customHeight="1">
      <c r="B283" s="81"/>
      <c r="C283" s="62" t="s">
        <v>229</v>
      </c>
      <c r="D283" s="63">
        <v>2</v>
      </c>
      <c r="E283" s="64">
        <v>1.7389792192000001E-4</v>
      </c>
    </row>
    <row r="284" spans="2:5" ht="14.5" customHeight="1">
      <c r="B284" s="81"/>
      <c r="C284" s="62" t="s">
        <v>230</v>
      </c>
      <c r="D284" s="63">
        <v>4</v>
      </c>
      <c r="E284" s="64">
        <v>3.4779584384000002E-4</v>
      </c>
    </row>
    <row r="285" spans="2:5" ht="14.5" customHeight="1">
      <c r="B285" s="81"/>
      <c r="C285" s="62" t="s">
        <v>231</v>
      </c>
      <c r="D285" s="63">
        <v>1</v>
      </c>
      <c r="E285" s="64">
        <v>8.6948960960000005E-5</v>
      </c>
    </row>
    <row r="286" spans="2:5" ht="14.5" customHeight="1">
      <c r="B286" s="81"/>
      <c r="C286" s="62" t="s">
        <v>232</v>
      </c>
      <c r="D286" s="63">
        <v>3</v>
      </c>
      <c r="E286" s="64">
        <v>2.6084688287999997E-4</v>
      </c>
    </row>
    <row r="287" spans="2:5" ht="14.5" customHeight="1">
      <c r="B287" s="81"/>
      <c r="C287" s="62" t="s">
        <v>233</v>
      </c>
      <c r="D287" s="63">
        <v>9</v>
      </c>
      <c r="E287" s="64">
        <v>7.8254064863900001E-4</v>
      </c>
    </row>
    <row r="288" spans="2:5" ht="14.5" customHeight="1">
      <c r="B288" s="81"/>
      <c r="C288" s="62" t="s">
        <v>234</v>
      </c>
      <c r="D288" s="63">
        <v>25</v>
      </c>
      <c r="E288" s="64">
        <v>2.1737240239979999E-3</v>
      </c>
    </row>
    <row r="289" spans="2:5" ht="14.5" customHeight="1">
      <c r="B289" s="81"/>
      <c r="C289" s="62" t="s">
        <v>235</v>
      </c>
      <c r="D289" s="63">
        <v>1</v>
      </c>
      <c r="E289" s="64">
        <v>8.6948960960000005E-5</v>
      </c>
    </row>
    <row r="290" spans="2:5" ht="14.5" customHeight="1">
      <c r="B290" s="81"/>
      <c r="C290" s="62" t="s">
        <v>236</v>
      </c>
      <c r="D290" s="63">
        <v>6</v>
      </c>
      <c r="E290" s="64">
        <v>5.2169376575899999E-4</v>
      </c>
    </row>
    <row r="291" spans="2:5" ht="14.5" customHeight="1">
      <c r="B291" s="81"/>
      <c r="C291" s="62" t="s">
        <v>237</v>
      </c>
      <c r="D291" s="63">
        <v>12</v>
      </c>
      <c r="E291" s="64">
        <v>1.043387531519E-3</v>
      </c>
    </row>
    <row r="292" spans="2:5" ht="14.5" customHeight="1">
      <c r="B292" s="81"/>
      <c r="C292" s="62" t="s">
        <v>238</v>
      </c>
      <c r="D292" s="63">
        <v>66</v>
      </c>
      <c r="E292" s="64">
        <v>5.7386314233540004E-3</v>
      </c>
    </row>
    <row r="293" spans="2:5" ht="14.5" customHeight="1">
      <c r="B293" s="81"/>
      <c r="C293" s="62" t="s">
        <v>239</v>
      </c>
      <c r="D293" s="63">
        <v>7</v>
      </c>
      <c r="E293" s="64">
        <v>6.0864272671900003E-4</v>
      </c>
    </row>
    <row r="294" spans="2:5" ht="14.5" customHeight="1">
      <c r="B294" s="81"/>
      <c r="C294" s="62" t="s">
        <v>240</v>
      </c>
      <c r="D294" s="63">
        <v>32</v>
      </c>
      <c r="E294" s="64">
        <v>2.7823667507169999E-3</v>
      </c>
    </row>
    <row r="295" spans="2:5" ht="14.5" customHeight="1">
      <c r="B295" s="81"/>
      <c r="C295" s="62" t="s">
        <v>241</v>
      </c>
      <c r="D295" s="63">
        <v>68</v>
      </c>
      <c r="E295" s="64">
        <v>5.9125293452740001E-3</v>
      </c>
    </row>
    <row r="296" spans="2:5" ht="14.5" customHeight="1">
      <c r="B296" s="81"/>
      <c r="C296" s="62" t="s">
        <v>242</v>
      </c>
      <c r="D296" s="63">
        <v>1</v>
      </c>
      <c r="E296" s="64">
        <v>8.6948960960000005E-5</v>
      </c>
    </row>
    <row r="297" spans="2:5" ht="14.5" customHeight="1">
      <c r="B297" s="81"/>
      <c r="C297" s="62" t="s">
        <v>243</v>
      </c>
      <c r="D297" s="63">
        <v>1</v>
      </c>
      <c r="E297" s="64">
        <v>8.6948960960000005E-5</v>
      </c>
    </row>
    <row r="298" spans="2:5" ht="14.5" customHeight="1">
      <c r="B298" s="81"/>
      <c r="C298" s="62" t="s">
        <v>244</v>
      </c>
      <c r="D298" s="63">
        <v>1</v>
      </c>
      <c r="E298" s="64">
        <v>8.6948960960000005E-5</v>
      </c>
    </row>
    <row r="299" spans="2:5" ht="14.5" customHeight="1">
      <c r="B299" s="81"/>
      <c r="C299" s="62" t="s">
        <v>246</v>
      </c>
      <c r="D299" s="63">
        <v>3</v>
      </c>
      <c r="E299" s="64">
        <v>2.6084688287999997E-4</v>
      </c>
    </row>
    <row r="300" spans="2:5" ht="14.5" customHeight="1">
      <c r="B300" s="81"/>
      <c r="C300" s="62" t="s">
        <v>247</v>
      </c>
      <c r="D300" s="63">
        <v>18</v>
      </c>
      <c r="E300" s="64">
        <v>1.565081297278E-3</v>
      </c>
    </row>
    <row r="301" spans="2:5" ht="14.5" customHeight="1">
      <c r="B301" s="80"/>
      <c r="C301" s="36" t="s">
        <v>28</v>
      </c>
      <c r="D301" s="35">
        <v>264</v>
      </c>
      <c r="E301" s="34">
        <v>2.2954525693418E-2</v>
      </c>
    </row>
    <row r="302" spans="2:5" ht="14.5" customHeight="1">
      <c r="B302" s="79" t="s">
        <v>67</v>
      </c>
      <c r="C302" s="62" t="s">
        <v>227</v>
      </c>
      <c r="D302" s="63">
        <v>1</v>
      </c>
      <c r="E302" s="64">
        <v>8.6948960960000005E-5</v>
      </c>
    </row>
    <row r="303" spans="2:5" ht="14.5" customHeight="1">
      <c r="B303" s="81"/>
      <c r="C303" s="62" t="s">
        <v>228</v>
      </c>
      <c r="D303" s="63">
        <v>1</v>
      </c>
      <c r="E303" s="64">
        <v>8.6948960960000005E-5</v>
      </c>
    </row>
    <row r="304" spans="2:5" ht="14.5" customHeight="1">
      <c r="B304" s="81"/>
      <c r="C304" s="62" t="s">
        <v>230</v>
      </c>
      <c r="D304" s="63">
        <v>1</v>
      </c>
      <c r="E304" s="64">
        <v>8.6948960960000005E-5</v>
      </c>
    </row>
    <row r="305" spans="2:5" ht="14.5" customHeight="1">
      <c r="B305" s="81"/>
      <c r="C305" s="62" t="s">
        <v>231</v>
      </c>
      <c r="D305" s="63">
        <v>3</v>
      </c>
      <c r="E305" s="64">
        <v>2.6084688287999997E-4</v>
      </c>
    </row>
    <row r="306" spans="2:5" ht="14.5" customHeight="1">
      <c r="B306" s="81"/>
      <c r="C306" s="62" t="s">
        <v>232</v>
      </c>
      <c r="D306" s="63">
        <v>4</v>
      </c>
      <c r="E306" s="64">
        <v>3.4779584384000002E-4</v>
      </c>
    </row>
    <row r="307" spans="2:5" ht="14.5" customHeight="1">
      <c r="B307" s="81"/>
      <c r="C307" s="62" t="s">
        <v>233</v>
      </c>
      <c r="D307" s="63">
        <v>10</v>
      </c>
      <c r="E307" s="64">
        <v>8.6948960959899995E-4</v>
      </c>
    </row>
    <row r="308" spans="2:5" ht="14.5" customHeight="1">
      <c r="B308" s="81"/>
      <c r="C308" s="62" t="s">
        <v>234</v>
      </c>
      <c r="D308" s="63">
        <v>4</v>
      </c>
      <c r="E308" s="64">
        <v>3.4779584384000002E-4</v>
      </c>
    </row>
    <row r="309" spans="2:5" ht="14.5" customHeight="1">
      <c r="B309" s="81"/>
      <c r="C309" s="62" t="s">
        <v>235</v>
      </c>
      <c r="D309" s="63">
        <v>2</v>
      </c>
      <c r="E309" s="64">
        <v>1.7389792192000001E-4</v>
      </c>
    </row>
    <row r="310" spans="2:5" ht="14.5" customHeight="1">
      <c r="B310" s="81"/>
      <c r="C310" s="62" t="s">
        <v>236</v>
      </c>
      <c r="D310" s="63">
        <v>2</v>
      </c>
      <c r="E310" s="64">
        <v>1.7389792192000001E-4</v>
      </c>
    </row>
    <row r="311" spans="2:5" ht="14.5" customHeight="1">
      <c r="B311" s="81"/>
      <c r="C311" s="62" t="s">
        <v>237</v>
      </c>
      <c r="D311" s="63">
        <v>7</v>
      </c>
      <c r="E311" s="64">
        <v>6.0864272671900003E-4</v>
      </c>
    </row>
    <row r="312" spans="2:5" ht="14.5" customHeight="1">
      <c r="B312" s="81"/>
      <c r="C312" s="62" t="s">
        <v>238</v>
      </c>
      <c r="D312" s="63">
        <v>18</v>
      </c>
      <c r="E312" s="64">
        <v>1.565081297278E-3</v>
      </c>
    </row>
    <row r="313" spans="2:5" ht="14.5" customHeight="1">
      <c r="B313" s="81"/>
      <c r="C313" s="62" t="s">
        <v>239</v>
      </c>
      <c r="D313" s="63">
        <v>3</v>
      </c>
      <c r="E313" s="64">
        <v>2.6084688287999997E-4</v>
      </c>
    </row>
    <row r="314" spans="2:5" ht="14.5" customHeight="1">
      <c r="B314" s="81"/>
      <c r="C314" s="62" t="s">
        <v>240</v>
      </c>
      <c r="D314" s="63">
        <v>8</v>
      </c>
      <c r="E314" s="64">
        <v>6.9559168767899997E-4</v>
      </c>
    </row>
    <row r="315" spans="2:5" ht="14.5" customHeight="1">
      <c r="B315" s="81"/>
      <c r="C315" s="62" t="s">
        <v>241</v>
      </c>
      <c r="D315" s="63">
        <v>22</v>
      </c>
      <c r="E315" s="64">
        <v>1.912877141118E-3</v>
      </c>
    </row>
    <row r="316" spans="2:5" ht="14.5" customHeight="1">
      <c r="B316" s="81"/>
      <c r="C316" s="62" t="s">
        <v>243</v>
      </c>
      <c r="D316" s="63">
        <v>2</v>
      </c>
      <c r="E316" s="64">
        <v>1.7389792192000001E-4</v>
      </c>
    </row>
    <row r="317" spans="2:5" ht="14.5" customHeight="1">
      <c r="B317" s="81"/>
      <c r="C317" s="62" t="s">
        <v>244</v>
      </c>
      <c r="D317" s="63">
        <v>1</v>
      </c>
      <c r="E317" s="64">
        <v>8.6948960960000005E-5</v>
      </c>
    </row>
    <row r="318" spans="2:5" ht="14.5" customHeight="1">
      <c r="B318" s="81"/>
      <c r="C318" s="62" t="s">
        <v>246</v>
      </c>
      <c r="D318" s="63">
        <v>2</v>
      </c>
      <c r="E318" s="64">
        <v>1.7389792192000001E-4</v>
      </c>
    </row>
    <row r="319" spans="2:5" ht="14.5" customHeight="1">
      <c r="B319" s="81"/>
      <c r="C319" s="62" t="s">
        <v>247</v>
      </c>
      <c r="D319" s="63">
        <v>25</v>
      </c>
      <c r="E319" s="64">
        <v>2.1737240239979999E-3</v>
      </c>
    </row>
    <row r="320" spans="2:5" ht="14.5" customHeight="1">
      <c r="B320" s="80"/>
      <c r="C320" s="36" t="s">
        <v>28</v>
      </c>
      <c r="D320" s="35">
        <v>116</v>
      </c>
      <c r="E320" s="34">
        <v>1.008607947135E-2</v>
      </c>
    </row>
    <row r="321" spans="2:5" ht="14.5" customHeight="1">
      <c r="B321" s="79" t="s">
        <v>69</v>
      </c>
      <c r="C321" s="62" t="s">
        <v>229</v>
      </c>
      <c r="D321" s="63">
        <v>1</v>
      </c>
      <c r="E321" s="64">
        <v>8.6948960960000005E-5</v>
      </c>
    </row>
    <row r="322" spans="2:5" ht="14.5" customHeight="1">
      <c r="B322" s="81"/>
      <c r="C322" s="62" t="s">
        <v>230</v>
      </c>
      <c r="D322" s="63">
        <v>1</v>
      </c>
      <c r="E322" s="64">
        <v>8.6948960960000005E-5</v>
      </c>
    </row>
    <row r="323" spans="2:5" ht="14.5" customHeight="1">
      <c r="B323" s="81"/>
      <c r="C323" s="62" t="s">
        <v>231</v>
      </c>
      <c r="D323" s="63">
        <v>1</v>
      </c>
      <c r="E323" s="64">
        <v>8.6948960960000005E-5</v>
      </c>
    </row>
    <row r="324" spans="2:5" ht="14.5" customHeight="1">
      <c r="B324" s="81"/>
      <c r="C324" s="62" t="s">
        <v>232</v>
      </c>
      <c r="D324" s="63">
        <v>1</v>
      </c>
      <c r="E324" s="64">
        <v>8.6948960960000005E-5</v>
      </c>
    </row>
    <row r="325" spans="2:5" ht="14.5" customHeight="1">
      <c r="B325" s="81"/>
      <c r="C325" s="62" t="s">
        <v>233</v>
      </c>
      <c r="D325" s="63">
        <v>5</v>
      </c>
      <c r="E325" s="64">
        <v>4.3474480480000001E-4</v>
      </c>
    </row>
    <row r="326" spans="2:5" ht="14.5" customHeight="1">
      <c r="B326" s="81"/>
      <c r="C326" s="62" t="s">
        <v>234</v>
      </c>
      <c r="D326" s="63">
        <v>5</v>
      </c>
      <c r="E326" s="64">
        <v>4.3474480480000001E-4</v>
      </c>
    </row>
    <row r="327" spans="2:5" ht="14.5" customHeight="1">
      <c r="B327" s="81"/>
      <c r="C327" s="62" t="s">
        <v>235</v>
      </c>
      <c r="D327" s="63">
        <v>1</v>
      </c>
      <c r="E327" s="64">
        <v>8.6948960960000005E-5</v>
      </c>
    </row>
    <row r="328" spans="2:5" ht="14.5" customHeight="1">
      <c r="B328" s="81"/>
      <c r="C328" s="62" t="s">
        <v>236</v>
      </c>
      <c r="D328" s="63">
        <v>3</v>
      </c>
      <c r="E328" s="64">
        <v>2.6084688287999997E-4</v>
      </c>
    </row>
    <row r="329" spans="2:5" ht="14.5" customHeight="1">
      <c r="B329" s="81"/>
      <c r="C329" s="62" t="s">
        <v>237</v>
      </c>
      <c r="D329" s="63">
        <v>2</v>
      </c>
      <c r="E329" s="64">
        <v>1.7389792192000001E-4</v>
      </c>
    </row>
    <row r="330" spans="2:5" ht="14.5" customHeight="1">
      <c r="B330" s="81"/>
      <c r="C330" s="62" t="s">
        <v>238</v>
      </c>
      <c r="D330" s="63">
        <v>21</v>
      </c>
      <c r="E330" s="64">
        <v>1.8259281801579999E-3</v>
      </c>
    </row>
    <row r="331" spans="2:5" ht="14.5" customHeight="1">
      <c r="B331" s="81"/>
      <c r="C331" s="62" t="s">
        <v>239</v>
      </c>
      <c r="D331" s="63">
        <v>3</v>
      </c>
      <c r="E331" s="64">
        <v>2.6084688287999997E-4</v>
      </c>
    </row>
    <row r="332" spans="2:5" ht="14.5" customHeight="1">
      <c r="B332" s="81"/>
      <c r="C332" s="62" t="s">
        <v>240</v>
      </c>
      <c r="D332" s="63">
        <v>9</v>
      </c>
      <c r="E332" s="64">
        <v>7.8254064863900001E-4</v>
      </c>
    </row>
    <row r="333" spans="2:5" ht="14.5" customHeight="1">
      <c r="B333" s="81"/>
      <c r="C333" s="62" t="s">
        <v>241</v>
      </c>
      <c r="D333" s="63">
        <v>19</v>
      </c>
      <c r="E333" s="64">
        <v>1.6520302582380001E-3</v>
      </c>
    </row>
    <row r="334" spans="2:5" ht="14.5" customHeight="1">
      <c r="B334" s="81"/>
      <c r="C334" s="62" t="s">
        <v>246</v>
      </c>
      <c r="D334" s="63">
        <v>1</v>
      </c>
      <c r="E334" s="64">
        <v>8.6948960960000005E-5</v>
      </c>
    </row>
    <row r="335" spans="2:5" ht="14.5" customHeight="1">
      <c r="B335" s="81"/>
      <c r="C335" s="62" t="s">
        <v>247</v>
      </c>
      <c r="D335" s="63">
        <v>7</v>
      </c>
      <c r="E335" s="64">
        <v>6.0864272671900003E-4</v>
      </c>
    </row>
    <row r="336" spans="2:5" ht="14.5" customHeight="1">
      <c r="B336" s="80"/>
      <c r="C336" s="36" t="s">
        <v>28</v>
      </c>
      <c r="D336" s="35">
        <v>80</v>
      </c>
      <c r="E336" s="34">
        <v>6.9559168767929997E-3</v>
      </c>
    </row>
    <row r="337" spans="2:5" ht="14.5" customHeight="1">
      <c r="B337" s="79" t="s">
        <v>59</v>
      </c>
      <c r="C337" s="62" t="s">
        <v>232</v>
      </c>
      <c r="D337" s="63">
        <v>2</v>
      </c>
      <c r="E337" s="64">
        <v>1.7389792192000001E-4</v>
      </c>
    </row>
    <row r="338" spans="2:5" ht="14.5" customHeight="1">
      <c r="B338" s="81"/>
      <c r="C338" s="62" t="s">
        <v>233</v>
      </c>
      <c r="D338" s="63">
        <v>15</v>
      </c>
      <c r="E338" s="64">
        <v>1.304234414399E-3</v>
      </c>
    </row>
    <row r="339" spans="2:5" ht="14.5" customHeight="1">
      <c r="B339" s="81"/>
      <c r="C339" s="62" t="s">
        <v>234</v>
      </c>
      <c r="D339" s="63">
        <v>14</v>
      </c>
      <c r="E339" s="64">
        <v>1.2172854534389999E-3</v>
      </c>
    </row>
    <row r="340" spans="2:5" ht="14.5" customHeight="1">
      <c r="B340" s="81"/>
      <c r="C340" s="62" t="s">
        <v>235</v>
      </c>
      <c r="D340" s="63">
        <v>1</v>
      </c>
      <c r="E340" s="64">
        <v>8.6948960960000005E-5</v>
      </c>
    </row>
    <row r="341" spans="2:5" ht="14.5" customHeight="1">
      <c r="B341" s="81"/>
      <c r="C341" s="62" t="s">
        <v>236</v>
      </c>
      <c r="D341" s="63">
        <v>4</v>
      </c>
      <c r="E341" s="64">
        <v>3.4779584384000002E-4</v>
      </c>
    </row>
    <row r="342" spans="2:5" ht="14.5" customHeight="1">
      <c r="B342" s="81"/>
      <c r="C342" s="62" t="s">
        <v>237</v>
      </c>
      <c r="D342" s="63">
        <v>9</v>
      </c>
      <c r="E342" s="64">
        <v>7.8254064863900001E-4</v>
      </c>
    </row>
    <row r="343" spans="2:5" ht="14.5" customHeight="1">
      <c r="B343" s="81"/>
      <c r="C343" s="62" t="s">
        <v>238</v>
      </c>
      <c r="D343" s="63">
        <v>63</v>
      </c>
      <c r="E343" s="64">
        <v>5.4777845404750001E-3</v>
      </c>
    </row>
    <row r="344" spans="2:5" ht="14.5" customHeight="1">
      <c r="B344" s="81"/>
      <c r="C344" s="62" t="s">
        <v>239</v>
      </c>
      <c r="D344" s="63">
        <v>5</v>
      </c>
      <c r="E344" s="64">
        <v>4.3474480480000001E-4</v>
      </c>
    </row>
    <row r="345" spans="2:5" ht="14.5" customHeight="1">
      <c r="B345" s="81"/>
      <c r="C345" s="62" t="s">
        <v>240</v>
      </c>
      <c r="D345" s="63">
        <v>10</v>
      </c>
      <c r="E345" s="64">
        <v>8.6948960959899995E-4</v>
      </c>
    </row>
    <row r="346" spans="2:5" ht="14.5" customHeight="1">
      <c r="B346" s="81"/>
      <c r="C346" s="62" t="s">
        <v>241</v>
      </c>
      <c r="D346" s="63">
        <v>56</v>
      </c>
      <c r="E346" s="64">
        <v>4.8691418137549996E-3</v>
      </c>
    </row>
    <row r="347" spans="2:5" ht="14.5" customHeight="1">
      <c r="B347" s="81"/>
      <c r="C347" s="62" t="s">
        <v>243</v>
      </c>
      <c r="D347" s="63">
        <v>1</v>
      </c>
      <c r="E347" s="64">
        <v>8.6948960960000005E-5</v>
      </c>
    </row>
    <row r="348" spans="2:5" ht="14.5" customHeight="1">
      <c r="B348" s="81"/>
      <c r="C348" s="62" t="s">
        <v>246</v>
      </c>
      <c r="D348" s="63">
        <v>3</v>
      </c>
      <c r="E348" s="64">
        <v>2.6084688287999997E-4</v>
      </c>
    </row>
    <row r="349" spans="2:5" ht="14.5" customHeight="1">
      <c r="B349" s="81"/>
      <c r="C349" s="62" t="s">
        <v>247</v>
      </c>
      <c r="D349" s="63">
        <v>11</v>
      </c>
      <c r="E349" s="64">
        <v>9.56438570559E-4</v>
      </c>
    </row>
    <row r="350" spans="2:5" ht="14.5" customHeight="1">
      <c r="B350" s="80"/>
      <c r="C350" s="36" t="s">
        <v>28</v>
      </c>
      <c r="D350" s="35">
        <v>194</v>
      </c>
      <c r="E350" s="34">
        <v>1.6868098426223999E-2</v>
      </c>
    </row>
    <row r="351" spans="2:5" ht="14.5" customHeight="1">
      <c r="B351" s="79" t="s">
        <v>55</v>
      </c>
      <c r="C351" s="62" t="s">
        <v>227</v>
      </c>
      <c r="D351" s="63">
        <v>1</v>
      </c>
      <c r="E351" s="64">
        <v>8.6948960960000005E-5</v>
      </c>
    </row>
    <row r="352" spans="2:5" ht="14.5" customHeight="1">
      <c r="B352" s="81"/>
      <c r="C352" s="62" t="s">
        <v>228</v>
      </c>
      <c r="D352" s="63">
        <v>1</v>
      </c>
      <c r="E352" s="64">
        <v>8.6948960960000005E-5</v>
      </c>
    </row>
    <row r="353" spans="2:5" ht="14.5" customHeight="1">
      <c r="B353" s="81"/>
      <c r="C353" s="62" t="s">
        <v>229</v>
      </c>
      <c r="D353" s="63">
        <v>2</v>
      </c>
      <c r="E353" s="64">
        <v>1.7389792192000001E-4</v>
      </c>
    </row>
    <row r="354" spans="2:5" ht="14.5" customHeight="1">
      <c r="B354" s="81"/>
      <c r="C354" s="62" t="s">
        <v>230</v>
      </c>
      <c r="D354" s="63">
        <v>3</v>
      </c>
      <c r="E354" s="64">
        <v>2.6084688287999997E-4</v>
      </c>
    </row>
    <row r="355" spans="2:5" ht="14.5" customHeight="1">
      <c r="B355" s="81"/>
      <c r="C355" s="62" t="s">
        <v>231</v>
      </c>
      <c r="D355" s="63">
        <v>2</v>
      </c>
      <c r="E355" s="64">
        <v>1.7389792192000001E-4</v>
      </c>
    </row>
    <row r="356" spans="2:5" ht="14.5" customHeight="1">
      <c r="B356" s="81"/>
      <c r="C356" s="62" t="s">
        <v>233</v>
      </c>
      <c r="D356" s="63">
        <v>12</v>
      </c>
      <c r="E356" s="64">
        <v>1.043387531519E-3</v>
      </c>
    </row>
    <row r="357" spans="2:5" ht="14.5" customHeight="1">
      <c r="B357" s="81"/>
      <c r="C357" s="62" t="s">
        <v>234</v>
      </c>
      <c r="D357" s="63">
        <v>22</v>
      </c>
      <c r="E357" s="64">
        <v>1.912877141118E-3</v>
      </c>
    </row>
    <row r="358" spans="2:5" ht="14.5" customHeight="1">
      <c r="B358" s="81"/>
      <c r="C358" s="62" t="s">
        <v>235</v>
      </c>
      <c r="D358" s="63">
        <v>4</v>
      </c>
      <c r="E358" s="64">
        <v>3.4779584384000002E-4</v>
      </c>
    </row>
    <row r="359" spans="2:5" ht="14.5" customHeight="1">
      <c r="B359" s="81"/>
      <c r="C359" s="62" t="s">
        <v>236</v>
      </c>
      <c r="D359" s="63">
        <v>4</v>
      </c>
      <c r="E359" s="64">
        <v>3.4779584384000002E-4</v>
      </c>
    </row>
    <row r="360" spans="2:5" ht="14.5" customHeight="1">
      <c r="B360" s="81"/>
      <c r="C360" s="62" t="s">
        <v>237</v>
      </c>
      <c r="D360" s="63">
        <v>10</v>
      </c>
      <c r="E360" s="64">
        <v>8.6948960959899995E-4</v>
      </c>
    </row>
    <row r="361" spans="2:5" ht="14.5" customHeight="1">
      <c r="B361" s="81"/>
      <c r="C361" s="62" t="s">
        <v>238</v>
      </c>
      <c r="D361" s="63">
        <v>83</v>
      </c>
      <c r="E361" s="64">
        <v>7.216763759673E-3</v>
      </c>
    </row>
    <row r="362" spans="2:5" ht="14.5" customHeight="1">
      <c r="B362" s="81"/>
      <c r="C362" s="62" t="s">
        <v>239</v>
      </c>
      <c r="D362" s="63">
        <v>5</v>
      </c>
      <c r="E362" s="64">
        <v>4.3474480480000001E-4</v>
      </c>
    </row>
    <row r="363" spans="2:5" ht="14.5" customHeight="1">
      <c r="B363" s="81"/>
      <c r="C363" s="62" t="s">
        <v>240</v>
      </c>
      <c r="D363" s="63">
        <v>13</v>
      </c>
      <c r="E363" s="64">
        <v>1.1303364924790001E-3</v>
      </c>
    </row>
    <row r="364" spans="2:5" ht="14.5" customHeight="1">
      <c r="B364" s="81"/>
      <c r="C364" s="62" t="s">
        <v>241</v>
      </c>
      <c r="D364" s="63">
        <v>61</v>
      </c>
      <c r="E364" s="64">
        <v>5.3038866185549996E-3</v>
      </c>
    </row>
    <row r="365" spans="2:5" ht="14.5" customHeight="1">
      <c r="B365" s="81"/>
      <c r="C365" s="62" t="s">
        <v>243</v>
      </c>
      <c r="D365" s="63">
        <v>1</v>
      </c>
      <c r="E365" s="64">
        <v>8.6948960960000005E-5</v>
      </c>
    </row>
    <row r="366" spans="2:5" ht="14.5" customHeight="1">
      <c r="B366" s="81"/>
      <c r="C366" s="62" t="s">
        <v>244</v>
      </c>
      <c r="D366" s="63">
        <v>1</v>
      </c>
      <c r="E366" s="64">
        <v>8.6948960960000005E-5</v>
      </c>
    </row>
    <row r="367" spans="2:5" ht="14.5" customHeight="1">
      <c r="B367" s="81"/>
      <c r="C367" s="62" t="s">
        <v>245</v>
      </c>
      <c r="D367" s="63">
        <v>2</v>
      </c>
      <c r="E367" s="64">
        <v>1.7389792192000001E-4</v>
      </c>
    </row>
    <row r="368" spans="2:5" ht="14.5" customHeight="1">
      <c r="B368" s="81"/>
      <c r="C368" s="62" t="s">
        <v>246</v>
      </c>
      <c r="D368" s="63">
        <v>5</v>
      </c>
      <c r="E368" s="64">
        <v>4.3474480480000001E-4</v>
      </c>
    </row>
    <row r="369" spans="2:5" ht="14.5" customHeight="1">
      <c r="B369" s="81"/>
      <c r="C369" s="62" t="s">
        <v>247</v>
      </c>
      <c r="D369" s="63">
        <v>8</v>
      </c>
      <c r="E369" s="64">
        <v>6.9559168767899997E-4</v>
      </c>
    </row>
    <row r="370" spans="2:5" ht="14.5" customHeight="1">
      <c r="B370" s="80"/>
      <c r="C370" s="36" t="s">
        <v>28</v>
      </c>
      <c r="D370" s="35">
        <v>240</v>
      </c>
      <c r="E370" s="34">
        <v>2.0867750630379999E-2</v>
      </c>
    </row>
    <row r="371" spans="2:5" ht="14.5" customHeight="1">
      <c r="B371" s="79" t="s">
        <v>58</v>
      </c>
      <c r="C371" s="62" t="s">
        <v>227</v>
      </c>
      <c r="D371" s="63">
        <v>4</v>
      </c>
      <c r="E371" s="64">
        <v>3.4779584384000002E-4</v>
      </c>
    </row>
    <row r="372" spans="2:5" ht="14.5" customHeight="1">
      <c r="B372" s="81"/>
      <c r="C372" s="62" t="s">
        <v>228</v>
      </c>
      <c r="D372" s="63">
        <v>2</v>
      </c>
      <c r="E372" s="64">
        <v>1.7389792192000001E-4</v>
      </c>
    </row>
    <row r="373" spans="2:5" ht="14.5" customHeight="1">
      <c r="B373" s="81"/>
      <c r="C373" s="62" t="s">
        <v>229</v>
      </c>
      <c r="D373" s="63">
        <v>3</v>
      </c>
      <c r="E373" s="64">
        <v>2.6084688287999997E-4</v>
      </c>
    </row>
    <row r="374" spans="2:5" ht="14.5" customHeight="1">
      <c r="B374" s="81"/>
      <c r="C374" s="62" t="s">
        <v>230</v>
      </c>
      <c r="D374" s="63">
        <v>3</v>
      </c>
      <c r="E374" s="64">
        <v>2.6084688287999997E-4</v>
      </c>
    </row>
    <row r="375" spans="2:5" ht="14.5" customHeight="1">
      <c r="B375" s="81"/>
      <c r="C375" s="62" t="s">
        <v>231</v>
      </c>
      <c r="D375" s="63">
        <v>2</v>
      </c>
      <c r="E375" s="64">
        <v>1.7389792192000001E-4</v>
      </c>
    </row>
    <row r="376" spans="2:5" ht="14.5" customHeight="1">
      <c r="B376" s="81"/>
      <c r="C376" s="62" t="s">
        <v>232</v>
      </c>
      <c r="D376" s="63">
        <v>3</v>
      </c>
      <c r="E376" s="64">
        <v>2.6084688287999997E-4</v>
      </c>
    </row>
    <row r="377" spans="2:5" ht="14.5" customHeight="1">
      <c r="B377" s="81"/>
      <c r="C377" s="62" t="s">
        <v>233</v>
      </c>
      <c r="D377" s="63">
        <v>24</v>
      </c>
      <c r="E377" s="64">
        <v>2.0867750630380001E-3</v>
      </c>
    </row>
    <row r="378" spans="2:5" ht="14.5" customHeight="1">
      <c r="B378" s="81"/>
      <c r="C378" s="62" t="s">
        <v>234</v>
      </c>
      <c r="D378" s="63">
        <v>17</v>
      </c>
      <c r="E378" s="64">
        <v>1.4781323363190001E-3</v>
      </c>
    </row>
    <row r="379" spans="2:5" ht="14.5" customHeight="1">
      <c r="B379" s="81"/>
      <c r="C379" s="62" t="s">
        <v>235</v>
      </c>
      <c r="D379" s="63">
        <v>4</v>
      </c>
      <c r="E379" s="64">
        <v>3.4779584384000002E-4</v>
      </c>
    </row>
    <row r="380" spans="2:5" ht="14.5" customHeight="1">
      <c r="B380" s="81"/>
      <c r="C380" s="62" t="s">
        <v>236</v>
      </c>
      <c r="D380" s="63">
        <v>5</v>
      </c>
      <c r="E380" s="64">
        <v>4.3474480480000001E-4</v>
      </c>
    </row>
    <row r="381" spans="2:5" ht="14.5" customHeight="1">
      <c r="B381" s="81"/>
      <c r="C381" s="62" t="s">
        <v>237</v>
      </c>
      <c r="D381" s="63">
        <v>13</v>
      </c>
      <c r="E381" s="64">
        <v>1.1303364924790001E-3</v>
      </c>
    </row>
    <row r="382" spans="2:5" ht="14.5" customHeight="1">
      <c r="B382" s="81"/>
      <c r="C382" s="62" t="s">
        <v>238</v>
      </c>
      <c r="D382" s="63">
        <v>51</v>
      </c>
      <c r="E382" s="64">
        <v>4.4343970089559996E-3</v>
      </c>
    </row>
    <row r="383" spans="2:5" ht="14.5" customHeight="1">
      <c r="B383" s="81"/>
      <c r="C383" s="62" t="s">
        <v>239</v>
      </c>
      <c r="D383" s="63">
        <v>9</v>
      </c>
      <c r="E383" s="64">
        <v>7.8254064863900001E-4</v>
      </c>
    </row>
    <row r="384" spans="2:5" ht="14.5" customHeight="1">
      <c r="B384" s="81"/>
      <c r="C384" s="62" t="s">
        <v>240</v>
      </c>
      <c r="D384" s="63">
        <v>8</v>
      </c>
      <c r="E384" s="64">
        <v>6.9559168767899997E-4</v>
      </c>
    </row>
    <row r="385" spans="2:5" ht="14.5" customHeight="1">
      <c r="B385" s="81"/>
      <c r="C385" s="62" t="s">
        <v>241</v>
      </c>
      <c r="D385" s="63">
        <v>43</v>
      </c>
      <c r="E385" s="64">
        <v>3.7388053212760002E-3</v>
      </c>
    </row>
    <row r="386" spans="2:5" ht="14.5" customHeight="1">
      <c r="B386" s="81"/>
      <c r="C386" s="62" t="s">
        <v>242</v>
      </c>
      <c r="D386" s="63">
        <v>1</v>
      </c>
      <c r="E386" s="64">
        <v>8.6948960960000005E-5</v>
      </c>
    </row>
    <row r="387" spans="2:5" ht="14.5" customHeight="1">
      <c r="B387" s="81"/>
      <c r="C387" s="62" t="s">
        <v>243</v>
      </c>
      <c r="D387" s="63">
        <v>1</v>
      </c>
      <c r="E387" s="64">
        <v>8.6948960960000005E-5</v>
      </c>
    </row>
    <row r="388" spans="2:5" ht="14.5" customHeight="1">
      <c r="B388" s="81"/>
      <c r="C388" s="62" t="s">
        <v>246</v>
      </c>
      <c r="D388" s="63">
        <v>3</v>
      </c>
      <c r="E388" s="64">
        <v>2.6084688287999997E-4</v>
      </c>
    </row>
    <row r="389" spans="2:5" ht="14.5" customHeight="1">
      <c r="B389" s="81"/>
      <c r="C389" s="62" t="s">
        <v>247</v>
      </c>
      <c r="D389" s="63">
        <v>12</v>
      </c>
      <c r="E389" s="64">
        <v>1.043387531519E-3</v>
      </c>
    </row>
    <row r="390" spans="2:5" ht="14.5" customHeight="1">
      <c r="B390" s="81"/>
      <c r="C390" s="62" t="s">
        <v>249</v>
      </c>
      <c r="D390" s="63">
        <v>2</v>
      </c>
      <c r="E390" s="64">
        <v>1.7389792192000001E-4</v>
      </c>
    </row>
    <row r="391" spans="2:5" ht="14.5" customHeight="1">
      <c r="B391" s="80"/>
      <c r="C391" s="36" t="s">
        <v>28</v>
      </c>
      <c r="D391" s="35">
        <v>210</v>
      </c>
      <c r="E391" s="34">
        <v>1.8259281801582001E-2</v>
      </c>
    </row>
    <row r="392" spans="2:5" ht="14.5" customHeight="1">
      <c r="B392" s="79" t="s">
        <v>76</v>
      </c>
      <c r="C392" s="62" t="s">
        <v>230</v>
      </c>
      <c r="D392" s="63">
        <v>1</v>
      </c>
      <c r="E392" s="64">
        <v>8.6948960960000005E-5</v>
      </c>
    </row>
    <row r="393" spans="2:5" ht="14.5" customHeight="1">
      <c r="B393" s="81"/>
      <c r="C393" s="62" t="s">
        <v>231</v>
      </c>
      <c r="D393" s="63">
        <v>2</v>
      </c>
      <c r="E393" s="64">
        <v>1.7389792192000001E-4</v>
      </c>
    </row>
    <row r="394" spans="2:5" ht="14.5" customHeight="1">
      <c r="B394" s="81"/>
      <c r="C394" s="62" t="s">
        <v>232</v>
      </c>
      <c r="D394" s="63">
        <v>1</v>
      </c>
      <c r="E394" s="64">
        <v>8.6948960960000005E-5</v>
      </c>
    </row>
    <row r="395" spans="2:5" ht="14.5" customHeight="1">
      <c r="B395" s="81"/>
      <c r="C395" s="62" t="s">
        <v>233</v>
      </c>
      <c r="D395" s="63">
        <v>1</v>
      </c>
      <c r="E395" s="64">
        <v>8.6948960960000005E-5</v>
      </c>
    </row>
    <row r="396" spans="2:5" ht="14.5" customHeight="1">
      <c r="B396" s="81"/>
      <c r="C396" s="62" t="s">
        <v>234</v>
      </c>
      <c r="D396" s="63">
        <v>11</v>
      </c>
      <c r="E396" s="64">
        <v>9.56438570559E-4</v>
      </c>
    </row>
    <row r="397" spans="2:5" ht="14.5" customHeight="1">
      <c r="B397" s="81"/>
      <c r="C397" s="62" t="s">
        <v>236</v>
      </c>
      <c r="D397" s="63">
        <v>1</v>
      </c>
      <c r="E397" s="64">
        <v>8.6948960960000005E-5</v>
      </c>
    </row>
    <row r="398" spans="2:5" ht="14.5" customHeight="1">
      <c r="B398" s="81"/>
      <c r="C398" s="62" t="s">
        <v>237</v>
      </c>
      <c r="D398" s="63">
        <v>4</v>
      </c>
      <c r="E398" s="64">
        <v>3.4779584384000002E-4</v>
      </c>
    </row>
    <row r="399" spans="2:5" ht="14.5" customHeight="1">
      <c r="B399" s="81"/>
      <c r="C399" s="62" t="s">
        <v>238</v>
      </c>
      <c r="D399" s="63">
        <v>19</v>
      </c>
      <c r="E399" s="64">
        <v>1.6520302582380001E-3</v>
      </c>
    </row>
    <row r="400" spans="2:5" ht="14.5" customHeight="1">
      <c r="B400" s="81"/>
      <c r="C400" s="62" t="s">
        <v>239</v>
      </c>
      <c r="D400" s="63">
        <v>1</v>
      </c>
      <c r="E400" s="64">
        <v>8.6948960960000005E-5</v>
      </c>
    </row>
    <row r="401" spans="2:5" ht="14.5" customHeight="1">
      <c r="B401" s="81"/>
      <c r="C401" s="62" t="s">
        <v>240</v>
      </c>
      <c r="D401" s="63">
        <v>6</v>
      </c>
      <c r="E401" s="64">
        <v>5.2169376575899999E-4</v>
      </c>
    </row>
    <row r="402" spans="2:5" ht="14.5" customHeight="1">
      <c r="B402" s="81"/>
      <c r="C402" s="62" t="s">
        <v>241</v>
      </c>
      <c r="D402" s="63">
        <v>8</v>
      </c>
      <c r="E402" s="64">
        <v>6.9559168767899997E-4</v>
      </c>
    </row>
    <row r="403" spans="2:5" ht="14.5" customHeight="1">
      <c r="B403" s="81"/>
      <c r="C403" s="62" t="s">
        <v>246</v>
      </c>
      <c r="D403" s="63">
        <v>3</v>
      </c>
      <c r="E403" s="64">
        <v>2.6084688287999997E-4</v>
      </c>
    </row>
    <row r="404" spans="2:5" ht="14.5" customHeight="1">
      <c r="B404" s="81"/>
      <c r="C404" s="62" t="s">
        <v>247</v>
      </c>
      <c r="D404" s="63">
        <v>3</v>
      </c>
      <c r="E404" s="64">
        <v>2.6084688287999997E-4</v>
      </c>
    </row>
    <row r="405" spans="2:5" ht="14.5" customHeight="1">
      <c r="B405" s="81"/>
      <c r="C405" s="62" t="s">
        <v>250</v>
      </c>
      <c r="D405" s="63">
        <v>1</v>
      </c>
      <c r="E405" s="64">
        <v>8.6948960960000005E-5</v>
      </c>
    </row>
    <row r="406" spans="2:5" ht="14.5" customHeight="1">
      <c r="B406" s="80"/>
      <c r="C406" s="36" t="s">
        <v>28</v>
      </c>
      <c r="D406" s="35">
        <v>62</v>
      </c>
      <c r="E406" s="34">
        <v>5.3908355795150003E-3</v>
      </c>
    </row>
    <row r="407" spans="2:5" ht="14.5" customHeight="1">
      <c r="B407" s="79" t="s">
        <v>68</v>
      </c>
      <c r="C407" s="62" t="s">
        <v>227</v>
      </c>
      <c r="D407" s="63">
        <v>1</v>
      </c>
      <c r="E407" s="64">
        <v>8.6948960960000005E-5</v>
      </c>
    </row>
    <row r="408" spans="2:5" ht="14.5" customHeight="1">
      <c r="B408" s="81"/>
      <c r="C408" s="62" t="s">
        <v>231</v>
      </c>
      <c r="D408" s="63">
        <v>1</v>
      </c>
      <c r="E408" s="64">
        <v>8.6948960960000005E-5</v>
      </c>
    </row>
    <row r="409" spans="2:5" ht="14.5" customHeight="1">
      <c r="B409" s="81"/>
      <c r="C409" s="62" t="s">
        <v>232</v>
      </c>
      <c r="D409" s="63">
        <v>1</v>
      </c>
      <c r="E409" s="64">
        <v>8.6948960960000005E-5</v>
      </c>
    </row>
    <row r="410" spans="2:5" ht="14.5" customHeight="1">
      <c r="B410" s="81"/>
      <c r="C410" s="62" t="s">
        <v>233</v>
      </c>
      <c r="D410" s="63">
        <v>3</v>
      </c>
      <c r="E410" s="64">
        <v>2.6084688287999997E-4</v>
      </c>
    </row>
    <row r="411" spans="2:5" ht="14.5" customHeight="1">
      <c r="B411" s="81"/>
      <c r="C411" s="62" t="s">
        <v>234</v>
      </c>
      <c r="D411" s="63">
        <v>3</v>
      </c>
      <c r="E411" s="64">
        <v>2.6084688287999997E-4</v>
      </c>
    </row>
    <row r="412" spans="2:5" ht="14.5" customHeight="1">
      <c r="B412" s="81"/>
      <c r="C412" s="62" t="s">
        <v>235</v>
      </c>
      <c r="D412" s="63">
        <v>1</v>
      </c>
      <c r="E412" s="64">
        <v>8.6948960960000005E-5</v>
      </c>
    </row>
    <row r="413" spans="2:5" ht="14.5" customHeight="1">
      <c r="B413" s="81"/>
      <c r="C413" s="62" t="s">
        <v>237</v>
      </c>
      <c r="D413" s="63">
        <v>5</v>
      </c>
      <c r="E413" s="64">
        <v>4.3474480480000001E-4</v>
      </c>
    </row>
    <row r="414" spans="2:5" ht="14.5" customHeight="1">
      <c r="B414" s="81"/>
      <c r="C414" s="62" t="s">
        <v>238</v>
      </c>
      <c r="D414" s="63">
        <v>28</v>
      </c>
      <c r="E414" s="64">
        <v>2.4345709068779998E-3</v>
      </c>
    </row>
    <row r="415" spans="2:5" ht="14.5" customHeight="1">
      <c r="B415" s="81"/>
      <c r="C415" s="62" t="s">
        <v>239</v>
      </c>
      <c r="D415" s="63">
        <v>3</v>
      </c>
      <c r="E415" s="64">
        <v>2.6084688287999997E-4</v>
      </c>
    </row>
    <row r="416" spans="2:5" ht="14.5" customHeight="1">
      <c r="B416" s="81"/>
      <c r="C416" s="62" t="s">
        <v>240</v>
      </c>
      <c r="D416" s="63">
        <v>8</v>
      </c>
      <c r="E416" s="64">
        <v>6.9559168767899997E-4</v>
      </c>
    </row>
    <row r="417" spans="2:5" ht="14.5" customHeight="1">
      <c r="B417" s="81"/>
      <c r="C417" s="62" t="s">
        <v>241</v>
      </c>
      <c r="D417" s="63">
        <v>18</v>
      </c>
      <c r="E417" s="64">
        <v>1.565081297278E-3</v>
      </c>
    </row>
    <row r="418" spans="2:5" ht="14.5" customHeight="1">
      <c r="B418" s="81"/>
      <c r="C418" s="62" t="s">
        <v>242</v>
      </c>
      <c r="D418" s="63">
        <v>1</v>
      </c>
      <c r="E418" s="64">
        <v>8.6948960960000005E-5</v>
      </c>
    </row>
    <row r="419" spans="2:5" ht="14.5" customHeight="1">
      <c r="B419" s="81"/>
      <c r="C419" s="62" t="s">
        <v>246</v>
      </c>
      <c r="D419" s="63">
        <v>6</v>
      </c>
      <c r="E419" s="64">
        <v>5.2169376575899999E-4</v>
      </c>
    </row>
    <row r="420" spans="2:5" ht="14.5" customHeight="1">
      <c r="B420" s="81"/>
      <c r="C420" s="62" t="s">
        <v>247</v>
      </c>
      <c r="D420" s="63">
        <v>7</v>
      </c>
      <c r="E420" s="64">
        <v>6.0864272671900003E-4</v>
      </c>
    </row>
    <row r="421" spans="2:5" ht="14.5" customHeight="1">
      <c r="B421" s="80"/>
      <c r="C421" s="36" t="s">
        <v>28</v>
      </c>
      <c r="D421" s="35">
        <v>86</v>
      </c>
      <c r="E421" s="34">
        <v>7.4776106425530004E-3</v>
      </c>
    </row>
    <row r="422" spans="2:5" ht="14.5" customHeight="1">
      <c r="B422" s="79" t="s">
        <v>95</v>
      </c>
      <c r="C422" s="62" t="s">
        <v>241</v>
      </c>
      <c r="D422" s="63">
        <v>1</v>
      </c>
      <c r="E422" s="64">
        <v>8.6948960960000005E-5</v>
      </c>
    </row>
    <row r="423" spans="2:5" ht="14.5" customHeight="1">
      <c r="B423" s="81"/>
      <c r="C423" s="62" t="s">
        <v>249</v>
      </c>
      <c r="D423" s="63">
        <v>1</v>
      </c>
      <c r="E423" s="64">
        <v>8.6948960960000005E-5</v>
      </c>
    </row>
    <row r="424" spans="2:5" ht="14.5" customHeight="1">
      <c r="B424" s="80"/>
      <c r="C424" s="36" t="s">
        <v>28</v>
      </c>
      <c r="D424" s="35">
        <v>2</v>
      </c>
      <c r="E424" s="34">
        <v>1.7389792192000001E-4</v>
      </c>
    </row>
    <row r="425" spans="2:5" ht="14.5" customHeight="1">
      <c r="B425" s="79" t="s">
        <v>75</v>
      </c>
      <c r="C425" s="62" t="s">
        <v>228</v>
      </c>
      <c r="D425" s="63">
        <v>1</v>
      </c>
      <c r="E425" s="64">
        <v>8.6948960960000005E-5</v>
      </c>
    </row>
    <row r="426" spans="2:5" ht="14.5" customHeight="1">
      <c r="B426" s="81"/>
      <c r="C426" s="62" t="s">
        <v>230</v>
      </c>
      <c r="D426" s="63">
        <v>1</v>
      </c>
      <c r="E426" s="64">
        <v>8.6948960960000005E-5</v>
      </c>
    </row>
    <row r="427" spans="2:5" ht="14.5" customHeight="1">
      <c r="B427" s="81"/>
      <c r="C427" s="62" t="s">
        <v>232</v>
      </c>
      <c r="D427" s="63">
        <v>1</v>
      </c>
      <c r="E427" s="64">
        <v>8.6948960960000005E-5</v>
      </c>
    </row>
    <row r="428" spans="2:5" ht="14.5" customHeight="1">
      <c r="B428" s="81"/>
      <c r="C428" s="62" t="s">
        <v>233</v>
      </c>
      <c r="D428" s="63">
        <v>1</v>
      </c>
      <c r="E428" s="64">
        <v>8.6948960960000005E-5</v>
      </c>
    </row>
    <row r="429" spans="2:5" ht="14.5" customHeight="1">
      <c r="B429" s="81"/>
      <c r="C429" s="62" t="s">
        <v>234</v>
      </c>
      <c r="D429" s="63">
        <v>3</v>
      </c>
      <c r="E429" s="64">
        <v>2.6084688287999997E-4</v>
      </c>
    </row>
    <row r="430" spans="2:5" ht="14.5" customHeight="1">
      <c r="B430" s="81"/>
      <c r="C430" s="62" t="s">
        <v>235</v>
      </c>
      <c r="D430" s="63">
        <v>1</v>
      </c>
      <c r="E430" s="64">
        <v>8.6948960960000005E-5</v>
      </c>
    </row>
    <row r="431" spans="2:5" ht="14.5" customHeight="1">
      <c r="B431" s="81"/>
      <c r="C431" s="62" t="s">
        <v>236</v>
      </c>
      <c r="D431" s="63">
        <v>2</v>
      </c>
      <c r="E431" s="64">
        <v>1.7389792192000001E-4</v>
      </c>
    </row>
    <row r="432" spans="2:5" ht="14.5" customHeight="1">
      <c r="B432" s="81"/>
      <c r="C432" s="62" t="s">
        <v>237</v>
      </c>
      <c r="D432" s="63">
        <v>2</v>
      </c>
      <c r="E432" s="64">
        <v>1.7389792192000001E-4</v>
      </c>
    </row>
    <row r="433" spans="2:5" ht="14.5" customHeight="1">
      <c r="B433" s="81"/>
      <c r="C433" s="62" t="s">
        <v>238</v>
      </c>
      <c r="D433" s="63">
        <v>18</v>
      </c>
      <c r="E433" s="64">
        <v>1.565081297278E-3</v>
      </c>
    </row>
    <row r="434" spans="2:5" ht="14.5" customHeight="1">
      <c r="B434" s="81"/>
      <c r="C434" s="62" t="s">
        <v>239</v>
      </c>
      <c r="D434" s="63">
        <v>1</v>
      </c>
      <c r="E434" s="64">
        <v>8.6948960960000005E-5</v>
      </c>
    </row>
    <row r="435" spans="2:5" ht="14.5" customHeight="1">
      <c r="B435" s="81"/>
      <c r="C435" s="62" t="s">
        <v>240</v>
      </c>
      <c r="D435" s="63">
        <v>4</v>
      </c>
      <c r="E435" s="64">
        <v>3.4779584384000002E-4</v>
      </c>
    </row>
    <row r="436" spans="2:5" ht="14.5" customHeight="1">
      <c r="B436" s="81"/>
      <c r="C436" s="62" t="s">
        <v>241</v>
      </c>
      <c r="D436" s="63">
        <v>17</v>
      </c>
      <c r="E436" s="64">
        <v>1.4781323363190001E-3</v>
      </c>
    </row>
    <row r="437" spans="2:5" ht="14.5" customHeight="1">
      <c r="B437" s="81"/>
      <c r="C437" s="62" t="s">
        <v>245</v>
      </c>
      <c r="D437" s="63">
        <v>1</v>
      </c>
      <c r="E437" s="64">
        <v>8.6948960960000005E-5</v>
      </c>
    </row>
    <row r="438" spans="2:5" ht="14.5" customHeight="1">
      <c r="B438" s="81"/>
      <c r="C438" s="62" t="s">
        <v>246</v>
      </c>
      <c r="D438" s="63">
        <v>6</v>
      </c>
      <c r="E438" s="64">
        <v>5.2169376575899999E-4</v>
      </c>
    </row>
    <row r="439" spans="2:5" ht="14.5" customHeight="1">
      <c r="B439" s="81"/>
      <c r="C439" s="62" t="s">
        <v>247</v>
      </c>
      <c r="D439" s="63">
        <v>6</v>
      </c>
      <c r="E439" s="64">
        <v>5.2169376575899999E-4</v>
      </c>
    </row>
    <row r="440" spans="2:5" ht="14.5" customHeight="1">
      <c r="B440" s="80"/>
      <c r="C440" s="36" t="s">
        <v>28</v>
      </c>
      <c r="D440" s="35">
        <v>65</v>
      </c>
      <c r="E440" s="34">
        <v>5.6516824623949998E-3</v>
      </c>
    </row>
    <row r="441" spans="2:5" ht="14.5" customHeight="1">
      <c r="B441" s="79" t="s">
        <v>81</v>
      </c>
      <c r="C441" s="62" t="s">
        <v>227</v>
      </c>
      <c r="D441" s="63">
        <v>1</v>
      </c>
      <c r="E441" s="64">
        <v>8.6948960960000005E-5</v>
      </c>
    </row>
    <row r="442" spans="2:5" ht="14.5" customHeight="1">
      <c r="B442" s="81"/>
      <c r="C442" s="62" t="s">
        <v>233</v>
      </c>
      <c r="D442" s="63">
        <v>1</v>
      </c>
      <c r="E442" s="64">
        <v>8.6948960960000005E-5</v>
      </c>
    </row>
    <row r="443" spans="2:5" ht="14.5" customHeight="1">
      <c r="B443" s="81"/>
      <c r="C443" s="62" t="s">
        <v>236</v>
      </c>
      <c r="D443" s="63">
        <v>1</v>
      </c>
      <c r="E443" s="64">
        <v>8.6948960960000005E-5</v>
      </c>
    </row>
    <row r="444" spans="2:5" ht="14.5" customHeight="1">
      <c r="B444" s="81"/>
      <c r="C444" s="62" t="s">
        <v>237</v>
      </c>
      <c r="D444" s="63">
        <v>2</v>
      </c>
      <c r="E444" s="64">
        <v>1.7389792192000001E-4</v>
      </c>
    </row>
    <row r="445" spans="2:5" ht="14.5" customHeight="1">
      <c r="B445" s="81"/>
      <c r="C445" s="62" t="s">
        <v>238</v>
      </c>
      <c r="D445" s="63">
        <v>11</v>
      </c>
      <c r="E445" s="64">
        <v>9.56438570559E-4</v>
      </c>
    </row>
    <row r="446" spans="2:5" ht="14.5" customHeight="1">
      <c r="B446" s="81"/>
      <c r="C446" s="62" t="s">
        <v>240</v>
      </c>
      <c r="D446" s="63">
        <v>1</v>
      </c>
      <c r="E446" s="64">
        <v>8.6948960960000005E-5</v>
      </c>
    </row>
    <row r="447" spans="2:5" ht="14.5" customHeight="1">
      <c r="B447" s="81"/>
      <c r="C447" s="62" t="s">
        <v>241</v>
      </c>
      <c r="D447" s="63">
        <v>7</v>
      </c>
      <c r="E447" s="64">
        <v>6.0864272671900003E-4</v>
      </c>
    </row>
    <row r="448" spans="2:5" ht="14.5" customHeight="1">
      <c r="B448" s="81"/>
      <c r="C448" s="62" t="s">
        <v>247</v>
      </c>
      <c r="D448" s="63">
        <v>5</v>
      </c>
      <c r="E448" s="64">
        <v>4.3474480480000001E-4</v>
      </c>
    </row>
    <row r="449" spans="2:5" ht="14.5" customHeight="1">
      <c r="B449" s="81"/>
      <c r="C449" s="62" t="s">
        <v>250</v>
      </c>
      <c r="D449" s="63">
        <v>1</v>
      </c>
      <c r="E449" s="64">
        <v>8.6948960960000005E-5</v>
      </c>
    </row>
    <row r="450" spans="2:5" ht="14.5" customHeight="1">
      <c r="B450" s="80"/>
      <c r="C450" s="36" t="s">
        <v>28</v>
      </c>
      <c r="D450" s="35">
        <v>30</v>
      </c>
      <c r="E450" s="34">
        <v>2.6084688287969999E-3</v>
      </c>
    </row>
    <row r="451" spans="2:5" ht="14.5" customHeight="1">
      <c r="B451" s="79" t="s">
        <v>52</v>
      </c>
      <c r="C451" s="62" t="s">
        <v>227</v>
      </c>
      <c r="D451" s="63">
        <v>1</v>
      </c>
      <c r="E451" s="64">
        <v>8.6948960960000005E-5</v>
      </c>
    </row>
    <row r="452" spans="2:5" ht="14.5" customHeight="1">
      <c r="B452" s="81"/>
      <c r="C452" s="62" t="s">
        <v>228</v>
      </c>
      <c r="D452" s="63">
        <v>2</v>
      </c>
      <c r="E452" s="64">
        <v>1.7389792192000001E-4</v>
      </c>
    </row>
    <row r="453" spans="2:5" ht="14.5" customHeight="1">
      <c r="B453" s="81"/>
      <c r="C453" s="62" t="s">
        <v>229</v>
      </c>
      <c r="D453" s="63">
        <v>5</v>
      </c>
      <c r="E453" s="64">
        <v>4.3474480480000001E-4</v>
      </c>
    </row>
    <row r="454" spans="2:5" ht="14.5" customHeight="1">
      <c r="B454" s="81"/>
      <c r="C454" s="62" t="s">
        <v>230</v>
      </c>
      <c r="D454" s="63">
        <v>6</v>
      </c>
      <c r="E454" s="64">
        <v>5.2169376575899999E-4</v>
      </c>
    </row>
    <row r="455" spans="2:5" ht="14.5" customHeight="1">
      <c r="B455" s="81"/>
      <c r="C455" s="62" t="s">
        <v>231</v>
      </c>
      <c r="D455" s="63">
        <v>1</v>
      </c>
      <c r="E455" s="64">
        <v>8.6948960960000005E-5</v>
      </c>
    </row>
    <row r="456" spans="2:5" ht="14.5" customHeight="1">
      <c r="B456" s="81"/>
      <c r="C456" s="62" t="s">
        <v>232</v>
      </c>
      <c r="D456" s="63">
        <v>4</v>
      </c>
      <c r="E456" s="64">
        <v>3.4779584384000002E-4</v>
      </c>
    </row>
    <row r="457" spans="2:5" ht="14.5" customHeight="1">
      <c r="B457" s="81"/>
      <c r="C457" s="62" t="s">
        <v>233</v>
      </c>
      <c r="D457" s="63">
        <v>18</v>
      </c>
      <c r="E457" s="64">
        <v>1.565081297278E-3</v>
      </c>
    </row>
    <row r="458" spans="2:5" ht="14.5" customHeight="1">
      <c r="B458" s="81"/>
      <c r="C458" s="62" t="s">
        <v>234</v>
      </c>
      <c r="D458" s="63">
        <v>44</v>
      </c>
      <c r="E458" s="64">
        <v>3.825754282236E-3</v>
      </c>
    </row>
    <row r="459" spans="2:5" ht="14.5" customHeight="1">
      <c r="B459" s="81"/>
      <c r="C459" s="62" t="s">
        <v>235</v>
      </c>
      <c r="D459" s="63">
        <v>2</v>
      </c>
      <c r="E459" s="64">
        <v>1.7389792192000001E-4</v>
      </c>
    </row>
    <row r="460" spans="2:5" ht="14.5" customHeight="1">
      <c r="B460" s="81"/>
      <c r="C460" s="62" t="s">
        <v>236</v>
      </c>
      <c r="D460" s="63">
        <v>12</v>
      </c>
      <c r="E460" s="64">
        <v>1.043387531519E-3</v>
      </c>
    </row>
    <row r="461" spans="2:5" ht="14.5" customHeight="1">
      <c r="B461" s="81"/>
      <c r="C461" s="62" t="s">
        <v>237</v>
      </c>
      <c r="D461" s="63">
        <v>10</v>
      </c>
      <c r="E461" s="64">
        <v>8.6948960959899995E-4</v>
      </c>
    </row>
    <row r="462" spans="2:5" ht="14.5" customHeight="1">
      <c r="B462" s="81"/>
      <c r="C462" s="62" t="s">
        <v>238</v>
      </c>
      <c r="D462" s="63">
        <v>128</v>
      </c>
      <c r="E462" s="64">
        <v>1.1129467002869001E-2</v>
      </c>
    </row>
    <row r="463" spans="2:5" ht="14.5" customHeight="1">
      <c r="B463" s="81"/>
      <c r="C463" s="62" t="s">
        <v>239</v>
      </c>
      <c r="D463" s="63">
        <v>11</v>
      </c>
      <c r="E463" s="64">
        <v>9.56438570559E-4</v>
      </c>
    </row>
    <row r="464" spans="2:5" ht="14.5" customHeight="1">
      <c r="B464" s="81"/>
      <c r="C464" s="62" t="s">
        <v>240</v>
      </c>
      <c r="D464" s="63">
        <v>39</v>
      </c>
      <c r="E464" s="64">
        <v>3.391009477437E-3</v>
      </c>
    </row>
    <row r="465" spans="2:5" ht="14.5" customHeight="1">
      <c r="B465" s="81"/>
      <c r="C465" s="62" t="s">
        <v>241</v>
      </c>
      <c r="D465" s="63">
        <v>103</v>
      </c>
      <c r="E465" s="64">
        <v>8.9557429788710008E-3</v>
      </c>
    </row>
    <row r="466" spans="2:5" ht="14.5" customHeight="1">
      <c r="B466" s="81"/>
      <c r="C466" s="62" t="s">
        <v>242</v>
      </c>
      <c r="D466" s="63">
        <v>1</v>
      </c>
      <c r="E466" s="64">
        <v>8.6948960960000005E-5</v>
      </c>
    </row>
    <row r="467" spans="2:5" ht="14.5" customHeight="1">
      <c r="B467" s="81"/>
      <c r="C467" s="62" t="s">
        <v>243</v>
      </c>
      <c r="D467" s="63">
        <v>3</v>
      </c>
      <c r="E467" s="64">
        <v>2.6084688287999997E-4</v>
      </c>
    </row>
    <row r="468" spans="2:5" ht="14.5" customHeight="1">
      <c r="B468" s="81"/>
      <c r="C468" s="62" t="s">
        <v>246</v>
      </c>
      <c r="D468" s="63">
        <v>7</v>
      </c>
      <c r="E468" s="64">
        <v>6.0864272671900003E-4</v>
      </c>
    </row>
    <row r="469" spans="2:5" ht="14.5" customHeight="1">
      <c r="B469" s="81"/>
      <c r="C469" s="62" t="s">
        <v>247</v>
      </c>
      <c r="D469" s="63">
        <v>21</v>
      </c>
      <c r="E469" s="64">
        <v>1.8259281801579999E-3</v>
      </c>
    </row>
    <row r="470" spans="2:5" ht="14.5" customHeight="1">
      <c r="B470" s="80"/>
      <c r="C470" s="36" t="s">
        <v>28</v>
      </c>
      <c r="D470" s="35">
        <v>418</v>
      </c>
      <c r="E470" s="34">
        <v>3.6344665681245003E-2</v>
      </c>
    </row>
    <row r="471" spans="2:5" ht="14.5" customHeight="1">
      <c r="B471" s="79" t="s">
        <v>74</v>
      </c>
      <c r="C471" s="62" t="s">
        <v>227</v>
      </c>
      <c r="D471" s="63">
        <v>1</v>
      </c>
      <c r="E471" s="64">
        <v>8.6948960960000005E-5</v>
      </c>
    </row>
    <row r="472" spans="2:5" ht="14.5" customHeight="1">
      <c r="B472" s="81"/>
      <c r="C472" s="62" t="s">
        <v>233</v>
      </c>
      <c r="D472" s="63">
        <v>1</v>
      </c>
      <c r="E472" s="64">
        <v>8.6948960960000005E-5</v>
      </c>
    </row>
    <row r="473" spans="2:5" ht="14.5" customHeight="1">
      <c r="B473" s="81"/>
      <c r="C473" s="62" t="s">
        <v>234</v>
      </c>
      <c r="D473" s="63">
        <v>6</v>
      </c>
      <c r="E473" s="64">
        <v>5.2169376575899999E-4</v>
      </c>
    </row>
    <row r="474" spans="2:5" ht="14.5" customHeight="1">
      <c r="B474" s="81"/>
      <c r="C474" s="62" t="s">
        <v>235</v>
      </c>
      <c r="D474" s="63">
        <v>1</v>
      </c>
      <c r="E474" s="64">
        <v>8.6948960960000005E-5</v>
      </c>
    </row>
    <row r="475" spans="2:5" ht="14.5" customHeight="1">
      <c r="B475" s="81"/>
      <c r="C475" s="62" t="s">
        <v>236</v>
      </c>
      <c r="D475" s="63">
        <v>2</v>
      </c>
      <c r="E475" s="64">
        <v>1.7389792192000001E-4</v>
      </c>
    </row>
    <row r="476" spans="2:5" ht="14.5" customHeight="1">
      <c r="B476" s="81"/>
      <c r="C476" s="62" t="s">
        <v>237</v>
      </c>
      <c r="D476" s="63">
        <v>2</v>
      </c>
      <c r="E476" s="64">
        <v>1.7389792192000001E-4</v>
      </c>
    </row>
    <row r="477" spans="2:5" ht="14.5" customHeight="1">
      <c r="B477" s="81"/>
      <c r="C477" s="62" t="s">
        <v>238</v>
      </c>
      <c r="D477" s="63">
        <v>23</v>
      </c>
      <c r="E477" s="64">
        <v>1.9998261020779998E-3</v>
      </c>
    </row>
    <row r="478" spans="2:5" ht="14.5" customHeight="1">
      <c r="B478" s="81"/>
      <c r="C478" s="62" t="s">
        <v>239</v>
      </c>
      <c r="D478" s="63">
        <v>1</v>
      </c>
      <c r="E478" s="64">
        <v>8.6948960960000005E-5</v>
      </c>
    </row>
    <row r="479" spans="2:5" ht="14.5" customHeight="1">
      <c r="B479" s="81"/>
      <c r="C479" s="62" t="s">
        <v>240</v>
      </c>
      <c r="D479" s="63">
        <v>5</v>
      </c>
      <c r="E479" s="64">
        <v>4.3474480480000001E-4</v>
      </c>
    </row>
    <row r="480" spans="2:5" ht="14.5" customHeight="1">
      <c r="B480" s="81"/>
      <c r="C480" s="62" t="s">
        <v>241</v>
      </c>
      <c r="D480" s="63">
        <v>12</v>
      </c>
      <c r="E480" s="64">
        <v>1.043387531519E-3</v>
      </c>
    </row>
    <row r="481" spans="2:5" ht="14.5" customHeight="1">
      <c r="B481" s="81"/>
      <c r="C481" s="62" t="s">
        <v>242</v>
      </c>
      <c r="D481" s="63">
        <v>1</v>
      </c>
      <c r="E481" s="64">
        <v>8.6948960960000005E-5</v>
      </c>
    </row>
    <row r="482" spans="2:5" ht="14.5" customHeight="1">
      <c r="B482" s="81"/>
      <c r="C482" s="62" t="s">
        <v>243</v>
      </c>
      <c r="D482" s="63">
        <v>1</v>
      </c>
      <c r="E482" s="64">
        <v>8.6948960960000005E-5</v>
      </c>
    </row>
    <row r="483" spans="2:5" ht="14.5" customHeight="1">
      <c r="B483" s="81"/>
      <c r="C483" s="62" t="s">
        <v>244</v>
      </c>
      <c r="D483" s="63">
        <v>2</v>
      </c>
      <c r="E483" s="64">
        <v>1.7389792192000001E-4</v>
      </c>
    </row>
    <row r="484" spans="2:5" ht="14.5" customHeight="1">
      <c r="B484" s="81"/>
      <c r="C484" s="62" t="s">
        <v>245</v>
      </c>
      <c r="D484" s="63">
        <v>1</v>
      </c>
      <c r="E484" s="64">
        <v>8.6948960960000005E-5</v>
      </c>
    </row>
    <row r="485" spans="2:5" ht="14.5" customHeight="1">
      <c r="B485" s="81"/>
      <c r="C485" s="62" t="s">
        <v>246</v>
      </c>
      <c r="D485" s="63">
        <v>2</v>
      </c>
      <c r="E485" s="64">
        <v>1.7389792192000001E-4</v>
      </c>
    </row>
    <row r="486" spans="2:5" ht="14.5" customHeight="1">
      <c r="B486" s="81"/>
      <c r="C486" s="62" t="s">
        <v>247</v>
      </c>
      <c r="D486" s="63">
        <v>5</v>
      </c>
      <c r="E486" s="64">
        <v>4.3474480480000001E-4</v>
      </c>
    </row>
    <row r="487" spans="2:5" ht="14.5" customHeight="1">
      <c r="B487" s="80"/>
      <c r="C487" s="36" t="s">
        <v>28</v>
      </c>
      <c r="D487" s="35">
        <v>66</v>
      </c>
      <c r="E487" s="34">
        <v>5.7386314233540004E-3</v>
      </c>
    </row>
    <row r="488" spans="2:5" ht="14.5" customHeight="1">
      <c r="B488" s="79" t="s">
        <v>66</v>
      </c>
      <c r="C488" s="62" t="s">
        <v>227</v>
      </c>
      <c r="D488" s="63">
        <v>1</v>
      </c>
      <c r="E488" s="64">
        <v>8.6948960960000005E-5</v>
      </c>
    </row>
    <row r="489" spans="2:5" ht="14.5" customHeight="1">
      <c r="B489" s="81"/>
      <c r="C489" s="62" t="s">
        <v>229</v>
      </c>
      <c r="D489" s="63">
        <v>2</v>
      </c>
      <c r="E489" s="64">
        <v>1.7389792192000001E-4</v>
      </c>
    </row>
    <row r="490" spans="2:5" ht="14.5" customHeight="1">
      <c r="B490" s="81"/>
      <c r="C490" s="62" t="s">
        <v>230</v>
      </c>
      <c r="D490" s="63">
        <v>1</v>
      </c>
      <c r="E490" s="64">
        <v>8.6948960960000005E-5</v>
      </c>
    </row>
    <row r="491" spans="2:5" ht="14.5" customHeight="1">
      <c r="B491" s="81"/>
      <c r="C491" s="62" t="s">
        <v>233</v>
      </c>
      <c r="D491" s="63">
        <v>7</v>
      </c>
      <c r="E491" s="64">
        <v>6.0864272671900003E-4</v>
      </c>
    </row>
    <row r="492" spans="2:5" ht="14.5" customHeight="1">
      <c r="B492" s="81"/>
      <c r="C492" s="62" t="s">
        <v>234</v>
      </c>
      <c r="D492" s="63">
        <v>17</v>
      </c>
      <c r="E492" s="64">
        <v>1.4781323363190001E-3</v>
      </c>
    </row>
    <row r="493" spans="2:5" ht="14.5" customHeight="1">
      <c r="B493" s="81"/>
      <c r="C493" s="62" t="s">
        <v>235</v>
      </c>
      <c r="D493" s="63">
        <v>1</v>
      </c>
      <c r="E493" s="64">
        <v>8.6948960960000005E-5</v>
      </c>
    </row>
    <row r="494" spans="2:5" ht="14.5" customHeight="1">
      <c r="B494" s="81"/>
      <c r="C494" s="62" t="s">
        <v>236</v>
      </c>
      <c r="D494" s="63">
        <v>1</v>
      </c>
      <c r="E494" s="64">
        <v>8.6948960960000005E-5</v>
      </c>
    </row>
    <row r="495" spans="2:5" ht="14.5" customHeight="1">
      <c r="B495" s="81"/>
      <c r="C495" s="62" t="s">
        <v>237</v>
      </c>
      <c r="D495" s="63">
        <v>2</v>
      </c>
      <c r="E495" s="64">
        <v>1.7389792192000001E-4</v>
      </c>
    </row>
    <row r="496" spans="2:5" ht="14.5" customHeight="1">
      <c r="B496" s="81"/>
      <c r="C496" s="62" t="s">
        <v>238</v>
      </c>
      <c r="D496" s="63">
        <v>31</v>
      </c>
      <c r="E496" s="64">
        <v>2.6954177897570001E-3</v>
      </c>
    </row>
    <row r="497" spans="2:5" ht="14.5" customHeight="1">
      <c r="B497" s="81"/>
      <c r="C497" s="62" t="s">
        <v>239</v>
      </c>
      <c r="D497" s="63">
        <v>6</v>
      </c>
      <c r="E497" s="64">
        <v>5.2169376575899999E-4</v>
      </c>
    </row>
    <row r="498" spans="2:5" ht="14.5" customHeight="1">
      <c r="B498" s="81"/>
      <c r="C498" s="62" t="s">
        <v>240</v>
      </c>
      <c r="D498" s="63">
        <v>11</v>
      </c>
      <c r="E498" s="64">
        <v>9.56438570559E-4</v>
      </c>
    </row>
    <row r="499" spans="2:5" ht="14.5" customHeight="1">
      <c r="B499" s="81"/>
      <c r="C499" s="62" t="s">
        <v>241</v>
      </c>
      <c r="D499" s="63">
        <v>27</v>
      </c>
      <c r="E499" s="64">
        <v>2.347621945918E-3</v>
      </c>
    </row>
    <row r="500" spans="2:5" ht="14.5" customHeight="1">
      <c r="B500" s="81"/>
      <c r="C500" s="62" t="s">
        <v>245</v>
      </c>
      <c r="D500" s="63">
        <v>1</v>
      </c>
      <c r="E500" s="64">
        <v>8.6948960960000005E-5</v>
      </c>
    </row>
    <row r="501" spans="2:5" ht="14.5" customHeight="1">
      <c r="B501" s="81"/>
      <c r="C501" s="62" t="s">
        <v>246</v>
      </c>
      <c r="D501" s="63">
        <v>2</v>
      </c>
      <c r="E501" s="64">
        <v>1.7389792192000001E-4</v>
      </c>
    </row>
    <row r="502" spans="2:5" ht="14.5" customHeight="1">
      <c r="B502" s="81"/>
      <c r="C502" s="62" t="s">
        <v>247</v>
      </c>
      <c r="D502" s="63">
        <v>7</v>
      </c>
      <c r="E502" s="64">
        <v>6.0864272671900003E-4</v>
      </c>
    </row>
    <row r="503" spans="2:5" ht="14.5" customHeight="1">
      <c r="B503" s="80"/>
      <c r="C503" s="36" t="s">
        <v>28</v>
      </c>
      <c r="D503" s="35">
        <v>117</v>
      </c>
      <c r="E503" s="34">
        <v>1.0173028432309999E-2</v>
      </c>
    </row>
    <row r="504" spans="2:5" ht="14.5" customHeight="1">
      <c r="B504" s="79" t="s">
        <v>90</v>
      </c>
      <c r="C504" s="62" t="s">
        <v>233</v>
      </c>
      <c r="D504" s="63">
        <v>3</v>
      </c>
      <c r="E504" s="64">
        <v>2.6084688287999997E-4</v>
      </c>
    </row>
    <row r="505" spans="2:5" ht="14.5" customHeight="1">
      <c r="B505" s="81"/>
      <c r="C505" s="62" t="s">
        <v>234</v>
      </c>
      <c r="D505" s="63">
        <v>2</v>
      </c>
      <c r="E505" s="64">
        <v>1.7389792192000001E-4</v>
      </c>
    </row>
    <row r="506" spans="2:5" ht="14.5" customHeight="1">
      <c r="B506" s="81"/>
      <c r="C506" s="62" t="s">
        <v>237</v>
      </c>
      <c r="D506" s="63">
        <v>3</v>
      </c>
      <c r="E506" s="64">
        <v>2.6084688287999997E-4</v>
      </c>
    </row>
    <row r="507" spans="2:5" ht="14.5" customHeight="1">
      <c r="B507" s="81"/>
      <c r="C507" s="62" t="s">
        <v>238</v>
      </c>
      <c r="D507" s="63">
        <v>3</v>
      </c>
      <c r="E507" s="64">
        <v>2.6084688287999997E-4</v>
      </c>
    </row>
    <row r="508" spans="2:5" ht="14.5" customHeight="1">
      <c r="B508" s="81"/>
      <c r="C508" s="62" t="s">
        <v>241</v>
      </c>
      <c r="D508" s="63">
        <v>1</v>
      </c>
      <c r="E508" s="64">
        <v>8.6948960960000005E-5</v>
      </c>
    </row>
    <row r="509" spans="2:5" ht="14.5" customHeight="1">
      <c r="B509" s="81"/>
      <c r="C509" s="62" t="s">
        <v>243</v>
      </c>
      <c r="D509" s="63">
        <v>1</v>
      </c>
      <c r="E509" s="64">
        <v>8.6948960960000005E-5</v>
      </c>
    </row>
    <row r="510" spans="2:5" ht="14.5" customHeight="1">
      <c r="B510" s="80"/>
      <c r="C510" s="36" t="s">
        <v>28</v>
      </c>
      <c r="D510" s="35">
        <v>13</v>
      </c>
      <c r="E510" s="34">
        <v>1.1303364924790001E-3</v>
      </c>
    </row>
    <row r="511" spans="2:5" ht="14.5" customHeight="1">
      <c r="B511" s="79" t="s">
        <v>72</v>
      </c>
      <c r="C511" s="62" t="s">
        <v>230</v>
      </c>
      <c r="D511" s="63">
        <v>1</v>
      </c>
      <c r="E511" s="64">
        <v>8.6948960960000005E-5</v>
      </c>
    </row>
    <row r="512" spans="2:5" ht="14.5" customHeight="1">
      <c r="B512" s="81"/>
      <c r="C512" s="62" t="s">
        <v>233</v>
      </c>
      <c r="D512" s="63">
        <v>3</v>
      </c>
      <c r="E512" s="64">
        <v>2.6084688287999997E-4</v>
      </c>
    </row>
    <row r="513" spans="2:5" ht="14.5" customHeight="1">
      <c r="B513" s="81"/>
      <c r="C513" s="62" t="s">
        <v>234</v>
      </c>
      <c r="D513" s="63">
        <v>12</v>
      </c>
      <c r="E513" s="64">
        <v>1.043387531519E-3</v>
      </c>
    </row>
    <row r="514" spans="2:5" ht="14.5" customHeight="1">
      <c r="B514" s="81"/>
      <c r="C514" s="62" t="s">
        <v>236</v>
      </c>
      <c r="D514" s="63">
        <v>4</v>
      </c>
      <c r="E514" s="64">
        <v>3.4779584384000002E-4</v>
      </c>
    </row>
    <row r="515" spans="2:5" ht="14.5" customHeight="1">
      <c r="B515" s="81"/>
      <c r="C515" s="62" t="s">
        <v>238</v>
      </c>
      <c r="D515" s="63">
        <v>26</v>
      </c>
      <c r="E515" s="64">
        <v>2.2606729849580002E-3</v>
      </c>
    </row>
    <row r="516" spans="2:5" ht="14.5" customHeight="1">
      <c r="B516" s="81"/>
      <c r="C516" s="62" t="s">
        <v>239</v>
      </c>
      <c r="D516" s="63">
        <v>3</v>
      </c>
      <c r="E516" s="64">
        <v>2.6084688287999997E-4</v>
      </c>
    </row>
    <row r="517" spans="2:5" ht="14.5" customHeight="1">
      <c r="B517" s="81"/>
      <c r="C517" s="62" t="s">
        <v>240</v>
      </c>
      <c r="D517" s="63">
        <v>3</v>
      </c>
      <c r="E517" s="64">
        <v>2.6084688287999997E-4</v>
      </c>
    </row>
    <row r="518" spans="2:5" ht="14.5" customHeight="1">
      <c r="B518" s="81"/>
      <c r="C518" s="62" t="s">
        <v>241</v>
      </c>
      <c r="D518" s="63">
        <v>17</v>
      </c>
      <c r="E518" s="64">
        <v>1.4781323363190001E-3</v>
      </c>
    </row>
    <row r="519" spans="2:5" ht="14.5" customHeight="1">
      <c r="B519" s="81"/>
      <c r="C519" s="62" t="s">
        <v>244</v>
      </c>
      <c r="D519" s="63">
        <v>1</v>
      </c>
      <c r="E519" s="64">
        <v>8.6948960960000005E-5</v>
      </c>
    </row>
    <row r="520" spans="2:5" ht="14.5" customHeight="1">
      <c r="B520" s="81"/>
      <c r="C520" s="62" t="s">
        <v>246</v>
      </c>
      <c r="D520" s="63">
        <v>1</v>
      </c>
      <c r="E520" s="64">
        <v>8.6948960960000005E-5</v>
      </c>
    </row>
    <row r="521" spans="2:5" ht="14.5" customHeight="1">
      <c r="B521" s="81"/>
      <c r="C521" s="62" t="s">
        <v>247</v>
      </c>
      <c r="D521" s="63">
        <v>4</v>
      </c>
      <c r="E521" s="64">
        <v>3.4779584384000002E-4</v>
      </c>
    </row>
    <row r="522" spans="2:5" ht="14.5" customHeight="1">
      <c r="B522" s="81"/>
      <c r="C522" s="62" t="s">
        <v>249</v>
      </c>
      <c r="D522" s="63">
        <v>1</v>
      </c>
      <c r="E522" s="64">
        <v>8.6948960960000005E-5</v>
      </c>
    </row>
    <row r="523" spans="2:5" ht="14.5" customHeight="1">
      <c r="B523" s="80"/>
      <c r="C523" s="36" t="s">
        <v>28</v>
      </c>
      <c r="D523" s="35">
        <v>76</v>
      </c>
      <c r="E523" s="34">
        <v>6.6081210329540004E-3</v>
      </c>
    </row>
    <row r="524" spans="2:5" ht="14.5" customHeight="1">
      <c r="B524" s="79" t="s">
        <v>94</v>
      </c>
      <c r="C524" s="62" t="s">
        <v>234</v>
      </c>
      <c r="D524" s="63">
        <v>2</v>
      </c>
      <c r="E524" s="64">
        <v>1.7389792192000001E-4</v>
      </c>
    </row>
    <row r="525" spans="2:5" ht="14.5" customHeight="1">
      <c r="B525" s="81"/>
      <c r="C525" s="62" t="s">
        <v>236</v>
      </c>
      <c r="D525" s="63">
        <v>1</v>
      </c>
      <c r="E525" s="64">
        <v>8.6948960960000005E-5</v>
      </c>
    </row>
    <row r="526" spans="2:5" ht="14.5" customHeight="1">
      <c r="B526" s="81"/>
      <c r="C526" s="62" t="s">
        <v>237</v>
      </c>
      <c r="D526" s="63">
        <v>1</v>
      </c>
      <c r="E526" s="64">
        <v>8.6948960960000005E-5</v>
      </c>
    </row>
    <row r="527" spans="2:5" ht="14.5" customHeight="1">
      <c r="B527" s="81"/>
      <c r="C527" s="62" t="s">
        <v>238</v>
      </c>
      <c r="D527" s="63">
        <v>1</v>
      </c>
      <c r="E527" s="64">
        <v>8.6948960960000005E-5</v>
      </c>
    </row>
    <row r="528" spans="2:5" ht="14.5" customHeight="1">
      <c r="B528" s="81"/>
      <c r="C528" s="62" t="s">
        <v>247</v>
      </c>
      <c r="D528" s="63">
        <v>1</v>
      </c>
      <c r="E528" s="64">
        <v>8.6948960960000005E-5</v>
      </c>
    </row>
    <row r="529" spans="2:5" ht="14.5" customHeight="1">
      <c r="B529" s="80"/>
      <c r="C529" s="36" t="s">
        <v>28</v>
      </c>
      <c r="D529" s="35">
        <v>6</v>
      </c>
      <c r="E529" s="34">
        <v>5.2169376575899999E-4</v>
      </c>
    </row>
    <row r="530" spans="2:5" ht="14.5" customHeight="1">
      <c r="B530" s="79" t="s">
        <v>64</v>
      </c>
      <c r="C530" s="62" t="s">
        <v>228</v>
      </c>
      <c r="D530" s="63">
        <v>2</v>
      </c>
      <c r="E530" s="64">
        <v>1.7389792192000001E-4</v>
      </c>
    </row>
    <row r="531" spans="2:5" ht="14.5" customHeight="1">
      <c r="B531" s="81"/>
      <c r="C531" s="62" t="s">
        <v>229</v>
      </c>
      <c r="D531" s="63">
        <v>1</v>
      </c>
      <c r="E531" s="64">
        <v>8.6948960960000005E-5</v>
      </c>
    </row>
    <row r="532" spans="2:5" ht="14.5" customHeight="1">
      <c r="B532" s="81"/>
      <c r="C532" s="62" t="s">
        <v>230</v>
      </c>
      <c r="D532" s="63">
        <v>1</v>
      </c>
      <c r="E532" s="64">
        <v>8.6948960960000005E-5</v>
      </c>
    </row>
    <row r="533" spans="2:5" ht="14.5" customHeight="1">
      <c r="B533" s="81"/>
      <c r="C533" s="62" t="s">
        <v>232</v>
      </c>
      <c r="D533" s="63">
        <v>1</v>
      </c>
      <c r="E533" s="64">
        <v>8.6948960960000005E-5</v>
      </c>
    </row>
    <row r="534" spans="2:5" ht="14.5" customHeight="1">
      <c r="B534" s="81"/>
      <c r="C534" s="62" t="s">
        <v>233</v>
      </c>
      <c r="D534" s="63">
        <v>7</v>
      </c>
      <c r="E534" s="64">
        <v>6.0864272671900003E-4</v>
      </c>
    </row>
    <row r="535" spans="2:5" ht="14.5" customHeight="1">
      <c r="B535" s="81"/>
      <c r="C535" s="62" t="s">
        <v>234</v>
      </c>
      <c r="D535" s="63">
        <v>9</v>
      </c>
      <c r="E535" s="64">
        <v>7.8254064863900001E-4</v>
      </c>
    </row>
    <row r="536" spans="2:5" ht="14.5" customHeight="1">
      <c r="B536" s="81"/>
      <c r="C536" s="62" t="s">
        <v>235</v>
      </c>
      <c r="D536" s="63">
        <v>1</v>
      </c>
      <c r="E536" s="64">
        <v>8.6948960960000005E-5</v>
      </c>
    </row>
    <row r="537" spans="2:5" ht="14.5" customHeight="1">
      <c r="B537" s="81"/>
      <c r="C537" s="62" t="s">
        <v>236</v>
      </c>
      <c r="D537" s="63">
        <v>1</v>
      </c>
      <c r="E537" s="64">
        <v>8.6948960960000005E-5</v>
      </c>
    </row>
    <row r="538" spans="2:5" ht="14.5" customHeight="1">
      <c r="B538" s="81"/>
      <c r="C538" s="62" t="s">
        <v>237</v>
      </c>
      <c r="D538" s="63">
        <v>2</v>
      </c>
      <c r="E538" s="64">
        <v>1.7389792192000001E-4</v>
      </c>
    </row>
    <row r="539" spans="2:5" ht="14.5" customHeight="1">
      <c r="B539" s="81"/>
      <c r="C539" s="62" t="s">
        <v>238</v>
      </c>
      <c r="D539" s="63">
        <v>37</v>
      </c>
      <c r="E539" s="64">
        <v>3.217111555517E-3</v>
      </c>
    </row>
    <row r="540" spans="2:5" ht="14.5" customHeight="1">
      <c r="B540" s="81"/>
      <c r="C540" s="62" t="s">
        <v>239</v>
      </c>
      <c r="D540" s="63">
        <v>2</v>
      </c>
      <c r="E540" s="64">
        <v>1.7389792192000001E-4</v>
      </c>
    </row>
    <row r="541" spans="2:5" ht="14.5" customHeight="1">
      <c r="B541" s="81"/>
      <c r="C541" s="62" t="s">
        <v>240</v>
      </c>
      <c r="D541" s="63">
        <v>13</v>
      </c>
      <c r="E541" s="64">
        <v>1.1303364924790001E-3</v>
      </c>
    </row>
    <row r="542" spans="2:5" ht="14.5" customHeight="1">
      <c r="B542" s="81"/>
      <c r="C542" s="62" t="s">
        <v>241</v>
      </c>
      <c r="D542" s="63">
        <v>34</v>
      </c>
      <c r="E542" s="64">
        <v>2.956264672637E-3</v>
      </c>
    </row>
    <row r="543" spans="2:5" ht="14.5" customHeight="1">
      <c r="B543" s="81"/>
      <c r="C543" s="62" t="s">
        <v>246</v>
      </c>
      <c r="D543" s="63">
        <v>3</v>
      </c>
      <c r="E543" s="64">
        <v>2.6084688287999997E-4</v>
      </c>
    </row>
    <row r="544" spans="2:5" ht="14.5" customHeight="1">
      <c r="B544" s="81"/>
      <c r="C544" s="62" t="s">
        <v>247</v>
      </c>
      <c r="D544" s="63">
        <v>15</v>
      </c>
      <c r="E544" s="64">
        <v>1.304234414399E-3</v>
      </c>
    </row>
    <row r="545" spans="2:5" ht="14.5" customHeight="1">
      <c r="B545" s="80"/>
      <c r="C545" s="36" t="s">
        <v>28</v>
      </c>
      <c r="D545" s="35">
        <v>129</v>
      </c>
      <c r="E545" s="34">
        <v>1.1216415963829E-2</v>
      </c>
    </row>
    <row r="546" spans="2:5" ht="14.5" customHeight="1">
      <c r="B546" s="79" t="s">
        <v>61</v>
      </c>
      <c r="C546" s="62" t="s">
        <v>227</v>
      </c>
      <c r="D546" s="63">
        <v>1</v>
      </c>
      <c r="E546" s="64">
        <v>8.6948960960000005E-5</v>
      </c>
    </row>
    <row r="547" spans="2:5" ht="14.5" customHeight="1">
      <c r="B547" s="81"/>
      <c r="C547" s="62" t="s">
        <v>228</v>
      </c>
      <c r="D547" s="63">
        <v>1</v>
      </c>
      <c r="E547" s="64">
        <v>8.6948960960000005E-5</v>
      </c>
    </row>
    <row r="548" spans="2:5" ht="14.5" customHeight="1">
      <c r="B548" s="81"/>
      <c r="C548" s="62" t="s">
        <v>231</v>
      </c>
      <c r="D548" s="63">
        <v>1</v>
      </c>
      <c r="E548" s="64">
        <v>8.6948960960000005E-5</v>
      </c>
    </row>
    <row r="549" spans="2:5" ht="14.5" customHeight="1">
      <c r="B549" s="81"/>
      <c r="C549" s="62" t="s">
        <v>232</v>
      </c>
      <c r="D549" s="63">
        <v>3</v>
      </c>
      <c r="E549" s="64">
        <v>2.6084688287999997E-4</v>
      </c>
    </row>
    <row r="550" spans="2:5" ht="14.5" customHeight="1">
      <c r="B550" s="81"/>
      <c r="C550" s="62" t="s">
        <v>233</v>
      </c>
      <c r="D550" s="63">
        <v>11</v>
      </c>
      <c r="E550" s="64">
        <v>9.56438570559E-4</v>
      </c>
    </row>
    <row r="551" spans="2:5" ht="14.5" customHeight="1">
      <c r="B551" s="81"/>
      <c r="C551" s="62" t="s">
        <v>234</v>
      </c>
      <c r="D551" s="63">
        <v>23</v>
      </c>
      <c r="E551" s="64">
        <v>1.9998261020779998E-3</v>
      </c>
    </row>
    <row r="552" spans="2:5" ht="14.5" customHeight="1">
      <c r="B552" s="81"/>
      <c r="C552" s="62" t="s">
        <v>236</v>
      </c>
      <c r="D552" s="63">
        <v>9</v>
      </c>
      <c r="E552" s="64">
        <v>7.8254064863900001E-4</v>
      </c>
    </row>
    <row r="553" spans="2:5" ht="14.5" customHeight="1">
      <c r="B553" s="81"/>
      <c r="C553" s="62" t="s">
        <v>237</v>
      </c>
      <c r="D553" s="63">
        <v>3</v>
      </c>
      <c r="E553" s="64">
        <v>2.6084688287999997E-4</v>
      </c>
    </row>
    <row r="554" spans="2:5" ht="14.5" customHeight="1">
      <c r="B554" s="81"/>
      <c r="C554" s="62" t="s">
        <v>238</v>
      </c>
      <c r="D554" s="63">
        <v>68</v>
      </c>
      <c r="E554" s="64">
        <v>5.9125293452740001E-3</v>
      </c>
    </row>
    <row r="555" spans="2:5" ht="14.5" customHeight="1">
      <c r="B555" s="81"/>
      <c r="C555" s="62" t="s">
        <v>239</v>
      </c>
      <c r="D555" s="63">
        <v>8</v>
      </c>
      <c r="E555" s="64">
        <v>6.9559168767899997E-4</v>
      </c>
    </row>
    <row r="556" spans="2:5" ht="14.5" customHeight="1">
      <c r="B556" s="81"/>
      <c r="C556" s="62" t="s">
        <v>240</v>
      </c>
      <c r="D556" s="63">
        <v>8</v>
      </c>
      <c r="E556" s="64">
        <v>6.9559168767899997E-4</v>
      </c>
    </row>
    <row r="557" spans="2:5" ht="14.5" customHeight="1">
      <c r="B557" s="81"/>
      <c r="C557" s="62" t="s">
        <v>241</v>
      </c>
      <c r="D557" s="63">
        <v>29</v>
      </c>
      <c r="E557" s="64">
        <v>2.5215198678380001E-3</v>
      </c>
    </row>
    <row r="558" spans="2:5" ht="14.5" customHeight="1">
      <c r="B558" s="81"/>
      <c r="C558" s="62" t="s">
        <v>242</v>
      </c>
      <c r="D558" s="63">
        <v>1</v>
      </c>
      <c r="E558" s="64">
        <v>8.6948960960000005E-5</v>
      </c>
    </row>
    <row r="559" spans="2:5" ht="14.5" customHeight="1">
      <c r="B559" s="81"/>
      <c r="C559" s="62" t="s">
        <v>246</v>
      </c>
      <c r="D559" s="63">
        <v>5</v>
      </c>
      <c r="E559" s="64">
        <v>4.3474480480000001E-4</v>
      </c>
    </row>
    <row r="560" spans="2:5" ht="14.5" customHeight="1">
      <c r="B560" s="81"/>
      <c r="C560" s="62" t="s">
        <v>247</v>
      </c>
      <c r="D560" s="63">
        <v>7</v>
      </c>
      <c r="E560" s="64">
        <v>6.0864272671900003E-4</v>
      </c>
    </row>
    <row r="561" spans="2:5" ht="14.5" customHeight="1">
      <c r="B561" s="80"/>
      <c r="C561" s="36" t="s">
        <v>28</v>
      </c>
      <c r="D561" s="35">
        <v>178</v>
      </c>
      <c r="E561" s="34">
        <v>1.5476915050865001E-2</v>
      </c>
    </row>
    <row r="562" spans="2:5" ht="14.5" customHeight="1">
      <c r="B562" s="79" t="s">
        <v>83</v>
      </c>
      <c r="C562" s="62" t="s">
        <v>227</v>
      </c>
      <c r="D562" s="63">
        <v>1</v>
      </c>
      <c r="E562" s="64">
        <v>8.6948960960000005E-5</v>
      </c>
    </row>
    <row r="563" spans="2:5" ht="14.5" customHeight="1">
      <c r="B563" s="81"/>
      <c r="C563" s="62" t="s">
        <v>230</v>
      </c>
      <c r="D563" s="63">
        <v>1</v>
      </c>
      <c r="E563" s="64">
        <v>8.6948960960000005E-5</v>
      </c>
    </row>
    <row r="564" spans="2:5" ht="14.5" customHeight="1">
      <c r="B564" s="81"/>
      <c r="C564" s="62" t="s">
        <v>233</v>
      </c>
      <c r="D564" s="63">
        <v>2</v>
      </c>
      <c r="E564" s="64">
        <v>1.7389792192000001E-4</v>
      </c>
    </row>
    <row r="565" spans="2:5" ht="14.5" customHeight="1">
      <c r="B565" s="81"/>
      <c r="C565" s="62" t="s">
        <v>234</v>
      </c>
      <c r="D565" s="63">
        <v>1</v>
      </c>
      <c r="E565" s="64">
        <v>8.6948960960000005E-5</v>
      </c>
    </row>
    <row r="566" spans="2:5" ht="14.5" customHeight="1">
      <c r="B566" s="81"/>
      <c r="C566" s="62" t="s">
        <v>235</v>
      </c>
      <c r="D566" s="63">
        <v>1</v>
      </c>
      <c r="E566" s="64">
        <v>8.6948960960000005E-5</v>
      </c>
    </row>
    <row r="567" spans="2:5" ht="14.5" customHeight="1">
      <c r="B567" s="81"/>
      <c r="C567" s="62" t="s">
        <v>238</v>
      </c>
      <c r="D567" s="63">
        <v>7</v>
      </c>
      <c r="E567" s="64">
        <v>6.0864272671900003E-4</v>
      </c>
    </row>
    <row r="568" spans="2:5" ht="14.5" customHeight="1">
      <c r="B568" s="81"/>
      <c r="C568" s="62" t="s">
        <v>239</v>
      </c>
      <c r="D568" s="63">
        <v>3</v>
      </c>
      <c r="E568" s="64">
        <v>2.6084688287999997E-4</v>
      </c>
    </row>
    <row r="569" spans="2:5" ht="14.5" customHeight="1">
      <c r="B569" s="81"/>
      <c r="C569" s="62" t="s">
        <v>241</v>
      </c>
      <c r="D569" s="63">
        <v>7</v>
      </c>
      <c r="E569" s="64">
        <v>6.0864272671900003E-4</v>
      </c>
    </row>
    <row r="570" spans="2:5" ht="14.5" customHeight="1">
      <c r="B570" s="81"/>
      <c r="C570" s="62" t="s">
        <v>246</v>
      </c>
      <c r="D570" s="63">
        <v>1</v>
      </c>
      <c r="E570" s="64">
        <v>8.6948960960000005E-5</v>
      </c>
    </row>
    <row r="571" spans="2:5" ht="14.5" customHeight="1">
      <c r="B571" s="81"/>
      <c r="C571" s="62" t="s">
        <v>247</v>
      </c>
      <c r="D571" s="63">
        <v>2</v>
      </c>
      <c r="E571" s="64">
        <v>1.7389792192000001E-4</v>
      </c>
    </row>
    <row r="572" spans="2:5" ht="14.5" customHeight="1">
      <c r="B572" s="80"/>
      <c r="C572" s="36" t="s">
        <v>28</v>
      </c>
      <c r="D572" s="35">
        <v>26</v>
      </c>
      <c r="E572" s="34">
        <v>2.2606729849580002E-3</v>
      </c>
    </row>
    <row r="573" spans="2:5" ht="14.5" customHeight="1">
      <c r="B573" s="79" t="s">
        <v>62</v>
      </c>
      <c r="C573" s="62" t="s">
        <v>227</v>
      </c>
      <c r="D573" s="63">
        <v>2</v>
      </c>
      <c r="E573" s="64">
        <v>1.7389792192000001E-4</v>
      </c>
    </row>
    <row r="574" spans="2:5" ht="14.5" customHeight="1">
      <c r="B574" s="81"/>
      <c r="C574" s="62" t="s">
        <v>231</v>
      </c>
      <c r="D574" s="63">
        <v>2</v>
      </c>
      <c r="E574" s="64">
        <v>1.7389792192000001E-4</v>
      </c>
    </row>
    <row r="575" spans="2:5" ht="14.5" customHeight="1">
      <c r="B575" s="81"/>
      <c r="C575" s="62" t="s">
        <v>232</v>
      </c>
      <c r="D575" s="63">
        <v>2</v>
      </c>
      <c r="E575" s="64">
        <v>1.7389792192000001E-4</v>
      </c>
    </row>
    <row r="576" spans="2:5" ht="14.5" customHeight="1">
      <c r="B576" s="81"/>
      <c r="C576" s="62" t="s">
        <v>233</v>
      </c>
      <c r="D576" s="63">
        <v>5</v>
      </c>
      <c r="E576" s="64">
        <v>4.3474480480000001E-4</v>
      </c>
    </row>
    <row r="577" spans="2:5" ht="14.5" customHeight="1">
      <c r="B577" s="81"/>
      <c r="C577" s="62" t="s">
        <v>234</v>
      </c>
      <c r="D577" s="63">
        <v>12</v>
      </c>
      <c r="E577" s="64">
        <v>1.043387531519E-3</v>
      </c>
    </row>
    <row r="578" spans="2:5" ht="14.5" customHeight="1">
      <c r="B578" s="81"/>
      <c r="C578" s="62" t="s">
        <v>236</v>
      </c>
      <c r="D578" s="63">
        <v>3</v>
      </c>
      <c r="E578" s="64">
        <v>2.6084688287999997E-4</v>
      </c>
    </row>
    <row r="579" spans="2:5" ht="14.5" customHeight="1">
      <c r="B579" s="81"/>
      <c r="C579" s="62" t="s">
        <v>237</v>
      </c>
      <c r="D579" s="63">
        <v>5</v>
      </c>
      <c r="E579" s="64">
        <v>4.3474480480000001E-4</v>
      </c>
    </row>
    <row r="580" spans="2:5" ht="14.5" customHeight="1">
      <c r="B580" s="81"/>
      <c r="C580" s="62" t="s">
        <v>238</v>
      </c>
      <c r="D580" s="63">
        <v>43</v>
      </c>
      <c r="E580" s="64">
        <v>3.7388053212760002E-3</v>
      </c>
    </row>
    <row r="581" spans="2:5" ht="14.5" customHeight="1">
      <c r="B581" s="81"/>
      <c r="C581" s="62" t="s">
        <v>239</v>
      </c>
      <c r="D581" s="63">
        <v>5</v>
      </c>
      <c r="E581" s="64">
        <v>4.3474480480000001E-4</v>
      </c>
    </row>
    <row r="582" spans="2:5" ht="14.5" customHeight="1">
      <c r="B582" s="81"/>
      <c r="C582" s="62" t="s">
        <v>240</v>
      </c>
      <c r="D582" s="63">
        <v>8</v>
      </c>
      <c r="E582" s="64">
        <v>6.9559168767899997E-4</v>
      </c>
    </row>
    <row r="583" spans="2:5" ht="14.5" customHeight="1">
      <c r="B583" s="81"/>
      <c r="C583" s="62" t="s">
        <v>241</v>
      </c>
      <c r="D583" s="63">
        <v>28</v>
      </c>
      <c r="E583" s="64">
        <v>2.4345709068779998E-3</v>
      </c>
    </row>
    <row r="584" spans="2:5" ht="14.5" customHeight="1">
      <c r="B584" s="81"/>
      <c r="C584" s="62" t="s">
        <v>242</v>
      </c>
      <c r="D584" s="63">
        <v>2</v>
      </c>
      <c r="E584" s="64">
        <v>1.7389792192000001E-4</v>
      </c>
    </row>
    <row r="585" spans="2:5" ht="14.5" customHeight="1">
      <c r="B585" s="81"/>
      <c r="C585" s="62" t="s">
        <v>243</v>
      </c>
      <c r="D585" s="63">
        <v>1</v>
      </c>
      <c r="E585" s="64">
        <v>8.6948960960000005E-5</v>
      </c>
    </row>
    <row r="586" spans="2:5" ht="14.5" customHeight="1">
      <c r="B586" s="81"/>
      <c r="C586" s="62" t="s">
        <v>246</v>
      </c>
      <c r="D586" s="63">
        <v>6</v>
      </c>
      <c r="E586" s="64">
        <v>5.2169376575899999E-4</v>
      </c>
    </row>
    <row r="587" spans="2:5" ht="14.5" customHeight="1">
      <c r="B587" s="81"/>
      <c r="C587" s="62" t="s">
        <v>247</v>
      </c>
      <c r="D587" s="63">
        <v>6</v>
      </c>
      <c r="E587" s="64">
        <v>5.2169376575899999E-4</v>
      </c>
    </row>
    <row r="588" spans="2:5" ht="14.5" customHeight="1">
      <c r="B588" s="80"/>
      <c r="C588" s="36" t="s">
        <v>28</v>
      </c>
      <c r="D588" s="35">
        <v>130</v>
      </c>
      <c r="E588" s="34">
        <v>1.1303364924789E-2</v>
      </c>
    </row>
    <row r="589" spans="2:5" ht="14.5" customHeight="1">
      <c r="B589" s="79" t="s">
        <v>85</v>
      </c>
      <c r="C589" s="62" t="s">
        <v>234</v>
      </c>
      <c r="D589" s="63">
        <v>2</v>
      </c>
      <c r="E589" s="64">
        <v>1.7389792192000001E-4</v>
      </c>
    </row>
    <row r="590" spans="2:5" ht="14.5" customHeight="1">
      <c r="B590" s="81"/>
      <c r="C590" s="62" t="s">
        <v>236</v>
      </c>
      <c r="D590" s="63">
        <v>1</v>
      </c>
      <c r="E590" s="64">
        <v>8.6948960960000005E-5</v>
      </c>
    </row>
    <row r="591" spans="2:5" ht="14.5" customHeight="1">
      <c r="B591" s="81"/>
      <c r="C591" s="62" t="s">
        <v>237</v>
      </c>
      <c r="D591" s="63">
        <v>1</v>
      </c>
      <c r="E591" s="64">
        <v>8.6948960960000005E-5</v>
      </c>
    </row>
    <row r="592" spans="2:5" ht="14.5" customHeight="1">
      <c r="B592" s="81"/>
      <c r="C592" s="62" t="s">
        <v>238</v>
      </c>
      <c r="D592" s="63">
        <v>5</v>
      </c>
      <c r="E592" s="64">
        <v>4.3474480480000001E-4</v>
      </c>
    </row>
    <row r="593" spans="2:5" ht="14.5" customHeight="1">
      <c r="B593" s="81"/>
      <c r="C593" s="62" t="s">
        <v>239</v>
      </c>
      <c r="D593" s="63">
        <v>1</v>
      </c>
      <c r="E593" s="64">
        <v>8.6948960960000005E-5</v>
      </c>
    </row>
    <row r="594" spans="2:5" ht="14.5" customHeight="1">
      <c r="B594" s="81"/>
      <c r="C594" s="62" t="s">
        <v>240</v>
      </c>
      <c r="D594" s="63">
        <v>1</v>
      </c>
      <c r="E594" s="64">
        <v>8.6948960960000005E-5</v>
      </c>
    </row>
    <row r="595" spans="2:5" ht="14.5" customHeight="1">
      <c r="B595" s="81"/>
      <c r="C595" s="62" t="s">
        <v>241</v>
      </c>
      <c r="D595" s="63">
        <v>9</v>
      </c>
      <c r="E595" s="64">
        <v>7.8254064863900001E-4</v>
      </c>
    </row>
    <row r="596" spans="2:5" ht="14.5" customHeight="1">
      <c r="B596" s="81"/>
      <c r="C596" s="62" t="s">
        <v>246</v>
      </c>
      <c r="D596" s="63">
        <v>2</v>
      </c>
      <c r="E596" s="64">
        <v>1.7389792192000001E-4</v>
      </c>
    </row>
    <row r="597" spans="2:5" ht="14.5" customHeight="1">
      <c r="B597" s="81"/>
      <c r="C597" s="62" t="s">
        <v>247</v>
      </c>
      <c r="D597" s="63">
        <v>2</v>
      </c>
      <c r="E597" s="64">
        <v>1.7389792192000001E-4</v>
      </c>
    </row>
    <row r="598" spans="2:5" ht="14.5" customHeight="1">
      <c r="B598" s="80"/>
      <c r="C598" s="36" t="s">
        <v>28</v>
      </c>
      <c r="D598" s="35">
        <v>24</v>
      </c>
      <c r="E598" s="34">
        <v>2.0867750630380001E-3</v>
      </c>
    </row>
    <row r="599" spans="2:5" ht="14.5" customHeight="1">
      <c r="B599" s="79" t="s">
        <v>49</v>
      </c>
      <c r="C599" s="62" t="s">
        <v>227</v>
      </c>
      <c r="D599" s="63">
        <v>8</v>
      </c>
      <c r="E599" s="64">
        <v>6.9559168767899997E-4</v>
      </c>
    </row>
    <row r="600" spans="2:5" ht="14.5" customHeight="1">
      <c r="B600" s="81"/>
      <c r="C600" s="62" t="s">
        <v>228</v>
      </c>
      <c r="D600" s="63">
        <v>2</v>
      </c>
      <c r="E600" s="64">
        <v>1.7389792192000001E-4</v>
      </c>
    </row>
    <row r="601" spans="2:5" ht="14.5" customHeight="1">
      <c r="B601" s="81"/>
      <c r="C601" s="62" t="s">
        <v>229</v>
      </c>
      <c r="D601" s="63">
        <v>5</v>
      </c>
      <c r="E601" s="64">
        <v>4.3474480480000001E-4</v>
      </c>
    </row>
    <row r="602" spans="2:5" ht="14.5" customHeight="1">
      <c r="B602" s="81"/>
      <c r="C602" s="62" t="s">
        <v>230</v>
      </c>
      <c r="D602" s="63">
        <v>11</v>
      </c>
      <c r="E602" s="64">
        <v>9.56438570559E-4</v>
      </c>
    </row>
    <row r="603" spans="2:5" ht="14.5" customHeight="1">
      <c r="B603" s="81"/>
      <c r="C603" s="62" t="s">
        <v>231</v>
      </c>
      <c r="D603" s="63">
        <v>7</v>
      </c>
      <c r="E603" s="64">
        <v>6.0864272671900003E-4</v>
      </c>
    </row>
    <row r="604" spans="2:5" ht="14.5" customHeight="1">
      <c r="B604" s="81"/>
      <c r="C604" s="62" t="s">
        <v>232</v>
      </c>
      <c r="D604" s="63">
        <v>8</v>
      </c>
      <c r="E604" s="64">
        <v>6.9559168767899997E-4</v>
      </c>
    </row>
    <row r="605" spans="2:5" ht="14.5" customHeight="1">
      <c r="B605" s="81"/>
      <c r="C605" s="62" t="s">
        <v>233</v>
      </c>
      <c r="D605" s="63">
        <v>105</v>
      </c>
      <c r="E605" s="64">
        <v>9.1296409007910004E-3</v>
      </c>
    </row>
    <row r="606" spans="2:5" ht="14.5" customHeight="1">
      <c r="B606" s="81"/>
      <c r="C606" s="62" t="s">
        <v>234</v>
      </c>
      <c r="D606" s="63">
        <v>98</v>
      </c>
      <c r="E606" s="64">
        <v>8.520998174072E-3</v>
      </c>
    </row>
    <row r="607" spans="2:5" ht="14.5" customHeight="1">
      <c r="B607" s="81"/>
      <c r="C607" s="62" t="s">
        <v>235</v>
      </c>
      <c r="D607" s="63">
        <v>8</v>
      </c>
      <c r="E607" s="64">
        <v>6.9559168767899997E-4</v>
      </c>
    </row>
    <row r="608" spans="2:5" ht="14.5" customHeight="1">
      <c r="B608" s="81"/>
      <c r="C608" s="62" t="s">
        <v>236</v>
      </c>
      <c r="D608" s="63">
        <v>42</v>
      </c>
      <c r="E608" s="64">
        <v>3.6518563603159999E-3</v>
      </c>
    </row>
    <row r="609" spans="2:5" ht="14.5" customHeight="1">
      <c r="B609" s="81"/>
      <c r="C609" s="62" t="s">
        <v>237</v>
      </c>
      <c r="D609" s="63">
        <v>130</v>
      </c>
      <c r="E609" s="64">
        <v>1.1303364924789E-2</v>
      </c>
    </row>
    <row r="610" spans="2:5" ht="14.5" customHeight="1">
      <c r="B610" s="81"/>
      <c r="C610" s="62" t="s">
        <v>238</v>
      </c>
      <c r="D610" s="63">
        <v>499</v>
      </c>
      <c r="E610" s="64">
        <v>4.3387531518997997E-2</v>
      </c>
    </row>
    <row r="611" spans="2:5" ht="14.5" customHeight="1">
      <c r="B611" s="81"/>
      <c r="C611" s="62" t="s">
        <v>239</v>
      </c>
      <c r="D611" s="63">
        <v>55</v>
      </c>
      <c r="E611" s="64">
        <v>4.7821928527949998E-3</v>
      </c>
    </row>
    <row r="612" spans="2:5" ht="14.5" customHeight="1">
      <c r="B612" s="81"/>
      <c r="C612" s="62" t="s">
        <v>240</v>
      </c>
      <c r="D612" s="63">
        <v>92</v>
      </c>
      <c r="E612" s="64">
        <v>7.9993044083119993E-3</v>
      </c>
    </row>
    <row r="613" spans="2:5" ht="14.5" customHeight="1">
      <c r="B613" s="81"/>
      <c r="C613" s="62" t="s">
        <v>241</v>
      </c>
      <c r="D613" s="63">
        <v>496</v>
      </c>
      <c r="E613" s="64">
        <v>4.3126684636119003E-2</v>
      </c>
    </row>
    <row r="614" spans="2:5" ht="14.5" customHeight="1">
      <c r="B614" s="81"/>
      <c r="C614" s="62" t="s">
        <v>242</v>
      </c>
      <c r="D614" s="63">
        <v>10</v>
      </c>
      <c r="E614" s="64">
        <v>8.6948960959899995E-4</v>
      </c>
    </row>
    <row r="615" spans="2:5" ht="14.5" customHeight="1">
      <c r="B615" s="81"/>
      <c r="C615" s="62" t="s">
        <v>243</v>
      </c>
      <c r="D615" s="63">
        <v>8</v>
      </c>
      <c r="E615" s="64">
        <v>6.9559168767899997E-4</v>
      </c>
    </row>
    <row r="616" spans="2:5" ht="14.5" customHeight="1">
      <c r="B616" s="81"/>
      <c r="C616" s="62" t="s">
        <v>244</v>
      </c>
      <c r="D616" s="63">
        <v>4</v>
      </c>
      <c r="E616" s="64">
        <v>3.4779584384000002E-4</v>
      </c>
    </row>
    <row r="617" spans="2:5" ht="14.5" customHeight="1">
      <c r="B617" s="81"/>
      <c r="C617" s="62" t="s">
        <v>245</v>
      </c>
      <c r="D617" s="63">
        <v>1</v>
      </c>
      <c r="E617" s="64">
        <v>8.6948960960000005E-5</v>
      </c>
    </row>
    <row r="618" spans="2:5" ht="14.5" customHeight="1">
      <c r="B618" s="81"/>
      <c r="C618" s="62" t="s">
        <v>246</v>
      </c>
      <c r="D618" s="63">
        <v>29</v>
      </c>
      <c r="E618" s="64">
        <v>2.5215198678380001E-3</v>
      </c>
    </row>
    <row r="619" spans="2:5" ht="14.5" customHeight="1">
      <c r="B619" s="81"/>
      <c r="C619" s="62" t="s">
        <v>247</v>
      </c>
      <c r="D619" s="63">
        <v>170</v>
      </c>
      <c r="E619" s="64">
        <v>1.4781323363185999E-2</v>
      </c>
    </row>
    <row r="620" spans="2:5" ht="14.5" customHeight="1">
      <c r="B620" s="81"/>
      <c r="C620" s="62" t="s">
        <v>249</v>
      </c>
      <c r="D620" s="63">
        <v>6</v>
      </c>
      <c r="E620" s="64">
        <v>5.2169376575899999E-4</v>
      </c>
    </row>
    <row r="621" spans="2:5" ht="14.5" customHeight="1">
      <c r="B621" s="81"/>
      <c r="C621" s="62" t="s">
        <v>250</v>
      </c>
      <c r="D621" s="63">
        <v>1</v>
      </c>
      <c r="E621" s="64">
        <v>8.6948960960000005E-5</v>
      </c>
    </row>
    <row r="622" spans="2:5" ht="14.5" customHeight="1">
      <c r="B622" s="80"/>
      <c r="C622" s="36" t="s">
        <v>28</v>
      </c>
      <c r="D622" s="35">
        <v>1795</v>
      </c>
      <c r="E622" s="34">
        <v>0.15607338492305001</v>
      </c>
    </row>
    <row r="623" spans="2:5" ht="14.5" customHeight="1">
      <c r="B623" s="79" t="s">
        <v>77</v>
      </c>
      <c r="C623" s="62" t="s">
        <v>230</v>
      </c>
      <c r="D623" s="63">
        <v>1</v>
      </c>
      <c r="E623" s="64">
        <v>8.6948960960000005E-5</v>
      </c>
    </row>
    <row r="624" spans="2:5" ht="14.5" customHeight="1">
      <c r="B624" s="81"/>
      <c r="C624" s="62" t="s">
        <v>232</v>
      </c>
      <c r="D624" s="63">
        <v>1</v>
      </c>
      <c r="E624" s="64">
        <v>8.6948960960000005E-5</v>
      </c>
    </row>
    <row r="625" spans="2:5" ht="14.5" customHeight="1">
      <c r="B625" s="81"/>
      <c r="C625" s="62" t="s">
        <v>233</v>
      </c>
      <c r="D625" s="63">
        <v>5</v>
      </c>
      <c r="E625" s="64">
        <v>4.3474480480000001E-4</v>
      </c>
    </row>
    <row r="626" spans="2:5" ht="14.5" customHeight="1">
      <c r="B626" s="81"/>
      <c r="C626" s="62" t="s">
        <v>234</v>
      </c>
      <c r="D626" s="63">
        <v>6</v>
      </c>
      <c r="E626" s="64">
        <v>5.2169376575899999E-4</v>
      </c>
    </row>
    <row r="627" spans="2:5" ht="14.5" customHeight="1">
      <c r="B627" s="81"/>
      <c r="C627" s="62" t="s">
        <v>236</v>
      </c>
      <c r="D627" s="63">
        <v>1</v>
      </c>
      <c r="E627" s="64">
        <v>8.6948960960000005E-5</v>
      </c>
    </row>
    <row r="628" spans="2:5" ht="14.5" customHeight="1">
      <c r="B628" s="81"/>
      <c r="C628" s="62" t="s">
        <v>237</v>
      </c>
      <c r="D628" s="63">
        <v>4</v>
      </c>
      <c r="E628" s="64">
        <v>3.4779584384000002E-4</v>
      </c>
    </row>
    <row r="629" spans="2:5" ht="14.5" customHeight="1">
      <c r="B629" s="81"/>
      <c r="C629" s="62" t="s">
        <v>238</v>
      </c>
      <c r="D629" s="63">
        <v>16</v>
      </c>
      <c r="E629" s="64">
        <v>1.391183375359E-3</v>
      </c>
    </row>
    <row r="630" spans="2:5" ht="14.5" customHeight="1">
      <c r="B630" s="81"/>
      <c r="C630" s="62" t="s">
        <v>239</v>
      </c>
      <c r="D630" s="63">
        <v>1</v>
      </c>
      <c r="E630" s="64">
        <v>8.6948960960000005E-5</v>
      </c>
    </row>
    <row r="631" spans="2:5" ht="14.5" customHeight="1">
      <c r="B631" s="81"/>
      <c r="C631" s="62" t="s">
        <v>240</v>
      </c>
      <c r="D631" s="63">
        <v>3</v>
      </c>
      <c r="E631" s="64">
        <v>2.6084688287999997E-4</v>
      </c>
    </row>
    <row r="632" spans="2:5" ht="14.5" customHeight="1">
      <c r="B632" s="81"/>
      <c r="C632" s="62" t="s">
        <v>241</v>
      </c>
      <c r="D632" s="63">
        <v>11</v>
      </c>
      <c r="E632" s="64">
        <v>9.56438570559E-4</v>
      </c>
    </row>
    <row r="633" spans="2:5" ht="14.5" customHeight="1">
      <c r="B633" s="81"/>
      <c r="C633" s="62" t="s">
        <v>246</v>
      </c>
      <c r="D633" s="63">
        <v>3</v>
      </c>
      <c r="E633" s="64">
        <v>2.6084688287999997E-4</v>
      </c>
    </row>
    <row r="634" spans="2:5" ht="14.5" customHeight="1">
      <c r="B634" s="81"/>
      <c r="C634" s="62" t="s">
        <v>247</v>
      </c>
      <c r="D634" s="63">
        <v>7</v>
      </c>
      <c r="E634" s="64">
        <v>6.0864272671900003E-4</v>
      </c>
    </row>
    <row r="635" spans="2:5" ht="14.5" customHeight="1">
      <c r="B635" s="81"/>
      <c r="C635" s="62" t="s">
        <v>249</v>
      </c>
      <c r="D635" s="63">
        <v>2</v>
      </c>
      <c r="E635" s="64">
        <v>1.7389792192000001E-4</v>
      </c>
    </row>
    <row r="636" spans="2:5" ht="14.5" customHeight="1">
      <c r="B636" s="81"/>
      <c r="C636" s="62" t="s">
        <v>250</v>
      </c>
      <c r="D636" s="63">
        <v>1</v>
      </c>
      <c r="E636" s="64">
        <v>8.6948960960000005E-5</v>
      </c>
    </row>
    <row r="637" spans="2:5" ht="14.5" customHeight="1">
      <c r="B637" s="80"/>
      <c r="C637" s="36" t="s">
        <v>28</v>
      </c>
      <c r="D637" s="35">
        <v>62</v>
      </c>
      <c r="E637" s="34">
        <v>5.3908355795150003E-3</v>
      </c>
    </row>
    <row r="638" spans="2:5" ht="14.5" customHeight="1">
      <c r="B638" s="79" t="s">
        <v>89</v>
      </c>
      <c r="C638" s="62" t="s">
        <v>233</v>
      </c>
      <c r="D638" s="63">
        <v>1</v>
      </c>
      <c r="E638" s="64">
        <v>8.6948960960000005E-5</v>
      </c>
    </row>
    <row r="639" spans="2:5" ht="14.5" customHeight="1">
      <c r="B639" s="81"/>
      <c r="C639" s="62" t="s">
        <v>234</v>
      </c>
      <c r="D639" s="63">
        <v>1</v>
      </c>
      <c r="E639" s="64">
        <v>8.6948960960000005E-5</v>
      </c>
    </row>
    <row r="640" spans="2:5" ht="14.5" customHeight="1">
      <c r="B640" s="81"/>
      <c r="C640" s="62" t="s">
        <v>235</v>
      </c>
      <c r="D640" s="63">
        <v>1</v>
      </c>
      <c r="E640" s="64">
        <v>8.6948960960000005E-5</v>
      </c>
    </row>
    <row r="641" spans="2:5" ht="14.5" customHeight="1">
      <c r="B641" s="81"/>
      <c r="C641" s="62" t="s">
        <v>238</v>
      </c>
      <c r="D641" s="63">
        <v>5</v>
      </c>
      <c r="E641" s="64">
        <v>4.3474480480000001E-4</v>
      </c>
    </row>
    <row r="642" spans="2:5" ht="14.5" customHeight="1">
      <c r="B642" s="81"/>
      <c r="C642" s="62" t="s">
        <v>241</v>
      </c>
      <c r="D642" s="63">
        <v>4</v>
      </c>
      <c r="E642" s="64">
        <v>3.4779584384000002E-4</v>
      </c>
    </row>
    <row r="643" spans="2:5" ht="14.5" customHeight="1">
      <c r="B643" s="81"/>
      <c r="C643" s="62" t="s">
        <v>242</v>
      </c>
      <c r="D643" s="63">
        <v>1</v>
      </c>
      <c r="E643" s="64">
        <v>8.6948960960000005E-5</v>
      </c>
    </row>
    <row r="644" spans="2:5" ht="14.5" customHeight="1">
      <c r="B644" s="81"/>
      <c r="C644" s="62" t="s">
        <v>247</v>
      </c>
      <c r="D644" s="63">
        <v>3</v>
      </c>
      <c r="E644" s="64">
        <v>2.6084688287999997E-4</v>
      </c>
    </row>
    <row r="645" spans="2:5" ht="14.5" customHeight="1">
      <c r="B645" s="80"/>
      <c r="C645" s="36" t="s">
        <v>28</v>
      </c>
      <c r="D645" s="35">
        <v>16</v>
      </c>
      <c r="E645" s="34">
        <v>1.391183375359E-3</v>
      </c>
    </row>
    <row r="646" spans="2:5" ht="14.5" customHeight="1">
      <c r="B646" s="79" t="s">
        <v>87</v>
      </c>
      <c r="C646" s="62" t="s">
        <v>233</v>
      </c>
      <c r="D646" s="63">
        <v>1</v>
      </c>
      <c r="E646" s="64">
        <v>8.6948960960000005E-5</v>
      </c>
    </row>
    <row r="647" spans="2:5" ht="14.5" customHeight="1">
      <c r="B647" s="81"/>
      <c r="C647" s="62" t="s">
        <v>234</v>
      </c>
      <c r="D647" s="63">
        <v>1</v>
      </c>
      <c r="E647" s="64">
        <v>8.6948960960000005E-5</v>
      </c>
    </row>
    <row r="648" spans="2:5" ht="14.5" customHeight="1">
      <c r="B648" s="81"/>
      <c r="C648" s="62" t="s">
        <v>236</v>
      </c>
      <c r="D648" s="63">
        <v>2</v>
      </c>
      <c r="E648" s="64">
        <v>1.7389792192000001E-4</v>
      </c>
    </row>
    <row r="649" spans="2:5" ht="14.5" customHeight="1">
      <c r="B649" s="81"/>
      <c r="C649" s="62" t="s">
        <v>237</v>
      </c>
      <c r="D649" s="63">
        <v>1</v>
      </c>
      <c r="E649" s="64">
        <v>8.6948960960000005E-5</v>
      </c>
    </row>
    <row r="650" spans="2:5" ht="14.5" customHeight="1">
      <c r="B650" s="81"/>
      <c r="C650" s="62" t="s">
        <v>238</v>
      </c>
      <c r="D650" s="63">
        <v>8</v>
      </c>
      <c r="E650" s="64">
        <v>6.9559168767899997E-4</v>
      </c>
    </row>
    <row r="651" spans="2:5" ht="14.5" customHeight="1">
      <c r="B651" s="81"/>
      <c r="C651" s="62" t="s">
        <v>239</v>
      </c>
      <c r="D651" s="63">
        <v>2</v>
      </c>
      <c r="E651" s="64">
        <v>1.7389792192000001E-4</v>
      </c>
    </row>
    <row r="652" spans="2:5" ht="14.5" customHeight="1">
      <c r="B652" s="81"/>
      <c r="C652" s="62" t="s">
        <v>240</v>
      </c>
      <c r="D652" s="63">
        <v>1</v>
      </c>
      <c r="E652" s="64">
        <v>8.6948960960000005E-5</v>
      </c>
    </row>
    <row r="653" spans="2:5" ht="14.5" customHeight="1">
      <c r="B653" s="81"/>
      <c r="C653" s="62" t="s">
        <v>241</v>
      </c>
      <c r="D653" s="63">
        <v>2</v>
      </c>
      <c r="E653" s="64">
        <v>1.7389792192000001E-4</v>
      </c>
    </row>
    <row r="654" spans="2:5" ht="14.5" customHeight="1">
      <c r="B654" s="81"/>
      <c r="C654" s="62" t="s">
        <v>243</v>
      </c>
      <c r="D654" s="63">
        <v>1</v>
      </c>
      <c r="E654" s="64">
        <v>8.6948960960000005E-5</v>
      </c>
    </row>
    <row r="655" spans="2:5" ht="14.5" customHeight="1">
      <c r="B655" s="81"/>
      <c r="C655" s="62" t="s">
        <v>246</v>
      </c>
      <c r="D655" s="63">
        <v>1</v>
      </c>
      <c r="E655" s="64">
        <v>8.6948960960000005E-5</v>
      </c>
    </row>
    <row r="656" spans="2:5" ht="14.5" customHeight="1">
      <c r="B656" s="80"/>
      <c r="C656" s="36" t="s">
        <v>28</v>
      </c>
      <c r="D656" s="35">
        <v>20</v>
      </c>
      <c r="E656" s="34">
        <v>1.7389792191979999E-3</v>
      </c>
    </row>
    <row r="657" spans="2:5" ht="14.5" customHeight="1">
      <c r="B657" s="79" t="s">
        <v>82</v>
      </c>
      <c r="C657" s="62" t="s">
        <v>233</v>
      </c>
      <c r="D657" s="63">
        <v>4</v>
      </c>
      <c r="E657" s="64">
        <v>3.4779584384000002E-4</v>
      </c>
    </row>
    <row r="658" spans="2:5" ht="14.5" customHeight="1">
      <c r="B658" s="81"/>
      <c r="C658" s="62" t="s">
        <v>234</v>
      </c>
      <c r="D658" s="63">
        <v>2</v>
      </c>
      <c r="E658" s="64">
        <v>1.7389792192000001E-4</v>
      </c>
    </row>
    <row r="659" spans="2:5" ht="14.5" customHeight="1">
      <c r="B659" s="81"/>
      <c r="C659" s="62" t="s">
        <v>235</v>
      </c>
      <c r="D659" s="63">
        <v>3</v>
      </c>
      <c r="E659" s="64">
        <v>2.6084688287999997E-4</v>
      </c>
    </row>
    <row r="660" spans="2:5" ht="14.5" customHeight="1">
      <c r="B660" s="81"/>
      <c r="C660" s="62" t="s">
        <v>236</v>
      </c>
      <c r="D660" s="63">
        <v>2</v>
      </c>
      <c r="E660" s="64">
        <v>1.7389792192000001E-4</v>
      </c>
    </row>
    <row r="661" spans="2:5" ht="14.5" customHeight="1">
      <c r="B661" s="81"/>
      <c r="C661" s="62" t="s">
        <v>237</v>
      </c>
      <c r="D661" s="63">
        <v>2</v>
      </c>
      <c r="E661" s="64">
        <v>1.7389792192000001E-4</v>
      </c>
    </row>
    <row r="662" spans="2:5" ht="14.5" customHeight="1">
      <c r="B662" s="81"/>
      <c r="C662" s="62" t="s">
        <v>238</v>
      </c>
      <c r="D662" s="63">
        <v>4</v>
      </c>
      <c r="E662" s="64">
        <v>3.4779584384000002E-4</v>
      </c>
    </row>
    <row r="663" spans="2:5" ht="14.5" customHeight="1">
      <c r="B663" s="81"/>
      <c r="C663" s="62" t="s">
        <v>240</v>
      </c>
      <c r="D663" s="63">
        <v>3</v>
      </c>
      <c r="E663" s="64">
        <v>2.6084688287999997E-4</v>
      </c>
    </row>
    <row r="664" spans="2:5" ht="14.5" customHeight="1">
      <c r="B664" s="81"/>
      <c r="C664" s="62" t="s">
        <v>241</v>
      </c>
      <c r="D664" s="63">
        <v>5</v>
      </c>
      <c r="E664" s="64">
        <v>4.3474480480000001E-4</v>
      </c>
    </row>
    <row r="665" spans="2:5" ht="14.5" customHeight="1">
      <c r="B665" s="81"/>
      <c r="C665" s="62" t="s">
        <v>247</v>
      </c>
      <c r="D665" s="63">
        <v>2</v>
      </c>
      <c r="E665" s="64">
        <v>1.7389792192000001E-4</v>
      </c>
    </row>
    <row r="666" spans="2:5" ht="14.5" customHeight="1">
      <c r="B666" s="80"/>
      <c r="C666" s="36" t="s">
        <v>28</v>
      </c>
      <c r="D666" s="35">
        <v>27</v>
      </c>
      <c r="E666" s="34">
        <v>2.347621945918E-3</v>
      </c>
    </row>
    <row r="667" spans="2:5" ht="14.5" customHeight="1">
      <c r="B667" s="79" t="s">
        <v>70</v>
      </c>
      <c r="C667" s="62" t="s">
        <v>227</v>
      </c>
      <c r="D667" s="63">
        <v>1</v>
      </c>
      <c r="E667" s="64">
        <v>8.6948960960000005E-5</v>
      </c>
    </row>
    <row r="668" spans="2:5" ht="14.5" customHeight="1">
      <c r="B668" s="81"/>
      <c r="C668" s="62" t="s">
        <v>230</v>
      </c>
      <c r="D668" s="63">
        <v>1</v>
      </c>
      <c r="E668" s="64">
        <v>8.6948960960000005E-5</v>
      </c>
    </row>
    <row r="669" spans="2:5" ht="14.5" customHeight="1">
      <c r="B669" s="81"/>
      <c r="C669" s="62" t="s">
        <v>233</v>
      </c>
      <c r="D669" s="63">
        <v>4</v>
      </c>
      <c r="E669" s="64">
        <v>3.4779584384000002E-4</v>
      </c>
    </row>
    <row r="670" spans="2:5" ht="14.5" customHeight="1">
      <c r="B670" s="81"/>
      <c r="C670" s="62" t="s">
        <v>234</v>
      </c>
      <c r="D670" s="63">
        <v>5</v>
      </c>
      <c r="E670" s="64">
        <v>4.3474480480000001E-4</v>
      </c>
    </row>
    <row r="671" spans="2:5" ht="14.5" customHeight="1">
      <c r="B671" s="81"/>
      <c r="C671" s="62" t="s">
        <v>235</v>
      </c>
      <c r="D671" s="63">
        <v>1</v>
      </c>
      <c r="E671" s="64">
        <v>8.6948960960000005E-5</v>
      </c>
    </row>
    <row r="672" spans="2:5" ht="14.5" customHeight="1">
      <c r="B672" s="81"/>
      <c r="C672" s="62" t="s">
        <v>236</v>
      </c>
      <c r="D672" s="63">
        <v>1</v>
      </c>
      <c r="E672" s="64">
        <v>8.6948960960000005E-5</v>
      </c>
    </row>
    <row r="673" spans="2:5" ht="14.5" customHeight="1">
      <c r="B673" s="81"/>
      <c r="C673" s="62" t="s">
        <v>237</v>
      </c>
      <c r="D673" s="63">
        <v>4</v>
      </c>
      <c r="E673" s="64">
        <v>3.4779584384000002E-4</v>
      </c>
    </row>
    <row r="674" spans="2:5" ht="14.5" customHeight="1">
      <c r="B674" s="81"/>
      <c r="C674" s="62" t="s">
        <v>238</v>
      </c>
      <c r="D674" s="63">
        <v>27</v>
      </c>
      <c r="E674" s="64">
        <v>2.347621945918E-3</v>
      </c>
    </row>
    <row r="675" spans="2:5" ht="14.5" customHeight="1">
      <c r="B675" s="81"/>
      <c r="C675" s="62" t="s">
        <v>239</v>
      </c>
      <c r="D675" s="63">
        <v>2</v>
      </c>
      <c r="E675" s="64">
        <v>1.7389792192000001E-4</v>
      </c>
    </row>
    <row r="676" spans="2:5" ht="14.5" customHeight="1">
      <c r="B676" s="81"/>
      <c r="C676" s="62" t="s">
        <v>240</v>
      </c>
      <c r="D676" s="63">
        <v>4</v>
      </c>
      <c r="E676" s="64">
        <v>3.4779584384000002E-4</v>
      </c>
    </row>
    <row r="677" spans="2:5" ht="14.5" customHeight="1">
      <c r="B677" s="81"/>
      <c r="C677" s="62" t="s">
        <v>241</v>
      </c>
      <c r="D677" s="63">
        <v>18</v>
      </c>
      <c r="E677" s="64">
        <v>1.565081297278E-3</v>
      </c>
    </row>
    <row r="678" spans="2:5" ht="14.5" customHeight="1">
      <c r="B678" s="81"/>
      <c r="C678" s="62" t="s">
        <v>242</v>
      </c>
      <c r="D678" s="63">
        <v>1</v>
      </c>
      <c r="E678" s="64">
        <v>8.6948960960000005E-5</v>
      </c>
    </row>
    <row r="679" spans="2:5" ht="14.5" customHeight="1">
      <c r="B679" s="81"/>
      <c r="C679" s="62" t="s">
        <v>243</v>
      </c>
      <c r="D679" s="63">
        <v>4</v>
      </c>
      <c r="E679" s="64">
        <v>3.4779584384000002E-4</v>
      </c>
    </row>
    <row r="680" spans="2:5" ht="14.5" customHeight="1">
      <c r="B680" s="81"/>
      <c r="C680" s="62" t="s">
        <v>244</v>
      </c>
      <c r="D680" s="63">
        <v>2</v>
      </c>
      <c r="E680" s="64">
        <v>1.7389792192000001E-4</v>
      </c>
    </row>
    <row r="681" spans="2:5" ht="14.5" customHeight="1">
      <c r="B681" s="81"/>
      <c r="C681" s="62" t="s">
        <v>246</v>
      </c>
      <c r="D681" s="63">
        <v>1</v>
      </c>
      <c r="E681" s="64">
        <v>8.6948960960000005E-5</v>
      </c>
    </row>
    <row r="682" spans="2:5" ht="14.5" customHeight="1">
      <c r="B682" s="81"/>
      <c r="C682" s="62" t="s">
        <v>247</v>
      </c>
      <c r="D682" s="63">
        <v>3</v>
      </c>
      <c r="E682" s="64">
        <v>2.6084688287999997E-4</v>
      </c>
    </row>
    <row r="683" spans="2:5" ht="14.5" customHeight="1">
      <c r="B683" s="80"/>
      <c r="C683" s="36" t="s">
        <v>28</v>
      </c>
      <c r="D683" s="35">
        <v>79</v>
      </c>
      <c r="E683" s="34">
        <v>6.8689679158329998E-3</v>
      </c>
    </row>
    <row r="684" spans="2:5" ht="14.5" customHeight="1">
      <c r="B684" s="79" t="s">
        <v>91</v>
      </c>
      <c r="C684" s="62" t="s">
        <v>233</v>
      </c>
      <c r="D684" s="63">
        <v>1</v>
      </c>
      <c r="E684" s="64">
        <v>8.6948960960000005E-5</v>
      </c>
    </row>
    <row r="685" spans="2:5" ht="14.5" customHeight="1">
      <c r="B685" s="81"/>
      <c r="C685" s="62" t="s">
        <v>234</v>
      </c>
      <c r="D685" s="63">
        <v>1</v>
      </c>
      <c r="E685" s="64">
        <v>8.6948960960000005E-5</v>
      </c>
    </row>
    <row r="686" spans="2:5" ht="14.5" customHeight="1">
      <c r="B686" s="81"/>
      <c r="C686" s="62" t="s">
        <v>238</v>
      </c>
      <c r="D686" s="63">
        <v>4</v>
      </c>
      <c r="E686" s="64">
        <v>3.4779584384000002E-4</v>
      </c>
    </row>
    <row r="687" spans="2:5" ht="14.5" customHeight="1">
      <c r="B687" s="81"/>
      <c r="C687" s="62" t="s">
        <v>241</v>
      </c>
      <c r="D687" s="63">
        <v>7</v>
      </c>
      <c r="E687" s="64">
        <v>6.0864272671900003E-4</v>
      </c>
    </row>
    <row r="688" spans="2:5" ht="14.5" customHeight="1">
      <c r="B688" s="80"/>
      <c r="C688" s="36" t="s">
        <v>28</v>
      </c>
      <c r="D688" s="35">
        <v>13</v>
      </c>
      <c r="E688" s="34">
        <v>1.1303364924790001E-3</v>
      </c>
    </row>
    <row r="689" spans="2:5" ht="14.5" customHeight="1">
      <c r="B689" s="79" t="s">
        <v>92</v>
      </c>
      <c r="C689" s="62" t="s">
        <v>233</v>
      </c>
      <c r="D689" s="63">
        <v>1</v>
      </c>
      <c r="E689" s="64">
        <v>8.6948960960000005E-5</v>
      </c>
    </row>
    <row r="690" spans="2:5" ht="14.5" customHeight="1">
      <c r="B690" s="81"/>
      <c r="C690" s="62" t="s">
        <v>237</v>
      </c>
      <c r="D690" s="63">
        <v>1</v>
      </c>
      <c r="E690" s="64">
        <v>8.6948960960000005E-5</v>
      </c>
    </row>
    <row r="691" spans="2:5" ht="14.5" customHeight="1">
      <c r="B691" s="81"/>
      <c r="C691" s="62" t="s">
        <v>238</v>
      </c>
      <c r="D691" s="63">
        <v>6</v>
      </c>
      <c r="E691" s="64">
        <v>5.2169376575899999E-4</v>
      </c>
    </row>
    <row r="692" spans="2:5" ht="14.5" customHeight="1">
      <c r="B692" s="81"/>
      <c r="C692" s="62" t="s">
        <v>239</v>
      </c>
      <c r="D692" s="63">
        <v>1</v>
      </c>
      <c r="E692" s="64">
        <v>8.6948960960000005E-5</v>
      </c>
    </row>
    <row r="693" spans="2:5" ht="14.5" customHeight="1">
      <c r="B693" s="81"/>
      <c r="C693" s="62" t="s">
        <v>241</v>
      </c>
      <c r="D693" s="63">
        <v>1</v>
      </c>
      <c r="E693" s="64">
        <v>8.6948960960000005E-5</v>
      </c>
    </row>
    <row r="694" spans="2:5" ht="14.5" customHeight="1">
      <c r="B694" s="81"/>
      <c r="C694" s="62" t="s">
        <v>242</v>
      </c>
      <c r="D694" s="63">
        <v>1</v>
      </c>
      <c r="E694" s="64">
        <v>8.6948960960000005E-5</v>
      </c>
    </row>
    <row r="695" spans="2:5" ht="14.5" customHeight="1">
      <c r="B695" s="81"/>
      <c r="C695" s="62" t="s">
        <v>246</v>
      </c>
      <c r="D695" s="63">
        <v>1</v>
      </c>
      <c r="E695" s="64">
        <v>8.6948960960000005E-5</v>
      </c>
    </row>
    <row r="696" spans="2:5" ht="14.5" customHeight="1">
      <c r="B696" s="80"/>
      <c r="C696" s="36" t="s">
        <v>28</v>
      </c>
      <c r="D696" s="35">
        <v>12</v>
      </c>
      <c r="E696" s="34">
        <v>1.043387531519E-3</v>
      </c>
    </row>
    <row r="697" spans="2:5" ht="14.5" customHeight="1">
      <c r="B697" s="79" t="s">
        <v>86</v>
      </c>
      <c r="C697" s="62" t="s">
        <v>229</v>
      </c>
      <c r="D697" s="63">
        <v>1</v>
      </c>
      <c r="E697" s="64">
        <v>8.6948960960000005E-5</v>
      </c>
    </row>
    <row r="698" spans="2:5" ht="14.5" customHeight="1">
      <c r="B698" s="81"/>
      <c r="C698" s="62" t="s">
        <v>234</v>
      </c>
      <c r="D698" s="63">
        <v>3</v>
      </c>
      <c r="E698" s="64">
        <v>2.6084688287999997E-4</v>
      </c>
    </row>
    <row r="699" spans="2:5" ht="14.5" customHeight="1">
      <c r="B699" s="81"/>
      <c r="C699" s="62" t="s">
        <v>236</v>
      </c>
      <c r="D699" s="63">
        <v>2</v>
      </c>
      <c r="E699" s="64">
        <v>1.7389792192000001E-4</v>
      </c>
    </row>
    <row r="700" spans="2:5" ht="14.5" customHeight="1">
      <c r="B700" s="81"/>
      <c r="C700" s="62" t="s">
        <v>237</v>
      </c>
      <c r="D700" s="63">
        <v>1</v>
      </c>
      <c r="E700" s="64">
        <v>8.6948960960000005E-5</v>
      </c>
    </row>
    <row r="701" spans="2:5" ht="14.5" customHeight="1">
      <c r="B701" s="81"/>
      <c r="C701" s="62" t="s">
        <v>238</v>
      </c>
      <c r="D701" s="63">
        <v>5</v>
      </c>
      <c r="E701" s="64">
        <v>4.3474480480000001E-4</v>
      </c>
    </row>
    <row r="702" spans="2:5" ht="14.5" customHeight="1">
      <c r="B702" s="81"/>
      <c r="C702" s="62" t="s">
        <v>240</v>
      </c>
      <c r="D702" s="63">
        <v>1</v>
      </c>
      <c r="E702" s="64">
        <v>8.6948960960000005E-5</v>
      </c>
    </row>
    <row r="703" spans="2:5" ht="14.5" customHeight="1">
      <c r="B703" s="81"/>
      <c r="C703" s="62" t="s">
        <v>241</v>
      </c>
      <c r="D703" s="63">
        <v>5</v>
      </c>
      <c r="E703" s="64">
        <v>4.3474480480000001E-4</v>
      </c>
    </row>
    <row r="704" spans="2:5" ht="14.5" customHeight="1">
      <c r="B704" s="81"/>
      <c r="C704" s="62" t="s">
        <v>247</v>
      </c>
      <c r="D704" s="63">
        <v>5</v>
      </c>
      <c r="E704" s="64">
        <v>4.3474480480000001E-4</v>
      </c>
    </row>
    <row r="705" spans="2:5" ht="14.5" customHeight="1">
      <c r="B705" s="80"/>
      <c r="C705" s="36" t="s">
        <v>28</v>
      </c>
      <c r="D705" s="35">
        <v>23</v>
      </c>
      <c r="E705" s="34">
        <v>1.9998261020779998E-3</v>
      </c>
    </row>
    <row r="706" spans="2:5" ht="14.5" customHeight="1">
      <c r="B706" s="79" t="s">
        <v>96</v>
      </c>
      <c r="C706" s="62" t="s">
        <v>227</v>
      </c>
      <c r="D706" s="63">
        <v>1</v>
      </c>
      <c r="E706" s="64">
        <v>8.6948960960000005E-5</v>
      </c>
    </row>
    <row r="707" spans="2:5" ht="14.5" customHeight="1">
      <c r="B707" s="81"/>
      <c r="C707" s="62" t="s">
        <v>231</v>
      </c>
      <c r="D707" s="63">
        <v>1</v>
      </c>
      <c r="E707" s="64">
        <v>8.6948960960000005E-5</v>
      </c>
    </row>
    <row r="708" spans="2:5" ht="14.5" customHeight="1">
      <c r="B708" s="80"/>
      <c r="C708" s="36" t="s">
        <v>28</v>
      </c>
      <c r="D708" s="35">
        <v>2</v>
      </c>
      <c r="E708" s="34">
        <v>1.7389792192000001E-4</v>
      </c>
    </row>
    <row r="709" spans="2:5" ht="14.5" customHeight="1">
      <c r="B709" s="77" t="s">
        <v>28</v>
      </c>
      <c r="C709" s="78"/>
      <c r="D709" s="60">
        <v>11501</v>
      </c>
      <c r="E709" s="61">
        <v>1</v>
      </c>
    </row>
    <row r="710" spans="2:5" ht="14.5" customHeight="1"/>
    <row r="711" spans="2:5" ht="14.5" customHeight="1">
      <c r="B711" s="15" t="s">
        <v>97</v>
      </c>
    </row>
    <row r="712" spans="2:5" ht="14.5" customHeight="1">
      <c r="B712" s="17" t="s">
        <v>17</v>
      </c>
    </row>
    <row r="713" spans="2:5" ht="14.5" customHeight="1">
      <c r="B713" s="16" t="s">
        <v>98</v>
      </c>
    </row>
    <row r="714" spans="2:5" ht="14.5" customHeight="1">
      <c r="B714" s="15" t="s">
        <v>16</v>
      </c>
    </row>
    <row r="715" spans="2:5" ht="14.5" customHeight="1">
      <c r="B715" s="15" t="s">
        <v>99</v>
      </c>
    </row>
  </sheetData>
  <mergeCells count="51">
    <mergeCell ref="B321:B336"/>
    <mergeCell ref="B337:B350"/>
    <mergeCell ref="B7:E8"/>
    <mergeCell ref="B198:B214"/>
    <mergeCell ref="B215:B226"/>
    <mergeCell ref="B227:B240"/>
    <mergeCell ref="B241:B265"/>
    <mergeCell ref="B172:B182"/>
    <mergeCell ref="B183:B197"/>
    <mergeCell ref="B573:B588"/>
    <mergeCell ref="B589:B598"/>
    <mergeCell ref="B599:B622"/>
    <mergeCell ref="B351:B370"/>
    <mergeCell ref="B371:B391"/>
    <mergeCell ref="B392:B406"/>
    <mergeCell ref="B530:B545"/>
    <mergeCell ref="B546:B561"/>
    <mergeCell ref="B562:B572"/>
    <mergeCell ref="B407:B421"/>
    <mergeCell ref="B422:B424"/>
    <mergeCell ref="B425:B440"/>
    <mergeCell ref="B441:B450"/>
    <mergeCell ref="B451:B470"/>
    <mergeCell ref="B471:B487"/>
    <mergeCell ref="B488:B503"/>
    <mergeCell ref="B504:B510"/>
    <mergeCell ref="B511:B523"/>
    <mergeCell ref="B524:B529"/>
    <mergeCell ref="B10:B23"/>
    <mergeCell ref="B24:B40"/>
    <mergeCell ref="B41:B62"/>
    <mergeCell ref="B63:B71"/>
    <mergeCell ref="B72:B75"/>
    <mergeCell ref="B76:B91"/>
    <mergeCell ref="B92:B110"/>
    <mergeCell ref="B111:B135"/>
    <mergeCell ref="B136:B154"/>
    <mergeCell ref="B155:B171"/>
    <mergeCell ref="B266:B280"/>
    <mergeCell ref="B281:B301"/>
    <mergeCell ref="B302:B320"/>
    <mergeCell ref="B623:B637"/>
    <mergeCell ref="B638:B645"/>
    <mergeCell ref="B646:B656"/>
    <mergeCell ref="B657:B666"/>
    <mergeCell ref="B667:B683"/>
    <mergeCell ref="B684:B688"/>
    <mergeCell ref="B689:B696"/>
    <mergeCell ref="B697:B705"/>
    <mergeCell ref="B706:B708"/>
    <mergeCell ref="B709:C70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A1:D21"/>
  <sheetViews>
    <sheetView showGridLines="0" view="pageBreakPreview" topLeftCell="A18" zoomScale="115" zoomScaleNormal="100" zoomScaleSheetLayoutView="115" workbookViewId="0">
      <selection activeCell="D22" sqref="D22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1:4" s="25" customFormat="1" ht="15" customHeight="1">
      <c r="C1" s="31"/>
    </row>
    <row r="2" spans="1:4" s="25" customFormat="1" ht="15" customHeight="1">
      <c r="C2" s="31"/>
    </row>
    <row r="3" spans="1:4" s="25" customFormat="1" ht="15" customHeight="1">
      <c r="C3" s="31"/>
    </row>
    <row r="4" spans="1:4" s="25" customFormat="1" ht="30" customHeight="1">
      <c r="C4" s="31"/>
      <c r="D4" s="30"/>
    </row>
    <row r="5" spans="1:4" s="25" customFormat="1" ht="15" customHeight="1">
      <c r="C5" s="31"/>
      <c r="D5" s="30"/>
    </row>
    <row r="6" spans="1:4" s="25" customFormat="1" ht="15" customHeight="1">
      <c r="C6" s="31"/>
      <c r="D6" s="30"/>
    </row>
    <row r="7" spans="1:4" s="25" customFormat="1" ht="15" customHeight="1">
      <c r="B7" s="76" t="s">
        <v>38</v>
      </c>
      <c r="C7" s="76"/>
      <c r="D7" s="76"/>
    </row>
    <row r="8" spans="1:4" s="25" customFormat="1" ht="15" customHeight="1">
      <c r="B8" s="76"/>
      <c r="C8" s="76"/>
      <c r="D8" s="76"/>
    </row>
    <row r="9" spans="1:4" s="25" customFormat="1" ht="33" customHeight="1">
      <c r="B9" s="76"/>
      <c r="C9" s="76"/>
      <c r="D9" s="76"/>
    </row>
    <row r="10" spans="1:4" s="25" customFormat="1" ht="4.5" customHeight="1">
      <c r="B10" s="29"/>
      <c r="C10" s="29"/>
      <c r="D10" s="29"/>
    </row>
    <row r="11" spans="1:4" s="25" customFormat="1" ht="33" customHeight="1">
      <c r="B11" s="28" t="s">
        <v>29</v>
      </c>
      <c r="C11" s="27" t="s">
        <v>19</v>
      </c>
      <c r="D11" s="26" t="s">
        <v>18</v>
      </c>
    </row>
    <row r="12" spans="1:4" ht="14.5" customHeight="1">
      <c r="B12" s="23" t="s">
        <v>144</v>
      </c>
      <c r="C12" s="22">
        <v>5241</v>
      </c>
      <c r="D12" s="21">
        <v>0.45569950439092299</v>
      </c>
    </row>
    <row r="13" spans="1:4" ht="14.5" customHeight="1">
      <c r="B13" s="23" t="s">
        <v>145</v>
      </c>
      <c r="C13" s="22">
        <v>6260</v>
      </c>
      <c r="D13" s="21">
        <v>0.54430049560907801</v>
      </c>
    </row>
    <row r="14" spans="1:4" ht="14.5" customHeight="1">
      <c r="B14" s="20" t="s">
        <v>28</v>
      </c>
      <c r="C14" s="19">
        <v>11501</v>
      </c>
      <c r="D14" s="18">
        <v>1</v>
      </c>
    </row>
    <row r="15" spans="1:4" s="24" customFormat="1" ht="14.5" customHeight="1">
      <c r="A15" s="13"/>
      <c r="C15" s="48"/>
      <c r="D15" s="48"/>
    </row>
    <row r="16" spans="1:4" s="24" customFormat="1" ht="14.5" customHeight="1">
      <c r="A16" s="13"/>
      <c r="B16" s="15" t="s">
        <v>97</v>
      </c>
      <c r="C16" s="48"/>
      <c r="D16" s="48"/>
    </row>
    <row r="17" spans="2:4" ht="14.5" customHeight="1">
      <c r="B17" s="17" t="s">
        <v>17</v>
      </c>
      <c r="C17" s="47"/>
      <c r="D17" s="47"/>
    </row>
    <row r="18" spans="2:4" ht="14.5" customHeight="1">
      <c r="B18" s="16" t="s">
        <v>98</v>
      </c>
      <c r="C18" s="46"/>
      <c r="D18" s="46"/>
    </row>
    <row r="19" spans="2:4" ht="14.5" customHeight="1">
      <c r="B19" s="15" t="s">
        <v>16</v>
      </c>
    </row>
    <row r="20" spans="2:4" ht="14.5" customHeight="1">
      <c r="B20" s="15" t="s">
        <v>99</v>
      </c>
    </row>
    <row r="21" spans="2:4">
      <c r="C21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B1:F165"/>
  <sheetViews>
    <sheetView showGridLines="0" view="pageBreakPreview" topLeftCell="A145" zoomScaleNormal="100" zoomScaleSheetLayoutView="100" workbookViewId="0">
      <selection activeCell="G7" sqref="G7"/>
    </sheetView>
  </sheetViews>
  <sheetFormatPr baseColWidth="10" defaultColWidth="11.453125" defaultRowHeight="10"/>
  <cols>
    <col min="1" max="1" width="5.7265625" style="25" customWidth="1"/>
    <col min="2" max="2" width="24" style="41" customWidth="1"/>
    <col min="3" max="3" width="19.26953125" style="41" customWidth="1"/>
    <col min="4" max="4" width="15.7265625" style="44" customWidth="1"/>
    <col min="5" max="5" width="15.7265625" style="41" customWidth="1"/>
    <col min="6" max="6" width="5.7265625" style="25" customWidth="1"/>
    <col min="7" max="7" width="5" style="25" customWidth="1"/>
    <col min="8" max="16384" width="11.453125" style="25"/>
  </cols>
  <sheetData>
    <row r="1" spans="2:6" s="13" customFormat="1" ht="14.5">
      <c r="B1" s="41"/>
      <c r="C1" s="41"/>
    </row>
    <row r="2" spans="2:6" s="41" customFormat="1">
      <c r="B2" s="50"/>
    </row>
    <row r="3" spans="2:6" ht="15" customHeight="1">
      <c r="B3" s="51"/>
      <c r="C3" s="31"/>
      <c r="D3" s="25"/>
      <c r="F3" s="41"/>
    </row>
    <row r="4" spans="2:6" ht="30" customHeight="1">
      <c r="B4" s="51"/>
      <c r="C4" s="31"/>
      <c r="D4" s="25"/>
      <c r="F4" s="41"/>
    </row>
    <row r="5" spans="2:6" ht="15" customHeight="1">
      <c r="B5" s="51"/>
      <c r="C5" s="31"/>
      <c r="D5" s="25"/>
      <c r="F5" s="41"/>
    </row>
    <row r="6" spans="2:6" s="41" customFormat="1" ht="10.5">
      <c r="B6" s="43"/>
      <c r="C6" s="37"/>
    </row>
    <row r="7" spans="2:6" s="41" customFormat="1">
      <c r="B7" s="50"/>
    </row>
    <row r="8" spans="2:6" s="13" customFormat="1" ht="15" customHeight="1">
      <c r="B8" s="76" t="s">
        <v>40</v>
      </c>
      <c r="C8" s="76"/>
      <c r="D8" s="76"/>
      <c r="E8" s="76"/>
    </row>
    <row r="9" spans="2:6" s="13" customFormat="1" ht="15" customHeight="1">
      <c r="B9" s="76"/>
      <c r="C9" s="76"/>
      <c r="D9" s="76"/>
      <c r="E9" s="76"/>
      <c r="F9" s="49"/>
    </row>
    <row r="10" spans="2:6" s="13" customFormat="1" ht="15" customHeight="1">
      <c r="B10" s="76"/>
      <c r="C10" s="76"/>
      <c r="D10" s="76"/>
      <c r="E10" s="76"/>
    </row>
    <row r="11" spans="2:6" s="13" customFormat="1" ht="9.75" customHeight="1">
      <c r="B11" s="52"/>
      <c r="C11" s="52"/>
      <c r="D11" s="52"/>
      <c r="E11" s="52"/>
    </row>
    <row r="12" spans="2:6" s="13" customFormat="1" ht="37" customHeight="1">
      <c r="B12" s="54" t="s">
        <v>21</v>
      </c>
      <c r="C12" s="54" t="s">
        <v>29</v>
      </c>
      <c r="D12" s="54" t="s">
        <v>19</v>
      </c>
      <c r="E12" s="54" t="s">
        <v>18</v>
      </c>
    </row>
    <row r="13" spans="2:6" ht="14.5" customHeight="1">
      <c r="B13" s="79" t="s">
        <v>63</v>
      </c>
      <c r="C13" s="62" t="s">
        <v>144</v>
      </c>
      <c r="D13" s="63">
        <v>55</v>
      </c>
      <c r="E13" s="64">
        <v>4.7821928527949998E-3</v>
      </c>
    </row>
    <row r="14" spans="2:6" ht="14.5" customHeight="1">
      <c r="B14" s="81"/>
      <c r="C14" s="62" t="s">
        <v>145</v>
      </c>
      <c r="D14" s="63">
        <v>74</v>
      </c>
      <c r="E14" s="64">
        <v>6.4342231110339999E-3</v>
      </c>
    </row>
    <row r="15" spans="2:6" ht="14.5" customHeight="1">
      <c r="B15" s="80"/>
      <c r="C15" s="57" t="s">
        <v>28</v>
      </c>
      <c r="D15" s="58">
        <v>129</v>
      </c>
      <c r="E15" s="59">
        <v>1.1216415963829E-2</v>
      </c>
    </row>
    <row r="16" spans="2:6" ht="14.5" customHeight="1">
      <c r="B16" s="79" t="s">
        <v>60</v>
      </c>
      <c r="C16" s="62" t="s">
        <v>144</v>
      </c>
      <c r="D16" s="63">
        <v>83</v>
      </c>
      <c r="E16" s="64">
        <v>7.216763759673E-3</v>
      </c>
    </row>
    <row r="17" spans="2:5" ht="14.5" customHeight="1">
      <c r="B17" s="81"/>
      <c r="C17" s="62" t="s">
        <v>145</v>
      </c>
      <c r="D17" s="63">
        <v>100</v>
      </c>
      <c r="E17" s="64">
        <v>8.6948960959919996E-3</v>
      </c>
    </row>
    <row r="18" spans="2:5" ht="14.5" customHeight="1">
      <c r="B18" s="80" t="s">
        <v>307</v>
      </c>
      <c r="C18" s="57" t="s">
        <v>28</v>
      </c>
      <c r="D18" s="58">
        <v>183</v>
      </c>
      <c r="E18" s="59">
        <v>1.5911659855664999E-2</v>
      </c>
    </row>
    <row r="19" spans="2:5" ht="14.5" customHeight="1">
      <c r="B19" s="79" t="s">
        <v>51</v>
      </c>
      <c r="C19" s="62" t="s">
        <v>144</v>
      </c>
      <c r="D19" s="63">
        <v>296</v>
      </c>
      <c r="E19" s="64">
        <v>2.5736892444135E-2</v>
      </c>
    </row>
    <row r="20" spans="2:5" ht="14.5" customHeight="1">
      <c r="B20" s="81"/>
      <c r="C20" s="62" t="s">
        <v>145</v>
      </c>
      <c r="D20" s="63">
        <v>388</v>
      </c>
      <c r="E20" s="64">
        <v>3.3736196852447997E-2</v>
      </c>
    </row>
    <row r="21" spans="2:5" ht="14.5" customHeight="1">
      <c r="B21" s="80" t="s">
        <v>308</v>
      </c>
      <c r="C21" s="57" t="s">
        <v>28</v>
      </c>
      <c r="D21" s="58">
        <v>684</v>
      </c>
      <c r="E21" s="59">
        <v>5.9473089296583001E-2</v>
      </c>
    </row>
    <row r="22" spans="2:5" ht="14.5" customHeight="1">
      <c r="B22" s="79" t="s">
        <v>88</v>
      </c>
      <c r="C22" s="62" t="s">
        <v>144</v>
      </c>
      <c r="D22" s="63">
        <v>6</v>
      </c>
      <c r="E22" s="64">
        <v>5.2169376575899999E-4</v>
      </c>
    </row>
    <row r="23" spans="2:5" ht="14.5" customHeight="1">
      <c r="B23" s="81"/>
      <c r="C23" s="62" t="s">
        <v>145</v>
      </c>
      <c r="D23" s="63">
        <v>11</v>
      </c>
      <c r="E23" s="64">
        <v>9.56438570559E-4</v>
      </c>
    </row>
    <row r="24" spans="2:5" ht="14.5" customHeight="1">
      <c r="B24" s="80" t="s">
        <v>309</v>
      </c>
      <c r="C24" s="57" t="s">
        <v>28</v>
      </c>
      <c r="D24" s="58">
        <v>17</v>
      </c>
      <c r="E24" s="59">
        <v>1.4781323363190001E-3</v>
      </c>
    </row>
    <row r="25" spans="2:5" ht="14.5" customHeight="1">
      <c r="B25" s="79" t="s">
        <v>93</v>
      </c>
      <c r="C25" s="62" t="s">
        <v>144</v>
      </c>
      <c r="D25" s="63">
        <v>2</v>
      </c>
      <c r="E25" s="64">
        <v>1.7389792192000001E-4</v>
      </c>
    </row>
    <row r="26" spans="2:5" ht="14.5" customHeight="1">
      <c r="B26" s="81"/>
      <c r="C26" s="62" t="s">
        <v>145</v>
      </c>
      <c r="D26" s="63">
        <v>7</v>
      </c>
      <c r="E26" s="64">
        <v>6.0864272671900003E-4</v>
      </c>
    </row>
    <row r="27" spans="2:5" ht="14.5" customHeight="1">
      <c r="B27" s="80" t="s">
        <v>310</v>
      </c>
      <c r="C27" s="57" t="s">
        <v>28</v>
      </c>
      <c r="D27" s="58">
        <v>9</v>
      </c>
      <c r="E27" s="59">
        <v>7.8254064863900001E-4</v>
      </c>
    </row>
    <row r="28" spans="2:5" ht="14.5" customHeight="1">
      <c r="B28" s="79" t="s">
        <v>73</v>
      </c>
      <c r="C28" s="62" t="s">
        <v>144</v>
      </c>
      <c r="D28" s="63">
        <v>37</v>
      </c>
      <c r="E28" s="64">
        <v>3.217111555517E-3</v>
      </c>
    </row>
    <row r="29" spans="2:5" ht="14.5" customHeight="1">
      <c r="B29" s="81"/>
      <c r="C29" s="62" t="s">
        <v>145</v>
      </c>
      <c r="D29" s="63">
        <v>36</v>
      </c>
      <c r="E29" s="64">
        <v>3.1301625945570001E-3</v>
      </c>
    </row>
    <row r="30" spans="2:5" ht="14.5" customHeight="1">
      <c r="B30" s="80" t="s">
        <v>311</v>
      </c>
      <c r="C30" s="57" t="s">
        <v>28</v>
      </c>
      <c r="D30" s="58">
        <v>73</v>
      </c>
      <c r="E30" s="59">
        <v>6.3472741500740001E-3</v>
      </c>
    </row>
    <row r="31" spans="2:5" ht="14.5" customHeight="1">
      <c r="B31" s="79" t="s">
        <v>53</v>
      </c>
      <c r="C31" s="62" t="s">
        <v>144</v>
      </c>
      <c r="D31" s="63">
        <v>158</v>
      </c>
      <c r="E31" s="64">
        <v>1.3737935831667001E-2</v>
      </c>
    </row>
    <row r="32" spans="2:5" ht="14.5" customHeight="1">
      <c r="B32" s="81"/>
      <c r="C32" s="62" t="s">
        <v>145</v>
      </c>
      <c r="D32" s="63">
        <v>228</v>
      </c>
      <c r="E32" s="64">
        <v>1.9824363098861E-2</v>
      </c>
    </row>
    <row r="33" spans="2:5" ht="14.5" customHeight="1">
      <c r="B33" s="80" t="s">
        <v>312</v>
      </c>
      <c r="C33" s="57" t="s">
        <v>28</v>
      </c>
      <c r="D33" s="58">
        <v>386</v>
      </c>
      <c r="E33" s="59">
        <v>3.3562298930527999E-2</v>
      </c>
    </row>
    <row r="34" spans="2:5" ht="14.5" customHeight="1">
      <c r="B34" s="79" t="s">
        <v>48</v>
      </c>
      <c r="C34" s="62" t="s">
        <v>144</v>
      </c>
      <c r="D34" s="63">
        <v>1332</v>
      </c>
      <c r="E34" s="64">
        <v>0.115816015998609</v>
      </c>
    </row>
    <row r="35" spans="2:5" ht="14.5" customHeight="1">
      <c r="B35" s="81"/>
      <c r="C35" s="62" t="s">
        <v>145</v>
      </c>
      <c r="D35" s="63">
        <v>1628</v>
      </c>
      <c r="E35" s="64">
        <v>0.14155290844274401</v>
      </c>
    </row>
    <row r="36" spans="2:5" ht="14.5" customHeight="1">
      <c r="B36" s="80" t="s">
        <v>313</v>
      </c>
      <c r="C36" s="57" t="s">
        <v>28</v>
      </c>
      <c r="D36" s="58">
        <v>2960</v>
      </c>
      <c r="E36" s="59">
        <v>0.25736892444135301</v>
      </c>
    </row>
    <row r="37" spans="2:5" ht="14.5" customHeight="1">
      <c r="B37" s="79" t="s">
        <v>65</v>
      </c>
      <c r="C37" s="62" t="s">
        <v>144</v>
      </c>
      <c r="D37" s="63">
        <v>43</v>
      </c>
      <c r="E37" s="64">
        <v>3.7388053212760002E-3</v>
      </c>
    </row>
    <row r="38" spans="2:5" ht="14.5" customHeight="1">
      <c r="B38" s="81"/>
      <c r="C38" s="62" t="s">
        <v>145</v>
      </c>
      <c r="D38" s="63">
        <v>83</v>
      </c>
      <c r="E38" s="64">
        <v>7.216763759673E-3</v>
      </c>
    </row>
    <row r="39" spans="2:5" ht="14.5" customHeight="1">
      <c r="B39" s="80" t="s">
        <v>314</v>
      </c>
      <c r="C39" s="57" t="s">
        <v>28</v>
      </c>
      <c r="D39" s="58">
        <v>126</v>
      </c>
      <c r="E39" s="59">
        <v>1.0955569080948999E-2</v>
      </c>
    </row>
    <row r="40" spans="2:5" ht="14.5" customHeight="1">
      <c r="B40" s="79" t="s">
        <v>57</v>
      </c>
      <c r="C40" s="62" t="s">
        <v>144</v>
      </c>
      <c r="D40" s="63">
        <v>98</v>
      </c>
      <c r="E40" s="64">
        <v>8.520998174072E-3</v>
      </c>
    </row>
    <row r="41" spans="2:5" ht="14.5" customHeight="1">
      <c r="B41" s="81"/>
      <c r="C41" s="62" t="s">
        <v>145</v>
      </c>
      <c r="D41" s="63">
        <v>114</v>
      </c>
      <c r="E41" s="64">
        <v>9.9121815494300006E-3</v>
      </c>
    </row>
    <row r="42" spans="2:5" ht="14.5" customHeight="1">
      <c r="B42" s="80" t="s">
        <v>315</v>
      </c>
      <c r="C42" s="57" t="s">
        <v>28</v>
      </c>
      <c r="D42" s="58">
        <v>212</v>
      </c>
      <c r="E42" s="59">
        <v>1.8433179723501999E-2</v>
      </c>
    </row>
    <row r="43" spans="2:5" ht="14.5" customHeight="1">
      <c r="B43" s="79" t="s">
        <v>78</v>
      </c>
      <c r="C43" s="62" t="s">
        <v>144</v>
      </c>
      <c r="D43" s="63">
        <v>21</v>
      </c>
      <c r="E43" s="64">
        <v>1.8259281801579999E-3</v>
      </c>
    </row>
    <row r="44" spans="2:5" ht="14.5" customHeight="1">
      <c r="B44" s="81"/>
      <c r="C44" s="62" t="s">
        <v>145</v>
      </c>
      <c r="D44" s="63">
        <v>34</v>
      </c>
      <c r="E44" s="64">
        <v>2.956264672637E-3</v>
      </c>
    </row>
    <row r="45" spans="2:5" ht="14.5" customHeight="1">
      <c r="B45" s="80" t="s">
        <v>316</v>
      </c>
      <c r="C45" s="57" t="s">
        <v>28</v>
      </c>
      <c r="D45" s="58">
        <v>55</v>
      </c>
      <c r="E45" s="59">
        <v>4.7821928527949998E-3</v>
      </c>
    </row>
    <row r="46" spans="2:5" ht="14.5" customHeight="1">
      <c r="B46" s="79" t="s">
        <v>79</v>
      </c>
      <c r="C46" s="62" t="s">
        <v>144</v>
      </c>
      <c r="D46" s="63">
        <v>16</v>
      </c>
      <c r="E46" s="64">
        <v>1.391183375359E-3</v>
      </c>
    </row>
    <row r="47" spans="2:5" ht="14.5" customHeight="1">
      <c r="B47" s="81"/>
      <c r="C47" s="62" t="s">
        <v>145</v>
      </c>
      <c r="D47" s="63">
        <v>27</v>
      </c>
      <c r="E47" s="64">
        <v>2.347621945918E-3</v>
      </c>
    </row>
    <row r="48" spans="2:5" ht="14.5" customHeight="1">
      <c r="B48" s="80" t="s">
        <v>317</v>
      </c>
      <c r="C48" s="57" t="s">
        <v>28</v>
      </c>
      <c r="D48" s="58">
        <v>43</v>
      </c>
      <c r="E48" s="59">
        <v>3.7388053212760002E-3</v>
      </c>
    </row>
    <row r="49" spans="2:5" ht="14.5" customHeight="1">
      <c r="B49" s="79" t="s">
        <v>56</v>
      </c>
      <c r="C49" s="62" t="s">
        <v>144</v>
      </c>
      <c r="D49" s="63">
        <v>113</v>
      </c>
      <c r="E49" s="64">
        <v>9.8252325884710008E-3</v>
      </c>
    </row>
    <row r="50" spans="2:5" ht="14.5" customHeight="1">
      <c r="B50" s="81"/>
      <c r="C50" s="62" t="s">
        <v>145</v>
      </c>
      <c r="D50" s="63">
        <v>122</v>
      </c>
      <c r="E50" s="64">
        <v>1.0607773237109999E-2</v>
      </c>
    </row>
    <row r="51" spans="2:5" ht="14.5" customHeight="1">
      <c r="B51" s="80" t="s">
        <v>318</v>
      </c>
      <c r="C51" s="57" t="s">
        <v>28</v>
      </c>
      <c r="D51" s="58">
        <v>235</v>
      </c>
      <c r="E51" s="59">
        <v>2.0433005825580001E-2</v>
      </c>
    </row>
    <row r="52" spans="2:5" ht="14.5" customHeight="1">
      <c r="B52" s="79" t="s">
        <v>84</v>
      </c>
      <c r="C52" s="62" t="s">
        <v>144</v>
      </c>
      <c r="D52" s="63">
        <v>12</v>
      </c>
      <c r="E52" s="64">
        <v>1.043387531519E-3</v>
      </c>
    </row>
    <row r="53" spans="2:5" ht="14.5" customHeight="1">
      <c r="B53" s="81"/>
      <c r="C53" s="62" t="s">
        <v>145</v>
      </c>
      <c r="D53" s="63">
        <v>13</v>
      </c>
      <c r="E53" s="64">
        <v>1.1303364924790001E-3</v>
      </c>
    </row>
    <row r="54" spans="2:5" ht="14.5" customHeight="1">
      <c r="B54" s="80" t="s">
        <v>319</v>
      </c>
      <c r="C54" s="57" t="s">
        <v>28</v>
      </c>
      <c r="D54" s="58">
        <v>25</v>
      </c>
      <c r="E54" s="59">
        <v>2.1737240239979999E-3</v>
      </c>
    </row>
    <row r="55" spans="2:5" ht="14.5" customHeight="1">
      <c r="B55" s="79" t="s">
        <v>80</v>
      </c>
      <c r="C55" s="62" t="s">
        <v>144</v>
      </c>
      <c r="D55" s="63">
        <v>19</v>
      </c>
      <c r="E55" s="64">
        <v>1.6520302582380001E-3</v>
      </c>
    </row>
    <row r="56" spans="2:5" ht="14.5" customHeight="1">
      <c r="B56" s="81"/>
      <c r="C56" s="62" t="s">
        <v>145</v>
      </c>
      <c r="D56" s="63">
        <v>21</v>
      </c>
      <c r="E56" s="64">
        <v>1.8259281801579999E-3</v>
      </c>
    </row>
    <row r="57" spans="2:5" ht="14.5" customHeight="1">
      <c r="B57" s="80" t="s">
        <v>320</v>
      </c>
      <c r="C57" s="57" t="s">
        <v>28</v>
      </c>
      <c r="D57" s="58">
        <v>40</v>
      </c>
      <c r="E57" s="59">
        <v>3.4779584383969999E-3</v>
      </c>
    </row>
    <row r="58" spans="2:5" ht="14.5" customHeight="1">
      <c r="B58" s="79" t="s">
        <v>50</v>
      </c>
      <c r="C58" s="62" t="s">
        <v>144</v>
      </c>
      <c r="D58" s="63">
        <v>782</v>
      </c>
      <c r="E58" s="64">
        <v>6.7994087470654996E-2</v>
      </c>
    </row>
    <row r="59" spans="2:5" ht="14.5" customHeight="1">
      <c r="B59" s="81"/>
      <c r="C59" s="62" t="s">
        <v>145</v>
      </c>
      <c r="D59" s="63">
        <v>883</v>
      </c>
      <c r="E59" s="64">
        <v>7.6775932527606006E-2</v>
      </c>
    </row>
    <row r="60" spans="2:5" ht="14.5" customHeight="1">
      <c r="B60" s="80" t="s">
        <v>321</v>
      </c>
      <c r="C60" s="57" t="s">
        <v>28</v>
      </c>
      <c r="D60" s="58">
        <v>1665</v>
      </c>
      <c r="E60" s="59">
        <v>0.144770019998261</v>
      </c>
    </row>
    <row r="61" spans="2:5" ht="14.5" customHeight="1">
      <c r="B61" s="79" t="s">
        <v>71</v>
      </c>
      <c r="C61" s="62" t="s">
        <v>144</v>
      </c>
      <c r="D61" s="63">
        <v>37</v>
      </c>
      <c r="E61" s="64">
        <v>3.217111555517E-3</v>
      </c>
    </row>
    <row r="62" spans="2:5" ht="14.5" customHeight="1">
      <c r="B62" s="81"/>
      <c r="C62" s="62" t="s">
        <v>145</v>
      </c>
      <c r="D62" s="63">
        <v>41</v>
      </c>
      <c r="E62" s="64">
        <v>3.5649073993570001E-3</v>
      </c>
    </row>
    <row r="63" spans="2:5" ht="14.5" customHeight="1">
      <c r="B63" s="80" t="s">
        <v>322</v>
      </c>
      <c r="C63" s="57" t="s">
        <v>28</v>
      </c>
      <c r="D63" s="58">
        <v>78</v>
      </c>
      <c r="E63" s="59">
        <v>6.782018954873E-3</v>
      </c>
    </row>
    <row r="64" spans="2:5" ht="14.5" customHeight="1">
      <c r="B64" s="79" t="s">
        <v>54</v>
      </c>
      <c r="C64" s="62" t="s">
        <v>144</v>
      </c>
      <c r="D64" s="63">
        <v>121</v>
      </c>
      <c r="E64" s="64">
        <v>1.052082427615E-2</v>
      </c>
    </row>
    <row r="65" spans="2:5" ht="14.5" customHeight="1">
      <c r="B65" s="81"/>
      <c r="C65" s="62" t="s">
        <v>145</v>
      </c>
      <c r="D65" s="63">
        <v>143</v>
      </c>
      <c r="E65" s="64">
        <v>1.2433701417268E-2</v>
      </c>
    </row>
    <row r="66" spans="2:5" ht="14.5" customHeight="1">
      <c r="B66" s="80" t="s">
        <v>323</v>
      </c>
      <c r="C66" s="57" t="s">
        <v>28</v>
      </c>
      <c r="D66" s="58">
        <v>264</v>
      </c>
      <c r="E66" s="59">
        <v>2.2954525693418E-2</v>
      </c>
    </row>
    <row r="67" spans="2:5" ht="14.5" customHeight="1">
      <c r="B67" s="79" t="s">
        <v>67</v>
      </c>
      <c r="C67" s="62" t="s">
        <v>144</v>
      </c>
      <c r="D67" s="63">
        <v>61</v>
      </c>
      <c r="E67" s="64">
        <v>5.3038866185549996E-3</v>
      </c>
    </row>
    <row r="68" spans="2:5" ht="14.5" customHeight="1">
      <c r="B68" s="81"/>
      <c r="C68" s="62" t="s">
        <v>145</v>
      </c>
      <c r="D68" s="63">
        <v>55</v>
      </c>
      <c r="E68" s="64">
        <v>4.7821928527949998E-3</v>
      </c>
    </row>
    <row r="69" spans="2:5" ht="14.5" customHeight="1">
      <c r="B69" s="80" t="s">
        <v>324</v>
      </c>
      <c r="C69" s="57" t="s">
        <v>28</v>
      </c>
      <c r="D69" s="58">
        <v>116</v>
      </c>
      <c r="E69" s="59">
        <v>1.008607947135E-2</v>
      </c>
    </row>
    <row r="70" spans="2:5" ht="14.5" customHeight="1">
      <c r="B70" s="79" t="s">
        <v>69</v>
      </c>
      <c r="C70" s="62" t="s">
        <v>144</v>
      </c>
      <c r="D70" s="63">
        <v>39</v>
      </c>
      <c r="E70" s="64">
        <v>3.391009477437E-3</v>
      </c>
    </row>
    <row r="71" spans="2:5" ht="14.5" customHeight="1">
      <c r="B71" s="81"/>
      <c r="C71" s="62" t="s">
        <v>145</v>
      </c>
      <c r="D71" s="63">
        <v>41</v>
      </c>
      <c r="E71" s="64">
        <v>3.5649073993570001E-3</v>
      </c>
    </row>
    <row r="72" spans="2:5" ht="14.5" customHeight="1">
      <c r="B72" s="80" t="s">
        <v>325</v>
      </c>
      <c r="C72" s="57" t="s">
        <v>28</v>
      </c>
      <c r="D72" s="58">
        <v>80</v>
      </c>
      <c r="E72" s="59">
        <v>6.9559168767929997E-3</v>
      </c>
    </row>
    <row r="73" spans="2:5" ht="14.5" customHeight="1">
      <c r="B73" s="79" t="s">
        <v>59</v>
      </c>
      <c r="C73" s="62" t="s">
        <v>144</v>
      </c>
      <c r="D73" s="63">
        <v>80</v>
      </c>
      <c r="E73" s="64">
        <v>6.9559168767929997E-3</v>
      </c>
    </row>
    <row r="74" spans="2:5" ht="14.5" customHeight="1">
      <c r="B74" s="81"/>
      <c r="C74" s="62" t="s">
        <v>145</v>
      </c>
      <c r="D74" s="63">
        <v>114</v>
      </c>
      <c r="E74" s="64">
        <v>9.9121815494300006E-3</v>
      </c>
    </row>
    <row r="75" spans="2:5" ht="14.5" customHeight="1">
      <c r="B75" s="80" t="s">
        <v>326</v>
      </c>
      <c r="C75" s="57" t="s">
        <v>28</v>
      </c>
      <c r="D75" s="58">
        <v>194</v>
      </c>
      <c r="E75" s="59">
        <v>1.6868098426223999E-2</v>
      </c>
    </row>
    <row r="76" spans="2:5" ht="14.5" customHeight="1">
      <c r="B76" s="79" t="s">
        <v>55</v>
      </c>
      <c r="C76" s="62" t="s">
        <v>144</v>
      </c>
      <c r="D76" s="63">
        <v>136</v>
      </c>
      <c r="E76" s="64">
        <v>1.1825058690548999E-2</v>
      </c>
    </row>
    <row r="77" spans="2:5" ht="14.5" customHeight="1">
      <c r="B77" s="81"/>
      <c r="C77" s="62" t="s">
        <v>145</v>
      </c>
      <c r="D77" s="63">
        <v>104</v>
      </c>
      <c r="E77" s="64">
        <v>9.0426919398309998E-3</v>
      </c>
    </row>
    <row r="78" spans="2:5" ht="14.5" customHeight="1">
      <c r="B78" s="80" t="s">
        <v>327</v>
      </c>
      <c r="C78" s="57" t="s">
        <v>28</v>
      </c>
      <c r="D78" s="58">
        <v>240</v>
      </c>
      <c r="E78" s="59">
        <v>2.0867750630379999E-2</v>
      </c>
    </row>
    <row r="79" spans="2:5" ht="14.5" customHeight="1">
      <c r="B79" s="79" t="s">
        <v>58</v>
      </c>
      <c r="C79" s="62" t="s">
        <v>144</v>
      </c>
      <c r="D79" s="63">
        <v>120</v>
      </c>
      <c r="E79" s="64">
        <v>1.043387531519E-2</v>
      </c>
    </row>
    <row r="80" spans="2:5" ht="14.5" customHeight="1">
      <c r="B80" s="81"/>
      <c r="C80" s="62" t="s">
        <v>145</v>
      </c>
      <c r="D80" s="63">
        <v>90</v>
      </c>
      <c r="E80" s="64">
        <v>7.8254064863919996E-3</v>
      </c>
    </row>
    <row r="81" spans="2:5" ht="14.5" customHeight="1">
      <c r="B81" s="80" t="s">
        <v>328</v>
      </c>
      <c r="C81" s="57" t="s">
        <v>28</v>
      </c>
      <c r="D81" s="58">
        <v>210</v>
      </c>
      <c r="E81" s="59">
        <v>1.8259281801582001E-2</v>
      </c>
    </row>
    <row r="82" spans="2:5" ht="14.5" customHeight="1">
      <c r="B82" s="79" t="s">
        <v>76</v>
      </c>
      <c r="C82" s="62" t="s">
        <v>144</v>
      </c>
      <c r="D82" s="63">
        <v>26</v>
      </c>
      <c r="E82" s="64">
        <v>2.2606729849580002E-3</v>
      </c>
    </row>
    <row r="83" spans="2:5" ht="14.5" customHeight="1">
      <c r="B83" s="81"/>
      <c r="C83" s="62" t="s">
        <v>145</v>
      </c>
      <c r="D83" s="63">
        <v>36</v>
      </c>
      <c r="E83" s="64">
        <v>3.1301625945570001E-3</v>
      </c>
    </row>
    <row r="84" spans="2:5" ht="14.5" customHeight="1">
      <c r="B84" s="80" t="s">
        <v>329</v>
      </c>
      <c r="C84" s="57" t="s">
        <v>28</v>
      </c>
      <c r="D84" s="58">
        <v>62</v>
      </c>
      <c r="E84" s="59">
        <v>5.3908355795150003E-3</v>
      </c>
    </row>
    <row r="85" spans="2:5" ht="14.5" customHeight="1">
      <c r="B85" s="79" t="s">
        <v>68</v>
      </c>
      <c r="C85" s="62" t="s">
        <v>144</v>
      </c>
      <c r="D85" s="63">
        <v>41</v>
      </c>
      <c r="E85" s="64">
        <v>3.5649073993570001E-3</v>
      </c>
    </row>
    <row r="86" spans="2:5" ht="14.5" customHeight="1">
      <c r="B86" s="81"/>
      <c r="C86" s="62" t="s">
        <v>145</v>
      </c>
      <c r="D86" s="63">
        <v>45</v>
      </c>
      <c r="E86" s="64">
        <v>3.9127032431959998E-3</v>
      </c>
    </row>
    <row r="87" spans="2:5" ht="14.5" customHeight="1">
      <c r="B87" s="80" t="s">
        <v>330</v>
      </c>
      <c r="C87" s="57" t="s">
        <v>28</v>
      </c>
      <c r="D87" s="58">
        <v>86</v>
      </c>
      <c r="E87" s="59">
        <v>7.4776106425530004E-3</v>
      </c>
    </row>
    <row r="88" spans="2:5" ht="14.5" customHeight="1">
      <c r="B88" s="79" t="s">
        <v>95</v>
      </c>
      <c r="C88" s="62" t="s">
        <v>144</v>
      </c>
      <c r="D88" s="63">
        <v>1</v>
      </c>
      <c r="E88" s="64">
        <v>8.6948960960000005E-5</v>
      </c>
    </row>
    <row r="89" spans="2:5" ht="14.5" customHeight="1">
      <c r="B89" s="81"/>
      <c r="C89" s="62" t="s">
        <v>145</v>
      </c>
      <c r="D89" s="63">
        <v>1</v>
      </c>
      <c r="E89" s="64">
        <v>8.6948960960000005E-5</v>
      </c>
    </row>
    <row r="90" spans="2:5" ht="14.5" customHeight="1">
      <c r="B90" s="80" t="s">
        <v>331</v>
      </c>
      <c r="C90" s="57" t="s">
        <v>28</v>
      </c>
      <c r="D90" s="58">
        <v>2</v>
      </c>
      <c r="E90" s="59">
        <v>1.7389792192000001E-4</v>
      </c>
    </row>
    <row r="91" spans="2:5" ht="14.5" customHeight="1">
      <c r="B91" s="79" t="s">
        <v>75</v>
      </c>
      <c r="C91" s="62" t="s">
        <v>144</v>
      </c>
      <c r="D91" s="63">
        <v>31</v>
      </c>
      <c r="E91" s="64">
        <v>2.6954177897570001E-3</v>
      </c>
    </row>
    <row r="92" spans="2:5" ht="14.5" customHeight="1">
      <c r="B92" s="81"/>
      <c r="C92" s="62" t="s">
        <v>145</v>
      </c>
      <c r="D92" s="63">
        <v>34</v>
      </c>
      <c r="E92" s="64">
        <v>2.956264672637E-3</v>
      </c>
    </row>
    <row r="93" spans="2:5" ht="14.5" customHeight="1">
      <c r="B93" s="80" t="s">
        <v>332</v>
      </c>
      <c r="C93" s="57" t="s">
        <v>28</v>
      </c>
      <c r="D93" s="58">
        <v>65</v>
      </c>
      <c r="E93" s="59">
        <v>5.6516824623949998E-3</v>
      </c>
    </row>
    <row r="94" spans="2:5" ht="14.5" customHeight="1">
      <c r="B94" s="79" t="s">
        <v>81</v>
      </c>
      <c r="C94" s="62" t="s">
        <v>144</v>
      </c>
      <c r="D94" s="63">
        <v>13</v>
      </c>
      <c r="E94" s="64">
        <v>1.1303364924790001E-3</v>
      </c>
    </row>
    <row r="95" spans="2:5" ht="14.5" customHeight="1">
      <c r="B95" s="81"/>
      <c r="C95" s="62" t="s">
        <v>145</v>
      </c>
      <c r="D95" s="63">
        <v>17</v>
      </c>
      <c r="E95" s="64">
        <v>1.4781323363190001E-3</v>
      </c>
    </row>
    <row r="96" spans="2:5" ht="14.5" customHeight="1">
      <c r="B96" s="80" t="s">
        <v>333</v>
      </c>
      <c r="C96" s="57" t="s">
        <v>28</v>
      </c>
      <c r="D96" s="58">
        <v>30</v>
      </c>
      <c r="E96" s="59">
        <v>2.6084688287969999E-3</v>
      </c>
    </row>
    <row r="97" spans="2:5" ht="14.5" customHeight="1">
      <c r="B97" s="79" t="s">
        <v>52</v>
      </c>
      <c r="C97" s="62" t="s">
        <v>144</v>
      </c>
      <c r="D97" s="63">
        <v>175</v>
      </c>
      <c r="E97" s="64">
        <v>1.5216068167985E-2</v>
      </c>
    </row>
    <row r="98" spans="2:5" ht="14.5" customHeight="1">
      <c r="B98" s="81"/>
      <c r="C98" s="62" t="s">
        <v>145</v>
      </c>
      <c r="D98" s="63">
        <v>243</v>
      </c>
      <c r="E98" s="64">
        <v>2.1128597513259999E-2</v>
      </c>
    </row>
    <row r="99" spans="2:5" ht="14.5" customHeight="1">
      <c r="B99" s="80" t="s">
        <v>334</v>
      </c>
      <c r="C99" s="57" t="s">
        <v>28</v>
      </c>
      <c r="D99" s="58">
        <v>418</v>
      </c>
      <c r="E99" s="59">
        <v>3.6344665681245003E-2</v>
      </c>
    </row>
    <row r="100" spans="2:5" ht="14.5" customHeight="1">
      <c r="B100" s="79" t="s">
        <v>74</v>
      </c>
      <c r="C100" s="62" t="s">
        <v>144</v>
      </c>
      <c r="D100" s="63">
        <v>34</v>
      </c>
      <c r="E100" s="64">
        <v>2.956264672637E-3</v>
      </c>
    </row>
    <row r="101" spans="2:5" ht="14.5" customHeight="1">
      <c r="B101" s="81"/>
      <c r="C101" s="62" t="s">
        <v>145</v>
      </c>
      <c r="D101" s="63">
        <v>32</v>
      </c>
      <c r="E101" s="64">
        <v>2.7823667507169999E-3</v>
      </c>
    </row>
    <row r="102" spans="2:5" ht="14.5" customHeight="1">
      <c r="B102" s="80" t="s">
        <v>335</v>
      </c>
      <c r="C102" s="57" t="s">
        <v>28</v>
      </c>
      <c r="D102" s="58">
        <v>66</v>
      </c>
      <c r="E102" s="59">
        <v>5.7386314233540004E-3</v>
      </c>
    </row>
    <row r="103" spans="2:5" ht="14.5" customHeight="1">
      <c r="B103" s="79" t="s">
        <v>66</v>
      </c>
      <c r="C103" s="62" t="s">
        <v>144</v>
      </c>
      <c r="D103" s="63">
        <v>51</v>
      </c>
      <c r="E103" s="64">
        <v>4.4343970089559996E-3</v>
      </c>
    </row>
    <row r="104" spans="2:5" ht="14.5" customHeight="1">
      <c r="B104" s="81"/>
      <c r="C104" s="62" t="s">
        <v>145</v>
      </c>
      <c r="D104" s="63">
        <v>66</v>
      </c>
      <c r="E104" s="64">
        <v>5.7386314233540004E-3</v>
      </c>
    </row>
    <row r="105" spans="2:5" ht="14.5" customHeight="1">
      <c r="B105" s="80" t="s">
        <v>336</v>
      </c>
      <c r="C105" s="57" t="s">
        <v>28</v>
      </c>
      <c r="D105" s="58">
        <v>117</v>
      </c>
      <c r="E105" s="59">
        <v>1.0173028432309999E-2</v>
      </c>
    </row>
    <row r="106" spans="2:5" ht="14.5" customHeight="1">
      <c r="B106" s="79" t="s">
        <v>90</v>
      </c>
      <c r="C106" s="62" t="s">
        <v>144</v>
      </c>
      <c r="D106" s="63">
        <v>9</v>
      </c>
      <c r="E106" s="64">
        <v>7.8254064863900001E-4</v>
      </c>
    </row>
    <row r="107" spans="2:5" ht="14.5" customHeight="1">
      <c r="B107" s="81"/>
      <c r="C107" s="62" t="s">
        <v>145</v>
      </c>
      <c r="D107" s="63">
        <v>4</v>
      </c>
      <c r="E107" s="64">
        <v>3.4779584384000002E-4</v>
      </c>
    </row>
    <row r="108" spans="2:5" ht="14.5" customHeight="1">
      <c r="B108" s="80" t="s">
        <v>337</v>
      </c>
      <c r="C108" s="57" t="s">
        <v>28</v>
      </c>
      <c r="D108" s="58">
        <v>13</v>
      </c>
      <c r="E108" s="59">
        <v>1.1303364924790001E-3</v>
      </c>
    </row>
    <row r="109" spans="2:5" ht="14.5" customHeight="1">
      <c r="B109" s="79" t="s">
        <v>72</v>
      </c>
      <c r="C109" s="62" t="s">
        <v>144</v>
      </c>
      <c r="D109" s="63">
        <v>26</v>
      </c>
      <c r="E109" s="64">
        <v>2.2606729849580002E-3</v>
      </c>
    </row>
    <row r="110" spans="2:5" ht="14.5" customHeight="1">
      <c r="B110" s="81"/>
      <c r="C110" s="62" t="s">
        <v>145</v>
      </c>
      <c r="D110" s="63">
        <v>50</v>
      </c>
      <c r="E110" s="64">
        <v>4.3474480479959998E-3</v>
      </c>
    </row>
    <row r="111" spans="2:5" ht="14.5" customHeight="1">
      <c r="B111" s="80" t="s">
        <v>338</v>
      </c>
      <c r="C111" s="57" t="s">
        <v>28</v>
      </c>
      <c r="D111" s="58">
        <v>76</v>
      </c>
      <c r="E111" s="59">
        <v>6.6081210329540004E-3</v>
      </c>
    </row>
    <row r="112" spans="2:5" ht="14.5" customHeight="1">
      <c r="B112" s="79" t="s">
        <v>94</v>
      </c>
      <c r="C112" s="62" t="s">
        <v>144</v>
      </c>
      <c r="D112" s="63">
        <v>2</v>
      </c>
      <c r="E112" s="64">
        <v>1.7389792192000001E-4</v>
      </c>
    </row>
    <row r="113" spans="2:5" ht="14.5" customHeight="1">
      <c r="B113" s="81"/>
      <c r="C113" s="62" t="s">
        <v>145</v>
      </c>
      <c r="D113" s="63">
        <v>4</v>
      </c>
      <c r="E113" s="64">
        <v>3.4779584384000002E-4</v>
      </c>
    </row>
    <row r="114" spans="2:5" ht="14.5" customHeight="1">
      <c r="B114" s="80" t="s">
        <v>339</v>
      </c>
      <c r="C114" s="57" t="s">
        <v>28</v>
      </c>
      <c r="D114" s="58">
        <v>6</v>
      </c>
      <c r="E114" s="59">
        <v>5.2169376575899999E-4</v>
      </c>
    </row>
    <row r="115" spans="2:5" ht="14.5" customHeight="1">
      <c r="B115" s="79" t="s">
        <v>64</v>
      </c>
      <c r="C115" s="62" t="s">
        <v>144</v>
      </c>
      <c r="D115" s="63">
        <v>49</v>
      </c>
      <c r="E115" s="64">
        <v>4.260499087036E-3</v>
      </c>
    </row>
    <row r="116" spans="2:5" ht="14.5" customHeight="1">
      <c r="B116" s="81"/>
      <c r="C116" s="62" t="s">
        <v>145</v>
      </c>
      <c r="D116" s="63">
        <v>80</v>
      </c>
      <c r="E116" s="64">
        <v>6.9559168767929997E-3</v>
      </c>
    </row>
    <row r="117" spans="2:5" ht="14.5" customHeight="1">
      <c r="B117" s="80" t="s">
        <v>340</v>
      </c>
      <c r="C117" s="57" t="s">
        <v>28</v>
      </c>
      <c r="D117" s="58">
        <v>129</v>
      </c>
      <c r="E117" s="59">
        <v>1.1216415963829E-2</v>
      </c>
    </row>
    <row r="118" spans="2:5" ht="14.5" customHeight="1">
      <c r="B118" s="79" t="s">
        <v>61</v>
      </c>
      <c r="C118" s="62" t="s">
        <v>144</v>
      </c>
      <c r="D118" s="63">
        <v>71</v>
      </c>
      <c r="E118" s="64">
        <v>6.1733762281540004E-3</v>
      </c>
    </row>
    <row r="119" spans="2:5" ht="14.5" customHeight="1">
      <c r="B119" s="81"/>
      <c r="C119" s="62" t="s">
        <v>145</v>
      </c>
      <c r="D119" s="63">
        <v>107</v>
      </c>
      <c r="E119" s="64">
        <v>9.3035388227110001E-3</v>
      </c>
    </row>
    <row r="120" spans="2:5" ht="14.5" customHeight="1">
      <c r="B120" s="80" t="s">
        <v>341</v>
      </c>
      <c r="C120" s="57" t="s">
        <v>28</v>
      </c>
      <c r="D120" s="58">
        <v>178</v>
      </c>
      <c r="E120" s="59">
        <v>1.5476915050865001E-2</v>
      </c>
    </row>
    <row r="121" spans="2:5" ht="14.5" customHeight="1">
      <c r="B121" s="79" t="s">
        <v>83</v>
      </c>
      <c r="C121" s="62" t="s">
        <v>144</v>
      </c>
      <c r="D121" s="63">
        <v>15</v>
      </c>
      <c r="E121" s="64">
        <v>1.304234414399E-3</v>
      </c>
    </row>
    <row r="122" spans="2:5" ht="14.5" customHeight="1">
      <c r="B122" s="81"/>
      <c r="C122" s="62" t="s">
        <v>145</v>
      </c>
      <c r="D122" s="63">
        <v>11</v>
      </c>
      <c r="E122" s="64">
        <v>9.56438570559E-4</v>
      </c>
    </row>
    <row r="123" spans="2:5" ht="14.5" customHeight="1">
      <c r="B123" s="80" t="s">
        <v>342</v>
      </c>
      <c r="C123" s="57" t="s">
        <v>28</v>
      </c>
      <c r="D123" s="58">
        <v>26</v>
      </c>
      <c r="E123" s="59">
        <v>2.2606729849580002E-3</v>
      </c>
    </row>
    <row r="124" spans="2:5" ht="14.5" customHeight="1">
      <c r="B124" s="79" t="s">
        <v>62</v>
      </c>
      <c r="C124" s="62" t="s">
        <v>144</v>
      </c>
      <c r="D124" s="63">
        <v>56</v>
      </c>
      <c r="E124" s="64">
        <v>4.8691418137549996E-3</v>
      </c>
    </row>
    <row r="125" spans="2:5" ht="14.5" customHeight="1">
      <c r="B125" s="81"/>
      <c r="C125" s="62" t="s">
        <v>145</v>
      </c>
      <c r="D125" s="63">
        <v>74</v>
      </c>
      <c r="E125" s="64">
        <v>6.4342231110339999E-3</v>
      </c>
    </row>
    <row r="126" spans="2:5" ht="14.5" customHeight="1">
      <c r="B126" s="80" t="s">
        <v>343</v>
      </c>
      <c r="C126" s="57" t="s">
        <v>28</v>
      </c>
      <c r="D126" s="58">
        <v>130</v>
      </c>
      <c r="E126" s="59">
        <v>1.1303364924789E-2</v>
      </c>
    </row>
    <row r="127" spans="2:5" ht="14.5" customHeight="1">
      <c r="B127" s="79" t="s">
        <v>85</v>
      </c>
      <c r="C127" s="62" t="s">
        <v>144</v>
      </c>
      <c r="D127" s="63">
        <v>14</v>
      </c>
      <c r="E127" s="64">
        <v>1.2172854534389999E-3</v>
      </c>
    </row>
    <row r="128" spans="2:5" ht="14.5" customHeight="1">
      <c r="B128" s="81"/>
      <c r="C128" s="62" t="s">
        <v>145</v>
      </c>
      <c r="D128" s="63">
        <v>10</v>
      </c>
      <c r="E128" s="64">
        <v>8.6948960959899995E-4</v>
      </c>
    </row>
    <row r="129" spans="2:5" ht="14.5" customHeight="1">
      <c r="B129" s="80" t="s">
        <v>344</v>
      </c>
      <c r="C129" s="57" t="s">
        <v>28</v>
      </c>
      <c r="D129" s="58">
        <v>24</v>
      </c>
      <c r="E129" s="59">
        <v>2.0867750630380001E-3</v>
      </c>
    </row>
    <row r="130" spans="2:5" ht="14.5" customHeight="1">
      <c r="B130" s="79" t="s">
        <v>49</v>
      </c>
      <c r="C130" s="62" t="s">
        <v>144</v>
      </c>
      <c r="D130" s="63">
        <v>847</v>
      </c>
      <c r="E130" s="64">
        <v>7.3645769933048999E-2</v>
      </c>
    </row>
    <row r="131" spans="2:5" ht="14.5" customHeight="1">
      <c r="B131" s="81"/>
      <c r="C131" s="62" t="s">
        <v>145</v>
      </c>
      <c r="D131" s="63">
        <v>948</v>
      </c>
      <c r="E131" s="64">
        <v>8.2427614990000994E-2</v>
      </c>
    </row>
    <row r="132" spans="2:5" ht="14.5" customHeight="1">
      <c r="B132" s="80" t="s">
        <v>345</v>
      </c>
      <c r="C132" s="57" t="s">
        <v>28</v>
      </c>
      <c r="D132" s="58">
        <v>1795</v>
      </c>
      <c r="E132" s="59">
        <v>0.15607338492305001</v>
      </c>
    </row>
    <row r="133" spans="2:5" ht="14.5" customHeight="1">
      <c r="B133" s="79" t="s">
        <v>77</v>
      </c>
      <c r="C133" s="62" t="s">
        <v>144</v>
      </c>
      <c r="D133" s="63">
        <v>29</v>
      </c>
      <c r="E133" s="64">
        <v>2.5215198678380001E-3</v>
      </c>
    </row>
    <row r="134" spans="2:5" ht="14.5" customHeight="1">
      <c r="B134" s="81"/>
      <c r="C134" s="62" t="s">
        <v>145</v>
      </c>
      <c r="D134" s="63">
        <v>33</v>
      </c>
      <c r="E134" s="64">
        <v>2.8693157116770002E-3</v>
      </c>
    </row>
    <row r="135" spans="2:5" ht="14.5" customHeight="1">
      <c r="B135" s="80" t="s">
        <v>346</v>
      </c>
      <c r="C135" s="57" t="s">
        <v>28</v>
      </c>
      <c r="D135" s="58">
        <v>62</v>
      </c>
      <c r="E135" s="59">
        <v>5.3908355795150003E-3</v>
      </c>
    </row>
    <row r="136" spans="2:5" ht="14.5" customHeight="1">
      <c r="B136" s="79" t="s">
        <v>89</v>
      </c>
      <c r="C136" s="62" t="s">
        <v>144</v>
      </c>
      <c r="D136" s="63">
        <v>5</v>
      </c>
      <c r="E136" s="64">
        <v>4.3474480480000001E-4</v>
      </c>
    </row>
    <row r="137" spans="2:5" ht="14.5" customHeight="1">
      <c r="B137" s="81"/>
      <c r="C137" s="62" t="s">
        <v>145</v>
      </c>
      <c r="D137" s="63">
        <v>11</v>
      </c>
      <c r="E137" s="64">
        <v>9.56438570559E-4</v>
      </c>
    </row>
    <row r="138" spans="2:5" ht="14.5" customHeight="1">
      <c r="B138" s="80" t="s">
        <v>347</v>
      </c>
      <c r="C138" s="57" t="s">
        <v>28</v>
      </c>
      <c r="D138" s="58">
        <v>16</v>
      </c>
      <c r="E138" s="59">
        <v>1.391183375359E-3</v>
      </c>
    </row>
    <row r="139" spans="2:5" ht="14.5" customHeight="1">
      <c r="B139" s="79" t="s">
        <v>87</v>
      </c>
      <c r="C139" s="62" t="s">
        <v>144</v>
      </c>
      <c r="D139" s="63">
        <v>8</v>
      </c>
      <c r="E139" s="64">
        <v>6.9559168767899997E-4</v>
      </c>
    </row>
    <row r="140" spans="2:5" ht="14.5" customHeight="1">
      <c r="B140" s="81"/>
      <c r="C140" s="62" t="s">
        <v>145</v>
      </c>
      <c r="D140" s="63">
        <v>12</v>
      </c>
      <c r="E140" s="64">
        <v>1.043387531519E-3</v>
      </c>
    </row>
    <row r="141" spans="2:5" ht="14.5" customHeight="1">
      <c r="B141" s="80" t="s">
        <v>348</v>
      </c>
      <c r="C141" s="57" t="s">
        <v>28</v>
      </c>
      <c r="D141" s="58">
        <v>20</v>
      </c>
      <c r="E141" s="59">
        <v>1.7389792191979999E-3</v>
      </c>
    </row>
    <row r="142" spans="2:5" ht="14.5" customHeight="1">
      <c r="B142" s="79" t="s">
        <v>82</v>
      </c>
      <c r="C142" s="62" t="s">
        <v>144</v>
      </c>
      <c r="D142" s="63">
        <v>16</v>
      </c>
      <c r="E142" s="64">
        <v>1.391183375359E-3</v>
      </c>
    </row>
    <row r="143" spans="2:5" ht="14.5" customHeight="1">
      <c r="B143" s="81"/>
      <c r="C143" s="62" t="s">
        <v>145</v>
      </c>
      <c r="D143" s="63">
        <v>11</v>
      </c>
      <c r="E143" s="64">
        <v>9.56438570559E-4</v>
      </c>
    </row>
    <row r="144" spans="2:5" ht="14.5" customHeight="1">
      <c r="B144" s="80" t="s">
        <v>349</v>
      </c>
      <c r="C144" s="57" t="s">
        <v>28</v>
      </c>
      <c r="D144" s="58">
        <v>27</v>
      </c>
      <c r="E144" s="59">
        <v>2.347621945918E-3</v>
      </c>
    </row>
    <row r="145" spans="2:5" ht="14.5" customHeight="1">
      <c r="B145" s="79" t="s">
        <v>70</v>
      </c>
      <c r="C145" s="62" t="s">
        <v>144</v>
      </c>
      <c r="D145" s="63">
        <v>34</v>
      </c>
      <c r="E145" s="64">
        <v>2.956264672637E-3</v>
      </c>
    </row>
    <row r="146" spans="2:5" ht="14.5" customHeight="1">
      <c r="B146" s="81"/>
      <c r="C146" s="62" t="s">
        <v>145</v>
      </c>
      <c r="D146" s="63">
        <v>45</v>
      </c>
      <c r="E146" s="64">
        <v>3.9127032431959998E-3</v>
      </c>
    </row>
    <row r="147" spans="2:5" ht="14.5" customHeight="1">
      <c r="B147" s="80" t="s">
        <v>350</v>
      </c>
      <c r="C147" s="57" t="s">
        <v>28</v>
      </c>
      <c r="D147" s="58">
        <v>79</v>
      </c>
      <c r="E147" s="59">
        <v>6.8689679158329998E-3</v>
      </c>
    </row>
    <row r="148" spans="2:5" ht="14.5" customHeight="1">
      <c r="B148" s="79" t="s">
        <v>91</v>
      </c>
      <c r="C148" s="62" t="s">
        <v>144</v>
      </c>
      <c r="D148" s="63">
        <v>3</v>
      </c>
      <c r="E148" s="64">
        <v>2.6084688287999997E-4</v>
      </c>
    </row>
    <row r="149" spans="2:5" ht="14.5" customHeight="1">
      <c r="B149" s="81"/>
      <c r="C149" s="62" t="s">
        <v>145</v>
      </c>
      <c r="D149" s="63">
        <v>10</v>
      </c>
      <c r="E149" s="64">
        <v>8.6948960959899995E-4</v>
      </c>
    </row>
    <row r="150" spans="2:5" ht="14.5" customHeight="1">
      <c r="B150" s="80" t="s">
        <v>351</v>
      </c>
      <c r="C150" s="57" t="s">
        <v>28</v>
      </c>
      <c r="D150" s="58">
        <v>13</v>
      </c>
      <c r="E150" s="59">
        <v>1.1303364924790001E-3</v>
      </c>
    </row>
    <row r="151" spans="2:5" ht="14.5" customHeight="1">
      <c r="B151" s="79" t="s">
        <v>92</v>
      </c>
      <c r="C151" s="62" t="s">
        <v>144</v>
      </c>
      <c r="D151" s="63">
        <v>6</v>
      </c>
      <c r="E151" s="64">
        <v>5.2169376575899999E-4</v>
      </c>
    </row>
    <row r="152" spans="2:5" ht="14.5" customHeight="1">
      <c r="B152" s="81"/>
      <c r="C152" s="62" t="s">
        <v>145</v>
      </c>
      <c r="D152" s="63">
        <v>6</v>
      </c>
      <c r="E152" s="64">
        <v>5.2169376575899999E-4</v>
      </c>
    </row>
    <row r="153" spans="2:5" ht="14.5" customHeight="1">
      <c r="B153" s="80" t="s">
        <v>352</v>
      </c>
      <c r="C153" s="57" t="s">
        <v>28</v>
      </c>
      <c r="D153" s="58">
        <v>12</v>
      </c>
      <c r="E153" s="59">
        <v>1.043387531519E-3</v>
      </c>
    </row>
    <row r="154" spans="2:5" ht="14.5" customHeight="1">
      <c r="B154" s="79" t="s">
        <v>86</v>
      </c>
      <c r="C154" s="62" t="s">
        <v>144</v>
      </c>
      <c r="D154" s="63">
        <v>12</v>
      </c>
      <c r="E154" s="64">
        <v>1.043387531519E-3</v>
      </c>
    </row>
    <row r="155" spans="2:5" ht="14.5" customHeight="1">
      <c r="B155" s="81"/>
      <c r="C155" s="62" t="s">
        <v>145</v>
      </c>
      <c r="D155" s="63">
        <v>11</v>
      </c>
      <c r="E155" s="64">
        <v>9.56438570559E-4</v>
      </c>
    </row>
    <row r="156" spans="2:5" ht="14.5" customHeight="1">
      <c r="B156" s="80" t="s">
        <v>186</v>
      </c>
      <c r="C156" s="57" t="s">
        <v>28</v>
      </c>
      <c r="D156" s="58">
        <v>23</v>
      </c>
      <c r="E156" s="59">
        <v>1.9998261020779998E-3</v>
      </c>
    </row>
    <row r="157" spans="2:5" ht="14.5" customHeight="1">
      <c r="B157" s="79" t="s">
        <v>96</v>
      </c>
      <c r="C157" s="62" t="s">
        <v>145</v>
      </c>
      <c r="D157" s="63">
        <v>2</v>
      </c>
      <c r="E157" s="64">
        <v>1.7389792192000001E-4</v>
      </c>
    </row>
    <row r="158" spans="2:5" ht="14.5" customHeight="1">
      <c r="B158" s="80"/>
      <c r="C158" s="57" t="s">
        <v>28</v>
      </c>
      <c r="D158" s="58">
        <v>2</v>
      </c>
      <c r="E158" s="59">
        <v>1.7389792192000001E-4</v>
      </c>
    </row>
    <row r="159" spans="2:5" ht="14.5" customHeight="1">
      <c r="B159" s="91" t="s">
        <v>28</v>
      </c>
      <c r="C159" s="92"/>
      <c r="D159" s="55">
        <v>11501</v>
      </c>
      <c r="E159" s="56">
        <v>1</v>
      </c>
    </row>
    <row r="160" spans="2:5" ht="14.5" customHeight="1"/>
    <row r="161" spans="2:2" ht="14.5" customHeight="1">
      <c r="B161" s="15" t="s">
        <v>97</v>
      </c>
    </row>
    <row r="162" spans="2:2" ht="14.5" customHeight="1">
      <c r="B162" s="17" t="s">
        <v>17</v>
      </c>
    </row>
    <row r="163" spans="2:2" ht="14.5" customHeight="1">
      <c r="B163" s="16" t="s">
        <v>98</v>
      </c>
    </row>
    <row r="164" spans="2:2" ht="14.5" customHeight="1">
      <c r="B164" s="15" t="s">
        <v>16</v>
      </c>
    </row>
    <row r="165" spans="2:2" ht="14.5" customHeight="1">
      <c r="B165" s="15" t="s">
        <v>99</v>
      </c>
    </row>
  </sheetData>
  <mergeCells count="51">
    <mergeCell ref="B127:B129"/>
    <mergeCell ref="B130:B132"/>
    <mergeCell ref="B112:B114"/>
    <mergeCell ref="B115:B117"/>
    <mergeCell ref="B118:B120"/>
    <mergeCell ref="B121:B123"/>
    <mergeCell ref="B124:B126"/>
    <mergeCell ref="B97:B99"/>
    <mergeCell ref="B100:B102"/>
    <mergeCell ref="B103:B105"/>
    <mergeCell ref="B106:B108"/>
    <mergeCell ref="B109:B111"/>
    <mergeCell ref="B8:E10"/>
    <mergeCell ref="B76:B78"/>
    <mergeCell ref="B82:B84"/>
    <mergeCell ref="B85:B87"/>
    <mergeCell ref="B79:B81"/>
    <mergeCell ref="B13:B15"/>
    <mergeCell ref="B16:B18"/>
    <mergeCell ref="B19:B21"/>
    <mergeCell ref="B22:B24"/>
    <mergeCell ref="B40:B42"/>
    <mergeCell ref="B25:B27"/>
    <mergeCell ref="B28:B30"/>
    <mergeCell ref="B31:B33"/>
    <mergeCell ref="B34:B36"/>
    <mergeCell ref="B37:B39"/>
    <mergeCell ref="B43:B45"/>
    <mergeCell ref="B46:B48"/>
    <mergeCell ref="B49:B51"/>
    <mergeCell ref="B52:B54"/>
    <mergeCell ref="B55:B57"/>
    <mergeCell ref="B58:B60"/>
    <mergeCell ref="B61:B63"/>
    <mergeCell ref="B88:B90"/>
    <mergeCell ref="B91:B93"/>
    <mergeCell ref="B94:B96"/>
    <mergeCell ref="B64:B66"/>
    <mergeCell ref="B67:B69"/>
    <mergeCell ref="B70:B72"/>
    <mergeCell ref="B73:B75"/>
    <mergeCell ref="B133:B135"/>
    <mergeCell ref="B136:B138"/>
    <mergeCell ref="B139:B141"/>
    <mergeCell ref="B142:B144"/>
    <mergeCell ref="B145:B147"/>
    <mergeCell ref="B148:B150"/>
    <mergeCell ref="B151:B153"/>
    <mergeCell ref="B154:B156"/>
    <mergeCell ref="B157:B158"/>
    <mergeCell ref="B159:C159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1:F149"/>
  <sheetViews>
    <sheetView showGridLines="0" view="pageBreakPreview" topLeftCell="A129" zoomScaleNormal="100" zoomScaleSheetLayoutView="100" workbookViewId="0">
      <selection activeCell="D15" sqref="D15"/>
    </sheetView>
  </sheetViews>
  <sheetFormatPr baseColWidth="10" defaultColWidth="11.453125" defaultRowHeight="10"/>
  <cols>
    <col min="1" max="1" width="5.7265625" style="25" customWidth="1"/>
    <col min="2" max="2" width="20.7265625" style="41" customWidth="1"/>
    <col min="3" max="3" width="21.26953125" style="41" customWidth="1"/>
    <col min="4" max="4" width="15.7265625" style="44" customWidth="1"/>
    <col min="5" max="5" width="15.7265625" style="41" customWidth="1"/>
    <col min="6" max="6" width="5.7265625" style="25" customWidth="1"/>
    <col min="7" max="7" width="4.6328125" style="25" customWidth="1"/>
    <col min="8" max="16384" width="11.453125" style="25"/>
  </cols>
  <sheetData>
    <row r="1" spans="2:6" s="13" customFormat="1" ht="14.5">
      <c r="B1" s="41"/>
      <c r="C1" s="41"/>
    </row>
    <row r="2" spans="2:6" s="41" customFormat="1">
      <c r="B2" s="50"/>
    </row>
    <row r="3" spans="2:6" ht="15" customHeight="1">
      <c r="B3" s="51"/>
      <c r="C3" s="31"/>
      <c r="D3" s="25"/>
      <c r="F3" s="41"/>
    </row>
    <row r="4" spans="2:6" ht="30" customHeight="1">
      <c r="B4" s="51"/>
      <c r="C4" s="31"/>
      <c r="D4" s="25"/>
      <c r="F4" s="41"/>
    </row>
    <row r="5" spans="2:6" ht="15" customHeight="1">
      <c r="B5" s="51"/>
      <c r="C5" s="31"/>
      <c r="D5" s="25"/>
      <c r="F5" s="41"/>
    </row>
    <row r="6" spans="2:6" s="41" customFormat="1" ht="10.5">
      <c r="B6" s="43"/>
      <c r="C6" s="37"/>
    </row>
    <row r="7" spans="2:6" s="41" customFormat="1">
      <c r="B7" s="50"/>
    </row>
    <row r="8" spans="2:6" s="13" customFormat="1" ht="15" customHeight="1">
      <c r="B8" s="76" t="s">
        <v>41</v>
      </c>
      <c r="C8" s="76"/>
      <c r="D8" s="76"/>
      <c r="E8" s="76"/>
    </row>
    <row r="9" spans="2:6" s="13" customFormat="1" ht="15" customHeight="1">
      <c r="B9" s="76"/>
      <c r="C9" s="76"/>
      <c r="D9" s="76"/>
      <c r="E9" s="76"/>
      <c r="F9" s="49"/>
    </row>
    <row r="10" spans="2:6" s="13" customFormat="1" ht="15" customHeight="1">
      <c r="B10" s="76"/>
      <c r="C10" s="76"/>
      <c r="D10" s="76"/>
      <c r="E10" s="76"/>
    </row>
    <row r="11" spans="2:6" s="13" customFormat="1" ht="9.75" customHeight="1">
      <c r="B11" s="52"/>
      <c r="C11" s="52"/>
      <c r="D11" s="52"/>
      <c r="E11" s="52"/>
    </row>
    <row r="12" spans="2:6" s="13" customFormat="1" ht="37" customHeight="1">
      <c r="B12" s="54" t="s">
        <v>24</v>
      </c>
      <c r="C12" s="54" t="s">
        <v>29</v>
      </c>
      <c r="D12" s="54" t="s">
        <v>19</v>
      </c>
      <c r="E12" s="54" t="s">
        <v>18</v>
      </c>
    </row>
    <row r="13" spans="2:6" ht="14.5" customHeight="1">
      <c r="B13" s="79" t="s">
        <v>100</v>
      </c>
      <c r="C13" s="62" t="s">
        <v>144</v>
      </c>
      <c r="D13" s="63">
        <v>28</v>
      </c>
      <c r="E13" s="64">
        <v>2.4345709068779998E-3</v>
      </c>
    </row>
    <row r="14" spans="2:6" ht="14.5" customHeight="1">
      <c r="B14" s="81"/>
      <c r="C14" s="62" t="s">
        <v>145</v>
      </c>
      <c r="D14" s="63">
        <v>33</v>
      </c>
      <c r="E14" s="64">
        <v>2.8693157116770002E-3</v>
      </c>
    </row>
    <row r="15" spans="2:6" ht="14.5" customHeight="1">
      <c r="B15" s="80"/>
      <c r="C15" s="57" t="s">
        <v>28</v>
      </c>
      <c r="D15" s="58">
        <v>61</v>
      </c>
      <c r="E15" s="59">
        <v>5.3038866185549996E-3</v>
      </c>
    </row>
    <row r="16" spans="2:6" ht="14.5" customHeight="1">
      <c r="B16" s="79" t="s">
        <v>101</v>
      </c>
      <c r="C16" s="62" t="s">
        <v>145</v>
      </c>
      <c r="D16" s="63">
        <v>5</v>
      </c>
      <c r="E16" s="64">
        <v>4.3474480480000001E-4</v>
      </c>
    </row>
    <row r="17" spans="2:5" ht="14.5" customHeight="1">
      <c r="B17" s="80" t="s">
        <v>146</v>
      </c>
      <c r="C17" s="57" t="s">
        <v>28</v>
      </c>
      <c r="D17" s="58">
        <v>5</v>
      </c>
      <c r="E17" s="59">
        <v>4.3474480480000001E-4</v>
      </c>
    </row>
    <row r="18" spans="2:5" ht="14.5" customHeight="1">
      <c r="B18" s="79" t="s">
        <v>102</v>
      </c>
      <c r="C18" s="62" t="s">
        <v>144</v>
      </c>
      <c r="D18" s="63">
        <v>32</v>
      </c>
      <c r="E18" s="64">
        <v>2.7823667507169999E-3</v>
      </c>
    </row>
    <row r="19" spans="2:5" ht="14.5" customHeight="1">
      <c r="B19" s="81"/>
      <c r="C19" s="62" t="s">
        <v>145</v>
      </c>
      <c r="D19" s="63">
        <v>56</v>
      </c>
      <c r="E19" s="64">
        <v>4.8691418137549996E-3</v>
      </c>
    </row>
    <row r="20" spans="2:5" ht="14.5" customHeight="1">
      <c r="B20" s="80" t="s">
        <v>147</v>
      </c>
      <c r="C20" s="57" t="s">
        <v>28</v>
      </c>
      <c r="D20" s="58">
        <v>88</v>
      </c>
      <c r="E20" s="59">
        <v>7.651508564473E-3</v>
      </c>
    </row>
    <row r="21" spans="2:5" ht="14.5" customHeight="1">
      <c r="B21" s="79" t="s">
        <v>103</v>
      </c>
      <c r="C21" s="62" t="s">
        <v>144</v>
      </c>
      <c r="D21" s="63">
        <v>22</v>
      </c>
      <c r="E21" s="64">
        <v>1.912877141118E-3</v>
      </c>
    </row>
    <row r="22" spans="2:5" ht="14.5" customHeight="1">
      <c r="B22" s="81"/>
      <c r="C22" s="62" t="s">
        <v>145</v>
      </c>
      <c r="D22" s="63">
        <v>29</v>
      </c>
      <c r="E22" s="64">
        <v>2.5215198678380001E-3</v>
      </c>
    </row>
    <row r="23" spans="2:5" ht="14.5" customHeight="1">
      <c r="B23" s="80" t="s">
        <v>148</v>
      </c>
      <c r="C23" s="57" t="s">
        <v>28</v>
      </c>
      <c r="D23" s="58">
        <v>51</v>
      </c>
      <c r="E23" s="59">
        <v>4.4343970089559996E-3</v>
      </c>
    </row>
    <row r="24" spans="2:5" ht="14.5" customHeight="1">
      <c r="B24" s="79" t="s">
        <v>104</v>
      </c>
      <c r="C24" s="62" t="s">
        <v>144</v>
      </c>
      <c r="D24" s="63">
        <v>271</v>
      </c>
      <c r="E24" s="64">
        <v>2.3563168420137E-2</v>
      </c>
    </row>
    <row r="25" spans="2:5" ht="14.5" customHeight="1">
      <c r="B25" s="81"/>
      <c r="C25" s="62" t="s">
        <v>145</v>
      </c>
      <c r="D25" s="63">
        <v>249</v>
      </c>
      <c r="E25" s="64">
        <v>2.1650291279019001E-2</v>
      </c>
    </row>
    <row r="26" spans="2:5" ht="14.5" customHeight="1">
      <c r="B26" s="80" t="s">
        <v>149</v>
      </c>
      <c r="C26" s="57" t="s">
        <v>28</v>
      </c>
      <c r="D26" s="58">
        <v>520</v>
      </c>
      <c r="E26" s="59">
        <v>4.5213459699157001E-2</v>
      </c>
    </row>
    <row r="27" spans="2:5" ht="14.5" customHeight="1">
      <c r="B27" s="79" t="s">
        <v>105</v>
      </c>
      <c r="C27" s="62" t="s">
        <v>144</v>
      </c>
      <c r="D27" s="63">
        <v>93</v>
      </c>
      <c r="E27" s="64">
        <v>8.086253369272E-3</v>
      </c>
    </row>
    <row r="28" spans="2:5" ht="14.5" customHeight="1">
      <c r="B28" s="81"/>
      <c r="C28" s="62" t="s">
        <v>145</v>
      </c>
      <c r="D28" s="63">
        <v>112</v>
      </c>
      <c r="E28" s="64">
        <v>9.7382836275110001E-3</v>
      </c>
    </row>
    <row r="29" spans="2:5" ht="14.5" customHeight="1">
      <c r="B29" s="80" t="s">
        <v>150</v>
      </c>
      <c r="C29" s="57" t="s">
        <v>28</v>
      </c>
      <c r="D29" s="58">
        <v>205</v>
      </c>
      <c r="E29" s="59">
        <v>1.7824536996782998E-2</v>
      </c>
    </row>
    <row r="30" spans="2:5" ht="14.5" customHeight="1">
      <c r="B30" s="79" t="s">
        <v>106</v>
      </c>
      <c r="C30" s="62" t="s">
        <v>144</v>
      </c>
      <c r="D30" s="63">
        <v>3</v>
      </c>
      <c r="E30" s="64">
        <v>2.6084688287999997E-4</v>
      </c>
    </row>
    <row r="31" spans="2:5" ht="14.5" customHeight="1">
      <c r="B31" s="81"/>
      <c r="C31" s="62" t="s">
        <v>145</v>
      </c>
      <c r="D31" s="63">
        <v>4</v>
      </c>
      <c r="E31" s="64">
        <v>3.4779584384000002E-4</v>
      </c>
    </row>
    <row r="32" spans="2:5" ht="14.5" customHeight="1">
      <c r="B32" s="80" t="s">
        <v>151</v>
      </c>
      <c r="C32" s="57" t="s">
        <v>28</v>
      </c>
      <c r="D32" s="58">
        <v>7</v>
      </c>
      <c r="E32" s="59">
        <v>6.0864272671900003E-4</v>
      </c>
    </row>
    <row r="33" spans="2:5" ht="14.5" customHeight="1">
      <c r="B33" s="79" t="s">
        <v>107</v>
      </c>
      <c r="C33" s="62" t="s">
        <v>145</v>
      </c>
      <c r="D33" s="63">
        <v>2</v>
      </c>
      <c r="E33" s="64">
        <v>1.7389792192000001E-4</v>
      </c>
    </row>
    <row r="34" spans="2:5" ht="14.5" customHeight="1">
      <c r="B34" s="80" t="s">
        <v>152</v>
      </c>
      <c r="C34" s="57" t="s">
        <v>28</v>
      </c>
      <c r="D34" s="58">
        <v>2</v>
      </c>
      <c r="E34" s="59">
        <v>1.7389792192000001E-4</v>
      </c>
    </row>
    <row r="35" spans="2:5" ht="14.5" customHeight="1">
      <c r="B35" s="79" t="s">
        <v>108</v>
      </c>
      <c r="C35" s="62" t="s">
        <v>144</v>
      </c>
      <c r="D35" s="63">
        <v>77</v>
      </c>
      <c r="E35" s="64">
        <v>6.6950699939140003E-3</v>
      </c>
    </row>
    <row r="36" spans="2:5" ht="14.5" customHeight="1">
      <c r="B36" s="81"/>
      <c r="C36" s="62" t="s">
        <v>145</v>
      </c>
      <c r="D36" s="63">
        <v>102</v>
      </c>
      <c r="E36" s="64">
        <v>8.8687940179110001E-3</v>
      </c>
    </row>
    <row r="37" spans="2:5" ht="14.5" customHeight="1">
      <c r="B37" s="80" t="s">
        <v>153</v>
      </c>
      <c r="C37" s="57" t="s">
        <v>28</v>
      </c>
      <c r="D37" s="58">
        <v>179</v>
      </c>
      <c r="E37" s="59">
        <v>1.5563864011824999E-2</v>
      </c>
    </row>
    <row r="38" spans="2:5" ht="14.5" customHeight="1">
      <c r="B38" s="79" t="s">
        <v>109</v>
      </c>
      <c r="C38" s="62" t="s">
        <v>144</v>
      </c>
      <c r="D38" s="63">
        <v>40</v>
      </c>
      <c r="E38" s="64">
        <v>3.4779584383969999E-3</v>
      </c>
    </row>
    <row r="39" spans="2:5" ht="14.5" customHeight="1">
      <c r="B39" s="81"/>
      <c r="C39" s="62" t="s">
        <v>145</v>
      </c>
      <c r="D39" s="63">
        <v>51</v>
      </c>
      <c r="E39" s="64">
        <v>4.4343970089559996E-3</v>
      </c>
    </row>
    <row r="40" spans="2:5" ht="14.5" customHeight="1">
      <c r="B40" s="80" t="s">
        <v>154</v>
      </c>
      <c r="C40" s="57" t="s">
        <v>28</v>
      </c>
      <c r="D40" s="58">
        <v>91</v>
      </c>
      <c r="E40" s="59">
        <v>7.9123554473520003E-3</v>
      </c>
    </row>
    <row r="41" spans="2:5" ht="14.5" customHeight="1">
      <c r="B41" s="79" t="s">
        <v>110</v>
      </c>
      <c r="C41" s="62" t="s">
        <v>144</v>
      </c>
      <c r="D41" s="63">
        <v>4</v>
      </c>
      <c r="E41" s="64">
        <v>3.4779584384000002E-4</v>
      </c>
    </row>
    <row r="42" spans="2:5" ht="14.5" customHeight="1">
      <c r="B42" s="81"/>
      <c r="C42" s="62" t="s">
        <v>145</v>
      </c>
      <c r="D42" s="63">
        <v>10</v>
      </c>
      <c r="E42" s="64">
        <v>8.6948960959899995E-4</v>
      </c>
    </row>
    <row r="43" spans="2:5" ht="14.5" customHeight="1">
      <c r="B43" s="80" t="s">
        <v>155</v>
      </c>
      <c r="C43" s="57" t="s">
        <v>28</v>
      </c>
      <c r="D43" s="58">
        <v>14</v>
      </c>
      <c r="E43" s="59">
        <v>1.2172854534389999E-3</v>
      </c>
    </row>
    <row r="44" spans="2:5" ht="14.5" customHeight="1">
      <c r="B44" s="79" t="s">
        <v>111</v>
      </c>
      <c r="C44" s="62" t="s">
        <v>144</v>
      </c>
      <c r="D44" s="63">
        <v>113</v>
      </c>
      <c r="E44" s="64">
        <v>9.8252325884710008E-3</v>
      </c>
    </row>
    <row r="45" spans="2:5" ht="14.5" customHeight="1">
      <c r="B45" s="81"/>
      <c r="C45" s="62" t="s">
        <v>145</v>
      </c>
      <c r="D45" s="63">
        <v>174</v>
      </c>
      <c r="E45" s="64">
        <v>1.5129119207024999E-2</v>
      </c>
    </row>
    <row r="46" spans="2:5" ht="14.5" customHeight="1">
      <c r="B46" s="80" t="s">
        <v>156</v>
      </c>
      <c r="C46" s="57" t="s">
        <v>28</v>
      </c>
      <c r="D46" s="58">
        <v>287</v>
      </c>
      <c r="E46" s="59">
        <v>2.4954351795495999E-2</v>
      </c>
    </row>
    <row r="47" spans="2:5" ht="14.5" customHeight="1">
      <c r="B47" s="79" t="s">
        <v>112</v>
      </c>
      <c r="C47" s="62" t="s">
        <v>144</v>
      </c>
      <c r="D47" s="63">
        <v>46</v>
      </c>
      <c r="E47" s="64">
        <v>3.9996522041559996E-3</v>
      </c>
    </row>
    <row r="48" spans="2:5" ht="14.5" customHeight="1">
      <c r="B48" s="81"/>
      <c r="C48" s="62" t="s">
        <v>145</v>
      </c>
      <c r="D48" s="63">
        <v>50</v>
      </c>
      <c r="E48" s="64">
        <v>4.3474480479959998E-3</v>
      </c>
    </row>
    <row r="49" spans="2:5" ht="14.5" customHeight="1">
      <c r="B49" s="80" t="s">
        <v>157</v>
      </c>
      <c r="C49" s="57" t="s">
        <v>28</v>
      </c>
      <c r="D49" s="58">
        <v>96</v>
      </c>
      <c r="E49" s="59">
        <v>8.3471002521520003E-3</v>
      </c>
    </row>
    <row r="50" spans="2:5" ht="14.5" customHeight="1">
      <c r="B50" s="79" t="s">
        <v>113</v>
      </c>
      <c r="C50" s="62" t="s">
        <v>144</v>
      </c>
      <c r="D50" s="63">
        <v>15</v>
      </c>
      <c r="E50" s="64">
        <v>1.304234414399E-3</v>
      </c>
    </row>
    <row r="51" spans="2:5" ht="14.5" customHeight="1">
      <c r="B51" s="81"/>
      <c r="C51" s="62" t="s">
        <v>145</v>
      </c>
      <c r="D51" s="63">
        <v>3</v>
      </c>
      <c r="E51" s="64">
        <v>2.6084688287999997E-4</v>
      </c>
    </row>
    <row r="52" spans="2:5" ht="14.5" customHeight="1">
      <c r="B52" s="80" t="s">
        <v>158</v>
      </c>
      <c r="C52" s="57" t="s">
        <v>28</v>
      </c>
      <c r="D52" s="58">
        <v>18</v>
      </c>
      <c r="E52" s="59">
        <v>1.565081297278E-3</v>
      </c>
    </row>
    <row r="53" spans="2:5" ht="14.5" customHeight="1">
      <c r="B53" s="79" t="s">
        <v>114</v>
      </c>
      <c r="C53" s="62" t="s">
        <v>144</v>
      </c>
      <c r="D53" s="63">
        <v>84</v>
      </c>
      <c r="E53" s="64">
        <v>7.3037127206329999E-3</v>
      </c>
    </row>
    <row r="54" spans="2:5" ht="14.5" customHeight="1">
      <c r="B54" s="81"/>
      <c r="C54" s="62" t="s">
        <v>145</v>
      </c>
      <c r="D54" s="63">
        <v>101</v>
      </c>
      <c r="E54" s="64">
        <v>8.7818450569520003E-3</v>
      </c>
    </row>
    <row r="55" spans="2:5" ht="14.5" customHeight="1">
      <c r="B55" s="80" t="s">
        <v>159</v>
      </c>
      <c r="C55" s="57" t="s">
        <v>28</v>
      </c>
      <c r="D55" s="58">
        <v>185</v>
      </c>
      <c r="E55" s="59">
        <v>1.6085557777585E-2</v>
      </c>
    </row>
    <row r="56" spans="2:5" ht="14.5" customHeight="1">
      <c r="B56" s="79" t="s">
        <v>115</v>
      </c>
      <c r="C56" s="62" t="s">
        <v>144</v>
      </c>
      <c r="D56" s="63">
        <v>34</v>
      </c>
      <c r="E56" s="64">
        <v>2.956264672637E-3</v>
      </c>
    </row>
    <row r="57" spans="2:5" ht="14.5" customHeight="1">
      <c r="B57" s="81"/>
      <c r="C57" s="62" t="s">
        <v>145</v>
      </c>
      <c r="D57" s="63">
        <v>40</v>
      </c>
      <c r="E57" s="64">
        <v>3.4779584383969999E-3</v>
      </c>
    </row>
    <row r="58" spans="2:5" ht="14.5" customHeight="1">
      <c r="B58" s="80" t="s">
        <v>160</v>
      </c>
      <c r="C58" s="57" t="s">
        <v>28</v>
      </c>
      <c r="D58" s="58">
        <v>74</v>
      </c>
      <c r="E58" s="59">
        <v>6.4342231110339999E-3</v>
      </c>
    </row>
    <row r="59" spans="2:5" ht="14.5" customHeight="1">
      <c r="B59" s="79" t="s">
        <v>116</v>
      </c>
      <c r="C59" s="62" t="s">
        <v>144</v>
      </c>
      <c r="D59" s="63">
        <v>17</v>
      </c>
      <c r="E59" s="64">
        <v>1.4781323363190001E-3</v>
      </c>
    </row>
    <row r="60" spans="2:5" ht="14.5" customHeight="1">
      <c r="B60" s="81"/>
      <c r="C60" s="62" t="s">
        <v>145</v>
      </c>
      <c r="D60" s="63">
        <v>25</v>
      </c>
      <c r="E60" s="64">
        <v>2.1737240239979999E-3</v>
      </c>
    </row>
    <row r="61" spans="2:5" ht="14.5" customHeight="1">
      <c r="B61" s="80" t="s">
        <v>161</v>
      </c>
      <c r="C61" s="57" t="s">
        <v>28</v>
      </c>
      <c r="D61" s="58">
        <v>42</v>
      </c>
      <c r="E61" s="59">
        <v>3.6518563603159999E-3</v>
      </c>
    </row>
    <row r="62" spans="2:5" ht="14.5" customHeight="1">
      <c r="B62" s="79" t="s">
        <v>117</v>
      </c>
      <c r="C62" s="62" t="s">
        <v>145</v>
      </c>
      <c r="D62" s="63">
        <v>4</v>
      </c>
      <c r="E62" s="64">
        <v>3.4779584384000002E-4</v>
      </c>
    </row>
    <row r="63" spans="2:5" ht="14.5" customHeight="1">
      <c r="B63" s="80" t="s">
        <v>162</v>
      </c>
      <c r="C63" s="57" t="s">
        <v>28</v>
      </c>
      <c r="D63" s="58">
        <v>4</v>
      </c>
      <c r="E63" s="59">
        <v>3.4779584384000002E-4</v>
      </c>
    </row>
    <row r="64" spans="2:5" ht="14.5" customHeight="1">
      <c r="B64" s="79" t="s">
        <v>118</v>
      </c>
      <c r="C64" s="62" t="s">
        <v>145</v>
      </c>
      <c r="D64" s="63">
        <v>1</v>
      </c>
      <c r="E64" s="64">
        <v>8.6948960960000005E-5</v>
      </c>
    </row>
    <row r="65" spans="2:5" ht="14.5" customHeight="1">
      <c r="B65" s="80" t="s">
        <v>163</v>
      </c>
      <c r="C65" s="57" t="s">
        <v>28</v>
      </c>
      <c r="D65" s="58">
        <v>1</v>
      </c>
      <c r="E65" s="59">
        <v>8.6948960960000005E-5</v>
      </c>
    </row>
    <row r="66" spans="2:5" ht="14.5" customHeight="1">
      <c r="B66" s="79" t="s">
        <v>119</v>
      </c>
      <c r="C66" s="62" t="s">
        <v>144</v>
      </c>
      <c r="D66" s="63">
        <v>13</v>
      </c>
      <c r="E66" s="64">
        <v>1.1303364924790001E-3</v>
      </c>
    </row>
    <row r="67" spans="2:5" ht="14.5" customHeight="1">
      <c r="B67" s="81"/>
      <c r="C67" s="62" t="s">
        <v>145</v>
      </c>
      <c r="D67" s="63">
        <v>23</v>
      </c>
      <c r="E67" s="64">
        <v>1.9998261020779998E-3</v>
      </c>
    </row>
    <row r="68" spans="2:5" ht="14.5" customHeight="1">
      <c r="B68" s="80" t="s">
        <v>164</v>
      </c>
      <c r="C68" s="57" t="s">
        <v>28</v>
      </c>
      <c r="D68" s="58">
        <v>36</v>
      </c>
      <c r="E68" s="59">
        <v>3.1301625945570001E-3</v>
      </c>
    </row>
    <row r="69" spans="2:5" ht="14.5" customHeight="1">
      <c r="B69" s="79" t="s">
        <v>120</v>
      </c>
      <c r="C69" s="62" t="s">
        <v>144</v>
      </c>
      <c r="D69" s="63">
        <v>47</v>
      </c>
      <c r="E69" s="64">
        <v>4.0866011651160003E-3</v>
      </c>
    </row>
    <row r="70" spans="2:5" ht="14.5" customHeight="1">
      <c r="B70" s="81"/>
      <c r="C70" s="62" t="s">
        <v>145</v>
      </c>
      <c r="D70" s="63">
        <v>55</v>
      </c>
      <c r="E70" s="64">
        <v>4.7821928527949998E-3</v>
      </c>
    </row>
    <row r="71" spans="2:5" ht="14.5" customHeight="1">
      <c r="B71" s="80" t="s">
        <v>165</v>
      </c>
      <c r="C71" s="57" t="s">
        <v>28</v>
      </c>
      <c r="D71" s="58">
        <v>102</v>
      </c>
      <c r="E71" s="59">
        <v>8.8687940179110001E-3</v>
      </c>
    </row>
    <row r="72" spans="2:5" ht="14.5" customHeight="1">
      <c r="B72" s="79" t="s">
        <v>121</v>
      </c>
      <c r="C72" s="62" t="s">
        <v>144</v>
      </c>
      <c r="D72" s="63">
        <v>14</v>
      </c>
      <c r="E72" s="64">
        <v>1.2172854534389999E-3</v>
      </c>
    </row>
    <row r="73" spans="2:5" ht="14.5" customHeight="1">
      <c r="B73" s="81"/>
      <c r="C73" s="62" t="s">
        <v>145</v>
      </c>
      <c r="D73" s="63">
        <v>8</v>
      </c>
      <c r="E73" s="64">
        <v>6.9559168767899997E-4</v>
      </c>
    </row>
    <row r="74" spans="2:5" ht="14.5" customHeight="1">
      <c r="B74" s="80" t="s">
        <v>166</v>
      </c>
      <c r="C74" s="57" t="s">
        <v>28</v>
      </c>
      <c r="D74" s="58">
        <v>22</v>
      </c>
      <c r="E74" s="59">
        <v>1.912877141118E-3</v>
      </c>
    </row>
    <row r="75" spans="2:5" ht="14.5" customHeight="1">
      <c r="B75" s="79" t="s">
        <v>122</v>
      </c>
      <c r="C75" s="62" t="s">
        <v>144</v>
      </c>
      <c r="D75" s="63">
        <v>42</v>
      </c>
      <c r="E75" s="64">
        <v>3.6518563603159999E-3</v>
      </c>
    </row>
    <row r="76" spans="2:5" ht="14.5" customHeight="1">
      <c r="B76" s="81"/>
      <c r="C76" s="62" t="s">
        <v>145</v>
      </c>
      <c r="D76" s="63">
        <v>41</v>
      </c>
      <c r="E76" s="64">
        <v>3.5649073993570001E-3</v>
      </c>
    </row>
    <row r="77" spans="2:5" ht="14.5" customHeight="1">
      <c r="B77" s="80" t="s">
        <v>167</v>
      </c>
      <c r="C77" s="57" t="s">
        <v>28</v>
      </c>
      <c r="D77" s="58">
        <v>83</v>
      </c>
      <c r="E77" s="59">
        <v>7.216763759673E-3</v>
      </c>
    </row>
    <row r="78" spans="2:5" ht="14.5" customHeight="1">
      <c r="B78" s="79" t="s">
        <v>123</v>
      </c>
      <c r="C78" s="62" t="s">
        <v>144</v>
      </c>
      <c r="D78" s="63">
        <v>2</v>
      </c>
      <c r="E78" s="64">
        <v>1.7389792192000001E-4</v>
      </c>
    </row>
    <row r="79" spans="2:5" ht="14.5" customHeight="1">
      <c r="B79" s="81"/>
      <c r="C79" s="62" t="s">
        <v>145</v>
      </c>
      <c r="D79" s="63">
        <v>2</v>
      </c>
      <c r="E79" s="64">
        <v>1.7389792192000001E-4</v>
      </c>
    </row>
    <row r="80" spans="2:5" ht="14.5" customHeight="1">
      <c r="B80" s="80" t="s">
        <v>168</v>
      </c>
      <c r="C80" s="57" t="s">
        <v>28</v>
      </c>
      <c r="D80" s="58">
        <v>4</v>
      </c>
      <c r="E80" s="59">
        <v>3.4779584384000002E-4</v>
      </c>
    </row>
    <row r="81" spans="2:5" ht="14.5" customHeight="1">
      <c r="B81" s="79" t="s">
        <v>124</v>
      </c>
      <c r="C81" s="62" t="s">
        <v>144</v>
      </c>
      <c r="D81" s="63">
        <v>22</v>
      </c>
      <c r="E81" s="64">
        <v>1.912877141118E-3</v>
      </c>
    </row>
    <row r="82" spans="2:5" ht="14.5" customHeight="1">
      <c r="B82" s="81"/>
      <c r="C82" s="62" t="s">
        <v>145</v>
      </c>
      <c r="D82" s="63">
        <v>27</v>
      </c>
      <c r="E82" s="64">
        <v>2.347621945918E-3</v>
      </c>
    </row>
    <row r="83" spans="2:5" ht="14.5" customHeight="1">
      <c r="B83" s="80" t="s">
        <v>169</v>
      </c>
      <c r="C83" s="57" t="s">
        <v>28</v>
      </c>
      <c r="D83" s="58">
        <v>49</v>
      </c>
      <c r="E83" s="59">
        <v>4.260499087036E-3</v>
      </c>
    </row>
    <row r="84" spans="2:5" ht="14.5" customHeight="1">
      <c r="B84" s="79" t="s">
        <v>125</v>
      </c>
      <c r="C84" s="62" t="s">
        <v>144</v>
      </c>
      <c r="D84" s="63">
        <v>41</v>
      </c>
      <c r="E84" s="64">
        <v>3.5649073993570001E-3</v>
      </c>
    </row>
    <row r="85" spans="2:5" ht="14.5" customHeight="1">
      <c r="B85" s="81"/>
      <c r="C85" s="62" t="s">
        <v>145</v>
      </c>
      <c r="D85" s="63">
        <v>41</v>
      </c>
      <c r="E85" s="64">
        <v>3.5649073993570001E-3</v>
      </c>
    </row>
    <row r="86" spans="2:5" ht="14.5" customHeight="1">
      <c r="B86" s="80" t="s">
        <v>170</v>
      </c>
      <c r="C86" s="57" t="s">
        <v>28</v>
      </c>
      <c r="D86" s="58">
        <v>82</v>
      </c>
      <c r="E86" s="59">
        <v>7.1298147987130002E-3</v>
      </c>
    </row>
    <row r="87" spans="2:5" ht="14.5" customHeight="1">
      <c r="B87" s="79" t="s">
        <v>126</v>
      </c>
      <c r="C87" s="62" t="s">
        <v>144</v>
      </c>
      <c r="D87" s="63">
        <v>7</v>
      </c>
      <c r="E87" s="64">
        <v>6.0864272671900003E-4</v>
      </c>
    </row>
    <row r="88" spans="2:5" ht="14.5" customHeight="1">
      <c r="B88" s="81"/>
      <c r="C88" s="62" t="s">
        <v>145</v>
      </c>
      <c r="D88" s="63">
        <v>7</v>
      </c>
      <c r="E88" s="64">
        <v>6.0864272671900003E-4</v>
      </c>
    </row>
    <row r="89" spans="2:5" ht="14.5" customHeight="1">
      <c r="B89" s="80" t="s">
        <v>171</v>
      </c>
      <c r="C89" s="57" t="s">
        <v>28</v>
      </c>
      <c r="D89" s="58">
        <v>14</v>
      </c>
      <c r="E89" s="59">
        <v>1.2172854534389999E-3</v>
      </c>
    </row>
    <row r="90" spans="2:5" ht="14.5" customHeight="1">
      <c r="B90" s="79" t="s">
        <v>127</v>
      </c>
      <c r="C90" s="62" t="s">
        <v>144</v>
      </c>
      <c r="D90" s="63">
        <v>50</v>
      </c>
      <c r="E90" s="64">
        <v>4.3474480479959998E-3</v>
      </c>
    </row>
    <row r="91" spans="2:5" ht="14.5" customHeight="1">
      <c r="B91" s="81"/>
      <c r="C91" s="62" t="s">
        <v>145</v>
      </c>
      <c r="D91" s="63">
        <v>71</v>
      </c>
      <c r="E91" s="64">
        <v>6.1733762281540004E-3</v>
      </c>
    </row>
    <row r="92" spans="2:5" ht="14.5" customHeight="1">
      <c r="B92" s="80" t="s">
        <v>172</v>
      </c>
      <c r="C92" s="57" t="s">
        <v>28</v>
      </c>
      <c r="D92" s="58">
        <v>121</v>
      </c>
      <c r="E92" s="59">
        <v>1.052082427615E-2</v>
      </c>
    </row>
    <row r="93" spans="2:5" ht="14.5" customHeight="1">
      <c r="B93" s="79" t="s">
        <v>128</v>
      </c>
      <c r="C93" s="62" t="s">
        <v>144</v>
      </c>
      <c r="D93" s="63">
        <v>9</v>
      </c>
      <c r="E93" s="64">
        <v>7.8254064863900001E-4</v>
      </c>
    </row>
    <row r="94" spans="2:5" ht="14.5" customHeight="1">
      <c r="B94" s="81"/>
      <c r="C94" s="62" t="s">
        <v>145</v>
      </c>
      <c r="D94" s="63">
        <v>14</v>
      </c>
      <c r="E94" s="64">
        <v>1.2172854534389999E-3</v>
      </c>
    </row>
    <row r="95" spans="2:5" ht="14.5" customHeight="1">
      <c r="B95" s="80" t="s">
        <v>173</v>
      </c>
      <c r="C95" s="57" t="s">
        <v>28</v>
      </c>
      <c r="D95" s="58">
        <v>23</v>
      </c>
      <c r="E95" s="59">
        <v>1.9998261020779998E-3</v>
      </c>
    </row>
    <row r="96" spans="2:5" ht="14.5" customHeight="1">
      <c r="B96" s="79" t="s">
        <v>129</v>
      </c>
      <c r="C96" s="62" t="s">
        <v>144</v>
      </c>
      <c r="D96" s="63">
        <v>38</v>
      </c>
      <c r="E96" s="64">
        <v>3.3040605164770002E-3</v>
      </c>
    </row>
    <row r="97" spans="2:5" ht="14.5" customHeight="1">
      <c r="B97" s="81"/>
      <c r="C97" s="62" t="s">
        <v>145</v>
      </c>
      <c r="D97" s="63">
        <v>72</v>
      </c>
      <c r="E97" s="64">
        <v>6.2603251891140002E-3</v>
      </c>
    </row>
    <row r="98" spans="2:5" ht="14.5" customHeight="1">
      <c r="B98" s="80" t="s">
        <v>174</v>
      </c>
      <c r="C98" s="57" t="s">
        <v>28</v>
      </c>
      <c r="D98" s="58">
        <v>110</v>
      </c>
      <c r="E98" s="59">
        <v>9.5643857055910005E-3</v>
      </c>
    </row>
    <row r="99" spans="2:5" ht="14.5" customHeight="1">
      <c r="B99" s="79" t="s">
        <v>130</v>
      </c>
      <c r="C99" s="62" t="s">
        <v>145</v>
      </c>
      <c r="D99" s="63">
        <v>4</v>
      </c>
      <c r="E99" s="64">
        <v>3.4779584384000002E-4</v>
      </c>
    </row>
    <row r="100" spans="2:5" ht="14.5" customHeight="1">
      <c r="B100" s="80" t="s">
        <v>175</v>
      </c>
      <c r="C100" s="57" t="s">
        <v>28</v>
      </c>
      <c r="D100" s="58">
        <v>4</v>
      </c>
      <c r="E100" s="59">
        <v>3.4779584384000002E-4</v>
      </c>
    </row>
    <row r="101" spans="2:5" ht="14.5" customHeight="1">
      <c r="B101" s="79" t="s">
        <v>131</v>
      </c>
      <c r="C101" s="62" t="s">
        <v>144</v>
      </c>
      <c r="D101" s="63">
        <v>11</v>
      </c>
      <c r="E101" s="64">
        <v>9.56438570559E-4</v>
      </c>
    </row>
    <row r="102" spans="2:5" ht="14.5" customHeight="1">
      <c r="B102" s="81"/>
      <c r="C102" s="62" t="s">
        <v>145</v>
      </c>
      <c r="D102" s="63">
        <v>19</v>
      </c>
      <c r="E102" s="64">
        <v>1.6520302582380001E-3</v>
      </c>
    </row>
    <row r="103" spans="2:5" ht="14.5" customHeight="1">
      <c r="B103" s="80" t="s">
        <v>176</v>
      </c>
      <c r="C103" s="57" t="s">
        <v>28</v>
      </c>
      <c r="D103" s="58">
        <v>30</v>
      </c>
      <c r="E103" s="59">
        <v>2.6084688287969999E-3</v>
      </c>
    </row>
    <row r="104" spans="2:5" ht="14.5" customHeight="1">
      <c r="B104" s="79" t="s">
        <v>132</v>
      </c>
      <c r="C104" s="62" t="s">
        <v>144</v>
      </c>
      <c r="D104" s="63">
        <v>201</v>
      </c>
      <c r="E104" s="64">
        <v>1.7476741152942999E-2</v>
      </c>
    </row>
    <row r="105" spans="2:5" ht="14.5" customHeight="1">
      <c r="B105" s="81"/>
      <c r="C105" s="62" t="s">
        <v>145</v>
      </c>
      <c r="D105" s="63">
        <v>271</v>
      </c>
      <c r="E105" s="64">
        <v>2.3563168420137E-2</v>
      </c>
    </row>
    <row r="106" spans="2:5" ht="14.5" customHeight="1">
      <c r="B106" s="80" t="s">
        <v>177</v>
      </c>
      <c r="C106" s="57" t="s">
        <v>28</v>
      </c>
      <c r="D106" s="58">
        <v>472</v>
      </c>
      <c r="E106" s="59">
        <v>4.1039909573080999E-2</v>
      </c>
    </row>
    <row r="107" spans="2:5" ht="14.5" customHeight="1">
      <c r="B107" s="79" t="s">
        <v>133</v>
      </c>
      <c r="C107" s="62" t="s">
        <v>144</v>
      </c>
      <c r="D107" s="63">
        <v>3</v>
      </c>
      <c r="E107" s="64">
        <v>2.6084688287999997E-4</v>
      </c>
    </row>
    <row r="108" spans="2:5" ht="14.5" customHeight="1">
      <c r="B108" s="81"/>
      <c r="C108" s="62" t="s">
        <v>145</v>
      </c>
      <c r="D108" s="63">
        <v>3</v>
      </c>
      <c r="E108" s="64">
        <v>2.6084688287999997E-4</v>
      </c>
    </row>
    <row r="109" spans="2:5" ht="14.5" customHeight="1">
      <c r="B109" s="80" t="s">
        <v>178</v>
      </c>
      <c r="C109" s="57" t="s">
        <v>28</v>
      </c>
      <c r="D109" s="58">
        <v>6</v>
      </c>
      <c r="E109" s="59">
        <v>5.2169376575899999E-4</v>
      </c>
    </row>
    <row r="110" spans="2:5" ht="14.5" customHeight="1">
      <c r="B110" s="79" t="s">
        <v>134</v>
      </c>
      <c r="C110" s="62" t="s">
        <v>144</v>
      </c>
      <c r="D110" s="63">
        <v>6</v>
      </c>
      <c r="E110" s="64">
        <v>5.2169376575899999E-4</v>
      </c>
    </row>
    <row r="111" spans="2:5" ht="14.5" customHeight="1">
      <c r="B111" s="81"/>
      <c r="C111" s="62" t="s">
        <v>145</v>
      </c>
      <c r="D111" s="63">
        <v>7</v>
      </c>
      <c r="E111" s="64">
        <v>6.0864272671900003E-4</v>
      </c>
    </row>
    <row r="112" spans="2:5" ht="14.5" customHeight="1">
      <c r="B112" s="80" t="s">
        <v>179</v>
      </c>
      <c r="C112" s="57" t="s">
        <v>28</v>
      </c>
      <c r="D112" s="58">
        <v>13</v>
      </c>
      <c r="E112" s="59">
        <v>1.1303364924790001E-3</v>
      </c>
    </row>
    <row r="113" spans="2:5" ht="14.5" customHeight="1">
      <c r="B113" s="79" t="s">
        <v>135</v>
      </c>
      <c r="C113" s="62" t="s">
        <v>144</v>
      </c>
      <c r="D113" s="63">
        <v>29</v>
      </c>
      <c r="E113" s="64">
        <v>2.5215198678380001E-3</v>
      </c>
    </row>
    <row r="114" spans="2:5" ht="14.5" customHeight="1">
      <c r="B114" s="81"/>
      <c r="C114" s="62" t="s">
        <v>145</v>
      </c>
      <c r="D114" s="63">
        <v>31</v>
      </c>
      <c r="E114" s="64">
        <v>2.6954177897570001E-3</v>
      </c>
    </row>
    <row r="115" spans="2:5" ht="14.5" customHeight="1">
      <c r="B115" s="80" t="s">
        <v>180</v>
      </c>
      <c r="C115" s="57" t="s">
        <v>28</v>
      </c>
      <c r="D115" s="58">
        <v>60</v>
      </c>
      <c r="E115" s="59">
        <v>5.2169376575949998E-3</v>
      </c>
    </row>
    <row r="116" spans="2:5" ht="14.5" customHeight="1">
      <c r="B116" s="79" t="s">
        <v>136</v>
      </c>
      <c r="C116" s="62" t="s">
        <v>144</v>
      </c>
      <c r="D116" s="63">
        <v>3</v>
      </c>
      <c r="E116" s="64">
        <v>2.6084688287999997E-4</v>
      </c>
    </row>
    <row r="117" spans="2:5" ht="14.5" customHeight="1">
      <c r="B117" s="81"/>
      <c r="C117" s="62" t="s">
        <v>145</v>
      </c>
      <c r="D117" s="63">
        <v>7</v>
      </c>
      <c r="E117" s="64">
        <v>6.0864272671900003E-4</v>
      </c>
    </row>
    <row r="118" spans="2:5" ht="14.5" customHeight="1">
      <c r="B118" s="80" t="s">
        <v>181</v>
      </c>
      <c r="C118" s="57" t="s">
        <v>28</v>
      </c>
      <c r="D118" s="58">
        <v>10</v>
      </c>
      <c r="E118" s="59">
        <v>8.6948960959899995E-4</v>
      </c>
    </row>
    <row r="119" spans="2:5" ht="14.5" customHeight="1">
      <c r="B119" s="79" t="s">
        <v>137</v>
      </c>
      <c r="C119" s="62" t="s">
        <v>144</v>
      </c>
      <c r="D119" s="63">
        <v>45</v>
      </c>
      <c r="E119" s="64">
        <v>3.9127032431959998E-3</v>
      </c>
    </row>
    <row r="120" spans="2:5" ht="14.5" customHeight="1">
      <c r="B120" s="81"/>
      <c r="C120" s="62" t="s">
        <v>145</v>
      </c>
      <c r="D120" s="63">
        <v>59</v>
      </c>
      <c r="E120" s="64">
        <v>5.1299886966349999E-3</v>
      </c>
    </row>
    <row r="121" spans="2:5" ht="14.5" customHeight="1">
      <c r="B121" s="80" t="s">
        <v>182</v>
      </c>
      <c r="C121" s="57" t="s">
        <v>28</v>
      </c>
      <c r="D121" s="58">
        <v>104</v>
      </c>
      <c r="E121" s="59">
        <v>9.0426919398309998E-3</v>
      </c>
    </row>
    <row r="122" spans="2:5" ht="14.5" customHeight="1">
      <c r="B122" s="79" t="s">
        <v>138</v>
      </c>
      <c r="C122" s="62" t="s">
        <v>144</v>
      </c>
      <c r="D122" s="63">
        <v>3697</v>
      </c>
      <c r="E122" s="64">
        <v>0.32145030866881102</v>
      </c>
    </row>
    <row r="123" spans="2:5" ht="14.5" customHeight="1">
      <c r="B123" s="81"/>
      <c r="C123" s="62" t="s">
        <v>145</v>
      </c>
      <c r="D123" s="63">
        <v>4359</v>
      </c>
      <c r="E123" s="64">
        <v>0.379010520824276</v>
      </c>
    </row>
    <row r="124" spans="2:5" ht="14.5" customHeight="1">
      <c r="B124" s="80" t="s">
        <v>183</v>
      </c>
      <c r="C124" s="57" t="s">
        <v>28</v>
      </c>
      <c r="D124" s="58">
        <v>8056</v>
      </c>
      <c r="E124" s="59">
        <v>0.70046082949308797</v>
      </c>
    </row>
    <row r="125" spans="2:5" ht="14.5" customHeight="1">
      <c r="B125" s="79" t="s">
        <v>139</v>
      </c>
      <c r="C125" s="62" t="s">
        <v>144</v>
      </c>
      <c r="D125" s="63">
        <v>11</v>
      </c>
      <c r="E125" s="64">
        <v>9.56438570559E-4</v>
      </c>
    </row>
    <row r="126" spans="2:5" ht="14.5" customHeight="1">
      <c r="B126" s="81"/>
      <c r="C126" s="62" t="s">
        <v>145</v>
      </c>
      <c r="D126" s="63">
        <v>9</v>
      </c>
      <c r="E126" s="64">
        <v>7.8254064863900001E-4</v>
      </c>
    </row>
    <row r="127" spans="2:5" ht="14.5" customHeight="1">
      <c r="B127" s="80" t="s">
        <v>184</v>
      </c>
      <c r="C127" s="57" t="s">
        <v>28</v>
      </c>
      <c r="D127" s="58">
        <v>20</v>
      </c>
      <c r="E127" s="59">
        <v>1.7389792191979999E-3</v>
      </c>
    </row>
    <row r="128" spans="2:5" ht="14.5" customHeight="1">
      <c r="B128" s="79" t="s">
        <v>140</v>
      </c>
      <c r="C128" s="62" t="s">
        <v>145</v>
      </c>
      <c r="D128" s="63">
        <v>1</v>
      </c>
      <c r="E128" s="64">
        <v>8.6948960960000005E-5</v>
      </c>
    </row>
    <row r="129" spans="2:5" ht="14.5" customHeight="1">
      <c r="B129" s="80"/>
      <c r="C129" s="57" t="s">
        <v>28</v>
      </c>
      <c r="D129" s="58">
        <v>1</v>
      </c>
      <c r="E129" s="59">
        <v>8.6948960960000005E-5</v>
      </c>
    </row>
    <row r="130" spans="2:5" ht="14.5" customHeight="1">
      <c r="B130" s="79" t="s">
        <v>141</v>
      </c>
      <c r="C130" s="62" t="s">
        <v>144</v>
      </c>
      <c r="D130" s="63">
        <v>12</v>
      </c>
      <c r="E130" s="64">
        <v>1.043387531519E-3</v>
      </c>
    </row>
    <row r="131" spans="2:5" ht="14.5" customHeight="1">
      <c r="B131" s="81"/>
      <c r="C131" s="62" t="s">
        <v>145</v>
      </c>
      <c r="D131" s="63">
        <v>8</v>
      </c>
      <c r="E131" s="64">
        <v>6.9559168767899997E-4</v>
      </c>
    </row>
    <row r="132" spans="2:5" ht="14.5" customHeight="1">
      <c r="B132" s="80" t="s">
        <v>185</v>
      </c>
      <c r="C132" s="57" t="s">
        <v>28</v>
      </c>
      <c r="D132" s="58">
        <v>20</v>
      </c>
      <c r="E132" s="59">
        <v>1.7389792191979999E-3</v>
      </c>
    </row>
    <row r="133" spans="2:5" ht="14.5" customHeight="1">
      <c r="B133" s="79" t="s">
        <v>86</v>
      </c>
      <c r="C133" s="62" t="s">
        <v>144</v>
      </c>
      <c r="D133" s="63">
        <v>3</v>
      </c>
      <c r="E133" s="64">
        <v>2.6084688287999997E-4</v>
      </c>
    </row>
    <row r="134" spans="2:5" ht="14.5" customHeight="1">
      <c r="B134" s="81"/>
      <c r="C134" s="62" t="s">
        <v>145</v>
      </c>
      <c r="D134" s="63">
        <v>4</v>
      </c>
      <c r="E134" s="64">
        <v>3.4779584384000002E-4</v>
      </c>
    </row>
    <row r="135" spans="2:5" ht="14.5" customHeight="1">
      <c r="B135" s="80" t="s">
        <v>186</v>
      </c>
      <c r="C135" s="57" t="s">
        <v>28</v>
      </c>
      <c r="D135" s="58">
        <v>7</v>
      </c>
      <c r="E135" s="59">
        <v>6.0864272671900003E-4</v>
      </c>
    </row>
    <row r="136" spans="2:5" ht="14.5" customHeight="1">
      <c r="B136" s="79" t="s">
        <v>142</v>
      </c>
      <c r="C136" s="62" t="s">
        <v>144</v>
      </c>
      <c r="D136" s="63">
        <v>48</v>
      </c>
      <c r="E136" s="64">
        <v>4.1735501260760002E-3</v>
      </c>
    </row>
    <row r="137" spans="2:5" ht="14.5" customHeight="1">
      <c r="B137" s="81"/>
      <c r="C137" s="62" t="s">
        <v>145</v>
      </c>
      <c r="D137" s="63">
        <v>58</v>
      </c>
      <c r="E137" s="64">
        <v>5.0430397356750001E-3</v>
      </c>
    </row>
    <row r="138" spans="2:5" ht="14.5" customHeight="1">
      <c r="B138" s="80" t="s">
        <v>187</v>
      </c>
      <c r="C138" s="57" t="s">
        <v>28</v>
      </c>
      <c r="D138" s="58">
        <v>106</v>
      </c>
      <c r="E138" s="59">
        <v>9.2165898617509994E-3</v>
      </c>
    </row>
    <row r="139" spans="2:5" ht="14.5" customHeight="1">
      <c r="B139" s="79" t="s">
        <v>143</v>
      </c>
      <c r="C139" s="62" t="s">
        <v>144</v>
      </c>
      <c r="D139" s="63">
        <v>8</v>
      </c>
      <c r="E139" s="64">
        <v>6.9559168767899997E-4</v>
      </c>
    </row>
    <row r="140" spans="2:5" ht="14.5" customHeight="1">
      <c r="B140" s="81"/>
      <c r="C140" s="62" t="s">
        <v>145</v>
      </c>
      <c r="D140" s="63">
        <v>8</v>
      </c>
      <c r="E140" s="64">
        <v>6.9559168767899997E-4</v>
      </c>
    </row>
    <row r="141" spans="2:5" ht="14.5" customHeight="1">
      <c r="B141" s="80" t="s">
        <v>188</v>
      </c>
      <c r="C141" s="57" t="s">
        <v>28</v>
      </c>
      <c r="D141" s="58">
        <v>16</v>
      </c>
      <c r="E141" s="59">
        <v>1.391183375359E-3</v>
      </c>
    </row>
    <row r="142" spans="2:5" ht="14.5" customHeight="1">
      <c r="B142" s="91" t="s">
        <v>28</v>
      </c>
      <c r="C142" s="92"/>
      <c r="D142" s="55">
        <v>11501</v>
      </c>
      <c r="E142" s="56">
        <v>1</v>
      </c>
    </row>
    <row r="143" spans="2:5" ht="14.5" customHeight="1"/>
    <row r="144" spans="2:5" ht="14.5" customHeight="1">
      <c r="B144" s="15" t="s">
        <v>97</v>
      </c>
    </row>
    <row r="145" spans="2:2" ht="14.5" customHeight="1">
      <c r="B145" s="17" t="s">
        <v>17</v>
      </c>
    </row>
    <row r="146" spans="2:2" ht="14.5" customHeight="1">
      <c r="B146" s="16" t="s">
        <v>98</v>
      </c>
    </row>
    <row r="147" spans="2:2" ht="14.5" customHeight="1">
      <c r="B147" s="15" t="s">
        <v>16</v>
      </c>
    </row>
    <row r="148" spans="2:2" ht="14.5" customHeight="1">
      <c r="B148" s="15" t="s">
        <v>99</v>
      </c>
    </row>
    <row r="149" spans="2:2" ht="14.5" customHeight="1"/>
  </sheetData>
  <mergeCells count="47">
    <mergeCell ref="B24:B26"/>
    <mergeCell ref="B8:E10"/>
    <mergeCell ref="B13:B15"/>
    <mergeCell ref="B16:B17"/>
    <mergeCell ref="B18:B20"/>
    <mergeCell ref="B21:B23"/>
    <mergeCell ref="B110:B112"/>
    <mergeCell ref="B113:B115"/>
    <mergeCell ref="B116:B118"/>
    <mergeCell ref="B53:B55"/>
    <mergeCell ref="B56:B58"/>
    <mergeCell ref="B59:B61"/>
    <mergeCell ref="B62:B63"/>
    <mergeCell ref="B64:B65"/>
    <mergeCell ref="B66:B68"/>
    <mergeCell ref="B41:B43"/>
    <mergeCell ref="B44:B46"/>
    <mergeCell ref="B47:B49"/>
    <mergeCell ref="B50:B52"/>
    <mergeCell ref="B90:B92"/>
    <mergeCell ref="B87:B89"/>
    <mergeCell ref="B69:B71"/>
    <mergeCell ref="B72:B74"/>
    <mergeCell ref="B75:B77"/>
    <mergeCell ref="B78:B80"/>
    <mergeCell ref="B81:B83"/>
    <mergeCell ref="B35:B37"/>
    <mergeCell ref="B38:B40"/>
    <mergeCell ref="B27:B29"/>
    <mergeCell ref="B30:B32"/>
    <mergeCell ref="B33:B34"/>
    <mergeCell ref="B142:C142"/>
    <mergeCell ref="B84:B86"/>
    <mergeCell ref="B99:B100"/>
    <mergeCell ref="B101:B103"/>
    <mergeCell ref="B104:B106"/>
    <mergeCell ref="B107:B109"/>
    <mergeCell ref="B128:B129"/>
    <mergeCell ref="B130:B132"/>
    <mergeCell ref="B133:B135"/>
    <mergeCell ref="B136:B138"/>
    <mergeCell ref="B139:B141"/>
    <mergeCell ref="B93:B95"/>
    <mergeCell ref="B96:B98"/>
    <mergeCell ref="B119:B121"/>
    <mergeCell ref="B122:B124"/>
    <mergeCell ref="B125:B127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B1:G35"/>
  <sheetViews>
    <sheetView showGridLines="0" view="pageBreakPreview" topLeftCell="A15" zoomScaleNormal="96" zoomScaleSheetLayoutView="100" workbookViewId="0">
      <selection activeCell="E11" sqref="E11"/>
    </sheetView>
  </sheetViews>
  <sheetFormatPr baseColWidth="10" defaultColWidth="11.453125" defaultRowHeight="10"/>
  <cols>
    <col min="1" max="1" width="5.7265625" style="25" customWidth="1"/>
    <col min="2" max="2" width="19" style="41" customWidth="1"/>
    <col min="3" max="3" width="25.1796875" style="41" customWidth="1"/>
    <col min="4" max="4" width="17.1796875" style="44" customWidth="1"/>
    <col min="5" max="5" width="16.54296875" style="44" customWidth="1"/>
    <col min="6" max="6" width="16.54296875" style="41" customWidth="1"/>
    <col min="7" max="7" width="3.6328125" style="25" customWidth="1"/>
    <col min="8" max="16384" width="11.453125" style="25"/>
  </cols>
  <sheetData>
    <row r="1" spans="2:7" s="13" customFormat="1" ht="14.5">
      <c r="B1" s="41"/>
      <c r="C1" s="41"/>
    </row>
    <row r="2" spans="2:7" s="41" customFormat="1">
      <c r="B2" s="50"/>
    </row>
    <row r="3" spans="2:7" ht="15" customHeight="1">
      <c r="B3" s="51"/>
      <c r="C3" s="31"/>
      <c r="D3" s="25"/>
      <c r="E3" s="25"/>
      <c r="G3" s="41"/>
    </row>
    <row r="4" spans="2:7" ht="30" customHeight="1">
      <c r="B4" s="51"/>
      <c r="C4" s="31"/>
      <c r="D4" s="25"/>
      <c r="E4" s="25"/>
      <c r="G4" s="41"/>
    </row>
    <row r="5" spans="2:7" ht="15" customHeight="1">
      <c r="B5" s="51"/>
      <c r="C5" s="31"/>
      <c r="D5" s="25"/>
      <c r="E5" s="25"/>
      <c r="G5" s="41"/>
    </row>
    <row r="6" spans="2:7" s="41" customFormat="1" ht="10.5">
      <c r="B6" s="43"/>
      <c r="C6" s="37"/>
    </row>
    <row r="7" spans="2:7" s="41" customFormat="1">
      <c r="B7" s="50"/>
    </row>
    <row r="8" spans="2:7" s="13" customFormat="1" ht="15" customHeight="1">
      <c r="B8" s="76" t="s">
        <v>33</v>
      </c>
      <c r="C8" s="76"/>
      <c r="D8" s="76"/>
      <c r="E8" s="76"/>
      <c r="F8" s="76"/>
    </row>
    <row r="9" spans="2:7" s="13" customFormat="1" ht="15" customHeight="1">
      <c r="B9" s="76"/>
      <c r="C9" s="76"/>
      <c r="D9" s="76"/>
      <c r="E9" s="76"/>
      <c r="F9" s="76"/>
      <c r="G9" s="49"/>
    </row>
    <row r="10" spans="2:7" s="13" customFormat="1" ht="15" customHeight="1">
      <c r="B10" s="76"/>
      <c r="C10" s="76"/>
      <c r="D10" s="76"/>
      <c r="E10" s="76"/>
      <c r="F10" s="76"/>
    </row>
    <row r="11" spans="2:7" s="13" customFormat="1" ht="15" customHeight="1">
      <c r="B11" s="52"/>
      <c r="C11" s="52"/>
      <c r="D11" s="52"/>
      <c r="E11" s="52"/>
      <c r="F11" s="52"/>
    </row>
    <row r="12" spans="2:7" s="13" customFormat="1" ht="37" customHeight="1">
      <c r="B12" s="54" t="s">
        <v>29</v>
      </c>
      <c r="C12" s="54" t="s">
        <v>32</v>
      </c>
      <c r="D12" s="54" t="s">
        <v>19</v>
      </c>
      <c r="E12" s="54" t="s">
        <v>31</v>
      </c>
      <c r="F12" s="54" t="s">
        <v>30</v>
      </c>
    </row>
    <row r="13" spans="2:7" ht="14.5" customHeight="1">
      <c r="B13" s="79" t="s">
        <v>144</v>
      </c>
      <c r="C13" s="62" t="s">
        <v>251</v>
      </c>
      <c r="D13" s="63">
        <v>33</v>
      </c>
      <c r="E13" s="64">
        <v>6.2965082999430003E-3</v>
      </c>
      <c r="F13" s="64">
        <v>2.8693157116770002E-3</v>
      </c>
    </row>
    <row r="14" spans="2:7" ht="14.5" customHeight="1">
      <c r="B14" s="81"/>
      <c r="C14" s="62" t="s">
        <v>252</v>
      </c>
      <c r="D14" s="63">
        <v>676</v>
      </c>
      <c r="E14" s="64">
        <v>0.12898301850791799</v>
      </c>
      <c r="F14" s="64">
        <v>5.8777497608904002E-2</v>
      </c>
    </row>
    <row r="15" spans="2:7" ht="14.5" customHeight="1">
      <c r="B15" s="81"/>
      <c r="C15" s="62" t="s">
        <v>253</v>
      </c>
      <c r="D15" s="63">
        <v>1367</v>
      </c>
      <c r="E15" s="64">
        <v>0.26082808624308301</v>
      </c>
      <c r="F15" s="64">
        <v>0.11885922963220601</v>
      </c>
    </row>
    <row r="16" spans="2:7" ht="14.5" customHeight="1">
      <c r="B16" s="81"/>
      <c r="C16" s="62" t="s">
        <v>254</v>
      </c>
      <c r="D16" s="63">
        <v>1593</v>
      </c>
      <c r="E16" s="64">
        <v>0.30394962793360097</v>
      </c>
      <c r="F16" s="64">
        <v>0.13850969480914699</v>
      </c>
    </row>
    <row r="17" spans="2:6" ht="14.5" customHeight="1">
      <c r="B17" s="81"/>
      <c r="C17" s="62" t="s">
        <v>255</v>
      </c>
      <c r="D17" s="63">
        <v>1352</v>
      </c>
      <c r="E17" s="64">
        <v>0.25796603701583698</v>
      </c>
      <c r="F17" s="64">
        <v>0.117554995217807</v>
      </c>
    </row>
    <row r="18" spans="2:6" ht="14.5" customHeight="1">
      <c r="B18" s="81"/>
      <c r="C18" s="62" t="s">
        <v>256</v>
      </c>
      <c r="D18" s="63">
        <v>179</v>
      </c>
      <c r="E18" s="64">
        <v>3.4153787445144003E-2</v>
      </c>
      <c r="F18" s="64">
        <v>1.5563864011824999E-2</v>
      </c>
    </row>
    <row r="19" spans="2:6" ht="14.5" customHeight="1">
      <c r="B19" s="81"/>
      <c r="C19" s="62" t="s">
        <v>257</v>
      </c>
      <c r="D19" s="63">
        <v>2</v>
      </c>
      <c r="E19" s="64">
        <v>3.8160656363300002E-4</v>
      </c>
      <c r="F19" s="64">
        <v>1.7389792192000001E-4</v>
      </c>
    </row>
    <row r="20" spans="2:6" ht="14.5" customHeight="1">
      <c r="B20" s="80"/>
      <c r="C20" s="62" t="s">
        <v>258</v>
      </c>
      <c r="D20" s="63">
        <v>39</v>
      </c>
      <c r="E20" s="64">
        <v>7.4413279908409997E-3</v>
      </c>
      <c r="F20" s="64">
        <v>3.391009477437E-3</v>
      </c>
    </row>
    <row r="21" spans="2:6" ht="14.5" customHeight="1">
      <c r="B21" s="79" t="s">
        <v>145</v>
      </c>
      <c r="C21" s="62" t="s">
        <v>251</v>
      </c>
      <c r="D21" s="63">
        <v>24</v>
      </c>
      <c r="E21" s="64">
        <v>3.833865814696E-3</v>
      </c>
      <c r="F21" s="64">
        <v>2.0867750630380001E-3</v>
      </c>
    </row>
    <row r="22" spans="2:6" ht="14.5" customHeight="1">
      <c r="B22" s="81"/>
      <c r="C22" s="62" t="s">
        <v>252</v>
      </c>
      <c r="D22" s="63">
        <v>1055</v>
      </c>
      <c r="E22" s="64">
        <v>0.16853035143770001</v>
      </c>
      <c r="F22" s="64">
        <v>9.1731153812712005E-2</v>
      </c>
    </row>
    <row r="23" spans="2:6" ht="14.5" customHeight="1">
      <c r="B23" s="81"/>
      <c r="C23" s="62" t="s">
        <v>253</v>
      </c>
      <c r="D23" s="63">
        <v>1501</v>
      </c>
      <c r="E23" s="64">
        <v>0.239776357827476</v>
      </c>
      <c r="F23" s="64">
        <v>0.13051039040083501</v>
      </c>
    </row>
    <row r="24" spans="2:6" ht="14.5" customHeight="1">
      <c r="B24" s="81"/>
      <c r="C24" s="62" t="s">
        <v>254</v>
      </c>
      <c r="D24" s="63">
        <v>1857</v>
      </c>
      <c r="E24" s="64">
        <v>0.29664536741214098</v>
      </c>
      <c r="F24" s="64">
        <v>0.16146422050256501</v>
      </c>
    </row>
    <row r="25" spans="2:6" ht="14.5" customHeight="1">
      <c r="B25" s="81"/>
      <c r="C25" s="62" t="s">
        <v>255</v>
      </c>
      <c r="D25" s="63">
        <v>1582</v>
      </c>
      <c r="E25" s="64">
        <v>0.25271565495207698</v>
      </c>
      <c r="F25" s="64">
        <v>0.137553256238588</v>
      </c>
    </row>
    <row r="26" spans="2:6" ht="14.5" customHeight="1">
      <c r="B26" s="81"/>
      <c r="C26" s="62" t="s">
        <v>256</v>
      </c>
      <c r="D26" s="63">
        <v>187</v>
      </c>
      <c r="E26" s="64">
        <v>2.9872204472843E-2</v>
      </c>
      <c r="F26" s="64">
        <v>1.6259455699503999E-2</v>
      </c>
    </row>
    <row r="27" spans="2:6" ht="14.5" customHeight="1">
      <c r="B27" s="81"/>
      <c r="C27" s="62" t="s">
        <v>257</v>
      </c>
      <c r="D27" s="63">
        <v>2</v>
      </c>
      <c r="E27" s="64">
        <v>3.1948881789099998E-4</v>
      </c>
      <c r="F27" s="64">
        <v>1.7389792192000001E-4</v>
      </c>
    </row>
    <row r="28" spans="2:6" ht="14.5" customHeight="1">
      <c r="B28" s="80"/>
      <c r="C28" s="62" t="s">
        <v>258</v>
      </c>
      <c r="D28" s="63">
        <v>52</v>
      </c>
      <c r="E28" s="64">
        <v>8.3067092651759999E-3</v>
      </c>
      <c r="F28" s="64">
        <v>4.5213459699160003E-3</v>
      </c>
    </row>
    <row r="29" spans="2:6" ht="14.5" customHeight="1">
      <c r="B29" s="91" t="s">
        <v>28</v>
      </c>
      <c r="C29" s="92"/>
      <c r="D29" s="55">
        <v>11501</v>
      </c>
      <c r="E29" s="56">
        <v>1</v>
      </c>
      <c r="F29" s="56">
        <v>1</v>
      </c>
    </row>
    <row r="30" spans="2:6" ht="14.5" customHeight="1"/>
    <row r="31" spans="2:6" ht="14.5" customHeight="1">
      <c r="B31" s="15" t="s">
        <v>97</v>
      </c>
    </row>
    <row r="32" spans="2:6" ht="14.5" customHeight="1">
      <c r="B32" s="17" t="s">
        <v>17</v>
      </c>
    </row>
    <row r="33" spans="2:2" ht="14.5" customHeight="1">
      <c r="B33" s="16" t="s">
        <v>98</v>
      </c>
    </row>
    <row r="34" spans="2:2" ht="14.5" customHeight="1">
      <c r="B34" s="15" t="s">
        <v>16</v>
      </c>
    </row>
    <row r="35" spans="2:2" ht="14.5" customHeight="1">
      <c r="B35" s="15" t="s">
        <v>99</v>
      </c>
    </row>
  </sheetData>
  <mergeCells count="4">
    <mergeCell ref="B13:B20"/>
    <mergeCell ref="B21:B28"/>
    <mergeCell ref="B8:F10"/>
    <mergeCell ref="B29:C29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B1:D66"/>
  <sheetViews>
    <sheetView showGridLines="0" view="pageBreakPreview" zoomScale="115" zoomScaleNormal="85" zoomScaleSheetLayoutView="115" workbookViewId="0">
      <selection activeCell="B7" sqref="B7:D9"/>
    </sheetView>
  </sheetViews>
  <sheetFormatPr baseColWidth="10" defaultColWidth="11.453125" defaultRowHeight="14.5"/>
  <cols>
    <col min="1" max="1" width="9.26953125" style="13" customWidth="1"/>
    <col min="2" max="2" width="45.269531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1.3632812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76" t="s">
        <v>353</v>
      </c>
      <c r="C7" s="76"/>
      <c r="D7" s="76"/>
    </row>
    <row r="8" spans="2:4" s="25" customFormat="1" ht="15" customHeight="1">
      <c r="B8" s="76"/>
      <c r="C8" s="76"/>
      <c r="D8" s="76"/>
    </row>
    <row r="9" spans="2:4" s="25" customFormat="1" ht="33" customHeight="1">
      <c r="B9" s="76"/>
      <c r="C9" s="76"/>
      <c r="D9" s="76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34</v>
      </c>
      <c r="C11" s="27" t="s">
        <v>19</v>
      </c>
      <c r="D11" s="26" t="s">
        <v>18</v>
      </c>
    </row>
    <row r="12" spans="2:4">
      <c r="B12" s="23" t="s">
        <v>259</v>
      </c>
      <c r="C12" s="22">
        <v>6026</v>
      </c>
      <c r="D12" s="21">
        <v>0.52395443874445702</v>
      </c>
    </row>
    <row r="13" spans="2:4">
      <c r="B13" s="23" t="s">
        <v>260</v>
      </c>
      <c r="C13" s="22">
        <v>2864</v>
      </c>
      <c r="D13" s="21">
        <v>0.24902182418920099</v>
      </c>
    </row>
    <row r="14" spans="2:4">
      <c r="B14" s="23" t="s">
        <v>261</v>
      </c>
      <c r="C14" s="22">
        <v>515</v>
      </c>
      <c r="D14" s="21">
        <v>4.4778714894357002E-2</v>
      </c>
    </row>
    <row r="15" spans="2:4">
      <c r="B15" s="23" t="s">
        <v>262</v>
      </c>
      <c r="C15" s="22">
        <v>497</v>
      </c>
      <c r="D15" s="21">
        <v>4.3213633597078999E-2</v>
      </c>
    </row>
    <row r="16" spans="2:4" ht="15" customHeight="1">
      <c r="B16" s="23" t="s">
        <v>263</v>
      </c>
      <c r="C16" s="22">
        <v>483</v>
      </c>
      <c r="D16" s="21">
        <v>4.1996348143639999E-2</v>
      </c>
    </row>
    <row r="17" spans="2:4" ht="15" customHeight="1">
      <c r="B17" s="23" t="s">
        <v>264</v>
      </c>
      <c r="C17" s="22">
        <v>122</v>
      </c>
      <c r="D17" s="21">
        <v>1.0607773237109999E-2</v>
      </c>
    </row>
    <row r="18" spans="2:4">
      <c r="B18" s="23" t="s">
        <v>265</v>
      </c>
      <c r="C18" s="22">
        <v>117</v>
      </c>
      <c r="D18" s="21">
        <v>1.0173028432309999E-2</v>
      </c>
    </row>
    <row r="19" spans="2:4">
      <c r="B19" s="23" t="s">
        <v>266</v>
      </c>
      <c r="C19" s="22">
        <v>82</v>
      </c>
      <c r="D19" s="21">
        <v>7.1298147987130002E-3</v>
      </c>
    </row>
    <row r="20" spans="2:4">
      <c r="B20" s="23" t="s">
        <v>267</v>
      </c>
      <c r="C20" s="22">
        <v>74</v>
      </c>
      <c r="D20" s="21">
        <v>6.4342231110339999E-3</v>
      </c>
    </row>
    <row r="21" spans="2:4">
      <c r="B21" s="23" t="s">
        <v>268</v>
      </c>
      <c r="C21" s="22">
        <v>71</v>
      </c>
      <c r="D21" s="21">
        <v>6.1733762281540004E-3</v>
      </c>
    </row>
    <row r="22" spans="2:4">
      <c r="B22" s="23" t="s">
        <v>269</v>
      </c>
      <c r="C22" s="22">
        <v>62</v>
      </c>
      <c r="D22" s="21">
        <v>5.3908355795150003E-3</v>
      </c>
    </row>
    <row r="23" spans="2:4">
      <c r="B23" s="23" t="s">
        <v>270</v>
      </c>
      <c r="C23" s="22">
        <v>59</v>
      </c>
      <c r="D23" s="21">
        <v>5.1299886966349999E-3</v>
      </c>
    </row>
    <row r="24" spans="2:4">
      <c r="B24" s="23" t="s">
        <v>271</v>
      </c>
      <c r="C24" s="22">
        <v>53</v>
      </c>
      <c r="D24" s="21">
        <v>4.6082949308760002E-3</v>
      </c>
    </row>
    <row r="25" spans="2:4">
      <c r="B25" s="23" t="s">
        <v>272</v>
      </c>
      <c r="C25" s="22">
        <v>50</v>
      </c>
      <c r="D25" s="21">
        <v>4.3474480479959998E-3</v>
      </c>
    </row>
    <row r="26" spans="2:4">
      <c r="B26" s="23" t="s">
        <v>273</v>
      </c>
      <c r="C26" s="22">
        <v>46</v>
      </c>
      <c r="D26" s="21">
        <v>3.9996522041559996E-3</v>
      </c>
    </row>
    <row r="27" spans="2:4">
      <c r="B27" s="23" t="s">
        <v>274</v>
      </c>
      <c r="C27" s="22">
        <v>44</v>
      </c>
      <c r="D27" s="21">
        <v>3.825754282236E-3</v>
      </c>
    </row>
    <row r="28" spans="2:4">
      <c r="B28" s="23" t="s">
        <v>275</v>
      </c>
      <c r="C28" s="22">
        <v>43</v>
      </c>
      <c r="D28" s="21">
        <v>3.7388053212760002E-3</v>
      </c>
    </row>
    <row r="29" spans="2:4">
      <c r="B29" s="23" t="s">
        <v>276</v>
      </c>
      <c r="C29" s="22">
        <v>42</v>
      </c>
      <c r="D29" s="21">
        <v>3.6518563603159999E-3</v>
      </c>
    </row>
    <row r="30" spans="2:4">
      <c r="B30" s="23" t="s">
        <v>277</v>
      </c>
      <c r="C30" s="22">
        <v>40</v>
      </c>
      <c r="D30" s="21">
        <v>3.4779584383969999E-3</v>
      </c>
    </row>
    <row r="31" spans="2:4">
      <c r="B31" s="23" t="s">
        <v>278</v>
      </c>
      <c r="C31" s="22">
        <v>27</v>
      </c>
      <c r="D31" s="21">
        <v>2.347621945918E-3</v>
      </c>
    </row>
    <row r="32" spans="2:4">
      <c r="B32" s="23" t="s">
        <v>279</v>
      </c>
      <c r="C32" s="22">
        <v>27</v>
      </c>
      <c r="D32" s="21">
        <v>2.347621945918E-3</v>
      </c>
    </row>
    <row r="33" spans="2:4">
      <c r="B33" s="23" t="s">
        <v>280</v>
      </c>
      <c r="C33" s="22">
        <v>21</v>
      </c>
      <c r="D33" s="21">
        <v>1.8259281801579999E-3</v>
      </c>
    </row>
    <row r="34" spans="2:4">
      <c r="B34" s="23" t="s">
        <v>281</v>
      </c>
      <c r="C34" s="22">
        <v>17</v>
      </c>
      <c r="D34" s="21">
        <v>1.4781323363190001E-3</v>
      </c>
    </row>
    <row r="35" spans="2:4">
      <c r="B35" s="23" t="s">
        <v>282</v>
      </c>
      <c r="C35" s="22">
        <v>14</v>
      </c>
      <c r="D35" s="21">
        <v>1.2172854534389999E-3</v>
      </c>
    </row>
    <row r="36" spans="2:4">
      <c r="B36" s="23" t="s">
        <v>283</v>
      </c>
      <c r="C36" s="22">
        <v>12</v>
      </c>
      <c r="D36" s="21">
        <v>1.043387531519E-3</v>
      </c>
    </row>
    <row r="37" spans="2:4">
      <c r="B37" s="23" t="s">
        <v>284</v>
      </c>
      <c r="C37" s="22">
        <v>10</v>
      </c>
      <c r="D37" s="21">
        <v>8.6948960959899995E-4</v>
      </c>
    </row>
    <row r="38" spans="2:4">
      <c r="B38" s="23" t="s">
        <v>285</v>
      </c>
      <c r="C38" s="22">
        <v>8</v>
      </c>
      <c r="D38" s="21">
        <v>6.9559168767899997E-4</v>
      </c>
    </row>
    <row r="39" spans="2:4">
      <c r="B39" s="23" t="s">
        <v>286</v>
      </c>
      <c r="C39" s="22">
        <v>8</v>
      </c>
      <c r="D39" s="21">
        <v>6.9559168767899997E-4</v>
      </c>
    </row>
    <row r="40" spans="2:4">
      <c r="B40" s="23" t="s">
        <v>287</v>
      </c>
      <c r="C40" s="22">
        <v>8</v>
      </c>
      <c r="D40" s="21">
        <v>6.9559168767899997E-4</v>
      </c>
    </row>
    <row r="41" spans="2:4">
      <c r="B41" s="23" t="s">
        <v>288</v>
      </c>
      <c r="C41" s="22">
        <v>6</v>
      </c>
      <c r="D41" s="21">
        <v>5.2169376575899999E-4</v>
      </c>
    </row>
    <row r="42" spans="2:4">
      <c r="B42" s="23" t="s">
        <v>289</v>
      </c>
      <c r="C42" s="22">
        <v>6</v>
      </c>
      <c r="D42" s="21">
        <v>5.2169376575899999E-4</v>
      </c>
    </row>
    <row r="43" spans="2:4">
      <c r="B43" s="23" t="s">
        <v>290</v>
      </c>
      <c r="C43" s="22">
        <v>6</v>
      </c>
      <c r="D43" s="21">
        <v>5.2169376575899999E-4</v>
      </c>
    </row>
    <row r="44" spans="2:4">
      <c r="B44" s="23" t="s">
        <v>291</v>
      </c>
      <c r="C44" s="22">
        <v>5</v>
      </c>
      <c r="D44" s="21">
        <v>4.3474480480000001E-4</v>
      </c>
    </row>
    <row r="45" spans="2:4">
      <c r="B45" s="23" t="s">
        <v>292</v>
      </c>
      <c r="C45" s="22">
        <v>5</v>
      </c>
      <c r="D45" s="21">
        <v>4.3474480480000001E-4</v>
      </c>
    </row>
    <row r="46" spans="2:4">
      <c r="B46" s="23" t="s">
        <v>293</v>
      </c>
      <c r="C46" s="22">
        <v>5</v>
      </c>
      <c r="D46" s="21">
        <v>4.3474480480000001E-4</v>
      </c>
    </row>
    <row r="47" spans="2:4">
      <c r="B47" s="23" t="s">
        <v>294</v>
      </c>
      <c r="C47" s="22">
        <v>5</v>
      </c>
      <c r="D47" s="21">
        <v>4.3474480480000001E-4</v>
      </c>
    </row>
    <row r="48" spans="2:4">
      <c r="B48" s="23" t="s">
        <v>295</v>
      </c>
      <c r="C48" s="22">
        <v>4</v>
      </c>
      <c r="D48" s="21">
        <v>3.4779584384000002E-4</v>
      </c>
    </row>
    <row r="49" spans="2:4">
      <c r="B49" s="23" t="s">
        <v>296</v>
      </c>
      <c r="C49" s="22">
        <v>4</v>
      </c>
      <c r="D49" s="21">
        <v>3.4779584384000002E-4</v>
      </c>
    </row>
    <row r="50" spans="2:4">
      <c r="B50" s="23" t="s">
        <v>297</v>
      </c>
      <c r="C50" s="22">
        <v>2</v>
      </c>
      <c r="D50" s="21">
        <v>1.7389792192000001E-4</v>
      </c>
    </row>
    <row r="51" spans="2:4">
      <c r="B51" s="23" t="s">
        <v>298</v>
      </c>
      <c r="C51" s="22">
        <v>2</v>
      </c>
      <c r="D51" s="21">
        <v>1.7389792192000001E-4</v>
      </c>
    </row>
    <row r="52" spans="2:4">
      <c r="B52" s="23" t="s">
        <v>299</v>
      </c>
      <c r="C52" s="22">
        <v>2</v>
      </c>
      <c r="D52" s="21">
        <v>1.7389792192000001E-4</v>
      </c>
    </row>
    <row r="53" spans="2:4">
      <c r="B53" s="23" t="s">
        <v>300</v>
      </c>
      <c r="C53" s="22">
        <v>1</v>
      </c>
      <c r="D53" s="21">
        <v>8.6948960960000005E-5</v>
      </c>
    </row>
    <row r="54" spans="2:4">
      <c r="B54" s="23" t="s">
        <v>301</v>
      </c>
      <c r="C54" s="22">
        <v>1</v>
      </c>
      <c r="D54" s="21">
        <v>8.6948960960000005E-5</v>
      </c>
    </row>
    <row r="55" spans="2:4">
      <c r="B55" s="23" t="s">
        <v>302</v>
      </c>
      <c r="C55" s="22">
        <v>1</v>
      </c>
      <c r="D55" s="21">
        <v>8.6948960960000005E-5</v>
      </c>
    </row>
    <row r="56" spans="2:4">
      <c r="B56" s="23" t="s">
        <v>303</v>
      </c>
      <c r="C56" s="22">
        <v>1</v>
      </c>
      <c r="D56" s="21">
        <v>8.6948960960000005E-5</v>
      </c>
    </row>
    <row r="57" spans="2:4">
      <c r="B57" s="23" t="s">
        <v>304</v>
      </c>
      <c r="C57" s="22">
        <v>1</v>
      </c>
      <c r="D57" s="21">
        <v>8.6948960960000005E-5</v>
      </c>
    </row>
    <row r="58" spans="2:4">
      <c r="B58" s="23" t="s">
        <v>305</v>
      </c>
      <c r="C58" s="22">
        <v>1</v>
      </c>
      <c r="D58" s="21">
        <v>8.6948960960000005E-5</v>
      </c>
    </row>
    <row r="59" spans="2:4">
      <c r="B59" s="23" t="s">
        <v>306</v>
      </c>
      <c r="C59" s="22">
        <v>1</v>
      </c>
      <c r="D59" s="21">
        <v>8.6948960960000005E-5</v>
      </c>
    </row>
    <row r="60" spans="2:4">
      <c r="B60" s="20" t="s">
        <v>28</v>
      </c>
      <c r="C60" s="19">
        <v>11501</v>
      </c>
      <c r="D60" s="18">
        <v>1</v>
      </c>
    </row>
    <row r="62" spans="2:4">
      <c r="B62" s="15" t="s">
        <v>97</v>
      </c>
    </row>
    <row r="63" spans="2:4">
      <c r="B63" s="17" t="s">
        <v>17</v>
      </c>
    </row>
    <row r="64" spans="2:4">
      <c r="B64" s="16" t="s">
        <v>98</v>
      </c>
    </row>
    <row r="65" spans="2:2">
      <c r="B65" s="15" t="s">
        <v>16</v>
      </c>
    </row>
    <row r="66" spans="2:2">
      <c r="B66" s="15" t="s">
        <v>99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22</vt:i4>
      </vt:variant>
    </vt:vector>
  </HeadingPairs>
  <TitlesOfParts>
    <vt:vector size="37" baseType="lpstr">
      <vt:lpstr>Índice</vt:lpstr>
      <vt:lpstr>Coahuila_EdoUsa</vt:lpstr>
      <vt:lpstr>Coahuila_Cons</vt:lpstr>
      <vt:lpstr>CoahuilaXCons</vt:lpstr>
      <vt:lpstr>Coahuila_EdoMun</vt:lpstr>
      <vt:lpstr>Coahuila_USAMuni</vt:lpstr>
      <vt:lpstr>Coahuila_MUNICIPIO</vt:lpstr>
      <vt:lpstr>Coahuila_educ_gral</vt:lpstr>
      <vt:lpstr>Coahuila_NivelE_Cons</vt:lpstr>
      <vt:lpstr>Coahuila_EducCons</vt:lpstr>
      <vt:lpstr>Coahuila_GenGral</vt:lpstr>
      <vt:lpstr>Coahuila_GENERO</vt:lpstr>
      <vt:lpstr>Coahuila_GENERO_EUA</vt:lpstr>
      <vt:lpstr>Coahuila_Gen_Edad</vt:lpstr>
      <vt:lpstr>Coahuila_ocup_gral</vt:lpstr>
      <vt:lpstr>Coahuila_educ_gral!Área_de_impresión</vt:lpstr>
      <vt:lpstr>Coahuila_EducCons!Área_de_impresión</vt:lpstr>
      <vt:lpstr>Coahuila_GENERO_EUA!Área_de_impresión</vt:lpstr>
      <vt:lpstr>Coahuila_GenGral!Área_de_impresión</vt:lpstr>
      <vt:lpstr>Coahuila_MUNICIPIO!Área_de_impresión</vt:lpstr>
      <vt:lpstr>Coahuila_NivelE_Cons!Área_de_impresión</vt:lpstr>
      <vt:lpstr>Coahuila_USAMuni!Área_de_impresión</vt:lpstr>
      <vt:lpstr>CoahuilaXCons!Área_de_impresión</vt:lpstr>
      <vt:lpstr>Coahuila_Cons!Títulos_a_imprimir</vt:lpstr>
      <vt:lpstr>Coahuila_EdoMun!Títulos_a_imprimir</vt:lpstr>
      <vt:lpstr>Coahuila_EdoUsa!Títulos_a_imprimir</vt:lpstr>
      <vt:lpstr>Coahuila_educ_gral!Títulos_a_imprimir</vt:lpstr>
      <vt:lpstr>Coahuila_EducCons!Títulos_a_imprimir</vt:lpstr>
      <vt:lpstr>Coahuila_Gen_Edad!Títulos_a_imprimir</vt:lpstr>
      <vt:lpstr>Coahuila_GENERO!Títulos_a_imprimir</vt:lpstr>
      <vt:lpstr>Coahuila_GENERO_EUA!Títulos_a_imprimir</vt:lpstr>
      <vt:lpstr>Coahuila_GenGral!Títulos_a_imprimir</vt:lpstr>
      <vt:lpstr>Coahuila_MUNICIPIO!Títulos_a_imprimir</vt:lpstr>
      <vt:lpstr>Coahuila_NivelE_Cons!Títulos_a_imprimir</vt:lpstr>
      <vt:lpstr>Coahuila_ocup_gral!Títulos_a_imprimir</vt:lpstr>
      <vt:lpstr>Coahuila_USAMuni!Títulos_a_imprimir</vt:lpstr>
      <vt:lpstr>CoahuilaXCons!Títulos_a_imprimir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Soto Ramírez, Edith</cp:lastModifiedBy>
  <dcterms:created xsi:type="dcterms:W3CDTF">2020-06-02T22:46:57Z</dcterms:created>
  <dcterms:modified xsi:type="dcterms:W3CDTF">2024-12-26T14:34:59Z</dcterms:modified>
</cp:coreProperties>
</file>