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14ED7CD1-15D6-4EC2-BC51-CEADCAAC07E6}" xr6:coauthVersionLast="47" xr6:coauthVersionMax="47" xr10:uidLastSave="{00000000-0000-0000-0000-000000000000}"/>
  <bookViews>
    <workbookView xWindow="-120" yWindow="-120" windowWidth="29040" windowHeight="15840" firstSheet="11" activeTab="14" xr2:uid="{00000000-000D-0000-FFFF-FFFF00000000}"/>
  </bookViews>
  <sheets>
    <sheet name="Índice" sheetId="1" r:id="rId1"/>
    <sheet name="Nayarit_EdoUsa" sheetId="2" r:id="rId2"/>
    <sheet name="Nayarit_Cons" sheetId="15" r:id="rId3"/>
    <sheet name="NayaritXCons" sheetId="16" r:id="rId4"/>
    <sheet name="Nayarit_EdoMun" sheetId="5" r:id="rId5"/>
    <sheet name="Nayarit_USAMuni" sheetId="6" r:id="rId6"/>
    <sheet name="Nayarit_MUNICIPIO" sheetId="7" r:id="rId7"/>
    <sheet name="Nayarit_educ_gral" sheetId="8" r:id="rId8"/>
    <sheet name="Nayarit_NivelE_Cons" sheetId="9" r:id="rId9"/>
    <sheet name="Nayarit_EducCons" sheetId="10" r:id="rId10"/>
    <sheet name="Nayarit_GenGral" sheetId="11" r:id="rId11"/>
    <sheet name="Nayarit_GENERO" sheetId="12" r:id="rId12"/>
    <sheet name="Nayarit_GENERO_EUA" sheetId="17" r:id="rId13"/>
    <sheet name="Nayarit_Gen_Edad" sheetId="13" r:id="rId14"/>
    <sheet name="Nayarit_ocup_gral" sheetId="14" r:id="rId15"/>
  </sheets>
  <definedNames>
    <definedName name="_xlnm._FilterDatabase" localSheetId="2" hidden="1">Nayarit_Cons!$B$11:$D$11</definedName>
    <definedName name="_xlnm._FilterDatabase" localSheetId="4" hidden="1">Nayarit_EdoMun!$B$11:$D$11</definedName>
    <definedName name="_xlnm._FilterDatabase" localSheetId="1" hidden="1">Nayarit_EdoUsa!$B$11:$D$11</definedName>
    <definedName name="_xlnm._FilterDatabase" localSheetId="7" hidden="1">Nayarit_educ_gral!$B$11:$D$11</definedName>
    <definedName name="_xlnm._FilterDatabase" localSheetId="9" hidden="1">Nayarit_EducCons!$B$9:$E$9</definedName>
    <definedName name="_xlnm._FilterDatabase" localSheetId="11" hidden="1">Nayarit_GENERO!$B$12:$E$12</definedName>
    <definedName name="_xlnm._FilterDatabase" localSheetId="12" hidden="1">Nayarit_GENERO_EUA!$B$12:$E$12</definedName>
    <definedName name="_xlnm._FilterDatabase" localSheetId="10" hidden="1">Nayarit_GenGral!$B$11:$D$11</definedName>
    <definedName name="_xlnm._FilterDatabase" localSheetId="6" hidden="1">Nayarit_MUNICIPIO!$B$9:$E$9</definedName>
    <definedName name="_xlnm._FilterDatabase" localSheetId="8" hidden="1">Nayarit_NivelE_Cons!$B$9:$E$9</definedName>
    <definedName name="_xlnm._FilterDatabase" localSheetId="14" hidden="1">Nayarit_ocup_gral!$B$11:$D$11</definedName>
    <definedName name="_xlnm._FilterDatabase" localSheetId="5" hidden="1">Nayarit_USAMuni!$B$9:$E$9</definedName>
    <definedName name="_xlnm._FilterDatabase" localSheetId="3" hidden="1">NayaritXCons!$B$11:$D$11</definedName>
    <definedName name="_xlnm.Print_Area" localSheetId="4">Nayarit_EdoMun!$A$1:$F$39</definedName>
    <definedName name="_xlnm.Print_Area" localSheetId="7">Nayarit_educ_gral!$A$1:$E$40</definedName>
    <definedName name="_xlnm.Print_Area" localSheetId="9">Nayarit_EducCons!$A$1:$E$682</definedName>
    <definedName name="_xlnm.Print_Area" localSheetId="6">Nayarit_MUNICIPIO!$A$1:$E$713</definedName>
    <definedName name="_xlnm.Print_Area" localSheetId="8">Nayarit_NivelE_Cons!$A$1:$E$496</definedName>
    <definedName name="_xlnm.Print_Area" localSheetId="14">Nayarit_ocup_gral!$A$1:$D$58</definedName>
    <definedName name="_xlnm.Print_Area" localSheetId="5">Nayarit_USAMuni!$A$1:$E$550</definedName>
    <definedName name="_xlnm.Print_Area" localSheetId="3">NayaritXCons!$A$1:$F$29</definedName>
    <definedName name="_xlnm.Print_Titles" localSheetId="2">Nayarit_Cons!$1:$11</definedName>
    <definedName name="_xlnm.Print_Titles" localSheetId="4">Nayarit_EdoMun!$1:$11</definedName>
    <definedName name="_xlnm.Print_Titles" localSheetId="1">Nayarit_EdoUsa!$1:$11</definedName>
    <definedName name="_xlnm.Print_Titles" localSheetId="7">Nayarit_educ_gral!$1:$11</definedName>
    <definedName name="_xlnm.Print_Titles" localSheetId="9">Nayarit_EducCons!$1:$9</definedName>
    <definedName name="_xlnm.Print_Titles" localSheetId="13">Nayarit_Gen_Edad!$1:$12</definedName>
    <definedName name="_xlnm.Print_Titles" localSheetId="11">Nayarit_GENERO!$1:$12</definedName>
    <definedName name="_xlnm.Print_Titles" localSheetId="12">Nayarit_GENERO_EUA!$1:$12</definedName>
    <definedName name="_xlnm.Print_Titles" localSheetId="10">Nayarit_GenGral!$1:$11</definedName>
    <definedName name="_xlnm.Print_Titles" localSheetId="6">Nayarit_MUNICIPIO!$1:$9</definedName>
    <definedName name="_xlnm.Print_Titles" localSheetId="8">Nayarit_NivelE_Cons!$1:$9</definedName>
    <definedName name="_xlnm.Print_Titles" localSheetId="14">Nayarit_ocup_gral!$1:$11</definedName>
    <definedName name="_xlnm.Print_Titles" localSheetId="5">Nayarit_USAMuni!$1:$9</definedName>
    <definedName name="_xlnm.Print_Titles" localSheetId="3">NayaritXCons!$1:$11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6" l="1"/>
  <c r="D20" i="16"/>
  <c r="D19" i="16"/>
  <c r="D18" i="16"/>
  <c r="D17" i="16"/>
  <c r="D16" i="16"/>
  <c r="D15" i="16"/>
  <c r="D14" i="16"/>
  <c r="D13" i="16"/>
  <c r="D12" i="16"/>
  <c r="C22" i="16"/>
  <c r="D22" i="16" s="1"/>
</calcChain>
</file>

<file path=xl/sharedStrings.xml><?xml version="1.0" encoding="utf-8"?>
<sst xmlns="http://schemas.openxmlformats.org/spreadsheetml/2006/main" count="3384" uniqueCount="329">
  <si>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</si>
  <si>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</si>
  <si>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</si>
  <si>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</si>
  <si>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</si>
  <si>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</si>
  <si>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</si>
  <si>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</si>
  <si>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</si>
  <si>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</si>
  <si>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</si>
  <si>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</si>
  <si>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</si>
  <si>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</si>
  <si>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</si>
  <si>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</si>
  <si>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</si>
  <si>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</si>
  <si>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</si>
  <si>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</si>
  <si>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</si>
  <si>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</si>
  <si>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</si>
  <si>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</si>
  <si>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</si>
  <si>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</si>
  <si>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</si>
  <si>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</si>
  <si>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</si>
  <si>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</si>
  <si>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</si>
  <si>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</si>
  <si>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</si>
  <si>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</si>
  <si>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Ocupación</t>
  </si>
  <si>
    <t>5.3 Por Estado de la Unión Americana</t>
  </si>
  <si>
    <t>MATRÍCULAS CONSULARES DE ALTA SEGURIDAD EXPEDIDAS A ORIGINARIOS DE NAYARIT EN LOS CONSULADOS DE MÉXICO EN EE.UU.</t>
  </si>
  <si>
    <t xml:space="preserve">MATRÍCULAS CONSULARES EXPEDIDAS A ORIGINARIOS DE NAYARIT POR GÉNERO EN EE.UU </t>
  </si>
  <si>
    <t>MATRÍCULAS CONSULARES EXPEDIDAS EN EE.UU. A ORIGINARIOS DE NAYARIT POR NIVEL DE EDUCACIÓN</t>
  </si>
  <si>
    <t>MATRÍCULAS CONSULARES EXPEDIDAS A ORIGINARIOS DE NAYARIT POR GÉNERO Y CONSULADO</t>
  </si>
  <si>
    <t>MATRÍCULAS CONSULARES EXPEDIDAS A ORIGINARIOS DE NAYARIT POR GÉNERO Y POR ESTADO DE LA UNIÓN AMERICANA</t>
  </si>
  <si>
    <t>MATRÍCULAS CONSULARES DE ALTA SEGURIDAD EXPEDIDAS POR MUNICIPIO A ORIGINARIOS DEL ESTADO DE NAYARIT EN LOS CONSULADOS DE MÉXICO EN EE.UU.</t>
  </si>
  <si>
    <t>MATRÍCULAS CONSULARES DE ALTA SEGURIDAD EXPEDIDAS A ORIGINARIOS DE NAYARIT POR ESTADO DE LA UNIÓN AMERICANA</t>
  </si>
  <si>
    <t>LOS 10 CONSULADOS  DE MÉXICO EN EE.UU., CON MAYOR NÚMERO DE EXPEDICIÓN DE  MATRÍCULAS CONSULARES DE ALTA SEGURIDAD A ORIGINARIOS DE NAYARIT</t>
  </si>
  <si>
    <t>TOTAL TOP 10</t>
  </si>
  <si>
    <t>TOTAL GENERAL</t>
  </si>
  <si>
    <t xml:space="preserve">  Matrículas consulares expedidas a originarios de Nayarit en el 2023</t>
  </si>
  <si>
    <t>Tamaño de la muestra: 789,030</t>
  </si>
  <si>
    <t>Elaborado por: Análisis de Información, Instituto de Mexicanas y Mexicanos en el Exterior</t>
  </si>
  <si>
    <t>Noviembre de 2024</t>
  </si>
  <si>
    <t>LOS ANGELES</t>
  </si>
  <si>
    <t>FRESNO</t>
  </si>
  <si>
    <t>SAN BERNARDINO</t>
  </si>
  <si>
    <t>LAS VEGAS</t>
  </si>
  <si>
    <t>SACRAMENTO</t>
  </si>
  <si>
    <t>SANTA ANA</t>
  </si>
  <si>
    <t>SAN JOSE</t>
  </si>
  <si>
    <t>SAN DIEGO</t>
  </si>
  <si>
    <t>CHICAGO</t>
  </si>
  <si>
    <t>PHOENIX</t>
  </si>
  <si>
    <t>DENVER</t>
  </si>
  <si>
    <t>RALEIGH</t>
  </si>
  <si>
    <t>SAINT PAUL</t>
  </si>
  <si>
    <t>BOISE</t>
  </si>
  <si>
    <t>SAN FRANCISCO</t>
  </si>
  <si>
    <t>DALLAS</t>
  </si>
  <si>
    <t>ATLANTA</t>
  </si>
  <si>
    <t>PORTLAND</t>
  </si>
  <si>
    <t>SALT LAKE CITY</t>
  </si>
  <si>
    <t>HOUSTON</t>
  </si>
  <si>
    <t>ORLANDO</t>
  </si>
  <si>
    <t>OXNARD</t>
  </si>
  <si>
    <t>INDIANAPOLIS</t>
  </si>
  <si>
    <t>KANSAS CITY</t>
  </si>
  <si>
    <t>LITTLE ROCK</t>
  </si>
  <si>
    <t>SEATTLE</t>
  </si>
  <si>
    <t>OKLAHOMA CITY</t>
  </si>
  <si>
    <t>OMAHA</t>
  </si>
  <si>
    <t>DETROIT</t>
  </si>
  <si>
    <t>FILADELFIA</t>
  </si>
  <si>
    <t>AUSTIN</t>
  </si>
  <si>
    <t>MILWAUKEE</t>
  </si>
  <si>
    <t>WASHINGTON</t>
  </si>
  <si>
    <t>TUCSON</t>
  </si>
  <si>
    <t>ALBUQUERQUE</t>
  </si>
  <si>
    <t>MCALLEN</t>
  </si>
  <si>
    <t>MIAMI</t>
  </si>
  <si>
    <t>NUEVA ORLEANS</t>
  </si>
  <si>
    <t>NUEVA YORK</t>
  </si>
  <si>
    <t>SAN ANTONIO</t>
  </si>
  <si>
    <t>EL PASO</t>
  </si>
  <si>
    <t>YUMA</t>
  </si>
  <si>
    <t>CALEXICO</t>
  </si>
  <si>
    <t>BROWNSVILLE</t>
  </si>
  <si>
    <t>LAREDO</t>
  </si>
  <si>
    <t>BOSTON</t>
  </si>
  <si>
    <t>NEW BRUNSWICK</t>
  </si>
  <si>
    <t>NOGALES</t>
  </si>
  <si>
    <t>DEL RIO</t>
  </si>
  <si>
    <t>DOUGLAS</t>
  </si>
  <si>
    <t>PRESIDIO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</si>
  <si>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</si>
  <si>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</si>
  <si>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</si>
  <si>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</si>
  <si>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</si>
  <si>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</si>
  <si>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</si>
  <si>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</si>
  <si>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</si>
  <si>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</si>
  <si>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</si>
  <si>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</si>
  <si>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</si>
  <si>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</si>
  <si>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</si>
  <si>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</si>
  <si>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</si>
  <si>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</si>
  <si>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</si>
  <si>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</si>
  <si>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</si>
  <si>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</si>
  <si>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</si>
  <si>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</si>
  <si>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</si>
  <si>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</si>
  <si>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</si>
  <si>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</si>
  <si>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</si>
  <si>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</si>
  <si>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</si>
  <si>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</si>
  <si>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</si>
  <si>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</si>
  <si>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</si>
  <si>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</si>
  <si>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</si>
  <si>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</si>
  <si>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</si>
  <si>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</si>
  <si>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</si>
  <si>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VIRGINIA</t>
  </si>
  <si>
    <t>WISCONSIN</t>
  </si>
  <si>
    <t>WYOMING</t>
  </si>
  <si>
    <t>FEMENINO</t>
  </si>
  <si>
    <t>MASCULINO</t>
  </si>
  <si>
    <t>ALASKA Total</t>
  </si>
  <si>
    <t>ARIZONA Total</t>
  </si>
  <si>
    <t>ARKANSAS Total</t>
  </si>
  <si>
    <t>CALIFORNIA Total</t>
  </si>
  <si>
    <t>COLORADO Total</t>
  </si>
  <si>
    <t>DELAWARE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</si>
  <si>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</si>
  <si>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</si>
  <si>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</si>
  <si>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</si>
  <si>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</si>
  <si>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</si>
  <si>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</si>
  <si>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</si>
  <si>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</si>
  <si>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</si>
  <si>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</si>
  <si>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</si>
  <si>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</si>
  <si>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</si>
  <si>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</si>
  <si>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</si>
  <si>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</si>
  <si>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</si>
  <si>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</si>
  <si>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</si>
  <si>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</si>
  <si>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</si>
  <si>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</si>
  <si>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</si>
  <si>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</si>
  <si>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</si>
  <si>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</si>
  <si>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</si>
  <si>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SOUTH CAROLINA Total</t>
  </si>
  <si>
    <t>SOUTH DAKOTA Total</t>
  </si>
  <si>
    <t>TENNESSEE Total</t>
  </si>
  <si>
    <t>TEXAS Total</t>
  </si>
  <si>
    <t>UTAH Total</t>
  </si>
  <si>
    <t>VIRGINIA Total</t>
  </si>
  <si>
    <t>WASHINGTON Total</t>
  </si>
  <si>
    <t>WISCONSIN Total</t>
  </si>
  <si>
    <t>WYOMING Total</t>
  </si>
  <si>
    <t>ACAPONETA</t>
  </si>
  <si>
    <t>AMATLÁN DE CAÑAS</t>
  </si>
  <si>
    <t>JALA</t>
  </si>
  <si>
    <t>LA YESCA</t>
  </si>
  <si>
    <t>SANTA MARÍA DEL ORO</t>
  </si>
  <si>
    <t>SANTIAGO IXCUINTLA</t>
  </si>
  <si>
    <t>TECUALA</t>
  </si>
  <si>
    <t>TEPIC</t>
  </si>
  <si>
    <t>TUXPAN</t>
  </si>
  <si>
    <t>AHUACATLÁN</t>
  </si>
  <si>
    <t>BAHÍA DE BANDERAS</t>
  </si>
  <si>
    <t>COMPOSTELA</t>
  </si>
  <si>
    <t>DEL NAYAR</t>
  </si>
  <si>
    <t>HUAJICORI</t>
  </si>
  <si>
    <t>IXTLÁN DEL RÍO</t>
  </si>
  <si>
    <t>NO SE REGISTRÓ EL MUNICIPIO/CONDADO/ALCALDÍA DE NACIMIENTO</t>
  </si>
  <si>
    <t>ROSAMORADA</t>
  </si>
  <si>
    <t>RUÍZ</t>
  </si>
  <si>
    <t>SAN BLAS</t>
  </si>
  <si>
    <t>XALISCO</t>
  </si>
  <si>
    <t>SAN PEDRO LAGUNILLAS</t>
  </si>
  <si>
    <t>SIN ESTUDIOS</t>
  </si>
  <si>
    <t>SIN ESTUDIOS Total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</si>
  <si>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</si>
  <si>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</si>
  <si>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</si>
  <si>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</si>
  <si>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</si>
  <si>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</si>
  <si>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</si>
  <si>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</si>
  <si>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</si>
  <si>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</si>
  <si>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</si>
  <si>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</si>
  <si>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</si>
  <si>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</si>
  <si>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</si>
  <si>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</si>
  <si>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</si>
  <si>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</si>
  <si>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</si>
  <si>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</si>
  <si>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</si>
  <si>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</si>
  <si>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</si>
  <si>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</si>
  <si>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</si>
  <si>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</si>
  <si>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</si>
  <si>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</si>
  <si>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ENTRE 11 Y 17 AÑOS</t>
  </si>
  <si>
    <t>EMPLEADO(A)</t>
  </si>
  <si>
    <t>HOGAR</t>
  </si>
  <si>
    <t>CONSTRUCCIÓN, TRAB. DE LA IND. DE LA</t>
  </si>
  <si>
    <t>OBRERO(A)</t>
  </si>
  <si>
    <t>AGROPECUARIA, TRAB. DE LA INDUSTRIA</t>
  </si>
  <si>
    <t>ESTUDIANTE</t>
  </si>
  <si>
    <t>ALIMENTOS Y BEBIDAS, ESP. EN PREPARACIÓN DE</t>
  </si>
  <si>
    <t>JARDINERO(A)</t>
  </si>
  <si>
    <t>PINTOR(A)</t>
  </si>
  <si>
    <t>LIMPIEZA, EMPLEADO DE</t>
  </si>
  <si>
    <t>CARPINTERO/TAPICERO</t>
  </si>
  <si>
    <t>JUBILADO(A)/PENSIONADO(A)</t>
  </si>
  <si>
    <t>SIN ESPECIFICAR</t>
  </si>
  <si>
    <t>MECÁNICO(A)</t>
  </si>
  <si>
    <t>DESEMPLEADO</t>
  </si>
  <si>
    <t>VENDEDOR(A)</t>
  </si>
  <si>
    <t>OPERARIO(A)</t>
  </si>
  <si>
    <t>CAJERO(A)/COBRADOR(A)</t>
  </si>
  <si>
    <t>CHOFER</t>
  </si>
  <si>
    <t>MESERO(A)</t>
  </si>
  <si>
    <t>EMPRESARIO(A)</t>
  </si>
  <si>
    <t>PROFESIONISTA</t>
  </si>
  <si>
    <t>SOLDADOR</t>
  </si>
  <si>
    <t>DISCAPACITADO</t>
  </si>
  <si>
    <t>ENFERMERO(A)/TRAB. DE APOYO EN SALUD</t>
  </si>
  <si>
    <t>CARNICERO(A)</t>
  </si>
  <si>
    <t>TÉCNICO(A) EN MANTENIMIENTO</t>
  </si>
  <si>
    <t>AEROCOMERCIAL, TRAB. DE LA INDUSTRIA</t>
  </si>
  <si>
    <t>BELLEZA, PROFESIONAL DE SERVICIOS DE</t>
  </si>
  <si>
    <t>ADMINISTRADOR(A)/CONTADOR(A)</t>
  </si>
  <si>
    <t>ARTISTA INTERPRETATIVO(A)</t>
  </si>
  <si>
    <t>TRABAJADOR(A) DOMÉSTICO(A)</t>
  </si>
  <si>
    <t>AUXILIARES ADMINISTRATIVOS Y DE OFICINA</t>
  </si>
  <si>
    <t>GERENTE/DIRECTOR(A)</t>
  </si>
  <si>
    <t>PROFESIONAL TÉCNICO</t>
  </si>
  <si>
    <t>PROFESOR(A)</t>
  </si>
  <si>
    <t>SUPERVISOR(A)</t>
  </si>
  <si>
    <t>ARTISTA PLÁSTICO/PINTOR(A)</t>
  </si>
  <si>
    <t>COMERCIANTE</t>
  </si>
  <si>
    <t>OTRO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</si>
  <si>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</si>
  <si>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</si>
  <si>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</si>
  <si>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</si>
  <si>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</si>
  <si>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</si>
  <si>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</si>
  <si>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</si>
  <si>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DENVER Total</t>
  </si>
  <si>
    <t>DETROIT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</si>
  <si>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</si>
  <si>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</si>
  <si>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</si>
  <si>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</si>
  <si>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</si>
  <si>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</si>
  <si>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</si>
  <si>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</si>
  <si>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</si>
  <si>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</si>
  <si>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</si>
  <si>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</si>
  <si>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NOGALES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</si>
  <si>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</si>
  <si>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</si>
  <si>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</si>
  <si>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</si>
  <si>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</si>
  <si>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</si>
  <si>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</si>
  <si>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</si>
  <si>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</si>
  <si>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</si>
  <si>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</si>
  <si>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</si>
  <si>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</si>
  <si>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</si>
  <si>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</si>
  <si>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</si>
  <si>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</si>
  <si>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</si>
  <si>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</si>
  <si>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</si>
  <si>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</si>
  <si>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YUMA Total</t>
  </si>
  <si>
    <t>MATRÍCULAS CONSULARES EXPEDIDAS A ORIGINARIOS DE NAYARIT POR GÉNERO Y EDAD                          EN EE.UU.</t>
  </si>
  <si>
    <t>MATRÍCULAS CONSULARES EXPEDIDAS EN EE.UU. ORIGINARIOS DE NAYARIT 
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</si>
</sst>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12"/>
      <color theme="1"/>
      <name val="Montserrat"/>
    </font>
    <font>
      <b/>
      <sz val="9"/>
      <color rgb="FFFFFFFF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8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2" borderId="10" xfId="3" applyFont="1" applyFill="1" applyBorder="1" applyAlignment="1">
      <alignment horizontal="center" vertical="center" wrapText="1"/>
    </xf>
    <xf numFmtId="1" fontId="15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6" fillId="3" borderId="0" xfId="0" applyFont="1" applyFill="1"/>
    <xf numFmtId="0" fontId="17" fillId="3" borderId="0" xfId="0" applyFont="1" applyFill="1"/>
    <xf numFmtId="0" fontId="17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9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3" fillId="6" borderId="9" xfId="3" applyFont="1" applyFill="1" applyBorder="1" applyAlignment="1">
      <alignment horizontal="center" vertical="center" wrapText="1"/>
    </xf>
    <xf numFmtId="3" fontId="23" fillId="7" borderId="9" xfId="0" applyNumberFormat="1" applyFont="1" applyFill="1" applyBorder="1" applyAlignment="1">
      <alignment horizontal="right" vertical="center" wrapText="1"/>
    </xf>
    <xf numFmtId="164" fontId="23" fillId="7" borderId="9" xfId="0" applyNumberFormat="1" applyFont="1" applyFill="1" applyBorder="1" applyAlignment="1">
      <alignment horizontal="right" vertical="center" wrapText="1"/>
    </xf>
    <xf numFmtId="49" fontId="23" fillId="8" borderId="12" xfId="0" applyNumberFormat="1" applyFont="1" applyFill="1" applyBorder="1" applyAlignment="1">
      <alignment vertical="center" wrapText="1"/>
    </xf>
    <xf numFmtId="3" fontId="23" fillId="8" borderId="9" xfId="0" applyNumberFormat="1" applyFont="1" applyFill="1" applyBorder="1" applyAlignment="1">
      <alignment horizontal="right" vertical="center" wrapText="1"/>
    </xf>
    <xf numFmtId="164" fontId="23" fillId="8" borderId="9" xfId="0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wrapText="1"/>
    </xf>
    <xf numFmtId="164" fontId="6" fillId="9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0" fontId="21" fillId="0" borderId="4" xfId="1" applyFont="1" applyBorder="1" applyAlignment="1">
      <alignment horizontal="left"/>
    </xf>
    <xf numFmtId="0" fontId="21" fillId="0" borderId="0" xfId="1" applyFont="1" applyBorder="1" applyAlignment="1">
      <alignment horizontal="left"/>
    </xf>
    <xf numFmtId="0" fontId="20" fillId="2" borderId="1" xfId="0" applyFont="1" applyFill="1" applyBorder="1" applyAlignment="1">
      <alignment horizontal="center" wrapText="1"/>
    </xf>
    <xf numFmtId="0" fontId="20" fillId="2" borderId="2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1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2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top" wrapText="1"/>
    </xf>
    <xf numFmtId="49" fontId="8" fillId="3" borderId="14" xfId="0" applyNumberFormat="1" applyFont="1" applyFill="1" applyBorder="1" applyAlignment="1">
      <alignment horizontal="center" vertical="top" wrapText="1"/>
    </xf>
    <xf numFmtId="49" fontId="23" fillId="7" borderId="13" xfId="0" applyNumberFormat="1" applyFont="1" applyFill="1" applyBorder="1" applyAlignment="1">
      <alignment horizontal="center" vertical="center" wrapText="1"/>
    </xf>
    <xf numFmtId="49" fontId="23" fillId="7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413466</xdr:colOff>
      <xdr:row>1</xdr:row>
      <xdr:rowOff>180667</xdr:rowOff>
    </xdr:from>
    <xdr:to>
      <xdr:col>3</xdr:col>
      <xdr:colOff>925563</xdr:colOff>
      <xdr:row>2</xdr:row>
      <xdr:rowOff>180667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99616" y="7140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386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0</xdr:row>
      <xdr:rowOff>152400</xdr:rowOff>
    </xdr:from>
    <xdr:to>
      <xdr:col>1</xdr:col>
      <xdr:colOff>400609</xdr:colOff>
      <xdr:row>3</xdr:row>
      <xdr:rowOff>295274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6BE17A2-9B4D-46A8-9D2E-408F4C91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215348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44250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1</xdr:row>
      <xdr:rowOff>28575</xdr:rowOff>
    </xdr:from>
    <xdr:to>
      <xdr:col>1</xdr:col>
      <xdr:colOff>391084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CDAA823-BB18-4284-9AEB-98A2A47BB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1907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193261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420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289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19050</xdr:rowOff>
    </xdr:from>
    <xdr:to>
      <xdr:col>1</xdr:col>
      <xdr:colOff>410134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C34A575-18C1-462E-A873-A05DE7BF5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226391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187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180975</xdr:rowOff>
    </xdr:from>
    <xdr:to>
      <xdr:col>5</xdr:col>
      <xdr:colOff>131097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6725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0</xdr:row>
      <xdr:rowOff>171450</xdr:rowOff>
    </xdr:from>
    <xdr:to>
      <xdr:col>1</xdr:col>
      <xdr:colOff>429184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E446389-E5C6-4DF0-BBB2-CC7AE9C65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NAYARIT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487325</xdr:colOff>
      <xdr:row>7</xdr:row>
      <xdr:rowOff>132907</xdr:rowOff>
    </xdr:from>
    <xdr:to>
      <xdr:col>4</xdr:col>
      <xdr:colOff>999422</xdr:colOff>
      <xdr:row>7</xdr:row>
      <xdr:rowOff>321192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27994" y="1871773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114300</xdr:rowOff>
    </xdr:from>
    <xdr:to>
      <xdr:col>1</xdr:col>
      <xdr:colOff>1010209</xdr:colOff>
      <xdr:row>3</xdr:row>
      <xdr:rowOff>295274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6238171-9779-4002-A54C-CAEAB56DB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NAYARIT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486171</xdr:colOff>
      <xdr:row>7</xdr:row>
      <xdr:rowOff>99219</xdr:rowOff>
    </xdr:from>
    <xdr:to>
      <xdr:col>4</xdr:col>
      <xdr:colOff>998268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29609" y="1835547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0</xdr:row>
      <xdr:rowOff>123825</xdr:rowOff>
    </xdr:from>
    <xdr:to>
      <xdr:col>1</xdr:col>
      <xdr:colOff>1029259</xdr:colOff>
      <xdr:row>3</xdr:row>
      <xdr:rowOff>304799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1B2FA47-47A3-44EF-9C8E-786569F9C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574261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138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808246</xdr:colOff>
      <xdr:row>1</xdr:row>
      <xdr:rowOff>58530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92507" y="251791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1184965</xdr:colOff>
      <xdr:row>8</xdr:row>
      <xdr:rowOff>49696</xdr:rowOff>
    </xdr:from>
    <xdr:to>
      <xdr:col>4</xdr:col>
      <xdr:colOff>487112</xdr:colOff>
      <xdr:row>8</xdr:row>
      <xdr:rowOff>240196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569226" y="1783522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57150</xdr:colOff>
      <xdr:row>0</xdr:row>
      <xdr:rowOff>133350</xdr:rowOff>
    </xdr:from>
    <xdr:to>
      <xdr:col>1</xdr:col>
      <xdr:colOff>362509</xdr:colOff>
      <xdr:row>3</xdr:row>
      <xdr:rowOff>276224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95AF262-6C7A-43FF-A422-D29DA633AC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NAYARIT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151086</xdr:rowOff>
    </xdr:from>
    <xdr:to>
      <xdr:col>4</xdr:col>
      <xdr:colOff>1031045</xdr:colOff>
      <xdr:row>7</xdr:row>
      <xdr:rowOff>341586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56638" y="18918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142875</xdr:rowOff>
    </xdr:from>
    <xdr:to>
      <xdr:col>1</xdr:col>
      <xdr:colOff>1000684</xdr:colOff>
      <xdr:row>3</xdr:row>
      <xdr:rowOff>323849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9872E3B-49D9-49DA-854F-12BABF71E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NAYARIT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554005</xdr:colOff>
      <xdr:row>7</xdr:row>
      <xdr:rowOff>106914</xdr:rowOff>
    </xdr:from>
    <xdr:to>
      <xdr:col>4</xdr:col>
      <xdr:colOff>1066102</xdr:colOff>
      <xdr:row>7</xdr:row>
      <xdr:rowOff>301302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99872" y="1856404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97194</xdr:colOff>
      <xdr:row>0</xdr:row>
      <xdr:rowOff>116633</xdr:rowOff>
    </xdr:from>
    <xdr:to>
      <xdr:col>1</xdr:col>
      <xdr:colOff>1021678</xdr:colOff>
      <xdr:row>3</xdr:row>
      <xdr:rowOff>286721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718B888-9A7D-44B4-8839-6A4FA3A0F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230" y="116633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38100</xdr:rowOff>
    </xdr:from>
    <xdr:to>
      <xdr:col>5</xdr:col>
      <xdr:colOff>45372</xdr:colOff>
      <xdr:row>8</xdr:row>
      <xdr:rowOff>228600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581525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76200</xdr:colOff>
      <xdr:row>1</xdr:row>
      <xdr:rowOff>9525</xdr:rowOff>
    </xdr:from>
    <xdr:to>
      <xdr:col>1</xdr:col>
      <xdr:colOff>381559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2D44661-718B-46FB-A6BB-E30306E17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575274</xdr:colOff>
      <xdr:row>8</xdr:row>
      <xdr:rowOff>158690</xdr:rowOff>
    </xdr:from>
    <xdr:to>
      <xdr:col>5</xdr:col>
      <xdr:colOff>77721</xdr:colOff>
      <xdr:row>9</xdr:row>
      <xdr:rowOff>158690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4775799" y="173031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104775</xdr:rowOff>
    </xdr:from>
    <xdr:to>
      <xdr:col>1</xdr:col>
      <xdr:colOff>1000684</xdr:colOff>
      <xdr:row>3</xdr:row>
      <xdr:rowOff>295274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28A3B45-FF41-4FC7-8694-1BB89E682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4775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575274</xdr:colOff>
      <xdr:row>8</xdr:row>
      <xdr:rowOff>158690</xdr:rowOff>
    </xdr:from>
    <xdr:to>
      <xdr:col>5</xdr:col>
      <xdr:colOff>77721</xdr:colOff>
      <xdr:row>9</xdr:row>
      <xdr:rowOff>158690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4775799" y="173031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114300</xdr:rowOff>
    </xdr:from>
    <xdr:to>
      <xdr:col>1</xdr:col>
      <xdr:colOff>991159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67F0B79-2374-4947-AB96-2CA60C0C7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1118037</xdr:colOff>
      <xdr:row>8</xdr:row>
      <xdr:rowOff>156780</xdr:rowOff>
    </xdr:from>
    <xdr:to>
      <xdr:col>6</xdr:col>
      <xdr:colOff>237295</xdr:colOff>
      <xdr:row>9</xdr:row>
      <xdr:rowOff>156780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534587" y="1680780"/>
          <a:ext cx="528958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76200</xdr:rowOff>
    </xdr:from>
    <xdr:to>
      <xdr:col>1</xdr:col>
      <xdr:colOff>991159</xdr:colOff>
      <xdr:row>3</xdr:row>
      <xdr:rowOff>266699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9C30EEF-718B-416F-A0DC-250FD09FE4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76200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3</xdr:col>
      <xdr:colOff>1181652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441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211898</xdr:colOff>
      <xdr:row>1</xdr:row>
      <xdr:rowOff>75096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9333" y="268357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638312</xdr:colOff>
      <xdr:row>8</xdr:row>
      <xdr:rowOff>143566</xdr:rowOff>
    </xdr:from>
    <xdr:to>
      <xdr:col>3</xdr:col>
      <xdr:colOff>1177328</xdr:colOff>
      <xdr:row>8</xdr:row>
      <xdr:rowOff>334066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55747" y="1877392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1</xdr:row>
      <xdr:rowOff>19050</xdr:rowOff>
    </xdr:from>
    <xdr:to>
      <xdr:col>1</xdr:col>
      <xdr:colOff>391084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E432563-5EA0-4CEE-8D30-0CB6A941C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09550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7" t="s">
        <v>46</v>
      </c>
      <c r="B1" s="68"/>
      <c r="C1" s="68"/>
      <c r="D1" s="69"/>
    </row>
    <row r="2" spans="1:4">
      <c r="A2" s="2"/>
      <c r="B2" s="3"/>
      <c r="C2" s="3"/>
      <c r="D2" s="4"/>
    </row>
    <row r="3" spans="1:4">
      <c r="A3" s="70" t="s">
        <v>0</v>
      </c>
      <c r="B3" s="71"/>
      <c r="C3" s="71"/>
      <c r="D3" s="72"/>
    </row>
    <row r="4" spans="1:4">
      <c r="A4" s="70"/>
      <c r="B4" s="71"/>
      <c r="C4" s="71"/>
      <c r="D4" s="72"/>
    </row>
    <row r="5" spans="1:4">
      <c r="A5" s="5"/>
      <c r="B5" s="6"/>
      <c r="C5" s="6"/>
      <c r="D5" s="7"/>
    </row>
    <row r="6" spans="1:4" ht="18.75">
      <c r="A6" s="65" t="s">
        <v>1</v>
      </c>
      <c r="B6" s="66"/>
      <c r="C6" s="66"/>
      <c r="D6" s="73"/>
    </row>
    <row r="7" spans="1:4">
      <c r="A7" s="8"/>
      <c r="D7" s="9"/>
    </row>
    <row r="8" spans="1:4" ht="18.75">
      <c r="A8" s="65" t="s">
        <v>2</v>
      </c>
      <c r="B8" s="66"/>
      <c r="C8" s="66"/>
      <c r="D8" s="73"/>
    </row>
    <row r="9" spans="1:4" ht="18.75">
      <c r="A9" s="8"/>
      <c r="B9" s="65" t="s">
        <v>3</v>
      </c>
      <c r="C9" s="66"/>
      <c r="D9" s="66"/>
    </row>
    <row r="10" spans="1:4">
      <c r="A10" s="8"/>
      <c r="D10" s="9"/>
    </row>
    <row r="11" spans="1:4" ht="18.75">
      <c r="A11" s="53" t="s">
        <v>4</v>
      </c>
      <c r="D11" s="9"/>
    </row>
    <row r="12" spans="1:4" ht="18.75">
      <c r="A12" s="8"/>
      <c r="B12" s="65" t="s">
        <v>5</v>
      </c>
      <c r="C12" s="66"/>
      <c r="D12" s="66"/>
    </row>
    <row r="13" spans="1:4" ht="18.75">
      <c r="A13" s="8"/>
      <c r="B13" s="65" t="s">
        <v>6</v>
      </c>
      <c r="C13" s="66"/>
      <c r="D13" s="66"/>
    </row>
    <row r="14" spans="1:4" ht="18.75">
      <c r="A14" s="8"/>
      <c r="B14" s="65" t="s">
        <v>7</v>
      </c>
      <c r="C14" s="66"/>
      <c r="D14" s="66"/>
    </row>
    <row r="15" spans="1:4">
      <c r="A15" s="8"/>
      <c r="D15" s="9"/>
    </row>
    <row r="16" spans="1:4" ht="18.75">
      <c r="A16" s="53" t="s">
        <v>8</v>
      </c>
      <c r="D16" s="9"/>
    </row>
    <row r="17" spans="1:4" ht="18.75">
      <c r="A17" s="8"/>
      <c r="B17" s="65" t="s">
        <v>9</v>
      </c>
      <c r="C17" s="66"/>
      <c r="D17" s="66"/>
    </row>
    <row r="18" spans="1:4" ht="18.75">
      <c r="A18" s="8"/>
      <c r="B18" s="65" t="s">
        <v>10</v>
      </c>
      <c r="C18" s="66"/>
      <c r="D18" s="66"/>
    </row>
    <row r="19" spans="1:4" ht="18.75">
      <c r="A19" s="8"/>
      <c r="B19" s="65" t="s">
        <v>11</v>
      </c>
      <c r="C19" s="66"/>
      <c r="D19" s="66"/>
    </row>
    <row r="20" spans="1:4">
      <c r="A20" s="8"/>
      <c r="D20" s="9"/>
    </row>
    <row r="21" spans="1:4" ht="18.75">
      <c r="A21" s="53" t="s">
        <v>12</v>
      </c>
      <c r="D21" s="9"/>
    </row>
    <row r="22" spans="1:4" ht="18.75">
      <c r="A22" s="8"/>
      <c r="B22" s="65" t="s">
        <v>13</v>
      </c>
      <c r="C22" s="66"/>
      <c r="D22" s="66"/>
    </row>
    <row r="23" spans="1:4" ht="18.75">
      <c r="A23" s="8"/>
      <c r="B23" s="65" t="s">
        <v>14</v>
      </c>
      <c r="C23" s="66"/>
      <c r="D23" s="66"/>
    </row>
    <row r="24" spans="1:4" ht="18.75">
      <c r="A24" s="8"/>
      <c r="B24" s="65" t="s">
        <v>35</v>
      </c>
      <c r="C24" s="66"/>
      <c r="D24" s="66"/>
    </row>
    <row r="25" spans="1:4">
      <c r="A25" s="8"/>
      <c r="D25" s="9"/>
    </row>
    <row r="26" spans="1:4" ht="18.75">
      <c r="A26" s="65" t="s">
        <v>15</v>
      </c>
      <c r="B26" s="66"/>
      <c r="C26" s="66"/>
      <c r="D26" s="73"/>
    </row>
    <row r="27" spans="1:4">
      <c r="A27" s="8"/>
      <c r="D27" s="9"/>
    </row>
    <row r="28" spans="1:4" ht="18.75">
      <c r="A28" s="65" t="s">
        <v>16</v>
      </c>
      <c r="B28" s="66"/>
      <c r="C28" s="66"/>
      <c r="D28" s="73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Nayarit_USAMuni!A1" display="3.2 Por Estado de USA" xr:uid="{00000000-0004-0000-0000-00000D000000}"/>
    <hyperlink ref="A8:D8" location="Nayarit_Cons!A1" display="2. Por Circunscripción Consular" xr:uid="{00000000-0004-0000-0000-00000E000000}"/>
    <hyperlink ref="B9:D9" location="NayaritXCons!A1" display="2.1 Top ten por circunscripción consular" xr:uid="{00000000-0004-0000-0000-00000F000000}"/>
    <hyperlink ref="A6:D6" location="Nayarit_EdoUsa!A1" display="1. Por Estados de USA" xr:uid="{00000000-0004-0000-0000-000010000000}"/>
    <hyperlink ref="B12:D12" location="Nayarit_EdoMun!A1" display="3.1 Municipio general" xr:uid="{00000000-0004-0000-0000-000011000000}"/>
    <hyperlink ref="B14:D14" location="Nayarit_MUNICIPIO!A1" display="3.3 Por Circunscripción Consular" xr:uid="{00000000-0004-0000-0000-000012000000}"/>
    <hyperlink ref="B17:D17" location="Nayarit_educ_gral!A1" display="4.1 Educación general" xr:uid="{00000000-0004-0000-0000-000013000000}"/>
    <hyperlink ref="B18:D18" location="Nayarit_NivelE_Cons!A1" display="4.2 Por Estado de USA" xr:uid="{00000000-0004-0000-0000-000014000000}"/>
    <hyperlink ref="B19:D19" location="Nayarit_EducCons!A1" display="4.3 Por Circunscripción Consular" xr:uid="{00000000-0004-0000-0000-000015000000}"/>
    <hyperlink ref="B22:D22" location="Nayarit_GenGral!A1" display="5.1 Género General" xr:uid="{00000000-0004-0000-0000-000016000000}"/>
    <hyperlink ref="B23:D23" location="Nayarit_GENERO!A1" display="5.2 Por Circunscripción Consular" xr:uid="{00000000-0004-0000-0000-000017000000}"/>
    <hyperlink ref="A26:D26" location="Nayarit_Gen_Edad!A1" display="6. Por estructura de Edad" xr:uid="{00000000-0004-0000-0000-000018000000}"/>
    <hyperlink ref="A28:D28" location="Nayarit_ocup_gral!A1" display="7. Por Ocupación" xr:uid="{00000000-0004-0000-0000-000019000000}"/>
    <hyperlink ref="B24" location="Nayarit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63"/>
  <sheetViews>
    <sheetView showGridLines="0" view="pageBreakPreview" topLeftCell="A48" zoomScale="115" zoomScaleNormal="100" zoomScaleSheetLayoutView="115" workbookViewId="0">
      <selection activeCell="D57" sqref="B11:D57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4" t="s">
        <v>42</v>
      </c>
      <c r="C7" s="74"/>
      <c r="D7" s="74"/>
    </row>
    <row r="8" spans="2:4" s="25" customFormat="1" ht="15" customHeight="1">
      <c r="B8" s="74"/>
      <c r="C8" s="74"/>
      <c r="D8" s="74"/>
    </row>
    <row r="9" spans="2:4" s="25" customFormat="1" ht="33" customHeight="1">
      <c r="B9" s="74"/>
      <c r="C9" s="74"/>
      <c r="D9" s="74"/>
    </row>
    <row r="10" spans="2:4" s="25" customFormat="1" ht="4.5" customHeight="1">
      <c r="B10" s="29"/>
      <c r="C10" s="29"/>
      <c r="D10" s="29"/>
    </row>
    <row r="11" spans="2:4" s="25" customFormat="1" ht="30" customHeight="1">
      <c r="B11" s="28" t="s">
        <v>21</v>
      </c>
      <c r="C11" s="27" t="s">
        <v>20</v>
      </c>
      <c r="D11" s="26" t="s">
        <v>19</v>
      </c>
    </row>
    <row r="12" spans="2:4">
      <c r="B12" s="23" t="s">
        <v>101</v>
      </c>
      <c r="C12" s="22">
        <v>29</v>
      </c>
      <c r="D12" s="21">
        <v>3.711287432813E-3</v>
      </c>
    </row>
    <row r="13" spans="2:4">
      <c r="B13" s="23" t="s">
        <v>102</v>
      </c>
      <c r="C13" s="22">
        <v>1</v>
      </c>
      <c r="D13" s="21">
        <v>1.2797542871799999E-4</v>
      </c>
    </row>
    <row r="14" spans="2:4">
      <c r="B14" s="23" t="s">
        <v>103</v>
      </c>
      <c r="C14" s="22">
        <v>279</v>
      </c>
      <c r="D14" s="21">
        <v>3.5705144612234001E-2</v>
      </c>
    </row>
    <row r="15" spans="2:4">
      <c r="B15" s="23" t="s">
        <v>104</v>
      </c>
      <c r="C15" s="22">
        <v>34</v>
      </c>
      <c r="D15" s="21">
        <v>4.3511645764010001E-3</v>
      </c>
    </row>
    <row r="16" spans="2:4">
      <c r="B16" s="23" t="s">
        <v>105</v>
      </c>
      <c r="C16" s="22">
        <v>4640</v>
      </c>
      <c r="D16" s="21">
        <v>0.593805989250064</v>
      </c>
    </row>
    <row r="17" spans="2:4">
      <c r="B17" s="23" t="s">
        <v>106</v>
      </c>
      <c r="C17" s="22">
        <v>221</v>
      </c>
      <c r="D17" s="21">
        <v>2.8282569746609001E-2</v>
      </c>
    </row>
    <row r="18" spans="2:4">
      <c r="B18" s="23" t="s">
        <v>107</v>
      </c>
      <c r="C18" s="22">
        <v>1</v>
      </c>
      <c r="D18" s="21">
        <v>1.2797542871799999E-4</v>
      </c>
    </row>
    <row r="19" spans="2:4">
      <c r="B19" s="23" t="s">
        <v>108</v>
      </c>
      <c r="C19" s="22">
        <v>7</v>
      </c>
      <c r="D19" s="21">
        <v>8.9582800102399999E-4</v>
      </c>
    </row>
    <row r="20" spans="2:4">
      <c r="B20" s="23" t="s">
        <v>109</v>
      </c>
      <c r="C20" s="22">
        <v>120</v>
      </c>
      <c r="D20" s="21">
        <v>1.5357051446122E-2</v>
      </c>
    </row>
    <row r="21" spans="2:4">
      <c r="B21" s="23" t="s">
        <v>110</v>
      </c>
      <c r="C21" s="22">
        <v>67</v>
      </c>
      <c r="D21" s="21">
        <v>8.5743537240850001E-3</v>
      </c>
    </row>
    <row r="22" spans="2:4">
      <c r="B22" s="23" t="s">
        <v>111</v>
      </c>
      <c r="C22" s="22">
        <v>15</v>
      </c>
      <c r="D22" s="21">
        <v>1.919631430765E-3</v>
      </c>
    </row>
    <row r="23" spans="2:4">
      <c r="B23" s="23" t="s">
        <v>112</v>
      </c>
      <c r="C23" s="22">
        <v>116</v>
      </c>
      <c r="D23" s="21">
        <v>1.4845149731252E-2</v>
      </c>
    </row>
    <row r="24" spans="2:4">
      <c r="B24" s="23" t="s">
        <v>113</v>
      </c>
      <c r="C24" s="22">
        <v>206</v>
      </c>
      <c r="D24" s="21">
        <v>2.6362938315843E-2</v>
      </c>
    </row>
    <row r="25" spans="2:4">
      <c r="B25" s="23" t="s">
        <v>114</v>
      </c>
      <c r="C25" s="22">
        <v>69</v>
      </c>
      <c r="D25" s="21">
        <v>8.8303045815199994E-3</v>
      </c>
    </row>
    <row r="26" spans="2:4">
      <c r="B26" s="23" t="s">
        <v>115</v>
      </c>
      <c r="C26" s="22">
        <v>18</v>
      </c>
      <c r="D26" s="21">
        <v>2.3035577169180001E-3</v>
      </c>
    </row>
    <row r="27" spans="2:4">
      <c r="B27" s="23" t="s">
        <v>116</v>
      </c>
      <c r="C27" s="22">
        <v>53</v>
      </c>
      <c r="D27" s="21">
        <v>6.7826977220370004E-3</v>
      </c>
    </row>
    <row r="28" spans="2:4">
      <c r="B28" s="23" t="s">
        <v>117</v>
      </c>
      <c r="C28" s="22">
        <v>66</v>
      </c>
      <c r="D28" s="21">
        <v>8.4463782953669991E-3</v>
      </c>
    </row>
    <row r="29" spans="2:4">
      <c r="B29" s="23" t="s">
        <v>118</v>
      </c>
      <c r="C29" s="22">
        <v>15</v>
      </c>
      <c r="D29" s="21">
        <v>1.919631430765E-3</v>
      </c>
    </row>
    <row r="30" spans="2:4">
      <c r="B30" s="23" t="s">
        <v>119</v>
      </c>
      <c r="C30" s="22">
        <v>2</v>
      </c>
      <c r="D30" s="21">
        <v>2.5595085743500002E-4</v>
      </c>
    </row>
    <row r="31" spans="2:4">
      <c r="B31" s="23" t="s">
        <v>120</v>
      </c>
      <c r="C31" s="22">
        <v>3</v>
      </c>
      <c r="D31" s="21">
        <v>3.8392628615299999E-4</v>
      </c>
    </row>
    <row r="32" spans="2:4">
      <c r="B32" s="23" t="s">
        <v>121</v>
      </c>
      <c r="C32" s="22">
        <v>22</v>
      </c>
      <c r="D32" s="21">
        <v>2.8154594317890001E-3</v>
      </c>
    </row>
    <row r="33" spans="2:4">
      <c r="B33" s="23" t="s">
        <v>122</v>
      </c>
      <c r="C33" s="22">
        <v>167</v>
      </c>
      <c r="D33" s="21">
        <v>2.1371896595853999E-2</v>
      </c>
    </row>
    <row r="34" spans="2:4">
      <c r="B34" s="23" t="s">
        <v>123</v>
      </c>
      <c r="C34" s="22">
        <v>9</v>
      </c>
      <c r="D34" s="21">
        <v>1.1517788584590001E-3</v>
      </c>
    </row>
    <row r="35" spans="2:4">
      <c r="B35" s="23" t="s">
        <v>124</v>
      </c>
      <c r="C35" s="22">
        <v>23</v>
      </c>
      <c r="D35" s="21">
        <v>2.9434348605069998E-3</v>
      </c>
    </row>
    <row r="36" spans="2:4">
      <c r="B36" s="23" t="s">
        <v>125</v>
      </c>
      <c r="C36" s="22">
        <v>7</v>
      </c>
      <c r="D36" s="21">
        <v>8.9582800102399999E-4</v>
      </c>
    </row>
    <row r="37" spans="2:4">
      <c r="B37" s="23" t="s">
        <v>126</v>
      </c>
      <c r="C37" s="22">
        <v>28</v>
      </c>
      <c r="D37" s="21">
        <v>3.5833120040949999E-3</v>
      </c>
    </row>
    <row r="38" spans="2:4">
      <c r="B38" s="23" t="s">
        <v>127</v>
      </c>
      <c r="C38" s="22">
        <v>489</v>
      </c>
      <c r="D38" s="21">
        <v>6.2579984642949005E-2</v>
      </c>
    </row>
    <row r="39" spans="2:4">
      <c r="B39" s="23" t="s">
        <v>128</v>
      </c>
      <c r="C39" s="22">
        <v>19</v>
      </c>
      <c r="D39" s="21">
        <v>2.4315331456359998E-3</v>
      </c>
    </row>
    <row r="40" spans="2:4">
      <c r="B40" s="23" t="s">
        <v>129</v>
      </c>
      <c r="C40" s="22">
        <v>27</v>
      </c>
      <c r="D40" s="21">
        <v>3.4553365753779998E-3</v>
      </c>
    </row>
    <row r="41" spans="2:4">
      <c r="B41" s="23" t="s">
        <v>130</v>
      </c>
      <c r="C41" s="22">
        <v>12</v>
      </c>
      <c r="D41" s="21">
        <v>1.5357051446119999E-3</v>
      </c>
    </row>
    <row r="42" spans="2:4">
      <c r="B42" s="23" t="s">
        <v>131</v>
      </c>
      <c r="C42" s="22">
        <v>131</v>
      </c>
      <c r="D42" s="21">
        <v>1.6764781162017E-2</v>
      </c>
    </row>
    <row r="43" spans="2:4">
      <c r="B43" s="23" t="s">
        <v>132</v>
      </c>
      <c r="C43" s="22">
        <v>2</v>
      </c>
      <c r="D43" s="21">
        <v>2.5595085743500002E-4</v>
      </c>
    </row>
    <row r="44" spans="2:4">
      <c r="B44" s="23" t="s">
        <v>133</v>
      </c>
      <c r="C44" s="22">
        <v>33</v>
      </c>
      <c r="D44" s="21">
        <v>4.223189147684E-3</v>
      </c>
    </row>
    <row r="45" spans="2:4">
      <c r="B45" s="23" t="s">
        <v>134</v>
      </c>
      <c r="C45" s="22">
        <v>60</v>
      </c>
      <c r="D45" s="21">
        <v>7.6785257230610002E-3</v>
      </c>
    </row>
    <row r="46" spans="2:4">
      <c r="B46" s="23" t="s">
        <v>135</v>
      </c>
      <c r="C46" s="22">
        <v>107</v>
      </c>
      <c r="D46" s="21">
        <v>1.3693370872792E-2</v>
      </c>
    </row>
    <row r="47" spans="2:4">
      <c r="B47" s="23" t="s">
        <v>136</v>
      </c>
      <c r="C47" s="22">
        <v>21</v>
      </c>
      <c r="D47" s="21">
        <v>2.687484003071E-3</v>
      </c>
    </row>
    <row r="48" spans="2:4">
      <c r="B48" s="23" t="s">
        <v>137</v>
      </c>
      <c r="C48" s="22">
        <v>55</v>
      </c>
      <c r="D48" s="21">
        <v>7.0386485794729997E-3</v>
      </c>
    </row>
    <row r="49" spans="2:4">
      <c r="B49" s="23" t="s">
        <v>138</v>
      </c>
      <c r="C49" s="22">
        <v>7</v>
      </c>
      <c r="D49" s="21">
        <v>8.9582800102399999E-4</v>
      </c>
    </row>
    <row r="50" spans="2:4">
      <c r="B50" s="23" t="s">
        <v>139</v>
      </c>
      <c r="C50" s="22">
        <v>49</v>
      </c>
      <c r="D50" s="21">
        <v>6.270796007167E-3</v>
      </c>
    </row>
    <row r="51" spans="2:4">
      <c r="B51" s="23" t="s">
        <v>140</v>
      </c>
      <c r="C51" s="22">
        <v>316</v>
      </c>
      <c r="D51" s="21">
        <v>4.0440235474788998E-2</v>
      </c>
    </row>
    <row r="52" spans="2:4">
      <c r="B52" s="23" t="s">
        <v>141</v>
      </c>
      <c r="C52" s="22">
        <v>96</v>
      </c>
      <c r="D52" s="21">
        <v>1.2285641156898E-2</v>
      </c>
    </row>
    <row r="53" spans="2:4">
      <c r="B53" s="23" t="s">
        <v>142</v>
      </c>
      <c r="C53" s="22">
        <v>32</v>
      </c>
      <c r="D53" s="21">
        <v>4.0952137189659999E-3</v>
      </c>
    </row>
    <row r="54" spans="2:4">
      <c r="B54" s="23" t="s">
        <v>82</v>
      </c>
      <c r="C54" s="22">
        <v>92</v>
      </c>
      <c r="D54" s="21">
        <v>1.1773739442027E-2</v>
      </c>
    </row>
    <row r="55" spans="2:4">
      <c r="B55" s="23" t="s">
        <v>143</v>
      </c>
      <c r="C55" s="22">
        <v>37</v>
      </c>
      <c r="D55" s="21">
        <v>4.7350908625540004E-3</v>
      </c>
    </row>
    <row r="56" spans="2:4" ht="15" customHeight="1">
      <c r="B56" s="23" t="s">
        <v>144</v>
      </c>
      <c r="C56" s="22">
        <v>11</v>
      </c>
      <c r="D56" s="21">
        <v>1.4077297158950001E-3</v>
      </c>
    </row>
    <row r="57" spans="2:4" ht="15" customHeight="1">
      <c r="B57" s="20" t="s">
        <v>29</v>
      </c>
      <c r="C57" s="19">
        <v>7814</v>
      </c>
      <c r="D57" s="18">
        <v>1</v>
      </c>
    </row>
    <row r="58" spans="2:4">
      <c r="B58" s="15"/>
    </row>
    <row r="59" spans="2:4">
      <c r="B59" s="15" t="s">
        <v>47</v>
      </c>
    </row>
    <row r="60" spans="2:4">
      <c r="B60" s="17" t="s">
        <v>18</v>
      </c>
    </row>
    <row r="61" spans="2:4">
      <c r="B61" s="16" t="s">
        <v>48</v>
      </c>
    </row>
    <row r="62" spans="2:4">
      <c r="B62" s="15" t="s">
        <v>17</v>
      </c>
    </row>
    <row r="63" spans="2:4">
      <c r="B63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9"/>
  <sheetViews>
    <sheetView showGridLines="0" view="pageBreakPreview" topLeftCell="A5" zoomScale="115" zoomScaleNormal="100" zoomScaleSheetLayoutView="115" workbookViewId="0">
      <selection activeCell="B12" sqref="B12:D63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4" t="s">
        <v>36</v>
      </c>
      <c r="C7" s="74"/>
      <c r="D7" s="74"/>
    </row>
    <row r="8" spans="2:4" s="25" customFormat="1" ht="15" customHeight="1">
      <c r="B8" s="74"/>
      <c r="C8" s="74"/>
      <c r="D8" s="74"/>
    </row>
    <row r="9" spans="2:4" s="25" customFormat="1" ht="33" customHeight="1">
      <c r="B9" s="74"/>
      <c r="C9" s="74"/>
      <c r="D9" s="74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20</v>
      </c>
      <c r="D11" s="26" t="s">
        <v>19</v>
      </c>
    </row>
    <row r="12" spans="2:4">
      <c r="B12" s="23" t="s">
        <v>50</v>
      </c>
      <c r="C12" s="22">
        <v>1904</v>
      </c>
      <c r="D12" s="21">
        <v>0.24366521627847501</v>
      </c>
    </row>
    <row r="13" spans="2:4">
      <c r="B13" s="23" t="s">
        <v>51</v>
      </c>
      <c r="C13" s="22">
        <v>587</v>
      </c>
      <c r="D13" s="21">
        <v>7.5121576657282002E-2</v>
      </c>
    </row>
    <row r="14" spans="2:4">
      <c r="B14" s="23" t="s">
        <v>52</v>
      </c>
      <c r="C14" s="22">
        <v>570</v>
      </c>
      <c r="D14" s="21">
        <v>7.2945994369081002E-2</v>
      </c>
    </row>
    <row r="15" spans="2:4">
      <c r="B15" s="23" t="s">
        <v>53</v>
      </c>
      <c r="C15" s="22">
        <v>460</v>
      </c>
      <c r="D15" s="21">
        <v>5.8868697210136003E-2</v>
      </c>
    </row>
    <row r="16" spans="2:4">
      <c r="B16" s="23" t="s">
        <v>54</v>
      </c>
      <c r="C16" s="22">
        <v>392</v>
      </c>
      <c r="D16" s="21">
        <v>5.0166368057333002E-2</v>
      </c>
    </row>
    <row r="17" spans="2:4">
      <c r="B17" s="23" t="s">
        <v>55</v>
      </c>
      <c r="C17" s="22">
        <v>392</v>
      </c>
      <c r="D17" s="21">
        <v>5.0166368057333002E-2</v>
      </c>
    </row>
    <row r="18" spans="2:4">
      <c r="B18" s="23" t="s">
        <v>56</v>
      </c>
      <c r="C18" s="22">
        <v>307</v>
      </c>
      <c r="D18" s="21">
        <v>3.928845661633E-2</v>
      </c>
    </row>
    <row r="19" spans="2:4">
      <c r="B19" s="23" t="s">
        <v>57</v>
      </c>
      <c r="C19" s="22">
        <v>300</v>
      </c>
      <c r="D19" s="21">
        <v>3.8392628615305999E-2</v>
      </c>
    </row>
    <row r="20" spans="2:4">
      <c r="B20" s="23" t="s">
        <v>58</v>
      </c>
      <c r="C20" s="22">
        <v>277</v>
      </c>
      <c r="D20" s="21">
        <v>3.5449193754798998E-2</v>
      </c>
    </row>
    <row r="21" spans="2:4">
      <c r="B21" s="23" t="s">
        <v>59</v>
      </c>
      <c r="C21" s="22">
        <v>238</v>
      </c>
      <c r="D21" s="21">
        <v>3.0458152034809002E-2</v>
      </c>
    </row>
    <row r="22" spans="2:4">
      <c r="B22" s="23" t="s">
        <v>60</v>
      </c>
      <c r="C22" s="22">
        <v>223</v>
      </c>
      <c r="D22" s="21">
        <v>2.8538520604044E-2</v>
      </c>
    </row>
    <row r="23" spans="2:4">
      <c r="B23" s="23" t="s">
        <v>61</v>
      </c>
      <c r="C23" s="22">
        <v>197</v>
      </c>
      <c r="D23" s="21">
        <v>2.5211159457383999E-2</v>
      </c>
    </row>
    <row r="24" spans="2:4">
      <c r="B24" s="23" t="s">
        <v>62</v>
      </c>
      <c r="C24" s="22">
        <v>176</v>
      </c>
      <c r="D24" s="21">
        <v>2.2523675454313E-2</v>
      </c>
    </row>
    <row r="25" spans="2:4">
      <c r="B25" s="23" t="s">
        <v>63</v>
      </c>
      <c r="C25" s="22">
        <v>154</v>
      </c>
      <c r="D25" s="21">
        <v>1.9708216022524001E-2</v>
      </c>
    </row>
    <row r="26" spans="2:4">
      <c r="B26" s="23" t="s">
        <v>64</v>
      </c>
      <c r="C26" s="22">
        <v>144</v>
      </c>
      <c r="D26" s="21">
        <v>1.8428461735346999E-2</v>
      </c>
    </row>
    <row r="27" spans="2:4">
      <c r="B27" s="23" t="s">
        <v>65</v>
      </c>
      <c r="C27" s="22">
        <v>121</v>
      </c>
      <c r="D27" s="21">
        <v>1.548502687484E-2</v>
      </c>
    </row>
    <row r="28" spans="2:4">
      <c r="B28" s="23" t="s">
        <v>66</v>
      </c>
      <c r="C28" s="22">
        <v>109</v>
      </c>
      <c r="D28" s="21">
        <v>1.3949321730228E-2</v>
      </c>
    </row>
    <row r="29" spans="2:4">
      <c r="B29" s="23" t="s">
        <v>67</v>
      </c>
      <c r="C29" s="22">
        <v>105</v>
      </c>
      <c r="D29" s="21">
        <v>1.3437420015357001E-2</v>
      </c>
    </row>
    <row r="30" spans="2:4">
      <c r="B30" s="23" t="s">
        <v>68</v>
      </c>
      <c r="C30" s="22">
        <v>101</v>
      </c>
      <c r="D30" s="21">
        <v>1.2925518300485999E-2</v>
      </c>
    </row>
    <row r="31" spans="2:4">
      <c r="B31" s="23" t="s">
        <v>69</v>
      </c>
      <c r="C31" s="22">
        <v>95</v>
      </c>
      <c r="D31" s="21">
        <v>1.215766572818E-2</v>
      </c>
    </row>
    <row r="32" spans="2:4">
      <c r="B32" s="23" t="s">
        <v>70</v>
      </c>
      <c r="C32" s="22">
        <v>94</v>
      </c>
      <c r="D32" s="21">
        <v>1.2029690299463E-2</v>
      </c>
    </row>
    <row r="33" spans="2:4">
      <c r="B33" s="23" t="s">
        <v>71</v>
      </c>
      <c r="C33" s="22">
        <v>86</v>
      </c>
      <c r="D33" s="21">
        <v>1.1005886869721E-2</v>
      </c>
    </row>
    <row r="34" spans="2:4">
      <c r="B34" s="23" t="s">
        <v>72</v>
      </c>
      <c r="C34" s="22">
        <v>80</v>
      </c>
      <c r="D34" s="21">
        <v>1.0238034297415001E-2</v>
      </c>
    </row>
    <row r="35" spans="2:4">
      <c r="B35" s="23" t="s">
        <v>73</v>
      </c>
      <c r="C35" s="22">
        <v>74</v>
      </c>
      <c r="D35" s="21">
        <v>9.470181725109E-3</v>
      </c>
    </row>
    <row r="36" spans="2:4">
      <c r="B36" s="23" t="s">
        <v>74</v>
      </c>
      <c r="C36" s="22">
        <v>68</v>
      </c>
      <c r="D36" s="21">
        <v>8.7023291528029994E-3</v>
      </c>
    </row>
    <row r="37" spans="2:4">
      <c r="B37" s="23" t="s">
        <v>75</v>
      </c>
      <c r="C37" s="22">
        <v>62</v>
      </c>
      <c r="D37" s="21">
        <v>7.9344765804970005E-3</v>
      </c>
    </row>
    <row r="38" spans="2:4">
      <c r="B38" s="23" t="s">
        <v>76</v>
      </c>
      <c r="C38" s="22">
        <v>54</v>
      </c>
      <c r="D38" s="21">
        <v>6.9106731507549996E-3</v>
      </c>
    </row>
    <row r="39" spans="2:4">
      <c r="B39" s="23" t="s">
        <v>77</v>
      </c>
      <c r="C39" s="22">
        <v>48</v>
      </c>
      <c r="D39" s="21">
        <v>6.1428205784489999E-3</v>
      </c>
    </row>
    <row r="40" spans="2:4">
      <c r="B40" s="23" t="s">
        <v>78</v>
      </c>
      <c r="C40" s="22">
        <v>45</v>
      </c>
      <c r="D40" s="21">
        <v>5.7588942922960004E-3</v>
      </c>
    </row>
    <row r="41" spans="2:4">
      <c r="B41" s="23" t="s">
        <v>79</v>
      </c>
      <c r="C41" s="22">
        <v>38</v>
      </c>
      <c r="D41" s="21">
        <v>4.8630662912719997E-3</v>
      </c>
    </row>
    <row r="42" spans="2:4">
      <c r="B42" s="23" t="s">
        <v>80</v>
      </c>
      <c r="C42" s="22">
        <v>31</v>
      </c>
      <c r="D42" s="21">
        <v>3.9672382902479998E-3</v>
      </c>
    </row>
    <row r="43" spans="2:4">
      <c r="B43" s="23" t="s">
        <v>81</v>
      </c>
      <c r="C43" s="22">
        <v>30</v>
      </c>
      <c r="D43" s="21">
        <v>3.8392628615310002E-3</v>
      </c>
    </row>
    <row r="44" spans="2:4">
      <c r="B44" s="23" t="s">
        <v>82</v>
      </c>
      <c r="C44" s="22">
        <v>30</v>
      </c>
      <c r="D44" s="21">
        <v>3.8392628615310002E-3</v>
      </c>
    </row>
    <row r="45" spans="2:4">
      <c r="B45" s="23" t="s">
        <v>83</v>
      </c>
      <c r="C45" s="22">
        <v>29</v>
      </c>
      <c r="D45" s="21">
        <v>3.711287432813E-3</v>
      </c>
    </row>
    <row r="46" spans="2:4">
      <c r="B46" s="23" t="s">
        <v>84</v>
      </c>
      <c r="C46" s="22">
        <v>28</v>
      </c>
      <c r="D46" s="21">
        <v>3.5833120040949999E-3</v>
      </c>
    </row>
    <row r="47" spans="2:4">
      <c r="B47" s="23" t="s">
        <v>85</v>
      </c>
      <c r="C47" s="22">
        <v>28</v>
      </c>
      <c r="D47" s="21">
        <v>3.5833120040949999E-3</v>
      </c>
    </row>
    <row r="48" spans="2:4">
      <c r="B48" s="23" t="s">
        <v>86</v>
      </c>
      <c r="C48" s="22">
        <v>25</v>
      </c>
      <c r="D48" s="21">
        <v>3.199385717942E-3</v>
      </c>
    </row>
    <row r="49" spans="2:4">
      <c r="B49" s="23" t="s">
        <v>87</v>
      </c>
      <c r="C49" s="22">
        <v>23</v>
      </c>
      <c r="D49" s="21">
        <v>2.9434348605069998E-3</v>
      </c>
    </row>
    <row r="50" spans="2:4">
      <c r="B50" s="23" t="s">
        <v>88</v>
      </c>
      <c r="C50" s="22">
        <v>18</v>
      </c>
      <c r="D50" s="21">
        <v>2.3035577169180001E-3</v>
      </c>
    </row>
    <row r="51" spans="2:4">
      <c r="B51" s="23" t="s">
        <v>89</v>
      </c>
      <c r="C51" s="22">
        <v>17</v>
      </c>
      <c r="D51" s="21">
        <v>2.1755822882010001E-3</v>
      </c>
    </row>
    <row r="52" spans="2:4">
      <c r="B52" s="23" t="s">
        <v>90</v>
      </c>
      <c r="C52" s="22">
        <v>12</v>
      </c>
      <c r="D52" s="21">
        <v>1.5357051446119999E-3</v>
      </c>
    </row>
    <row r="53" spans="2:4">
      <c r="B53" s="23" t="s">
        <v>91</v>
      </c>
      <c r="C53" s="22">
        <v>11</v>
      </c>
      <c r="D53" s="21">
        <v>1.4077297158950001E-3</v>
      </c>
    </row>
    <row r="54" spans="2:4">
      <c r="B54" s="23" t="s">
        <v>92</v>
      </c>
      <c r="C54" s="22">
        <v>7</v>
      </c>
      <c r="D54" s="21">
        <v>8.9582800102399999E-4</v>
      </c>
    </row>
    <row r="55" spans="2:4">
      <c r="B55" s="23" t="s">
        <v>93</v>
      </c>
      <c r="C55" s="22">
        <v>6</v>
      </c>
      <c r="D55" s="21">
        <v>7.6785257230599997E-4</v>
      </c>
    </row>
    <row r="56" spans="2:4">
      <c r="B56" s="23" t="s">
        <v>94</v>
      </c>
      <c r="C56" s="22">
        <v>5</v>
      </c>
      <c r="D56" s="21">
        <v>6.3987714358799996E-4</v>
      </c>
    </row>
    <row r="57" spans="2:4">
      <c r="B57" s="23" t="s">
        <v>95</v>
      </c>
      <c r="C57" s="22">
        <v>4</v>
      </c>
      <c r="D57" s="21">
        <v>5.1190171487100001E-4</v>
      </c>
    </row>
    <row r="58" spans="2:4">
      <c r="B58" s="23" t="s">
        <v>96</v>
      </c>
      <c r="C58" s="22">
        <v>4</v>
      </c>
      <c r="D58" s="21">
        <v>5.1190171487100001E-4</v>
      </c>
    </row>
    <row r="59" spans="2:4">
      <c r="B59" s="23" t="s">
        <v>97</v>
      </c>
      <c r="C59" s="22">
        <v>2</v>
      </c>
      <c r="D59" s="21">
        <v>2.5595085743500002E-4</v>
      </c>
    </row>
    <row r="60" spans="2:4">
      <c r="B60" s="23" t="s">
        <v>98</v>
      </c>
      <c r="C60" s="22">
        <v>1</v>
      </c>
      <c r="D60" s="21">
        <v>1.2797542871799999E-4</v>
      </c>
    </row>
    <row r="61" spans="2:4">
      <c r="B61" s="23" t="s">
        <v>99</v>
      </c>
      <c r="C61" s="22">
        <v>1</v>
      </c>
      <c r="D61" s="21">
        <v>1.2797542871799999E-4</v>
      </c>
    </row>
    <row r="62" spans="2:4">
      <c r="B62" s="23" t="s">
        <v>100</v>
      </c>
      <c r="C62" s="22">
        <v>1</v>
      </c>
      <c r="D62" s="21">
        <v>1.2797542871799999E-4</v>
      </c>
    </row>
    <row r="63" spans="2:4">
      <c r="B63" s="20" t="s">
        <v>29</v>
      </c>
      <c r="C63" s="19">
        <v>7814</v>
      </c>
      <c r="D63" s="18">
        <v>1</v>
      </c>
    </row>
    <row r="64" spans="2:4">
      <c r="B64" s="16"/>
    </row>
    <row r="65" spans="2:3">
      <c r="B65" s="15" t="s">
        <v>47</v>
      </c>
    </row>
    <row r="66" spans="2:3">
      <c r="B66" s="17" t="s">
        <v>18</v>
      </c>
    </row>
    <row r="67" spans="2:3">
      <c r="B67" s="16" t="s">
        <v>48</v>
      </c>
    </row>
    <row r="68" spans="2:3">
      <c r="B68" s="15" t="s">
        <v>17</v>
      </c>
      <c r="C68" s="13"/>
    </row>
    <row r="69" spans="2:3">
      <c r="B6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D30"/>
  <sheetViews>
    <sheetView showGridLines="0" view="pageBreakPreview" topLeftCell="A12" zoomScale="115" zoomScaleNormal="100" zoomScaleSheetLayoutView="115" workbookViewId="0">
      <selection activeCell="B23" sqref="B23:C23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570312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4" t="s">
        <v>43</v>
      </c>
      <c r="C7" s="74"/>
      <c r="D7" s="74"/>
    </row>
    <row r="8" spans="2:4" s="25" customFormat="1" ht="15" customHeight="1">
      <c r="B8" s="74"/>
      <c r="C8" s="74"/>
      <c r="D8" s="74"/>
    </row>
    <row r="9" spans="2:4" s="25" customFormat="1" ht="33" customHeight="1">
      <c r="B9" s="74"/>
      <c r="C9" s="74"/>
      <c r="D9" s="74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20</v>
      </c>
      <c r="D11" s="26" t="s">
        <v>19</v>
      </c>
    </row>
    <row r="12" spans="2:4">
      <c r="B12" s="23" t="s">
        <v>50</v>
      </c>
      <c r="C12" s="22">
        <v>1904</v>
      </c>
      <c r="D12" s="21">
        <f>C12/$C$22</f>
        <v>0.35083840058964438</v>
      </c>
    </row>
    <row r="13" spans="2:4">
      <c r="B13" s="23" t="s">
        <v>51</v>
      </c>
      <c r="C13" s="22">
        <v>587</v>
      </c>
      <c r="D13" s="21">
        <f t="shared" ref="D13:D21" si="0">C13/$C$22</f>
        <v>0.10816288925741661</v>
      </c>
    </row>
    <row r="14" spans="2:4">
      <c r="B14" s="23" t="s">
        <v>52</v>
      </c>
      <c r="C14" s="22">
        <v>570</v>
      </c>
      <c r="D14" s="21">
        <f t="shared" si="0"/>
        <v>0.10503040353786622</v>
      </c>
    </row>
    <row r="15" spans="2:4">
      <c r="B15" s="23" t="s">
        <v>53</v>
      </c>
      <c r="C15" s="22">
        <v>460</v>
      </c>
      <c r="D15" s="21">
        <f t="shared" si="0"/>
        <v>8.4761378293716605E-2</v>
      </c>
    </row>
    <row r="16" spans="2:4">
      <c r="B16" s="23" t="s">
        <v>54</v>
      </c>
      <c r="C16" s="22">
        <v>392</v>
      </c>
      <c r="D16" s="21">
        <f t="shared" si="0"/>
        <v>7.2231435415515022E-2</v>
      </c>
    </row>
    <row r="17" spans="2:4">
      <c r="B17" s="23" t="s">
        <v>55</v>
      </c>
      <c r="C17" s="22">
        <v>392</v>
      </c>
      <c r="D17" s="21">
        <f t="shared" si="0"/>
        <v>7.2231435415515022E-2</v>
      </c>
    </row>
    <row r="18" spans="2:4">
      <c r="B18" s="23" t="s">
        <v>56</v>
      </c>
      <c r="C18" s="22">
        <v>307</v>
      </c>
      <c r="D18" s="21">
        <f t="shared" si="0"/>
        <v>5.6569006817763036E-2</v>
      </c>
    </row>
    <row r="19" spans="2:4">
      <c r="B19" s="23" t="s">
        <v>57</v>
      </c>
      <c r="C19" s="22">
        <v>300</v>
      </c>
      <c r="D19" s="21">
        <f t="shared" si="0"/>
        <v>5.5279159756771695E-2</v>
      </c>
    </row>
    <row r="20" spans="2:4">
      <c r="B20" s="23" t="s">
        <v>58</v>
      </c>
      <c r="C20" s="22">
        <v>277</v>
      </c>
      <c r="D20" s="21">
        <f t="shared" si="0"/>
        <v>5.1041090842085864E-2</v>
      </c>
    </row>
    <row r="21" spans="2:4">
      <c r="B21" s="23" t="s">
        <v>59</v>
      </c>
      <c r="C21" s="22">
        <v>238</v>
      </c>
      <c r="D21" s="21">
        <f t="shared" si="0"/>
        <v>4.3854800073705548E-2</v>
      </c>
    </row>
    <row r="22" spans="2:4">
      <c r="B22" s="20" t="s">
        <v>44</v>
      </c>
      <c r="C22" s="19">
        <f>SUM(C12:C21)</f>
        <v>5427</v>
      </c>
      <c r="D22" s="18">
        <f t="shared" ref="D22" si="1">C22/$C$22</f>
        <v>1</v>
      </c>
    </row>
    <row r="23" spans="2:4">
      <c r="B23" s="20" t="s">
        <v>45</v>
      </c>
      <c r="C23" s="19">
        <v>7814</v>
      </c>
    </row>
    <row r="24" spans="2:4">
      <c r="B24" s="15"/>
    </row>
    <row r="25" spans="2:4">
      <c r="B25" s="15" t="s">
        <v>47</v>
      </c>
    </row>
    <row r="26" spans="2:4">
      <c r="B26" s="17" t="s">
        <v>18</v>
      </c>
    </row>
    <row r="27" spans="2:4">
      <c r="B27" s="16" t="s">
        <v>48</v>
      </c>
    </row>
    <row r="28" spans="2:4">
      <c r="B28" s="15" t="s">
        <v>17</v>
      </c>
    </row>
    <row r="29" spans="2:4">
      <c r="B29" s="15" t="s">
        <v>49</v>
      </c>
      <c r="C29" s="13"/>
    </row>
    <row r="30" spans="2:4">
      <c r="C3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40"/>
  <sheetViews>
    <sheetView showGridLines="0" view="pageBreakPreview" topLeftCell="A29" zoomScale="115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3" customWidth="1"/>
    <col min="2" max="2" width="32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14062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4" t="s">
        <v>41</v>
      </c>
      <c r="C7" s="74"/>
      <c r="D7" s="74"/>
    </row>
    <row r="8" spans="2:4" s="25" customFormat="1" ht="15" customHeight="1">
      <c r="B8" s="74"/>
      <c r="C8" s="74"/>
      <c r="D8" s="74"/>
    </row>
    <row r="9" spans="2:4" s="25" customFormat="1" ht="33" customHeight="1">
      <c r="B9" s="74"/>
      <c r="C9" s="74"/>
      <c r="D9" s="74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23</v>
      </c>
      <c r="C11" s="27" t="s">
        <v>20</v>
      </c>
      <c r="D11" s="26" t="s">
        <v>19</v>
      </c>
    </row>
    <row r="12" spans="2:4" ht="15" customHeight="1">
      <c r="B12" s="23" t="s">
        <v>197</v>
      </c>
      <c r="C12" s="22">
        <v>1648</v>
      </c>
      <c r="D12" s="21">
        <v>0.210903506526747</v>
      </c>
    </row>
    <row r="13" spans="2:4" ht="15" customHeight="1">
      <c r="B13" s="23" t="s">
        <v>195</v>
      </c>
      <c r="C13" s="22">
        <v>1105</v>
      </c>
      <c r="D13" s="21">
        <v>0.141412848733043</v>
      </c>
    </row>
    <row r="14" spans="2:4" ht="15" customHeight="1">
      <c r="B14" s="23" t="s">
        <v>201</v>
      </c>
      <c r="C14" s="22">
        <v>864</v>
      </c>
      <c r="D14" s="21">
        <v>0.11057077041208099</v>
      </c>
    </row>
    <row r="15" spans="2:4" ht="15" customHeight="1">
      <c r="B15" s="23" t="s">
        <v>196</v>
      </c>
      <c r="C15" s="22">
        <v>526</v>
      </c>
      <c r="D15" s="21">
        <v>6.7315075505503003E-2</v>
      </c>
    </row>
    <row r="16" spans="2:4" ht="15" customHeight="1">
      <c r="B16" s="23" t="s">
        <v>198</v>
      </c>
      <c r="C16" s="22">
        <v>437</v>
      </c>
      <c r="D16" s="21">
        <v>5.5925262349629003E-2</v>
      </c>
    </row>
    <row r="17" spans="2:4" ht="15" customHeight="1">
      <c r="B17" s="23" t="s">
        <v>208</v>
      </c>
      <c r="C17" s="22">
        <v>430</v>
      </c>
      <c r="D17" s="21">
        <v>5.5029434348605001E-2</v>
      </c>
    </row>
    <row r="18" spans="2:4" ht="15" customHeight="1">
      <c r="B18" s="23" t="s">
        <v>190</v>
      </c>
      <c r="C18" s="22">
        <v>381</v>
      </c>
      <c r="D18" s="21">
        <v>4.8758638341438003E-2</v>
      </c>
    </row>
    <row r="19" spans="2:4" ht="15" customHeight="1">
      <c r="B19" s="23" t="s">
        <v>206</v>
      </c>
      <c r="C19" s="22">
        <v>365</v>
      </c>
      <c r="D19" s="21">
        <v>4.6711031481954997E-2</v>
      </c>
    </row>
    <row r="20" spans="2:4" ht="15" customHeight="1">
      <c r="B20" s="23" t="s">
        <v>204</v>
      </c>
      <c r="C20" s="22">
        <v>291</v>
      </c>
      <c r="D20" s="21">
        <v>3.7240849756847001E-2</v>
      </c>
    </row>
    <row r="21" spans="2:4" ht="15" customHeight="1">
      <c r="B21" s="23" t="s">
        <v>191</v>
      </c>
      <c r="C21" s="22">
        <v>221</v>
      </c>
      <c r="D21" s="21">
        <v>2.8282569746609001E-2</v>
      </c>
    </row>
    <row r="22" spans="2:4" ht="15" customHeight="1">
      <c r="B22" s="23" t="s">
        <v>194</v>
      </c>
      <c r="C22" s="22">
        <v>207</v>
      </c>
      <c r="D22" s="21">
        <v>2.6490913744561001E-2</v>
      </c>
    </row>
    <row r="23" spans="2:4" ht="15" customHeight="1">
      <c r="B23" s="23" t="s">
        <v>199</v>
      </c>
      <c r="C23" s="22">
        <v>205</v>
      </c>
      <c r="D23" s="21">
        <v>2.6234962887126002E-2</v>
      </c>
    </row>
    <row r="24" spans="2:4" ht="15" customHeight="1">
      <c r="B24" s="23" t="s">
        <v>207</v>
      </c>
      <c r="C24" s="22">
        <v>202</v>
      </c>
      <c r="D24" s="21">
        <v>2.5851036600973001E-2</v>
      </c>
    </row>
    <row r="25" spans="2:4" ht="15" customHeight="1">
      <c r="B25" s="23" t="s">
        <v>192</v>
      </c>
      <c r="C25" s="22">
        <v>184</v>
      </c>
      <c r="D25" s="21">
        <v>2.3547478884054E-2</v>
      </c>
    </row>
    <row r="26" spans="2:4" ht="15" customHeight="1">
      <c r="B26" s="23" t="s">
        <v>202</v>
      </c>
      <c r="C26" s="22">
        <v>181</v>
      </c>
      <c r="D26" s="21">
        <v>2.3163552597901E-2</v>
      </c>
    </row>
    <row r="27" spans="2:4" ht="15" customHeight="1">
      <c r="B27" s="23" t="s">
        <v>193</v>
      </c>
      <c r="C27" s="22">
        <v>180</v>
      </c>
      <c r="D27" s="21">
        <v>2.3035577169184002E-2</v>
      </c>
    </row>
    <row r="28" spans="2:4" ht="15" customHeight="1">
      <c r="B28" s="23" t="s">
        <v>210</v>
      </c>
      <c r="C28" s="22">
        <v>148</v>
      </c>
      <c r="D28" s="21">
        <v>1.8940363450218E-2</v>
      </c>
    </row>
    <row r="29" spans="2:4" ht="15" customHeight="1">
      <c r="B29" s="23" t="s">
        <v>209</v>
      </c>
      <c r="C29" s="22">
        <v>94</v>
      </c>
      <c r="D29" s="21">
        <v>1.2029690299463E-2</v>
      </c>
    </row>
    <row r="30" spans="2:4" ht="15" customHeight="1">
      <c r="B30" s="23" t="s">
        <v>200</v>
      </c>
      <c r="C30" s="22">
        <v>79</v>
      </c>
      <c r="D30" s="21">
        <v>1.0110058868697E-2</v>
      </c>
    </row>
    <row r="31" spans="2:4" ht="15" customHeight="1">
      <c r="B31" s="23" t="s">
        <v>203</v>
      </c>
      <c r="C31" s="22">
        <v>63</v>
      </c>
      <c r="D31" s="21">
        <v>8.0624520092140006E-3</v>
      </c>
    </row>
    <row r="32" spans="2:4" ht="40.5">
      <c r="B32" s="23" t="s">
        <v>205</v>
      </c>
      <c r="C32" s="22">
        <v>3</v>
      </c>
      <c r="D32" s="21">
        <v>3.8392628615299999E-4</v>
      </c>
    </row>
    <row r="33" spans="2:4" ht="15" customHeight="1">
      <c r="B33" s="20" t="s">
        <v>29</v>
      </c>
      <c r="C33" s="19">
        <v>7814</v>
      </c>
      <c r="D33" s="18">
        <v>1</v>
      </c>
    </row>
    <row r="34" spans="2:4">
      <c r="B34" s="15"/>
    </row>
    <row r="35" spans="2:4">
      <c r="B35" s="15" t="s">
        <v>47</v>
      </c>
    </row>
    <row r="36" spans="2:4">
      <c r="B36" s="17" t="s">
        <v>18</v>
      </c>
    </row>
    <row r="37" spans="2:4">
      <c r="B37" s="16" t="s">
        <v>48</v>
      </c>
    </row>
    <row r="38" spans="2:4">
      <c r="B38" s="15" t="s">
        <v>17</v>
      </c>
    </row>
    <row r="39" spans="2:4">
      <c r="B39" s="15" t="s">
        <v>49</v>
      </c>
      <c r="C39" s="13"/>
    </row>
    <row r="40" spans="2:4">
      <c r="C4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550"/>
  <sheetViews>
    <sheetView showGridLines="0" view="pageBreakPreview" topLeftCell="A507" zoomScale="85" zoomScaleNormal="100" zoomScaleSheetLayoutView="85" workbookViewId="0">
      <selection activeCell="E536" sqref="E536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5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0" customFormat="1" ht="12" customHeight="1">
      <c r="B1" s="43"/>
      <c r="C1" s="42"/>
      <c r="D1" s="42"/>
      <c r="E1" s="42"/>
    </row>
    <row r="2" spans="1:5" s="40" customFormat="1" ht="15" customHeight="1">
      <c r="C2" s="45"/>
    </row>
    <row r="3" spans="1:5" s="40" customFormat="1" ht="15" customHeight="1">
      <c r="C3" s="45"/>
    </row>
    <row r="4" spans="1:5" s="40" customFormat="1" ht="30" customHeight="1">
      <c r="C4" s="45"/>
      <c r="D4" s="44"/>
    </row>
    <row r="5" spans="1:5" s="40" customFormat="1" ht="15" customHeight="1">
      <c r="C5" s="45"/>
      <c r="D5" s="44"/>
    </row>
    <row r="6" spans="1:5" s="40" customFormat="1" ht="24" customHeight="1">
      <c r="B6" s="43"/>
      <c r="C6" s="42"/>
      <c r="D6" s="42"/>
      <c r="E6" s="42"/>
    </row>
    <row r="7" spans="1:5" s="40" customFormat="1" ht="26.25" customHeight="1">
      <c r="A7" s="41"/>
      <c r="B7" s="75"/>
      <c r="C7" s="75"/>
      <c r="D7" s="75"/>
      <c r="E7" s="75"/>
    </row>
    <row r="8" spans="1:5" s="40" customFormat="1" ht="33" customHeight="1">
      <c r="A8" s="41"/>
      <c r="B8" s="75"/>
      <c r="C8" s="75"/>
      <c r="D8" s="75"/>
      <c r="E8" s="75"/>
    </row>
    <row r="9" spans="1:5" s="25" customFormat="1" ht="40.5" customHeight="1">
      <c r="B9" s="37" t="s">
        <v>25</v>
      </c>
      <c r="C9" s="39" t="s">
        <v>24</v>
      </c>
      <c r="D9" s="38" t="s">
        <v>20</v>
      </c>
      <c r="E9" s="37" t="s">
        <v>19</v>
      </c>
    </row>
    <row r="10" spans="1:5" ht="15" customHeight="1">
      <c r="B10" s="76" t="s">
        <v>101</v>
      </c>
      <c r="C10" s="62" t="s">
        <v>190</v>
      </c>
      <c r="D10" s="63">
        <v>4</v>
      </c>
      <c r="E10" s="64">
        <v>5.1190171487100001E-4</v>
      </c>
    </row>
    <row r="11" spans="1:5" ht="15" customHeight="1">
      <c r="B11" s="77"/>
      <c r="C11" s="62" t="s">
        <v>191</v>
      </c>
      <c r="D11" s="63">
        <v>2</v>
      </c>
      <c r="E11" s="64">
        <v>2.5595085743500002E-4</v>
      </c>
    </row>
    <row r="12" spans="1:5" ht="15" customHeight="1">
      <c r="B12" s="77"/>
      <c r="C12" s="62" t="s">
        <v>192</v>
      </c>
      <c r="D12" s="63">
        <v>1</v>
      </c>
      <c r="E12" s="64">
        <v>1.2797542871799999E-4</v>
      </c>
    </row>
    <row r="13" spans="1:5" ht="15" customHeight="1">
      <c r="B13" s="77"/>
      <c r="C13" s="62" t="s">
        <v>193</v>
      </c>
      <c r="D13" s="63">
        <v>2</v>
      </c>
      <c r="E13" s="64">
        <v>2.5595085743500002E-4</v>
      </c>
    </row>
    <row r="14" spans="1:5" ht="15" customHeight="1">
      <c r="B14" s="77"/>
      <c r="C14" s="62" t="s">
        <v>194</v>
      </c>
      <c r="D14" s="63">
        <v>2</v>
      </c>
      <c r="E14" s="64">
        <v>2.5595085743500002E-4</v>
      </c>
    </row>
    <row r="15" spans="1:5" ht="15" customHeight="1">
      <c r="B15" s="77"/>
      <c r="C15" s="62" t="s">
        <v>195</v>
      </c>
      <c r="D15" s="63">
        <v>8</v>
      </c>
      <c r="E15" s="64">
        <v>1.0238034297409999E-3</v>
      </c>
    </row>
    <row r="16" spans="1:5" ht="15" customHeight="1">
      <c r="B16" s="77"/>
      <c r="C16" s="62" t="s">
        <v>196</v>
      </c>
      <c r="D16" s="63">
        <v>5</v>
      </c>
      <c r="E16" s="64">
        <v>6.3987714358799996E-4</v>
      </c>
    </row>
    <row r="17" spans="2:5" ht="15" customHeight="1">
      <c r="B17" s="77"/>
      <c r="C17" s="62" t="s">
        <v>197</v>
      </c>
      <c r="D17" s="63">
        <v>4</v>
      </c>
      <c r="E17" s="64">
        <v>5.1190171487100001E-4</v>
      </c>
    </row>
    <row r="18" spans="2:5" ht="15" customHeight="1">
      <c r="B18" s="77"/>
      <c r="C18" s="62" t="s">
        <v>198</v>
      </c>
      <c r="D18" s="63">
        <v>1</v>
      </c>
      <c r="E18" s="64">
        <v>1.2797542871799999E-4</v>
      </c>
    </row>
    <row r="19" spans="2:5" ht="15" customHeight="1">
      <c r="B19" s="78"/>
      <c r="C19" s="36" t="s">
        <v>29</v>
      </c>
      <c r="D19" s="35">
        <v>29</v>
      </c>
      <c r="E19" s="34">
        <v>3.711287432813E-3</v>
      </c>
    </row>
    <row r="20" spans="2:5" ht="15" customHeight="1">
      <c r="B20" s="76" t="s">
        <v>102</v>
      </c>
      <c r="C20" s="62" t="s">
        <v>194</v>
      </c>
      <c r="D20" s="63">
        <v>1</v>
      </c>
      <c r="E20" s="64">
        <v>1.2797542871799999E-4</v>
      </c>
    </row>
    <row r="21" spans="2:5" ht="15" customHeight="1">
      <c r="B21" s="78"/>
      <c r="C21" s="36" t="s">
        <v>29</v>
      </c>
      <c r="D21" s="35">
        <v>1</v>
      </c>
      <c r="E21" s="34">
        <v>1.2797542871799999E-4</v>
      </c>
    </row>
    <row r="22" spans="2:5" ht="15" customHeight="1">
      <c r="B22" s="76" t="s">
        <v>103</v>
      </c>
      <c r="C22" s="62" t="s">
        <v>190</v>
      </c>
      <c r="D22" s="63">
        <v>26</v>
      </c>
      <c r="E22" s="64">
        <v>3.3273611466600002E-3</v>
      </c>
    </row>
    <row r="23" spans="2:5" ht="15" customHeight="1">
      <c r="B23" s="77"/>
      <c r="C23" s="62" t="s">
        <v>199</v>
      </c>
      <c r="D23" s="63">
        <v>5</v>
      </c>
      <c r="E23" s="64">
        <v>6.3987714358799996E-4</v>
      </c>
    </row>
    <row r="24" spans="2:5" ht="15" customHeight="1">
      <c r="B24" s="77"/>
      <c r="C24" s="62" t="s">
        <v>191</v>
      </c>
      <c r="D24" s="63">
        <v>2</v>
      </c>
      <c r="E24" s="64">
        <v>2.5595085743500002E-4</v>
      </c>
    </row>
    <row r="25" spans="2:5" ht="15" customHeight="1">
      <c r="B25" s="77"/>
      <c r="C25" s="62" t="s">
        <v>200</v>
      </c>
      <c r="D25" s="63">
        <v>2</v>
      </c>
      <c r="E25" s="64">
        <v>2.5595085743500002E-4</v>
      </c>
    </row>
    <row r="26" spans="2:5" ht="15" customHeight="1">
      <c r="B26" s="77"/>
      <c r="C26" s="62" t="s">
        <v>201</v>
      </c>
      <c r="D26" s="63">
        <v>30</v>
      </c>
      <c r="E26" s="64">
        <v>3.8392628615310002E-3</v>
      </c>
    </row>
    <row r="27" spans="2:5" ht="15" customHeight="1">
      <c r="B27" s="77"/>
      <c r="C27" s="62" t="s">
        <v>202</v>
      </c>
      <c r="D27" s="63">
        <v>1</v>
      </c>
      <c r="E27" s="64">
        <v>1.2797542871799999E-4</v>
      </c>
    </row>
    <row r="28" spans="2:5" ht="15" customHeight="1">
      <c r="B28" s="77"/>
      <c r="C28" s="62" t="s">
        <v>203</v>
      </c>
      <c r="D28" s="63">
        <v>5</v>
      </c>
      <c r="E28" s="64">
        <v>6.3987714358799996E-4</v>
      </c>
    </row>
    <row r="29" spans="2:5" ht="15" customHeight="1">
      <c r="B29" s="77"/>
      <c r="C29" s="62" t="s">
        <v>204</v>
      </c>
      <c r="D29" s="63">
        <v>4</v>
      </c>
      <c r="E29" s="64">
        <v>5.1190171487100001E-4</v>
      </c>
    </row>
    <row r="30" spans="2:5" ht="15" customHeight="1">
      <c r="B30" s="77"/>
      <c r="C30" s="62" t="s">
        <v>192</v>
      </c>
      <c r="D30" s="63">
        <v>1</v>
      </c>
      <c r="E30" s="64">
        <v>1.2797542871799999E-4</v>
      </c>
    </row>
    <row r="31" spans="2:5" ht="15" customHeight="1">
      <c r="B31" s="77"/>
      <c r="C31" s="62" t="s">
        <v>193</v>
      </c>
      <c r="D31" s="63">
        <v>4</v>
      </c>
      <c r="E31" s="64">
        <v>5.1190171487100001E-4</v>
      </c>
    </row>
    <row r="32" spans="2:5" ht="15" customHeight="1">
      <c r="B32" s="77"/>
      <c r="C32" s="62" t="s">
        <v>205</v>
      </c>
      <c r="D32" s="63">
        <v>1</v>
      </c>
      <c r="E32" s="64">
        <v>1.2797542871799999E-4</v>
      </c>
    </row>
    <row r="33" spans="2:5" ht="15" customHeight="1">
      <c r="B33" s="77"/>
      <c r="C33" s="62" t="s">
        <v>206</v>
      </c>
      <c r="D33" s="63">
        <v>18</v>
      </c>
      <c r="E33" s="64">
        <v>2.3035577169180001E-3</v>
      </c>
    </row>
    <row r="34" spans="2:5" ht="15" customHeight="1">
      <c r="B34" s="77"/>
      <c r="C34" s="62" t="s">
        <v>207</v>
      </c>
      <c r="D34" s="63">
        <v>9</v>
      </c>
      <c r="E34" s="64">
        <v>1.1517788584590001E-3</v>
      </c>
    </row>
    <row r="35" spans="2:5" ht="15" customHeight="1">
      <c r="B35" s="77"/>
      <c r="C35" s="62" t="s">
        <v>208</v>
      </c>
      <c r="D35" s="63">
        <v>16</v>
      </c>
      <c r="E35" s="64">
        <v>2.047606859483E-3</v>
      </c>
    </row>
    <row r="36" spans="2:5" ht="15" customHeight="1">
      <c r="B36" s="77"/>
      <c r="C36" s="62" t="s">
        <v>194</v>
      </c>
      <c r="D36" s="63">
        <v>7</v>
      </c>
      <c r="E36" s="64">
        <v>8.9582800102399999E-4</v>
      </c>
    </row>
    <row r="37" spans="2:5" ht="15" customHeight="1">
      <c r="B37" s="77"/>
      <c r="C37" s="62" t="s">
        <v>195</v>
      </c>
      <c r="D37" s="63">
        <v>46</v>
      </c>
      <c r="E37" s="64">
        <v>5.8868697210139997E-3</v>
      </c>
    </row>
    <row r="38" spans="2:5" ht="15" customHeight="1">
      <c r="B38" s="77"/>
      <c r="C38" s="62" t="s">
        <v>196</v>
      </c>
      <c r="D38" s="63">
        <v>21</v>
      </c>
      <c r="E38" s="64">
        <v>2.687484003071E-3</v>
      </c>
    </row>
    <row r="39" spans="2:5" ht="15" customHeight="1">
      <c r="B39" s="77"/>
      <c r="C39" s="62" t="s">
        <v>197</v>
      </c>
      <c r="D39" s="63">
        <v>63</v>
      </c>
      <c r="E39" s="64">
        <v>8.0624520092140006E-3</v>
      </c>
    </row>
    <row r="40" spans="2:5" ht="15" customHeight="1">
      <c r="B40" s="77"/>
      <c r="C40" s="62" t="s">
        <v>198</v>
      </c>
      <c r="D40" s="63">
        <v>14</v>
      </c>
      <c r="E40" s="64">
        <v>1.791656002048E-3</v>
      </c>
    </row>
    <row r="41" spans="2:5" ht="15" customHeight="1">
      <c r="B41" s="77"/>
      <c r="C41" s="62" t="s">
        <v>209</v>
      </c>
      <c r="D41" s="63">
        <v>4</v>
      </c>
      <c r="E41" s="64">
        <v>5.1190171487100001E-4</v>
      </c>
    </row>
    <row r="42" spans="2:5" ht="15" customHeight="1">
      <c r="B42" s="78"/>
      <c r="C42" s="36" t="s">
        <v>29</v>
      </c>
      <c r="D42" s="35">
        <v>279</v>
      </c>
      <c r="E42" s="34">
        <v>3.5705144612234001E-2</v>
      </c>
    </row>
    <row r="43" spans="2:5" ht="15" customHeight="1">
      <c r="B43" s="76" t="s">
        <v>104</v>
      </c>
      <c r="C43" s="62" t="s">
        <v>190</v>
      </c>
      <c r="D43" s="63">
        <v>7</v>
      </c>
      <c r="E43" s="64">
        <v>8.9582800102399999E-4</v>
      </c>
    </row>
    <row r="44" spans="2:5" ht="15" customHeight="1">
      <c r="B44" s="77"/>
      <c r="C44" s="62" t="s">
        <v>191</v>
      </c>
      <c r="D44" s="63">
        <v>1</v>
      </c>
      <c r="E44" s="64">
        <v>1.2797542871799999E-4</v>
      </c>
    </row>
    <row r="45" spans="2:5" ht="15" customHeight="1">
      <c r="B45" s="77"/>
      <c r="C45" s="62" t="s">
        <v>201</v>
      </c>
      <c r="D45" s="63">
        <v>2</v>
      </c>
      <c r="E45" s="64">
        <v>2.5595085743500002E-4</v>
      </c>
    </row>
    <row r="46" spans="2:5" ht="15" customHeight="1">
      <c r="B46" s="77"/>
      <c r="C46" s="62" t="s">
        <v>202</v>
      </c>
      <c r="D46" s="63">
        <v>1</v>
      </c>
      <c r="E46" s="64">
        <v>1.2797542871799999E-4</v>
      </c>
    </row>
    <row r="47" spans="2:5" ht="15" customHeight="1">
      <c r="B47" s="77"/>
      <c r="C47" s="62" t="s">
        <v>194</v>
      </c>
      <c r="D47" s="63">
        <v>1</v>
      </c>
      <c r="E47" s="64">
        <v>1.2797542871799999E-4</v>
      </c>
    </row>
    <row r="48" spans="2:5" ht="15" customHeight="1">
      <c r="B48" s="77"/>
      <c r="C48" s="62" t="s">
        <v>195</v>
      </c>
      <c r="D48" s="63">
        <v>6</v>
      </c>
      <c r="E48" s="64">
        <v>7.6785257230599997E-4</v>
      </c>
    </row>
    <row r="49" spans="2:5" ht="15" customHeight="1">
      <c r="B49" s="77"/>
      <c r="C49" s="62" t="s">
        <v>196</v>
      </c>
      <c r="D49" s="63">
        <v>7</v>
      </c>
      <c r="E49" s="64">
        <v>8.9582800102399999E-4</v>
      </c>
    </row>
    <row r="50" spans="2:5" ht="15" customHeight="1">
      <c r="B50" s="77"/>
      <c r="C50" s="62" t="s">
        <v>197</v>
      </c>
      <c r="D50" s="63">
        <v>8</v>
      </c>
      <c r="E50" s="64">
        <v>1.0238034297409999E-3</v>
      </c>
    </row>
    <row r="51" spans="2:5" ht="15" customHeight="1">
      <c r="B51" s="77"/>
      <c r="C51" s="62" t="s">
        <v>198</v>
      </c>
      <c r="D51" s="63">
        <v>1</v>
      </c>
      <c r="E51" s="64">
        <v>1.2797542871799999E-4</v>
      </c>
    </row>
    <row r="52" spans="2:5" ht="15" customHeight="1">
      <c r="B52" s="78"/>
      <c r="C52" s="36" t="s">
        <v>29</v>
      </c>
      <c r="D52" s="35">
        <v>34</v>
      </c>
      <c r="E52" s="34">
        <v>4.3511645764010001E-3</v>
      </c>
    </row>
    <row r="53" spans="2:5" ht="15" customHeight="1">
      <c r="B53" s="76" t="s">
        <v>105</v>
      </c>
      <c r="C53" s="62" t="s">
        <v>190</v>
      </c>
      <c r="D53" s="63">
        <v>271</v>
      </c>
      <c r="E53" s="64">
        <v>3.4681341182492997E-2</v>
      </c>
    </row>
    <row r="54" spans="2:5" ht="15" customHeight="1">
      <c r="B54" s="77"/>
      <c r="C54" s="62" t="s">
        <v>199</v>
      </c>
      <c r="D54" s="63">
        <v>140</v>
      </c>
      <c r="E54" s="64">
        <v>1.7916560020476001E-2</v>
      </c>
    </row>
    <row r="55" spans="2:5" ht="15" customHeight="1">
      <c r="B55" s="77"/>
      <c r="C55" s="62" t="s">
        <v>191</v>
      </c>
      <c r="D55" s="63">
        <v>177</v>
      </c>
      <c r="E55" s="64">
        <v>2.2651650883029999E-2</v>
      </c>
    </row>
    <row r="56" spans="2:5" ht="15" customHeight="1">
      <c r="B56" s="77"/>
      <c r="C56" s="62" t="s">
        <v>200</v>
      </c>
      <c r="D56" s="63">
        <v>36</v>
      </c>
      <c r="E56" s="64">
        <v>4.6071154338370003E-3</v>
      </c>
    </row>
    <row r="57" spans="2:5" ht="15" customHeight="1">
      <c r="B57" s="77"/>
      <c r="C57" s="62" t="s">
        <v>201</v>
      </c>
      <c r="D57" s="63">
        <v>553</v>
      </c>
      <c r="E57" s="64">
        <v>7.0770412080880002E-2</v>
      </c>
    </row>
    <row r="58" spans="2:5" ht="15" customHeight="1">
      <c r="B58" s="77"/>
      <c r="C58" s="62" t="s">
        <v>202</v>
      </c>
      <c r="D58" s="63">
        <v>34</v>
      </c>
      <c r="E58" s="64">
        <v>4.3511645764010001E-3</v>
      </c>
    </row>
    <row r="59" spans="2:5" ht="15" customHeight="1">
      <c r="B59" s="77"/>
      <c r="C59" s="62" t="s">
        <v>203</v>
      </c>
      <c r="D59" s="63">
        <v>44</v>
      </c>
      <c r="E59" s="64">
        <v>5.6309188635780003E-3</v>
      </c>
    </row>
    <row r="60" spans="2:5" ht="15" customHeight="1">
      <c r="B60" s="77"/>
      <c r="C60" s="62" t="s">
        <v>204</v>
      </c>
      <c r="D60" s="63">
        <v>129</v>
      </c>
      <c r="E60" s="64">
        <v>1.6508830304582001E-2</v>
      </c>
    </row>
    <row r="61" spans="2:5" ht="15" customHeight="1">
      <c r="B61" s="77"/>
      <c r="C61" s="62" t="s">
        <v>192</v>
      </c>
      <c r="D61" s="63">
        <v>127</v>
      </c>
      <c r="E61" s="64">
        <v>1.6252879447145999E-2</v>
      </c>
    </row>
    <row r="62" spans="2:5" ht="15" customHeight="1">
      <c r="B62" s="77"/>
      <c r="C62" s="62" t="s">
        <v>193</v>
      </c>
      <c r="D62" s="63">
        <v>83</v>
      </c>
      <c r="E62" s="64">
        <v>1.0621960583567999E-2</v>
      </c>
    </row>
    <row r="63" spans="2:5" ht="15" customHeight="1">
      <c r="B63" s="77"/>
      <c r="C63" s="62" t="s">
        <v>206</v>
      </c>
      <c r="D63" s="63">
        <v>196</v>
      </c>
      <c r="E63" s="64">
        <v>2.5083184028666002E-2</v>
      </c>
    </row>
    <row r="64" spans="2:5" ht="15" customHeight="1">
      <c r="B64" s="77"/>
      <c r="C64" s="62" t="s">
        <v>207</v>
      </c>
      <c r="D64" s="63">
        <v>106</v>
      </c>
      <c r="E64" s="64">
        <v>1.3565395444075E-2</v>
      </c>
    </row>
    <row r="65" spans="2:5" ht="15" customHeight="1">
      <c r="B65" s="77"/>
      <c r="C65" s="62" t="s">
        <v>208</v>
      </c>
      <c r="D65" s="63">
        <v>234</v>
      </c>
      <c r="E65" s="64">
        <v>2.9946250319939E-2</v>
      </c>
    </row>
    <row r="66" spans="2:5" ht="15" customHeight="1">
      <c r="B66" s="77"/>
      <c r="C66" s="62" t="s">
        <v>210</v>
      </c>
      <c r="D66" s="63">
        <v>125</v>
      </c>
      <c r="E66" s="64">
        <v>1.5996928589710999E-2</v>
      </c>
    </row>
    <row r="67" spans="2:5" ht="15" customHeight="1">
      <c r="B67" s="77"/>
      <c r="C67" s="62" t="s">
        <v>194</v>
      </c>
      <c r="D67" s="63">
        <v>144</v>
      </c>
      <c r="E67" s="64">
        <v>1.8428461735346999E-2</v>
      </c>
    </row>
    <row r="68" spans="2:5" ht="15" customHeight="1">
      <c r="B68" s="77"/>
      <c r="C68" s="62" t="s">
        <v>195</v>
      </c>
      <c r="D68" s="63">
        <v>616</v>
      </c>
      <c r="E68" s="64">
        <v>7.8832864090095003E-2</v>
      </c>
    </row>
    <row r="69" spans="2:5" ht="15" customHeight="1">
      <c r="B69" s="77"/>
      <c r="C69" s="62" t="s">
        <v>196</v>
      </c>
      <c r="D69" s="63">
        <v>398</v>
      </c>
      <c r="E69" s="64">
        <v>5.0934220629639003E-2</v>
      </c>
    </row>
    <row r="70" spans="2:5" ht="15" customHeight="1">
      <c r="B70" s="77"/>
      <c r="C70" s="62" t="s">
        <v>197</v>
      </c>
      <c r="D70" s="63">
        <v>928</v>
      </c>
      <c r="E70" s="64">
        <v>0.118761197850013</v>
      </c>
    </row>
    <row r="71" spans="2:5" ht="15" customHeight="1">
      <c r="B71" s="77"/>
      <c r="C71" s="62" t="s">
        <v>198</v>
      </c>
      <c r="D71" s="63">
        <v>240</v>
      </c>
      <c r="E71" s="64">
        <v>3.0714102892245E-2</v>
      </c>
    </row>
    <row r="72" spans="2:5" ht="15" customHeight="1">
      <c r="B72" s="77"/>
      <c r="C72" s="62" t="s">
        <v>209</v>
      </c>
      <c r="D72" s="63">
        <v>59</v>
      </c>
      <c r="E72" s="64">
        <v>7.5505502943430001E-3</v>
      </c>
    </row>
    <row r="73" spans="2:5" ht="15" customHeight="1">
      <c r="B73" s="78"/>
      <c r="C73" s="36" t="s">
        <v>29</v>
      </c>
      <c r="D73" s="35">
        <v>4640</v>
      </c>
      <c r="E73" s="34">
        <v>0.593805989250064</v>
      </c>
    </row>
    <row r="74" spans="2:5" ht="15" customHeight="1">
      <c r="B74" s="76" t="s">
        <v>106</v>
      </c>
      <c r="C74" s="62" t="s">
        <v>199</v>
      </c>
      <c r="D74" s="63">
        <v>3</v>
      </c>
      <c r="E74" s="64">
        <v>3.8392628615299999E-4</v>
      </c>
    </row>
    <row r="75" spans="2:5" ht="15" customHeight="1">
      <c r="B75" s="77"/>
      <c r="C75" s="62" t="s">
        <v>200</v>
      </c>
      <c r="D75" s="63">
        <v>3</v>
      </c>
      <c r="E75" s="64">
        <v>3.8392628615299999E-4</v>
      </c>
    </row>
    <row r="76" spans="2:5" ht="15" customHeight="1">
      <c r="B76" s="77"/>
      <c r="C76" s="62" t="s">
        <v>201</v>
      </c>
      <c r="D76" s="63">
        <v>18</v>
      </c>
      <c r="E76" s="64">
        <v>2.3035577169180001E-3</v>
      </c>
    </row>
    <row r="77" spans="2:5" ht="15" customHeight="1">
      <c r="B77" s="77"/>
      <c r="C77" s="62" t="s">
        <v>202</v>
      </c>
      <c r="D77" s="63">
        <v>88</v>
      </c>
      <c r="E77" s="64">
        <v>1.1261837727156001E-2</v>
      </c>
    </row>
    <row r="78" spans="2:5" ht="15" customHeight="1">
      <c r="B78" s="77"/>
      <c r="C78" s="62" t="s">
        <v>203</v>
      </c>
      <c r="D78" s="63">
        <v>1</v>
      </c>
      <c r="E78" s="64">
        <v>1.2797542871799999E-4</v>
      </c>
    </row>
    <row r="79" spans="2:5" ht="15" customHeight="1">
      <c r="B79" s="77"/>
      <c r="C79" s="62" t="s">
        <v>204</v>
      </c>
      <c r="D79" s="63">
        <v>2</v>
      </c>
      <c r="E79" s="64">
        <v>2.5595085743500002E-4</v>
      </c>
    </row>
    <row r="80" spans="2:5" ht="15" customHeight="1">
      <c r="B80" s="77"/>
      <c r="C80" s="62" t="s">
        <v>192</v>
      </c>
      <c r="D80" s="63">
        <v>2</v>
      </c>
      <c r="E80" s="64">
        <v>2.5595085743500002E-4</v>
      </c>
    </row>
    <row r="81" spans="2:5" ht="15" customHeight="1">
      <c r="B81" s="77"/>
      <c r="C81" s="62" t="s">
        <v>193</v>
      </c>
      <c r="D81" s="63">
        <v>1</v>
      </c>
      <c r="E81" s="64">
        <v>1.2797542871799999E-4</v>
      </c>
    </row>
    <row r="82" spans="2:5" ht="15" customHeight="1">
      <c r="B82" s="77"/>
      <c r="C82" s="62" t="s">
        <v>206</v>
      </c>
      <c r="D82" s="63">
        <v>13</v>
      </c>
      <c r="E82" s="64">
        <v>1.6636805733300001E-3</v>
      </c>
    </row>
    <row r="83" spans="2:5" ht="15" customHeight="1">
      <c r="B83" s="77"/>
      <c r="C83" s="62" t="s">
        <v>207</v>
      </c>
      <c r="D83" s="63">
        <v>4</v>
      </c>
      <c r="E83" s="64">
        <v>5.1190171487100001E-4</v>
      </c>
    </row>
    <row r="84" spans="2:5" ht="15" customHeight="1">
      <c r="B84" s="77"/>
      <c r="C84" s="62" t="s">
        <v>208</v>
      </c>
      <c r="D84" s="63">
        <v>10</v>
      </c>
      <c r="E84" s="64">
        <v>1.279754287177E-3</v>
      </c>
    </row>
    <row r="85" spans="2:5" ht="15" customHeight="1">
      <c r="B85" s="77"/>
      <c r="C85" s="62" t="s">
        <v>210</v>
      </c>
      <c r="D85" s="63">
        <v>2</v>
      </c>
      <c r="E85" s="64">
        <v>2.5595085743500002E-4</v>
      </c>
    </row>
    <row r="86" spans="2:5" ht="15" customHeight="1">
      <c r="B86" s="77"/>
      <c r="C86" s="62" t="s">
        <v>195</v>
      </c>
      <c r="D86" s="63">
        <v>24</v>
      </c>
      <c r="E86" s="64">
        <v>3.0714102892239999E-3</v>
      </c>
    </row>
    <row r="87" spans="2:5" ht="15" customHeight="1">
      <c r="B87" s="77"/>
      <c r="C87" s="62" t="s">
        <v>196</v>
      </c>
      <c r="D87" s="63">
        <v>6</v>
      </c>
      <c r="E87" s="64">
        <v>7.6785257230599997E-4</v>
      </c>
    </row>
    <row r="88" spans="2:5" ht="15" customHeight="1">
      <c r="B88" s="77"/>
      <c r="C88" s="62" t="s">
        <v>197</v>
      </c>
      <c r="D88" s="63">
        <v>40</v>
      </c>
      <c r="E88" s="64">
        <v>5.1190171487069999E-3</v>
      </c>
    </row>
    <row r="89" spans="2:5" ht="15" customHeight="1">
      <c r="B89" s="77"/>
      <c r="C89" s="62" t="s">
        <v>198</v>
      </c>
      <c r="D89" s="63">
        <v>2</v>
      </c>
      <c r="E89" s="64">
        <v>2.5595085743500002E-4</v>
      </c>
    </row>
    <row r="90" spans="2:5" ht="15" customHeight="1">
      <c r="B90" s="77"/>
      <c r="C90" s="62" t="s">
        <v>209</v>
      </c>
      <c r="D90" s="63">
        <v>2</v>
      </c>
      <c r="E90" s="64">
        <v>2.5595085743500002E-4</v>
      </c>
    </row>
    <row r="91" spans="2:5" ht="15" customHeight="1">
      <c r="B91" s="78"/>
      <c r="C91" s="36" t="s">
        <v>29</v>
      </c>
      <c r="D91" s="35">
        <v>221</v>
      </c>
      <c r="E91" s="34">
        <v>2.8282569746609001E-2</v>
      </c>
    </row>
    <row r="92" spans="2:5" ht="15" customHeight="1">
      <c r="B92" s="76" t="s">
        <v>107</v>
      </c>
      <c r="C92" s="62" t="s">
        <v>207</v>
      </c>
      <c r="D92" s="63">
        <v>1</v>
      </c>
      <c r="E92" s="64">
        <v>1.2797542871799999E-4</v>
      </c>
    </row>
    <row r="93" spans="2:5" ht="15" customHeight="1">
      <c r="B93" s="78"/>
      <c r="C93" s="36" t="s">
        <v>29</v>
      </c>
      <c r="D93" s="35">
        <v>1</v>
      </c>
      <c r="E93" s="34">
        <v>1.2797542871799999E-4</v>
      </c>
    </row>
    <row r="94" spans="2:5" ht="15" customHeight="1">
      <c r="B94" s="76" t="s">
        <v>108</v>
      </c>
      <c r="C94" s="62" t="s">
        <v>201</v>
      </c>
      <c r="D94" s="63">
        <v>1</v>
      </c>
      <c r="E94" s="64">
        <v>1.2797542871799999E-4</v>
      </c>
    </row>
    <row r="95" spans="2:5" ht="15" customHeight="1">
      <c r="B95" s="77"/>
      <c r="C95" s="62" t="s">
        <v>193</v>
      </c>
      <c r="D95" s="63">
        <v>2</v>
      </c>
      <c r="E95" s="64">
        <v>2.5595085743500002E-4</v>
      </c>
    </row>
    <row r="96" spans="2:5" ht="15" customHeight="1">
      <c r="B96" s="77"/>
      <c r="C96" s="62" t="s">
        <v>208</v>
      </c>
      <c r="D96" s="63">
        <v>1</v>
      </c>
      <c r="E96" s="64">
        <v>1.2797542871799999E-4</v>
      </c>
    </row>
    <row r="97" spans="2:5" ht="15" customHeight="1">
      <c r="B97" s="77"/>
      <c r="C97" s="62" t="s">
        <v>195</v>
      </c>
      <c r="D97" s="63">
        <v>2</v>
      </c>
      <c r="E97" s="64">
        <v>2.5595085743500002E-4</v>
      </c>
    </row>
    <row r="98" spans="2:5" ht="15" customHeight="1">
      <c r="B98" s="77"/>
      <c r="C98" s="62" t="s">
        <v>198</v>
      </c>
      <c r="D98" s="63">
        <v>1</v>
      </c>
      <c r="E98" s="64">
        <v>1.2797542871799999E-4</v>
      </c>
    </row>
    <row r="99" spans="2:5" ht="15" customHeight="1">
      <c r="B99" s="78"/>
      <c r="C99" s="36" t="s">
        <v>29</v>
      </c>
      <c r="D99" s="35">
        <v>7</v>
      </c>
      <c r="E99" s="34">
        <v>8.9582800102399999E-4</v>
      </c>
    </row>
    <row r="100" spans="2:5" ht="15" customHeight="1">
      <c r="B100" s="76" t="s">
        <v>109</v>
      </c>
      <c r="C100" s="62" t="s">
        <v>199</v>
      </c>
      <c r="D100" s="63">
        <v>1</v>
      </c>
      <c r="E100" s="64">
        <v>1.2797542871799999E-4</v>
      </c>
    </row>
    <row r="101" spans="2:5" ht="15" customHeight="1">
      <c r="B101" s="77"/>
      <c r="C101" s="62" t="s">
        <v>200</v>
      </c>
      <c r="D101" s="63">
        <v>6</v>
      </c>
      <c r="E101" s="64">
        <v>7.6785257230599997E-4</v>
      </c>
    </row>
    <row r="102" spans="2:5" ht="15" customHeight="1">
      <c r="B102" s="77"/>
      <c r="C102" s="62" t="s">
        <v>201</v>
      </c>
      <c r="D102" s="63">
        <v>40</v>
      </c>
      <c r="E102" s="64">
        <v>5.1190171487069999E-3</v>
      </c>
    </row>
    <row r="103" spans="2:5" ht="15" customHeight="1">
      <c r="B103" s="77"/>
      <c r="C103" s="62" t="s">
        <v>202</v>
      </c>
      <c r="D103" s="63">
        <v>1</v>
      </c>
      <c r="E103" s="64">
        <v>1.2797542871799999E-4</v>
      </c>
    </row>
    <row r="104" spans="2:5" ht="15" customHeight="1">
      <c r="B104" s="77"/>
      <c r="C104" s="62" t="s">
        <v>203</v>
      </c>
      <c r="D104" s="63">
        <v>2</v>
      </c>
      <c r="E104" s="64">
        <v>2.5595085743500002E-4</v>
      </c>
    </row>
    <row r="105" spans="2:5" ht="15" customHeight="1">
      <c r="B105" s="77"/>
      <c r="C105" s="62" t="s">
        <v>204</v>
      </c>
      <c r="D105" s="63">
        <v>2</v>
      </c>
      <c r="E105" s="64">
        <v>2.5595085743500002E-4</v>
      </c>
    </row>
    <row r="106" spans="2:5" ht="15" customHeight="1">
      <c r="B106" s="77"/>
      <c r="C106" s="62" t="s">
        <v>192</v>
      </c>
      <c r="D106" s="63">
        <v>3</v>
      </c>
      <c r="E106" s="64">
        <v>3.8392628615299999E-4</v>
      </c>
    </row>
    <row r="107" spans="2:5" ht="15" customHeight="1">
      <c r="B107" s="77"/>
      <c r="C107" s="62" t="s">
        <v>193</v>
      </c>
      <c r="D107" s="63">
        <v>1</v>
      </c>
      <c r="E107" s="64">
        <v>1.2797542871799999E-4</v>
      </c>
    </row>
    <row r="108" spans="2:5" ht="15" customHeight="1">
      <c r="B108" s="77"/>
      <c r="C108" s="62" t="s">
        <v>206</v>
      </c>
      <c r="D108" s="63">
        <v>4</v>
      </c>
      <c r="E108" s="64">
        <v>5.1190171487100001E-4</v>
      </c>
    </row>
    <row r="109" spans="2:5" ht="15" customHeight="1">
      <c r="B109" s="77"/>
      <c r="C109" s="62" t="s">
        <v>207</v>
      </c>
      <c r="D109" s="63">
        <v>4</v>
      </c>
      <c r="E109" s="64">
        <v>5.1190171487100001E-4</v>
      </c>
    </row>
    <row r="110" spans="2:5" ht="15" customHeight="1">
      <c r="B110" s="77"/>
      <c r="C110" s="62" t="s">
        <v>208</v>
      </c>
      <c r="D110" s="63">
        <v>2</v>
      </c>
      <c r="E110" s="64">
        <v>2.5595085743500002E-4</v>
      </c>
    </row>
    <row r="111" spans="2:5" ht="15" customHeight="1">
      <c r="B111" s="77"/>
      <c r="C111" s="62" t="s">
        <v>194</v>
      </c>
      <c r="D111" s="63">
        <v>6</v>
      </c>
      <c r="E111" s="64">
        <v>7.6785257230599997E-4</v>
      </c>
    </row>
    <row r="112" spans="2:5" ht="15" customHeight="1">
      <c r="B112" s="77"/>
      <c r="C112" s="62" t="s">
        <v>195</v>
      </c>
      <c r="D112" s="63">
        <v>14</v>
      </c>
      <c r="E112" s="64">
        <v>1.791656002048E-3</v>
      </c>
    </row>
    <row r="113" spans="2:5" ht="15" customHeight="1">
      <c r="B113" s="77"/>
      <c r="C113" s="62" t="s">
        <v>196</v>
      </c>
      <c r="D113" s="63">
        <v>1</v>
      </c>
      <c r="E113" s="64">
        <v>1.2797542871799999E-4</v>
      </c>
    </row>
    <row r="114" spans="2:5" ht="15" customHeight="1">
      <c r="B114" s="77"/>
      <c r="C114" s="62" t="s">
        <v>197</v>
      </c>
      <c r="D114" s="63">
        <v>28</v>
      </c>
      <c r="E114" s="64">
        <v>3.5833120040949999E-3</v>
      </c>
    </row>
    <row r="115" spans="2:5" ht="15" customHeight="1">
      <c r="B115" s="77"/>
      <c r="C115" s="62" t="s">
        <v>198</v>
      </c>
      <c r="D115" s="63">
        <v>5</v>
      </c>
      <c r="E115" s="64">
        <v>6.3987714358799996E-4</v>
      </c>
    </row>
    <row r="116" spans="2:5" ht="15" customHeight="1">
      <c r="B116" s="78"/>
      <c r="C116" s="36" t="s">
        <v>29</v>
      </c>
      <c r="D116" s="35">
        <v>120</v>
      </c>
      <c r="E116" s="34">
        <v>1.5357051446122E-2</v>
      </c>
    </row>
    <row r="117" spans="2:5" ht="15" customHeight="1">
      <c r="B117" s="76" t="s">
        <v>110</v>
      </c>
      <c r="C117" s="62" t="s">
        <v>190</v>
      </c>
      <c r="D117" s="63">
        <v>1</v>
      </c>
      <c r="E117" s="64">
        <v>1.2797542871799999E-4</v>
      </c>
    </row>
    <row r="118" spans="2:5" ht="15" customHeight="1">
      <c r="B118" s="77"/>
      <c r="C118" s="62" t="s">
        <v>199</v>
      </c>
      <c r="D118" s="63">
        <v>1</v>
      </c>
      <c r="E118" s="64">
        <v>1.2797542871799999E-4</v>
      </c>
    </row>
    <row r="119" spans="2:5" ht="15" customHeight="1">
      <c r="B119" s="77"/>
      <c r="C119" s="62" t="s">
        <v>191</v>
      </c>
      <c r="D119" s="63">
        <v>2</v>
      </c>
      <c r="E119" s="64">
        <v>2.5595085743500002E-4</v>
      </c>
    </row>
    <row r="120" spans="2:5" ht="15" customHeight="1">
      <c r="B120" s="77"/>
      <c r="C120" s="62" t="s">
        <v>200</v>
      </c>
      <c r="D120" s="63">
        <v>1</v>
      </c>
      <c r="E120" s="64">
        <v>1.2797542871799999E-4</v>
      </c>
    </row>
    <row r="121" spans="2:5" ht="15" customHeight="1">
      <c r="B121" s="77"/>
      <c r="C121" s="62" t="s">
        <v>201</v>
      </c>
      <c r="D121" s="63">
        <v>6</v>
      </c>
      <c r="E121" s="64">
        <v>7.6785257230599997E-4</v>
      </c>
    </row>
    <row r="122" spans="2:5" ht="15" customHeight="1">
      <c r="B122" s="77"/>
      <c r="C122" s="62" t="s">
        <v>202</v>
      </c>
      <c r="D122" s="63">
        <v>1</v>
      </c>
      <c r="E122" s="64">
        <v>1.2797542871799999E-4</v>
      </c>
    </row>
    <row r="123" spans="2:5" ht="15" customHeight="1">
      <c r="B123" s="77"/>
      <c r="C123" s="62" t="s">
        <v>204</v>
      </c>
      <c r="D123" s="63">
        <v>2</v>
      </c>
      <c r="E123" s="64">
        <v>2.5595085743500002E-4</v>
      </c>
    </row>
    <row r="124" spans="2:5" ht="15" customHeight="1">
      <c r="B124" s="77"/>
      <c r="C124" s="62" t="s">
        <v>192</v>
      </c>
      <c r="D124" s="63">
        <v>15</v>
      </c>
      <c r="E124" s="64">
        <v>1.919631430765E-3</v>
      </c>
    </row>
    <row r="125" spans="2:5" ht="15" customHeight="1">
      <c r="B125" s="77"/>
      <c r="C125" s="62" t="s">
        <v>206</v>
      </c>
      <c r="D125" s="63">
        <v>2</v>
      </c>
      <c r="E125" s="64">
        <v>2.5595085743500002E-4</v>
      </c>
    </row>
    <row r="126" spans="2:5" ht="15" customHeight="1">
      <c r="B126" s="77"/>
      <c r="C126" s="62" t="s">
        <v>208</v>
      </c>
      <c r="D126" s="63">
        <v>4</v>
      </c>
      <c r="E126" s="64">
        <v>5.1190171487100001E-4</v>
      </c>
    </row>
    <row r="127" spans="2:5" ht="15" customHeight="1">
      <c r="B127" s="77"/>
      <c r="C127" s="62" t="s">
        <v>194</v>
      </c>
      <c r="D127" s="63">
        <v>4</v>
      </c>
      <c r="E127" s="64">
        <v>5.1190171487100001E-4</v>
      </c>
    </row>
    <row r="128" spans="2:5" ht="15" customHeight="1">
      <c r="B128" s="77"/>
      <c r="C128" s="62" t="s">
        <v>195</v>
      </c>
      <c r="D128" s="63">
        <v>12</v>
      </c>
      <c r="E128" s="64">
        <v>1.5357051446119999E-3</v>
      </c>
    </row>
    <row r="129" spans="2:5" ht="15" customHeight="1">
      <c r="B129" s="77"/>
      <c r="C129" s="62" t="s">
        <v>196</v>
      </c>
      <c r="D129" s="63">
        <v>2</v>
      </c>
      <c r="E129" s="64">
        <v>2.5595085743500002E-4</v>
      </c>
    </row>
    <row r="130" spans="2:5" ht="15" customHeight="1">
      <c r="B130" s="77"/>
      <c r="C130" s="62" t="s">
        <v>197</v>
      </c>
      <c r="D130" s="63">
        <v>11</v>
      </c>
      <c r="E130" s="64">
        <v>1.4077297158950001E-3</v>
      </c>
    </row>
    <row r="131" spans="2:5" ht="15" customHeight="1">
      <c r="B131" s="77"/>
      <c r="C131" s="62" t="s">
        <v>198</v>
      </c>
      <c r="D131" s="63">
        <v>3</v>
      </c>
      <c r="E131" s="64">
        <v>3.8392628615299999E-4</v>
      </c>
    </row>
    <row r="132" spans="2:5" ht="15" customHeight="1">
      <c r="B132" s="78"/>
      <c r="C132" s="36" t="s">
        <v>29</v>
      </c>
      <c r="D132" s="35">
        <v>67</v>
      </c>
      <c r="E132" s="34">
        <v>8.5743537240850001E-3</v>
      </c>
    </row>
    <row r="133" spans="2:5" ht="15" customHeight="1">
      <c r="B133" s="76" t="s">
        <v>111</v>
      </c>
      <c r="C133" s="62" t="s">
        <v>193</v>
      </c>
      <c r="D133" s="63">
        <v>4</v>
      </c>
      <c r="E133" s="64">
        <v>5.1190171487100001E-4</v>
      </c>
    </row>
    <row r="134" spans="2:5" ht="15" customHeight="1">
      <c r="B134" s="77"/>
      <c r="C134" s="62" t="s">
        <v>208</v>
      </c>
      <c r="D134" s="63">
        <v>1</v>
      </c>
      <c r="E134" s="64">
        <v>1.2797542871799999E-4</v>
      </c>
    </row>
    <row r="135" spans="2:5" ht="15" customHeight="1">
      <c r="B135" s="77"/>
      <c r="C135" s="62" t="s">
        <v>194</v>
      </c>
      <c r="D135" s="63">
        <v>1</v>
      </c>
      <c r="E135" s="64">
        <v>1.2797542871799999E-4</v>
      </c>
    </row>
    <row r="136" spans="2:5" ht="15" customHeight="1">
      <c r="B136" s="77"/>
      <c r="C136" s="62" t="s">
        <v>197</v>
      </c>
      <c r="D136" s="63">
        <v>9</v>
      </c>
      <c r="E136" s="64">
        <v>1.1517788584590001E-3</v>
      </c>
    </row>
    <row r="137" spans="2:5" ht="15" customHeight="1">
      <c r="B137" s="78"/>
      <c r="C137" s="36" t="s">
        <v>29</v>
      </c>
      <c r="D137" s="35">
        <v>15</v>
      </c>
      <c r="E137" s="34">
        <v>1.919631430765E-3</v>
      </c>
    </row>
    <row r="138" spans="2:5" ht="15" customHeight="1">
      <c r="B138" s="76" t="s">
        <v>112</v>
      </c>
      <c r="C138" s="62" t="s">
        <v>190</v>
      </c>
      <c r="D138" s="63">
        <v>2</v>
      </c>
      <c r="E138" s="64">
        <v>2.5595085743500002E-4</v>
      </c>
    </row>
    <row r="139" spans="2:5" ht="15" customHeight="1">
      <c r="B139" s="77"/>
      <c r="C139" s="62" t="s">
        <v>199</v>
      </c>
      <c r="D139" s="63">
        <v>7</v>
      </c>
      <c r="E139" s="64">
        <v>8.9582800102399999E-4</v>
      </c>
    </row>
    <row r="140" spans="2:5" ht="15" customHeight="1">
      <c r="B140" s="77"/>
      <c r="C140" s="62" t="s">
        <v>191</v>
      </c>
      <c r="D140" s="63">
        <v>6</v>
      </c>
      <c r="E140" s="64">
        <v>7.6785257230599997E-4</v>
      </c>
    </row>
    <row r="141" spans="2:5" ht="15" customHeight="1">
      <c r="B141" s="77"/>
      <c r="C141" s="62" t="s">
        <v>200</v>
      </c>
      <c r="D141" s="63">
        <v>2</v>
      </c>
      <c r="E141" s="64">
        <v>2.5595085743500002E-4</v>
      </c>
    </row>
    <row r="142" spans="2:5" ht="15" customHeight="1">
      <c r="B142" s="77"/>
      <c r="C142" s="62" t="s">
        <v>201</v>
      </c>
      <c r="D142" s="63">
        <v>17</v>
      </c>
      <c r="E142" s="64">
        <v>2.1755822882010001E-3</v>
      </c>
    </row>
    <row r="143" spans="2:5" ht="15" customHeight="1">
      <c r="B143" s="77"/>
      <c r="C143" s="62" t="s">
        <v>202</v>
      </c>
      <c r="D143" s="63">
        <v>7</v>
      </c>
      <c r="E143" s="64">
        <v>8.9582800102399999E-4</v>
      </c>
    </row>
    <row r="144" spans="2:5" ht="15" customHeight="1">
      <c r="B144" s="77"/>
      <c r="C144" s="62" t="s">
        <v>204</v>
      </c>
      <c r="D144" s="63">
        <v>2</v>
      </c>
      <c r="E144" s="64">
        <v>2.5595085743500002E-4</v>
      </c>
    </row>
    <row r="145" spans="2:5" ht="15" customHeight="1">
      <c r="B145" s="77"/>
      <c r="C145" s="62" t="s">
        <v>193</v>
      </c>
      <c r="D145" s="63">
        <v>1</v>
      </c>
      <c r="E145" s="64">
        <v>1.2797542871799999E-4</v>
      </c>
    </row>
    <row r="146" spans="2:5" ht="15" customHeight="1">
      <c r="B146" s="77"/>
      <c r="C146" s="62" t="s">
        <v>206</v>
      </c>
      <c r="D146" s="63">
        <v>2</v>
      </c>
      <c r="E146" s="64">
        <v>2.5595085743500002E-4</v>
      </c>
    </row>
    <row r="147" spans="2:5" ht="15" customHeight="1">
      <c r="B147" s="77"/>
      <c r="C147" s="62" t="s">
        <v>207</v>
      </c>
      <c r="D147" s="63">
        <v>3</v>
      </c>
      <c r="E147" s="64">
        <v>3.8392628615299999E-4</v>
      </c>
    </row>
    <row r="148" spans="2:5" ht="15" customHeight="1">
      <c r="B148" s="77"/>
      <c r="C148" s="62" t="s">
        <v>208</v>
      </c>
      <c r="D148" s="63">
        <v>3</v>
      </c>
      <c r="E148" s="64">
        <v>3.8392628615299999E-4</v>
      </c>
    </row>
    <row r="149" spans="2:5" ht="15" customHeight="1">
      <c r="B149" s="77"/>
      <c r="C149" s="62" t="s">
        <v>210</v>
      </c>
      <c r="D149" s="63">
        <v>1</v>
      </c>
      <c r="E149" s="64">
        <v>1.2797542871799999E-4</v>
      </c>
    </row>
    <row r="150" spans="2:5" ht="15" customHeight="1">
      <c r="B150" s="77"/>
      <c r="C150" s="62" t="s">
        <v>194</v>
      </c>
      <c r="D150" s="63">
        <v>1</v>
      </c>
      <c r="E150" s="64">
        <v>1.2797542871799999E-4</v>
      </c>
    </row>
    <row r="151" spans="2:5" ht="15" customHeight="1">
      <c r="B151" s="77"/>
      <c r="C151" s="62" t="s">
        <v>195</v>
      </c>
      <c r="D151" s="63">
        <v>29</v>
      </c>
      <c r="E151" s="64">
        <v>3.711287432813E-3</v>
      </c>
    </row>
    <row r="152" spans="2:5" ht="15" customHeight="1">
      <c r="B152" s="77"/>
      <c r="C152" s="62" t="s">
        <v>196</v>
      </c>
      <c r="D152" s="63">
        <v>6</v>
      </c>
      <c r="E152" s="64">
        <v>7.6785257230599997E-4</v>
      </c>
    </row>
    <row r="153" spans="2:5" ht="15" customHeight="1">
      <c r="B153" s="77"/>
      <c r="C153" s="62" t="s">
        <v>197</v>
      </c>
      <c r="D153" s="63">
        <v>22</v>
      </c>
      <c r="E153" s="64">
        <v>2.8154594317890001E-3</v>
      </c>
    </row>
    <row r="154" spans="2:5" ht="15" customHeight="1">
      <c r="B154" s="77"/>
      <c r="C154" s="62" t="s">
        <v>198</v>
      </c>
      <c r="D154" s="63">
        <v>2</v>
      </c>
      <c r="E154" s="64">
        <v>2.5595085743500002E-4</v>
      </c>
    </row>
    <row r="155" spans="2:5" ht="15" customHeight="1">
      <c r="B155" s="77"/>
      <c r="C155" s="62" t="s">
        <v>209</v>
      </c>
      <c r="D155" s="63">
        <v>3</v>
      </c>
      <c r="E155" s="64">
        <v>3.8392628615299999E-4</v>
      </c>
    </row>
    <row r="156" spans="2:5" ht="15" customHeight="1">
      <c r="B156" s="78"/>
      <c r="C156" s="36" t="s">
        <v>29</v>
      </c>
      <c r="D156" s="35">
        <v>116</v>
      </c>
      <c r="E156" s="34">
        <v>1.4845149731252E-2</v>
      </c>
    </row>
    <row r="157" spans="2:5" ht="15" customHeight="1">
      <c r="B157" s="76" t="s">
        <v>113</v>
      </c>
      <c r="C157" s="62" t="s">
        <v>190</v>
      </c>
      <c r="D157" s="63">
        <v>5</v>
      </c>
      <c r="E157" s="64">
        <v>6.3987714358799996E-4</v>
      </c>
    </row>
    <row r="158" spans="2:5" ht="15" customHeight="1">
      <c r="B158" s="77"/>
      <c r="C158" s="62" t="s">
        <v>199</v>
      </c>
      <c r="D158" s="63">
        <v>5</v>
      </c>
      <c r="E158" s="64">
        <v>6.3987714358799996E-4</v>
      </c>
    </row>
    <row r="159" spans="2:5" ht="15" customHeight="1">
      <c r="B159" s="77"/>
      <c r="C159" s="62" t="s">
        <v>191</v>
      </c>
      <c r="D159" s="63">
        <v>5</v>
      </c>
      <c r="E159" s="64">
        <v>6.3987714358799996E-4</v>
      </c>
    </row>
    <row r="160" spans="2:5" ht="15" customHeight="1">
      <c r="B160" s="77"/>
      <c r="C160" s="62" t="s">
        <v>200</v>
      </c>
      <c r="D160" s="63">
        <v>2</v>
      </c>
      <c r="E160" s="64">
        <v>2.5595085743500002E-4</v>
      </c>
    </row>
    <row r="161" spans="2:5" ht="15" customHeight="1">
      <c r="B161" s="77"/>
      <c r="C161" s="62" t="s">
        <v>201</v>
      </c>
      <c r="D161" s="63">
        <v>21</v>
      </c>
      <c r="E161" s="64">
        <v>2.687484003071E-3</v>
      </c>
    </row>
    <row r="162" spans="2:5" ht="15" customHeight="1">
      <c r="B162" s="77"/>
      <c r="C162" s="62" t="s">
        <v>203</v>
      </c>
      <c r="D162" s="63">
        <v>1</v>
      </c>
      <c r="E162" s="64">
        <v>1.2797542871799999E-4</v>
      </c>
    </row>
    <row r="163" spans="2:5" ht="15" customHeight="1">
      <c r="B163" s="77"/>
      <c r="C163" s="62" t="s">
        <v>204</v>
      </c>
      <c r="D163" s="63">
        <v>12</v>
      </c>
      <c r="E163" s="64">
        <v>1.5357051446119999E-3</v>
      </c>
    </row>
    <row r="164" spans="2:5" ht="15" customHeight="1">
      <c r="B164" s="77"/>
      <c r="C164" s="62" t="s">
        <v>192</v>
      </c>
      <c r="D164" s="63">
        <v>4</v>
      </c>
      <c r="E164" s="64">
        <v>5.1190171487100001E-4</v>
      </c>
    </row>
    <row r="165" spans="2:5" ht="15" customHeight="1">
      <c r="B165" s="77"/>
      <c r="C165" s="62" t="s">
        <v>193</v>
      </c>
      <c r="D165" s="63">
        <v>15</v>
      </c>
      <c r="E165" s="64">
        <v>1.919631430765E-3</v>
      </c>
    </row>
    <row r="166" spans="2:5" ht="15" customHeight="1">
      <c r="B166" s="77"/>
      <c r="C166" s="62" t="s">
        <v>206</v>
      </c>
      <c r="D166" s="63">
        <v>9</v>
      </c>
      <c r="E166" s="64">
        <v>1.1517788584590001E-3</v>
      </c>
    </row>
    <row r="167" spans="2:5" ht="15" customHeight="1">
      <c r="B167" s="77"/>
      <c r="C167" s="62" t="s">
        <v>207</v>
      </c>
      <c r="D167" s="63">
        <v>15</v>
      </c>
      <c r="E167" s="64">
        <v>1.919631430765E-3</v>
      </c>
    </row>
    <row r="168" spans="2:5" ht="15" customHeight="1">
      <c r="B168" s="77"/>
      <c r="C168" s="62" t="s">
        <v>208</v>
      </c>
      <c r="D168" s="63">
        <v>8</v>
      </c>
      <c r="E168" s="64">
        <v>1.0238034297409999E-3</v>
      </c>
    </row>
    <row r="169" spans="2:5" ht="15" customHeight="1">
      <c r="B169" s="77"/>
      <c r="C169" s="62" t="s">
        <v>210</v>
      </c>
      <c r="D169" s="63">
        <v>1</v>
      </c>
      <c r="E169" s="64">
        <v>1.2797542871799999E-4</v>
      </c>
    </row>
    <row r="170" spans="2:5" ht="15" customHeight="1">
      <c r="B170" s="77"/>
      <c r="C170" s="62" t="s">
        <v>194</v>
      </c>
      <c r="D170" s="63">
        <v>3</v>
      </c>
      <c r="E170" s="64">
        <v>3.8392628615299999E-4</v>
      </c>
    </row>
    <row r="171" spans="2:5" ht="15" customHeight="1">
      <c r="B171" s="77"/>
      <c r="C171" s="62" t="s">
        <v>195</v>
      </c>
      <c r="D171" s="63">
        <v>13</v>
      </c>
      <c r="E171" s="64">
        <v>1.6636805733300001E-3</v>
      </c>
    </row>
    <row r="172" spans="2:5" ht="15" customHeight="1">
      <c r="B172" s="77"/>
      <c r="C172" s="62" t="s">
        <v>196</v>
      </c>
      <c r="D172" s="63">
        <v>4</v>
      </c>
      <c r="E172" s="64">
        <v>5.1190171487100001E-4</v>
      </c>
    </row>
    <row r="173" spans="2:5" ht="15" customHeight="1">
      <c r="B173" s="77"/>
      <c r="C173" s="62" t="s">
        <v>197</v>
      </c>
      <c r="D173" s="63">
        <v>68</v>
      </c>
      <c r="E173" s="64">
        <v>8.7023291528029994E-3</v>
      </c>
    </row>
    <row r="174" spans="2:5" ht="15" customHeight="1">
      <c r="B174" s="77"/>
      <c r="C174" s="62" t="s">
        <v>198</v>
      </c>
      <c r="D174" s="63">
        <v>14</v>
      </c>
      <c r="E174" s="64">
        <v>1.791656002048E-3</v>
      </c>
    </row>
    <row r="175" spans="2:5" ht="15" customHeight="1">
      <c r="B175" s="77"/>
      <c r="C175" s="62" t="s">
        <v>209</v>
      </c>
      <c r="D175" s="63">
        <v>1</v>
      </c>
      <c r="E175" s="64">
        <v>1.2797542871799999E-4</v>
      </c>
    </row>
    <row r="176" spans="2:5" ht="15" customHeight="1">
      <c r="B176" s="78"/>
      <c r="C176" s="36" t="s">
        <v>29</v>
      </c>
      <c r="D176" s="35">
        <v>206</v>
      </c>
      <c r="E176" s="34">
        <v>2.6362938315843E-2</v>
      </c>
    </row>
    <row r="177" spans="2:5" ht="15" customHeight="1">
      <c r="B177" s="76" t="s">
        <v>114</v>
      </c>
      <c r="C177" s="62" t="s">
        <v>190</v>
      </c>
      <c r="D177" s="63">
        <v>6</v>
      </c>
      <c r="E177" s="64">
        <v>7.6785257230599997E-4</v>
      </c>
    </row>
    <row r="178" spans="2:5" ht="15" customHeight="1">
      <c r="B178" s="77"/>
      <c r="C178" s="62" t="s">
        <v>201</v>
      </c>
      <c r="D178" s="63">
        <v>9</v>
      </c>
      <c r="E178" s="64">
        <v>1.1517788584590001E-3</v>
      </c>
    </row>
    <row r="179" spans="2:5" ht="15" customHeight="1">
      <c r="B179" s="77"/>
      <c r="C179" s="62" t="s">
        <v>202</v>
      </c>
      <c r="D179" s="63">
        <v>1</v>
      </c>
      <c r="E179" s="64">
        <v>1.2797542871799999E-4</v>
      </c>
    </row>
    <row r="180" spans="2:5" ht="15" customHeight="1">
      <c r="B180" s="77"/>
      <c r="C180" s="62" t="s">
        <v>203</v>
      </c>
      <c r="D180" s="63">
        <v>3</v>
      </c>
      <c r="E180" s="64">
        <v>3.8392628615299999E-4</v>
      </c>
    </row>
    <row r="181" spans="2:5" ht="15" customHeight="1">
      <c r="B181" s="77"/>
      <c r="C181" s="62" t="s">
        <v>204</v>
      </c>
      <c r="D181" s="63">
        <v>2</v>
      </c>
      <c r="E181" s="64">
        <v>2.5595085743500002E-4</v>
      </c>
    </row>
    <row r="182" spans="2:5" ht="15" customHeight="1">
      <c r="B182" s="77"/>
      <c r="C182" s="62" t="s">
        <v>206</v>
      </c>
      <c r="D182" s="63">
        <v>2</v>
      </c>
      <c r="E182" s="64">
        <v>2.5595085743500002E-4</v>
      </c>
    </row>
    <row r="183" spans="2:5" ht="15" customHeight="1">
      <c r="B183" s="77"/>
      <c r="C183" s="62" t="s">
        <v>207</v>
      </c>
      <c r="D183" s="63">
        <v>1</v>
      </c>
      <c r="E183" s="64">
        <v>1.2797542871799999E-4</v>
      </c>
    </row>
    <row r="184" spans="2:5" ht="15" customHeight="1">
      <c r="B184" s="77"/>
      <c r="C184" s="62" t="s">
        <v>208</v>
      </c>
      <c r="D184" s="63">
        <v>3</v>
      </c>
      <c r="E184" s="64">
        <v>3.8392628615299999E-4</v>
      </c>
    </row>
    <row r="185" spans="2:5" ht="15" customHeight="1">
      <c r="B185" s="77"/>
      <c r="C185" s="62" t="s">
        <v>195</v>
      </c>
      <c r="D185" s="63">
        <v>15</v>
      </c>
      <c r="E185" s="64">
        <v>1.919631430765E-3</v>
      </c>
    </row>
    <row r="186" spans="2:5" ht="15" customHeight="1">
      <c r="B186" s="77"/>
      <c r="C186" s="62" t="s">
        <v>196</v>
      </c>
      <c r="D186" s="63">
        <v>5</v>
      </c>
      <c r="E186" s="64">
        <v>6.3987714358799996E-4</v>
      </c>
    </row>
    <row r="187" spans="2:5" ht="15" customHeight="1">
      <c r="B187" s="77"/>
      <c r="C187" s="62" t="s">
        <v>197</v>
      </c>
      <c r="D187" s="63">
        <v>16</v>
      </c>
      <c r="E187" s="64">
        <v>2.047606859483E-3</v>
      </c>
    </row>
    <row r="188" spans="2:5" ht="15" customHeight="1">
      <c r="B188" s="77"/>
      <c r="C188" s="62" t="s">
        <v>198</v>
      </c>
      <c r="D188" s="63">
        <v>4</v>
      </c>
      <c r="E188" s="64">
        <v>5.1190171487100001E-4</v>
      </c>
    </row>
    <row r="189" spans="2:5" ht="15" customHeight="1">
      <c r="B189" s="77"/>
      <c r="C189" s="62" t="s">
        <v>209</v>
      </c>
      <c r="D189" s="63">
        <v>2</v>
      </c>
      <c r="E189" s="64">
        <v>2.5595085743500002E-4</v>
      </c>
    </row>
    <row r="190" spans="2:5" ht="15" customHeight="1">
      <c r="B190" s="78"/>
      <c r="C190" s="36" t="s">
        <v>29</v>
      </c>
      <c r="D190" s="35">
        <v>69</v>
      </c>
      <c r="E190" s="34">
        <v>8.8303045815199994E-3</v>
      </c>
    </row>
    <row r="191" spans="2:5" ht="15" customHeight="1">
      <c r="B191" s="76" t="s">
        <v>115</v>
      </c>
      <c r="C191" s="62" t="s">
        <v>199</v>
      </c>
      <c r="D191" s="63">
        <v>2</v>
      </c>
      <c r="E191" s="64">
        <v>2.5595085743500002E-4</v>
      </c>
    </row>
    <row r="192" spans="2:5" ht="15" customHeight="1">
      <c r="B192" s="77"/>
      <c r="C192" s="62" t="s">
        <v>191</v>
      </c>
      <c r="D192" s="63">
        <v>2</v>
      </c>
      <c r="E192" s="64">
        <v>2.5595085743500002E-4</v>
      </c>
    </row>
    <row r="193" spans="2:5" ht="15" customHeight="1">
      <c r="B193" s="77"/>
      <c r="C193" s="62" t="s">
        <v>201</v>
      </c>
      <c r="D193" s="63">
        <v>3</v>
      </c>
      <c r="E193" s="64">
        <v>3.8392628615299999E-4</v>
      </c>
    </row>
    <row r="194" spans="2:5" ht="15" customHeight="1">
      <c r="B194" s="77"/>
      <c r="C194" s="62" t="s">
        <v>193</v>
      </c>
      <c r="D194" s="63">
        <v>1</v>
      </c>
      <c r="E194" s="64">
        <v>1.2797542871799999E-4</v>
      </c>
    </row>
    <row r="195" spans="2:5" ht="15" customHeight="1">
      <c r="B195" s="77"/>
      <c r="C195" s="62" t="s">
        <v>206</v>
      </c>
      <c r="D195" s="63">
        <v>1</v>
      </c>
      <c r="E195" s="64">
        <v>1.2797542871799999E-4</v>
      </c>
    </row>
    <row r="196" spans="2:5" ht="15" customHeight="1">
      <c r="B196" s="77"/>
      <c r="C196" s="62" t="s">
        <v>207</v>
      </c>
      <c r="D196" s="63">
        <v>1</v>
      </c>
      <c r="E196" s="64">
        <v>1.2797542871799999E-4</v>
      </c>
    </row>
    <row r="197" spans="2:5" ht="15" customHeight="1">
      <c r="B197" s="77"/>
      <c r="C197" s="62" t="s">
        <v>208</v>
      </c>
      <c r="D197" s="63">
        <v>1</v>
      </c>
      <c r="E197" s="64">
        <v>1.2797542871799999E-4</v>
      </c>
    </row>
    <row r="198" spans="2:5" ht="15" customHeight="1">
      <c r="B198" s="77"/>
      <c r="C198" s="62" t="s">
        <v>195</v>
      </c>
      <c r="D198" s="63">
        <v>2</v>
      </c>
      <c r="E198" s="64">
        <v>2.5595085743500002E-4</v>
      </c>
    </row>
    <row r="199" spans="2:5" ht="15" customHeight="1">
      <c r="B199" s="77"/>
      <c r="C199" s="62" t="s">
        <v>197</v>
      </c>
      <c r="D199" s="63">
        <v>5</v>
      </c>
      <c r="E199" s="64">
        <v>6.3987714358799996E-4</v>
      </c>
    </row>
    <row r="200" spans="2:5" ht="15" customHeight="1">
      <c r="B200" s="78"/>
      <c r="C200" s="36" t="s">
        <v>29</v>
      </c>
      <c r="D200" s="35">
        <v>18</v>
      </c>
      <c r="E200" s="34">
        <v>2.3035577169180001E-3</v>
      </c>
    </row>
    <row r="201" spans="2:5" ht="15" customHeight="1">
      <c r="B201" s="76" t="s">
        <v>116</v>
      </c>
      <c r="C201" s="62" t="s">
        <v>190</v>
      </c>
      <c r="D201" s="63">
        <v>5</v>
      </c>
      <c r="E201" s="64">
        <v>6.3987714358799996E-4</v>
      </c>
    </row>
    <row r="202" spans="2:5" ht="15" customHeight="1">
      <c r="B202" s="77"/>
      <c r="C202" s="62" t="s">
        <v>199</v>
      </c>
      <c r="D202" s="63">
        <v>1</v>
      </c>
      <c r="E202" s="64">
        <v>1.2797542871799999E-4</v>
      </c>
    </row>
    <row r="203" spans="2:5" ht="15" customHeight="1">
      <c r="B203" s="77"/>
      <c r="C203" s="62" t="s">
        <v>201</v>
      </c>
      <c r="D203" s="63">
        <v>1</v>
      </c>
      <c r="E203" s="64">
        <v>1.2797542871799999E-4</v>
      </c>
    </row>
    <row r="204" spans="2:5" ht="15" customHeight="1">
      <c r="B204" s="77"/>
      <c r="C204" s="62" t="s">
        <v>193</v>
      </c>
      <c r="D204" s="63">
        <v>8</v>
      </c>
      <c r="E204" s="64">
        <v>1.0238034297409999E-3</v>
      </c>
    </row>
    <row r="205" spans="2:5" ht="15" customHeight="1">
      <c r="B205" s="77"/>
      <c r="C205" s="62" t="s">
        <v>205</v>
      </c>
      <c r="D205" s="63">
        <v>1</v>
      </c>
      <c r="E205" s="64">
        <v>1.2797542871799999E-4</v>
      </c>
    </row>
    <row r="206" spans="2:5" ht="15" customHeight="1">
      <c r="B206" s="77"/>
      <c r="C206" s="62" t="s">
        <v>206</v>
      </c>
      <c r="D206" s="63">
        <v>6</v>
      </c>
      <c r="E206" s="64">
        <v>7.6785257230599997E-4</v>
      </c>
    </row>
    <row r="207" spans="2:5" ht="15" customHeight="1">
      <c r="B207" s="77"/>
      <c r="C207" s="62" t="s">
        <v>207</v>
      </c>
      <c r="D207" s="63">
        <v>1</v>
      </c>
      <c r="E207" s="64">
        <v>1.2797542871799999E-4</v>
      </c>
    </row>
    <row r="208" spans="2:5" ht="15" customHeight="1">
      <c r="B208" s="77"/>
      <c r="C208" s="62" t="s">
        <v>208</v>
      </c>
      <c r="D208" s="63">
        <v>1</v>
      </c>
      <c r="E208" s="64">
        <v>1.2797542871799999E-4</v>
      </c>
    </row>
    <row r="209" spans="2:5" ht="15" customHeight="1">
      <c r="B209" s="77"/>
      <c r="C209" s="62" t="s">
        <v>195</v>
      </c>
      <c r="D209" s="63">
        <v>9</v>
      </c>
      <c r="E209" s="64">
        <v>1.1517788584590001E-3</v>
      </c>
    </row>
    <row r="210" spans="2:5" ht="15" customHeight="1">
      <c r="B210" s="77"/>
      <c r="C210" s="62" t="s">
        <v>196</v>
      </c>
      <c r="D210" s="63">
        <v>4</v>
      </c>
      <c r="E210" s="64">
        <v>5.1190171487100001E-4</v>
      </c>
    </row>
    <row r="211" spans="2:5" ht="15" customHeight="1">
      <c r="B211" s="77"/>
      <c r="C211" s="62" t="s">
        <v>197</v>
      </c>
      <c r="D211" s="63">
        <v>11</v>
      </c>
      <c r="E211" s="64">
        <v>1.4077297158950001E-3</v>
      </c>
    </row>
    <row r="212" spans="2:5" ht="15" customHeight="1">
      <c r="B212" s="77"/>
      <c r="C212" s="62" t="s">
        <v>198</v>
      </c>
      <c r="D212" s="63">
        <v>4</v>
      </c>
      <c r="E212" s="64">
        <v>5.1190171487100001E-4</v>
      </c>
    </row>
    <row r="213" spans="2:5" ht="15" customHeight="1">
      <c r="B213" s="77"/>
      <c r="C213" s="62" t="s">
        <v>209</v>
      </c>
      <c r="D213" s="63">
        <v>1</v>
      </c>
      <c r="E213" s="64">
        <v>1.2797542871799999E-4</v>
      </c>
    </row>
    <row r="214" spans="2:5" ht="15" customHeight="1">
      <c r="B214" s="78"/>
      <c r="C214" s="36" t="s">
        <v>29</v>
      </c>
      <c r="D214" s="35">
        <v>53</v>
      </c>
      <c r="E214" s="34">
        <v>6.7826977220370004E-3</v>
      </c>
    </row>
    <row r="215" spans="2:5" ht="15" customHeight="1">
      <c r="B215" s="76" t="s">
        <v>117</v>
      </c>
      <c r="C215" s="62" t="s">
        <v>199</v>
      </c>
      <c r="D215" s="63">
        <v>4</v>
      </c>
      <c r="E215" s="64">
        <v>5.1190171487100001E-4</v>
      </c>
    </row>
    <row r="216" spans="2:5" ht="15" customHeight="1">
      <c r="B216" s="77"/>
      <c r="C216" s="62" t="s">
        <v>201</v>
      </c>
      <c r="D216" s="63">
        <v>3</v>
      </c>
      <c r="E216" s="64">
        <v>3.8392628615299999E-4</v>
      </c>
    </row>
    <row r="217" spans="2:5" ht="15" customHeight="1">
      <c r="B217" s="77"/>
      <c r="C217" s="62" t="s">
        <v>202</v>
      </c>
      <c r="D217" s="63">
        <v>1</v>
      </c>
      <c r="E217" s="64">
        <v>1.2797542871799999E-4</v>
      </c>
    </row>
    <row r="218" spans="2:5" ht="15" customHeight="1">
      <c r="B218" s="77"/>
      <c r="C218" s="62" t="s">
        <v>204</v>
      </c>
      <c r="D218" s="63">
        <v>3</v>
      </c>
      <c r="E218" s="64">
        <v>3.8392628615299999E-4</v>
      </c>
    </row>
    <row r="219" spans="2:5" ht="15" customHeight="1">
      <c r="B219" s="77"/>
      <c r="C219" s="62" t="s">
        <v>192</v>
      </c>
      <c r="D219" s="63">
        <v>4</v>
      </c>
      <c r="E219" s="64">
        <v>5.1190171487100001E-4</v>
      </c>
    </row>
    <row r="220" spans="2:5" ht="15" customHeight="1">
      <c r="B220" s="77"/>
      <c r="C220" s="62" t="s">
        <v>206</v>
      </c>
      <c r="D220" s="63">
        <v>11</v>
      </c>
      <c r="E220" s="64">
        <v>1.4077297158950001E-3</v>
      </c>
    </row>
    <row r="221" spans="2:5" ht="15" customHeight="1">
      <c r="B221" s="77"/>
      <c r="C221" s="62" t="s">
        <v>207</v>
      </c>
      <c r="D221" s="63">
        <v>3</v>
      </c>
      <c r="E221" s="64">
        <v>3.8392628615299999E-4</v>
      </c>
    </row>
    <row r="222" spans="2:5" ht="15" customHeight="1">
      <c r="B222" s="77"/>
      <c r="C222" s="62" t="s">
        <v>208</v>
      </c>
      <c r="D222" s="63">
        <v>2</v>
      </c>
      <c r="E222" s="64">
        <v>2.5595085743500002E-4</v>
      </c>
    </row>
    <row r="223" spans="2:5" ht="15" customHeight="1">
      <c r="B223" s="77"/>
      <c r="C223" s="62" t="s">
        <v>195</v>
      </c>
      <c r="D223" s="63">
        <v>18</v>
      </c>
      <c r="E223" s="64">
        <v>2.3035577169180001E-3</v>
      </c>
    </row>
    <row r="224" spans="2:5" ht="15" customHeight="1">
      <c r="B224" s="77"/>
      <c r="C224" s="62" t="s">
        <v>196</v>
      </c>
      <c r="D224" s="63">
        <v>1</v>
      </c>
      <c r="E224" s="64">
        <v>1.2797542871799999E-4</v>
      </c>
    </row>
    <row r="225" spans="2:5" ht="15" customHeight="1">
      <c r="B225" s="77"/>
      <c r="C225" s="62" t="s">
        <v>197</v>
      </c>
      <c r="D225" s="63">
        <v>4</v>
      </c>
      <c r="E225" s="64">
        <v>5.1190171487100001E-4</v>
      </c>
    </row>
    <row r="226" spans="2:5" ht="15" customHeight="1">
      <c r="B226" s="77"/>
      <c r="C226" s="62" t="s">
        <v>198</v>
      </c>
      <c r="D226" s="63">
        <v>12</v>
      </c>
      <c r="E226" s="64">
        <v>1.5357051446119999E-3</v>
      </c>
    </row>
    <row r="227" spans="2:5" ht="15" customHeight="1">
      <c r="B227" s="78"/>
      <c r="C227" s="36" t="s">
        <v>29</v>
      </c>
      <c r="D227" s="35">
        <v>66</v>
      </c>
      <c r="E227" s="34">
        <v>8.4463782953669991E-3</v>
      </c>
    </row>
    <row r="228" spans="2:5" ht="15" customHeight="1">
      <c r="B228" s="76" t="s">
        <v>118</v>
      </c>
      <c r="C228" s="62" t="s">
        <v>201</v>
      </c>
      <c r="D228" s="63">
        <v>1</v>
      </c>
      <c r="E228" s="64">
        <v>1.2797542871799999E-4</v>
      </c>
    </row>
    <row r="229" spans="2:5" ht="15" customHeight="1">
      <c r="B229" s="77"/>
      <c r="C229" s="62" t="s">
        <v>194</v>
      </c>
      <c r="D229" s="63">
        <v>2</v>
      </c>
      <c r="E229" s="64">
        <v>2.5595085743500002E-4</v>
      </c>
    </row>
    <row r="230" spans="2:5" ht="15" customHeight="1">
      <c r="B230" s="77"/>
      <c r="C230" s="62" t="s">
        <v>195</v>
      </c>
      <c r="D230" s="63">
        <v>3</v>
      </c>
      <c r="E230" s="64">
        <v>3.8392628615299999E-4</v>
      </c>
    </row>
    <row r="231" spans="2:5" ht="15" customHeight="1">
      <c r="B231" s="77"/>
      <c r="C231" s="62" t="s">
        <v>197</v>
      </c>
      <c r="D231" s="63">
        <v>7</v>
      </c>
      <c r="E231" s="64">
        <v>8.9582800102399999E-4</v>
      </c>
    </row>
    <row r="232" spans="2:5" ht="15" customHeight="1">
      <c r="B232" s="77"/>
      <c r="C232" s="62" t="s">
        <v>198</v>
      </c>
      <c r="D232" s="63">
        <v>2</v>
      </c>
      <c r="E232" s="64">
        <v>2.5595085743500002E-4</v>
      </c>
    </row>
    <row r="233" spans="2:5" ht="15" customHeight="1">
      <c r="B233" s="78"/>
      <c r="C233" s="36" t="s">
        <v>29</v>
      </c>
      <c r="D233" s="35">
        <v>15</v>
      </c>
      <c r="E233" s="34">
        <v>1.919631430765E-3</v>
      </c>
    </row>
    <row r="234" spans="2:5" ht="15" customHeight="1">
      <c r="B234" s="76" t="s">
        <v>119</v>
      </c>
      <c r="C234" s="62" t="s">
        <v>200</v>
      </c>
      <c r="D234" s="63">
        <v>1</v>
      </c>
      <c r="E234" s="64">
        <v>1.2797542871799999E-4</v>
      </c>
    </row>
    <row r="235" spans="2:5" ht="15" customHeight="1">
      <c r="B235" s="77"/>
      <c r="C235" s="62" t="s">
        <v>195</v>
      </c>
      <c r="D235" s="63">
        <v>1</v>
      </c>
      <c r="E235" s="64">
        <v>1.2797542871799999E-4</v>
      </c>
    </row>
    <row r="236" spans="2:5" ht="15" customHeight="1">
      <c r="B236" s="78"/>
      <c r="C236" s="36" t="s">
        <v>29</v>
      </c>
      <c r="D236" s="35">
        <v>2</v>
      </c>
      <c r="E236" s="34">
        <v>2.5595085743500002E-4</v>
      </c>
    </row>
    <row r="237" spans="2:5" ht="15" customHeight="1">
      <c r="B237" s="76" t="s">
        <v>120</v>
      </c>
      <c r="C237" s="62" t="s">
        <v>197</v>
      </c>
      <c r="D237" s="63">
        <v>3</v>
      </c>
      <c r="E237" s="64">
        <v>3.8392628615299999E-4</v>
      </c>
    </row>
    <row r="238" spans="2:5" ht="15" customHeight="1">
      <c r="B238" s="78"/>
      <c r="C238" s="36" t="s">
        <v>29</v>
      </c>
      <c r="D238" s="35">
        <v>3</v>
      </c>
      <c r="E238" s="34">
        <v>3.8392628615299999E-4</v>
      </c>
    </row>
    <row r="239" spans="2:5" ht="15" customHeight="1">
      <c r="B239" s="76" t="s">
        <v>121</v>
      </c>
      <c r="C239" s="62" t="s">
        <v>190</v>
      </c>
      <c r="D239" s="63">
        <v>1</v>
      </c>
      <c r="E239" s="64">
        <v>1.2797542871799999E-4</v>
      </c>
    </row>
    <row r="240" spans="2:5" ht="15" customHeight="1">
      <c r="B240" s="77"/>
      <c r="C240" s="62" t="s">
        <v>201</v>
      </c>
      <c r="D240" s="63">
        <v>3</v>
      </c>
      <c r="E240" s="64">
        <v>3.8392628615299999E-4</v>
      </c>
    </row>
    <row r="241" spans="2:5" ht="15" customHeight="1">
      <c r="B241" s="77"/>
      <c r="C241" s="62" t="s">
        <v>203</v>
      </c>
      <c r="D241" s="63">
        <v>1</v>
      </c>
      <c r="E241" s="64">
        <v>1.2797542871799999E-4</v>
      </c>
    </row>
    <row r="242" spans="2:5" ht="15" customHeight="1">
      <c r="B242" s="77"/>
      <c r="C242" s="62" t="s">
        <v>208</v>
      </c>
      <c r="D242" s="63">
        <v>1</v>
      </c>
      <c r="E242" s="64">
        <v>1.2797542871799999E-4</v>
      </c>
    </row>
    <row r="243" spans="2:5" ht="15" customHeight="1">
      <c r="B243" s="77"/>
      <c r="C243" s="62" t="s">
        <v>210</v>
      </c>
      <c r="D243" s="63">
        <v>1</v>
      </c>
      <c r="E243" s="64">
        <v>1.2797542871799999E-4</v>
      </c>
    </row>
    <row r="244" spans="2:5" ht="15" customHeight="1">
      <c r="B244" s="77"/>
      <c r="C244" s="62" t="s">
        <v>194</v>
      </c>
      <c r="D244" s="63">
        <v>1</v>
      </c>
      <c r="E244" s="64">
        <v>1.2797542871799999E-4</v>
      </c>
    </row>
    <row r="245" spans="2:5" ht="15" customHeight="1">
      <c r="B245" s="77"/>
      <c r="C245" s="62" t="s">
        <v>195</v>
      </c>
      <c r="D245" s="63">
        <v>5</v>
      </c>
      <c r="E245" s="64">
        <v>6.3987714358799996E-4</v>
      </c>
    </row>
    <row r="246" spans="2:5" ht="15" customHeight="1">
      <c r="B246" s="77"/>
      <c r="C246" s="62" t="s">
        <v>197</v>
      </c>
      <c r="D246" s="63">
        <v>8</v>
      </c>
      <c r="E246" s="64">
        <v>1.0238034297409999E-3</v>
      </c>
    </row>
    <row r="247" spans="2:5" ht="15" customHeight="1">
      <c r="B247" s="77"/>
      <c r="C247" s="62" t="s">
        <v>198</v>
      </c>
      <c r="D247" s="63">
        <v>1</v>
      </c>
      <c r="E247" s="64">
        <v>1.2797542871799999E-4</v>
      </c>
    </row>
    <row r="248" spans="2:5" ht="15" customHeight="1">
      <c r="B248" s="78"/>
      <c r="C248" s="36" t="s">
        <v>29</v>
      </c>
      <c r="D248" s="35">
        <v>22</v>
      </c>
      <c r="E248" s="34">
        <v>2.8154594317890001E-3</v>
      </c>
    </row>
    <row r="249" spans="2:5" ht="15" customHeight="1">
      <c r="B249" s="76" t="s">
        <v>122</v>
      </c>
      <c r="C249" s="62" t="s">
        <v>190</v>
      </c>
      <c r="D249" s="63">
        <v>2</v>
      </c>
      <c r="E249" s="64">
        <v>2.5595085743500002E-4</v>
      </c>
    </row>
    <row r="250" spans="2:5" ht="15" customHeight="1">
      <c r="B250" s="77"/>
      <c r="C250" s="62" t="s">
        <v>199</v>
      </c>
      <c r="D250" s="63">
        <v>1</v>
      </c>
      <c r="E250" s="64">
        <v>1.2797542871799999E-4</v>
      </c>
    </row>
    <row r="251" spans="2:5" ht="15" customHeight="1">
      <c r="B251" s="77"/>
      <c r="C251" s="62" t="s">
        <v>191</v>
      </c>
      <c r="D251" s="63">
        <v>1</v>
      </c>
      <c r="E251" s="64">
        <v>1.2797542871799999E-4</v>
      </c>
    </row>
    <row r="252" spans="2:5" ht="15" customHeight="1">
      <c r="B252" s="77"/>
      <c r="C252" s="62" t="s">
        <v>201</v>
      </c>
      <c r="D252" s="63">
        <v>2</v>
      </c>
      <c r="E252" s="64">
        <v>2.5595085743500002E-4</v>
      </c>
    </row>
    <row r="253" spans="2:5" ht="15" customHeight="1">
      <c r="B253" s="77"/>
      <c r="C253" s="62" t="s">
        <v>202</v>
      </c>
      <c r="D253" s="63">
        <v>5</v>
      </c>
      <c r="E253" s="64">
        <v>6.3987714358799996E-4</v>
      </c>
    </row>
    <row r="254" spans="2:5" ht="15" customHeight="1">
      <c r="B254" s="77"/>
      <c r="C254" s="62" t="s">
        <v>204</v>
      </c>
      <c r="D254" s="63">
        <v>5</v>
      </c>
      <c r="E254" s="64">
        <v>6.3987714358799996E-4</v>
      </c>
    </row>
    <row r="255" spans="2:5" ht="15" customHeight="1">
      <c r="B255" s="77"/>
      <c r="C255" s="62" t="s">
        <v>192</v>
      </c>
      <c r="D255" s="63">
        <v>1</v>
      </c>
      <c r="E255" s="64">
        <v>1.2797542871799999E-4</v>
      </c>
    </row>
    <row r="256" spans="2:5" ht="15" customHeight="1">
      <c r="B256" s="77"/>
      <c r="C256" s="62" t="s">
        <v>193</v>
      </c>
      <c r="D256" s="63">
        <v>1</v>
      </c>
      <c r="E256" s="64">
        <v>1.2797542871799999E-4</v>
      </c>
    </row>
    <row r="257" spans="2:5" ht="15" customHeight="1">
      <c r="B257" s="77"/>
      <c r="C257" s="62" t="s">
        <v>206</v>
      </c>
      <c r="D257" s="63">
        <v>49</v>
      </c>
      <c r="E257" s="64">
        <v>6.270796007167E-3</v>
      </c>
    </row>
    <row r="258" spans="2:5" ht="15" customHeight="1">
      <c r="B258" s="77"/>
      <c r="C258" s="62" t="s">
        <v>207</v>
      </c>
      <c r="D258" s="63">
        <v>1</v>
      </c>
      <c r="E258" s="64">
        <v>1.2797542871799999E-4</v>
      </c>
    </row>
    <row r="259" spans="2:5" ht="15" customHeight="1">
      <c r="B259" s="77"/>
      <c r="C259" s="62" t="s">
        <v>208</v>
      </c>
      <c r="D259" s="63">
        <v>4</v>
      </c>
      <c r="E259" s="64">
        <v>5.1190171487100001E-4</v>
      </c>
    </row>
    <row r="260" spans="2:5" ht="15" customHeight="1">
      <c r="B260" s="77"/>
      <c r="C260" s="62" t="s">
        <v>195</v>
      </c>
      <c r="D260" s="63">
        <v>9</v>
      </c>
      <c r="E260" s="64">
        <v>1.1517788584590001E-3</v>
      </c>
    </row>
    <row r="261" spans="2:5" ht="15" customHeight="1">
      <c r="B261" s="77"/>
      <c r="C261" s="62" t="s">
        <v>196</v>
      </c>
      <c r="D261" s="63">
        <v>4</v>
      </c>
      <c r="E261" s="64">
        <v>5.1190171487100001E-4</v>
      </c>
    </row>
    <row r="262" spans="2:5" ht="15" customHeight="1">
      <c r="B262" s="77"/>
      <c r="C262" s="62" t="s">
        <v>197</v>
      </c>
      <c r="D262" s="63">
        <v>27</v>
      </c>
      <c r="E262" s="64">
        <v>3.4553365753779998E-3</v>
      </c>
    </row>
    <row r="263" spans="2:5" ht="15" customHeight="1">
      <c r="B263" s="77"/>
      <c r="C263" s="62" t="s">
        <v>198</v>
      </c>
      <c r="D263" s="63">
        <v>55</v>
      </c>
      <c r="E263" s="64">
        <v>7.0386485794729997E-3</v>
      </c>
    </row>
    <row r="264" spans="2:5" ht="15" customHeight="1">
      <c r="B264" s="78"/>
      <c r="C264" s="36" t="s">
        <v>29</v>
      </c>
      <c r="D264" s="35">
        <v>167</v>
      </c>
      <c r="E264" s="34">
        <v>2.1371896595853999E-2</v>
      </c>
    </row>
    <row r="265" spans="2:5" ht="15" customHeight="1">
      <c r="B265" s="76" t="s">
        <v>123</v>
      </c>
      <c r="C265" s="62" t="s">
        <v>201</v>
      </c>
      <c r="D265" s="63">
        <v>1</v>
      </c>
      <c r="E265" s="64">
        <v>1.2797542871799999E-4</v>
      </c>
    </row>
    <row r="266" spans="2:5" ht="15" customHeight="1">
      <c r="B266" s="77"/>
      <c r="C266" s="62" t="s">
        <v>204</v>
      </c>
      <c r="D266" s="63">
        <v>4</v>
      </c>
      <c r="E266" s="64">
        <v>5.1190171487100001E-4</v>
      </c>
    </row>
    <row r="267" spans="2:5" ht="15" customHeight="1">
      <c r="B267" s="77"/>
      <c r="C267" s="62" t="s">
        <v>193</v>
      </c>
      <c r="D267" s="63">
        <v>1</v>
      </c>
      <c r="E267" s="64">
        <v>1.2797542871799999E-4</v>
      </c>
    </row>
    <row r="268" spans="2:5" ht="15" customHeight="1">
      <c r="B268" s="77"/>
      <c r="C268" s="62" t="s">
        <v>196</v>
      </c>
      <c r="D268" s="63">
        <v>2</v>
      </c>
      <c r="E268" s="64">
        <v>2.5595085743500002E-4</v>
      </c>
    </row>
    <row r="269" spans="2:5" ht="15" customHeight="1">
      <c r="B269" s="77"/>
      <c r="C269" s="62" t="s">
        <v>197</v>
      </c>
      <c r="D269" s="63">
        <v>1</v>
      </c>
      <c r="E269" s="64">
        <v>1.2797542871799999E-4</v>
      </c>
    </row>
    <row r="270" spans="2:5" ht="15" customHeight="1">
      <c r="B270" s="78"/>
      <c r="C270" s="36" t="s">
        <v>29</v>
      </c>
      <c r="D270" s="35">
        <v>9</v>
      </c>
      <c r="E270" s="34">
        <v>1.1517788584590001E-3</v>
      </c>
    </row>
    <row r="271" spans="2:5" ht="15" customHeight="1">
      <c r="B271" s="76" t="s">
        <v>124</v>
      </c>
      <c r="C271" s="62" t="s">
        <v>199</v>
      </c>
      <c r="D271" s="63">
        <v>1</v>
      </c>
      <c r="E271" s="64">
        <v>1.2797542871799999E-4</v>
      </c>
    </row>
    <row r="272" spans="2:5" ht="15" customHeight="1">
      <c r="B272" s="77"/>
      <c r="C272" s="62" t="s">
        <v>201</v>
      </c>
      <c r="D272" s="63">
        <v>3</v>
      </c>
      <c r="E272" s="64">
        <v>3.8392628615299999E-4</v>
      </c>
    </row>
    <row r="273" spans="2:5" ht="15" customHeight="1">
      <c r="B273" s="77"/>
      <c r="C273" s="62" t="s">
        <v>206</v>
      </c>
      <c r="D273" s="63">
        <v>1</v>
      </c>
      <c r="E273" s="64">
        <v>1.2797542871799999E-4</v>
      </c>
    </row>
    <row r="274" spans="2:5" ht="15" customHeight="1">
      <c r="B274" s="77"/>
      <c r="C274" s="62" t="s">
        <v>208</v>
      </c>
      <c r="D274" s="63">
        <v>2</v>
      </c>
      <c r="E274" s="64">
        <v>2.5595085743500002E-4</v>
      </c>
    </row>
    <row r="275" spans="2:5" ht="15" customHeight="1">
      <c r="B275" s="77"/>
      <c r="C275" s="62" t="s">
        <v>195</v>
      </c>
      <c r="D275" s="63">
        <v>6</v>
      </c>
      <c r="E275" s="64">
        <v>7.6785257230599997E-4</v>
      </c>
    </row>
    <row r="276" spans="2:5" ht="15" customHeight="1">
      <c r="B276" s="77"/>
      <c r="C276" s="62" t="s">
        <v>196</v>
      </c>
      <c r="D276" s="63">
        <v>1</v>
      </c>
      <c r="E276" s="64">
        <v>1.2797542871799999E-4</v>
      </c>
    </row>
    <row r="277" spans="2:5" ht="15" customHeight="1">
      <c r="B277" s="77"/>
      <c r="C277" s="62" t="s">
        <v>197</v>
      </c>
      <c r="D277" s="63">
        <v>8</v>
      </c>
      <c r="E277" s="64">
        <v>1.0238034297409999E-3</v>
      </c>
    </row>
    <row r="278" spans="2:5" ht="15" customHeight="1">
      <c r="B278" s="77"/>
      <c r="C278" s="62" t="s">
        <v>198</v>
      </c>
      <c r="D278" s="63">
        <v>1</v>
      </c>
      <c r="E278" s="64">
        <v>1.2797542871799999E-4</v>
      </c>
    </row>
    <row r="279" spans="2:5" ht="15" customHeight="1">
      <c r="B279" s="78"/>
      <c r="C279" s="36" t="s">
        <v>29</v>
      </c>
      <c r="D279" s="35">
        <v>23</v>
      </c>
      <c r="E279" s="34">
        <v>2.9434348605069998E-3</v>
      </c>
    </row>
    <row r="280" spans="2:5" ht="15" customHeight="1">
      <c r="B280" s="76" t="s">
        <v>125</v>
      </c>
      <c r="C280" s="62" t="s">
        <v>202</v>
      </c>
      <c r="D280" s="63">
        <v>1</v>
      </c>
      <c r="E280" s="64">
        <v>1.2797542871799999E-4</v>
      </c>
    </row>
    <row r="281" spans="2:5" ht="15" customHeight="1">
      <c r="B281" s="77"/>
      <c r="C281" s="62" t="s">
        <v>208</v>
      </c>
      <c r="D281" s="63">
        <v>1</v>
      </c>
      <c r="E281" s="64">
        <v>1.2797542871799999E-4</v>
      </c>
    </row>
    <row r="282" spans="2:5" ht="15" customHeight="1">
      <c r="B282" s="77"/>
      <c r="C282" s="62" t="s">
        <v>195</v>
      </c>
      <c r="D282" s="63">
        <v>4</v>
      </c>
      <c r="E282" s="64">
        <v>5.1190171487100001E-4</v>
      </c>
    </row>
    <row r="283" spans="2:5" ht="15" customHeight="1">
      <c r="B283" s="77"/>
      <c r="C283" s="62" t="s">
        <v>198</v>
      </c>
      <c r="D283" s="63">
        <v>1</v>
      </c>
      <c r="E283" s="64">
        <v>1.2797542871799999E-4</v>
      </c>
    </row>
    <row r="284" spans="2:5" ht="15" customHeight="1">
      <c r="B284" s="78"/>
      <c r="C284" s="36" t="s">
        <v>29</v>
      </c>
      <c r="D284" s="35">
        <v>7</v>
      </c>
      <c r="E284" s="34">
        <v>8.9582800102399999E-4</v>
      </c>
    </row>
    <row r="285" spans="2:5" ht="15" customHeight="1">
      <c r="B285" s="76" t="s">
        <v>126</v>
      </c>
      <c r="C285" s="62" t="s">
        <v>199</v>
      </c>
      <c r="D285" s="63">
        <v>1</v>
      </c>
      <c r="E285" s="64">
        <v>1.2797542871799999E-4</v>
      </c>
    </row>
    <row r="286" spans="2:5" ht="15" customHeight="1">
      <c r="B286" s="77"/>
      <c r="C286" s="62" t="s">
        <v>200</v>
      </c>
      <c r="D286" s="63">
        <v>1</v>
      </c>
      <c r="E286" s="64">
        <v>1.2797542871799999E-4</v>
      </c>
    </row>
    <row r="287" spans="2:5" ht="15" customHeight="1">
      <c r="B287" s="77"/>
      <c r="C287" s="62" t="s">
        <v>201</v>
      </c>
      <c r="D287" s="63">
        <v>1</v>
      </c>
      <c r="E287" s="64">
        <v>1.2797542871799999E-4</v>
      </c>
    </row>
    <row r="288" spans="2:5" ht="15" customHeight="1">
      <c r="B288" s="77"/>
      <c r="C288" s="62" t="s">
        <v>204</v>
      </c>
      <c r="D288" s="63">
        <v>1</v>
      </c>
      <c r="E288" s="64">
        <v>1.2797542871799999E-4</v>
      </c>
    </row>
    <row r="289" spans="2:5" ht="15" customHeight="1">
      <c r="B289" s="77"/>
      <c r="C289" s="62" t="s">
        <v>206</v>
      </c>
      <c r="D289" s="63">
        <v>2</v>
      </c>
      <c r="E289" s="64">
        <v>2.5595085743500002E-4</v>
      </c>
    </row>
    <row r="290" spans="2:5" ht="15" customHeight="1">
      <c r="B290" s="77"/>
      <c r="C290" s="62" t="s">
        <v>208</v>
      </c>
      <c r="D290" s="63">
        <v>2</v>
      </c>
      <c r="E290" s="64">
        <v>2.5595085743500002E-4</v>
      </c>
    </row>
    <row r="291" spans="2:5" ht="15" customHeight="1">
      <c r="B291" s="77"/>
      <c r="C291" s="62" t="s">
        <v>195</v>
      </c>
      <c r="D291" s="63">
        <v>3</v>
      </c>
      <c r="E291" s="64">
        <v>3.8392628615299999E-4</v>
      </c>
    </row>
    <row r="292" spans="2:5" ht="15" customHeight="1">
      <c r="B292" s="77"/>
      <c r="C292" s="62" t="s">
        <v>196</v>
      </c>
      <c r="D292" s="63">
        <v>5</v>
      </c>
      <c r="E292" s="64">
        <v>6.3987714358799996E-4</v>
      </c>
    </row>
    <row r="293" spans="2:5" ht="15" customHeight="1">
      <c r="B293" s="77"/>
      <c r="C293" s="62" t="s">
        <v>197</v>
      </c>
      <c r="D293" s="63">
        <v>8</v>
      </c>
      <c r="E293" s="64">
        <v>1.0238034297409999E-3</v>
      </c>
    </row>
    <row r="294" spans="2:5" ht="15" customHeight="1">
      <c r="B294" s="77"/>
      <c r="C294" s="62" t="s">
        <v>198</v>
      </c>
      <c r="D294" s="63">
        <v>4</v>
      </c>
      <c r="E294" s="64">
        <v>5.1190171487100001E-4</v>
      </c>
    </row>
    <row r="295" spans="2:5" ht="15" customHeight="1">
      <c r="B295" s="78"/>
      <c r="C295" s="36" t="s">
        <v>29</v>
      </c>
      <c r="D295" s="35">
        <v>28</v>
      </c>
      <c r="E295" s="34">
        <v>3.5833120040949999E-3</v>
      </c>
    </row>
    <row r="296" spans="2:5" ht="15" customHeight="1">
      <c r="B296" s="76" t="s">
        <v>127</v>
      </c>
      <c r="C296" s="62" t="s">
        <v>190</v>
      </c>
      <c r="D296" s="63">
        <v>15</v>
      </c>
      <c r="E296" s="64">
        <v>1.919631430765E-3</v>
      </c>
    </row>
    <row r="297" spans="2:5" ht="15" customHeight="1">
      <c r="B297" s="77"/>
      <c r="C297" s="62" t="s">
        <v>199</v>
      </c>
      <c r="D297" s="63">
        <v>20</v>
      </c>
      <c r="E297" s="64">
        <v>2.559508574354E-3</v>
      </c>
    </row>
    <row r="298" spans="2:5" ht="15" customHeight="1">
      <c r="B298" s="77"/>
      <c r="C298" s="62" t="s">
        <v>191</v>
      </c>
      <c r="D298" s="63">
        <v>6</v>
      </c>
      <c r="E298" s="64">
        <v>7.6785257230599997E-4</v>
      </c>
    </row>
    <row r="299" spans="2:5" ht="15" customHeight="1">
      <c r="B299" s="77"/>
      <c r="C299" s="62" t="s">
        <v>200</v>
      </c>
      <c r="D299" s="63">
        <v>4</v>
      </c>
      <c r="E299" s="64">
        <v>5.1190171487100001E-4</v>
      </c>
    </row>
    <row r="300" spans="2:5" ht="15" customHeight="1">
      <c r="B300" s="77"/>
      <c r="C300" s="62" t="s">
        <v>201</v>
      </c>
      <c r="D300" s="63">
        <v>27</v>
      </c>
      <c r="E300" s="64">
        <v>3.4553365753779998E-3</v>
      </c>
    </row>
    <row r="301" spans="2:5" ht="15" customHeight="1">
      <c r="B301" s="77"/>
      <c r="C301" s="62" t="s">
        <v>202</v>
      </c>
      <c r="D301" s="63">
        <v>5</v>
      </c>
      <c r="E301" s="64">
        <v>6.3987714358799996E-4</v>
      </c>
    </row>
    <row r="302" spans="2:5" ht="15" customHeight="1">
      <c r="B302" s="77"/>
      <c r="C302" s="62" t="s">
        <v>203</v>
      </c>
      <c r="D302" s="63">
        <v>1</v>
      </c>
      <c r="E302" s="64">
        <v>1.2797542871799999E-4</v>
      </c>
    </row>
    <row r="303" spans="2:5" ht="15" customHeight="1">
      <c r="B303" s="77"/>
      <c r="C303" s="62" t="s">
        <v>204</v>
      </c>
      <c r="D303" s="63">
        <v>68</v>
      </c>
      <c r="E303" s="64">
        <v>8.7023291528029994E-3</v>
      </c>
    </row>
    <row r="304" spans="2:5" ht="15" customHeight="1">
      <c r="B304" s="77"/>
      <c r="C304" s="62" t="s">
        <v>192</v>
      </c>
      <c r="D304" s="63">
        <v>11</v>
      </c>
      <c r="E304" s="64">
        <v>1.4077297158950001E-3</v>
      </c>
    </row>
    <row r="305" spans="2:5" ht="15" customHeight="1">
      <c r="B305" s="77"/>
      <c r="C305" s="62" t="s">
        <v>193</v>
      </c>
      <c r="D305" s="63">
        <v>8</v>
      </c>
      <c r="E305" s="64">
        <v>1.0238034297409999E-3</v>
      </c>
    </row>
    <row r="306" spans="2:5" ht="15" customHeight="1">
      <c r="B306" s="77"/>
      <c r="C306" s="62" t="s">
        <v>206</v>
      </c>
      <c r="D306" s="63">
        <v>10</v>
      </c>
      <c r="E306" s="64">
        <v>1.279754287177E-3</v>
      </c>
    </row>
    <row r="307" spans="2:5" ht="15" customHeight="1">
      <c r="B307" s="77"/>
      <c r="C307" s="62" t="s">
        <v>207</v>
      </c>
      <c r="D307" s="63">
        <v>9</v>
      </c>
      <c r="E307" s="64">
        <v>1.1517788584590001E-3</v>
      </c>
    </row>
    <row r="308" spans="2:5" ht="15" customHeight="1">
      <c r="B308" s="77"/>
      <c r="C308" s="62" t="s">
        <v>208</v>
      </c>
      <c r="D308" s="63">
        <v>55</v>
      </c>
      <c r="E308" s="64">
        <v>7.0386485794729997E-3</v>
      </c>
    </row>
    <row r="309" spans="2:5" ht="15" customHeight="1">
      <c r="B309" s="77"/>
      <c r="C309" s="62" t="s">
        <v>210</v>
      </c>
      <c r="D309" s="63">
        <v>2</v>
      </c>
      <c r="E309" s="64">
        <v>2.5595085743500002E-4</v>
      </c>
    </row>
    <row r="310" spans="2:5" ht="15" customHeight="1">
      <c r="B310" s="77"/>
      <c r="C310" s="62" t="s">
        <v>194</v>
      </c>
      <c r="D310" s="63">
        <v>7</v>
      </c>
      <c r="E310" s="64">
        <v>8.9582800102399999E-4</v>
      </c>
    </row>
    <row r="311" spans="2:5" ht="15" customHeight="1">
      <c r="B311" s="77"/>
      <c r="C311" s="62" t="s">
        <v>195</v>
      </c>
      <c r="D311" s="63">
        <v>77</v>
      </c>
      <c r="E311" s="64">
        <v>9.8541080112620003E-3</v>
      </c>
    </row>
    <row r="312" spans="2:5" ht="15" customHeight="1">
      <c r="B312" s="77"/>
      <c r="C312" s="62" t="s">
        <v>196</v>
      </c>
      <c r="D312" s="63">
        <v>17</v>
      </c>
      <c r="E312" s="64">
        <v>2.1755822882010001E-3</v>
      </c>
    </row>
    <row r="313" spans="2:5" ht="15" customHeight="1">
      <c r="B313" s="77"/>
      <c r="C313" s="62" t="s">
        <v>197</v>
      </c>
      <c r="D313" s="63">
        <v>118</v>
      </c>
      <c r="E313" s="64">
        <v>1.5101100588686999E-2</v>
      </c>
    </row>
    <row r="314" spans="2:5" ht="15" customHeight="1">
      <c r="B314" s="77"/>
      <c r="C314" s="62" t="s">
        <v>198</v>
      </c>
      <c r="D314" s="63">
        <v>20</v>
      </c>
      <c r="E314" s="64">
        <v>2.559508574354E-3</v>
      </c>
    </row>
    <row r="315" spans="2:5" ht="15" customHeight="1">
      <c r="B315" s="77"/>
      <c r="C315" s="62" t="s">
        <v>209</v>
      </c>
      <c r="D315" s="63">
        <v>9</v>
      </c>
      <c r="E315" s="64">
        <v>1.1517788584590001E-3</v>
      </c>
    </row>
    <row r="316" spans="2:5" ht="15" customHeight="1">
      <c r="B316" s="78"/>
      <c r="C316" s="36" t="s">
        <v>29</v>
      </c>
      <c r="D316" s="35">
        <v>489</v>
      </c>
      <c r="E316" s="34">
        <v>6.2579984642949005E-2</v>
      </c>
    </row>
    <row r="317" spans="2:5" ht="15" customHeight="1">
      <c r="B317" s="76" t="s">
        <v>128</v>
      </c>
      <c r="C317" s="62" t="s">
        <v>200</v>
      </c>
      <c r="D317" s="63">
        <v>1</v>
      </c>
      <c r="E317" s="64">
        <v>1.2797542871799999E-4</v>
      </c>
    </row>
    <row r="318" spans="2:5" ht="15" customHeight="1">
      <c r="B318" s="77"/>
      <c r="C318" s="62" t="s">
        <v>201</v>
      </c>
      <c r="D318" s="63">
        <v>1</v>
      </c>
      <c r="E318" s="64">
        <v>1.2797542871799999E-4</v>
      </c>
    </row>
    <row r="319" spans="2:5" ht="15" customHeight="1">
      <c r="B319" s="77"/>
      <c r="C319" s="62" t="s">
        <v>205</v>
      </c>
      <c r="D319" s="63">
        <v>1</v>
      </c>
      <c r="E319" s="64">
        <v>1.2797542871799999E-4</v>
      </c>
    </row>
    <row r="320" spans="2:5" ht="15" customHeight="1">
      <c r="B320" s="77"/>
      <c r="C320" s="62" t="s">
        <v>208</v>
      </c>
      <c r="D320" s="63">
        <v>5</v>
      </c>
      <c r="E320" s="64">
        <v>6.3987714358799996E-4</v>
      </c>
    </row>
    <row r="321" spans="2:5" ht="15" customHeight="1">
      <c r="B321" s="77"/>
      <c r="C321" s="62" t="s">
        <v>196</v>
      </c>
      <c r="D321" s="63">
        <v>1</v>
      </c>
      <c r="E321" s="64">
        <v>1.2797542871799999E-4</v>
      </c>
    </row>
    <row r="322" spans="2:5" ht="15" customHeight="1">
      <c r="B322" s="77"/>
      <c r="C322" s="62" t="s">
        <v>197</v>
      </c>
      <c r="D322" s="63">
        <v>7</v>
      </c>
      <c r="E322" s="64">
        <v>8.9582800102399999E-4</v>
      </c>
    </row>
    <row r="323" spans="2:5" ht="15" customHeight="1">
      <c r="B323" s="77"/>
      <c r="C323" s="62" t="s">
        <v>198</v>
      </c>
      <c r="D323" s="63">
        <v>3</v>
      </c>
      <c r="E323" s="64">
        <v>3.8392628615299999E-4</v>
      </c>
    </row>
    <row r="324" spans="2:5" ht="15" customHeight="1">
      <c r="B324" s="78"/>
      <c r="C324" s="36" t="s">
        <v>29</v>
      </c>
      <c r="D324" s="35">
        <v>19</v>
      </c>
      <c r="E324" s="34">
        <v>2.4315331456359998E-3</v>
      </c>
    </row>
    <row r="325" spans="2:5" ht="15" customHeight="1">
      <c r="B325" s="76" t="s">
        <v>129</v>
      </c>
      <c r="C325" s="62" t="s">
        <v>190</v>
      </c>
      <c r="D325" s="63">
        <v>1</v>
      </c>
      <c r="E325" s="64">
        <v>1.2797542871799999E-4</v>
      </c>
    </row>
    <row r="326" spans="2:5" ht="15" customHeight="1">
      <c r="B326" s="77"/>
      <c r="C326" s="62" t="s">
        <v>199</v>
      </c>
      <c r="D326" s="63">
        <v>1</v>
      </c>
      <c r="E326" s="64">
        <v>1.2797542871799999E-4</v>
      </c>
    </row>
    <row r="327" spans="2:5" ht="15" customHeight="1">
      <c r="B327" s="77"/>
      <c r="C327" s="62" t="s">
        <v>191</v>
      </c>
      <c r="D327" s="63">
        <v>1</v>
      </c>
      <c r="E327" s="64">
        <v>1.2797542871799999E-4</v>
      </c>
    </row>
    <row r="328" spans="2:5" ht="15" customHeight="1">
      <c r="B328" s="77"/>
      <c r="C328" s="62" t="s">
        <v>201</v>
      </c>
      <c r="D328" s="63">
        <v>2</v>
      </c>
      <c r="E328" s="64">
        <v>2.5595085743500002E-4</v>
      </c>
    </row>
    <row r="329" spans="2:5" ht="15" customHeight="1">
      <c r="B329" s="77"/>
      <c r="C329" s="62" t="s">
        <v>202</v>
      </c>
      <c r="D329" s="63">
        <v>1</v>
      </c>
      <c r="E329" s="64">
        <v>1.2797542871799999E-4</v>
      </c>
    </row>
    <row r="330" spans="2:5" ht="15" customHeight="1">
      <c r="B330" s="77"/>
      <c r="C330" s="62" t="s">
        <v>203</v>
      </c>
      <c r="D330" s="63">
        <v>1</v>
      </c>
      <c r="E330" s="64">
        <v>1.2797542871799999E-4</v>
      </c>
    </row>
    <row r="331" spans="2:5" ht="15" customHeight="1">
      <c r="B331" s="77"/>
      <c r="C331" s="62" t="s">
        <v>204</v>
      </c>
      <c r="D331" s="63">
        <v>1</v>
      </c>
      <c r="E331" s="64">
        <v>1.2797542871799999E-4</v>
      </c>
    </row>
    <row r="332" spans="2:5" ht="15" customHeight="1">
      <c r="B332" s="77"/>
      <c r="C332" s="62" t="s">
        <v>192</v>
      </c>
      <c r="D332" s="63">
        <v>1</v>
      </c>
      <c r="E332" s="64">
        <v>1.2797542871799999E-4</v>
      </c>
    </row>
    <row r="333" spans="2:5" ht="15" customHeight="1">
      <c r="B333" s="77"/>
      <c r="C333" s="62" t="s">
        <v>210</v>
      </c>
      <c r="D333" s="63">
        <v>1</v>
      </c>
      <c r="E333" s="64">
        <v>1.2797542871799999E-4</v>
      </c>
    </row>
    <row r="334" spans="2:5" ht="15" customHeight="1">
      <c r="B334" s="77"/>
      <c r="C334" s="62" t="s">
        <v>195</v>
      </c>
      <c r="D334" s="63">
        <v>3</v>
      </c>
      <c r="E334" s="64">
        <v>3.8392628615299999E-4</v>
      </c>
    </row>
    <row r="335" spans="2:5" ht="15" customHeight="1">
      <c r="B335" s="77"/>
      <c r="C335" s="62" t="s">
        <v>197</v>
      </c>
      <c r="D335" s="63">
        <v>13</v>
      </c>
      <c r="E335" s="64">
        <v>1.6636805733300001E-3</v>
      </c>
    </row>
    <row r="336" spans="2:5" ht="15" customHeight="1">
      <c r="B336" s="77"/>
      <c r="C336" s="62" t="s">
        <v>209</v>
      </c>
      <c r="D336" s="63">
        <v>1</v>
      </c>
      <c r="E336" s="64">
        <v>1.2797542871799999E-4</v>
      </c>
    </row>
    <row r="337" spans="2:5" ht="15" customHeight="1">
      <c r="B337" s="78"/>
      <c r="C337" s="36" t="s">
        <v>29</v>
      </c>
      <c r="D337" s="35">
        <v>27</v>
      </c>
      <c r="E337" s="34">
        <v>3.4553365753779998E-3</v>
      </c>
    </row>
    <row r="338" spans="2:5" ht="15" customHeight="1">
      <c r="B338" s="76" t="s">
        <v>130</v>
      </c>
      <c r="C338" s="62" t="s">
        <v>201</v>
      </c>
      <c r="D338" s="63">
        <v>1</v>
      </c>
      <c r="E338" s="64">
        <v>1.2797542871799999E-4</v>
      </c>
    </row>
    <row r="339" spans="2:5" ht="15" customHeight="1">
      <c r="B339" s="77"/>
      <c r="C339" s="62" t="s">
        <v>192</v>
      </c>
      <c r="D339" s="63">
        <v>2</v>
      </c>
      <c r="E339" s="64">
        <v>2.5595085743500002E-4</v>
      </c>
    </row>
    <row r="340" spans="2:5" ht="15" customHeight="1">
      <c r="B340" s="77"/>
      <c r="C340" s="62" t="s">
        <v>207</v>
      </c>
      <c r="D340" s="63">
        <v>1</v>
      </c>
      <c r="E340" s="64">
        <v>1.2797542871799999E-4</v>
      </c>
    </row>
    <row r="341" spans="2:5" ht="15" customHeight="1">
      <c r="B341" s="77"/>
      <c r="C341" s="62" t="s">
        <v>210</v>
      </c>
      <c r="D341" s="63">
        <v>1</v>
      </c>
      <c r="E341" s="64">
        <v>1.2797542871799999E-4</v>
      </c>
    </row>
    <row r="342" spans="2:5" ht="15" customHeight="1">
      <c r="B342" s="77"/>
      <c r="C342" s="62" t="s">
        <v>195</v>
      </c>
      <c r="D342" s="63">
        <v>2</v>
      </c>
      <c r="E342" s="64">
        <v>2.5595085743500002E-4</v>
      </c>
    </row>
    <row r="343" spans="2:5" ht="15" customHeight="1">
      <c r="B343" s="77"/>
      <c r="C343" s="62" t="s">
        <v>197</v>
      </c>
      <c r="D343" s="63">
        <v>5</v>
      </c>
      <c r="E343" s="64">
        <v>6.3987714358799996E-4</v>
      </c>
    </row>
    <row r="344" spans="2:5" ht="15" customHeight="1">
      <c r="B344" s="78"/>
      <c r="C344" s="36" t="s">
        <v>29</v>
      </c>
      <c r="D344" s="35">
        <v>12</v>
      </c>
      <c r="E344" s="34">
        <v>1.5357051446119999E-3</v>
      </c>
    </row>
    <row r="345" spans="2:5" ht="15" customHeight="1">
      <c r="B345" s="76" t="s">
        <v>131</v>
      </c>
      <c r="C345" s="62" t="s">
        <v>190</v>
      </c>
      <c r="D345" s="63">
        <v>3</v>
      </c>
      <c r="E345" s="64">
        <v>3.8392628615299999E-4</v>
      </c>
    </row>
    <row r="346" spans="2:5" ht="15" customHeight="1">
      <c r="B346" s="77"/>
      <c r="C346" s="62" t="s">
        <v>191</v>
      </c>
      <c r="D346" s="63">
        <v>2</v>
      </c>
      <c r="E346" s="64">
        <v>2.5595085743500002E-4</v>
      </c>
    </row>
    <row r="347" spans="2:5" ht="15" customHeight="1">
      <c r="B347" s="77"/>
      <c r="C347" s="62" t="s">
        <v>200</v>
      </c>
      <c r="D347" s="63">
        <v>1</v>
      </c>
      <c r="E347" s="64">
        <v>1.2797542871799999E-4</v>
      </c>
    </row>
    <row r="348" spans="2:5" ht="15" customHeight="1">
      <c r="B348" s="77"/>
      <c r="C348" s="62" t="s">
        <v>201</v>
      </c>
      <c r="D348" s="63">
        <v>4</v>
      </c>
      <c r="E348" s="64">
        <v>5.1190171487100001E-4</v>
      </c>
    </row>
    <row r="349" spans="2:5" ht="15" customHeight="1">
      <c r="B349" s="77"/>
      <c r="C349" s="62" t="s">
        <v>204</v>
      </c>
      <c r="D349" s="63">
        <v>22</v>
      </c>
      <c r="E349" s="64">
        <v>2.8154594317890001E-3</v>
      </c>
    </row>
    <row r="350" spans="2:5" ht="15" customHeight="1">
      <c r="B350" s="77"/>
      <c r="C350" s="62" t="s">
        <v>192</v>
      </c>
      <c r="D350" s="63">
        <v>4</v>
      </c>
      <c r="E350" s="64">
        <v>5.1190171487100001E-4</v>
      </c>
    </row>
    <row r="351" spans="2:5" ht="15" customHeight="1">
      <c r="B351" s="77"/>
      <c r="C351" s="62" t="s">
        <v>193</v>
      </c>
      <c r="D351" s="63">
        <v>7</v>
      </c>
      <c r="E351" s="64">
        <v>8.9582800102399999E-4</v>
      </c>
    </row>
    <row r="352" spans="2:5" ht="15" customHeight="1">
      <c r="B352" s="77"/>
      <c r="C352" s="62" t="s">
        <v>206</v>
      </c>
      <c r="D352" s="63">
        <v>2</v>
      </c>
      <c r="E352" s="64">
        <v>2.5595085743500002E-4</v>
      </c>
    </row>
    <row r="353" spans="2:5" ht="15" customHeight="1">
      <c r="B353" s="77"/>
      <c r="C353" s="62" t="s">
        <v>207</v>
      </c>
      <c r="D353" s="63">
        <v>6</v>
      </c>
      <c r="E353" s="64">
        <v>7.6785257230599997E-4</v>
      </c>
    </row>
    <row r="354" spans="2:5" ht="15" customHeight="1">
      <c r="B354" s="77"/>
      <c r="C354" s="62" t="s">
        <v>208</v>
      </c>
      <c r="D354" s="63">
        <v>10</v>
      </c>
      <c r="E354" s="64">
        <v>1.279754287177E-3</v>
      </c>
    </row>
    <row r="355" spans="2:5" ht="15" customHeight="1">
      <c r="B355" s="77"/>
      <c r="C355" s="62" t="s">
        <v>194</v>
      </c>
      <c r="D355" s="63">
        <v>2</v>
      </c>
      <c r="E355" s="64">
        <v>2.5595085743500002E-4</v>
      </c>
    </row>
    <row r="356" spans="2:5" ht="15" customHeight="1">
      <c r="B356" s="77"/>
      <c r="C356" s="62" t="s">
        <v>195</v>
      </c>
      <c r="D356" s="63">
        <v>25</v>
      </c>
      <c r="E356" s="64">
        <v>3.199385717942E-3</v>
      </c>
    </row>
    <row r="357" spans="2:5" ht="15" customHeight="1">
      <c r="B357" s="77"/>
      <c r="C357" s="62" t="s">
        <v>196</v>
      </c>
      <c r="D357" s="63">
        <v>1</v>
      </c>
      <c r="E357" s="64">
        <v>1.2797542871799999E-4</v>
      </c>
    </row>
    <row r="358" spans="2:5" ht="15" customHeight="1">
      <c r="B358" s="77"/>
      <c r="C358" s="62" t="s">
        <v>197</v>
      </c>
      <c r="D358" s="63">
        <v>31</v>
      </c>
      <c r="E358" s="64">
        <v>3.9672382902479998E-3</v>
      </c>
    </row>
    <row r="359" spans="2:5" ht="15" customHeight="1">
      <c r="B359" s="77"/>
      <c r="C359" s="62" t="s">
        <v>198</v>
      </c>
      <c r="D359" s="63">
        <v>7</v>
      </c>
      <c r="E359" s="64">
        <v>8.9582800102399999E-4</v>
      </c>
    </row>
    <row r="360" spans="2:5" ht="15" customHeight="1">
      <c r="B360" s="77"/>
      <c r="C360" s="62" t="s">
        <v>209</v>
      </c>
      <c r="D360" s="63">
        <v>4</v>
      </c>
      <c r="E360" s="64">
        <v>5.1190171487100001E-4</v>
      </c>
    </row>
    <row r="361" spans="2:5" ht="15" customHeight="1">
      <c r="B361" s="78"/>
      <c r="C361" s="36" t="s">
        <v>29</v>
      </c>
      <c r="D361" s="35">
        <v>131</v>
      </c>
      <c r="E361" s="34">
        <v>1.6764781162017E-2</v>
      </c>
    </row>
    <row r="362" spans="2:5" ht="15" customHeight="1">
      <c r="B362" s="76" t="s">
        <v>132</v>
      </c>
      <c r="C362" s="62" t="s">
        <v>195</v>
      </c>
      <c r="D362" s="63">
        <v>2</v>
      </c>
      <c r="E362" s="64">
        <v>2.5595085743500002E-4</v>
      </c>
    </row>
    <row r="363" spans="2:5" ht="15" customHeight="1">
      <c r="B363" s="78"/>
      <c r="C363" s="36" t="s">
        <v>29</v>
      </c>
      <c r="D363" s="35">
        <v>2</v>
      </c>
      <c r="E363" s="34">
        <v>2.5595085743500002E-4</v>
      </c>
    </row>
    <row r="364" spans="2:5" ht="15" customHeight="1">
      <c r="B364" s="76" t="s">
        <v>133</v>
      </c>
      <c r="C364" s="62" t="s">
        <v>201</v>
      </c>
      <c r="D364" s="63">
        <v>3</v>
      </c>
      <c r="E364" s="64">
        <v>3.8392628615299999E-4</v>
      </c>
    </row>
    <row r="365" spans="2:5" ht="15" customHeight="1">
      <c r="B365" s="77"/>
      <c r="C365" s="62" t="s">
        <v>204</v>
      </c>
      <c r="D365" s="63">
        <v>2</v>
      </c>
      <c r="E365" s="64">
        <v>2.5595085743500002E-4</v>
      </c>
    </row>
    <row r="366" spans="2:5" ht="15" customHeight="1">
      <c r="B366" s="77"/>
      <c r="C366" s="62" t="s">
        <v>192</v>
      </c>
      <c r="D366" s="63">
        <v>1</v>
      </c>
      <c r="E366" s="64">
        <v>1.2797542871799999E-4</v>
      </c>
    </row>
    <row r="367" spans="2:5" ht="15" customHeight="1">
      <c r="B367" s="77"/>
      <c r="C367" s="62" t="s">
        <v>193</v>
      </c>
      <c r="D367" s="63">
        <v>1</v>
      </c>
      <c r="E367" s="64">
        <v>1.2797542871799999E-4</v>
      </c>
    </row>
    <row r="368" spans="2:5" ht="15" customHeight="1">
      <c r="B368" s="77"/>
      <c r="C368" s="62" t="s">
        <v>207</v>
      </c>
      <c r="D368" s="63">
        <v>5</v>
      </c>
      <c r="E368" s="64">
        <v>6.3987714358799996E-4</v>
      </c>
    </row>
    <row r="369" spans="2:5" ht="15" customHeight="1">
      <c r="B369" s="77"/>
      <c r="C369" s="62" t="s">
        <v>208</v>
      </c>
      <c r="D369" s="63">
        <v>9</v>
      </c>
      <c r="E369" s="64">
        <v>1.1517788584590001E-3</v>
      </c>
    </row>
    <row r="370" spans="2:5" ht="15" customHeight="1">
      <c r="B370" s="77"/>
      <c r="C370" s="62" t="s">
        <v>195</v>
      </c>
      <c r="D370" s="63">
        <v>1</v>
      </c>
      <c r="E370" s="64">
        <v>1.2797542871799999E-4</v>
      </c>
    </row>
    <row r="371" spans="2:5" ht="15" customHeight="1">
      <c r="B371" s="77"/>
      <c r="C371" s="62" t="s">
        <v>197</v>
      </c>
      <c r="D371" s="63">
        <v>11</v>
      </c>
      <c r="E371" s="64">
        <v>1.4077297158950001E-3</v>
      </c>
    </row>
    <row r="372" spans="2:5" ht="15" customHeight="1">
      <c r="B372" s="78"/>
      <c r="C372" s="36" t="s">
        <v>29</v>
      </c>
      <c r="D372" s="35">
        <v>33</v>
      </c>
      <c r="E372" s="34">
        <v>4.223189147684E-3</v>
      </c>
    </row>
    <row r="373" spans="2:5" ht="15" customHeight="1">
      <c r="B373" s="76" t="s">
        <v>134</v>
      </c>
      <c r="C373" s="62" t="s">
        <v>190</v>
      </c>
      <c r="D373" s="63">
        <v>3</v>
      </c>
      <c r="E373" s="64">
        <v>3.8392628615299999E-4</v>
      </c>
    </row>
    <row r="374" spans="2:5" ht="15" customHeight="1">
      <c r="B374" s="77"/>
      <c r="C374" s="62" t="s">
        <v>199</v>
      </c>
      <c r="D374" s="63">
        <v>1</v>
      </c>
      <c r="E374" s="64">
        <v>1.2797542871799999E-4</v>
      </c>
    </row>
    <row r="375" spans="2:5" ht="15" customHeight="1">
      <c r="B375" s="77"/>
      <c r="C375" s="62" t="s">
        <v>201</v>
      </c>
      <c r="D375" s="63">
        <v>5</v>
      </c>
      <c r="E375" s="64">
        <v>6.3987714358799996E-4</v>
      </c>
    </row>
    <row r="376" spans="2:5" ht="15" customHeight="1">
      <c r="B376" s="77"/>
      <c r="C376" s="62" t="s">
        <v>202</v>
      </c>
      <c r="D376" s="63">
        <v>1</v>
      </c>
      <c r="E376" s="64">
        <v>1.2797542871799999E-4</v>
      </c>
    </row>
    <row r="377" spans="2:5" ht="15" customHeight="1">
      <c r="B377" s="77"/>
      <c r="C377" s="62" t="s">
        <v>204</v>
      </c>
      <c r="D377" s="63">
        <v>3</v>
      </c>
      <c r="E377" s="64">
        <v>3.8392628615299999E-4</v>
      </c>
    </row>
    <row r="378" spans="2:5" ht="15" customHeight="1">
      <c r="B378" s="77"/>
      <c r="C378" s="62" t="s">
        <v>193</v>
      </c>
      <c r="D378" s="63">
        <v>6</v>
      </c>
      <c r="E378" s="64">
        <v>7.6785257230599997E-4</v>
      </c>
    </row>
    <row r="379" spans="2:5" ht="15" customHeight="1">
      <c r="B379" s="77"/>
      <c r="C379" s="62" t="s">
        <v>206</v>
      </c>
      <c r="D379" s="63">
        <v>2</v>
      </c>
      <c r="E379" s="64">
        <v>2.5595085743500002E-4</v>
      </c>
    </row>
    <row r="380" spans="2:5" ht="15" customHeight="1">
      <c r="B380" s="77"/>
      <c r="C380" s="62" t="s">
        <v>208</v>
      </c>
      <c r="D380" s="63">
        <v>7</v>
      </c>
      <c r="E380" s="64">
        <v>8.9582800102399999E-4</v>
      </c>
    </row>
    <row r="381" spans="2:5" ht="15" customHeight="1">
      <c r="B381" s="77"/>
      <c r="C381" s="62" t="s">
        <v>210</v>
      </c>
      <c r="D381" s="63">
        <v>2</v>
      </c>
      <c r="E381" s="64">
        <v>2.5595085743500002E-4</v>
      </c>
    </row>
    <row r="382" spans="2:5" ht="15" customHeight="1">
      <c r="B382" s="77"/>
      <c r="C382" s="62" t="s">
        <v>194</v>
      </c>
      <c r="D382" s="63">
        <v>3</v>
      </c>
      <c r="E382" s="64">
        <v>3.8392628615299999E-4</v>
      </c>
    </row>
    <row r="383" spans="2:5" ht="15" customHeight="1">
      <c r="B383" s="77"/>
      <c r="C383" s="62" t="s">
        <v>195</v>
      </c>
      <c r="D383" s="63">
        <v>8</v>
      </c>
      <c r="E383" s="64">
        <v>1.0238034297409999E-3</v>
      </c>
    </row>
    <row r="384" spans="2:5" ht="15" customHeight="1">
      <c r="B384" s="77"/>
      <c r="C384" s="62" t="s">
        <v>196</v>
      </c>
      <c r="D384" s="63">
        <v>3</v>
      </c>
      <c r="E384" s="64">
        <v>3.8392628615299999E-4</v>
      </c>
    </row>
    <row r="385" spans="2:5" ht="15" customHeight="1">
      <c r="B385" s="77"/>
      <c r="C385" s="62" t="s">
        <v>197</v>
      </c>
      <c r="D385" s="63">
        <v>12</v>
      </c>
      <c r="E385" s="64">
        <v>1.5357051446119999E-3</v>
      </c>
    </row>
    <row r="386" spans="2:5" ht="15" customHeight="1">
      <c r="B386" s="77"/>
      <c r="C386" s="62" t="s">
        <v>198</v>
      </c>
      <c r="D386" s="63">
        <v>2</v>
      </c>
      <c r="E386" s="64">
        <v>2.5595085743500002E-4</v>
      </c>
    </row>
    <row r="387" spans="2:5" ht="15" customHeight="1">
      <c r="B387" s="77"/>
      <c r="C387" s="62" t="s">
        <v>209</v>
      </c>
      <c r="D387" s="63">
        <v>2</v>
      </c>
      <c r="E387" s="64">
        <v>2.5595085743500002E-4</v>
      </c>
    </row>
    <row r="388" spans="2:5" ht="15" customHeight="1">
      <c r="B388" s="78"/>
      <c r="C388" s="36" t="s">
        <v>29</v>
      </c>
      <c r="D388" s="35">
        <v>60</v>
      </c>
      <c r="E388" s="34">
        <v>7.6785257230610002E-3</v>
      </c>
    </row>
    <row r="389" spans="2:5" ht="15" customHeight="1">
      <c r="B389" s="76" t="s">
        <v>135</v>
      </c>
      <c r="C389" s="62" t="s">
        <v>190</v>
      </c>
      <c r="D389" s="63">
        <v>1</v>
      </c>
      <c r="E389" s="64">
        <v>1.2797542871799999E-4</v>
      </c>
    </row>
    <row r="390" spans="2:5" ht="15" customHeight="1">
      <c r="B390" s="77"/>
      <c r="C390" s="62" t="s">
        <v>199</v>
      </c>
      <c r="D390" s="63">
        <v>3</v>
      </c>
      <c r="E390" s="64">
        <v>3.8392628615299999E-4</v>
      </c>
    </row>
    <row r="391" spans="2:5" ht="15" customHeight="1">
      <c r="B391" s="77"/>
      <c r="C391" s="62" t="s">
        <v>191</v>
      </c>
      <c r="D391" s="63">
        <v>1</v>
      </c>
      <c r="E391" s="64">
        <v>1.2797542871799999E-4</v>
      </c>
    </row>
    <row r="392" spans="2:5" ht="15" customHeight="1">
      <c r="B392" s="77"/>
      <c r="C392" s="62" t="s">
        <v>200</v>
      </c>
      <c r="D392" s="63">
        <v>2</v>
      </c>
      <c r="E392" s="64">
        <v>2.5595085743500002E-4</v>
      </c>
    </row>
    <row r="393" spans="2:5" ht="15" customHeight="1">
      <c r="B393" s="77"/>
      <c r="C393" s="62" t="s">
        <v>201</v>
      </c>
      <c r="D393" s="63">
        <v>17</v>
      </c>
      <c r="E393" s="64">
        <v>2.1755822882010001E-3</v>
      </c>
    </row>
    <row r="394" spans="2:5" ht="15" customHeight="1">
      <c r="B394" s="77"/>
      <c r="C394" s="62" t="s">
        <v>202</v>
      </c>
      <c r="D394" s="63">
        <v>7</v>
      </c>
      <c r="E394" s="64">
        <v>8.9582800102399999E-4</v>
      </c>
    </row>
    <row r="395" spans="2:5" ht="15" customHeight="1">
      <c r="B395" s="77"/>
      <c r="C395" s="62" t="s">
        <v>192</v>
      </c>
      <c r="D395" s="63">
        <v>1</v>
      </c>
      <c r="E395" s="64">
        <v>1.2797542871799999E-4</v>
      </c>
    </row>
    <row r="396" spans="2:5" ht="15" customHeight="1">
      <c r="B396" s="77"/>
      <c r="C396" s="62" t="s">
        <v>193</v>
      </c>
      <c r="D396" s="63">
        <v>6</v>
      </c>
      <c r="E396" s="64">
        <v>7.6785257230599997E-4</v>
      </c>
    </row>
    <row r="397" spans="2:5" ht="15" customHeight="1">
      <c r="B397" s="77"/>
      <c r="C397" s="62" t="s">
        <v>206</v>
      </c>
      <c r="D397" s="63">
        <v>2</v>
      </c>
      <c r="E397" s="64">
        <v>2.5595085743500002E-4</v>
      </c>
    </row>
    <row r="398" spans="2:5" ht="15" customHeight="1">
      <c r="B398" s="77"/>
      <c r="C398" s="62" t="s">
        <v>207</v>
      </c>
      <c r="D398" s="63">
        <v>1</v>
      </c>
      <c r="E398" s="64">
        <v>1.2797542871799999E-4</v>
      </c>
    </row>
    <row r="399" spans="2:5" ht="15" customHeight="1">
      <c r="B399" s="77"/>
      <c r="C399" s="62" t="s">
        <v>208</v>
      </c>
      <c r="D399" s="63">
        <v>14</v>
      </c>
      <c r="E399" s="64">
        <v>1.791656002048E-3</v>
      </c>
    </row>
    <row r="400" spans="2:5" ht="15" customHeight="1">
      <c r="B400" s="77"/>
      <c r="C400" s="62" t="s">
        <v>194</v>
      </c>
      <c r="D400" s="63">
        <v>4</v>
      </c>
      <c r="E400" s="64">
        <v>5.1190171487100001E-4</v>
      </c>
    </row>
    <row r="401" spans="2:5" ht="15" customHeight="1">
      <c r="B401" s="77"/>
      <c r="C401" s="62" t="s">
        <v>195</v>
      </c>
      <c r="D401" s="63">
        <v>14</v>
      </c>
      <c r="E401" s="64">
        <v>1.791656002048E-3</v>
      </c>
    </row>
    <row r="402" spans="2:5" ht="15" customHeight="1">
      <c r="B402" s="77"/>
      <c r="C402" s="62" t="s">
        <v>196</v>
      </c>
      <c r="D402" s="63">
        <v>5</v>
      </c>
      <c r="E402" s="64">
        <v>6.3987714358799996E-4</v>
      </c>
    </row>
    <row r="403" spans="2:5" ht="15" customHeight="1">
      <c r="B403" s="77"/>
      <c r="C403" s="62" t="s">
        <v>197</v>
      </c>
      <c r="D403" s="63">
        <v>19</v>
      </c>
      <c r="E403" s="64">
        <v>2.4315331456359998E-3</v>
      </c>
    </row>
    <row r="404" spans="2:5" ht="15" customHeight="1">
      <c r="B404" s="77"/>
      <c r="C404" s="62" t="s">
        <v>198</v>
      </c>
      <c r="D404" s="63">
        <v>9</v>
      </c>
      <c r="E404" s="64">
        <v>1.1517788584590001E-3</v>
      </c>
    </row>
    <row r="405" spans="2:5" ht="15" customHeight="1">
      <c r="B405" s="77"/>
      <c r="C405" s="62" t="s">
        <v>209</v>
      </c>
      <c r="D405" s="63">
        <v>1</v>
      </c>
      <c r="E405" s="64">
        <v>1.2797542871799999E-4</v>
      </c>
    </row>
    <row r="406" spans="2:5" ht="15" customHeight="1">
      <c r="B406" s="78"/>
      <c r="C406" s="36" t="s">
        <v>29</v>
      </c>
      <c r="D406" s="35">
        <v>107</v>
      </c>
      <c r="E406" s="34">
        <v>1.3693370872792E-2</v>
      </c>
    </row>
    <row r="407" spans="2:5" ht="15" customHeight="1">
      <c r="B407" s="76" t="s">
        <v>136</v>
      </c>
      <c r="C407" s="62" t="s">
        <v>193</v>
      </c>
      <c r="D407" s="63">
        <v>3</v>
      </c>
      <c r="E407" s="64">
        <v>3.8392628615299999E-4</v>
      </c>
    </row>
    <row r="408" spans="2:5" ht="15" customHeight="1">
      <c r="B408" s="77"/>
      <c r="C408" s="62" t="s">
        <v>206</v>
      </c>
      <c r="D408" s="63">
        <v>3</v>
      </c>
      <c r="E408" s="64">
        <v>3.8392628615299999E-4</v>
      </c>
    </row>
    <row r="409" spans="2:5" ht="15" customHeight="1">
      <c r="B409" s="77"/>
      <c r="C409" s="62" t="s">
        <v>207</v>
      </c>
      <c r="D409" s="63">
        <v>2</v>
      </c>
      <c r="E409" s="64">
        <v>2.5595085743500002E-4</v>
      </c>
    </row>
    <row r="410" spans="2:5" ht="15" customHeight="1">
      <c r="B410" s="77"/>
      <c r="C410" s="62" t="s">
        <v>195</v>
      </c>
      <c r="D410" s="63">
        <v>2</v>
      </c>
      <c r="E410" s="64">
        <v>2.5595085743500002E-4</v>
      </c>
    </row>
    <row r="411" spans="2:5" ht="15" customHeight="1">
      <c r="B411" s="77"/>
      <c r="C411" s="62" t="s">
        <v>197</v>
      </c>
      <c r="D411" s="63">
        <v>8</v>
      </c>
      <c r="E411" s="64">
        <v>1.0238034297409999E-3</v>
      </c>
    </row>
    <row r="412" spans="2:5" ht="15" customHeight="1">
      <c r="B412" s="77"/>
      <c r="C412" s="62" t="s">
        <v>198</v>
      </c>
      <c r="D412" s="63">
        <v>3</v>
      </c>
      <c r="E412" s="64">
        <v>3.8392628615299999E-4</v>
      </c>
    </row>
    <row r="413" spans="2:5" ht="15" customHeight="1">
      <c r="B413" s="78"/>
      <c r="C413" s="36" t="s">
        <v>29</v>
      </c>
      <c r="D413" s="35">
        <v>21</v>
      </c>
      <c r="E413" s="34">
        <v>2.687484003071E-3</v>
      </c>
    </row>
    <row r="414" spans="2:5" ht="15" customHeight="1">
      <c r="B414" s="76" t="s">
        <v>137</v>
      </c>
      <c r="C414" s="62" t="s">
        <v>190</v>
      </c>
      <c r="D414" s="63">
        <v>1</v>
      </c>
      <c r="E414" s="64">
        <v>1.2797542871799999E-4</v>
      </c>
    </row>
    <row r="415" spans="2:5" ht="15" customHeight="1">
      <c r="B415" s="77"/>
      <c r="C415" s="62" t="s">
        <v>199</v>
      </c>
      <c r="D415" s="63">
        <v>1</v>
      </c>
      <c r="E415" s="64">
        <v>1.2797542871799999E-4</v>
      </c>
    </row>
    <row r="416" spans="2:5" ht="15" customHeight="1">
      <c r="B416" s="77"/>
      <c r="C416" s="62" t="s">
        <v>191</v>
      </c>
      <c r="D416" s="63">
        <v>1</v>
      </c>
      <c r="E416" s="64">
        <v>1.2797542871799999E-4</v>
      </c>
    </row>
    <row r="417" spans="2:5" ht="15" customHeight="1">
      <c r="B417" s="77"/>
      <c r="C417" s="62" t="s">
        <v>200</v>
      </c>
      <c r="D417" s="63">
        <v>1</v>
      </c>
      <c r="E417" s="64">
        <v>1.2797542871799999E-4</v>
      </c>
    </row>
    <row r="418" spans="2:5" ht="15" customHeight="1">
      <c r="B418" s="77"/>
      <c r="C418" s="62" t="s">
        <v>201</v>
      </c>
      <c r="D418" s="63">
        <v>5</v>
      </c>
      <c r="E418" s="64">
        <v>6.3987714358799996E-4</v>
      </c>
    </row>
    <row r="419" spans="2:5" ht="15" customHeight="1">
      <c r="B419" s="77"/>
      <c r="C419" s="62" t="s">
        <v>202</v>
      </c>
      <c r="D419" s="63">
        <v>1</v>
      </c>
      <c r="E419" s="64">
        <v>1.2797542871799999E-4</v>
      </c>
    </row>
    <row r="420" spans="2:5" ht="15" customHeight="1">
      <c r="B420" s="77"/>
      <c r="C420" s="62" t="s">
        <v>204</v>
      </c>
      <c r="D420" s="63">
        <v>5</v>
      </c>
      <c r="E420" s="64">
        <v>6.3987714358799996E-4</v>
      </c>
    </row>
    <row r="421" spans="2:5" ht="15" customHeight="1">
      <c r="B421" s="77"/>
      <c r="C421" s="62" t="s">
        <v>192</v>
      </c>
      <c r="D421" s="63">
        <v>1</v>
      </c>
      <c r="E421" s="64">
        <v>1.2797542871799999E-4</v>
      </c>
    </row>
    <row r="422" spans="2:5" ht="15" customHeight="1">
      <c r="B422" s="77"/>
      <c r="C422" s="62" t="s">
        <v>193</v>
      </c>
      <c r="D422" s="63">
        <v>6</v>
      </c>
      <c r="E422" s="64">
        <v>7.6785257230599997E-4</v>
      </c>
    </row>
    <row r="423" spans="2:5" ht="15" customHeight="1">
      <c r="B423" s="77"/>
      <c r="C423" s="62" t="s">
        <v>206</v>
      </c>
      <c r="D423" s="63">
        <v>1</v>
      </c>
      <c r="E423" s="64">
        <v>1.2797542871799999E-4</v>
      </c>
    </row>
    <row r="424" spans="2:5" ht="15" customHeight="1">
      <c r="B424" s="77"/>
      <c r="C424" s="62" t="s">
        <v>207</v>
      </c>
      <c r="D424" s="63">
        <v>6</v>
      </c>
      <c r="E424" s="64">
        <v>7.6785257230599997E-4</v>
      </c>
    </row>
    <row r="425" spans="2:5" ht="15" customHeight="1">
      <c r="B425" s="77"/>
      <c r="C425" s="62" t="s">
        <v>210</v>
      </c>
      <c r="D425" s="63">
        <v>1</v>
      </c>
      <c r="E425" s="64">
        <v>1.2797542871799999E-4</v>
      </c>
    </row>
    <row r="426" spans="2:5" ht="15" customHeight="1">
      <c r="B426" s="77"/>
      <c r="C426" s="62" t="s">
        <v>195</v>
      </c>
      <c r="D426" s="63">
        <v>9</v>
      </c>
      <c r="E426" s="64">
        <v>1.1517788584590001E-3</v>
      </c>
    </row>
    <row r="427" spans="2:5" ht="15" customHeight="1">
      <c r="B427" s="77"/>
      <c r="C427" s="62" t="s">
        <v>196</v>
      </c>
      <c r="D427" s="63">
        <v>1</v>
      </c>
      <c r="E427" s="64">
        <v>1.2797542871799999E-4</v>
      </c>
    </row>
    <row r="428" spans="2:5" ht="15" customHeight="1">
      <c r="B428" s="77"/>
      <c r="C428" s="62" t="s">
        <v>197</v>
      </c>
      <c r="D428" s="63">
        <v>13</v>
      </c>
      <c r="E428" s="64">
        <v>1.6636805733300001E-3</v>
      </c>
    </row>
    <row r="429" spans="2:5" ht="15" customHeight="1">
      <c r="B429" s="77"/>
      <c r="C429" s="62" t="s">
        <v>198</v>
      </c>
      <c r="D429" s="63">
        <v>2</v>
      </c>
      <c r="E429" s="64">
        <v>2.5595085743500002E-4</v>
      </c>
    </row>
    <row r="430" spans="2:5" ht="15" customHeight="1">
      <c r="B430" s="78"/>
      <c r="C430" s="36" t="s">
        <v>29</v>
      </c>
      <c r="D430" s="35">
        <v>55</v>
      </c>
      <c r="E430" s="34">
        <v>7.0386485794729997E-3</v>
      </c>
    </row>
    <row r="431" spans="2:5" ht="15" customHeight="1">
      <c r="B431" s="76" t="s">
        <v>138</v>
      </c>
      <c r="C431" s="62" t="s">
        <v>190</v>
      </c>
      <c r="D431" s="63">
        <v>1</v>
      </c>
      <c r="E431" s="64">
        <v>1.2797542871799999E-4</v>
      </c>
    </row>
    <row r="432" spans="2:5" ht="15" customHeight="1">
      <c r="B432" s="77"/>
      <c r="C432" s="62" t="s">
        <v>208</v>
      </c>
      <c r="D432" s="63">
        <v>1</v>
      </c>
      <c r="E432" s="64">
        <v>1.2797542871799999E-4</v>
      </c>
    </row>
    <row r="433" spans="2:5" ht="15" customHeight="1">
      <c r="B433" s="77"/>
      <c r="C433" s="62" t="s">
        <v>195</v>
      </c>
      <c r="D433" s="63">
        <v>2</v>
      </c>
      <c r="E433" s="64">
        <v>2.5595085743500002E-4</v>
      </c>
    </row>
    <row r="434" spans="2:5" ht="15" customHeight="1">
      <c r="B434" s="77"/>
      <c r="C434" s="62" t="s">
        <v>197</v>
      </c>
      <c r="D434" s="63">
        <v>1</v>
      </c>
      <c r="E434" s="64">
        <v>1.2797542871799999E-4</v>
      </c>
    </row>
    <row r="435" spans="2:5" ht="15" customHeight="1">
      <c r="B435" s="77"/>
      <c r="C435" s="62" t="s">
        <v>198</v>
      </c>
      <c r="D435" s="63">
        <v>2</v>
      </c>
      <c r="E435" s="64">
        <v>2.5595085743500002E-4</v>
      </c>
    </row>
    <row r="436" spans="2:5" ht="15" customHeight="1">
      <c r="B436" s="78"/>
      <c r="C436" s="36" t="s">
        <v>29</v>
      </c>
      <c r="D436" s="35">
        <v>7</v>
      </c>
      <c r="E436" s="34">
        <v>8.9582800102399999E-4</v>
      </c>
    </row>
    <row r="437" spans="2:5" ht="15" customHeight="1">
      <c r="B437" s="76" t="s">
        <v>139</v>
      </c>
      <c r="C437" s="62" t="s">
        <v>190</v>
      </c>
      <c r="D437" s="63">
        <v>1</v>
      </c>
      <c r="E437" s="64">
        <v>1.2797542871799999E-4</v>
      </c>
    </row>
    <row r="438" spans="2:5" ht="15" customHeight="1">
      <c r="B438" s="77"/>
      <c r="C438" s="62" t="s">
        <v>201</v>
      </c>
      <c r="D438" s="63">
        <v>3</v>
      </c>
      <c r="E438" s="64">
        <v>3.8392628615299999E-4</v>
      </c>
    </row>
    <row r="439" spans="2:5" ht="15" customHeight="1">
      <c r="B439" s="77"/>
      <c r="C439" s="62" t="s">
        <v>204</v>
      </c>
      <c r="D439" s="63">
        <v>1</v>
      </c>
      <c r="E439" s="64">
        <v>1.2797542871799999E-4</v>
      </c>
    </row>
    <row r="440" spans="2:5" ht="15" customHeight="1">
      <c r="B440" s="77"/>
      <c r="C440" s="62" t="s">
        <v>192</v>
      </c>
      <c r="D440" s="63">
        <v>1</v>
      </c>
      <c r="E440" s="64">
        <v>1.2797542871799999E-4</v>
      </c>
    </row>
    <row r="441" spans="2:5" ht="15" customHeight="1">
      <c r="B441" s="77"/>
      <c r="C441" s="62" t="s">
        <v>206</v>
      </c>
      <c r="D441" s="63">
        <v>2</v>
      </c>
      <c r="E441" s="64">
        <v>2.5595085743500002E-4</v>
      </c>
    </row>
    <row r="442" spans="2:5" ht="15" customHeight="1">
      <c r="B442" s="77"/>
      <c r="C442" s="62" t="s">
        <v>207</v>
      </c>
      <c r="D442" s="63">
        <v>1</v>
      </c>
      <c r="E442" s="64">
        <v>1.2797542871799999E-4</v>
      </c>
    </row>
    <row r="443" spans="2:5" ht="15" customHeight="1">
      <c r="B443" s="77"/>
      <c r="C443" s="62" t="s">
        <v>208</v>
      </c>
      <c r="D443" s="63">
        <v>2</v>
      </c>
      <c r="E443" s="64">
        <v>2.5595085743500002E-4</v>
      </c>
    </row>
    <row r="444" spans="2:5" ht="15" customHeight="1">
      <c r="B444" s="77"/>
      <c r="C444" s="62" t="s">
        <v>210</v>
      </c>
      <c r="D444" s="63">
        <v>5</v>
      </c>
      <c r="E444" s="64">
        <v>6.3987714358799996E-4</v>
      </c>
    </row>
    <row r="445" spans="2:5" ht="15" customHeight="1">
      <c r="B445" s="77"/>
      <c r="C445" s="62" t="s">
        <v>194</v>
      </c>
      <c r="D445" s="63">
        <v>3</v>
      </c>
      <c r="E445" s="64">
        <v>3.8392628615299999E-4</v>
      </c>
    </row>
    <row r="446" spans="2:5" ht="15" customHeight="1">
      <c r="B446" s="77"/>
      <c r="C446" s="62" t="s">
        <v>195</v>
      </c>
      <c r="D446" s="63">
        <v>11</v>
      </c>
      <c r="E446" s="64">
        <v>1.4077297158950001E-3</v>
      </c>
    </row>
    <row r="447" spans="2:5" ht="15" customHeight="1">
      <c r="B447" s="77"/>
      <c r="C447" s="62" t="s">
        <v>196</v>
      </c>
      <c r="D447" s="63">
        <v>1</v>
      </c>
      <c r="E447" s="64">
        <v>1.2797542871799999E-4</v>
      </c>
    </row>
    <row r="448" spans="2:5" ht="15" customHeight="1">
      <c r="B448" s="77"/>
      <c r="C448" s="62" t="s">
        <v>197</v>
      </c>
      <c r="D448" s="63">
        <v>14</v>
      </c>
      <c r="E448" s="64">
        <v>1.791656002048E-3</v>
      </c>
    </row>
    <row r="449" spans="2:5" ht="15" customHeight="1">
      <c r="B449" s="77"/>
      <c r="C449" s="62" t="s">
        <v>198</v>
      </c>
      <c r="D449" s="63">
        <v>3</v>
      </c>
      <c r="E449" s="64">
        <v>3.8392628615299999E-4</v>
      </c>
    </row>
    <row r="450" spans="2:5" ht="15" customHeight="1">
      <c r="B450" s="77"/>
      <c r="C450" s="62" t="s">
        <v>209</v>
      </c>
      <c r="D450" s="63">
        <v>1</v>
      </c>
      <c r="E450" s="64">
        <v>1.2797542871799999E-4</v>
      </c>
    </row>
    <row r="451" spans="2:5" ht="15" customHeight="1">
      <c r="B451" s="78"/>
      <c r="C451" s="36" t="s">
        <v>29</v>
      </c>
      <c r="D451" s="35">
        <v>49</v>
      </c>
      <c r="E451" s="34">
        <v>6.270796007167E-3</v>
      </c>
    </row>
    <row r="452" spans="2:5" ht="15" customHeight="1">
      <c r="B452" s="76" t="s">
        <v>140</v>
      </c>
      <c r="C452" s="62" t="s">
        <v>190</v>
      </c>
      <c r="D452" s="63">
        <v>15</v>
      </c>
      <c r="E452" s="64">
        <v>1.919631430765E-3</v>
      </c>
    </row>
    <row r="453" spans="2:5" ht="15" customHeight="1">
      <c r="B453" s="77"/>
      <c r="C453" s="62" t="s">
        <v>199</v>
      </c>
      <c r="D453" s="63">
        <v>6</v>
      </c>
      <c r="E453" s="64">
        <v>7.6785257230599997E-4</v>
      </c>
    </row>
    <row r="454" spans="2:5" ht="15" customHeight="1">
      <c r="B454" s="77"/>
      <c r="C454" s="62" t="s">
        <v>191</v>
      </c>
      <c r="D454" s="63">
        <v>6</v>
      </c>
      <c r="E454" s="64">
        <v>7.6785257230599997E-4</v>
      </c>
    </row>
    <row r="455" spans="2:5" ht="15" customHeight="1">
      <c r="B455" s="77"/>
      <c r="C455" s="62" t="s">
        <v>200</v>
      </c>
      <c r="D455" s="63">
        <v>11</v>
      </c>
      <c r="E455" s="64">
        <v>1.4077297158950001E-3</v>
      </c>
    </row>
    <row r="456" spans="2:5" ht="15" customHeight="1">
      <c r="B456" s="77"/>
      <c r="C456" s="62" t="s">
        <v>201</v>
      </c>
      <c r="D456" s="63">
        <v>41</v>
      </c>
      <c r="E456" s="64">
        <v>5.246992577425E-3</v>
      </c>
    </row>
    <row r="457" spans="2:5" ht="15" customHeight="1">
      <c r="B457" s="77"/>
      <c r="C457" s="62" t="s">
        <v>202</v>
      </c>
      <c r="D457" s="63">
        <v>16</v>
      </c>
      <c r="E457" s="64">
        <v>2.047606859483E-3</v>
      </c>
    </row>
    <row r="458" spans="2:5" ht="15" customHeight="1">
      <c r="B458" s="77"/>
      <c r="C458" s="62" t="s">
        <v>204</v>
      </c>
      <c r="D458" s="63">
        <v>8</v>
      </c>
      <c r="E458" s="64">
        <v>1.0238034297409999E-3</v>
      </c>
    </row>
    <row r="459" spans="2:5" ht="15" customHeight="1">
      <c r="B459" s="77"/>
      <c r="C459" s="62" t="s">
        <v>192</v>
      </c>
      <c r="D459" s="63">
        <v>2</v>
      </c>
      <c r="E459" s="64">
        <v>2.5595085743500002E-4</v>
      </c>
    </row>
    <row r="460" spans="2:5" ht="15" customHeight="1">
      <c r="B460" s="77"/>
      <c r="C460" s="62" t="s">
        <v>193</v>
      </c>
      <c r="D460" s="63">
        <v>8</v>
      </c>
      <c r="E460" s="64">
        <v>1.0238034297409999E-3</v>
      </c>
    </row>
    <row r="461" spans="2:5" ht="15" customHeight="1">
      <c r="B461" s="77"/>
      <c r="C461" s="62" t="s">
        <v>206</v>
      </c>
      <c r="D461" s="63">
        <v>15</v>
      </c>
      <c r="E461" s="64">
        <v>1.919631430765E-3</v>
      </c>
    </row>
    <row r="462" spans="2:5" ht="15" customHeight="1">
      <c r="B462" s="77"/>
      <c r="C462" s="62" t="s">
        <v>207</v>
      </c>
      <c r="D462" s="63">
        <v>12</v>
      </c>
      <c r="E462" s="64">
        <v>1.5357051446119999E-3</v>
      </c>
    </row>
    <row r="463" spans="2:5" ht="15" customHeight="1">
      <c r="B463" s="77"/>
      <c r="C463" s="62" t="s">
        <v>208</v>
      </c>
      <c r="D463" s="63">
        <v>13</v>
      </c>
      <c r="E463" s="64">
        <v>1.6636805733300001E-3</v>
      </c>
    </row>
    <row r="464" spans="2:5" ht="15" customHeight="1">
      <c r="B464" s="77"/>
      <c r="C464" s="62" t="s">
        <v>210</v>
      </c>
      <c r="D464" s="63">
        <v>3</v>
      </c>
      <c r="E464" s="64">
        <v>3.8392628615299999E-4</v>
      </c>
    </row>
    <row r="465" spans="2:5" ht="15" customHeight="1">
      <c r="B465" s="77"/>
      <c r="C465" s="62" t="s">
        <v>194</v>
      </c>
      <c r="D465" s="63">
        <v>6</v>
      </c>
      <c r="E465" s="64">
        <v>7.6785257230599997E-4</v>
      </c>
    </row>
    <row r="466" spans="2:5" ht="15" customHeight="1">
      <c r="B466" s="77"/>
      <c r="C466" s="62" t="s">
        <v>195</v>
      </c>
      <c r="D466" s="63">
        <v>51</v>
      </c>
      <c r="E466" s="64">
        <v>6.5267468646020002E-3</v>
      </c>
    </row>
    <row r="467" spans="2:5" ht="15" customHeight="1">
      <c r="B467" s="77"/>
      <c r="C467" s="62" t="s">
        <v>196</v>
      </c>
      <c r="D467" s="63">
        <v>17</v>
      </c>
      <c r="E467" s="64">
        <v>2.1755822882010001E-3</v>
      </c>
    </row>
    <row r="468" spans="2:5" ht="15" customHeight="1">
      <c r="B468" s="77"/>
      <c r="C468" s="62" t="s">
        <v>197</v>
      </c>
      <c r="D468" s="63">
        <v>76</v>
      </c>
      <c r="E468" s="64">
        <v>9.7261325825439993E-3</v>
      </c>
    </row>
    <row r="469" spans="2:5" ht="15" customHeight="1">
      <c r="B469" s="77"/>
      <c r="C469" s="62" t="s">
        <v>198</v>
      </c>
      <c r="D469" s="63">
        <v>7</v>
      </c>
      <c r="E469" s="64">
        <v>8.9582800102399999E-4</v>
      </c>
    </row>
    <row r="470" spans="2:5" ht="15" customHeight="1">
      <c r="B470" s="77"/>
      <c r="C470" s="62" t="s">
        <v>209</v>
      </c>
      <c r="D470" s="63">
        <v>3</v>
      </c>
      <c r="E470" s="64">
        <v>3.8392628615299999E-4</v>
      </c>
    </row>
    <row r="471" spans="2:5" ht="15" customHeight="1">
      <c r="B471" s="78"/>
      <c r="C471" s="36" t="s">
        <v>29</v>
      </c>
      <c r="D471" s="35">
        <v>316</v>
      </c>
      <c r="E471" s="34">
        <v>4.0440235474788998E-2</v>
      </c>
    </row>
    <row r="472" spans="2:5" ht="15" customHeight="1">
      <c r="B472" s="76" t="s">
        <v>141</v>
      </c>
      <c r="C472" s="62" t="s">
        <v>199</v>
      </c>
      <c r="D472" s="63">
        <v>1</v>
      </c>
      <c r="E472" s="64">
        <v>1.2797542871799999E-4</v>
      </c>
    </row>
    <row r="473" spans="2:5" ht="15" customHeight="1">
      <c r="B473" s="77"/>
      <c r="C473" s="62" t="s">
        <v>191</v>
      </c>
      <c r="D473" s="63">
        <v>3</v>
      </c>
      <c r="E473" s="64">
        <v>3.8392628615299999E-4</v>
      </c>
    </row>
    <row r="474" spans="2:5" ht="15" customHeight="1">
      <c r="B474" s="77"/>
      <c r="C474" s="62" t="s">
        <v>200</v>
      </c>
      <c r="D474" s="63">
        <v>2</v>
      </c>
      <c r="E474" s="64">
        <v>2.5595085743500002E-4</v>
      </c>
    </row>
    <row r="475" spans="2:5" ht="15" customHeight="1">
      <c r="B475" s="77"/>
      <c r="C475" s="62" t="s">
        <v>201</v>
      </c>
      <c r="D475" s="63">
        <v>15</v>
      </c>
      <c r="E475" s="64">
        <v>1.919631430765E-3</v>
      </c>
    </row>
    <row r="476" spans="2:5" ht="15" customHeight="1">
      <c r="B476" s="77"/>
      <c r="C476" s="62" t="s">
        <v>202</v>
      </c>
      <c r="D476" s="63">
        <v>1</v>
      </c>
      <c r="E476" s="64">
        <v>1.2797542871799999E-4</v>
      </c>
    </row>
    <row r="477" spans="2:5" ht="15" customHeight="1">
      <c r="B477" s="77"/>
      <c r="C477" s="62" t="s">
        <v>203</v>
      </c>
      <c r="D477" s="63">
        <v>1</v>
      </c>
      <c r="E477" s="64">
        <v>1.2797542871799999E-4</v>
      </c>
    </row>
    <row r="478" spans="2:5" ht="15" customHeight="1">
      <c r="B478" s="77"/>
      <c r="C478" s="62" t="s">
        <v>204</v>
      </c>
      <c r="D478" s="63">
        <v>5</v>
      </c>
      <c r="E478" s="64">
        <v>6.3987714358799996E-4</v>
      </c>
    </row>
    <row r="479" spans="2:5" ht="15" customHeight="1">
      <c r="B479" s="77"/>
      <c r="C479" s="62" t="s">
        <v>192</v>
      </c>
      <c r="D479" s="63">
        <v>1</v>
      </c>
      <c r="E479" s="64">
        <v>1.2797542871799999E-4</v>
      </c>
    </row>
    <row r="480" spans="2:5" ht="15" customHeight="1">
      <c r="B480" s="77"/>
      <c r="C480" s="62" t="s">
        <v>193</v>
      </c>
      <c r="D480" s="63">
        <v>4</v>
      </c>
      <c r="E480" s="64">
        <v>5.1190171487100001E-4</v>
      </c>
    </row>
    <row r="481" spans="2:5" ht="15" customHeight="1">
      <c r="B481" s="77"/>
      <c r="C481" s="62" t="s">
        <v>206</v>
      </c>
      <c r="D481" s="63">
        <v>2</v>
      </c>
      <c r="E481" s="64">
        <v>2.5595085743500002E-4</v>
      </c>
    </row>
    <row r="482" spans="2:5" ht="15" customHeight="1">
      <c r="B482" s="77"/>
      <c r="C482" s="62" t="s">
        <v>207</v>
      </c>
      <c r="D482" s="63">
        <v>1</v>
      </c>
      <c r="E482" s="64">
        <v>1.2797542871799999E-4</v>
      </c>
    </row>
    <row r="483" spans="2:5" ht="15" customHeight="1">
      <c r="B483" s="77"/>
      <c r="C483" s="62" t="s">
        <v>208</v>
      </c>
      <c r="D483" s="63">
        <v>7</v>
      </c>
      <c r="E483" s="64">
        <v>8.9582800102399999E-4</v>
      </c>
    </row>
    <row r="484" spans="2:5" ht="15" customHeight="1">
      <c r="B484" s="77"/>
      <c r="C484" s="62" t="s">
        <v>210</v>
      </c>
      <c r="D484" s="63">
        <v>1</v>
      </c>
      <c r="E484" s="64">
        <v>1.2797542871799999E-4</v>
      </c>
    </row>
    <row r="485" spans="2:5" ht="15" customHeight="1">
      <c r="B485" s="77"/>
      <c r="C485" s="62" t="s">
        <v>194</v>
      </c>
      <c r="D485" s="63">
        <v>6</v>
      </c>
      <c r="E485" s="64">
        <v>7.6785257230599997E-4</v>
      </c>
    </row>
    <row r="486" spans="2:5" ht="15" customHeight="1">
      <c r="B486" s="77"/>
      <c r="C486" s="62" t="s">
        <v>195</v>
      </c>
      <c r="D486" s="63">
        <v>18</v>
      </c>
      <c r="E486" s="64">
        <v>2.3035577169180001E-3</v>
      </c>
    </row>
    <row r="487" spans="2:5" ht="15" customHeight="1">
      <c r="B487" s="77"/>
      <c r="C487" s="62" t="s">
        <v>196</v>
      </c>
      <c r="D487" s="63">
        <v>1</v>
      </c>
      <c r="E487" s="64">
        <v>1.2797542871799999E-4</v>
      </c>
    </row>
    <row r="488" spans="2:5" ht="15" customHeight="1">
      <c r="B488" s="77"/>
      <c r="C488" s="62" t="s">
        <v>197</v>
      </c>
      <c r="D488" s="63">
        <v>23</v>
      </c>
      <c r="E488" s="64">
        <v>2.9434348605069998E-3</v>
      </c>
    </row>
    <row r="489" spans="2:5" ht="15" customHeight="1">
      <c r="B489" s="77"/>
      <c r="C489" s="62" t="s">
        <v>198</v>
      </c>
      <c r="D489" s="63">
        <v>3</v>
      </c>
      <c r="E489" s="64">
        <v>3.8392628615299999E-4</v>
      </c>
    </row>
    <row r="490" spans="2:5" ht="15" customHeight="1">
      <c r="B490" s="77"/>
      <c r="C490" s="62" t="s">
        <v>209</v>
      </c>
      <c r="D490" s="63">
        <v>1</v>
      </c>
      <c r="E490" s="64">
        <v>1.2797542871799999E-4</v>
      </c>
    </row>
    <row r="491" spans="2:5" ht="15" customHeight="1">
      <c r="B491" s="78"/>
      <c r="C491" s="36" t="s">
        <v>29</v>
      </c>
      <c r="D491" s="35">
        <v>96</v>
      </c>
      <c r="E491" s="34">
        <v>1.2285641156898E-2</v>
      </c>
    </row>
    <row r="492" spans="2:5" ht="15" customHeight="1">
      <c r="B492" s="76" t="s">
        <v>142</v>
      </c>
      <c r="C492" s="62" t="s">
        <v>190</v>
      </c>
      <c r="D492" s="63">
        <v>1</v>
      </c>
      <c r="E492" s="64">
        <v>1.2797542871799999E-4</v>
      </c>
    </row>
    <row r="493" spans="2:5" ht="15" customHeight="1">
      <c r="B493" s="77"/>
      <c r="C493" s="62" t="s">
        <v>191</v>
      </c>
      <c r="D493" s="63">
        <v>1</v>
      </c>
      <c r="E493" s="64">
        <v>1.2797542871799999E-4</v>
      </c>
    </row>
    <row r="494" spans="2:5" ht="15" customHeight="1">
      <c r="B494" s="77"/>
      <c r="C494" s="62" t="s">
        <v>201</v>
      </c>
      <c r="D494" s="63">
        <v>2</v>
      </c>
      <c r="E494" s="64">
        <v>2.5595085743500002E-4</v>
      </c>
    </row>
    <row r="495" spans="2:5" ht="15" customHeight="1">
      <c r="B495" s="77"/>
      <c r="C495" s="62" t="s">
        <v>204</v>
      </c>
      <c r="D495" s="63">
        <v>5</v>
      </c>
      <c r="E495" s="64">
        <v>6.3987714358799996E-4</v>
      </c>
    </row>
    <row r="496" spans="2:5" ht="15" customHeight="1">
      <c r="B496" s="77"/>
      <c r="C496" s="62" t="s">
        <v>193</v>
      </c>
      <c r="D496" s="63">
        <v>2</v>
      </c>
      <c r="E496" s="64">
        <v>2.5595085743500002E-4</v>
      </c>
    </row>
    <row r="497" spans="2:5" ht="15" customHeight="1">
      <c r="B497" s="77"/>
      <c r="C497" s="62" t="s">
        <v>206</v>
      </c>
      <c r="D497" s="63">
        <v>3</v>
      </c>
      <c r="E497" s="64">
        <v>3.8392628615299999E-4</v>
      </c>
    </row>
    <row r="498" spans="2:5" ht="15" customHeight="1">
      <c r="B498" s="77"/>
      <c r="C498" s="62" t="s">
        <v>207</v>
      </c>
      <c r="D498" s="63">
        <v>5</v>
      </c>
      <c r="E498" s="64">
        <v>6.3987714358799996E-4</v>
      </c>
    </row>
    <row r="499" spans="2:5" ht="15" customHeight="1">
      <c r="B499" s="77"/>
      <c r="C499" s="62" t="s">
        <v>208</v>
      </c>
      <c r="D499" s="63">
        <v>1</v>
      </c>
      <c r="E499" s="64">
        <v>1.2797542871799999E-4</v>
      </c>
    </row>
    <row r="500" spans="2:5" ht="15" customHeight="1">
      <c r="B500" s="77"/>
      <c r="C500" s="62" t="s">
        <v>195</v>
      </c>
      <c r="D500" s="63">
        <v>8</v>
      </c>
      <c r="E500" s="64">
        <v>1.0238034297409999E-3</v>
      </c>
    </row>
    <row r="501" spans="2:5" ht="15" customHeight="1">
      <c r="B501" s="77"/>
      <c r="C501" s="62" t="s">
        <v>198</v>
      </c>
      <c r="D501" s="63">
        <v>4</v>
      </c>
      <c r="E501" s="64">
        <v>5.1190171487100001E-4</v>
      </c>
    </row>
    <row r="502" spans="2:5" ht="15" customHeight="1">
      <c r="B502" s="78"/>
      <c r="C502" s="36" t="s">
        <v>29</v>
      </c>
      <c r="D502" s="35">
        <v>32</v>
      </c>
      <c r="E502" s="34">
        <v>4.0952137189659999E-3</v>
      </c>
    </row>
    <row r="503" spans="2:5" ht="15" customHeight="1">
      <c r="B503" s="76" t="s">
        <v>82</v>
      </c>
      <c r="C503" s="62" t="s">
        <v>190</v>
      </c>
      <c r="D503" s="63">
        <v>4</v>
      </c>
      <c r="E503" s="64">
        <v>5.1190171487100001E-4</v>
      </c>
    </row>
    <row r="504" spans="2:5" ht="15" customHeight="1">
      <c r="B504" s="77"/>
      <c r="C504" s="62" t="s">
        <v>191</v>
      </c>
      <c r="D504" s="63">
        <v>1</v>
      </c>
      <c r="E504" s="64">
        <v>1.2797542871799999E-4</v>
      </c>
    </row>
    <row r="505" spans="2:5" ht="15" customHeight="1">
      <c r="B505" s="77"/>
      <c r="C505" s="62" t="s">
        <v>200</v>
      </c>
      <c r="D505" s="63">
        <v>3</v>
      </c>
      <c r="E505" s="64">
        <v>3.8392628615299999E-4</v>
      </c>
    </row>
    <row r="506" spans="2:5" ht="15" customHeight="1">
      <c r="B506" s="77"/>
      <c r="C506" s="62" t="s">
        <v>201</v>
      </c>
      <c r="D506" s="63">
        <v>19</v>
      </c>
      <c r="E506" s="64">
        <v>2.4315331456359998E-3</v>
      </c>
    </row>
    <row r="507" spans="2:5" ht="15" customHeight="1">
      <c r="B507" s="77"/>
      <c r="C507" s="62" t="s">
        <v>202</v>
      </c>
      <c r="D507" s="63">
        <v>4</v>
      </c>
      <c r="E507" s="64">
        <v>5.1190171487100001E-4</v>
      </c>
    </row>
    <row r="508" spans="2:5" ht="15" customHeight="1">
      <c r="B508" s="77"/>
      <c r="C508" s="62" t="s">
        <v>204</v>
      </c>
      <c r="D508" s="63">
        <v>2</v>
      </c>
      <c r="E508" s="64">
        <v>2.5595085743500002E-4</v>
      </c>
    </row>
    <row r="509" spans="2:5" ht="15" customHeight="1">
      <c r="B509" s="77"/>
      <c r="C509" s="62" t="s">
        <v>192</v>
      </c>
      <c r="D509" s="63">
        <v>1</v>
      </c>
      <c r="E509" s="64">
        <v>1.2797542871799999E-4</v>
      </c>
    </row>
    <row r="510" spans="2:5" ht="15" customHeight="1">
      <c r="B510" s="77"/>
      <c r="C510" s="62" t="s">
        <v>193</v>
      </c>
      <c r="D510" s="63">
        <v>1</v>
      </c>
      <c r="E510" s="64">
        <v>1.2797542871799999E-4</v>
      </c>
    </row>
    <row r="511" spans="2:5" ht="15" customHeight="1">
      <c r="B511" s="77"/>
      <c r="C511" s="62" t="s">
        <v>206</v>
      </c>
      <c r="D511" s="63">
        <v>5</v>
      </c>
      <c r="E511" s="64">
        <v>6.3987714358799996E-4</v>
      </c>
    </row>
    <row r="512" spans="2:5" ht="15" customHeight="1">
      <c r="B512" s="77"/>
      <c r="C512" s="62" t="s">
        <v>207</v>
      </c>
      <c r="D512" s="63">
        <v>3</v>
      </c>
      <c r="E512" s="64">
        <v>3.8392628615299999E-4</v>
      </c>
    </row>
    <row r="513" spans="2:5" ht="15" customHeight="1">
      <c r="B513" s="77"/>
      <c r="C513" s="62" t="s">
        <v>208</v>
      </c>
      <c r="D513" s="63">
        <v>7</v>
      </c>
      <c r="E513" s="64">
        <v>8.9582800102399999E-4</v>
      </c>
    </row>
    <row r="514" spans="2:5" ht="15" customHeight="1">
      <c r="B514" s="77"/>
      <c r="C514" s="62" t="s">
        <v>210</v>
      </c>
      <c r="D514" s="63">
        <v>2</v>
      </c>
      <c r="E514" s="64">
        <v>2.5595085743500002E-4</v>
      </c>
    </row>
    <row r="515" spans="2:5" ht="15" customHeight="1">
      <c r="B515" s="77"/>
      <c r="C515" s="62" t="s">
        <v>194</v>
      </c>
      <c r="D515" s="63">
        <v>3</v>
      </c>
      <c r="E515" s="64">
        <v>3.8392628615299999E-4</v>
      </c>
    </row>
    <row r="516" spans="2:5" ht="15" customHeight="1">
      <c r="B516" s="77"/>
      <c r="C516" s="62" t="s">
        <v>195</v>
      </c>
      <c r="D516" s="63">
        <v>19</v>
      </c>
      <c r="E516" s="64">
        <v>2.4315331456359998E-3</v>
      </c>
    </row>
    <row r="517" spans="2:5" ht="15" customHeight="1">
      <c r="B517" s="77"/>
      <c r="C517" s="62" t="s">
        <v>196</v>
      </c>
      <c r="D517" s="63">
        <v>5</v>
      </c>
      <c r="E517" s="64">
        <v>6.3987714358799996E-4</v>
      </c>
    </row>
    <row r="518" spans="2:5" ht="15" customHeight="1">
      <c r="B518" s="77"/>
      <c r="C518" s="62" t="s">
        <v>197</v>
      </c>
      <c r="D518" s="63">
        <v>11</v>
      </c>
      <c r="E518" s="64">
        <v>1.4077297158950001E-3</v>
      </c>
    </row>
    <row r="519" spans="2:5" ht="15" customHeight="1">
      <c r="B519" s="77"/>
      <c r="C519" s="62" t="s">
        <v>198</v>
      </c>
      <c r="D519" s="63">
        <v>2</v>
      </c>
      <c r="E519" s="64">
        <v>2.5595085743500002E-4</v>
      </c>
    </row>
    <row r="520" spans="2:5" ht="15" customHeight="1">
      <c r="B520" s="78"/>
      <c r="C520" s="36" t="s">
        <v>29</v>
      </c>
      <c r="D520" s="35">
        <v>92</v>
      </c>
      <c r="E520" s="34">
        <v>1.1773739442027E-2</v>
      </c>
    </row>
    <row r="521" spans="2:5" ht="15" customHeight="1">
      <c r="B521" s="76" t="s">
        <v>143</v>
      </c>
      <c r="C521" s="62" t="s">
        <v>190</v>
      </c>
      <c r="D521" s="63">
        <v>5</v>
      </c>
      <c r="E521" s="64">
        <v>6.3987714358799996E-4</v>
      </c>
    </row>
    <row r="522" spans="2:5" ht="15" customHeight="1">
      <c r="B522" s="77"/>
      <c r="C522" s="62" t="s">
        <v>191</v>
      </c>
      <c r="D522" s="63">
        <v>1</v>
      </c>
      <c r="E522" s="64">
        <v>1.2797542871799999E-4</v>
      </c>
    </row>
    <row r="523" spans="2:5" ht="15" customHeight="1">
      <c r="B523" s="77"/>
      <c r="C523" s="62" t="s">
        <v>201</v>
      </c>
      <c r="D523" s="63">
        <v>3</v>
      </c>
      <c r="E523" s="64">
        <v>3.8392628615299999E-4</v>
      </c>
    </row>
    <row r="524" spans="2:5" ht="15" customHeight="1">
      <c r="B524" s="77"/>
      <c r="C524" s="62" t="s">
        <v>202</v>
      </c>
      <c r="D524" s="63">
        <v>1</v>
      </c>
      <c r="E524" s="64">
        <v>1.2797542871799999E-4</v>
      </c>
    </row>
    <row r="525" spans="2:5" ht="15" customHeight="1">
      <c r="B525" s="77"/>
      <c r="C525" s="62" t="s">
        <v>203</v>
      </c>
      <c r="D525" s="63">
        <v>2</v>
      </c>
      <c r="E525" s="64">
        <v>2.5595085743500002E-4</v>
      </c>
    </row>
    <row r="526" spans="2:5" ht="15" customHeight="1">
      <c r="B526" s="77"/>
      <c r="C526" s="62" t="s">
        <v>193</v>
      </c>
      <c r="D526" s="63">
        <v>3</v>
      </c>
      <c r="E526" s="64">
        <v>3.8392628615299999E-4</v>
      </c>
    </row>
    <row r="527" spans="2:5" ht="15" customHeight="1">
      <c r="B527" s="77"/>
      <c r="C527" s="62" t="s">
        <v>206</v>
      </c>
      <c r="D527" s="63">
        <v>2</v>
      </c>
      <c r="E527" s="64">
        <v>2.5595085743500002E-4</v>
      </c>
    </row>
    <row r="528" spans="2:5" ht="15" customHeight="1">
      <c r="B528" s="77"/>
      <c r="C528" s="62" t="s">
        <v>207</v>
      </c>
      <c r="D528" s="63">
        <v>1</v>
      </c>
      <c r="E528" s="64">
        <v>1.2797542871799999E-4</v>
      </c>
    </row>
    <row r="529" spans="2:5" ht="15" customHeight="1">
      <c r="B529" s="77"/>
      <c r="C529" s="62" t="s">
        <v>208</v>
      </c>
      <c r="D529" s="63">
        <v>3</v>
      </c>
      <c r="E529" s="64">
        <v>3.8392628615299999E-4</v>
      </c>
    </row>
    <row r="530" spans="2:5" ht="15" customHeight="1">
      <c r="B530" s="77"/>
      <c r="C530" s="62" t="s">
        <v>195</v>
      </c>
      <c r="D530" s="63">
        <v>6</v>
      </c>
      <c r="E530" s="64">
        <v>7.6785257230599997E-4</v>
      </c>
    </row>
    <row r="531" spans="2:5" ht="15" customHeight="1">
      <c r="B531" s="77"/>
      <c r="C531" s="62" t="s">
        <v>196</v>
      </c>
      <c r="D531" s="63">
        <v>1</v>
      </c>
      <c r="E531" s="64">
        <v>1.2797542871799999E-4</v>
      </c>
    </row>
    <row r="532" spans="2:5" ht="15" customHeight="1">
      <c r="B532" s="77"/>
      <c r="C532" s="62" t="s">
        <v>197</v>
      </c>
      <c r="D532" s="63">
        <v>6</v>
      </c>
      <c r="E532" s="64">
        <v>7.6785257230599997E-4</v>
      </c>
    </row>
    <row r="533" spans="2:5" ht="15" customHeight="1">
      <c r="B533" s="77"/>
      <c r="C533" s="62" t="s">
        <v>198</v>
      </c>
      <c r="D533" s="63">
        <v>3</v>
      </c>
      <c r="E533" s="64">
        <v>3.8392628615299999E-4</v>
      </c>
    </row>
    <row r="534" spans="2:5" ht="15" customHeight="1">
      <c r="B534" s="78"/>
      <c r="C534" s="36" t="s">
        <v>29</v>
      </c>
      <c r="D534" s="35">
        <v>37</v>
      </c>
      <c r="E534" s="34">
        <v>4.7350908625540004E-3</v>
      </c>
    </row>
    <row r="535" spans="2:5" ht="15" customHeight="1">
      <c r="B535" s="76" t="s">
        <v>144</v>
      </c>
      <c r="C535" s="62" t="s">
        <v>201</v>
      </c>
      <c r="D535" s="63">
        <v>1</v>
      </c>
      <c r="E535" s="64">
        <v>1.2797542871799999E-4</v>
      </c>
    </row>
    <row r="536" spans="2:5" ht="15" customHeight="1">
      <c r="B536" s="77"/>
      <c r="C536" s="62" t="s">
        <v>202</v>
      </c>
      <c r="D536" s="63">
        <v>3</v>
      </c>
      <c r="E536" s="64">
        <v>3.8392628615299999E-4</v>
      </c>
    </row>
    <row r="537" spans="2:5" ht="15" customHeight="1">
      <c r="B537" s="77"/>
      <c r="C537" s="62" t="s">
        <v>203</v>
      </c>
      <c r="D537" s="63">
        <v>1</v>
      </c>
      <c r="E537" s="64">
        <v>1.2797542871799999E-4</v>
      </c>
    </row>
    <row r="538" spans="2:5" ht="15" customHeight="1">
      <c r="B538" s="77"/>
      <c r="C538" s="62" t="s">
        <v>204</v>
      </c>
      <c r="D538" s="63">
        <v>1</v>
      </c>
      <c r="E538" s="64">
        <v>1.2797542871799999E-4</v>
      </c>
    </row>
    <row r="539" spans="2:5" ht="15" customHeight="1">
      <c r="B539" s="77"/>
      <c r="C539" s="62" t="s">
        <v>193</v>
      </c>
      <c r="D539" s="63">
        <v>1</v>
      </c>
      <c r="E539" s="64">
        <v>1.2797542871799999E-4</v>
      </c>
    </row>
    <row r="540" spans="2:5" ht="15" customHeight="1">
      <c r="B540" s="77"/>
      <c r="C540" s="62" t="s">
        <v>195</v>
      </c>
      <c r="D540" s="63">
        <v>2</v>
      </c>
      <c r="E540" s="64">
        <v>2.5595085743500002E-4</v>
      </c>
    </row>
    <row r="541" spans="2:5" ht="15" customHeight="1">
      <c r="B541" s="77"/>
      <c r="C541" s="62" t="s">
        <v>196</v>
      </c>
      <c r="D541" s="63">
        <v>1</v>
      </c>
      <c r="E541" s="64">
        <v>1.2797542871799999E-4</v>
      </c>
    </row>
    <row r="542" spans="2:5" ht="15" customHeight="1">
      <c r="B542" s="77"/>
      <c r="C542" s="62" t="s">
        <v>197</v>
      </c>
      <c r="D542" s="63">
        <v>1</v>
      </c>
      <c r="E542" s="64">
        <v>1.2797542871799999E-4</v>
      </c>
    </row>
    <row r="543" spans="2:5" ht="15" customHeight="1">
      <c r="B543" s="78"/>
      <c r="C543" s="36" t="s">
        <v>29</v>
      </c>
      <c r="D543" s="35">
        <v>11</v>
      </c>
      <c r="E543" s="34">
        <v>1.4077297158950001E-3</v>
      </c>
    </row>
    <row r="544" spans="2:5" ht="15" customHeight="1">
      <c r="B544" s="79" t="s">
        <v>29</v>
      </c>
      <c r="C544" s="80"/>
      <c r="D544" s="60">
        <v>7814</v>
      </c>
      <c r="E544" s="61">
        <v>1</v>
      </c>
    </row>
    <row r="546" spans="2:2" ht="15" customHeight="1">
      <c r="B546" s="15" t="s">
        <v>47</v>
      </c>
    </row>
    <row r="547" spans="2:2" ht="15" customHeight="1">
      <c r="B547" s="17" t="s">
        <v>18</v>
      </c>
    </row>
    <row r="548" spans="2:2" ht="15" customHeight="1">
      <c r="B548" s="16" t="s">
        <v>48</v>
      </c>
    </row>
    <row r="549" spans="2:2" ht="15" customHeight="1">
      <c r="B549" s="15" t="s">
        <v>17</v>
      </c>
    </row>
    <row r="550" spans="2:2" ht="15" customHeight="1">
      <c r="B550" s="15" t="s">
        <v>49</v>
      </c>
    </row>
  </sheetData>
  <mergeCells count="47">
    <mergeCell ref="B544:C544"/>
    <mergeCell ref="B472:B491"/>
    <mergeCell ref="B492:B502"/>
    <mergeCell ref="B503:B520"/>
    <mergeCell ref="B521:B534"/>
    <mergeCell ref="B535:B543"/>
    <mergeCell ref="B407:B413"/>
    <mergeCell ref="B414:B430"/>
    <mergeCell ref="B431:B436"/>
    <mergeCell ref="B437:B451"/>
    <mergeCell ref="B452:B471"/>
    <mergeCell ref="B285:B295"/>
    <mergeCell ref="B296:B316"/>
    <mergeCell ref="B317:B324"/>
    <mergeCell ref="B325:B337"/>
    <mergeCell ref="B338:B344"/>
    <mergeCell ref="B239:B248"/>
    <mergeCell ref="B249:B264"/>
    <mergeCell ref="B265:B270"/>
    <mergeCell ref="B271:B279"/>
    <mergeCell ref="B280:B284"/>
    <mergeCell ref="B345:B361"/>
    <mergeCell ref="B362:B363"/>
    <mergeCell ref="B364:B372"/>
    <mergeCell ref="B373:B388"/>
    <mergeCell ref="B389:B406"/>
    <mergeCell ref="B237:B238"/>
    <mergeCell ref="B133:B137"/>
    <mergeCell ref="B138:B156"/>
    <mergeCell ref="B157:B176"/>
    <mergeCell ref="B177:B190"/>
    <mergeCell ref="B191:B200"/>
    <mergeCell ref="B7:E8"/>
    <mergeCell ref="B201:B214"/>
    <mergeCell ref="B215:B227"/>
    <mergeCell ref="B228:B233"/>
    <mergeCell ref="B234:B236"/>
    <mergeCell ref="B10:B19"/>
    <mergeCell ref="B20:B21"/>
    <mergeCell ref="B22:B42"/>
    <mergeCell ref="B43:B52"/>
    <mergeCell ref="B53:B73"/>
    <mergeCell ref="B74:B91"/>
    <mergeCell ref="B92:B93"/>
    <mergeCell ref="B94:B99"/>
    <mergeCell ref="B100:B116"/>
    <mergeCell ref="B117:B1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713"/>
  <sheetViews>
    <sheetView showGridLines="0" view="pageBreakPreview" topLeftCell="A690" zoomScale="85" zoomScaleNormal="100" zoomScaleSheetLayoutView="85" workbookViewId="0">
      <selection activeCell="B716" sqref="B716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49.710937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0" customFormat="1" ht="12" customHeight="1">
      <c r="B1" s="43"/>
      <c r="C1" s="42"/>
      <c r="D1" s="42"/>
      <c r="E1" s="42"/>
    </row>
    <row r="2" spans="1:5" s="40" customFormat="1" ht="15" customHeight="1">
      <c r="C2" s="45"/>
    </row>
    <row r="3" spans="1:5" s="40" customFormat="1" ht="15" customHeight="1">
      <c r="C3" s="45"/>
    </row>
    <row r="4" spans="1:5" s="40" customFormat="1" ht="30" customHeight="1">
      <c r="C4" s="45"/>
      <c r="D4" s="44"/>
    </row>
    <row r="5" spans="1:5" s="40" customFormat="1" ht="15" customHeight="1">
      <c r="C5" s="45"/>
      <c r="D5" s="44"/>
    </row>
    <row r="6" spans="1:5" s="40" customFormat="1" ht="24" customHeight="1">
      <c r="B6" s="43"/>
      <c r="C6" s="42"/>
      <c r="D6" s="42"/>
      <c r="E6" s="42"/>
    </row>
    <row r="7" spans="1:5" s="40" customFormat="1" ht="26.25" customHeight="1">
      <c r="A7" s="41"/>
      <c r="B7" s="75"/>
      <c r="C7" s="75"/>
      <c r="D7" s="75"/>
      <c r="E7" s="75"/>
    </row>
    <row r="8" spans="1:5" s="40" customFormat="1" ht="33" customHeight="1">
      <c r="A8" s="41"/>
      <c r="B8" s="75"/>
      <c r="C8" s="75"/>
      <c r="D8" s="75"/>
      <c r="E8" s="75"/>
    </row>
    <row r="9" spans="1:5" s="25" customFormat="1" ht="40.5" customHeight="1">
      <c r="B9" s="37" t="s">
        <v>22</v>
      </c>
      <c r="C9" s="39" t="s">
        <v>24</v>
      </c>
      <c r="D9" s="38" t="s">
        <v>20</v>
      </c>
      <c r="E9" s="37" t="s">
        <v>19</v>
      </c>
    </row>
    <row r="10" spans="1:5">
      <c r="B10" s="76" t="s">
        <v>84</v>
      </c>
      <c r="C10" s="62" t="s">
        <v>199</v>
      </c>
      <c r="D10" s="63">
        <v>1</v>
      </c>
      <c r="E10" s="64">
        <v>1.2797542871799999E-4</v>
      </c>
    </row>
    <row r="11" spans="1:5">
      <c r="B11" s="77"/>
      <c r="C11" s="62" t="s">
        <v>191</v>
      </c>
      <c r="D11" s="63">
        <v>1</v>
      </c>
      <c r="E11" s="64">
        <v>1.2797542871799999E-4</v>
      </c>
    </row>
    <row r="12" spans="1:5">
      <c r="B12" s="77"/>
      <c r="C12" s="62" t="s">
        <v>200</v>
      </c>
      <c r="D12" s="63">
        <v>1</v>
      </c>
      <c r="E12" s="64">
        <v>1.2797542871799999E-4</v>
      </c>
    </row>
    <row r="13" spans="1:5">
      <c r="B13" s="77"/>
      <c r="C13" s="62" t="s">
        <v>201</v>
      </c>
      <c r="D13" s="63">
        <v>2</v>
      </c>
      <c r="E13" s="64">
        <v>2.5595085743500002E-4</v>
      </c>
    </row>
    <row r="14" spans="1:5">
      <c r="B14" s="77"/>
      <c r="C14" s="62" t="s">
        <v>202</v>
      </c>
      <c r="D14" s="63">
        <v>3</v>
      </c>
      <c r="E14" s="64">
        <v>3.8392628615299999E-4</v>
      </c>
    </row>
    <row r="15" spans="1:5">
      <c r="B15" s="77"/>
      <c r="C15" s="62" t="s">
        <v>203</v>
      </c>
      <c r="D15" s="63">
        <v>1</v>
      </c>
      <c r="E15" s="64">
        <v>1.2797542871799999E-4</v>
      </c>
    </row>
    <row r="16" spans="1:5">
      <c r="B16" s="77"/>
      <c r="C16" s="62" t="s">
        <v>207</v>
      </c>
      <c r="D16" s="63">
        <v>1</v>
      </c>
      <c r="E16" s="64">
        <v>1.2797542871799999E-4</v>
      </c>
    </row>
    <row r="17" spans="2:5">
      <c r="B17" s="77"/>
      <c r="C17" s="62" t="s">
        <v>208</v>
      </c>
      <c r="D17" s="63">
        <v>1</v>
      </c>
      <c r="E17" s="64">
        <v>1.2797542871799999E-4</v>
      </c>
    </row>
    <row r="18" spans="2:5">
      <c r="B18" s="77"/>
      <c r="C18" s="62" t="s">
        <v>210</v>
      </c>
      <c r="D18" s="63">
        <v>1</v>
      </c>
      <c r="E18" s="64">
        <v>1.2797542871799999E-4</v>
      </c>
    </row>
    <row r="19" spans="2:5">
      <c r="B19" s="77"/>
      <c r="C19" s="62" t="s">
        <v>195</v>
      </c>
      <c r="D19" s="63">
        <v>3</v>
      </c>
      <c r="E19" s="64">
        <v>3.8392628615299999E-4</v>
      </c>
    </row>
    <row r="20" spans="2:5">
      <c r="B20" s="77"/>
      <c r="C20" s="62" t="s">
        <v>196</v>
      </c>
      <c r="D20" s="63">
        <v>1</v>
      </c>
      <c r="E20" s="64">
        <v>1.2797542871799999E-4</v>
      </c>
    </row>
    <row r="21" spans="2:5">
      <c r="B21" s="77"/>
      <c r="C21" s="62" t="s">
        <v>197</v>
      </c>
      <c r="D21" s="63">
        <v>11</v>
      </c>
      <c r="E21" s="64">
        <v>1.4077297158950001E-3</v>
      </c>
    </row>
    <row r="22" spans="2:5">
      <c r="B22" s="77"/>
      <c r="C22" s="62" t="s">
        <v>209</v>
      </c>
      <c r="D22" s="63">
        <v>1</v>
      </c>
      <c r="E22" s="64">
        <v>1.2797542871799999E-4</v>
      </c>
    </row>
    <row r="23" spans="2:5">
      <c r="B23" s="78"/>
      <c r="C23" s="36" t="s">
        <v>29</v>
      </c>
      <c r="D23" s="35">
        <v>28</v>
      </c>
      <c r="E23" s="34">
        <v>3.5833120040949999E-3</v>
      </c>
    </row>
    <row r="24" spans="2:5">
      <c r="B24" s="76" t="s">
        <v>66</v>
      </c>
      <c r="C24" s="62" t="s">
        <v>190</v>
      </c>
      <c r="D24" s="63">
        <v>5</v>
      </c>
      <c r="E24" s="64">
        <v>6.3987714358799996E-4</v>
      </c>
    </row>
    <row r="25" spans="2:5">
      <c r="B25" s="77"/>
      <c r="C25" s="62" t="s">
        <v>199</v>
      </c>
      <c r="D25" s="63">
        <v>1</v>
      </c>
      <c r="E25" s="64">
        <v>1.2797542871799999E-4</v>
      </c>
    </row>
    <row r="26" spans="2:5">
      <c r="B26" s="77"/>
      <c r="C26" s="62" t="s">
        <v>191</v>
      </c>
      <c r="D26" s="63">
        <v>4</v>
      </c>
      <c r="E26" s="64">
        <v>5.1190171487100001E-4</v>
      </c>
    </row>
    <row r="27" spans="2:5">
      <c r="B27" s="77"/>
      <c r="C27" s="62" t="s">
        <v>201</v>
      </c>
      <c r="D27" s="63">
        <v>7</v>
      </c>
      <c r="E27" s="64">
        <v>8.9582800102399999E-4</v>
      </c>
    </row>
    <row r="28" spans="2:5">
      <c r="B28" s="77"/>
      <c r="C28" s="62" t="s">
        <v>202</v>
      </c>
      <c r="D28" s="63">
        <v>1</v>
      </c>
      <c r="E28" s="64">
        <v>1.2797542871799999E-4</v>
      </c>
    </row>
    <row r="29" spans="2:5">
      <c r="B29" s="77"/>
      <c r="C29" s="62" t="s">
        <v>204</v>
      </c>
      <c r="D29" s="63">
        <v>2</v>
      </c>
      <c r="E29" s="64">
        <v>2.5595085743500002E-4</v>
      </c>
    </row>
    <row r="30" spans="2:5">
      <c r="B30" s="77"/>
      <c r="C30" s="62" t="s">
        <v>192</v>
      </c>
      <c r="D30" s="63">
        <v>15</v>
      </c>
      <c r="E30" s="64">
        <v>1.919631430765E-3</v>
      </c>
    </row>
    <row r="31" spans="2:5">
      <c r="B31" s="77"/>
      <c r="C31" s="62" t="s">
        <v>193</v>
      </c>
      <c r="D31" s="63">
        <v>2</v>
      </c>
      <c r="E31" s="64">
        <v>2.5595085743500002E-4</v>
      </c>
    </row>
    <row r="32" spans="2:5">
      <c r="B32" s="77"/>
      <c r="C32" s="62" t="s">
        <v>206</v>
      </c>
      <c r="D32" s="63">
        <v>4</v>
      </c>
      <c r="E32" s="64">
        <v>5.1190171487100001E-4</v>
      </c>
    </row>
    <row r="33" spans="2:5">
      <c r="B33" s="77"/>
      <c r="C33" s="62" t="s">
        <v>207</v>
      </c>
      <c r="D33" s="63">
        <v>2</v>
      </c>
      <c r="E33" s="64">
        <v>2.5595085743500002E-4</v>
      </c>
    </row>
    <row r="34" spans="2:5">
      <c r="B34" s="77"/>
      <c r="C34" s="62" t="s">
        <v>208</v>
      </c>
      <c r="D34" s="63">
        <v>4</v>
      </c>
      <c r="E34" s="64">
        <v>5.1190171487100001E-4</v>
      </c>
    </row>
    <row r="35" spans="2:5">
      <c r="B35" s="77"/>
      <c r="C35" s="62" t="s">
        <v>194</v>
      </c>
      <c r="D35" s="63">
        <v>5</v>
      </c>
      <c r="E35" s="64">
        <v>6.3987714358799996E-4</v>
      </c>
    </row>
    <row r="36" spans="2:5">
      <c r="B36" s="77"/>
      <c r="C36" s="62" t="s">
        <v>195</v>
      </c>
      <c r="D36" s="63">
        <v>25</v>
      </c>
      <c r="E36" s="64">
        <v>3.199385717942E-3</v>
      </c>
    </row>
    <row r="37" spans="2:5">
      <c r="B37" s="77"/>
      <c r="C37" s="62" t="s">
        <v>196</v>
      </c>
      <c r="D37" s="63">
        <v>7</v>
      </c>
      <c r="E37" s="64">
        <v>8.9582800102399999E-4</v>
      </c>
    </row>
    <row r="38" spans="2:5">
      <c r="B38" s="77"/>
      <c r="C38" s="62" t="s">
        <v>197</v>
      </c>
      <c r="D38" s="63">
        <v>19</v>
      </c>
      <c r="E38" s="64">
        <v>2.4315331456359998E-3</v>
      </c>
    </row>
    <row r="39" spans="2:5">
      <c r="B39" s="77"/>
      <c r="C39" s="62" t="s">
        <v>198</v>
      </c>
      <c r="D39" s="63">
        <v>6</v>
      </c>
      <c r="E39" s="64">
        <v>7.6785257230599997E-4</v>
      </c>
    </row>
    <row r="40" spans="2:5">
      <c r="B40" s="78"/>
      <c r="C40" s="36" t="s">
        <v>29</v>
      </c>
      <c r="D40" s="35">
        <v>109</v>
      </c>
      <c r="E40" s="34">
        <v>1.3949321730228E-2</v>
      </c>
    </row>
    <row r="41" spans="2:5">
      <c r="B41" s="76" t="s">
        <v>80</v>
      </c>
      <c r="C41" s="62" t="s">
        <v>190</v>
      </c>
      <c r="D41" s="63">
        <v>2</v>
      </c>
      <c r="E41" s="64">
        <v>2.5595085743500002E-4</v>
      </c>
    </row>
    <row r="42" spans="2:5">
      <c r="B42" s="77"/>
      <c r="C42" s="62" t="s">
        <v>191</v>
      </c>
      <c r="D42" s="63">
        <v>1</v>
      </c>
      <c r="E42" s="64">
        <v>1.2797542871799999E-4</v>
      </c>
    </row>
    <row r="43" spans="2:5">
      <c r="B43" s="77"/>
      <c r="C43" s="62" t="s">
        <v>201</v>
      </c>
      <c r="D43" s="63">
        <v>1</v>
      </c>
      <c r="E43" s="64">
        <v>1.2797542871799999E-4</v>
      </c>
    </row>
    <row r="44" spans="2:5">
      <c r="B44" s="77"/>
      <c r="C44" s="62" t="s">
        <v>202</v>
      </c>
      <c r="D44" s="63">
        <v>13</v>
      </c>
      <c r="E44" s="64">
        <v>1.6636805733300001E-3</v>
      </c>
    </row>
    <row r="45" spans="2:5">
      <c r="B45" s="77"/>
      <c r="C45" s="62" t="s">
        <v>204</v>
      </c>
      <c r="D45" s="63">
        <v>1</v>
      </c>
      <c r="E45" s="64">
        <v>1.2797542871799999E-4</v>
      </c>
    </row>
    <row r="46" spans="2:5">
      <c r="B46" s="77"/>
      <c r="C46" s="62" t="s">
        <v>192</v>
      </c>
      <c r="D46" s="63">
        <v>1</v>
      </c>
      <c r="E46" s="64">
        <v>1.2797542871799999E-4</v>
      </c>
    </row>
    <row r="47" spans="2:5">
      <c r="B47" s="77"/>
      <c r="C47" s="62" t="s">
        <v>208</v>
      </c>
      <c r="D47" s="63">
        <v>1</v>
      </c>
      <c r="E47" s="64">
        <v>1.2797542871799999E-4</v>
      </c>
    </row>
    <row r="48" spans="2:5">
      <c r="B48" s="77"/>
      <c r="C48" s="62" t="s">
        <v>195</v>
      </c>
      <c r="D48" s="63">
        <v>2</v>
      </c>
      <c r="E48" s="64">
        <v>2.5595085743500002E-4</v>
      </c>
    </row>
    <row r="49" spans="2:5">
      <c r="B49" s="77"/>
      <c r="C49" s="62" t="s">
        <v>196</v>
      </c>
      <c r="D49" s="63">
        <v>1</v>
      </c>
      <c r="E49" s="64">
        <v>1.2797542871799999E-4</v>
      </c>
    </row>
    <row r="50" spans="2:5">
      <c r="B50" s="77"/>
      <c r="C50" s="62" t="s">
        <v>197</v>
      </c>
      <c r="D50" s="63">
        <v>6</v>
      </c>
      <c r="E50" s="64">
        <v>7.6785257230599997E-4</v>
      </c>
    </row>
    <row r="51" spans="2:5">
      <c r="B51" s="77"/>
      <c r="C51" s="62" t="s">
        <v>198</v>
      </c>
      <c r="D51" s="63">
        <v>1</v>
      </c>
      <c r="E51" s="64">
        <v>1.2797542871799999E-4</v>
      </c>
    </row>
    <row r="52" spans="2:5">
      <c r="B52" s="77"/>
      <c r="C52" s="62" t="s">
        <v>209</v>
      </c>
      <c r="D52" s="63">
        <v>1</v>
      </c>
      <c r="E52" s="64">
        <v>1.2797542871799999E-4</v>
      </c>
    </row>
    <row r="53" spans="2:5">
      <c r="B53" s="78"/>
      <c r="C53" s="36" t="s">
        <v>29</v>
      </c>
      <c r="D53" s="35">
        <v>31</v>
      </c>
      <c r="E53" s="34">
        <v>3.9672382902479998E-3</v>
      </c>
    </row>
    <row r="54" spans="2:5">
      <c r="B54" s="76" t="s">
        <v>63</v>
      </c>
      <c r="C54" s="62" t="s">
        <v>190</v>
      </c>
      <c r="D54" s="63">
        <v>3</v>
      </c>
      <c r="E54" s="64">
        <v>3.8392628615299999E-4</v>
      </c>
    </row>
    <row r="55" spans="2:5">
      <c r="B55" s="77"/>
      <c r="C55" s="62" t="s">
        <v>199</v>
      </c>
      <c r="D55" s="63">
        <v>7</v>
      </c>
      <c r="E55" s="64">
        <v>8.9582800102399999E-4</v>
      </c>
    </row>
    <row r="56" spans="2:5">
      <c r="B56" s="77"/>
      <c r="C56" s="62" t="s">
        <v>191</v>
      </c>
      <c r="D56" s="63">
        <v>6</v>
      </c>
      <c r="E56" s="64">
        <v>7.6785257230599997E-4</v>
      </c>
    </row>
    <row r="57" spans="2:5">
      <c r="B57" s="77"/>
      <c r="C57" s="62" t="s">
        <v>200</v>
      </c>
      <c r="D57" s="63">
        <v>2</v>
      </c>
      <c r="E57" s="64">
        <v>2.5595085743500002E-4</v>
      </c>
    </row>
    <row r="58" spans="2:5">
      <c r="B58" s="77"/>
      <c r="C58" s="62" t="s">
        <v>201</v>
      </c>
      <c r="D58" s="63">
        <v>20</v>
      </c>
      <c r="E58" s="64">
        <v>2.559508574354E-3</v>
      </c>
    </row>
    <row r="59" spans="2:5">
      <c r="B59" s="77"/>
      <c r="C59" s="62" t="s">
        <v>202</v>
      </c>
      <c r="D59" s="63">
        <v>10</v>
      </c>
      <c r="E59" s="64">
        <v>1.279754287177E-3</v>
      </c>
    </row>
    <row r="60" spans="2:5">
      <c r="B60" s="77"/>
      <c r="C60" s="62" t="s">
        <v>204</v>
      </c>
      <c r="D60" s="63">
        <v>2</v>
      </c>
      <c r="E60" s="64">
        <v>2.5595085743500002E-4</v>
      </c>
    </row>
    <row r="61" spans="2:5">
      <c r="B61" s="77"/>
      <c r="C61" s="62" t="s">
        <v>193</v>
      </c>
      <c r="D61" s="63">
        <v>1</v>
      </c>
      <c r="E61" s="64">
        <v>1.2797542871799999E-4</v>
      </c>
    </row>
    <row r="62" spans="2:5">
      <c r="B62" s="77"/>
      <c r="C62" s="62" t="s">
        <v>206</v>
      </c>
      <c r="D62" s="63">
        <v>3</v>
      </c>
      <c r="E62" s="64">
        <v>3.8392628615299999E-4</v>
      </c>
    </row>
    <row r="63" spans="2:5">
      <c r="B63" s="77"/>
      <c r="C63" s="62" t="s">
        <v>207</v>
      </c>
      <c r="D63" s="63">
        <v>4</v>
      </c>
      <c r="E63" s="64">
        <v>5.1190171487100001E-4</v>
      </c>
    </row>
    <row r="64" spans="2:5">
      <c r="B64" s="77"/>
      <c r="C64" s="62" t="s">
        <v>208</v>
      </c>
      <c r="D64" s="63">
        <v>8</v>
      </c>
      <c r="E64" s="64">
        <v>1.0238034297409999E-3</v>
      </c>
    </row>
    <row r="65" spans="2:5">
      <c r="B65" s="77"/>
      <c r="C65" s="62" t="s">
        <v>210</v>
      </c>
      <c r="D65" s="63">
        <v>1</v>
      </c>
      <c r="E65" s="64">
        <v>1.2797542871799999E-4</v>
      </c>
    </row>
    <row r="66" spans="2:5">
      <c r="B66" s="77"/>
      <c r="C66" s="62" t="s">
        <v>194</v>
      </c>
      <c r="D66" s="63">
        <v>4</v>
      </c>
      <c r="E66" s="64">
        <v>5.1190171487100001E-4</v>
      </c>
    </row>
    <row r="67" spans="2:5">
      <c r="B67" s="77"/>
      <c r="C67" s="62" t="s">
        <v>195</v>
      </c>
      <c r="D67" s="63">
        <v>42</v>
      </c>
      <c r="E67" s="64">
        <v>5.3749680061430001E-3</v>
      </c>
    </row>
    <row r="68" spans="2:5">
      <c r="B68" s="77"/>
      <c r="C68" s="62" t="s">
        <v>196</v>
      </c>
      <c r="D68" s="63">
        <v>6</v>
      </c>
      <c r="E68" s="64">
        <v>7.6785257230599997E-4</v>
      </c>
    </row>
    <row r="69" spans="2:5">
      <c r="B69" s="77"/>
      <c r="C69" s="62" t="s">
        <v>197</v>
      </c>
      <c r="D69" s="63">
        <v>29</v>
      </c>
      <c r="E69" s="64">
        <v>3.711287432813E-3</v>
      </c>
    </row>
    <row r="70" spans="2:5">
      <c r="B70" s="77"/>
      <c r="C70" s="62" t="s">
        <v>198</v>
      </c>
      <c r="D70" s="63">
        <v>3</v>
      </c>
      <c r="E70" s="64">
        <v>3.8392628615299999E-4</v>
      </c>
    </row>
    <row r="71" spans="2:5">
      <c r="B71" s="77"/>
      <c r="C71" s="62" t="s">
        <v>209</v>
      </c>
      <c r="D71" s="63">
        <v>3</v>
      </c>
      <c r="E71" s="64">
        <v>3.8392628615299999E-4</v>
      </c>
    </row>
    <row r="72" spans="2:5">
      <c r="B72" s="78"/>
      <c r="C72" s="36" t="s">
        <v>29</v>
      </c>
      <c r="D72" s="35">
        <v>154</v>
      </c>
      <c r="E72" s="34">
        <v>1.9708216022524001E-2</v>
      </c>
    </row>
    <row r="73" spans="2:5">
      <c r="B73" s="76" t="s">
        <v>95</v>
      </c>
      <c r="C73" s="62" t="s">
        <v>207</v>
      </c>
      <c r="D73" s="63">
        <v>1</v>
      </c>
      <c r="E73" s="64">
        <v>1.2797542871799999E-4</v>
      </c>
    </row>
    <row r="74" spans="2:5">
      <c r="B74" s="77"/>
      <c r="C74" s="62" t="s">
        <v>197</v>
      </c>
      <c r="D74" s="63">
        <v>3</v>
      </c>
      <c r="E74" s="64">
        <v>3.8392628615299999E-4</v>
      </c>
    </row>
    <row r="75" spans="2:5">
      <c r="B75" s="78"/>
      <c r="C75" s="36" t="s">
        <v>29</v>
      </c>
      <c r="D75" s="35">
        <v>4</v>
      </c>
      <c r="E75" s="34">
        <v>5.1190171487100001E-4</v>
      </c>
    </row>
    <row r="76" spans="2:5">
      <c r="B76" s="76" t="s">
        <v>93</v>
      </c>
      <c r="C76" s="62" t="s">
        <v>201</v>
      </c>
      <c r="D76" s="63">
        <v>2</v>
      </c>
      <c r="E76" s="64">
        <v>2.5595085743500002E-4</v>
      </c>
    </row>
    <row r="77" spans="2:5">
      <c r="B77" s="77"/>
      <c r="C77" s="62" t="s">
        <v>208</v>
      </c>
      <c r="D77" s="63">
        <v>1</v>
      </c>
      <c r="E77" s="64">
        <v>1.2797542871799999E-4</v>
      </c>
    </row>
    <row r="78" spans="2:5">
      <c r="B78" s="77"/>
      <c r="C78" s="62" t="s">
        <v>195</v>
      </c>
      <c r="D78" s="63">
        <v>1</v>
      </c>
      <c r="E78" s="64">
        <v>1.2797542871799999E-4</v>
      </c>
    </row>
    <row r="79" spans="2:5">
      <c r="B79" s="77"/>
      <c r="C79" s="62" t="s">
        <v>197</v>
      </c>
      <c r="D79" s="63">
        <v>2</v>
      </c>
      <c r="E79" s="64">
        <v>2.5595085743500002E-4</v>
      </c>
    </row>
    <row r="80" spans="2:5">
      <c r="B80" s="78"/>
      <c r="C80" s="36" t="s">
        <v>29</v>
      </c>
      <c r="D80" s="35">
        <v>6</v>
      </c>
      <c r="E80" s="34">
        <v>7.6785257230599997E-4</v>
      </c>
    </row>
    <row r="81" spans="2:5">
      <c r="B81" s="76" t="s">
        <v>92</v>
      </c>
      <c r="C81" s="62" t="s">
        <v>190</v>
      </c>
      <c r="D81" s="63">
        <v>1</v>
      </c>
      <c r="E81" s="64">
        <v>1.2797542871799999E-4</v>
      </c>
    </row>
    <row r="82" spans="2:5">
      <c r="B82" s="77"/>
      <c r="C82" s="62" t="s">
        <v>204</v>
      </c>
      <c r="D82" s="63">
        <v>1</v>
      </c>
      <c r="E82" s="64">
        <v>1.2797542871799999E-4</v>
      </c>
    </row>
    <row r="83" spans="2:5">
      <c r="B83" s="77"/>
      <c r="C83" s="62" t="s">
        <v>207</v>
      </c>
      <c r="D83" s="63">
        <v>1</v>
      </c>
      <c r="E83" s="64">
        <v>1.2797542871799999E-4</v>
      </c>
    </row>
    <row r="84" spans="2:5">
      <c r="B84" s="77"/>
      <c r="C84" s="62" t="s">
        <v>194</v>
      </c>
      <c r="D84" s="63">
        <v>1</v>
      </c>
      <c r="E84" s="64">
        <v>1.2797542871799999E-4</v>
      </c>
    </row>
    <row r="85" spans="2:5">
      <c r="B85" s="77"/>
      <c r="C85" s="62" t="s">
        <v>195</v>
      </c>
      <c r="D85" s="63">
        <v>1</v>
      </c>
      <c r="E85" s="64">
        <v>1.2797542871799999E-4</v>
      </c>
    </row>
    <row r="86" spans="2:5">
      <c r="B86" s="77"/>
      <c r="C86" s="62" t="s">
        <v>197</v>
      </c>
      <c r="D86" s="63">
        <v>2</v>
      </c>
      <c r="E86" s="64">
        <v>2.5595085743500002E-4</v>
      </c>
    </row>
    <row r="87" spans="2:5">
      <c r="B87" s="78"/>
      <c r="C87" s="36" t="s">
        <v>29</v>
      </c>
      <c r="D87" s="35">
        <v>7</v>
      </c>
      <c r="E87" s="34">
        <v>8.9582800102399999E-4</v>
      </c>
    </row>
    <row r="88" spans="2:5">
      <c r="B88" s="76" t="s">
        <v>58</v>
      </c>
      <c r="C88" s="62" t="s">
        <v>190</v>
      </c>
      <c r="D88" s="63">
        <v>7</v>
      </c>
      <c r="E88" s="64">
        <v>8.9582800102399999E-4</v>
      </c>
    </row>
    <row r="89" spans="2:5">
      <c r="B89" s="77"/>
      <c r="C89" s="62" t="s">
        <v>199</v>
      </c>
      <c r="D89" s="63">
        <v>6</v>
      </c>
      <c r="E89" s="64">
        <v>7.6785257230599997E-4</v>
      </c>
    </row>
    <row r="90" spans="2:5">
      <c r="B90" s="77"/>
      <c r="C90" s="62" t="s">
        <v>191</v>
      </c>
      <c r="D90" s="63">
        <v>5</v>
      </c>
      <c r="E90" s="64">
        <v>6.3987714358799996E-4</v>
      </c>
    </row>
    <row r="91" spans="2:5">
      <c r="B91" s="77"/>
      <c r="C91" s="62" t="s">
        <v>200</v>
      </c>
      <c r="D91" s="63">
        <v>2</v>
      </c>
      <c r="E91" s="64">
        <v>2.5595085743500002E-4</v>
      </c>
    </row>
    <row r="92" spans="2:5">
      <c r="B92" s="77"/>
      <c r="C92" s="62" t="s">
        <v>201</v>
      </c>
      <c r="D92" s="63">
        <v>32</v>
      </c>
      <c r="E92" s="64">
        <v>4.0952137189659999E-3</v>
      </c>
    </row>
    <row r="93" spans="2:5">
      <c r="B93" s="77"/>
      <c r="C93" s="62" t="s">
        <v>202</v>
      </c>
      <c r="D93" s="63">
        <v>1</v>
      </c>
      <c r="E93" s="64">
        <v>1.2797542871799999E-4</v>
      </c>
    </row>
    <row r="94" spans="2:5">
      <c r="B94" s="77"/>
      <c r="C94" s="62" t="s">
        <v>203</v>
      </c>
      <c r="D94" s="63">
        <v>3</v>
      </c>
      <c r="E94" s="64">
        <v>3.8392628615299999E-4</v>
      </c>
    </row>
    <row r="95" spans="2:5">
      <c r="B95" s="77"/>
      <c r="C95" s="62" t="s">
        <v>204</v>
      </c>
      <c r="D95" s="63">
        <v>11</v>
      </c>
      <c r="E95" s="64">
        <v>1.4077297158950001E-3</v>
      </c>
    </row>
    <row r="96" spans="2:5">
      <c r="B96" s="77"/>
      <c r="C96" s="62" t="s">
        <v>192</v>
      </c>
      <c r="D96" s="63">
        <v>4</v>
      </c>
      <c r="E96" s="64">
        <v>5.1190171487100001E-4</v>
      </c>
    </row>
    <row r="97" spans="2:5">
      <c r="B97" s="77"/>
      <c r="C97" s="62" t="s">
        <v>193</v>
      </c>
      <c r="D97" s="63">
        <v>16</v>
      </c>
      <c r="E97" s="64">
        <v>2.047606859483E-3</v>
      </c>
    </row>
    <row r="98" spans="2:5">
      <c r="B98" s="77"/>
      <c r="C98" s="62" t="s">
        <v>206</v>
      </c>
      <c r="D98" s="63">
        <v>14</v>
      </c>
      <c r="E98" s="64">
        <v>1.791656002048E-3</v>
      </c>
    </row>
    <row r="99" spans="2:5">
      <c r="B99" s="77"/>
      <c r="C99" s="62" t="s">
        <v>207</v>
      </c>
      <c r="D99" s="63">
        <v>16</v>
      </c>
      <c r="E99" s="64">
        <v>2.047606859483E-3</v>
      </c>
    </row>
    <row r="100" spans="2:5">
      <c r="B100" s="77"/>
      <c r="C100" s="62" t="s">
        <v>208</v>
      </c>
      <c r="D100" s="63">
        <v>14</v>
      </c>
      <c r="E100" s="64">
        <v>1.791656002048E-3</v>
      </c>
    </row>
    <row r="101" spans="2:5">
      <c r="B101" s="77"/>
      <c r="C101" s="62" t="s">
        <v>210</v>
      </c>
      <c r="D101" s="63">
        <v>1</v>
      </c>
      <c r="E101" s="64">
        <v>1.2797542871799999E-4</v>
      </c>
    </row>
    <row r="102" spans="2:5">
      <c r="B102" s="77"/>
      <c r="C102" s="62" t="s">
        <v>194</v>
      </c>
      <c r="D102" s="63">
        <v>3</v>
      </c>
      <c r="E102" s="64">
        <v>3.8392628615299999E-4</v>
      </c>
    </row>
    <row r="103" spans="2:5">
      <c r="B103" s="77"/>
      <c r="C103" s="62" t="s">
        <v>195</v>
      </c>
      <c r="D103" s="63">
        <v>28</v>
      </c>
      <c r="E103" s="64">
        <v>3.5833120040949999E-3</v>
      </c>
    </row>
    <row r="104" spans="2:5">
      <c r="B104" s="77"/>
      <c r="C104" s="62" t="s">
        <v>196</v>
      </c>
      <c r="D104" s="63">
        <v>7</v>
      </c>
      <c r="E104" s="64">
        <v>8.9582800102399999E-4</v>
      </c>
    </row>
    <row r="105" spans="2:5">
      <c r="B105" s="77"/>
      <c r="C105" s="62" t="s">
        <v>197</v>
      </c>
      <c r="D105" s="63">
        <v>80</v>
      </c>
      <c r="E105" s="64">
        <v>1.0238034297415001E-2</v>
      </c>
    </row>
    <row r="106" spans="2:5">
      <c r="B106" s="77"/>
      <c r="C106" s="62" t="s">
        <v>198</v>
      </c>
      <c r="D106" s="63">
        <v>24</v>
      </c>
      <c r="E106" s="64">
        <v>3.0714102892239999E-3</v>
      </c>
    </row>
    <row r="107" spans="2:5">
      <c r="B107" s="77"/>
      <c r="C107" s="62" t="s">
        <v>209</v>
      </c>
      <c r="D107" s="63">
        <v>3</v>
      </c>
      <c r="E107" s="64">
        <v>3.8392628615299999E-4</v>
      </c>
    </row>
    <row r="108" spans="2:5">
      <c r="B108" s="78"/>
      <c r="C108" s="36" t="s">
        <v>29</v>
      </c>
      <c r="D108" s="35">
        <v>277</v>
      </c>
      <c r="E108" s="34">
        <v>3.5449193754798998E-2</v>
      </c>
    </row>
    <row r="109" spans="2:5">
      <c r="B109" s="76" t="s">
        <v>65</v>
      </c>
      <c r="C109" s="62" t="s">
        <v>190</v>
      </c>
      <c r="D109" s="63">
        <v>6</v>
      </c>
      <c r="E109" s="64">
        <v>7.6785257230599997E-4</v>
      </c>
    </row>
    <row r="110" spans="2:5">
      <c r="B110" s="77"/>
      <c r="C110" s="62" t="s">
        <v>199</v>
      </c>
      <c r="D110" s="63">
        <v>1</v>
      </c>
      <c r="E110" s="64">
        <v>1.2797542871799999E-4</v>
      </c>
    </row>
    <row r="111" spans="2:5">
      <c r="B111" s="77"/>
      <c r="C111" s="62" t="s">
        <v>191</v>
      </c>
      <c r="D111" s="63">
        <v>2</v>
      </c>
      <c r="E111" s="64">
        <v>2.5595085743500002E-4</v>
      </c>
    </row>
    <row r="112" spans="2:5">
      <c r="B112" s="77"/>
      <c r="C112" s="62" t="s">
        <v>200</v>
      </c>
      <c r="D112" s="63">
        <v>3</v>
      </c>
      <c r="E112" s="64">
        <v>3.8392628615299999E-4</v>
      </c>
    </row>
    <row r="113" spans="2:5">
      <c r="B113" s="77"/>
      <c r="C113" s="62" t="s">
        <v>201</v>
      </c>
      <c r="D113" s="63">
        <v>15</v>
      </c>
      <c r="E113" s="64">
        <v>1.919631430765E-3</v>
      </c>
    </row>
    <row r="114" spans="2:5">
      <c r="B114" s="77"/>
      <c r="C114" s="62" t="s">
        <v>202</v>
      </c>
      <c r="D114" s="63">
        <v>3</v>
      </c>
      <c r="E114" s="64">
        <v>3.8392628615299999E-4</v>
      </c>
    </row>
    <row r="115" spans="2:5">
      <c r="B115" s="77"/>
      <c r="C115" s="62" t="s">
        <v>204</v>
      </c>
      <c r="D115" s="63">
        <v>3</v>
      </c>
      <c r="E115" s="64">
        <v>3.8392628615299999E-4</v>
      </c>
    </row>
    <row r="116" spans="2:5">
      <c r="B116" s="77"/>
      <c r="C116" s="62" t="s">
        <v>192</v>
      </c>
      <c r="D116" s="63">
        <v>1</v>
      </c>
      <c r="E116" s="64">
        <v>1.2797542871799999E-4</v>
      </c>
    </row>
    <row r="117" spans="2:5">
      <c r="B117" s="77"/>
      <c r="C117" s="62" t="s">
        <v>193</v>
      </c>
      <c r="D117" s="63">
        <v>3</v>
      </c>
      <c r="E117" s="64">
        <v>3.8392628615299999E-4</v>
      </c>
    </row>
    <row r="118" spans="2:5">
      <c r="B118" s="77"/>
      <c r="C118" s="62" t="s">
        <v>206</v>
      </c>
      <c r="D118" s="63">
        <v>10</v>
      </c>
      <c r="E118" s="64">
        <v>1.279754287177E-3</v>
      </c>
    </row>
    <row r="119" spans="2:5">
      <c r="B119" s="77"/>
      <c r="C119" s="62" t="s">
        <v>207</v>
      </c>
      <c r="D119" s="63">
        <v>6</v>
      </c>
      <c r="E119" s="64">
        <v>7.6785257230599997E-4</v>
      </c>
    </row>
    <row r="120" spans="2:5">
      <c r="B120" s="77"/>
      <c r="C120" s="62" t="s">
        <v>208</v>
      </c>
      <c r="D120" s="63">
        <v>6</v>
      </c>
      <c r="E120" s="64">
        <v>7.6785257230599997E-4</v>
      </c>
    </row>
    <row r="121" spans="2:5">
      <c r="B121" s="77"/>
      <c r="C121" s="62" t="s">
        <v>194</v>
      </c>
      <c r="D121" s="63">
        <v>1</v>
      </c>
      <c r="E121" s="64">
        <v>1.2797542871799999E-4</v>
      </c>
    </row>
    <row r="122" spans="2:5">
      <c r="B122" s="77"/>
      <c r="C122" s="62" t="s">
        <v>195</v>
      </c>
      <c r="D122" s="63">
        <v>20</v>
      </c>
      <c r="E122" s="64">
        <v>2.559508574354E-3</v>
      </c>
    </row>
    <row r="123" spans="2:5">
      <c r="B123" s="77"/>
      <c r="C123" s="62" t="s">
        <v>196</v>
      </c>
      <c r="D123" s="63">
        <v>8</v>
      </c>
      <c r="E123" s="64">
        <v>1.0238034297409999E-3</v>
      </c>
    </row>
    <row r="124" spans="2:5">
      <c r="B124" s="77"/>
      <c r="C124" s="62" t="s">
        <v>197</v>
      </c>
      <c r="D124" s="63">
        <v>29</v>
      </c>
      <c r="E124" s="64">
        <v>3.711287432813E-3</v>
      </c>
    </row>
    <row r="125" spans="2:5">
      <c r="B125" s="77"/>
      <c r="C125" s="62" t="s">
        <v>198</v>
      </c>
      <c r="D125" s="63">
        <v>3</v>
      </c>
      <c r="E125" s="64">
        <v>3.8392628615299999E-4</v>
      </c>
    </row>
    <row r="126" spans="2:5">
      <c r="B126" s="77"/>
      <c r="C126" s="62" t="s">
        <v>209</v>
      </c>
      <c r="D126" s="63">
        <v>1</v>
      </c>
      <c r="E126" s="64">
        <v>1.2797542871799999E-4</v>
      </c>
    </row>
    <row r="127" spans="2:5">
      <c r="B127" s="78"/>
      <c r="C127" s="36" t="s">
        <v>29</v>
      </c>
      <c r="D127" s="35">
        <v>121</v>
      </c>
      <c r="E127" s="34">
        <v>1.548502687484E-2</v>
      </c>
    </row>
    <row r="128" spans="2:5">
      <c r="B128" s="76" t="s">
        <v>98</v>
      </c>
      <c r="C128" s="62" t="s">
        <v>201</v>
      </c>
      <c r="D128" s="63">
        <v>1</v>
      </c>
      <c r="E128" s="64">
        <v>1.2797542871799999E-4</v>
      </c>
    </row>
    <row r="129" spans="2:5">
      <c r="B129" s="78"/>
      <c r="C129" s="36" t="s">
        <v>29</v>
      </c>
      <c r="D129" s="35">
        <v>1</v>
      </c>
      <c r="E129" s="34">
        <v>1.2797542871799999E-4</v>
      </c>
    </row>
    <row r="130" spans="2:5">
      <c r="B130" s="76" t="s">
        <v>60</v>
      </c>
      <c r="C130" s="62" t="s">
        <v>199</v>
      </c>
      <c r="D130" s="63">
        <v>3</v>
      </c>
      <c r="E130" s="64">
        <v>3.8392628615299999E-4</v>
      </c>
    </row>
    <row r="131" spans="2:5">
      <c r="B131" s="77"/>
      <c r="C131" s="62" t="s">
        <v>200</v>
      </c>
      <c r="D131" s="63">
        <v>3</v>
      </c>
      <c r="E131" s="64">
        <v>3.8392628615299999E-4</v>
      </c>
    </row>
    <row r="132" spans="2:5">
      <c r="B132" s="77"/>
      <c r="C132" s="62" t="s">
        <v>201</v>
      </c>
      <c r="D132" s="63">
        <v>20</v>
      </c>
      <c r="E132" s="64">
        <v>2.559508574354E-3</v>
      </c>
    </row>
    <row r="133" spans="2:5">
      <c r="B133" s="77"/>
      <c r="C133" s="62" t="s">
        <v>202</v>
      </c>
      <c r="D133" s="63">
        <v>88</v>
      </c>
      <c r="E133" s="64">
        <v>1.1261837727156001E-2</v>
      </c>
    </row>
    <row r="134" spans="2:5">
      <c r="B134" s="77"/>
      <c r="C134" s="62" t="s">
        <v>203</v>
      </c>
      <c r="D134" s="63">
        <v>2</v>
      </c>
      <c r="E134" s="64">
        <v>2.5595085743500002E-4</v>
      </c>
    </row>
    <row r="135" spans="2:5">
      <c r="B135" s="77"/>
      <c r="C135" s="62" t="s">
        <v>204</v>
      </c>
      <c r="D135" s="63">
        <v>2</v>
      </c>
      <c r="E135" s="64">
        <v>2.5595085743500002E-4</v>
      </c>
    </row>
    <row r="136" spans="2:5">
      <c r="B136" s="77"/>
      <c r="C136" s="62" t="s">
        <v>192</v>
      </c>
      <c r="D136" s="63">
        <v>2</v>
      </c>
      <c r="E136" s="64">
        <v>2.5595085743500002E-4</v>
      </c>
    </row>
    <row r="137" spans="2:5">
      <c r="B137" s="77"/>
      <c r="C137" s="62" t="s">
        <v>206</v>
      </c>
      <c r="D137" s="63">
        <v>13</v>
      </c>
      <c r="E137" s="64">
        <v>1.6636805733300001E-3</v>
      </c>
    </row>
    <row r="138" spans="2:5">
      <c r="B138" s="77"/>
      <c r="C138" s="62" t="s">
        <v>207</v>
      </c>
      <c r="D138" s="63">
        <v>4</v>
      </c>
      <c r="E138" s="64">
        <v>5.1190171487100001E-4</v>
      </c>
    </row>
    <row r="139" spans="2:5">
      <c r="B139" s="77"/>
      <c r="C139" s="62" t="s">
        <v>208</v>
      </c>
      <c r="D139" s="63">
        <v>10</v>
      </c>
      <c r="E139" s="64">
        <v>1.279754287177E-3</v>
      </c>
    </row>
    <row r="140" spans="2:5">
      <c r="B140" s="77"/>
      <c r="C140" s="62" t="s">
        <v>210</v>
      </c>
      <c r="D140" s="63">
        <v>2</v>
      </c>
      <c r="E140" s="64">
        <v>2.5595085743500002E-4</v>
      </c>
    </row>
    <row r="141" spans="2:5">
      <c r="B141" s="77"/>
      <c r="C141" s="62" t="s">
        <v>195</v>
      </c>
      <c r="D141" s="63">
        <v>25</v>
      </c>
      <c r="E141" s="64">
        <v>3.199385717942E-3</v>
      </c>
    </row>
    <row r="142" spans="2:5">
      <c r="B142" s="77"/>
      <c r="C142" s="62" t="s">
        <v>196</v>
      </c>
      <c r="D142" s="63">
        <v>5</v>
      </c>
      <c r="E142" s="64">
        <v>6.3987714358799996E-4</v>
      </c>
    </row>
    <row r="143" spans="2:5">
      <c r="B143" s="77"/>
      <c r="C143" s="62" t="s">
        <v>197</v>
      </c>
      <c r="D143" s="63">
        <v>40</v>
      </c>
      <c r="E143" s="64">
        <v>5.1190171487069999E-3</v>
      </c>
    </row>
    <row r="144" spans="2:5">
      <c r="B144" s="77"/>
      <c r="C144" s="62" t="s">
        <v>198</v>
      </c>
      <c r="D144" s="63">
        <v>2</v>
      </c>
      <c r="E144" s="64">
        <v>2.5595085743500002E-4</v>
      </c>
    </row>
    <row r="145" spans="2:5">
      <c r="B145" s="77"/>
      <c r="C145" s="62" t="s">
        <v>209</v>
      </c>
      <c r="D145" s="63">
        <v>2</v>
      </c>
      <c r="E145" s="64">
        <v>2.5595085743500002E-4</v>
      </c>
    </row>
    <row r="146" spans="2:5">
      <c r="B146" s="78"/>
      <c r="C146" s="36" t="s">
        <v>29</v>
      </c>
      <c r="D146" s="35">
        <v>223</v>
      </c>
      <c r="E146" s="34">
        <v>2.8538520604044E-2</v>
      </c>
    </row>
    <row r="147" spans="2:5">
      <c r="B147" s="76" t="s">
        <v>78</v>
      </c>
      <c r="C147" s="62" t="s">
        <v>190</v>
      </c>
      <c r="D147" s="63">
        <v>1</v>
      </c>
      <c r="E147" s="64">
        <v>1.2797542871799999E-4</v>
      </c>
    </row>
    <row r="148" spans="2:5">
      <c r="B148" s="77"/>
      <c r="C148" s="62" t="s">
        <v>201</v>
      </c>
      <c r="D148" s="63">
        <v>3</v>
      </c>
      <c r="E148" s="64">
        <v>3.8392628615299999E-4</v>
      </c>
    </row>
    <row r="149" spans="2:5">
      <c r="B149" s="77"/>
      <c r="C149" s="62" t="s">
        <v>203</v>
      </c>
      <c r="D149" s="63">
        <v>1</v>
      </c>
      <c r="E149" s="64">
        <v>1.2797542871799999E-4</v>
      </c>
    </row>
    <row r="150" spans="2:5">
      <c r="B150" s="77"/>
      <c r="C150" s="62" t="s">
        <v>193</v>
      </c>
      <c r="D150" s="63">
        <v>1</v>
      </c>
      <c r="E150" s="64">
        <v>1.2797542871799999E-4</v>
      </c>
    </row>
    <row r="151" spans="2:5">
      <c r="B151" s="77"/>
      <c r="C151" s="62" t="s">
        <v>206</v>
      </c>
      <c r="D151" s="63">
        <v>1</v>
      </c>
      <c r="E151" s="64">
        <v>1.2797542871799999E-4</v>
      </c>
    </row>
    <row r="152" spans="2:5">
      <c r="B152" s="77"/>
      <c r="C152" s="62" t="s">
        <v>207</v>
      </c>
      <c r="D152" s="63">
        <v>5</v>
      </c>
      <c r="E152" s="64">
        <v>6.3987714358799996E-4</v>
      </c>
    </row>
    <row r="153" spans="2:5">
      <c r="B153" s="77"/>
      <c r="C153" s="62" t="s">
        <v>208</v>
      </c>
      <c r="D153" s="63">
        <v>5</v>
      </c>
      <c r="E153" s="64">
        <v>6.3987714358799996E-4</v>
      </c>
    </row>
    <row r="154" spans="2:5">
      <c r="B154" s="77"/>
      <c r="C154" s="62" t="s">
        <v>210</v>
      </c>
      <c r="D154" s="63">
        <v>1</v>
      </c>
      <c r="E154" s="64">
        <v>1.2797542871799999E-4</v>
      </c>
    </row>
    <row r="155" spans="2:5">
      <c r="B155" s="77"/>
      <c r="C155" s="62" t="s">
        <v>194</v>
      </c>
      <c r="D155" s="63">
        <v>1</v>
      </c>
      <c r="E155" s="64">
        <v>1.2797542871799999E-4</v>
      </c>
    </row>
    <row r="156" spans="2:5">
      <c r="B156" s="77"/>
      <c r="C156" s="62" t="s">
        <v>195</v>
      </c>
      <c r="D156" s="63">
        <v>9</v>
      </c>
      <c r="E156" s="64">
        <v>1.1517788584590001E-3</v>
      </c>
    </row>
    <row r="157" spans="2:5">
      <c r="B157" s="77"/>
      <c r="C157" s="62" t="s">
        <v>197</v>
      </c>
      <c r="D157" s="63">
        <v>15</v>
      </c>
      <c r="E157" s="64">
        <v>1.919631430765E-3</v>
      </c>
    </row>
    <row r="158" spans="2:5">
      <c r="B158" s="77"/>
      <c r="C158" s="62" t="s">
        <v>198</v>
      </c>
      <c r="D158" s="63">
        <v>2</v>
      </c>
      <c r="E158" s="64">
        <v>2.5595085743500002E-4</v>
      </c>
    </row>
    <row r="159" spans="2:5">
      <c r="B159" s="78"/>
      <c r="C159" s="36" t="s">
        <v>29</v>
      </c>
      <c r="D159" s="35">
        <v>45</v>
      </c>
      <c r="E159" s="34">
        <v>5.7588942922960004E-3</v>
      </c>
    </row>
    <row r="160" spans="2:5">
      <c r="B160" s="76" t="s">
        <v>99</v>
      </c>
      <c r="C160" s="62" t="s">
        <v>206</v>
      </c>
      <c r="D160" s="63">
        <v>1</v>
      </c>
      <c r="E160" s="64">
        <v>1.2797542871799999E-4</v>
      </c>
    </row>
    <row r="161" spans="2:5">
      <c r="B161" s="78"/>
      <c r="C161" s="36" t="s">
        <v>29</v>
      </c>
      <c r="D161" s="35">
        <v>1</v>
      </c>
      <c r="E161" s="34">
        <v>1.2797542871799999E-4</v>
      </c>
    </row>
    <row r="162" spans="2:5">
      <c r="B162" s="76" t="s">
        <v>90</v>
      </c>
      <c r="C162" s="62" t="s">
        <v>190</v>
      </c>
      <c r="D162" s="63">
        <v>1</v>
      </c>
      <c r="E162" s="64">
        <v>1.2797542871799999E-4</v>
      </c>
    </row>
    <row r="163" spans="2:5">
      <c r="B163" s="77"/>
      <c r="C163" s="62" t="s">
        <v>204</v>
      </c>
      <c r="D163" s="63">
        <v>1</v>
      </c>
      <c r="E163" s="64">
        <v>1.2797542871799999E-4</v>
      </c>
    </row>
    <row r="164" spans="2:5">
      <c r="B164" s="77"/>
      <c r="C164" s="62" t="s">
        <v>192</v>
      </c>
      <c r="D164" s="63">
        <v>1</v>
      </c>
      <c r="E164" s="64">
        <v>1.2797542871799999E-4</v>
      </c>
    </row>
    <row r="165" spans="2:5">
      <c r="B165" s="77"/>
      <c r="C165" s="62" t="s">
        <v>210</v>
      </c>
      <c r="D165" s="63">
        <v>1</v>
      </c>
      <c r="E165" s="64">
        <v>1.2797542871799999E-4</v>
      </c>
    </row>
    <row r="166" spans="2:5">
      <c r="B166" s="77"/>
      <c r="C166" s="62" t="s">
        <v>195</v>
      </c>
      <c r="D166" s="63">
        <v>2</v>
      </c>
      <c r="E166" s="64">
        <v>2.5595085743500002E-4</v>
      </c>
    </row>
    <row r="167" spans="2:5">
      <c r="B167" s="77"/>
      <c r="C167" s="62" t="s">
        <v>197</v>
      </c>
      <c r="D167" s="63">
        <v>6</v>
      </c>
      <c r="E167" s="64">
        <v>7.6785257230599997E-4</v>
      </c>
    </row>
    <row r="168" spans="2:5">
      <c r="B168" s="78"/>
      <c r="C168" s="36" t="s">
        <v>29</v>
      </c>
      <c r="D168" s="35">
        <v>12</v>
      </c>
      <c r="E168" s="34">
        <v>1.5357051446119999E-3</v>
      </c>
    </row>
    <row r="169" spans="2:5">
      <c r="B169" s="76" t="s">
        <v>79</v>
      </c>
      <c r="C169" s="62" t="s">
        <v>200</v>
      </c>
      <c r="D169" s="63">
        <v>1</v>
      </c>
      <c r="E169" s="64">
        <v>1.2797542871799999E-4</v>
      </c>
    </row>
    <row r="170" spans="2:5">
      <c r="B170" s="77"/>
      <c r="C170" s="62" t="s">
        <v>201</v>
      </c>
      <c r="D170" s="63">
        <v>1</v>
      </c>
      <c r="E170" s="64">
        <v>1.2797542871799999E-4</v>
      </c>
    </row>
    <row r="171" spans="2:5">
      <c r="B171" s="77"/>
      <c r="C171" s="62" t="s">
        <v>193</v>
      </c>
      <c r="D171" s="63">
        <v>5</v>
      </c>
      <c r="E171" s="64">
        <v>6.3987714358799996E-4</v>
      </c>
    </row>
    <row r="172" spans="2:5">
      <c r="B172" s="77"/>
      <c r="C172" s="62" t="s">
        <v>206</v>
      </c>
      <c r="D172" s="63">
        <v>3</v>
      </c>
      <c r="E172" s="64">
        <v>3.8392628615299999E-4</v>
      </c>
    </row>
    <row r="173" spans="2:5">
      <c r="B173" s="77"/>
      <c r="C173" s="62" t="s">
        <v>207</v>
      </c>
      <c r="D173" s="63">
        <v>2</v>
      </c>
      <c r="E173" s="64">
        <v>2.5595085743500002E-4</v>
      </c>
    </row>
    <row r="174" spans="2:5">
      <c r="B174" s="77"/>
      <c r="C174" s="62" t="s">
        <v>208</v>
      </c>
      <c r="D174" s="63">
        <v>6</v>
      </c>
      <c r="E174" s="64">
        <v>7.6785257230599997E-4</v>
      </c>
    </row>
    <row r="175" spans="2:5">
      <c r="B175" s="77"/>
      <c r="C175" s="62" t="s">
        <v>195</v>
      </c>
      <c r="D175" s="63">
        <v>4</v>
      </c>
      <c r="E175" s="64">
        <v>5.1190171487100001E-4</v>
      </c>
    </row>
    <row r="176" spans="2:5">
      <c r="B176" s="77"/>
      <c r="C176" s="62" t="s">
        <v>197</v>
      </c>
      <c r="D176" s="63">
        <v>11</v>
      </c>
      <c r="E176" s="64">
        <v>1.4077297158950001E-3</v>
      </c>
    </row>
    <row r="177" spans="2:5">
      <c r="B177" s="77"/>
      <c r="C177" s="62" t="s">
        <v>198</v>
      </c>
      <c r="D177" s="63">
        <v>5</v>
      </c>
      <c r="E177" s="64">
        <v>6.3987714358799996E-4</v>
      </c>
    </row>
    <row r="178" spans="2:5">
      <c r="B178" s="78"/>
      <c r="C178" s="36" t="s">
        <v>29</v>
      </c>
      <c r="D178" s="35">
        <v>38</v>
      </c>
      <c r="E178" s="34">
        <v>4.8630662912719997E-3</v>
      </c>
    </row>
    <row r="179" spans="2:5">
      <c r="B179" s="76" t="s">
        <v>51</v>
      </c>
      <c r="C179" s="62" t="s">
        <v>190</v>
      </c>
      <c r="D179" s="63">
        <v>38</v>
      </c>
      <c r="E179" s="64">
        <v>4.8630662912719997E-3</v>
      </c>
    </row>
    <row r="180" spans="2:5">
      <c r="B180" s="77"/>
      <c r="C180" s="62" t="s">
        <v>199</v>
      </c>
      <c r="D180" s="63">
        <v>24</v>
      </c>
      <c r="E180" s="64">
        <v>3.0714102892239999E-3</v>
      </c>
    </row>
    <row r="181" spans="2:5">
      <c r="B181" s="77"/>
      <c r="C181" s="62" t="s">
        <v>191</v>
      </c>
      <c r="D181" s="63">
        <v>22</v>
      </c>
      <c r="E181" s="64">
        <v>2.8154594317890001E-3</v>
      </c>
    </row>
    <row r="182" spans="2:5">
      <c r="B182" s="77"/>
      <c r="C182" s="62" t="s">
        <v>200</v>
      </c>
      <c r="D182" s="63">
        <v>11</v>
      </c>
      <c r="E182" s="64">
        <v>1.4077297158950001E-3</v>
      </c>
    </row>
    <row r="183" spans="2:5">
      <c r="B183" s="77"/>
      <c r="C183" s="62" t="s">
        <v>201</v>
      </c>
      <c r="D183" s="63">
        <v>83</v>
      </c>
      <c r="E183" s="64">
        <v>1.0621960583567999E-2</v>
      </c>
    </row>
    <row r="184" spans="2:5">
      <c r="B184" s="77"/>
      <c r="C184" s="62" t="s">
        <v>202</v>
      </c>
      <c r="D184" s="63">
        <v>2</v>
      </c>
      <c r="E184" s="64">
        <v>2.5595085743500002E-4</v>
      </c>
    </row>
    <row r="185" spans="2:5">
      <c r="B185" s="77"/>
      <c r="C185" s="62" t="s">
        <v>203</v>
      </c>
      <c r="D185" s="63">
        <v>4</v>
      </c>
      <c r="E185" s="64">
        <v>5.1190171487100001E-4</v>
      </c>
    </row>
    <row r="186" spans="2:5">
      <c r="B186" s="77"/>
      <c r="C186" s="62" t="s">
        <v>204</v>
      </c>
      <c r="D186" s="63">
        <v>16</v>
      </c>
      <c r="E186" s="64">
        <v>2.047606859483E-3</v>
      </c>
    </row>
    <row r="187" spans="2:5">
      <c r="B187" s="77"/>
      <c r="C187" s="62" t="s">
        <v>192</v>
      </c>
      <c r="D187" s="63">
        <v>6</v>
      </c>
      <c r="E187" s="64">
        <v>7.6785257230599997E-4</v>
      </c>
    </row>
    <row r="188" spans="2:5">
      <c r="B188" s="77"/>
      <c r="C188" s="62" t="s">
        <v>193</v>
      </c>
      <c r="D188" s="63">
        <v>10</v>
      </c>
      <c r="E188" s="64">
        <v>1.279754287177E-3</v>
      </c>
    </row>
    <row r="189" spans="2:5">
      <c r="B189" s="77"/>
      <c r="C189" s="62" t="s">
        <v>206</v>
      </c>
      <c r="D189" s="63">
        <v>17</v>
      </c>
      <c r="E189" s="64">
        <v>2.1755822882010001E-3</v>
      </c>
    </row>
    <row r="190" spans="2:5">
      <c r="B190" s="77"/>
      <c r="C190" s="62" t="s">
        <v>207</v>
      </c>
      <c r="D190" s="63">
        <v>15</v>
      </c>
      <c r="E190" s="64">
        <v>1.919631430765E-3</v>
      </c>
    </row>
    <row r="191" spans="2:5">
      <c r="B191" s="77"/>
      <c r="C191" s="62" t="s">
        <v>208</v>
      </c>
      <c r="D191" s="63">
        <v>29</v>
      </c>
      <c r="E191" s="64">
        <v>3.711287432813E-3</v>
      </c>
    </row>
    <row r="192" spans="2:5">
      <c r="B192" s="77"/>
      <c r="C192" s="62" t="s">
        <v>210</v>
      </c>
      <c r="D192" s="63">
        <v>11</v>
      </c>
      <c r="E192" s="64">
        <v>1.4077297158950001E-3</v>
      </c>
    </row>
    <row r="193" spans="2:5">
      <c r="B193" s="77"/>
      <c r="C193" s="62" t="s">
        <v>194</v>
      </c>
      <c r="D193" s="63">
        <v>16</v>
      </c>
      <c r="E193" s="64">
        <v>2.047606859483E-3</v>
      </c>
    </row>
    <row r="194" spans="2:5">
      <c r="B194" s="77"/>
      <c r="C194" s="62" t="s">
        <v>195</v>
      </c>
      <c r="D194" s="63">
        <v>101</v>
      </c>
      <c r="E194" s="64">
        <v>1.2925518300485999E-2</v>
      </c>
    </row>
    <row r="195" spans="2:5">
      <c r="B195" s="77"/>
      <c r="C195" s="62" t="s">
        <v>196</v>
      </c>
      <c r="D195" s="63">
        <v>42</v>
      </c>
      <c r="E195" s="64">
        <v>5.3749680061430001E-3</v>
      </c>
    </row>
    <row r="196" spans="2:5">
      <c r="B196" s="77"/>
      <c r="C196" s="62" t="s">
        <v>197</v>
      </c>
      <c r="D196" s="63">
        <v>90</v>
      </c>
      <c r="E196" s="64">
        <v>1.1517788584592001E-2</v>
      </c>
    </row>
    <row r="197" spans="2:5">
      <c r="B197" s="77"/>
      <c r="C197" s="62" t="s">
        <v>198</v>
      </c>
      <c r="D197" s="63">
        <v>41</v>
      </c>
      <c r="E197" s="64">
        <v>5.246992577425E-3</v>
      </c>
    </row>
    <row r="198" spans="2:5">
      <c r="B198" s="77"/>
      <c r="C198" s="62" t="s">
        <v>209</v>
      </c>
      <c r="D198" s="63">
        <v>9</v>
      </c>
      <c r="E198" s="64">
        <v>1.1517788584590001E-3</v>
      </c>
    </row>
    <row r="199" spans="2:5">
      <c r="B199" s="78"/>
      <c r="C199" s="36" t="s">
        <v>29</v>
      </c>
      <c r="D199" s="35">
        <v>587</v>
      </c>
      <c r="E199" s="34">
        <v>7.5121576657282002E-2</v>
      </c>
    </row>
    <row r="200" spans="2:5">
      <c r="B200" s="76" t="s">
        <v>69</v>
      </c>
      <c r="C200" s="62" t="s">
        <v>190</v>
      </c>
      <c r="D200" s="63">
        <v>4</v>
      </c>
      <c r="E200" s="64">
        <v>5.1190171487100001E-4</v>
      </c>
    </row>
    <row r="201" spans="2:5">
      <c r="B201" s="77"/>
      <c r="C201" s="62" t="s">
        <v>199</v>
      </c>
      <c r="D201" s="63">
        <v>3</v>
      </c>
      <c r="E201" s="64">
        <v>3.8392628615299999E-4</v>
      </c>
    </row>
    <row r="202" spans="2:5">
      <c r="B202" s="77"/>
      <c r="C202" s="62" t="s">
        <v>191</v>
      </c>
      <c r="D202" s="63">
        <v>2</v>
      </c>
      <c r="E202" s="64">
        <v>2.5595085743500002E-4</v>
      </c>
    </row>
    <row r="203" spans="2:5">
      <c r="B203" s="77"/>
      <c r="C203" s="62" t="s">
        <v>200</v>
      </c>
      <c r="D203" s="63">
        <v>5</v>
      </c>
      <c r="E203" s="64">
        <v>6.3987714358799996E-4</v>
      </c>
    </row>
    <row r="204" spans="2:5">
      <c r="B204" s="77"/>
      <c r="C204" s="62" t="s">
        <v>201</v>
      </c>
      <c r="D204" s="63">
        <v>13</v>
      </c>
      <c r="E204" s="64">
        <v>1.6636805733300001E-3</v>
      </c>
    </row>
    <row r="205" spans="2:5">
      <c r="B205" s="77"/>
      <c r="C205" s="62" t="s">
        <v>204</v>
      </c>
      <c r="D205" s="63">
        <v>1</v>
      </c>
      <c r="E205" s="64">
        <v>1.2797542871799999E-4</v>
      </c>
    </row>
    <row r="206" spans="2:5">
      <c r="B206" s="77"/>
      <c r="C206" s="62" t="s">
        <v>193</v>
      </c>
      <c r="D206" s="63">
        <v>1</v>
      </c>
      <c r="E206" s="64">
        <v>1.2797542871799999E-4</v>
      </c>
    </row>
    <row r="207" spans="2:5">
      <c r="B207" s="77"/>
      <c r="C207" s="62" t="s">
        <v>206</v>
      </c>
      <c r="D207" s="63">
        <v>4</v>
      </c>
      <c r="E207" s="64">
        <v>5.1190171487100001E-4</v>
      </c>
    </row>
    <row r="208" spans="2:5">
      <c r="B208" s="77"/>
      <c r="C208" s="62" t="s">
        <v>207</v>
      </c>
      <c r="D208" s="63">
        <v>4</v>
      </c>
      <c r="E208" s="64">
        <v>5.1190171487100001E-4</v>
      </c>
    </row>
    <row r="209" spans="2:5">
      <c r="B209" s="77"/>
      <c r="C209" s="62" t="s">
        <v>208</v>
      </c>
      <c r="D209" s="63">
        <v>4</v>
      </c>
      <c r="E209" s="64">
        <v>5.1190171487100001E-4</v>
      </c>
    </row>
    <row r="210" spans="2:5">
      <c r="B210" s="77"/>
      <c r="C210" s="62" t="s">
        <v>210</v>
      </c>
      <c r="D210" s="63">
        <v>2</v>
      </c>
      <c r="E210" s="64">
        <v>2.5595085743500002E-4</v>
      </c>
    </row>
    <row r="211" spans="2:5">
      <c r="B211" s="77"/>
      <c r="C211" s="62" t="s">
        <v>194</v>
      </c>
      <c r="D211" s="63">
        <v>2</v>
      </c>
      <c r="E211" s="64">
        <v>2.5595085743500002E-4</v>
      </c>
    </row>
    <row r="212" spans="2:5">
      <c r="B212" s="77"/>
      <c r="C212" s="62" t="s">
        <v>195</v>
      </c>
      <c r="D212" s="63">
        <v>18</v>
      </c>
      <c r="E212" s="64">
        <v>2.3035577169180001E-3</v>
      </c>
    </row>
    <row r="213" spans="2:5">
      <c r="B213" s="77"/>
      <c r="C213" s="62" t="s">
        <v>196</v>
      </c>
      <c r="D213" s="63">
        <v>4</v>
      </c>
      <c r="E213" s="64">
        <v>5.1190171487100001E-4</v>
      </c>
    </row>
    <row r="214" spans="2:5">
      <c r="B214" s="77"/>
      <c r="C214" s="62" t="s">
        <v>197</v>
      </c>
      <c r="D214" s="63">
        <v>25</v>
      </c>
      <c r="E214" s="64">
        <v>3.199385717942E-3</v>
      </c>
    </row>
    <row r="215" spans="2:5">
      <c r="B215" s="77"/>
      <c r="C215" s="62" t="s">
        <v>198</v>
      </c>
      <c r="D215" s="63">
        <v>2</v>
      </c>
      <c r="E215" s="64">
        <v>2.5595085743500002E-4</v>
      </c>
    </row>
    <row r="216" spans="2:5">
      <c r="B216" s="77"/>
      <c r="C216" s="62" t="s">
        <v>209</v>
      </c>
      <c r="D216" s="63">
        <v>1</v>
      </c>
      <c r="E216" s="64">
        <v>1.2797542871799999E-4</v>
      </c>
    </row>
    <row r="217" spans="2:5">
      <c r="B217" s="78"/>
      <c r="C217" s="36" t="s">
        <v>29</v>
      </c>
      <c r="D217" s="35">
        <v>95</v>
      </c>
      <c r="E217" s="34">
        <v>1.215766572818E-2</v>
      </c>
    </row>
    <row r="218" spans="2:5">
      <c r="B218" s="76" t="s">
        <v>72</v>
      </c>
      <c r="C218" s="62" t="s">
        <v>190</v>
      </c>
      <c r="D218" s="63">
        <v>4</v>
      </c>
      <c r="E218" s="64">
        <v>5.1190171487100001E-4</v>
      </c>
    </row>
    <row r="219" spans="2:5">
      <c r="B219" s="77"/>
      <c r="C219" s="62" t="s">
        <v>199</v>
      </c>
      <c r="D219" s="63">
        <v>3</v>
      </c>
      <c r="E219" s="64">
        <v>3.8392628615299999E-4</v>
      </c>
    </row>
    <row r="220" spans="2:5">
      <c r="B220" s="77"/>
      <c r="C220" s="62" t="s">
        <v>201</v>
      </c>
      <c r="D220" s="63">
        <v>5</v>
      </c>
      <c r="E220" s="64">
        <v>6.3987714358799996E-4</v>
      </c>
    </row>
    <row r="221" spans="2:5">
      <c r="B221" s="77"/>
      <c r="C221" s="62" t="s">
        <v>202</v>
      </c>
      <c r="D221" s="63">
        <v>1</v>
      </c>
      <c r="E221" s="64">
        <v>1.2797542871799999E-4</v>
      </c>
    </row>
    <row r="222" spans="2:5">
      <c r="B222" s="77"/>
      <c r="C222" s="62" t="s">
        <v>203</v>
      </c>
      <c r="D222" s="63">
        <v>2</v>
      </c>
      <c r="E222" s="64">
        <v>2.5595085743500002E-4</v>
      </c>
    </row>
    <row r="223" spans="2:5">
      <c r="B223" s="77"/>
      <c r="C223" s="62" t="s">
        <v>204</v>
      </c>
      <c r="D223" s="63">
        <v>5</v>
      </c>
      <c r="E223" s="64">
        <v>6.3987714358799996E-4</v>
      </c>
    </row>
    <row r="224" spans="2:5">
      <c r="B224" s="77"/>
      <c r="C224" s="62" t="s">
        <v>192</v>
      </c>
      <c r="D224" s="63">
        <v>5</v>
      </c>
      <c r="E224" s="64">
        <v>6.3987714358799996E-4</v>
      </c>
    </row>
    <row r="225" spans="2:5">
      <c r="B225" s="77"/>
      <c r="C225" s="62" t="s">
        <v>206</v>
      </c>
      <c r="D225" s="63">
        <v>9</v>
      </c>
      <c r="E225" s="64">
        <v>1.1517788584590001E-3</v>
      </c>
    </row>
    <row r="226" spans="2:5">
      <c r="B226" s="77"/>
      <c r="C226" s="62" t="s">
        <v>207</v>
      </c>
      <c r="D226" s="63">
        <v>2</v>
      </c>
      <c r="E226" s="64">
        <v>2.5595085743500002E-4</v>
      </c>
    </row>
    <row r="227" spans="2:5">
      <c r="B227" s="77"/>
      <c r="C227" s="62" t="s">
        <v>208</v>
      </c>
      <c r="D227" s="63">
        <v>7</v>
      </c>
      <c r="E227" s="64">
        <v>8.9582800102399999E-4</v>
      </c>
    </row>
    <row r="228" spans="2:5">
      <c r="B228" s="77"/>
      <c r="C228" s="62" t="s">
        <v>195</v>
      </c>
      <c r="D228" s="63">
        <v>15</v>
      </c>
      <c r="E228" s="64">
        <v>1.919631430765E-3</v>
      </c>
    </row>
    <row r="229" spans="2:5">
      <c r="B229" s="77"/>
      <c r="C229" s="62" t="s">
        <v>196</v>
      </c>
      <c r="D229" s="63">
        <v>4</v>
      </c>
      <c r="E229" s="64">
        <v>5.1190171487100001E-4</v>
      </c>
    </row>
    <row r="230" spans="2:5">
      <c r="B230" s="77"/>
      <c r="C230" s="62" t="s">
        <v>197</v>
      </c>
      <c r="D230" s="63">
        <v>11</v>
      </c>
      <c r="E230" s="64">
        <v>1.4077297158950001E-3</v>
      </c>
    </row>
    <row r="231" spans="2:5">
      <c r="B231" s="77"/>
      <c r="C231" s="62" t="s">
        <v>198</v>
      </c>
      <c r="D231" s="63">
        <v>7</v>
      </c>
      <c r="E231" s="64">
        <v>8.9582800102399999E-4</v>
      </c>
    </row>
    <row r="232" spans="2:5">
      <c r="B232" s="78"/>
      <c r="C232" s="36" t="s">
        <v>29</v>
      </c>
      <c r="D232" s="35">
        <v>80</v>
      </c>
      <c r="E232" s="34">
        <v>1.0238034297415001E-2</v>
      </c>
    </row>
    <row r="233" spans="2:5">
      <c r="B233" s="76" t="s">
        <v>73</v>
      </c>
      <c r="C233" s="62" t="s">
        <v>190</v>
      </c>
      <c r="D233" s="63">
        <v>6</v>
      </c>
      <c r="E233" s="64">
        <v>7.6785257230599997E-4</v>
      </c>
    </row>
    <row r="234" spans="2:5">
      <c r="B234" s="77"/>
      <c r="C234" s="62" t="s">
        <v>199</v>
      </c>
      <c r="D234" s="63">
        <v>2</v>
      </c>
      <c r="E234" s="64">
        <v>2.5595085743500002E-4</v>
      </c>
    </row>
    <row r="235" spans="2:5">
      <c r="B235" s="77"/>
      <c r="C235" s="62" t="s">
        <v>201</v>
      </c>
      <c r="D235" s="63">
        <v>4</v>
      </c>
      <c r="E235" s="64">
        <v>5.1190171487100001E-4</v>
      </c>
    </row>
    <row r="236" spans="2:5">
      <c r="B236" s="77"/>
      <c r="C236" s="62" t="s">
        <v>193</v>
      </c>
      <c r="D236" s="63">
        <v>8</v>
      </c>
      <c r="E236" s="64">
        <v>1.0238034297409999E-3</v>
      </c>
    </row>
    <row r="237" spans="2:5" ht="27">
      <c r="B237" s="77"/>
      <c r="C237" s="62" t="s">
        <v>205</v>
      </c>
      <c r="D237" s="63">
        <v>1</v>
      </c>
      <c r="E237" s="64">
        <v>1.2797542871799999E-4</v>
      </c>
    </row>
    <row r="238" spans="2:5">
      <c r="B238" s="77"/>
      <c r="C238" s="62" t="s">
        <v>206</v>
      </c>
      <c r="D238" s="63">
        <v>6</v>
      </c>
      <c r="E238" s="64">
        <v>7.6785257230599997E-4</v>
      </c>
    </row>
    <row r="239" spans="2:5">
      <c r="B239" s="77"/>
      <c r="C239" s="62" t="s">
        <v>207</v>
      </c>
      <c r="D239" s="63">
        <v>1</v>
      </c>
      <c r="E239" s="64">
        <v>1.2797542871799999E-4</v>
      </c>
    </row>
    <row r="240" spans="2:5">
      <c r="B240" s="77"/>
      <c r="C240" s="62" t="s">
        <v>208</v>
      </c>
      <c r="D240" s="63">
        <v>2</v>
      </c>
      <c r="E240" s="64">
        <v>2.5595085743500002E-4</v>
      </c>
    </row>
    <row r="241" spans="2:5">
      <c r="B241" s="77"/>
      <c r="C241" s="62" t="s">
        <v>195</v>
      </c>
      <c r="D241" s="63">
        <v>15</v>
      </c>
      <c r="E241" s="64">
        <v>1.919631430765E-3</v>
      </c>
    </row>
    <row r="242" spans="2:5">
      <c r="B242" s="77"/>
      <c r="C242" s="62" t="s">
        <v>196</v>
      </c>
      <c r="D242" s="63">
        <v>5</v>
      </c>
      <c r="E242" s="64">
        <v>6.3987714358799996E-4</v>
      </c>
    </row>
    <row r="243" spans="2:5">
      <c r="B243" s="77"/>
      <c r="C243" s="62" t="s">
        <v>197</v>
      </c>
      <c r="D243" s="63">
        <v>19</v>
      </c>
      <c r="E243" s="64">
        <v>2.4315331456359998E-3</v>
      </c>
    </row>
    <row r="244" spans="2:5">
      <c r="B244" s="77"/>
      <c r="C244" s="62" t="s">
        <v>198</v>
      </c>
      <c r="D244" s="63">
        <v>4</v>
      </c>
      <c r="E244" s="64">
        <v>5.1190171487100001E-4</v>
      </c>
    </row>
    <row r="245" spans="2:5">
      <c r="B245" s="77"/>
      <c r="C245" s="62" t="s">
        <v>209</v>
      </c>
      <c r="D245" s="63">
        <v>1</v>
      </c>
      <c r="E245" s="64">
        <v>1.2797542871799999E-4</v>
      </c>
    </row>
    <row r="246" spans="2:5">
      <c r="B246" s="78"/>
      <c r="C246" s="36" t="s">
        <v>29</v>
      </c>
      <c r="D246" s="35">
        <v>74</v>
      </c>
      <c r="E246" s="34">
        <v>9.470181725109E-3</v>
      </c>
    </row>
    <row r="247" spans="2:5">
      <c r="B247" s="76" t="s">
        <v>94</v>
      </c>
      <c r="C247" s="62" t="s">
        <v>199</v>
      </c>
      <c r="D247" s="63">
        <v>1</v>
      </c>
      <c r="E247" s="64">
        <v>1.2797542871799999E-4</v>
      </c>
    </row>
    <row r="248" spans="2:5">
      <c r="B248" s="77"/>
      <c r="C248" s="62" t="s">
        <v>201</v>
      </c>
      <c r="D248" s="63">
        <v>1</v>
      </c>
      <c r="E248" s="64">
        <v>1.2797542871799999E-4</v>
      </c>
    </row>
    <row r="249" spans="2:5">
      <c r="B249" s="77"/>
      <c r="C249" s="62" t="s">
        <v>194</v>
      </c>
      <c r="D249" s="63">
        <v>1</v>
      </c>
      <c r="E249" s="64">
        <v>1.2797542871799999E-4</v>
      </c>
    </row>
    <row r="250" spans="2:5">
      <c r="B250" s="77"/>
      <c r="C250" s="62" t="s">
        <v>196</v>
      </c>
      <c r="D250" s="63">
        <v>2</v>
      </c>
      <c r="E250" s="64">
        <v>2.5595085743500002E-4</v>
      </c>
    </row>
    <row r="251" spans="2:5">
      <c r="B251" s="78"/>
      <c r="C251" s="36" t="s">
        <v>29</v>
      </c>
      <c r="D251" s="35">
        <v>5</v>
      </c>
      <c r="E251" s="34">
        <v>6.3987714358799996E-4</v>
      </c>
    </row>
    <row r="252" spans="2:5">
      <c r="B252" s="76" t="s">
        <v>53</v>
      </c>
      <c r="C252" s="62" t="s">
        <v>190</v>
      </c>
      <c r="D252" s="63">
        <v>13</v>
      </c>
      <c r="E252" s="64">
        <v>1.6636805733300001E-3</v>
      </c>
    </row>
    <row r="253" spans="2:5">
      <c r="B253" s="77"/>
      <c r="C253" s="62" t="s">
        <v>199</v>
      </c>
      <c r="D253" s="63">
        <v>20</v>
      </c>
      <c r="E253" s="64">
        <v>2.559508574354E-3</v>
      </c>
    </row>
    <row r="254" spans="2:5">
      <c r="B254" s="77"/>
      <c r="C254" s="62" t="s">
        <v>191</v>
      </c>
      <c r="D254" s="63">
        <v>5</v>
      </c>
      <c r="E254" s="64">
        <v>6.3987714358799996E-4</v>
      </c>
    </row>
    <row r="255" spans="2:5">
      <c r="B255" s="77"/>
      <c r="C255" s="62" t="s">
        <v>200</v>
      </c>
      <c r="D255" s="63">
        <v>2</v>
      </c>
      <c r="E255" s="64">
        <v>2.5595085743500002E-4</v>
      </c>
    </row>
    <row r="256" spans="2:5">
      <c r="B256" s="77"/>
      <c r="C256" s="62" t="s">
        <v>201</v>
      </c>
      <c r="D256" s="63">
        <v>25</v>
      </c>
      <c r="E256" s="64">
        <v>3.199385717942E-3</v>
      </c>
    </row>
    <row r="257" spans="2:5">
      <c r="B257" s="77"/>
      <c r="C257" s="62" t="s">
        <v>202</v>
      </c>
      <c r="D257" s="63">
        <v>5</v>
      </c>
      <c r="E257" s="64">
        <v>6.3987714358799996E-4</v>
      </c>
    </row>
    <row r="258" spans="2:5">
      <c r="B258" s="77"/>
      <c r="C258" s="62" t="s">
        <v>203</v>
      </c>
      <c r="D258" s="63">
        <v>1</v>
      </c>
      <c r="E258" s="64">
        <v>1.2797542871799999E-4</v>
      </c>
    </row>
    <row r="259" spans="2:5">
      <c r="B259" s="77"/>
      <c r="C259" s="62" t="s">
        <v>204</v>
      </c>
      <c r="D259" s="63">
        <v>68</v>
      </c>
      <c r="E259" s="64">
        <v>8.7023291528029994E-3</v>
      </c>
    </row>
    <row r="260" spans="2:5">
      <c r="B260" s="77"/>
      <c r="C260" s="62" t="s">
        <v>192</v>
      </c>
      <c r="D260" s="63">
        <v>11</v>
      </c>
      <c r="E260" s="64">
        <v>1.4077297158950001E-3</v>
      </c>
    </row>
    <row r="261" spans="2:5">
      <c r="B261" s="77"/>
      <c r="C261" s="62" t="s">
        <v>193</v>
      </c>
      <c r="D261" s="63">
        <v>8</v>
      </c>
      <c r="E261" s="64">
        <v>1.0238034297409999E-3</v>
      </c>
    </row>
    <row r="262" spans="2:5">
      <c r="B262" s="77"/>
      <c r="C262" s="62" t="s">
        <v>206</v>
      </c>
      <c r="D262" s="63">
        <v>11</v>
      </c>
      <c r="E262" s="64">
        <v>1.4077297158950001E-3</v>
      </c>
    </row>
    <row r="263" spans="2:5">
      <c r="B263" s="77"/>
      <c r="C263" s="62" t="s">
        <v>207</v>
      </c>
      <c r="D263" s="63">
        <v>6</v>
      </c>
      <c r="E263" s="64">
        <v>7.6785257230599997E-4</v>
      </c>
    </row>
    <row r="264" spans="2:5">
      <c r="B264" s="77"/>
      <c r="C264" s="62" t="s">
        <v>208</v>
      </c>
      <c r="D264" s="63">
        <v>54</v>
      </c>
      <c r="E264" s="64">
        <v>6.9106731507549996E-3</v>
      </c>
    </row>
    <row r="265" spans="2:5">
      <c r="B265" s="77"/>
      <c r="C265" s="62" t="s">
        <v>210</v>
      </c>
      <c r="D265" s="63">
        <v>2</v>
      </c>
      <c r="E265" s="64">
        <v>2.5595085743500002E-4</v>
      </c>
    </row>
    <row r="266" spans="2:5">
      <c r="B266" s="77"/>
      <c r="C266" s="62" t="s">
        <v>194</v>
      </c>
      <c r="D266" s="63">
        <v>7</v>
      </c>
      <c r="E266" s="64">
        <v>8.9582800102399999E-4</v>
      </c>
    </row>
    <row r="267" spans="2:5">
      <c r="B267" s="77"/>
      <c r="C267" s="62" t="s">
        <v>195</v>
      </c>
      <c r="D267" s="63">
        <v>72</v>
      </c>
      <c r="E267" s="64">
        <v>9.2142308676729998E-3</v>
      </c>
    </row>
    <row r="268" spans="2:5">
      <c r="B268" s="77"/>
      <c r="C268" s="62" t="s">
        <v>196</v>
      </c>
      <c r="D268" s="63">
        <v>16</v>
      </c>
      <c r="E268" s="64">
        <v>2.047606859483E-3</v>
      </c>
    </row>
    <row r="269" spans="2:5">
      <c r="B269" s="77"/>
      <c r="C269" s="62" t="s">
        <v>197</v>
      </c>
      <c r="D269" s="63">
        <v>114</v>
      </c>
      <c r="E269" s="64">
        <v>1.4589198873816E-2</v>
      </c>
    </row>
    <row r="270" spans="2:5">
      <c r="B270" s="77"/>
      <c r="C270" s="62" t="s">
        <v>198</v>
      </c>
      <c r="D270" s="63">
        <v>13</v>
      </c>
      <c r="E270" s="64">
        <v>1.6636805733300001E-3</v>
      </c>
    </row>
    <row r="271" spans="2:5">
      <c r="B271" s="77"/>
      <c r="C271" s="62" t="s">
        <v>209</v>
      </c>
      <c r="D271" s="63">
        <v>7</v>
      </c>
      <c r="E271" s="64">
        <v>8.9582800102399999E-4</v>
      </c>
    </row>
    <row r="272" spans="2:5">
      <c r="B272" s="78"/>
      <c r="C272" s="36" t="s">
        <v>29</v>
      </c>
      <c r="D272" s="35">
        <v>460</v>
      </c>
      <c r="E272" s="34">
        <v>5.8868697210136003E-2</v>
      </c>
    </row>
    <row r="273" spans="2:5">
      <c r="B273" s="76" t="s">
        <v>74</v>
      </c>
      <c r="C273" s="62" t="s">
        <v>190</v>
      </c>
      <c r="D273" s="63">
        <v>7</v>
      </c>
      <c r="E273" s="64">
        <v>8.9582800102399999E-4</v>
      </c>
    </row>
    <row r="274" spans="2:5">
      <c r="B274" s="77"/>
      <c r="C274" s="62" t="s">
        <v>191</v>
      </c>
      <c r="D274" s="63">
        <v>1</v>
      </c>
      <c r="E274" s="64">
        <v>1.2797542871799999E-4</v>
      </c>
    </row>
    <row r="275" spans="2:5">
      <c r="B275" s="77"/>
      <c r="C275" s="62" t="s">
        <v>201</v>
      </c>
      <c r="D275" s="63">
        <v>5</v>
      </c>
      <c r="E275" s="64">
        <v>6.3987714358799996E-4</v>
      </c>
    </row>
    <row r="276" spans="2:5">
      <c r="B276" s="77"/>
      <c r="C276" s="62" t="s">
        <v>202</v>
      </c>
      <c r="D276" s="63">
        <v>1</v>
      </c>
      <c r="E276" s="64">
        <v>1.2797542871799999E-4</v>
      </c>
    </row>
    <row r="277" spans="2:5">
      <c r="B277" s="77"/>
      <c r="C277" s="62" t="s">
        <v>204</v>
      </c>
      <c r="D277" s="63">
        <v>2</v>
      </c>
      <c r="E277" s="64">
        <v>2.5595085743500002E-4</v>
      </c>
    </row>
    <row r="278" spans="2:5">
      <c r="B278" s="77"/>
      <c r="C278" s="62" t="s">
        <v>192</v>
      </c>
      <c r="D278" s="63">
        <v>1</v>
      </c>
      <c r="E278" s="64">
        <v>1.2797542871799999E-4</v>
      </c>
    </row>
    <row r="279" spans="2:5">
      <c r="B279" s="77"/>
      <c r="C279" s="62" t="s">
        <v>193</v>
      </c>
      <c r="D279" s="63">
        <v>1</v>
      </c>
      <c r="E279" s="64">
        <v>1.2797542871799999E-4</v>
      </c>
    </row>
    <row r="280" spans="2:5">
      <c r="B280" s="77"/>
      <c r="C280" s="62" t="s">
        <v>208</v>
      </c>
      <c r="D280" s="63">
        <v>3</v>
      </c>
      <c r="E280" s="64">
        <v>3.8392628615299999E-4</v>
      </c>
    </row>
    <row r="281" spans="2:5">
      <c r="B281" s="77"/>
      <c r="C281" s="62" t="s">
        <v>210</v>
      </c>
      <c r="D281" s="63">
        <v>6</v>
      </c>
      <c r="E281" s="64">
        <v>7.6785257230599997E-4</v>
      </c>
    </row>
    <row r="282" spans="2:5">
      <c r="B282" s="77"/>
      <c r="C282" s="62" t="s">
        <v>194</v>
      </c>
      <c r="D282" s="63">
        <v>4</v>
      </c>
      <c r="E282" s="64">
        <v>5.1190171487100001E-4</v>
      </c>
    </row>
    <row r="283" spans="2:5">
      <c r="B283" s="77"/>
      <c r="C283" s="62" t="s">
        <v>195</v>
      </c>
      <c r="D283" s="63">
        <v>10</v>
      </c>
      <c r="E283" s="64">
        <v>1.279754287177E-3</v>
      </c>
    </row>
    <row r="284" spans="2:5">
      <c r="B284" s="77"/>
      <c r="C284" s="62" t="s">
        <v>196</v>
      </c>
      <c r="D284" s="63">
        <v>8</v>
      </c>
      <c r="E284" s="64">
        <v>1.0238034297409999E-3</v>
      </c>
    </row>
    <row r="285" spans="2:5">
      <c r="B285" s="77"/>
      <c r="C285" s="62" t="s">
        <v>197</v>
      </c>
      <c r="D285" s="63">
        <v>14</v>
      </c>
      <c r="E285" s="64">
        <v>1.791656002048E-3</v>
      </c>
    </row>
    <row r="286" spans="2:5">
      <c r="B286" s="77"/>
      <c r="C286" s="62" t="s">
        <v>198</v>
      </c>
      <c r="D286" s="63">
        <v>3</v>
      </c>
      <c r="E286" s="64">
        <v>3.8392628615299999E-4</v>
      </c>
    </row>
    <row r="287" spans="2:5">
      <c r="B287" s="77"/>
      <c r="C287" s="62" t="s">
        <v>209</v>
      </c>
      <c r="D287" s="63">
        <v>2</v>
      </c>
      <c r="E287" s="64">
        <v>2.5595085743500002E-4</v>
      </c>
    </row>
    <row r="288" spans="2:5">
      <c r="B288" s="78"/>
      <c r="C288" s="36" t="s">
        <v>29</v>
      </c>
      <c r="D288" s="35">
        <v>68</v>
      </c>
      <c r="E288" s="34">
        <v>8.7023291528029994E-3</v>
      </c>
    </row>
    <row r="289" spans="2:5">
      <c r="B289" s="76" t="s">
        <v>50</v>
      </c>
      <c r="C289" s="62" t="s">
        <v>190</v>
      </c>
      <c r="D289" s="63">
        <v>149</v>
      </c>
      <c r="E289" s="64">
        <v>1.9068338878934998E-2</v>
      </c>
    </row>
    <row r="290" spans="2:5">
      <c r="B290" s="77"/>
      <c r="C290" s="62" t="s">
        <v>199</v>
      </c>
      <c r="D290" s="63">
        <v>59</v>
      </c>
      <c r="E290" s="64">
        <v>7.5505502943430001E-3</v>
      </c>
    </row>
    <row r="291" spans="2:5">
      <c r="B291" s="77"/>
      <c r="C291" s="62" t="s">
        <v>191</v>
      </c>
      <c r="D291" s="63">
        <v>47</v>
      </c>
      <c r="E291" s="64">
        <v>6.0148451497309997E-3</v>
      </c>
    </row>
    <row r="292" spans="2:5">
      <c r="B292" s="77"/>
      <c r="C292" s="62" t="s">
        <v>200</v>
      </c>
      <c r="D292" s="63">
        <v>9</v>
      </c>
      <c r="E292" s="64">
        <v>1.1517788584590001E-3</v>
      </c>
    </row>
    <row r="293" spans="2:5">
      <c r="B293" s="77"/>
      <c r="C293" s="62" t="s">
        <v>201</v>
      </c>
      <c r="D293" s="63">
        <v>210</v>
      </c>
      <c r="E293" s="64">
        <v>2.6874840030714001E-2</v>
      </c>
    </row>
    <row r="294" spans="2:5">
      <c r="B294" s="77"/>
      <c r="C294" s="62" t="s">
        <v>202</v>
      </c>
      <c r="D294" s="63">
        <v>12</v>
      </c>
      <c r="E294" s="64">
        <v>1.5357051446119999E-3</v>
      </c>
    </row>
    <row r="295" spans="2:5">
      <c r="B295" s="77"/>
      <c r="C295" s="62" t="s">
        <v>203</v>
      </c>
      <c r="D295" s="63">
        <v>25</v>
      </c>
      <c r="E295" s="64">
        <v>3.199385717942E-3</v>
      </c>
    </row>
    <row r="296" spans="2:5">
      <c r="B296" s="77"/>
      <c r="C296" s="62" t="s">
        <v>204</v>
      </c>
      <c r="D296" s="63">
        <v>58</v>
      </c>
      <c r="E296" s="64">
        <v>7.4225748656260001E-3</v>
      </c>
    </row>
    <row r="297" spans="2:5">
      <c r="B297" s="77"/>
      <c r="C297" s="62" t="s">
        <v>192</v>
      </c>
      <c r="D297" s="63">
        <v>56</v>
      </c>
      <c r="E297" s="64">
        <v>7.1666240081899998E-3</v>
      </c>
    </row>
    <row r="298" spans="2:5">
      <c r="B298" s="77"/>
      <c r="C298" s="62" t="s">
        <v>193</v>
      </c>
      <c r="D298" s="63">
        <v>19</v>
      </c>
      <c r="E298" s="64">
        <v>2.4315331456359998E-3</v>
      </c>
    </row>
    <row r="299" spans="2:5">
      <c r="B299" s="77"/>
      <c r="C299" s="62" t="s">
        <v>206</v>
      </c>
      <c r="D299" s="63">
        <v>81</v>
      </c>
      <c r="E299" s="64">
        <v>1.0366009726133E-2</v>
      </c>
    </row>
    <row r="300" spans="2:5">
      <c r="B300" s="77"/>
      <c r="C300" s="62" t="s">
        <v>207</v>
      </c>
      <c r="D300" s="63">
        <v>35</v>
      </c>
      <c r="E300" s="64">
        <v>4.4791400051190002E-3</v>
      </c>
    </row>
    <row r="301" spans="2:5">
      <c r="B301" s="77"/>
      <c r="C301" s="62" t="s">
        <v>208</v>
      </c>
      <c r="D301" s="63">
        <v>108</v>
      </c>
      <c r="E301" s="64">
        <v>1.3821346301509999E-2</v>
      </c>
    </row>
    <row r="302" spans="2:5">
      <c r="B302" s="77"/>
      <c r="C302" s="62" t="s">
        <v>210</v>
      </c>
      <c r="D302" s="63">
        <v>70</v>
      </c>
      <c r="E302" s="64">
        <v>8.9582800102380004E-3</v>
      </c>
    </row>
    <row r="303" spans="2:5">
      <c r="B303" s="77"/>
      <c r="C303" s="62" t="s">
        <v>194</v>
      </c>
      <c r="D303" s="63">
        <v>47</v>
      </c>
      <c r="E303" s="64">
        <v>6.0148451497309997E-3</v>
      </c>
    </row>
    <row r="304" spans="2:5">
      <c r="B304" s="77"/>
      <c r="C304" s="62" t="s">
        <v>195</v>
      </c>
      <c r="D304" s="63">
        <v>234</v>
      </c>
      <c r="E304" s="64">
        <v>2.9946250319939E-2</v>
      </c>
    </row>
    <row r="305" spans="2:5">
      <c r="B305" s="77"/>
      <c r="C305" s="62" t="s">
        <v>196</v>
      </c>
      <c r="D305" s="63">
        <v>163</v>
      </c>
      <c r="E305" s="64">
        <v>2.0859994880983002E-2</v>
      </c>
    </row>
    <row r="306" spans="2:5">
      <c r="B306" s="77"/>
      <c r="C306" s="62" t="s">
        <v>197</v>
      </c>
      <c r="D306" s="63">
        <v>382</v>
      </c>
      <c r="E306" s="64">
        <v>4.8886613770155997E-2</v>
      </c>
    </row>
    <row r="307" spans="2:5">
      <c r="B307" s="77"/>
      <c r="C307" s="62" t="s">
        <v>198</v>
      </c>
      <c r="D307" s="63">
        <v>112</v>
      </c>
      <c r="E307" s="64">
        <v>1.4333248016381001E-2</v>
      </c>
    </row>
    <row r="308" spans="2:5">
      <c r="B308" s="77"/>
      <c r="C308" s="62" t="s">
        <v>209</v>
      </c>
      <c r="D308" s="63">
        <v>28</v>
      </c>
      <c r="E308" s="64">
        <v>3.5833120040949999E-3</v>
      </c>
    </row>
    <row r="309" spans="2:5">
      <c r="B309" s="78"/>
      <c r="C309" s="36" t="s">
        <v>29</v>
      </c>
      <c r="D309" s="35">
        <v>1904</v>
      </c>
      <c r="E309" s="34">
        <v>0.24366521627847501</v>
      </c>
    </row>
    <row r="310" spans="2:5">
      <c r="B310" s="76" t="s">
        <v>85</v>
      </c>
      <c r="C310" s="62" t="s">
        <v>200</v>
      </c>
      <c r="D310" s="63">
        <v>2</v>
      </c>
      <c r="E310" s="64">
        <v>2.5595085743500002E-4</v>
      </c>
    </row>
    <row r="311" spans="2:5">
      <c r="B311" s="77"/>
      <c r="C311" s="62" t="s">
        <v>201</v>
      </c>
      <c r="D311" s="63">
        <v>5</v>
      </c>
      <c r="E311" s="64">
        <v>6.3987714358799996E-4</v>
      </c>
    </row>
    <row r="312" spans="2:5">
      <c r="B312" s="77"/>
      <c r="C312" s="62" t="s">
        <v>204</v>
      </c>
      <c r="D312" s="63">
        <v>3</v>
      </c>
      <c r="E312" s="64">
        <v>3.8392628615299999E-4</v>
      </c>
    </row>
    <row r="313" spans="2:5">
      <c r="B313" s="77"/>
      <c r="C313" s="62" t="s">
        <v>193</v>
      </c>
      <c r="D313" s="63">
        <v>4</v>
      </c>
      <c r="E313" s="64">
        <v>5.1190171487100001E-4</v>
      </c>
    </row>
    <row r="314" spans="2:5">
      <c r="B314" s="77"/>
      <c r="C314" s="62" t="s">
        <v>207</v>
      </c>
      <c r="D314" s="63">
        <v>1</v>
      </c>
      <c r="E314" s="64">
        <v>1.2797542871799999E-4</v>
      </c>
    </row>
    <row r="315" spans="2:5">
      <c r="B315" s="77"/>
      <c r="C315" s="62" t="s">
        <v>195</v>
      </c>
      <c r="D315" s="63">
        <v>6</v>
      </c>
      <c r="E315" s="64">
        <v>7.6785257230599997E-4</v>
      </c>
    </row>
    <row r="316" spans="2:5">
      <c r="B316" s="77"/>
      <c r="C316" s="62" t="s">
        <v>197</v>
      </c>
      <c r="D316" s="63">
        <v>6</v>
      </c>
      <c r="E316" s="64">
        <v>7.6785257230599997E-4</v>
      </c>
    </row>
    <row r="317" spans="2:5">
      <c r="B317" s="77"/>
      <c r="C317" s="62" t="s">
        <v>198</v>
      </c>
      <c r="D317" s="63">
        <v>1</v>
      </c>
      <c r="E317" s="64">
        <v>1.2797542871799999E-4</v>
      </c>
    </row>
    <row r="318" spans="2:5">
      <c r="B318" s="78"/>
      <c r="C318" s="36" t="s">
        <v>29</v>
      </c>
      <c r="D318" s="35">
        <v>28</v>
      </c>
      <c r="E318" s="34">
        <v>3.5833120040949999E-3</v>
      </c>
    </row>
    <row r="319" spans="2:5">
      <c r="B319" s="76" t="s">
        <v>86</v>
      </c>
      <c r="C319" s="62" t="s">
        <v>199</v>
      </c>
      <c r="D319" s="63">
        <v>1</v>
      </c>
      <c r="E319" s="64">
        <v>1.2797542871799999E-4</v>
      </c>
    </row>
    <row r="320" spans="2:5">
      <c r="B320" s="77"/>
      <c r="C320" s="62" t="s">
        <v>200</v>
      </c>
      <c r="D320" s="63">
        <v>2</v>
      </c>
      <c r="E320" s="64">
        <v>2.5595085743500002E-4</v>
      </c>
    </row>
    <row r="321" spans="2:5">
      <c r="B321" s="77"/>
      <c r="C321" s="62" t="s">
        <v>201</v>
      </c>
      <c r="D321" s="63">
        <v>1</v>
      </c>
      <c r="E321" s="64">
        <v>1.2797542871799999E-4</v>
      </c>
    </row>
    <row r="322" spans="2:5">
      <c r="B322" s="77"/>
      <c r="C322" s="62" t="s">
        <v>202</v>
      </c>
      <c r="D322" s="63">
        <v>1</v>
      </c>
      <c r="E322" s="64">
        <v>1.2797542871799999E-4</v>
      </c>
    </row>
    <row r="323" spans="2:5">
      <c r="B323" s="77"/>
      <c r="C323" s="62" t="s">
        <v>203</v>
      </c>
      <c r="D323" s="63">
        <v>1</v>
      </c>
      <c r="E323" s="64">
        <v>1.2797542871799999E-4</v>
      </c>
    </row>
    <row r="324" spans="2:5">
      <c r="B324" s="77"/>
      <c r="C324" s="62" t="s">
        <v>206</v>
      </c>
      <c r="D324" s="63">
        <v>3</v>
      </c>
      <c r="E324" s="64">
        <v>3.8392628615299999E-4</v>
      </c>
    </row>
    <row r="325" spans="2:5">
      <c r="B325" s="77"/>
      <c r="C325" s="62" t="s">
        <v>207</v>
      </c>
      <c r="D325" s="63">
        <v>1</v>
      </c>
      <c r="E325" s="64">
        <v>1.2797542871799999E-4</v>
      </c>
    </row>
    <row r="326" spans="2:5">
      <c r="B326" s="77"/>
      <c r="C326" s="62" t="s">
        <v>194</v>
      </c>
      <c r="D326" s="63">
        <v>1</v>
      </c>
      <c r="E326" s="64">
        <v>1.2797542871799999E-4</v>
      </c>
    </row>
    <row r="327" spans="2:5">
      <c r="B327" s="77"/>
      <c r="C327" s="62" t="s">
        <v>195</v>
      </c>
      <c r="D327" s="63">
        <v>4</v>
      </c>
      <c r="E327" s="64">
        <v>5.1190171487100001E-4</v>
      </c>
    </row>
    <row r="328" spans="2:5">
      <c r="B328" s="77"/>
      <c r="C328" s="62" t="s">
        <v>196</v>
      </c>
      <c r="D328" s="63">
        <v>1</v>
      </c>
      <c r="E328" s="64">
        <v>1.2797542871799999E-4</v>
      </c>
    </row>
    <row r="329" spans="2:5">
      <c r="B329" s="77"/>
      <c r="C329" s="62" t="s">
        <v>197</v>
      </c>
      <c r="D329" s="63">
        <v>8</v>
      </c>
      <c r="E329" s="64">
        <v>1.0238034297409999E-3</v>
      </c>
    </row>
    <row r="330" spans="2:5">
      <c r="B330" s="77"/>
      <c r="C330" s="62" t="s">
        <v>198</v>
      </c>
      <c r="D330" s="63">
        <v>1</v>
      </c>
      <c r="E330" s="64">
        <v>1.2797542871799999E-4</v>
      </c>
    </row>
    <row r="331" spans="2:5">
      <c r="B331" s="78"/>
      <c r="C331" s="36" t="s">
        <v>29</v>
      </c>
      <c r="D331" s="35">
        <v>25</v>
      </c>
      <c r="E331" s="34">
        <v>3.199385717942E-3</v>
      </c>
    </row>
    <row r="332" spans="2:5">
      <c r="B332" s="76" t="s">
        <v>81</v>
      </c>
      <c r="C332" s="62" t="s">
        <v>190</v>
      </c>
      <c r="D332" s="63">
        <v>5</v>
      </c>
      <c r="E332" s="64">
        <v>6.3987714358799996E-4</v>
      </c>
    </row>
    <row r="333" spans="2:5">
      <c r="B333" s="77"/>
      <c r="C333" s="62" t="s">
        <v>191</v>
      </c>
      <c r="D333" s="63">
        <v>1</v>
      </c>
      <c r="E333" s="64">
        <v>1.2797542871799999E-4</v>
      </c>
    </row>
    <row r="334" spans="2:5">
      <c r="B334" s="77"/>
      <c r="C334" s="62" t="s">
        <v>201</v>
      </c>
      <c r="D334" s="63">
        <v>2</v>
      </c>
      <c r="E334" s="64">
        <v>2.5595085743500002E-4</v>
      </c>
    </row>
    <row r="335" spans="2:5">
      <c r="B335" s="77"/>
      <c r="C335" s="62" t="s">
        <v>202</v>
      </c>
      <c r="D335" s="63">
        <v>1</v>
      </c>
      <c r="E335" s="64">
        <v>1.2797542871799999E-4</v>
      </c>
    </row>
    <row r="336" spans="2:5">
      <c r="B336" s="77"/>
      <c r="C336" s="62" t="s">
        <v>203</v>
      </c>
      <c r="D336" s="63">
        <v>1</v>
      </c>
      <c r="E336" s="64">
        <v>1.2797542871799999E-4</v>
      </c>
    </row>
    <row r="337" spans="2:5">
      <c r="B337" s="77"/>
      <c r="C337" s="62" t="s">
        <v>204</v>
      </c>
      <c r="D337" s="63">
        <v>1</v>
      </c>
      <c r="E337" s="64">
        <v>1.2797542871799999E-4</v>
      </c>
    </row>
    <row r="338" spans="2:5">
      <c r="B338" s="77"/>
      <c r="C338" s="62" t="s">
        <v>193</v>
      </c>
      <c r="D338" s="63">
        <v>2</v>
      </c>
      <c r="E338" s="64">
        <v>2.5595085743500002E-4</v>
      </c>
    </row>
    <row r="339" spans="2:5">
      <c r="B339" s="77"/>
      <c r="C339" s="62" t="s">
        <v>206</v>
      </c>
      <c r="D339" s="63">
        <v>1</v>
      </c>
      <c r="E339" s="64">
        <v>1.2797542871799999E-4</v>
      </c>
    </row>
    <row r="340" spans="2:5">
      <c r="B340" s="77"/>
      <c r="C340" s="62" t="s">
        <v>207</v>
      </c>
      <c r="D340" s="63">
        <v>1</v>
      </c>
      <c r="E340" s="64">
        <v>1.2797542871799999E-4</v>
      </c>
    </row>
    <row r="341" spans="2:5">
      <c r="B341" s="77"/>
      <c r="C341" s="62" t="s">
        <v>195</v>
      </c>
      <c r="D341" s="63">
        <v>7</v>
      </c>
      <c r="E341" s="64">
        <v>8.9582800102399999E-4</v>
      </c>
    </row>
    <row r="342" spans="2:5">
      <c r="B342" s="77"/>
      <c r="C342" s="62" t="s">
        <v>196</v>
      </c>
      <c r="D342" s="63">
        <v>1</v>
      </c>
      <c r="E342" s="64">
        <v>1.2797542871799999E-4</v>
      </c>
    </row>
    <row r="343" spans="2:5">
      <c r="B343" s="77"/>
      <c r="C343" s="62" t="s">
        <v>197</v>
      </c>
      <c r="D343" s="63">
        <v>5</v>
      </c>
      <c r="E343" s="64">
        <v>6.3987714358799996E-4</v>
      </c>
    </row>
    <row r="344" spans="2:5">
      <c r="B344" s="77"/>
      <c r="C344" s="62" t="s">
        <v>198</v>
      </c>
      <c r="D344" s="63">
        <v>2</v>
      </c>
      <c r="E344" s="64">
        <v>2.5595085743500002E-4</v>
      </c>
    </row>
    <row r="345" spans="2:5">
      <c r="B345" s="78"/>
      <c r="C345" s="36" t="s">
        <v>29</v>
      </c>
      <c r="D345" s="35">
        <v>30</v>
      </c>
      <c r="E345" s="34">
        <v>3.8392628615310002E-3</v>
      </c>
    </row>
    <row r="346" spans="2:5" ht="27">
      <c r="B346" s="76" t="s">
        <v>96</v>
      </c>
      <c r="C346" s="62" t="s">
        <v>205</v>
      </c>
      <c r="D346" s="63">
        <v>1</v>
      </c>
      <c r="E346" s="64">
        <v>1.2797542871799999E-4</v>
      </c>
    </row>
    <row r="347" spans="2:5">
      <c r="B347" s="77"/>
      <c r="C347" s="62" t="s">
        <v>196</v>
      </c>
      <c r="D347" s="63">
        <v>1</v>
      </c>
      <c r="E347" s="64">
        <v>1.2797542871799999E-4</v>
      </c>
    </row>
    <row r="348" spans="2:5">
      <c r="B348" s="77"/>
      <c r="C348" s="62" t="s">
        <v>197</v>
      </c>
      <c r="D348" s="63">
        <v>2</v>
      </c>
      <c r="E348" s="64">
        <v>2.5595085743500002E-4</v>
      </c>
    </row>
    <row r="349" spans="2:5">
      <c r="B349" s="78"/>
      <c r="C349" s="36" t="s">
        <v>29</v>
      </c>
      <c r="D349" s="35">
        <v>4</v>
      </c>
      <c r="E349" s="34">
        <v>5.1190171487100001E-4</v>
      </c>
    </row>
    <row r="350" spans="2:5">
      <c r="B350" s="76" t="s">
        <v>97</v>
      </c>
      <c r="C350" s="62" t="s">
        <v>195</v>
      </c>
      <c r="D350" s="63">
        <v>1</v>
      </c>
      <c r="E350" s="64">
        <v>1.2797542871799999E-4</v>
      </c>
    </row>
    <row r="351" spans="2:5">
      <c r="B351" s="77"/>
      <c r="C351" s="62" t="s">
        <v>198</v>
      </c>
      <c r="D351" s="63">
        <v>1</v>
      </c>
      <c r="E351" s="64">
        <v>1.2797542871799999E-4</v>
      </c>
    </row>
    <row r="352" spans="2:5">
      <c r="B352" s="78"/>
      <c r="C352" s="36" t="s">
        <v>29</v>
      </c>
      <c r="D352" s="35">
        <v>2</v>
      </c>
      <c r="E352" s="34">
        <v>2.5595085743500002E-4</v>
      </c>
    </row>
    <row r="353" spans="2:5">
      <c r="B353" s="76" t="s">
        <v>87</v>
      </c>
      <c r="C353" s="62" t="s">
        <v>201</v>
      </c>
      <c r="D353" s="63">
        <v>2</v>
      </c>
      <c r="E353" s="64">
        <v>2.5595085743500002E-4</v>
      </c>
    </row>
    <row r="354" spans="2:5">
      <c r="B354" s="77"/>
      <c r="C354" s="62" t="s">
        <v>204</v>
      </c>
      <c r="D354" s="63">
        <v>2</v>
      </c>
      <c r="E354" s="64">
        <v>2.5595085743500002E-4</v>
      </c>
    </row>
    <row r="355" spans="2:5">
      <c r="B355" s="77"/>
      <c r="C355" s="62" t="s">
        <v>193</v>
      </c>
      <c r="D355" s="63">
        <v>1</v>
      </c>
      <c r="E355" s="64">
        <v>1.2797542871799999E-4</v>
      </c>
    </row>
    <row r="356" spans="2:5">
      <c r="B356" s="77"/>
      <c r="C356" s="62" t="s">
        <v>194</v>
      </c>
      <c r="D356" s="63">
        <v>2</v>
      </c>
      <c r="E356" s="64">
        <v>2.5595085743500002E-4</v>
      </c>
    </row>
    <row r="357" spans="2:5">
      <c r="B357" s="77"/>
      <c r="C357" s="62" t="s">
        <v>195</v>
      </c>
      <c r="D357" s="63">
        <v>3</v>
      </c>
      <c r="E357" s="64">
        <v>3.8392628615299999E-4</v>
      </c>
    </row>
    <row r="358" spans="2:5">
      <c r="B358" s="77"/>
      <c r="C358" s="62" t="s">
        <v>196</v>
      </c>
      <c r="D358" s="63">
        <v>1</v>
      </c>
      <c r="E358" s="64">
        <v>1.2797542871799999E-4</v>
      </c>
    </row>
    <row r="359" spans="2:5">
      <c r="B359" s="77"/>
      <c r="C359" s="62" t="s">
        <v>197</v>
      </c>
      <c r="D359" s="63">
        <v>10</v>
      </c>
      <c r="E359" s="64">
        <v>1.279754287177E-3</v>
      </c>
    </row>
    <row r="360" spans="2:5">
      <c r="B360" s="77"/>
      <c r="C360" s="62" t="s">
        <v>198</v>
      </c>
      <c r="D360" s="63">
        <v>2</v>
      </c>
      <c r="E360" s="64">
        <v>2.5595085743500002E-4</v>
      </c>
    </row>
    <row r="361" spans="2:5">
      <c r="B361" s="78"/>
      <c r="C361" s="36" t="s">
        <v>29</v>
      </c>
      <c r="D361" s="35">
        <v>23</v>
      </c>
      <c r="E361" s="34">
        <v>2.9434348605069998E-3</v>
      </c>
    </row>
    <row r="362" spans="2:5">
      <c r="B362" s="76" t="s">
        <v>88</v>
      </c>
      <c r="C362" s="62" t="s">
        <v>201</v>
      </c>
      <c r="D362" s="63">
        <v>2</v>
      </c>
      <c r="E362" s="64">
        <v>2.5595085743500002E-4</v>
      </c>
    </row>
    <row r="363" spans="2:5">
      <c r="B363" s="77"/>
      <c r="C363" s="62" t="s">
        <v>192</v>
      </c>
      <c r="D363" s="63">
        <v>2</v>
      </c>
      <c r="E363" s="64">
        <v>2.5595085743500002E-4</v>
      </c>
    </row>
    <row r="364" spans="2:5">
      <c r="B364" s="77"/>
      <c r="C364" s="62" t="s">
        <v>206</v>
      </c>
      <c r="D364" s="63">
        <v>1</v>
      </c>
      <c r="E364" s="64">
        <v>1.2797542871799999E-4</v>
      </c>
    </row>
    <row r="365" spans="2:5">
      <c r="B365" s="77"/>
      <c r="C365" s="62" t="s">
        <v>207</v>
      </c>
      <c r="D365" s="63">
        <v>1</v>
      </c>
      <c r="E365" s="64">
        <v>1.2797542871799999E-4</v>
      </c>
    </row>
    <row r="366" spans="2:5">
      <c r="B366" s="77"/>
      <c r="C366" s="62" t="s">
        <v>210</v>
      </c>
      <c r="D366" s="63">
        <v>1</v>
      </c>
      <c r="E366" s="64">
        <v>1.2797542871799999E-4</v>
      </c>
    </row>
    <row r="367" spans="2:5">
      <c r="B367" s="77"/>
      <c r="C367" s="62" t="s">
        <v>195</v>
      </c>
      <c r="D367" s="63">
        <v>2</v>
      </c>
      <c r="E367" s="64">
        <v>2.5595085743500002E-4</v>
      </c>
    </row>
    <row r="368" spans="2:5">
      <c r="B368" s="77"/>
      <c r="C368" s="62" t="s">
        <v>197</v>
      </c>
      <c r="D368" s="63">
        <v>7</v>
      </c>
      <c r="E368" s="64">
        <v>8.9582800102399999E-4</v>
      </c>
    </row>
    <row r="369" spans="2:5">
      <c r="B369" s="77"/>
      <c r="C369" s="62" t="s">
        <v>198</v>
      </c>
      <c r="D369" s="63">
        <v>2</v>
      </c>
      <c r="E369" s="64">
        <v>2.5595085743500002E-4</v>
      </c>
    </row>
    <row r="370" spans="2:5">
      <c r="B370" s="78"/>
      <c r="C370" s="36" t="s">
        <v>29</v>
      </c>
      <c r="D370" s="35">
        <v>18</v>
      </c>
      <c r="E370" s="34">
        <v>2.3035577169180001E-3</v>
      </c>
    </row>
    <row r="371" spans="2:5">
      <c r="B371" s="76" t="s">
        <v>76</v>
      </c>
      <c r="C371" s="62" t="s">
        <v>190</v>
      </c>
      <c r="D371" s="63">
        <v>3</v>
      </c>
      <c r="E371" s="64">
        <v>3.8392628615299999E-4</v>
      </c>
    </row>
    <row r="372" spans="2:5">
      <c r="B372" s="77"/>
      <c r="C372" s="62" t="s">
        <v>199</v>
      </c>
      <c r="D372" s="63">
        <v>1</v>
      </c>
      <c r="E372" s="64">
        <v>1.2797542871799999E-4</v>
      </c>
    </row>
    <row r="373" spans="2:5">
      <c r="B373" s="77"/>
      <c r="C373" s="62" t="s">
        <v>201</v>
      </c>
      <c r="D373" s="63">
        <v>4</v>
      </c>
      <c r="E373" s="64">
        <v>5.1190171487100001E-4</v>
      </c>
    </row>
    <row r="374" spans="2:5">
      <c r="B374" s="77"/>
      <c r="C374" s="62" t="s">
        <v>202</v>
      </c>
      <c r="D374" s="63">
        <v>1</v>
      </c>
      <c r="E374" s="64">
        <v>1.2797542871799999E-4</v>
      </c>
    </row>
    <row r="375" spans="2:5">
      <c r="B375" s="77"/>
      <c r="C375" s="62" t="s">
        <v>204</v>
      </c>
      <c r="D375" s="63">
        <v>3</v>
      </c>
      <c r="E375" s="64">
        <v>3.8392628615299999E-4</v>
      </c>
    </row>
    <row r="376" spans="2:5">
      <c r="B376" s="77"/>
      <c r="C376" s="62" t="s">
        <v>193</v>
      </c>
      <c r="D376" s="63">
        <v>5</v>
      </c>
      <c r="E376" s="64">
        <v>6.3987714358799996E-4</v>
      </c>
    </row>
    <row r="377" spans="2:5">
      <c r="B377" s="77"/>
      <c r="C377" s="62" t="s">
        <v>206</v>
      </c>
      <c r="D377" s="63">
        <v>2</v>
      </c>
      <c r="E377" s="64">
        <v>2.5595085743500002E-4</v>
      </c>
    </row>
    <row r="378" spans="2:5">
      <c r="B378" s="77"/>
      <c r="C378" s="62" t="s">
        <v>208</v>
      </c>
      <c r="D378" s="63">
        <v>6</v>
      </c>
      <c r="E378" s="64">
        <v>7.6785257230599997E-4</v>
      </c>
    </row>
    <row r="379" spans="2:5">
      <c r="B379" s="77"/>
      <c r="C379" s="62" t="s">
        <v>210</v>
      </c>
      <c r="D379" s="63">
        <v>1</v>
      </c>
      <c r="E379" s="64">
        <v>1.2797542871799999E-4</v>
      </c>
    </row>
    <row r="380" spans="2:5">
      <c r="B380" s="77"/>
      <c r="C380" s="62" t="s">
        <v>194</v>
      </c>
      <c r="D380" s="63">
        <v>3</v>
      </c>
      <c r="E380" s="64">
        <v>3.8392628615299999E-4</v>
      </c>
    </row>
    <row r="381" spans="2:5">
      <c r="B381" s="77"/>
      <c r="C381" s="62" t="s">
        <v>195</v>
      </c>
      <c r="D381" s="63">
        <v>8</v>
      </c>
      <c r="E381" s="64">
        <v>1.0238034297409999E-3</v>
      </c>
    </row>
    <row r="382" spans="2:5">
      <c r="B382" s="77"/>
      <c r="C382" s="62" t="s">
        <v>196</v>
      </c>
      <c r="D382" s="63">
        <v>4</v>
      </c>
      <c r="E382" s="64">
        <v>5.1190171487100001E-4</v>
      </c>
    </row>
    <row r="383" spans="2:5">
      <c r="B383" s="77"/>
      <c r="C383" s="62" t="s">
        <v>197</v>
      </c>
      <c r="D383" s="63">
        <v>10</v>
      </c>
      <c r="E383" s="64">
        <v>1.279754287177E-3</v>
      </c>
    </row>
    <row r="384" spans="2:5">
      <c r="B384" s="77"/>
      <c r="C384" s="62" t="s">
        <v>198</v>
      </c>
      <c r="D384" s="63">
        <v>2</v>
      </c>
      <c r="E384" s="64">
        <v>2.5595085743500002E-4</v>
      </c>
    </row>
    <row r="385" spans="2:5">
      <c r="B385" s="77"/>
      <c r="C385" s="62" t="s">
        <v>209</v>
      </c>
      <c r="D385" s="63">
        <v>1</v>
      </c>
      <c r="E385" s="64">
        <v>1.2797542871799999E-4</v>
      </c>
    </row>
    <row r="386" spans="2:5">
      <c r="B386" s="78"/>
      <c r="C386" s="36" t="s">
        <v>29</v>
      </c>
      <c r="D386" s="35">
        <v>54</v>
      </c>
      <c r="E386" s="34">
        <v>6.9106731507549996E-3</v>
      </c>
    </row>
    <row r="387" spans="2:5">
      <c r="B387" s="76" t="s">
        <v>77</v>
      </c>
      <c r="C387" s="62" t="s">
        <v>190</v>
      </c>
      <c r="D387" s="63">
        <v>1</v>
      </c>
      <c r="E387" s="64">
        <v>1.2797542871799999E-4</v>
      </c>
    </row>
    <row r="388" spans="2:5">
      <c r="B388" s="77"/>
      <c r="C388" s="62" t="s">
        <v>199</v>
      </c>
      <c r="D388" s="63">
        <v>3</v>
      </c>
      <c r="E388" s="64">
        <v>3.8392628615299999E-4</v>
      </c>
    </row>
    <row r="389" spans="2:5">
      <c r="B389" s="77"/>
      <c r="C389" s="62" t="s">
        <v>191</v>
      </c>
      <c r="D389" s="63">
        <v>2</v>
      </c>
      <c r="E389" s="64">
        <v>2.5595085743500002E-4</v>
      </c>
    </row>
    <row r="390" spans="2:5">
      <c r="B390" s="77"/>
      <c r="C390" s="62" t="s">
        <v>200</v>
      </c>
      <c r="D390" s="63">
        <v>1</v>
      </c>
      <c r="E390" s="64">
        <v>1.2797542871799999E-4</v>
      </c>
    </row>
    <row r="391" spans="2:5">
      <c r="B391" s="77"/>
      <c r="C391" s="62" t="s">
        <v>201</v>
      </c>
      <c r="D391" s="63">
        <v>4</v>
      </c>
      <c r="E391" s="64">
        <v>5.1190171487100001E-4</v>
      </c>
    </row>
    <row r="392" spans="2:5">
      <c r="B392" s="77"/>
      <c r="C392" s="62" t="s">
        <v>204</v>
      </c>
      <c r="D392" s="63">
        <v>1</v>
      </c>
      <c r="E392" s="64">
        <v>1.2797542871799999E-4</v>
      </c>
    </row>
    <row r="393" spans="2:5">
      <c r="B393" s="77"/>
      <c r="C393" s="62" t="s">
        <v>193</v>
      </c>
      <c r="D393" s="63">
        <v>1</v>
      </c>
      <c r="E393" s="64">
        <v>1.2797542871799999E-4</v>
      </c>
    </row>
    <row r="394" spans="2:5">
      <c r="B394" s="77"/>
      <c r="C394" s="62" t="s">
        <v>206</v>
      </c>
      <c r="D394" s="63">
        <v>2</v>
      </c>
      <c r="E394" s="64">
        <v>2.5595085743500002E-4</v>
      </c>
    </row>
    <row r="395" spans="2:5">
      <c r="B395" s="77"/>
      <c r="C395" s="62" t="s">
        <v>207</v>
      </c>
      <c r="D395" s="63">
        <v>1</v>
      </c>
      <c r="E395" s="64">
        <v>1.2797542871799999E-4</v>
      </c>
    </row>
    <row r="396" spans="2:5">
      <c r="B396" s="77"/>
      <c r="C396" s="62" t="s">
        <v>208</v>
      </c>
      <c r="D396" s="63">
        <v>3</v>
      </c>
      <c r="E396" s="64">
        <v>3.8392628615299999E-4</v>
      </c>
    </row>
    <row r="397" spans="2:5">
      <c r="B397" s="77"/>
      <c r="C397" s="62" t="s">
        <v>195</v>
      </c>
      <c r="D397" s="63">
        <v>6</v>
      </c>
      <c r="E397" s="64">
        <v>7.6785257230599997E-4</v>
      </c>
    </row>
    <row r="398" spans="2:5">
      <c r="B398" s="77"/>
      <c r="C398" s="62" t="s">
        <v>196</v>
      </c>
      <c r="D398" s="63">
        <v>5</v>
      </c>
      <c r="E398" s="64">
        <v>6.3987714358799996E-4</v>
      </c>
    </row>
    <row r="399" spans="2:5">
      <c r="B399" s="77"/>
      <c r="C399" s="62" t="s">
        <v>197</v>
      </c>
      <c r="D399" s="63">
        <v>13</v>
      </c>
      <c r="E399" s="64">
        <v>1.6636805733300001E-3</v>
      </c>
    </row>
    <row r="400" spans="2:5">
      <c r="B400" s="77"/>
      <c r="C400" s="62" t="s">
        <v>198</v>
      </c>
      <c r="D400" s="63">
        <v>5</v>
      </c>
      <c r="E400" s="64">
        <v>6.3987714358799996E-4</v>
      </c>
    </row>
    <row r="401" spans="2:5">
      <c r="B401" s="78"/>
      <c r="C401" s="36" t="s">
        <v>29</v>
      </c>
      <c r="D401" s="35">
        <v>48</v>
      </c>
      <c r="E401" s="34">
        <v>6.1428205784489999E-3</v>
      </c>
    </row>
    <row r="402" spans="2:5">
      <c r="B402" s="76" t="s">
        <v>70</v>
      </c>
      <c r="C402" s="62" t="s">
        <v>200</v>
      </c>
      <c r="D402" s="63">
        <v>5</v>
      </c>
      <c r="E402" s="64">
        <v>6.3987714358799996E-4</v>
      </c>
    </row>
    <row r="403" spans="2:5">
      <c r="B403" s="77"/>
      <c r="C403" s="62" t="s">
        <v>201</v>
      </c>
      <c r="D403" s="63">
        <v>38</v>
      </c>
      <c r="E403" s="64">
        <v>4.8630662912719997E-3</v>
      </c>
    </row>
    <row r="404" spans="2:5">
      <c r="B404" s="77"/>
      <c r="C404" s="62" t="s">
        <v>203</v>
      </c>
      <c r="D404" s="63">
        <v>1</v>
      </c>
      <c r="E404" s="64">
        <v>1.2797542871799999E-4</v>
      </c>
    </row>
    <row r="405" spans="2:5">
      <c r="B405" s="77"/>
      <c r="C405" s="62" t="s">
        <v>204</v>
      </c>
      <c r="D405" s="63">
        <v>2</v>
      </c>
      <c r="E405" s="64">
        <v>2.5595085743500002E-4</v>
      </c>
    </row>
    <row r="406" spans="2:5">
      <c r="B406" s="77"/>
      <c r="C406" s="62" t="s">
        <v>192</v>
      </c>
      <c r="D406" s="63">
        <v>3</v>
      </c>
      <c r="E406" s="64">
        <v>3.8392628615299999E-4</v>
      </c>
    </row>
    <row r="407" spans="2:5">
      <c r="B407" s="77"/>
      <c r="C407" s="62" t="s">
        <v>193</v>
      </c>
      <c r="D407" s="63">
        <v>1</v>
      </c>
      <c r="E407" s="64">
        <v>1.2797542871799999E-4</v>
      </c>
    </row>
    <row r="408" spans="2:5">
      <c r="B408" s="77"/>
      <c r="C408" s="62" t="s">
        <v>206</v>
      </c>
      <c r="D408" s="63">
        <v>1</v>
      </c>
      <c r="E408" s="64">
        <v>1.2797542871799999E-4</v>
      </c>
    </row>
    <row r="409" spans="2:5">
      <c r="B409" s="77"/>
      <c r="C409" s="62" t="s">
        <v>207</v>
      </c>
      <c r="D409" s="63">
        <v>2</v>
      </c>
      <c r="E409" s="64">
        <v>2.5595085743500002E-4</v>
      </c>
    </row>
    <row r="410" spans="2:5">
      <c r="B410" s="77"/>
      <c r="C410" s="62" t="s">
        <v>208</v>
      </c>
      <c r="D410" s="63">
        <v>2</v>
      </c>
      <c r="E410" s="64">
        <v>2.5595085743500002E-4</v>
      </c>
    </row>
    <row r="411" spans="2:5">
      <c r="B411" s="77"/>
      <c r="C411" s="62" t="s">
        <v>194</v>
      </c>
      <c r="D411" s="63">
        <v>6</v>
      </c>
      <c r="E411" s="64">
        <v>7.6785257230599997E-4</v>
      </c>
    </row>
    <row r="412" spans="2:5">
      <c r="B412" s="77"/>
      <c r="C412" s="62" t="s">
        <v>195</v>
      </c>
      <c r="D412" s="63">
        <v>10</v>
      </c>
      <c r="E412" s="64">
        <v>1.279754287177E-3</v>
      </c>
    </row>
    <row r="413" spans="2:5">
      <c r="B413" s="77"/>
      <c r="C413" s="62" t="s">
        <v>197</v>
      </c>
      <c r="D413" s="63">
        <v>19</v>
      </c>
      <c r="E413" s="64">
        <v>2.4315331456359998E-3</v>
      </c>
    </row>
    <row r="414" spans="2:5">
      <c r="B414" s="77"/>
      <c r="C414" s="62" t="s">
        <v>198</v>
      </c>
      <c r="D414" s="63">
        <v>4</v>
      </c>
      <c r="E414" s="64">
        <v>5.1190171487100001E-4</v>
      </c>
    </row>
    <row r="415" spans="2:5">
      <c r="B415" s="78"/>
      <c r="C415" s="36" t="s">
        <v>29</v>
      </c>
      <c r="D415" s="35">
        <v>94</v>
      </c>
      <c r="E415" s="34">
        <v>1.2029690299463E-2</v>
      </c>
    </row>
    <row r="416" spans="2:5">
      <c r="B416" s="76" t="s">
        <v>71</v>
      </c>
      <c r="C416" s="62" t="s">
        <v>190</v>
      </c>
      <c r="D416" s="63">
        <v>3</v>
      </c>
      <c r="E416" s="64">
        <v>3.8392628615299999E-4</v>
      </c>
    </row>
    <row r="417" spans="2:5">
      <c r="B417" s="77"/>
      <c r="C417" s="62" t="s">
        <v>199</v>
      </c>
      <c r="D417" s="63">
        <v>1</v>
      </c>
      <c r="E417" s="64">
        <v>1.2797542871799999E-4</v>
      </c>
    </row>
    <row r="418" spans="2:5">
      <c r="B418" s="77"/>
      <c r="C418" s="62" t="s">
        <v>191</v>
      </c>
      <c r="D418" s="63">
        <v>2</v>
      </c>
      <c r="E418" s="64">
        <v>2.5595085743500002E-4</v>
      </c>
    </row>
    <row r="419" spans="2:5">
      <c r="B419" s="77"/>
      <c r="C419" s="62" t="s">
        <v>201</v>
      </c>
      <c r="D419" s="63">
        <v>18</v>
      </c>
      <c r="E419" s="64">
        <v>2.3035577169180001E-3</v>
      </c>
    </row>
    <row r="420" spans="2:5">
      <c r="B420" s="77"/>
      <c r="C420" s="62" t="s">
        <v>202</v>
      </c>
      <c r="D420" s="63">
        <v>2</v>
      </c>
      <c r="E420" s="64">
        <v>2.5595085743500002E-4</v>
      </c>
    </row>
    <row r="421" spans="2:5">
      <c r="B421" s="77"/>
      <c r="C421" s="62" t="s">
        <v>192</v>
      </c>
      <c r="D421" s="63">
        <v>6</v>
      </c>
      <c r="E421" s="64">
        <v>7.6785257230599997E-4</v>
      </c>
    </row>
    <row r="422" spans="2:5">
      <c r="B422" s="77"/>
      <c r="C422" s="62" t="s">
        <v>206</v>
      </c>
      <c r="D422" s="63">
        <v>3</v>
      </c>
      <c r="E422" s="64">
        <v>3.8392628615299999E-4</v>
      </c>
    </row>
    <row r="423" spans="2:5">
      <c r="B423" s="77"/>
      <c r="C423" s="62" t="s">
        <v>207</v>
      </c>
      <c r="D423" s="63">
        <v>2</v>
      </c>
      <c r="E423" s="64">
        <v>2.5595085743500002E-4</v>
      </c>
    </row>
    <row r="424" spans="2:5">
      <c r="B424" s="77"/>
      <c r="C424" s="62" t="s">
        <v>208</v>
      </c>
      <c r="D424" s="63">
        <v>1</v>
      </c>
      <c r="E424" s="64">
        <v>1.2797542871799999E-4</v>
      </c>
    </row>
    <row r="425" spans="2:5">
      <c r="B425" s="77"/>
      <c r="C425" s="62" t="s">
        <v>210</v>
      </c>
      <c r="D425" s="63">
        <v>3</v>
      </c>
      <c r="E425" s="64">
        <v>3.8392628615299999E-4</v>
      </c>
    </row>
    <row r="426" spans="2:5">
      <c r="B426" s="77"/>
      <c r="C426" s="62" t="s">
        <v>194</v>
      </c>
      <c r="D426" s="63">
        <v>3</v>
      </c>
      <c r="E426" s="64">
        <v>3.8392628615299999E-4</v>
      </c>
    </row>
    <row r="427" spans="2:5">
      <c r="B427" s="77"/>
      <c r="C427" s="62" t="s">
        <v>195</v>
      </c>
      <c r="D427" s="63">
        <v>15</v>
      </c>
      <c r="E427" s="64">
        <v>1.919631430765E-3</v>
      </c>
    </row>
    <row r="428" spans="2:5">
      <c r="B428" s="77"/>
      <c r="C428" s="62" t="s">
        <v>196</v>
      </c>
      <c r="D428" s="63">
        <v>8</v>
      </c>
      <c r="E428" s="64">
        <v>1.0238034297409999E-3</v>
      </c>
    </row>
    <row r="429" spans="2:5">
      <c r="B429" s="77"/>
      <c r="C429" s="62" t="s">
        <v>197</v>
      </c>
      <c r="D429" s="63">
        <v>13</v>
      </c>
      <c r="E429" s="64">
        <v>1.6636805733300001E-3</v>
      </c>
    </row>
    <row r="430" spans="2:5">
      <c r="B430" s="77"/>
      <c r="C430" s="62" t="s">
        <v>198</v>
      </c>
      <c r="D430" s="63">
        <v>4</v>
      </c>
      <c r="E430" s="64">
        <v>5.1190171487100001E-4</v>
      </c>
    </row>
    <row r="431" spans="2:5">
      <c r="B431" s="77"/>
      <c r="C431" s="62" t="s">
        <v>209</v>
      </c>
      <c r="D431" s="63">
        <v>2</v>
      </c>
      <c r="E431" s="64">
        <v>2.5595085743500002E-4</v>
      </c>
    </row>
    <row r="432" spans="2:5">
      <c r="B432" s="78"/>
      <c r="C432" s="36" t="s">
        <v>29</v>
      </c>
      <c r="D432" s="35">
        <v>86</v>
      </c>
      <c r="E432" s="34">
        <v>1.1005886869721E-2</v>
      </c>
    </row>
    <row r="433" spans="2:5">
      <c r="B433" s="76" t="s">
        <v>59</v>
      </c>
      <c r="C433" s="62" t="s">
        <v>190</v>
      </c>
      <c r="D433" s="63">
        <v>23</v>
      </c>
      <c r="E433" s="64">
        <v>2.9434348605069998E-3</v>
      </c>
    </row>
    <row r="434" spans="2:5">
      <c r="B434" s="77"/>
      <c r="C434" s="62" t="s">
        <v>199</v>
      </c>
      <c r="D434" s="63">
        <v>4</v>
      </c>
      <c r="E434" s="64">
        <v>5.1190171487100001E-4</v>
      </c>
    </row>
    <row r="435" spans="2:5">
      <c r="B435" s="77"/>
      <c r="C435" s="62" t="s">
        <v>191</v>
      </c>
      <c r="D435" s="63">
        <v>1</v>
      </c>
      <c r="E435" s="64">
        <v>1.2797542871799999E-4</v>
      </c>
    </row>
    <row r="436" spans="2:5">
      <c r="B436" s="77"/>
      <c r="C436" s="62" t="s">
        <v>201</v>
      </c>
      <c r="D436" s="63">
        <v>27</v>
      </c>
      <c r="E436" s="64">
        <v>3.4553365753779998E-3</v>
      </c>
    </row>
    <row r="437" spans="2:5">
      <c r="B437" s="77"/>
      <c r="C437" s="62" t="s">
        <v>202</v>
      </c>
      <c r="D437" s="63">
        <v>1</v>
      </c>
      <c r="E437" s="64">
        <v>1.2797542871799999E-4</v>
      </c>
    </row>
    <row r="438" spans="2:5">
      <c r="B438" s="77"/>
      <c r="C438" s="62" t="s">
        <v>203</v>
      </c>
      <c r="D438" s="63">
        <v>4</v>
      </c>
      <c r="E438" s="64">
        <v>5.1190171487100001E-4</v>
      </c>
    </row>
    <row r="439" spans="2:5">
      <c r="B439" s="77"/>
      <c r="C439" s="62" t="s">
        <v>204</v>
      </c>
      <c r="D439" s="63">
        <v>3</v>
      </c>
      <c r="E439" s="64">
        <v>3.8392628615299999E-4</v>
      </c>
    </row>
    <row r="440" spans="2:5">
      <c r="B440" s="77"/>
      <c r="C440" s="62" t="s">
        <v>192</v>
      </c>
      <c r="D440" s="63">
        <v>1</v>
      </c>
      <c r="E440" s="64">
        <v>1.2797542871799999E-4</v>
      </c>
    </row>
    <row r="441" spans="2:5">
      <c r="B441" s="77"/>
      <c r="C441" s="62" t="s">
        <v>193</v>
      </c>
      <c r="D441" s="63">
        <v>3</v>
      </c>
      <c r="E441" s="64">
        <v>3.8392628615299999E-4</v>
      </c>
    </row>
    <row r="442" spans="2:5" ht="27">
      <c r="B442" s="77"/>
      <c r="C442" s="62" t="s">
        <v>205</v>
      </c>
      <c r="D442" s="63">
        <v>1</v>
      </c>
      <c r="E442" s="64">
        <v>1.2797542871799999E-4</v>
      </c>
    </row>
    <row r="443" spans="2:5">
      <c r="B443" s="77"/>
      <c r="C443" s="62" t="s">
        <v>206</v>
      </c>
      <c r="D443" s="63">
        <v>15</v>
      </c>
      <c r="E443" s="64">
        <v>1.919631430765E-3</v>
      </c>
    </row>
    <row r="444" spans="2:5">
      <c r="B444" s="77"/>
      <c r="C444" s="62" t="s">
        <v>207</v>
      </c>
      <c r="D444" s="63">
        <v>9</v>
      </c>
      <c r="E444" s="64">
        <v>1.1517788584590001E-3</v>
      </c>
    </row>
    <row r="445" spans="2:5">
      <c r="B445" s="77"/>
      <c r="C445" s="62" t="s">
        <v>208</v>
      </c>
      <c r="D445" s="63">
        <v>15</v>
      </c>
      <c r="E445" s="64">
        <v>1.919631430765E-3</v>
      </c>
    </row>
    <row r="446" spans="2:5">
      <c r="B446" s="77"/>
      <c r="C446" s="62" t="s">
        <v>194</v>
      </c>
      <c r="D446" s="63">
        <v>5</v>
      </c>
      <c r="E446" s="64">
        <v>6.3987714358799996E-4</v>
      </c>
    </row>
    <row r="447" spans="2:5">
      <c r="B447" s="77"/>
      <c r="C447" s="62" t="s">
        <v>195</v>
      </c>
      <c r="D447" s="63">
        <v>38</v>
      </c>
      <c r="E447" s="64">
        <v>4.8630662912719997E-3</v>
      </c>
    </row>
    <row r="448" spans="2:5">
      <c r="B448" s="77"/>
      <c r="C448" s="62" t="s">
        <v>196</v>
      </c>
      <c r="D448" s="63">
        <v>20</v>
      </c>
      <c r="E448" s="64">
        <v>2.559508574354E-3</v>
      </c>
    </row>
    <row r="449" spans="2:5">
      <c r="B449" s="77"/>
      <c r="C449" s="62" t="s">
        <v>197</v>
      </c>
      <c r="D449" s="63">
        <v>53</v>
      </c>
      <c r="E449" s="64">
        <v>6.7826977220370004E-3</v>
      </c>
    </row>
    <row r="450" spans="2:5">
      <c r="B450" s="77"/>
      <c r="C450" s="62" t="s">
        <v>198</v>
      </c>
      <c r="D450" s="63">
        <v>10</v>
      </c>
      <c r="E450" s="64">
        <v>1.279754287177E-3</v>
      </c>
    </row>
    <row r="451" spans="2:5">
      <c r="B451" s="77"/>
      <c r="C451" s="62" t="s">
        <v>209</v>
      </c>
      <c r="D451" s="63">
        <v>5</v>
      </c>
      <c r="E451" s="64">
        <v>6.3987714358799996E-4</v>
      </c>
    </row>
    <row r="452" spans="2:5">
      <c r="B452" s="78"/>
      <c r="C452" s="36" t="s">
        <v>29</v>
      </c>
      <c r="D452" s="35">
        <v>238</v>
      </c>
      <c r="E452" s="34">
        <v>3.0458152034809002E-2</v>
      </c>
    </row>
    <row r="453" spans="2:5">
      <c r="B453" s="76" t="s">
        <v>67</v>
      </c>
      <c r="C453" s="62" t="s">
        <v>190</v>
      </c>
      <c r="D453" s="63">
        <v>1</v>
      </c>
      <c r="E453" s="64">
        <v>1.2797542871799999E-4</v>
      </c>
    </row>
    <row r="454" spans="2:5">
      <c r="B454" s="77"/>
      <c r="C454" s="62" t="s">
        <v>199</v>
      </c>
      <c r="D454" s="63">
        <v>3</v>
      </c>
      <c r="E454" s="64">
        <v>3.8392628615299999E-4</v>
      </c>
    </row>
    <row r="455" spans="2:5">
      <c r="B455" s="77"/>
      <c r="C455" s="62" t="s">
        <v>191</v>
      </c>
      <c r="D455" s="63">
        <v>1</v>
      </c>
      <c r="E455" s="64">
        <v>1.2797542871799999E-4</v>
      </c>
    </row>
    <row r="456" spans="2:5">
      <c r="B456" s="77"/>
      <c r="C456" s="62" t="s">
        <v>200</v>
      </c>
      <c r="D456" s="63">
        <v>2</v>
      </c>
      <c r="E456" s="64">
        <v>2.5595085743500002E-4</v>
      </c>
    </row>
    <row r="457" spans="2:5">
      <c r="B457" s="77"/>
      <c r="C457" s="62" t="s">
        <v>201</v>
      </c>
      <c r="D457" s="63">
        <v>20</v>
      </c>
      <c r="E457" s="64">
        <v>2.559508574354E-3</v>
      </c>
    </row>
    <row r="458" spans="2:5">
      <c r="B458" s="77"/>
      <c r="C458" s="62" t="s">
        <v>202</v>
      </c>
      <c r="D458" s="63">
        <v>5</v>
      </c>
      <c r="E458" s="64">
        <v>6.3987714358799996E-4</v>
      </c>
    </row>
    <row r="459" spans="2:5">
      <c r="B459" s="77"/>
      <c r="C459" s="62" t="s">
        <v>192</v>
      </c>
      <c r="D459" s="63">
        <v>1</v>
      </c>
      <c r="E459" s="64">
        <v>1.2797542871799999E-4</v>
      </c>
    </row>
    <row r="460" spans="2:5">
      <c r="B460" s="77"/>
      <c r="C460" s="62" t="s">
        <v>193</v>
      </c>
      <c r="D460" s="63">
        <v>6</v>
      </c>
      <c r="E460" s="64">
        <v>7.6785257230599997E-4</v>
      </c>
    </row>
    <row r="461" spans="2:5">
      <c r="B461" s="77"/>
      <c r="C461" s="62" t="s">
        <v>206</v>
      </c>
      <c r="D461" s="63">
        <v>2</v>
      </c>
      <c r="E461" s="64">
        <v>2.5595085743500002E-4</v>
      </c>
    </row>
    <row r="462" spans="2:5">
      <c r="B462" s="77"/>
      <c r="C462" s="62" t="s">
        <v>208</v>
      </c>
      <c r="D462" s="63">
        <v>15</v>
      </c>
      <c r="E462" s="64">
        <v>1.919631430765E-3</v>
      </c>
    </row>
    <row r="463" spans="2:5">
      <c r="B463" s="77"/>
      <c r="C463" s="62" t="s">
        <v>194</v>
      </c>
      <c r="D463" s="63">
        <v>2</v>
      </c>
      <c r="E463" s="64">
        <v>2.5595085743500002E-4</v>
      </c>
    </row>
    <row r="464" spans="2:5">
      <c r="B464" s="77"/>
      <c r="C464" s="62" t="s">
        <v>195</v>
      </c>
      <c r="D464" s="63">
        <v>13</v>
      </c>
      <c r="E464" s="64">
        <v>1.6636805733300001E-3</v>
      </c>
    </row>
    <row r="465" spans="2:5">
      <c r="B465" s="77"/>
      <c r="C465" s="62" t="s">
        <v>196</v>
      </c>
      <c r="D465" s="63">
        <v>5</v>
      </c>
      <c r="E465" s="64">
        <v>6.3987714358799996E-4</v>
      </c>
    </row>
    <row r="466" spans="2:5">
      <c r="B466" s="77"/>
      <c r="C466" s="62" t="s">
        <v>197</v>
      </c>
      <c r="D466" s="63">
        <v>19</v>
      </c>
      <c r="E466" s="64">
        <v>2.4315331456359998E-3</v>
      </c>
    </row>
    <row r="467" spans="2:5">
      <c r="B467" s="77"/>
      <c r="C467" s="62" t="s">
        <v>198</v>
      </c>
      <c r="D467" s="63">
        <v>9</v>
      </c>
      <c r="E467" s="64">
        <v>1.1517788584590001E-3</v>
      </c>
    </row>
    <row r="468" spans="2:5">
      <c r="B468" s="77"/>
      <c r="C468" s="62" t="s">
        <v>209</v>
      </c>
      <c r="D468" s="63">
        <v>1</v>
      </c>
      <c r="E468" s="64">
        <v>1.2797542871799999E-4</v>
      </c>
    </row>
    <row r="469" spans="2:5">
      <c r="B469" s="78"/>
      <c r="C469" s="36" t="s">
        <v>29</v>
      </c>
      <c r="D469" s="35">
        <v>105</v>
      </c>
      <c r="E469" s="34">
        <v>1.3437420015357001E-2</v>
      </c>
    </row>
    <row r="470" spans="2:5">
      <c r="B470" s="76" t="s">
        <v>100</v>
      </c>
      <c r="C470" s="62" t="s">
        <v>197</v>
      </c>
      <c r="D470" s="63">
        <v>1</v>
      </c>
      <c r="E470" s="64">
        <v>1.2797542871799999E-4</v>
      </c>
    </row>
    <row r="471" spans="2:5">
      <c r="B471" s="78"/>
      <c r="C471" s="36" t="s">
        <v>29</v>
      </c>
      <c r="D471" s="35">
        <v>1</v>
      </c>
      <c r="E471" s="34">
        <v>1.2797542871799999E-4</v>
      </c>
    </row>
    <row r="472" spans="2:5">
      <c r="B472" s="76" t="s">
        <v>61</v>
      </c>
      <c r="C472" s="62" t="s">
        <v>190</v>
      </c>
      <c r="D472" s="63">
        <v>5</v>
      </c>
      <c r="E472" s="64">
        <v>6.3987714358799996E-4</v>
      </c>
    </row>
    <row r="473" spans="2:5">
      <c r="B473" s="77"/>
      <c r="C473" s="62" t="s">
        <v>199</v>
      </c>
      <c r="D473" s="63">
        <v>1</v>
      </c>
      <c r="E473" s="64">
        <v>1.2797542871799999E-4</v>
      </c>
    </row>
    <row r="474" spans="2:5">
      <c r="B474" s="77"/>
      <c r="C474" s="62" t="s">
        <v>191</v>
      </c>
      <c r="D474" s="63">
        <v>3</v>
      </c>
      <c r="E474" s="64">
        <v>3.8392628615299999E-4</v>
      </c>
    </row>
    <row r="475" spans="2:5">
      <c r="B475" s="77"/>
      <c r="C475" s="62" t="s">
        <v>200</v>
      </c>
      <c r="D475" s="63">
        <v>2</v>
      </c>
      <c r="E475" s="64">
        <v>2.5595085743500002E-4</v>
      </c>
    </row>
    <row r="476" spans="2:5">
      <c r="B476" s="77"/>
      <c r="C476" s="62" t="s">
        <v>201</v>
      </c>
      <c r="D476" s="63">
        <v>10</v>
      </c>
      <c r="E476" s="64">
        <v>1.279754287177E-3</v>
      </c>
    </row>
    <row r="477" spans="2:5">
      <c r="B477" s="77"/>
      <c r="C477" s="62" t="s">
        <v>202</v>
      </c>
      <c r="D477" s="63">
        <v>1</v>
      </c>
      <c r="E477" s="64">
        <v>1.2797542871799999E-4</v>
      </c>
    </row>
    <row r="478" spans="2:5">
      <c r="B478" s="77"/>
      <c r="C478" s="62" t="s">
        <v>204</v>
      </c>
      <c r="D478" s="63">
        <v>29</v>
      </c>
      <c r="E478" s="64">
        <v>3.711287432813E-3</v>
      </c>
    </row>
    <row r="479" spans="2:5">
      <c r="B479" s="77"/>
      <c r="C479" s="62" t="s">
        <v>192</v>
      </c>
      <c r="D479" s="63">
        <v>6</v>
      </c>
      <c r="E479" s="64">
        <v>7.6785257230599997E-4</v>
      </c>
    </row>
    <row r="480" spans="2:5">
      <c r="B480" s="77"/>
      <c r="C480" s="62" t="s">
        <v>193</v>
      </c>
      <c r="D480" s="63">
        <v>14</v>
      </c>
      <c r="E480" s="64">
        <v>1.791656002048E-3</v>
      </c>
    </row>
    <row r="481" spans="2:5">
      <c r="B481" s="77"/>
      <c r="C481" s="62" t="s">
        <v>206</v>
      </c>
      <c r="D481" s="63">
        <v>3</v>
      </c>
      <c r="E481" s="64">
        <v>3.8392628615299999E-4</v>
      </c>
    </row>
    <row r="482" spans="2:5">
      <c r="B482" s="77"/>
      <c r="C482" s="62" t="s">
        <v>207</v>
      </c>
      <c r="D482" s="63">
        <v>13</v>
      </c>
      <c r="E482" s="64">
        <v>1.6636805733300001E-3</v>
      </c>
    </row>
    <row r="483" spans="2:5">
      <c r="B483" s="77"/>
      <c r="C483" s="62" t="s">
        <v>208</v>
      </c>
      <c r="D483" s="63">
        <v>10</v>
      </c>
      <c r="E483" s="64">
        <v>1.279754287177E-3</v>
      </c>
    </row>
    <row r="484" spans="2:5">
      <c r="B484" s="77"/>
      <c r="C484" s="62" t="s">
        <v>210</v>
      </c>
      <c r="D484" s="63">
        <v>1</v>
      </c>
      <c r="E484" s="64">
        <v>1.2797542871799999E-4</v>
      </c>
    </row>
    <row r="485" spans="2:5">
      <c r="B485" s="77"/>
      <c r="C485" s="62" t="s">
        <v>194</v>
      </c>
      <c r="D485" s="63">
        <v>2</v>
      </c>
      <c r="E485" s="64">
        <v>2.5595085743500002E-4</v>
      </c>
    </row>
    <row r="486" spans="2:5">
      <c r="B486" s="77"/>
      <c r="C486" s="62" t="s">
        <v>195</v>
      </c>
      <c r="D486" s="63">
        <v>35</v>
      </c>
      <c r="E486" s="64">
        <v>4.4791400051190002E-3</v>
      </c>
    </row>
    <row r="487" spans="2:5">
      <c r="B487" s="77"/>
      <c r="C487" s="62" t="s">
        <v>196</v>
      </c>
      <c r="D487" s="63">
        <v>2</v>
      </c>
      <c r="E487" s="64">
        <v>2.5595085743500002E-4</v>
      </c>
    </row>
    <row r="488" spans="2:5">
      <c r="B488" s="77"/>
      <c r="C488" s="62" t="s">
        <v>197</v>
      </c>
      <c r="D488" s="63">
        <v>47</v>
      </c>
      <c r="E488" s="64">
        <v>6.0148451497309997E-3</v>
      </c>
    </row>
    <row r="489" spans="2:5">
      <c r="B489" s="77"/>
      <c r="C489" s="62" t="s">
        <v>198</v>
      </c>
      <c r="D489" s="63">
        <v>9</v>
      </c>
      <c r="E489" s="64">
        <v>1.1517788584590001E-3</v>
      </c>
    </row>
    <row r="490" spans="2:5">
      <c r="B490" s="77"/>
      <c r="C490" s="62" t="s">
        <v>209</v>
      </c>
      <c r="D490" s="63">
        <v>4</v>
      </c>
      <c r="E490" s="64">
        <v>5.1190171487100001E-4</v>
      </c>
    </row>
    <row r="491" spans="2:5">
      <c r="B491" s="78"/>
      <c r="C491" s="36" t="s">
        <v>29</v>
      </c>
      <c r="D491" s="35">
        <v>197</v>
      </c>
      <c r="E491" s="34">
        <v>2.5211159457383999E-2</v>
      </c>
    </row>
    <row r="492" spans="2:5">
      <c r="B492" s="76" t="s">
        <v>54</v>
      </c>
      <c r="C492" s="62" t="s">
        <v>190</v>
      </c>
      <c r="D492" s="63">
        <v>11</v>
      </c>
      <c r="E492" s="64">
        <v>1.4077297158950001E-3</v>
      </c>
    </row>
    <row r="493" spans="2:5">
      <c r="B493" s="77"/>
      <c r="C493" s="62" t="s">
        <v>199</v>
      </c>
      <c r="D493" s="63">
        <v>10</v>
      </c>
      <c r="E493" s="64">
        <v>1.279754287177E-3</v>
      </c>
    </row>
    <row r="494" spans="2:5">
      <c r="B494" s="77"/>
      <c r="C494" s="62" t="s">
        <v>191</v>
      </c>
      <c r="D494" s="63">
        <v>24</v>
      </c>
      <c r="E494" s="64">
        <v>3.0714102892239999E-3</v>
      </c>
    </row>
    <row r="495" spans="2:5">
      <c r="B495" s="77"/>
      <c r="C495" s="62" t="s">
        <v>200</v>
      </c>
      <c r="D495" s="63">
        <v>8</v>
      </c>
      <c r="E495" s="64">
        <v>1.0238034297409999E-3</v>
      </c>
    </row>
    <row r="496" spans="2:5">
      <c r="B496" s="77"/>
      <c r="C496" s="62" t="s">
        <v>201</v>
      </c>
      <c r="D496" s="63">
        <v>56</v>
      </c>
      <c r="E496" s="64">
        <v>7.1666240081899998E-3</v>
      </c>
    </row>
    <row r="497" spans="2:5">
      <c r="B497" s="77"/>
      <c r="C497" s="62" t="s">
        <v>203</v>
      </c>
      <c r="D497" s="63">
        <v>3</v>
      </c>
      <c r="E497" s="64">
        <v>3.8392628615299999E-4</v>
      </c>
    </row>
    <row r="498" spans="2:5">
      <c r="B498" s="77"/>
      <c r="C498" s="62" t="s">
        <v>204</v>
      </c>
      <c r="D498" s="63">
        <v>17</v>
      </c>
      <c r="E498" s="64">
        <v>2.1755822882010001E-3</v>
      </c>
    </row>
    <row r="499" spans="2:5">
      <c r="B499" s="77"/>
      <c r="C499" s="62" t="s">
        <v>192</v>
      </c>
      <c r="D499" s="63">
        <v>10</v>
      </c>
      <c r="E499" s="64">
        <v>1.279754287177E-3</v>
      </c>
    </row>
    <row r="500" spans="2:5">
      <c r="B500" s="77"/>
      <c r="C500" s="62" t="s">
        <v>193</v>
      </c>
      <c r="D500" s="63">
        <v>7</v>
      </c>
      <c r="E500" s="64">
        <v>8.9582800102399999E-4</v>
      </c>
    </row>
    <row r="501" spans="2:5">
      <c r="B501" s="77"/>
      <c r="C501" s="62" t="s">
        <v>206</v>
      </c>
      <c r="D501" s="63">
        <v>20</v>
      </c>
      <c r="E501" s="64">
        <v>2.559508574354E-3</v>
      </c>
    </row>
    <row r="502" spans="2:5">
      <c r="B502" s="77"/>
      <c r="C502" s="62" t="s">
        <v>207</v>
      </c>
      <c r="D502" s="63">
        <v>14</v>
      </c>
      <c r="E502" s="64">
        <v>1.791656002048E-3</v>
      </c>
    </row>
    <row r="503" spans="2:5">
      <c r="B503" s="77"/>
      <c r="C503" s="62" t="s">
        <v>208</v>
      </c>
      <c r="D503" s="63">
        <v>13</v>
      </c>
      <c r="E503" s="64">
        <v>1.6636805733300001E-3</v>
      </c>
    </row>
    <row r="504" spans="2:5">
      <c r="B504" s="77"/>
      <c r="C504" s="62" t="s">
        <v>210</v>
      </c>
      <c r="D504" s="63">
        <v>9</v>
      </c>
      <c r="E504" s="64">
        <v>1.1517788584590001E-3</v>
      </c>
    </row>
    <row r="505" spans="2:5">
      <c r="B505" s="77"/>
      <c r="C505" s="62" t="s">
        <v>194</v>
      </c>
      <c r="D505" s="63">
        <v>7</v>
      </c>
      <c r="E505" s="64">
        <v>8.9582800102399999E-4</v>
      </c>
    </row>
    <row r="506" spans="2:5">
      <c r="B506" s="77"/>
      <c r="C506" s="62" t="s">
        <v>195</v>
      </c>
      <c r="D506" s="63">
        <v>57</v>
      </c>
      <c r="E506" s="64">
        <v>7.2945994369079999E-3</v>
      </c>
    </row>
    <row r="507" spans="2:5">
      <c r="B507" s="77"/>
      <c r="C507" s="62" t="s">
        <v>196</v>
      </c>
      <c r="D507" s="63">
        <v>26</v>
      </c>
      <c r="E507" s="64">
        <v>3.3273611466600002E-3</v>
      </c>
    </row>
    <row r="508" spans="2:5">
      <c r="B508" s="77"/>
      <c r="C508" s="62" t="s">
        <v>197</v>
      </c>
      <c r="D508" s="63">
        <v>58</v>
      </c>
      <c r="E508" s="64">
        <v>7.4225748656260001E-3</v>
      </c>
    </row>
    <row r="509" spans="2:5">
      <c r="B509" s="77"/>
      <c r="C509" s="62" t="s">
        <v>198</v>
      </c>
      <c r="D509" s="63">
        <v>35</v>
      </c>
      <c r="E509" s="64">
        <v>4.4791400051190002E-3</v>
      </c>
    </row>
    <row r="510" spans="2:5">
      <c r="B510" s="77"/>
      <c r="C510" s="62" t="s">
        <v>209</v>
      </c>
      <c r="D510" s="63">
        <v>7</v>
      </c>
      <c r="E510" s="64">
        <v>8.9582800102399999E-4</v>
      </c>
    </row>
    <row r="511" spans="2:5">
      <c r="B511" s="78"/>
      <c r="C511" s="36" t="s">
        <v>29</v>
      </c>
      <c r="D511" s="35">
        <v>392</v>
      </c>
      <c r="E511" s="34">
        <v>5.0166368057333002E-2</v>
      </c>
    </row>
    <row r="512" spans="2:5">
      <c r="B512" s="76" t="s">
        <v>62</v>
      </c>
      <c r="C512" s="62" t="s">
        <v>190</v>
      </c>
      <c r="D512" s="63">
        <v>2</v>
      </c>
      <c r="E512" s="64">
        <v>2.5595085743500002E-4</v>
      </c>
    </row>
    <row r="513" spans="2:5">
      <c r="B513" s="77"/>
      <c r="C513" s="62" t="s">
        <v>199</v>
      </c>
      <c r="D513" s="63">
        <v>1</v>
      </c>
      <c r="E513" s="64">
        <v>1.2797542871799999E-4</v>
      </c>
    </row>
    <row r="514" spans="2:5">
      <c r="B514" s="77"/>
      <c r="C514" s="62" t="s">
        <v>191</v>
      </c>
      <c r="D514" s="63">
        <v>1</v>
      </c>
      <c r="E514" s="64">
        <v>1.2797542871799999E-4</v>
      </c>
    </row>
    <row r="515" spans="2:5">
      <c r="B515" s="77"/>
      <c r="C515" s="62" t="s">
        <v>201</v>
      </c>
      <c r="D515" s="63">
        <v>2</v>
      </c>
      <c r="E515" s="64">
        <v>2.5595085743500002E-4</v>
      </c>
    </row>
    <row r="516" spans="2:5">
      <c r="B516" s="77"/>
      <c r="C516" s="62" t="s">
        <v>202</v>
      </c>
      <c r="D516" s="63">
        <v>5</v>
      </c>
      <c r="E516" s="64">
        <v>6.3987714358799996E-4</v>
      </c>
    </row>
    <row r="517" spans="2:5">
      <c r="B517" s="77"/>
      <c r="C517" s="62" t="s">
        <v>204</v>
      </c>
      <c r="D517" s="63">
        <v>5</v>
      </c>
      <c r="E517" s="64">
        <v>6.3987714358799996E-4</v>
      </c>
    </row>
    <row r="518" spans="2:5">
      <c r="B518" s="77"/>
      <c r="C518" s="62" t="s">
        <v>192</v>
      </c>
      <c r="D518" s="63">
        <v>1</v>
      </c>
      <c r="E518" s="64">
        <v>1.2797542871799999E-4</v>
      </c>
    </row>
    <row r="519" spans="2:5">
      <c r="B519" s="77"/>
      <c r="C519" s="62" t="s">
        <v>193</v>
      </c>
      <c r="D519" s="63">
        <v>1</v>
      </c>
      <c r="E519" s="64">
        <v>1.2797542871799999E-4</v>
      </c>
    </row>
    <row r="520" spans="2:5">
      <c r="B520" s="77"/>
      <c r="C520" s="62" t="s">
        <v>206</v>
      </c>
      <c r="D520" s="63">
        <v>49</v>
      </c>
      <c r="E520" s="64">
        <v>6.270796007167E-3</v>
      </c>
    </row>
    <row r="521" spans="2:5">
      <c r="B521" s="77"/>
      <c r="C521" s="62" t="s">
        <v>207</v>
      </c>
      <c r="D521" s="63">
        <v>1</v>
      </c>
      <c r="E521" s="64">
        <v>1.2797542871799999E-4</v>
      </c>
    </row>
    <row r="522" spans="2:5">
      <c r="B522" s="77"/>
      <c r="C522" s="62" t="s">
        <v>208</v>
      </c>
      <c r="D522" s="63">
        <v>6</v>
      </c>
      <c r="E522" s="64">
        <v>7.6785257230599997E-4</v>
      </c>
    </row>
    <row r="523" spans="2:5">
      <c r="B523" s="77"/>
      <c r="C523" s="62" t="s">
        <v>195</v>
      </c>
      <c r="D523" s="63">
        <v>11</v>
      </c>
      <c r="E523" s="64">
        <v>1.4077297158950001E-3</v>
      </c>
    </row>
    <row r="524" spans="2:5">
      <c r="B524" s="77"/>
      <c r="C524" s="62" t="s">
        <v>196</v>
      </c>
      <c r="D524" s="63">
        <v>4</v>
      </c>
      <c r="E524" s="64">
        <v>5.1190171487100001E-4</v>
      </c>
    </row>
    <row r="525" spans="2:5">
      <c r="B525" s="77"/>
      <c r="C525" s="62" t="s">
        <v>197</v>
      </c>
      <c r="D525" s="63">
        <v>31</v>
      </c>
      <c r="E525" s="64">
        <v>3.9672382902479998E-3</v>
      </c>
    </row>
    <row r="526" spans="2:5">
      <c r="B526" s="77"/>
      <c r="C526" s="62" t="s">
        <v>198</v>
      </c>
      <c r="D526" s="63">
        <v>56</v>
      </c>
      <c r="E526" s="64">
        <v>7.1666240081899998E-3</v>
      </c>
    </row>
    <row r="527" spans="2:5">
      <c r="B527" s="78"/>
      <c r="C527" s="36" t="s">
        <v>29</v>
      </c>
      <c r="D527" s="35">
        <v>176</v>
      </c>
      <c r="E527" s="34">
        <v>2.2523675454313E-2</v>
      </c>
    </row>
    <row r="528" spans="2:5">
      <c r="B528" s="76" t="s">
        <v>68</v>
      </c>
      <c r="C528" s="62" t="s">
        <v>199</v>
      </c>
      <c r="D528" s="63">
        <v>1</v>
      </c>
      <c r="E528" s="64">
        <v>1.2797542871799999E-4</v>
      </c>
    </row>
    <row r="529" spans="2:5">
      <c r="B529" s="77"/>
      <c r="C529" s="62" t="s">
        <v>191</v>
      </c>
      <c r="D529" s="63">
        <v>3</v>
      </c>
      <c r="E529" s="64">
        <v>3.8392628615299999E-4</v>
      </c>
    </row>
    <row r="530" spans="2:5">
      <c r="B530" s="77"/>
      <c r="C530" s="62" t="s">
        <v>200</v>
      </c>
      <c r="D530" s="63">
        <v>2</v>
      </c>
      <c r="E530" s="64">
        <v>2.5595085743500002E-4</v>
      </c>
    </row>
    <row r="531" spans="2:5">
      <c r="B531" s="77"/>
      <c r="C531" s="62" t="s">
        <v>201</v>
      </c>
      <c r="D531" s="63">
        <v>15</v>
      </c>
      <c r="E531" s="64">
        <v>1.919631430765E-3</v>
      </c>
    </row>
    <row r="532" spans="2:5">
      <c r="B532" s="77"/>
      <c r="C532" s="62" t="s">
        <v>202</v>
      </c>
      <c r="D532" s="63">
        <v>2</v>
      </c>
      <c r="E532" s="64">
        <v>2.5595085743500002E-4</v>
      </c>
    </row>
    <row r="533" spans="2:5">
      <c r="B533" s="77"/>
      <c r="C533" s="62" t="s">
        <v>203</v>
      </c>
      <c r="D533" s="63">
        <v>1</v>
      </c>
      <c r="E533" s="64">
        <v>1.2797542871799999E-4</v>
      </c>
    </row>
    <row r="534" spans="2:5">
      <c r="B534" s="77"/>
      <c r="C534" s="62" t="s">
        <v>204</v>
      </c>
      <c r="D534" s="63">
        <v>6</v>
      </c>
      <c r="E534" s="64">
        <v>7.6785257230599997E-4</v>
      </c>
    </row>
    <row r="535" spans="2:5">
      <c r="B535" s="77"/>
      <c r="C535" s="62" t="s">
        <v>192</v>
      </c>
      <c r="D535" s="63">
        <v>1</v>
      </c>
      <c r="E535" s="64">
        <v>1.2797542871799999E-4</v>
      </c>
    </row>
    <row r="536" spans="2:5">
      <c r="B536" s="77"/>
      <c r="C536" s="62" t="s">
        <v>193</v>
      </c>
      <c r="D536" s="63">
        <v>6</v>
      </c>
      <c r="E536" s="64">
        <v>7.6785257230599997E-4</v>
      </c>
    </row>
    <row r="537" spans="2:5">
      <c r="B537" s="77"/>
      <c r="C537" s="62" t="s">
        <v>206</v>
      </c>
      <c r="D537" s="63">
        <v>2</v>
      </c>
      <c r="E537" s="64">
        <v>2.5595085743500002E-4</v>
      </c>
    </row>
    <row r="538" spans="2:5">
      <c r="B538" s="77"/>
      <c r="C538" s="62" t="s">
        <v>207</v>
      </c>
      <c r="D538" s="63">
        <v>1</v>
      </c>
      <c r="E538" s="64">
        <v>1.2797542871799999E-4</v>
      </c>
    </row>
    <row r="539" spans="2:5">
      <c r="B539" s="77"/>
      <c r="C539" s="62" t="s">
        <v>208</v>
      </c>
      <c r="D539" s="63">
        <v>7</v>
      </c>
      <c r="E539" s="64">
        <v>8.9582800102399999E-4</v>
      </c>
    </row>
    <row r="540" spans="2:5">
      <c r="B540" s="77"/>
      <c r="C540" s="62" t="s">
        <v>210</v>
      </c>
      <c r="D540" s="63">
        <v>1</v>
      </c>
      <c r="E540" s="64">
        <v>1.2797542871799999E-4</v>
      </c>
    </row>
    <row r="541" spans="2:5">
      <c r="B541" s="77"/>
      <c r="C541" s="62" t="s">
        <v>194</v>
      </c>
      <c r="D541" s="63">
        <v>6</v>
      </c>
      <c r="E541" s="64">
        <v>7.6785257230599997E-4</v>
      </c>
    </row>
    <row r="542" spans="2:5">
      <c r="B542" s="77"/>
      <c r="C542" s="62" t="s">
        <v>195</v>
      </c>
      <c r="D542" s="63">
        <v>17</v>
      </c>
      <c r="E542" s="64">
        <v>2.1755822882010001E-3</v>
      </c>
    </row>
    <row r="543" spans="2:5">
      <c r="B543" s="77"/>
      <c r="C543" s="62" t="s">
        <v>196</v>
      </c>
      <c r="D543" s="63">
        <v>2</v>
      </c>
      <c r="E543" s="64">
        <v>2.5595085743500002E-4</v>
      </c>
    </row>
    <row r="544" spans="2:5">
      <c r="B544" s="77"/>
      <c r="C544" s="62" t="s">
        <v>197</v>
      </c>
      <c r="D544" s="63">
        <v>24</v>
      </c>
      <c r="E544" s="64">
        <v>3.0714102892239999E-3</v>
      </c>
    </row>
    <row r="545" spans="2:5">
      <c r="B545" s="77"/>
      <c r="C545" s="62" t="s">
        <v>198</v>
      </c>
      <c r="D545" s="63">
        <v>3</v>
      </c>
      <c r="E545" s="64">
        <v>3.8392628615299999E-4</v>
      </c>
    </row>
    <row r="546" spans="2:5">
      <c r="B546" s="77"/>
      <c r="C546" s="62" t="s">
        <v>209</v>
      </c>
      <c r="D546" s="63">
        <v>1</v>
      </c>
      <c r="E546" s="64">
        <v>1.2797542871799999E-4</v>
      </c>
    </row>
    <row r="547" spans="2:5">
      <c r="B547" s="78"/>
      <c r="C547" s="36" t="s">
        <v>29</v>
      </c>
      <c r="D547" s="35">
        <v>101</v>
      </c>
      <c r="E547" s="34">
        <v>1.2925518300485999E-2</v>
      </c>
    </row>
    <row r="548" spans="2:5">
      <c r="B548" s="76" t="s">
        <v>89</v>
      </c>
      <c r="C548" s="62" t="s">
        <v>190</v>
      </c>
      <c r="D548" s="63">
        <v>3</v>
      </c>
      <c r="E548" s="64">
        <v>3.8392628615299999E-4</v>
      </c>
    </row>
    <row r="549" spans="2:5">
      <c r="B549" s="77"/>
      <c r="C549" s="62" t="s">
        <v>199</v>
      </c>
      <c r="D549" s="63">
        <v>1</v>
      </c>
      <c r="E549" s="64">
        <v>1.2797542871799999E-4</v>
      </c>
    </row>
    <row r="550" spans="2:5">
      <c r="B550" s="77"/>
      <c r="C550" s="62" t="s">
        <v>191</v>
      </c>
      <c r="D550" s="63">
        <v>1</v>
      </c>
      <c r="E550" s="64">
        <v>1.2797542871799999E-4</v>
      </c>
    </row>
    <row r="551" spans="2:5">
      <c r="B551" s="77"/>
      <c r="C551" s="62" t="s">
        <v>201</v>
      </c>
      <c r="D551" s="63">
        <v>2</v>
      </c>
      <c r="E551" s="64">
        <v>2.5595085743500002E-4</v>
      </c>
    </row>
    <row r="552" spans="2:5">
      <c r="B552" s="77"/>
      <c r="C552" s="62" t="s">
        <v>206</v>
      </c>
      <c r="D552" s="63">
        <v>1</v>
      </c>
      <c r="E552" s="64">
        <v>1.2797542871799999E-4</v>
      </c>
    </row>
    <row r="553" spans="2:5">
      <c r="B553" s="77"/>
      <c r="C553" s="62" t="s">
        <v>194</v>
      </c>
      <c r="D553" s="63">
        <v>2</v>
      </c>
      <c r="E553" s="64">
        <v>2.5595085743500002E-4</v>
      </c>
    </row>
    <row r="554" spans="2:5">
      <c r="B554" s="77"/>
      <c r="C554" s="62" t="s">
        <v>195</v>
      </c>
      <c r="D554" s="63">
        <v>3</v>
      </c>
      <c r="E554" s="64">
        <v>3.8392628615299999E-4</v>
      </c>
    </row>
    <row r="555" spans="2:5">
      <c r="B555" s="77"/>
      <c r="C555" s="62" t="s">
        <v>196</v>
      </c>
      <c r="D555" s="63">
        <v>1</v>
      </c>
      <c r="E555" s="64">
        <v>1.2797542871799999E-4</v>
      </c>
    </row>
    <row r="556" spans="2:5">
      <c r="B556" s="77"/>
      <c r="C556" s="62" t="s">
        <v>197</v>
      </c>
      <c r="D556" s="63">
        <v>3</v>
      </c>
      <c r="E556" s="64">
        <v>3.8392628615299999E-4</v>
      </c>
    </row>
    <row r="557" spans="2:5">
      <c r="B557" s="78"/>
      <c r="C557" s="36" t="s">
        <v>29</v>
      </c>
      <c r="D557" s="35">
        <v>17</v>
      </c>
      <c r="E557" s="34">
        <v>2.1755822882010001E-3</v>
      </c>
    </row>
    <row r="558" spans="2:5">
      <c r="B558" s="76" t="s">
        <v>52</v>
      </c>
      <c r="C558" s="62" t="s">
        <v>190</v>
      </c>
      <c r="D558" s="63">
        <v>28</v>
      </c>
      <c r="E558" s="64">
        <v>3.5833120040949999E-3</v>
      </c>
    </row>
    <row r="559" spans="2:5">
      <c r="B559" s="77"/>
      <c r="C559" s="62" t="s">
        <v>199</v>
      </c>
      <c r="D559" s="63">
        <v>21</v>
      </c>
      <c r="E559" s="64">
        <v>2.687484003071E-3</v>
      </c>
    </row>
    <row r="560" spans="2:5">
      <c r="B560" s="77"/>
      <c r="C560" s="62" t="s">
        <v>191</v>
      </c>
      <c r="D560" s="63">
        <v>17</v>
      </c>
      <c r="E560" s="64">
        <v>2.1755822882010001E-3</v>
      </c>
    </row>
    <row r="561" spans="2:5">
      <c r="B561" s="77"/>
      <c r="C561" s="62" t="s">
        <v>200</v>
      </c>
      <c r="D561" s="63">
        <v>2</v>
      </c>
      <c r="E561" s="64">
        <v>2.5595085743500002E-4</v>
      </c>
    </row>
    <row r="562" spans="2:5">
      <c r="B562" s="77"/>
      <c r="C562" s="62" t="s">
        <v>201</v>
      </c>
      <c r="D562" s="63">
        <v>51</v>
      </c>
      <c r="E562" s="64">
        <v>6.5267468646020002E-3</v>
      </c>
    </row>
    <row r="563" spans="2:5">
      <c r="B563" s="77"/>
      <c r="C563" s="62" t="s">
        <v>202</v>
      </c>
      <c r="D563" s="63">
        <v>6</v>
      </c>
      <c r="E563" s="64">
        <v>7.6785257230599997E-4</v>
      </c>
    </row>
    <row r="564" spans="2:5">
      <c r="B564" s="77"/>
      <c r="C564" s="62" t="s">
        <v>203</v>
      </c>
      <c r="D564" s="63">
        <v>4</v>
      </c>
      <c r="E564" s="64">
        <v>5.1190171487100001E-4</v>
      </c>
    </row>
    <row r="565" spans="2:5">
      <c r="B565" s="77"/>
      <c r="C565" s="62" t="s">
        <v>204</v>
      </c>
      <c r="D565" s="63">
        <v>18</v>
      </c>
      <c r="E565" s="64">
        <v>2.3035577169180001E-3</v>
      </c>
    </row>
    <row r="566" spans="2:5">
      <c r="B566" s="77"/>
      <c r="C566" s="62" t="s">
        <v>192</v>
      </c>
      <c r="D566" s="63">
        <v>10</v>
      </c>
      <c r="E566" s="64">
        <v>1.279754287177E-3</v>
      </c>
    </row>
    <row r="567" spans="2:5">
      <c r="B567" s="77"/>
      <c r="C567" s="62" t="s">
        <v>193</v>
      </c>
      <c r="D567" s="63">
        <v>18</v>
      </c>
      <c r="E567" s="64">
        <v>2.3035577169180001E-3</v>
      </c>
    </row>
    <row r="568" spans="2:5">
      <c r="B568" s="77"/>
      <c r="C568" s="62" t="s">
        <v>206</v>
      </c>
      <c r="D568" s="63">
        <v>16</v>
      </c>
      <c r="E568" s="64">
        <v>2.047606859483E-3</v>
      </c>
    </row>
    <row r="569" spans="2:5">
      <c r="B569" s="77"/>
      <c r="C569" s="62" t="s">
        <v>207</v>
      </c>
      <c r="D569" s="63">
        <v>14</v>
      </c>
      <c r="E569" s="64">
        <v>1.791656002048E-3</v>
      </c>
    </row>
    <row r="570" spans="2:5">
      <c r="B570" s="77"/>
      <c r="C570" s="62" t="s">
        <v>208</v>
      </c>
      <c r="D570" s="63">
        <v>33</v>
      </c>
      <c r="E570" s="64">
        <v>4.223189147684E-3</v>
      </c>
    </row>
    <row r="571" spans="2:5">
      <c r="B571" s="77"/>
      <c r="C571" s="62" t="s">
        <v>210</v>
      </c>
      <c r="D571" s="63">
        <v>14</v>
      </c>
      <c r="E571" s="64">
        <v>1.791656002048E-3</v>
      </c>
    </row>
    <row r="572" spans="2:5">
      <c r="B572" s="77"/>
      <c r="C572" s="62" t="s">
        <v>194</v>
      </c>
      <c r="D572" s="63">
        <v>20</v>
      </c>
      <c r="E572" s="64">
        <v>2.559508574354E-3</v>
      </c>
    </row>
    <row r="573" spans="2:5">
      <c r="B573" s="77"/>
      <c r="C573" s="62" t="s">
        <v>195</v>
      </c>
      <c r="D573" s="63">
        <v>75</v>
      </c>
      <c r="E573" s="64">
        <v>9.5981571538260001E-3</v>
      </c>
    </row>
    <row r="574" spans="2:5">
      <c r="B574" s="77"/>
      <c r="C574" s="62" t="s">
        <v>196</v>
      </c>
      <c r="D574" s="63">
        <v>65</v>
      </c>
      <c r="E574" s="64">
        <v>8.3184028666500008E-3</v>
      </c>
    </row>
    <row r="575" spans="2:5">
      <c r="B575" s="77"/>
      <c r="C575" s="62" t="s">
        <v>197</v>
      </c>
      <c r="D575" s="63">
        <v>138</v>
      </c>
      <c r="E575" s="64">
        <v>1.7660609163041002E-2</v>
      </c>
    </row>
    <row r="576" spans="2:5">
      <c r="B576" s="77"/>
      <c r="C576" s="62" t="s">
        <v>198</v>
      </c>
      <c r="D576" s="63">
        <v>16</v>
      </c>
      <c r="E576" s="64">
        <v>2.047606859483E-3</v>
      </c>
    </row>
    <row r="577" spans="2:5">
      <c r="B577" s="77"/>
      <c r="C577" s="62" t="s">
        <v>209</v>
      </c>
      <c r="D577" s="63">
        <v>4</v>
      </c>
      <c r="E577" s="64">
        <v>5.1190171487100001E-4</v>
      </c>
    </row>
    <row r="578" spans="2:5">
      <c r="B578" s="78"/>
      <c r="C578" s="36" t="s">
        <v>29</v>
      </c>
      <c r="D578" s="35">
        <v>570</v>
      </c>
      <c r="E578" s="34">
        <v>7.2945994369081002E-2</v>
      </c>
    </row>
    <row r="579" spans="2:5">
      <c r="B579" s="76" t="s">
        <v>57</v>
      </c>
      <c r="C579" s="62" t="s">
        <v>190</v>
      </c>
      <c r="D579" s="63">
        <v>11</v>
      </c>
      <c r="E579" s="64">
        <v>1.4077297158950001E-3</v>
      </c>
    </row>
    <row r="580" spans="2:5">
      <c r="B580" s="77"/>
      <c r="C580" s="62" t="s">
        <v>199</v>
      </c>
      <c r="D580" s="63">
        <v>5</v>
      </c>
      <c r="E580" s="64">
        <v>6.3987714358799996E-4</v>
      </c>
    </row>
    <row r="581" spans="2:5">
      <c r="B581" s="77"/>
      <c r="C581" s="62" t="s">
        <v>191</v>
      </c>
      <c r="D581" s="63">
        <v>16</v>
      </c>
      <c r="E581" s="64">
        <v>2.047606859483E-3</v>
      </c>
    </row>
    <row r="582" spans="2:5">
      <c r="B582" s="77"/>
      <c r="C582" s="62" t="s">
        <v>200</v>
      </c>
      <c r="D582" s="63">
        <v>2</v>
      </c>
      <c r="E582" s="64">
        <v>2.5595085743500002E-4</v>
      </c>
    </row>
    <row r="583" spans="2:5">
      <c r="B583" s="77"/>
      <c r="C583" s="62" t="s">
        <v>201</v>
      </c>
      <c r="D583" s="63">
        <v>10</v>
      </c>
      <c r="E583" s="64">
        <v>1.279754287177E-3</v>
      </c>
    </row>
    <row r="584" spans="2:5">
      <c r="B584" s="77"/>
      <c r="C584" s="62" t="s">
        <v>203</v>
      </c>
      <c r="D584" s="63">
        <v>3</v>
      </c>
      <c r="E584" s="64">
        <v>3.8392628615299999E-4</v>
      </c>
    </row>
    <row r="585" spans="2:5">
      <c r="B585" s="77"/>
      <c r="C585" s="62" t="s">
        <v>204</v>
      </c>
      <c r="D585" s="63">
        <v>6</v>
      </c>
      <c r="E585" s="64">
        <v>7.6785257230599997E-4</v>
      </c>
    </row>
    <row r="586" spans="2:5">
      <c r="B586" s="77"/>
      <c r="C586" s="62" t="s">
        <v>192</v>
      </c>
      <c r="D586" s="63">
        <v>16</v>
      </c>
      <c r="E586" s="64">
        <v>2.047606859483E-3</v>
      </c>
    </row>
    <row r="587" spans="2:5">
      <c r="B587" s="77"/>
      <c r="C587" s="62" t="s">
        <v>193</v>
      </c>
      <c r="D587" s="63">
        <v>2</v>
      </c>
      <c r="E587" s="64">
        <v>2.5595085743500002E-4</v>
      </c>
    </row>
    <row r="588" spans="2:5">
      <c r="B588" s="77"/>
      <c r="C588" s="62" t="s">
        <v>206</v>
      </c>
      <c r="D588" s="63">
        <v>26</v>
      </c>
      <c r="E588" s="64">
        <v>3.3273611466600002E-3</v>
      </c>
    </row>
    <row r="589" spans="2:5">
      <c r="B589" s="77"/>
      <c r="C589" s="62" t="s">
        <v>207</v>
      </c>
      <c r="D589" s="63">
        <v>13</v>
      </c>
      <c r="E589" s="64">
        <v>1.6636805733300001E-3</v>
      </c>
    </row>
    <row r="590" spans="2:5">
      <c r="B590" s="77"/>
      <c r="C590" s="62" t="s">
        <v>208</v>
      </c>
      <c r="D590" s="63">
        <v>7</v>
      </c>
      <c r="E590" s="64">
        <v>8.9582800102399999E-4</v>
      </c>
    </row>
    <row r="591" spans="2:5">
      <c r="B591" s="77"/>
      <c r="C591" s="62" t="s">
        <v>210</v>
      </c>
      <c r="D591" s="63">
        <v>1</v>
      </c>
      <c r="E591" s="64">
        <v>1.2797542871799999E-4</v>
      </c>
    </row>
    <row r="592" spans="2:5">
      <c r="B592" s="77"/>
      <c r="C592" s="62" t="s">
        <v>194</v>
      </c>
      <c r="D592" s="63">
        <v>10</v>
      </c>
      <c r="E592" s="64">
        <v>1.279754287177E-3</v>
      </c>
    </row>
    <row r="593" spans="2:5">
      <c r="B593" s="77"/>
      <c r="C593" s="62" t="s">
        <v>195</v>
      </c>
      <c r="D593" s="63">
        <v>57</v>
      </c>
      <c r="E593" s="64">
        <v>7.2945994369079999E-3</v>
      </c>
    </row>
    <row r="594" spans="2:5">
      <c r="B594" s="77"/>
      <c r="C594" s="62" t="s">
        <v>196</v>
      </c>
      <c r="D594" s="63">
        <v>46</v>
      </c>
      <c r="E594" s="64">
        <v>5.8868697210139997E-3</v>
      </c>
    </row>
    <row r="595" spans="2:5">
      <c r="B595" s="77"/>
      <c r="C595" s="62" t="s">
        <v>197</v>
      </c>
      <c r="D595" s="63">
        <v>61</v>
      </c>
      <c r="E595" s="64">
        <v>7.8065011517790004E-3</v>
      </c>
    </row>
    <row r="596" spans="2:5">
      <c r="B596" s="77"/>
      <c r="C596" s="62" t="s">
        <v>198</v>
      </c>
      <c r="D596" s="63">
        <v>6</v>
      </c>
      <c r="E596" s="64">
        <v>7.6785257230599997E-4</v>
      </c>
    </row>
    <row r="597" spans="2:5">
      <c r="B597" s="77"/>
      <c r="C597" s="62" t="s">
        <v>209</v>
      </c>
      <c r="D597" s="63">
        <v>2</v>
      </c>
      <c r="E597" s="64">
        <v>2.5595085743500002E-4</v>
      </c>
    </row>
    <row r="598" spans="2:5">
      <c r="B598" s="78"/>
      <c r="C598" s="36" t="s">
        <v>29</v>
      </c>
      <c r="D598" s="35">
        <v>300</v>
      </c>
      <c r="E598" s="34">
        <v>3.8392628615305999E-2</v>
      </c>
    </row>
    <row r="599" spans="2:5">
      <c r="B599" s="76" t="s">
        <v>64</v>
      </c>
      <c r="C599" s="62" t="s">
        <v>190</v>
      </c>
      <c r="D599" s="63">
        <v>4</v>
      </c>
      <c r="E599" s="64">
        <v>5.1190171487100001E-4</v>
      </c>
    </row>
    <row r="600" spans="2:5">
      <c r="B600" s="77"/>
      <c r="C600" s="62" t="s">
        <v>199</v>
      </c>
      <c r="D600" s="63">
        <v>1</v>
      </c>
      <c r="E600" s="64">
        <v>1.2797542871799999E-4</v>
      </c>
    </row>
    <row r="601" spans="2:5">
      <c r="B601" s="77"/>
      <c r="C601" s="62" t="s">
        <v>191</v>
      </c>
      <c r="D601" s="63">
        <v>20</v>
      </c>
      <c r="E601" s="64">
        <v>2.559508574354E-3</v>
      </c>
    </row>
    <row r="602" spans="2:5">
      <c r="B602" s="77"/>
      <c r="C602" s="62" t="s">
        <v>201</v>
      </c>
      <c r="D602" s="63">
        <v>20</v>
      </c>
      <c r="E602" s="64">
        <v>2.559508574354E-3</v>
      </c>
    </row>
    <row r="603" spans="2:5">
      <c r="B603" s="77"/>
      <c r="C603" s="62" t="s">
        <v>202</v>
      </c>
      <c r="D603" s="63">
        <v>3</v>
      </c>
      <c r="E603" s="64">
        <v>3.8392628615299999E-4</v>
      </c>
    </row>
    <row r="604" spans="2:5">
      <c r="B604" s="77"/>
      <c r="C604" s="62" t="s">
        <v>204</v>
      </c>
      <c r="D604" s="63">
        <v>3</v>
      </c>
      <c r="E604" s="64">
        <v>3.8392628615299999E-4</v>
      </c>
    </row>
    <row r="605" spans="2:5">
      <c r="B605" s="77"/>
      <c r="C605" s="62" t="s">
        <v>192</v>
      </c>
      <c r="D605" s="63">
        <v>8</v>
      </c>
      <c r="E605" s="64">
        <v>1.0238034297409999E-3</v>
      </c>
    </row>
    <row r="606" spans="2:5">
      <c r="B606" s="77"/>
      <c r="C606" s="62" t="s">
        <v>193</v>
      </c>
      <c r="D606" s="63">
        <v>17</v>
      </c>
      <c r="E606" s="64">
        <v>2.1755822882010001E-3</v>
      </c>
    </row>
    <row r="607" spans="2:5">
      <c r="B607" s="77"/>
      <c r="C607" s="62" t="s">
        <v>206</v>
      </c>
      <c r="D607" s="63">
        <v>6</v>
      </c>
      <c r="E607" s="64">
        <v>7.6785257230599997E-4</v>
      </c>
    </row>
    <row r="608" spans="2:5">
      <c r="B608" s="77"/>
      <c r="C608" s="62" t="s">
        <v>207</v>
      </c>
      <c r="D608" s="63">
        <v>1</v>
      </c>
      <c r="E608" s="64">
        <v>1.2797542871799999E-4</v>
      </c>
    </row>
    <row r="609" spans="2:5">
      <c r="B609" s="77"/>
      <c r="C609" s="62" t="s">
        <v>208</v>
      </c>
      <c r="D609" s="63">
        <v>4</v>
      </c>
      <c r="E609" s="64">
        <v>5.1190171487100001E-4</v>
      </c>
    </row>
    <row r="610" spans="2:5">
      <c r="B610" s="77"/>
      <c r="C610" s="62" t="s">
        <v>194</v>
      </c>
      <c r="D610" s="63">
        <v>4</v>
      </c>
      <c r="E610" s="64">
        <v>5.1190171487100001E-4</v>
      </c>
    </row>
    <row r="611" spans="2:5">
      <c r="B611" s="77"/>
      <c r="C611" s="62" t="s">
        <v>195</v>
      </c>
      <c r="D611" s="63">
        <v>12</v>
      </c>
      <c r="E611" s="64">
        <v>1.5357051446119999E-3</v>
      </c>
    </row>
    <row r="612" spans="2:5">
      <c r="B612" s="77"/>
      <c r="C612" s="62" t="s">
        <v>196</v>
      </c>
      <c r="D612" s="63">
        <v>3</v>
      </c>
      <c r="E612" s="64">
        <v>3.8392628615299999E-4</v>
      </c>
    </row>
    <row r="613" spans="2:5">
      <c r="B613" s="77"/>
      <c r="C613" s="62" t="s">
        <v>197</v>
      </c>
      <c r="D613" s="63">
        <v>34</v>
      </c>
      <c r="E613" s="64">
        <v>4.3511645764010001E-3</v>
      </c>
    </row>
    <row r="614" spans="2:5">
      <c r="B614" s="77"/>
      <c r="C614" s="62" t="s">
        <v>198</v>
      </c>
      <c r="D614" s="63">
        <v>4</v>
      </c>
      <c r="E614" s="64">
        <v>5.1190171487100001E-4</v>
      </c>
    </row>
    <row r="615" spans="2:5">
      <c r="B615" s="78"/>
      <c r="C615" s="36" t="s">
        <v>29</v>
      </c>
      <c r="D615" s="35">
        <v>144</v>
      </c>
      <c r="E615" s="34">
        <v>1.8428461735346999E-2</v>
      </c>
    </row>
    <row r="616" spans="2:5">
      <c r="B616" s="76" t="s">
        <v>56</v>
      </c>
      <c r="C616" s="62" t="s">
        <v>190</v>
      </c>
      <c r="D616" s="63">
        <v>6</v>
      </c>
      <c r="E616" s="64">
        <v>7.6785257230599997E-4</v>
      </c>
    </row>
    <row r="617" spans="2:5">
      <c r="B617" s="77"/>
      <c r="C617" s="62" t="s">
        <v>199</v>
      </c>
      <c r="D617" s="63">
        <v>9</v>
      </c>
      <c r="E617" s="64">
        <v>1.1517788584590001E-3</v>
      </c>
    </row>
    <row r="618" spans="2:5">
      <c r="B618" s="77"/>
      <c r="C618" s="62" t="s">
        <v>191</v>
      </c>
      <c r="D618" s="63">
        <v>12</v>
      </c>
      <c r="E618" s="64">
        <v>1.5357051446119999E-3</v>
      </c>
    </row>
    <row r="619" spans="2:5">
      <c r="B619" s="77"/>
      <c r="C619" s="62" t="s">
        <v>200</v>
      </c>
      <c r="D619" s="63">
        <v>1</v>
      </c>
      <c r="E619" s="64">
        <v>1.2797542871799999E-4</v>
      </c>
    </row>
    <row r="620" spans="2:5">
      <c r="B620" s="77"/>
      <c r="C620" s="62" t="s">
        <v>201</v>
      </c>
      <c r="D620" s="63">
        <v>54</v>
      </c>
      <c r="E620" s="64">
        <v>6.9106731507549996E-3</v>
      </c>
    </row>
    <row r="621" spans="2:5">
      <c r="B621" s="77"/>
      <c r="C621" s="62" t="s">
        <v>202</v>
      </c>
      <c r="D621" s="63">
        <v>2</v>
      </c>
      <c r="E621" s="64">
        <v>2.5595085743500002E-4</v>
      </c>
    </row>
    <row r="622" spans="2:5">
      <c r="B622" s="77"/>
      <c r="C622" s="62" t="s">
        <v>203</v>
      </c>
      <c r="D622" s="63">
        <v>5</v>
      </c>
      <c r="E622" s="64">
        <v>6.3987714358799996E-4</v>
      </c>
    </row>
    <row r="623" spans="2:5">
      <c r="B623" s="77"/>
      <c r="C623" s="62" t="s">
        <v>204</v>
      </c>
      <c r="D623" s="63">
        <v>6</v>
      </c>
      <c r="E623" s="64">
        <v>7.6785257230599997E-4</v>
      </c>
    </row>
    <row r="624" spans="2:5">
      <c r="B624" s="77"/>
      <c r="C624" s="62" t="s">
        <v>192</v>
      </c>
      <c r="D624" s="63">
        <v>13</v>
      </c>
      <c r="E624" s="64">
        <v>1.6636805733300001E-3</v>
      </c>
    </row>
    <row r="625" spans="2:5">
      <c r="B625" s="77"/>
      <c r="C625" s="62" t="s">
        <v>193</v>
      </c>
      <c r="D625" s="63">
        <v>13</v>
      </c>
      <c r="E625" s="64">
        <v>1.6636805733300001E-3</v>
      </c>
    </row>
    <row r="626" spans="2:5">
      <c r="B626" s="77"/>
      <c r="C626" s="62" t="s">
        <v>206</v>
      </c>
      <c r="D626" s="63">
        <v>5</v>
      </c>
      <c r="E626" s="64">
        <v>6.3987714358799996E-4</v>
      </c>
    </row>
    <row r="627" spans="2:5">
      <c r="B627" s="77"/>
      <c r="C627" s="62" t="s">
        <v>207</v>
      </c>
      <c r="D627" s="63">
        <v>10</v>
      </c>
      <c r="E627" s="64">
        <v>1.279754287177E-3</v>
      </c>
    </row>
    <row r="628" spans="2:5">
      <c r="B628" s="77"/>
      <c r="C628" s="62" t="s">
        <v>208</v>
      </c>
      <c r="D628" s="63">
        <v>19</v>
      </c>
      <c r="E628" s="64">
        <v>2.4315331456359998E-3</v>
      </c>
    </row>
    <row r="629" spans="2:5">
      <c r="B629" s="77"/>
      <c r="C629" s="62" t="s">
        <v>210</v>
      </c>
      <c r="D629" s="63">
        <v>4</v>
      </c>
      <c r="E629" s="64">
        <v>5.1190171487100001E-4</v>
      </c>
    </row>
    <row r="630" spans="2:5">
      <c r="B630" s="77"/>
      <c r="C630" s="62" t="s">
        <v>194</v>
      </c>
      <c r="D630" s="63">
        <v>11</v>
      </c>
      <c r="E630" s="64">
        <v>1.4077297158950001E-3</v>
      </c>
    </row>
    <row r="631" spans="2:5">
      <c r="B631" s="77"/>
      <c r="C631" s="62" t="s">
        <v>195</v>
      </c>
      <c r="D631" s="63">
        <v>34</v>
      </c>
      <c r="E631" s="64">
        <v>4.3511645764010001E-3</v>
      </c>
    </row>
    <row r="632" spans="2:5">
      <c r="B632" s="77"/>
      <c r="C632" s="62" t="s">
        <v>196</v>
      </c>
      <c r="D632" s="63">
        <v>24</v>
      </c>
      <c r="E632" s="64">
        <v>3.0714102892239999E-3</v>
      </c>
    </row>
    <row r="633" spans="2:5">
      <c r="B633" s="77"/>
      <c r="C633" s="62" t="s">
        <v>197</v>
      </c>
      <c r="D633" s="63">
        <v>63</v>
      </c>
      <c r="E633" s="64">
        <v>8.0624520092140006E-3</v>
      </c>
    </row>
    <row r="634" spans="2:5">
      <c r="B634" s="77"/>
      <c r="C634" s="62" t="s">
        <v>198</v>
      </c>
      <c r="D634" s="63">
        <v>15</v>
      </c>
      <c r="E634" s="64">
        <v>1.919631430765E-3</v>
      </c>
    </row>
    <row r="635" spans="2:5">
      <c r="B635" s="77"/>
      <c r="C635" s="62" t="s">
        <v>209</v>
      </c>
      <c r="D635" s="63">
        <v>1</v>
      </c>
      <c r="E635" s="64">
        <v>1.2797542871799999E-4</v>
      </c>
    </row>
    <row r="636" spans="2:5">
      <c r="B636" s="78"/>
      <c r="C636" s="36" t="s">
        <v>29</v>
      </c>
      <c r="D636" s="35">
        <v>307</v>
      </c>
      <c r="E636" s="34">
        <v>3.928845661633E-2</v>
      </c>
    </row>
    <row r="637" spans="2:5">
      <c r="B637" s="76" t="s">
        <v>55</v>
      </c>
      <c r="C637" s="62" t="s">
        <v>190</v>
      </c>
      <c r="D637" s="63">
        <v>22</v>
      </c>
      <c r="E637" s="64">
        <v>2.8154594317890001E-3</v>
      </c>
    </row>
    <row r="638" spans="2:5">
      <c r="B638" s="77"/>
      <c r="C638" s="62" t="s">
        <v>199</v>
      </c>
      <c r="D638" s="63">
        <v>10</v>
      </c>
      <c r="E638" s="64">
        <v>1.279754287177E-3</v>
      </c>
    </row>
    <row r="639" spans="2:5">
      <c r="B639" s="77"/>
      <c r="C639" s="62" t="s">
        <v>191</v>
      </c>
      <c r="D639" s="63">
        <v>18</v>
      </c>
      <c r="E639" s="64">
        <v>2.3035577169180001E-3</v>
      </c>
    </row>
    <row r="640" spans="2:5">
      <c r="B640" s="77"/>
      <c r="C640" s="62" t="s">
        <v>200</v>
      </c>
      <c r="D640" s="63">
        <v>6</v>
      </c>
      <c r="E640" s="64">
        <v>7.6785257230599997E-4</v>
      </c>
    </row>
    <row r="641" spans="2:5">
      <c r="B641" s="77"/>
      <c r="C641" s="62" t="s">
        <v>201</v>
      </c>
      <c r="D641" s="63">
        <v>52</v>
      </c>
      <c r="E641" s="64">
        <v>6.6547222933200003E-3</v>
      </c>
    </row>
    <row r="642" spans="2:5">
      <c r="B642" s="77"/>
      <c r="C642" s="62" t="s">
        <v>202</v>
      </c>
      <c r="D642" s="63">
        <v>7</v>
      </c>
      <c r="E642" s="64">
        <v>8.9582800102399999E-4</v>
      </c>
    </row>
    <row r="643" spans="2:5">
      <c r="B643" s="77"/>
      <c r="C643" s="62" t="s">
        <v>204</v>
      </c>
      <c r="D643" s="63">
        <v>7</v>
      </c>
      <c r="E643" s="64">
        <v>8.9582800102399999E-4</v>
      </c>
    </row>
    <row r="644" spans="2:5">
      <c r="B644" s="77"/>
      <c r="C644" s="62" t="s">
        <v>192</v>
      </c>
      <c r="D644" s="63">
        <v>2</v>
      </c>
      <c r="E644" s="64">
        <v>2.5595085743500002E-4</v>
      </c>
    </row>
    <row r="645" spans="2:5">
      <c r="B645" s="77"/>
      <c r="C645" s="62" t="s">
        <v>193</v>
      </c>
      <c r="D645" s="63">
        <v>1</v>
      </c>
      <c r="E645" s="64">
        <v>1.2797542871799999E-4</v>
      </c>
    </row>
    <row r="646" spans="2:5">
      <c r="B646" s="77"/>
      <c r="C646" s="62" t="s">
        <v>206</v>
      </c>
      <c r="D646" s="63">
        <v>21</v>
      </c>
      <c r="E646" s="64">
        <v>2.687484003071E-3</v>
      </c>
    </row>
    <row r="647" spans="2:5">
      <c r="B647" s="77"/>
      <c r="C647" s="62" t="s">
        <v>207</v>
      </c>
      <c r="D647" s="63">
        <v>4</v>
      </c>
      <c r="E647" s="64">
        <v>5.1190171487100001E-4</v>
      </c>
    </row>
    <row r="648" spans="2:5">
      <c r="B648" s="77"/>
      <c r="C648" s="62" t="s">
        <v>208</v>
      </c>
      <c r="D648" s="63">
        <v>21</v>
      </c>
      <c r="E648" s="64">
        <v>2.687484003071E-3</v>
      </c>
    </row>
    <row r="649" spans="2:5">
      <c r="B649" s="77"/>
      <c r="C649" s="62" t="s">
        <v>210</v>
      </c>
      <c r="D649" s="63">
        <v>13</v>
      </c>
      <c r="E649" s="64">
        <v>1.6636805733300001E-3</v>
      </c>
    </row>
    <row r="650" spans="2:5">
      <c r="B650" s="77"/>
      <c r="C650" s="62" t="s">
        <v>194</v>
      </c>
      <c r="D650" s="63">
        <v>27</v>
      </c>
      <c r="E650" s="64">
        <v>3.4553365753779998E-3</v>
      </c>
    </row>
    <row r="651" spans="2:5">
      <c r="B651" s="77"/>
      <c r="C651" s="62" t="s">
        <v>195</v>
      </c>
      <c r="D651" s="63">
        <v>36</v>
      </c>
      <c r="E651" s="64">
        <v>4.6071154338370003E-3</v>
      </c>
    </row>
    <row r="652" spans="2:5">
      <c r="B652" s="77"/>
      <c r="C652" s="62" t="s">
        <v>196</v>
      </c>
      <c r="D652" s="63">
        <v>22</v>
      </c>
      <c r="E652" s="64">
        <v>2.8154594317890001E-3</v>
      </c>
    </row>
    <row r="653" spans="2:5">
      <c r="B653" s="77"/>
      <c r="C653" s="62" t="s">
        <v>197</v>
      </c>
      <c r="D653" s="63">
        <v>101</v>
      </c>
      <c r="E653" s="64">
        <v>1.2925518300485999E-2</v>
      </c>
    </row>
    <row r="654" spans="2:5">
      <c r="B654" s="77"/>
      <c r="C654" s="62" t="s">
        <v>198</v>
      </c>
      <c r="D654" s="63">
        <v>15</v>
      </c>
      <c r="E654" s="64">
        <v>1.919631430765E-3</v>
      </c>
    </row>
    <row r="655" spans="2:5">
      <c r="B655" s="77"/>
      <c r="C655" s="62" t="s">
        <v>209</v>
      </c>
      <c r="D655" s="63">
        <v>7</v>
      </c>
      <c r="E655" s="64">
        <v>8.9582800102399999E-4</v>
      </c>
    </row>
    <row r="656" spans="2:5">
      <c r="B656" s="78"/>
      <c r="C656" s="36" t="s">
        <v>29</v>
      </c>
      <c r="D656" s="35">
        <v>392</v>
      </c>
      <c r="E656" s="34">
        <v>5.0166368057333002E-2</v>
      </c>
    </row>
    <row r="657" spans="2:5">
      <c r="B657" s="76" t="s">
        <v>75</v>
      </c>
      <c r="C657" s="62" t="s">
        <v>190</v>
      </c>
      <c r="D657" s="63">
        <v>3</v>
      </c>
      <c r="E657" s="64">
        <v>3.8392628615299999E-4</v>
      </c>
    </row>
    <row r="658" spans="2:5">
      <c r="B658" s="77"/>
      <c r="C658" s="62" t="s">
        <v>191</v>
      </c>
      <c r="D658" s="63">
        <v>1</v>
      </c>
      <c r="E658" s="64">
        <v>1.2797542871799999E-4</v>
      </c>
    </row>
    <row r="659" spans="2:5">
      <c r="B659" s="77"/>
      <c r="C659" s="62" t="s">
        <v>200</v>
      </c>
      <c r="D659" s="63">
        <v>2</v>
      </c>
      <c r="E659" s="64">
        <v>2.5595085743500002E-4</v>
      </c>
    </row>
    <row r="660" spans="2:5">
      <c r="B660" s="77"/>
      <c r="C660" s="62" t="s">
        <v>201</v>
      </c>
      <c r="D660" s="63">
        <v>13</v>
      </c>
      <c r="E660" s="64">
        <v>1.6636805733300001E-3</v>
      </c>
    </row>
    <row r="661" spans="2:5">
      <c r="B661" s="77"/>
      <c r="C661" s="62" t="s">
        <v>202</v>
      </c>
      <c r="D661" s="63">
        <v>4</v>
      </c>
      <c r="E661" s="64">
        <v>5.1190171487100001E-4</v>
      </c>
    </row>
    <row r="662" spans="2:5">
      <c r="B662" s="77"/>
      <c r="C662" s="62" t="s">
        <v>204</v>
      </c>
      <c r="D662" s="63">
        <v>2</v>
      </c>
      <c r="E662" s="64">
        <v>2.5595085743500002E-4</v>
      </c>
    </row>
    <row r="663" spans="2:5">
      <c r="B663" s="77"/>
      <c r="C663" s="62" t="s">
        <v>192</v>
      </c>
      <c r="D663" s="63">
        <v>1</v>
      </c>
      <c r="E663" s="64">
        <v>1.2797542871799999E-4</v>
      </c>
    </row>
    <row r="664" spans="2:5">
      <c r="B664" s="77"/>
      <c r="C664" s="62" t="s">
        <v>193</v>
      </c>
      <c r="D664" s="63">
        <v>1</v>
      </c>
      <c r="E664" s="64">
        <v>1.2797542871799999E-4</v>
      </c>
    </row>
    <row r="665" spans="2:5">
      <c r="B665" s="77"/>
      <c r="C665" s="62" t="s">
        <v>206</v>
      </c>
      <c r="D665" s="63">
        <v>4</v>
      </c>
      <c r="E665" s="64">
        <v>5.1190171487100001E-4</v>
      </c>
    </row>
    <row r="666" spans="2:5">
      <c r="B666" s="77"/>
      <c r="C666" s="62" t="s">
        <v>207</v>
      </c>
      <c r="D666" s="63">
        <v>3</v>
      </c>
      <c r="E666" s="64">
        <v>3.8392628615299999E-4</v>
      </c>
    </row>
    <row r="667" spans="2:5">
      <c r="B667" s="77"/>
      <c r="C667" s="62" t="s">
        <v>208</v>
      </c>
      <c r="D667" s="63">
        <v>2</v>
      </c>
      <c r="E667" s="64">
        <v>2.5595085743500002E-4</v>
      </c>
    </row>
    <row r="668" spans="2:5">
      <c r="B668" s="77"/>
      <c r="C668" s="62" t="s">
        <v>210</v>
      </c>
      <c r="D668" s="63">
        <v>2</v>
      </c>
      <c r="E668" s="64">
        <v>2.5595085743500002E-4</v>
      </c>
    </row>
    <row r="669" spans="2:5">
      <c r="B669" s="77"/>
      <c r="C669" s="62" t="s">
        <v>194</v>
      </c>
      <c r="D669" s="63">
        <v>2</v>
      </c>
      <c r="E669" s="64">
        <v>2.5595085743500002E-4</v>
      </c>
    </row>
    <row r="670" spans="2:5">
      <c r="B670" s="77"/>
      <c r="C670" s="62" t="s">
        <v>195</v>
      </c>
      <c r="D670" s="63">
        <v>12</v>
      </c>
      <c r="E670" s="64">
        <v>1.5357051446119999E-3</v>
      </c>
    </row>
    <row r="671" spans="2:5">
      <c r="B671" s="77"/>
      <c r="C671" s="62" t="s">
        <v>196</v>
      </c>
      <c r="D671" s="63">
        <v>5</v>
      </c>
      <c r="E671" s="64">
        <v>6.3987714358799996E-4</v>
      </c>
    </row>
    <row r="672" spans="2:5">
      <c r="B672" s="77"/>
      <c r="C672" s="62" t="s">
        <v>197</v>
      </c>
      <c r="D672" s="63">
        <v>4</v>
      </c>
      <c r="E672" s="64">
        <v>5.1190171487100001E-4</v>
      </c>
    </row>
    <row r="673" spans="2:5">
      <c r="B673" s="77"/>
      <c r="C673" s="62" t="s">
        <v>198</v>
      </c>
      <c r="D673" s="63">
        <v>1</v>
      </c>
      <c r="E673" s="64">
        <v>1.2797542871799999E-4</v>
      </c>
    </row>
    <row r="674" spans="2:5">
      <c r="B674" s="78"/>
      <c r="C674" s="36" t="s">
        <v>29</v>
      </c>
      <c r="D674" s="35">
        <v>62</v>
      </c>
      <c r="E674" s="34">
        <v>7.9344765804970005E-3</v>
      </c>
    </row>
    <row r="675" spans="2:5">
      <c r="B675" s="76" t="s">
        <v>83</v>
      </c>
      <c r="C675" s="62" t="s">
        <v>190</v>
      </c>
      <c r="D675" s="63">
        <v>2</v>
      </c>
      <c r="E675" s="64">
        <v>2.5595085743500002E-4</v>
      </c>
    </row>
    <row r="676" spans="2:5">
      <c r="B676" s="77"/>
      <c r="C676" s="62" t="s">
        <v>200</v>
      </c>
      <c r="D676" s="63">
        <v>2</v>
      </c>
      <c r="E676" s="64">
        <v>2.5595085743500002E-4</v>
      </c>
    </row>
    <row r="677" spans="2:5">
      <c r="B677" s="77"/>
      <c r="C677" s="62" t="s">
        <v>201</v>
      </c>
      <c r="D677" s="63">
        <v>4</v>
      </c>
      <c r="E677" s="64">
        <v>5.1190171487100001E-4</v>
      </c>
    </row>
    <row r="678" spans="2:5">
      <c r="B678" s="77"/>
      <c r="C678" s="62" t="s">
        <v>203</v>
      </c>
      <c r="D678" s="63">
        <v>1</v>
      </c>
      <c r="E678" s="64">
        <v>1.2797542871799999E-4</v>
      </c>
    </row>
    <row r="679" spans="2:5">
      <c r="B679" s="77"/>
      <c r="C679" s="62" t="s">
        <v>208</v>
      </c>
      <c r="D679" s="63">
        <v>2</v>
      </c>
      <c r="E679" s="64">
        <v>2.5595085743500002E-4</v>
      </c>
    </row>
    <row r="680" spans="2:5">
      <c r="B680" s="77"/>
      <c r="C680" s="62" t="s">
        <v>194</v>
      </c>
      <c r="D680" s="63">
        <v>1</v>
      </c>
      <c r="E680" s="64">
        <v>1.2797542871799999E-4</v>
      </c>
    </row>
    <row r="681" spans="2:5">
      <c r="B681" s="77"/>
      <c r="C681" s="62" t="s">
        <v>195</v>
      </c>
      <c r="D681" s="63">
        <v>6</v>
      </c>
      <c r="E681" s="64">
        <v>7.6785257230599997E-4</v>
      </c>
    </row>
    <row r="682" spans="2:5">
      <c r="B682" s="77"/>
      <c r="C682" s="62" t="s">
        <v>196</v>
      </c>
      <c r="D682" s="63">
        <v>1</v>
      </c>
      <c r="E682" s="64">
        <v>1.2797542871799999E-4</v>
      </c>
    </row>
    <row r="683" spans="2:5">
      <c r="B683" s="77"/>
      <c r="C683" s="62" t="s">
        <v>197</v>
      </c>
      <c r="D683" s="63">
        <v>8</v>
      </c>
      <c r="E683" s="64">
        <v>1.0238034297409999E-3</v>
      </c>
    </row>
    <row r="684" spans="2:5">
      <c r="B684" s="77"/>
      <c r="C684" s="62" t="s">
        <v>198</v>
      </c>
      <c r="D684" s="63">
        <v>2</v>
      </c>
      <c r="E684" s="64">
        <v>2.5595085743500002E-4</v>
      </c>
    </row>
    <row r="685" spans="2:5">
      <c r="B685" s="78"/>
      <c r="C685" s="36" t="s">
        <v>29</v>
      </c>
      <c r="D685" s="35">
        <v>29</v>
      </c>
      <c r="E685" s="34">
        <v>3.711287432813E-3</v>
      </c>
    </row>
    <row r="686" spans="2:5">
      <c r="B686" s="76" t="s">
        <v>82</v>
      </c>
      <c r="C686" s="62" t="s">
        <v>190</v>
      </c>
      <c r="D686" s="63">
        <v>1</v>
      </c>
      <c r="E686" s="64">
        <v>1.2797542871799999E-4</v>
      </c>
    </row>
    <row r="687" spans="2:5">
      <c r="B687" s="77"/>
      <c r="C687" s="62" t="s">
        <v>191</v>
      </c>
      <c r="D687" s="63">
        <v>1</v>
      </c>
      <c r="E687" s="64">
        <v>1.2797542871799999E-4</v>
      </c>
    </row>
    <row r="688" spans="2:5">
      <c r="B688" s="77"/>
      <c r="C688" s="62" t="s">
        <v>200</v>
      </c>
      <c r="D688" s="63">
        <v>1</v>
      </c>
      <c r="E688" s="64">
        <v>1.2797542871799999E-4</v>
      </c>
    </row>
    <row r="689" spans="2:5">
      <c r="B689" s="77"/>
      <c r="C689" s="62" t="s">
        <v>201</v>
      </c>
      <c r="D689" s="63">
        <v>2</v>
      </c>
      <c r="E689" s="64">
        <v>2.5595085743500002E-4</v>
      </c>
    </row>
    <row r="690" spans="2:5">
      <c r="B690" s="77"/>
      <c r="C690" s="62" t="s">
        <v>204</v>
      </c>
      <c r="D690" s="63">
        <v>3</v>
      </c>
      <c r="E690" s="64">
        <v>3.8392628615299999E-4</v>
      </c>
    </row>
    <row r="691" spans="2:5">
      <c r="B691" s="77"/>
      <c r="C691" s="62" t="s">
        <v>193</v>
      </c>
      <c r="D691" s="63">
        <v>1</v>
      </c>
      <c r="E691" s="64">
        <v>1.2797542871799999E-4</v>
      </c>
    </row>
    <row r="692" spans="2:5">
      <c r="B692" s="77"/>
      <c r="C692" s="62" t="s">
        <v>206</v>
      </c>
      <c r="D692" s="63">
        <v>3</v>
      </c>
      <c r="E692" s="64">
        <v>3.8392628615299999E-4</v>
      </c>
    </row>
    <row r="693" spans="2:5">
      <c r="B693" s="77"/>
      <c r="C693" s="62" t="s">
        <v>207</v>
      </c>
      <c r="D693" s="63">
        <v>5</v>
      </c>
      <c r="E693" s="64">
        <v>6.3987714358799996E-4</v>
      </c>
    </row>
    <row r="694" spans="2:5">
      <c r="B694" s="77"/>
      <c r="C694" s="62" t="s">
        <v>208</v>
      </c>
      <c r="D694" s="63">
        <v>1</v>
      </c>
      <c r="E694" s="64">
        <v>1.2797542871799999E-4</v>
      </c>
    </row>
    <row r="695" spans="2:5">
      <c r="B695" s="77"/>
      <c r="C695" s="62" t="s">
        <v>195</v>
      </c>
      <c r="D695" s="63">
        <v>8</v>
      </c>
      <c r="E695" s="64">
        <v>1.0238034297409999E-3</v>
      </c>
    </row>
    <row r="696" spans="2:5">
      <c r="B696" s="77"/>
      <c r="C696" s="62" t="s">
        <v>198</v>
      </c>
      <c r="D696" s="63">
        <v>4</v>
      </c>
      <c r="E696" s="64">
        <v>5.1190171487100001E-4</v>
      </c>
    </row>
    <row r="697" spans="2:5">
      <c r="B697" s="78"/>
      <c r="C697" s="36" t="s">
        <v>29</v>
      </c>
      <c r="D697" s="35">
        <v>30</v>
      </c>
      <c r="E697" s="34">
        <v>3.8392628615310002E-3</v>
      </c>
    </row>
    <row r="698" spans="2:5">
      <c r="B698" s="76" t="s">
        <v>91</v>
      </c>
      <c r="C698" s="62" t="s">
        <v>199</v>
      </c>
      <c r="D698" s="63">
        <v>1</v>
      </c>
      <c r="E698" s="64">
        <v>1.2797542871799999E-4</v>
      </c>
    </row>
    <row r="699" spans="2:5">
      <c r="B699" s="77"/>
      <c r="C699" s="62" t="s">
        <v>191</v>
      </c>
      <c r="D699" s="63">
        <v>1</v>
      </c>
      <c r="E699" s="64">
        <v>1.2797542871799999E-4</v>
      </c>
    </row>
    <row r="700" spans="2:5">
      <c r="B700" s="77"/>
      <c r="C700" s="62" t="s">
        <v>204</v>
      </c>
      <c r="D700" s="63">
        <v>1</v>
      </c>
      <c r="E700" s="64">
        <v>1.2797542871799999E-4</v>
      </c>
    </row>
    <row r="701" spans="2:5">
      <c r="B701" s="77"/>
      <c r="C701" s="62" t="s">
        <v>193</v>
      </c>
      <c r="D701" s="63">
        <v>1</v>
      </c>
      <c r="E701" s="64">
        <v>1.2797542871799999E-4</v>
      </c>
    </row>
    <row r="702" spans="2:5">
      <c r="B702" s="77"/>
      <c r="C702" s="62" t="s">
        <v>206</v>
      </c>
      <c r="D702" s="63">
        <v>2</v>
      </c>
      <c r="E702" s="64">
        <v>2.5595085743500002E-4</v>
      </c>
    </row>
    <row r="703" spans="2:5">
      <c r="B703" s="77"/>
      <c r="C703" s="62" t="s">
        <v>194</v>
      </c>
      <c r="D703" s="63">
        <v>1</v>
      </c>
      <c r="E703" s="64">
        <v>1.2797542871799999E-4</v>
      </c>
    </row>
    <row r="704" spans="2:5">
      <c r="B704" s="77"/>
      <c r="C704" s="62" t="s">
        <v>195</v>
      </c>
      <c r="D704" s="63">
        <v>2</v>
      </c>
      <c r="E704" s="64">
        <v>2.5595085743500002E-4</v>
      </c>
    </row>
    <row r="705" spans="2:5">
      <c r="B705" s="77"/>
      <c r="C705" s="62" t="s">
        <v>197</v>
      </c>
      <c r="D705" s="63">
        <v>2</v>
      </c>
      <c r="E705" s="64">
        <v>2.5595085743500002E-4</v>
      </c>
    </row>
    <row r="706" spans="2:5">
      <c r="B706" s="78"/>
      <c r="C706" s="36" t="s">
        <v>29</v>
      </c>
      <c r="D706" s="35">
        <v>11</v>
      </c>
      <c r="E706" s="34">
        <v>1.4077297158950001E-3</v>
      </c>
    </row>
    <row r="707" spans="2:5">
      <c r="B707" s="79" t="s">
        <v>29</v>
      </c>
      <c r="C707" s="80"/>
      <c r="D707" s="60">
        <v>7814</v>
      </c>
      <c r="E707" s="61">
        <v>1</v>
      </c>
    </row>
    <row r="709" spans="2:5" ht="15" customHeight="1">
      <c r="B709" s="15" t="s">
        <v>47</v>
      </c>
    </row>
    <row r="710" spans="2:5" ht="15" customHeight="1">
      <c r="B710" s="17" t="s">
        <v>18</v>
      </c>
    </row>
    <row r="711" spans="2:5" ht="15" customHeight="1">
      <c r="B711" s="16" t="s">
        <v>48</v>
      </c>
    </row>
    <row r="712" spans="2:5" ht="15" customHeight="1">
      <c r="B712" s="15" t="s">
        <v>17</v>
      </c>
    </row>
    <row r="713" spans="2:5" ht="15" customHeight="1">
      <c r="B713" s="15" t="s">
        <v>49</v>
      </c>
    </row>
  </sheetData>
  <mergeCells count="53">
    <mergeCell ref="B558:B578"/>
    <mergeCell ref="B579:B598"/>
    <mergeCell ref="B599:B615"/>
    <mergeCell ref="B472:B491"/>
    <mergeCell ref="B492:B511"/>
    <mergeCell ref="B512:B527"/>
    <mergeCell ref="B528:B547"/>
    <mergeCell ref="B548:B557"/>
    <mergeCell ref="B402:B415"/>
    <mergeCell ref="B416:B432"/>
    <mergeCell ref="B433:B452"/>
    <mergeCell ref="B453:B469"/>
    <mergeCell ref="B470:B471"/>
    <mergeCell ref="B350:B352"/>
    <mergeCell ref="B353:B361"/>
    <mergeCell ref="B362:B370"/>
    <mergeCell ref="B371:B386"/>
    <mergeCell ref="B387:B401"/>
    <mergeCell ref="B657:B674"/>
    <mergeCell ref="B675:B685"/>
    <mergeCell ref="B686:B697"/>
    <mergeCell ref="B698:B706"/>
    <mergeCell ref="B707:C707"/>
    <mergeCell ref="B616:B636"/>
    <mergeCell ref="B637:B656"/>
    <mergeCell ref="B10:B23"/>
    <mergeCell ref="B24:B40"/>
    <mergeCell ref="B41:B53"/>
    <mergeCell ref="B54:B72"/>
    <mergeCell ref="B73:B75"/>
    <mergeCell ref="B76:B80"/>
    <mergeCell ref="B81:B87"/>
    <mergeCell ref="B88:B108"/>
    <mergeCell ref="B109:B127"/>
    <mergeCell ref="B128:B129"/>
    <mergeCell ref="B130:B146"/>
    <mergeCell ref="B147:B159"/>
    <mergeCell ref="B160:B161"/>
    <mergeCell ref="B162:B168"/>
    <mergeCell ref="B7:E8"/>
    <mergeCell ref="B310:B318"/>
    <mergeCell ref="B319:B331"/>
    <mergeCell ref="B332:B345"/>
    <mergeCell ref="B346:B349"/>
    <mergeCell ref="B169:B178"/>
    <mergeCell ref="B179:B199"/>
    <mergeCell ref="B200:B217"/>
    <mergeCell ref="B218:B232"/>
    <mergeCell ref="B233:B246"/>
    <mergeCell ref="B247:B251"/>
    <mergeCell ref="B252:B272"/>
    <mergeCell ref="B273:B288"/>
    <mergeCell ref="B289:B3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D68"/>
  <sheetViews>
    <sheetView showGridLines="0" view="pageBreakPreview" zoomScale="115" zoomScaleNormal="100" zoomScaleSheetLayoutView="115" workbookViewId="0">
      <selection activeCell="C1" sqref="C1"/>
    </sheetView>
  </sheetViews>
  <sheetFormatPr baseColWidth="10" defaultColWidth="11.42578125" defaultRowHeight="15"/>
  <cols>
    <col min="1" max="1" width="9.28515625" style="13" customWidth="1"/>
    <col min="2" max="2" width="35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10.7109375" style="13" customWidth="1"/>
    <col min="7" max="16384" width="11.42578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74" t="s">
        <v>38</v>
      </c>
      <c r="C7" s="74"/>
      <c r="D7" s="74"/>
    </row>
    <row r="8" spans="1:4" s="25" customFormat="1" ht="15" customHeight="1">
      <c r="B8" s="74"/>
      <c r="C8" s="74"/>
      <c r="D8" s="74"/>
    </row>
    <row r="9" spans="1:4" s="25" customFormat="1" ht="33" customHeight="1">
      <c r="B9" s="74"/>
      <c r="C9" s="74"/>
      <c r="D9" s="74"/>
    </row>
    <row r="10" spans="1:4" s="25" customFormat="1" ht="4.5" customHeight="1">
      <c r="B10" s="29"/>
      <c r="C10" s="29"/>
      <c r="D10" s="29"/>
    </row>
    <row r="11" spans="1:4" s="25" customFormat="1" ht="29.25" customHeight="1">
      <c r="B11" s="28" t="s">
        <v>27</v>
      </c>
      <c r="C11" s="27" t="s">
        <v>26</v>
      </c>
      <c r="D11" s="26" t="s">
        <v>19</v>
      </c>
    </row>
    <row r="12" spans="1:4">
      <c r="B12" s="23" t="s">
        <v>211</v>
      </c>
      <c r="C12" s="22">
        <v>111</v>
      </c>
      <c r="D12" s="21">
        <v>1.4205272587663E-2</v>
      </c>
    </row>
    <row r="13" spans="1:4">
      <c r="B13" s="23" t="s">
        <v>213</v>
      </c>
      <c r="C13" s="22">
        <v>33</v>
      </c>
      <c r="D13" s="21">
        <v>4.223189147684E-3</v>
      </c>
    </row>
    <row r="14" spans="1:4">
      <c r="A14" s="24"/>
      <c r="B14" s="23" t="s">
        <v>214</v>
      </c>
      <c r="C14" s="22">
        <v>52</v>
      </c>
      <c r="D14" s="21">
        <v>6.6547222933200003E-3</v>
      </c>
    </row>
    <row r="15" spans="1:4">
      <c r="A15" s="24"/>
      <c r="B15" s="23" t="s">
        <v>215</v>
      </c>
      <c r="C15" s="22">
        <v>124</v>
      </c>
      <c r="D15" s="21">
        <v>1.5868953160992998E-2</v>
      </c>
    </row>
    <row r="16" spans="1:4">
      <c r="B16" s="23" t="s">
        <v>216</v>
      </c>
      <c r="C16" s="22">
        <v>75</v>
      </c>
      <c r="D16" s="21">
        <v>9.5981571538260001E-3</v>
      </c>
    </row>
    <row r="17" spans="2:4">
      <c r="B17" s="23" t="s">
        <v>217</v>
      </c>
      <c r="C17" s="22">
        <v>96</v>
      </c>
      <c r="D17" s="21">
        <v>1.2285641156898E-2</v>
      </c>
    </row>
    <row r="18" spans="2:4">
      <c r="B18" s="23" t="s">
        <v>218</v>
      </c>
      <c r="C18" s="22">
        <v>551</v>
      </c>
      <c r="D18" s="21">
        <v>7.0514461223444999E-2</v>
      </c>
    </row>
    <row r="19" spans="2:4" ht="15" customHeight="1">
      <c r="B19" s="23" t="s">
        <v>219</v>
      </c>
      <c r="C19" s="22">
        <v>863</v>
      </c>
      <c r="D19" s="21">
        <v>0.110442794983363</v>
      </c>
    </row>
    <row r="20" spans="2:4">
      <c r="B20" s="23" t="s">
        <v>220</v>
      </c>
      <c r="C20" s="22">
        <v>91</v>
      </c>
      <c r="D20" s="21">
        <v>1.1645764013308999E-2</v>
      </c>
    </row>
    <row r="21" spans="2:4">
      <c r="B21" s="23" t="s">
        <v>221</v>
      </c>
      <c r="C21" s="22">
        <v>162</v>
      </c>
      <c r="D21" s="21">
        <v>2.0732019452265001E-2</v>
      </c>
    </row>
    <row r="22" spans="2:4">
      <c r="B22" s="23" t="s">
        <v>222</v>
      </c>
      <c r="C22" s="22">
        <v>350</v>
      </c>
      <c r="D22" s="21">
        <v>4.4791400051189999E-2</v>
      </c>
    </row>
    <row r="23" spans="2:4" ht="15" customHeight="1">
      <c r="B23" s="23" t="s">
        <v>223</v>
      </c>
      <c r="C23" s="22">
        <v>2514</v>
      </c>
      <c r="D23" s="21">
        <v>0.32173022779626298</v>
      </c>
    </row>
    <row r="24" spans="2:4">
      <c r="B24" s="23" t="s">
        <v>224</v>
      </c>
      <c r="C24" s="22">
        <v>144</v>
      </c>
      <c r="D24" s="21">
        <v>1.8428461735346999E-2</v>
      </c>
    </row>
    <row r="25" spans="2:4" ht="15" customHeight="1">
      <c r="B25" s="23" t="s">
        <v>225</v>
      </c>
      <c r="C25" s="22">
        <v>482</v>
      </c>
      <c r="D25" s="21">
        <v>6.1684156641925003E-2</v>
      </c>
    </row>
    <row r="26" spans="2:4" ht="15" customHeight="1">
      <c r="B26" s="23" t="s">
        <v>226</v>
      </c>
      <c r="C26" s="22">
        <v>1631</v>
      </c>
      <c r="D26" s="21">
        <v>0.208727924238546</v>
      </c>
    </row>
    <row r="27" spans="2:4">
      <c r="B27" s="23" t="s">
        <v>227</v>
      </c>
      <c r="C27" s="22">
        <v>32</v>
      </c>
      <c r="D27" s="21">
        <v>4.0952137189659999E-3</v>
      </c>
    </row>
    <row r="28" spans="2:4">
      <c r="B28" s="23" t="s">
        <v>228</v>
      </c>
      <c r="C28" s="22">
        <v>35</v>
      </c>
      <c r="D28" s="21">
        <v>4.4791400051190002E-3</v>
      </c>
    </row>
    <row r="29" spans="2:4">
      <c r="B29" s="23" t="s">
        <v>229</v>
      </c>
      <c r="C29" s="22">
        <v>19</v>
      </c>
      <c r="D29" s="21">
        <v>2.4315331456359998E-3</v>
      </c>
    </row>
    <row r="30" spans="2:4">
      <c r="B30" s="23" t="s">
        <v>230</v>
      </c>
      <c r="C30" s="22">
        <v>11</v>
      </c>
      <c r="D30" s="21">
        <v>1.4077297158950001E-3</v>
      </c>
    </row>
    <row r="31" spans="2:4">
      <c r="B31" s="23" t="s">
        <v>231</v>
      </c>
      <c r="C31" s="22">
        <v>119</v>
      </c>
      <c r="D31" s="21">
        <v>1.5229076017405E-2</v>
      </c>
    </row>
    <row r="32" spans="2:4">
      <c r="B32" s="23" t="s">
        <v>232</v>
      </c>
      <c r="C32" s="22">
        <v>313</v>
      </c>
      <c r="D32" s="21">
        <v>4.0056309188636001E-2</v>
      </c>
    </row>
    <row r="33" spans="2:4">
      <c r="B33" s="23" t="s">
        <v>233</v>
      </c>
      <c r="C33" s="22">
        <v>6</v>
      </c>
      <c r="D33" s="21">
        <v>7.6785257230599997E-4</v>
      </c>
    </row>
    <row r="34" spans="2:4">
      <c r="B34" s="20" t="s">
        <v>29</v>
      </c>
      <c r="C34" s="19">
        <v>7814</v>
      </c>
      <c r="D34" s="18">
        <v>1</v>
      </c>
    </row>
    <row r="35" spans="2:4" ht="9" customHeight="1">
      <c r="C35" s="13"/>
    </row>
    <row r="36" spans="2:4">
      <c r="B36" s="15" t="s">
        <v>47</v>
      </c>
      <c r="C36" s="13"/>
    </row>
    <row r="37" spans="2:4">
      <c r="B37" s="17" t="s">
        <v>18</v>
      </c>
      <c r="C37" s="13"/>
    </row>
    <row r="38" spans="2:4">
      <c r="B38" s="16" t="s">
        <v>48</v>
      </c>
      <c r="C38" s="13"/>
    </row>
    <row r="39" spans="2:4">
      <c r="B39" s="15" t="s">
        <v>17</v>
      </c>
      <c r="C39" s="13"/>
    </row>
    <row r="40" spans="2:4">
      <c r="B40" s="15" t="s">
        <v>49</v>
      </c>
      <c r="C40" s="13"/>
    </row>
    <row r="41" spans="2:4">
      <c r="C41" s="13"/>
    </row>
    <row r="43" spans="2:4">
      <c r="C43" s="13"/>
    </row>
    <row r="44" spans="2:4">
      <c r="C44" s="13"/>
    </row>
    <row r="45" spans="2:4">
      <c r="C45" s="13"/>
    </row>
    <row r="46" spans="2:4">
      <c r="C46" s="13"/>
    </row>
    <row r="47" spans="2:4">
      <c r="C47" s="13"/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496"/>
  <sheetViews>
    <sheetView showGridLines="0" view="pageBreakPreview" zoomScale="85" zoomScaleNormal="100" zoomScaleSheetLayoutView="85" workbookViewId="0">
      <selection activeCell="E494" sqref="E494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0" customFormat="1" ht="12" customHeight="1">
      <c r="B1" s="43"/>
      <c r="C1" s="42"/>
      <c r="D1" s="42"/>
      <c r="E1" s="42"/>
    </row>
    <row r="2" spans="1:5" s="40" customFormat="1" ht="15" customHeight="1">
      <c r="C2" s="45"/>
    </row>
    <row r="3" spans="1:5" s="40" customFormat="1" ht="15" customHeight="1">
      <c r="C3" s="45"/>
    </row>
    <row r="4" spans="1:5" s="40" customFormat="1" ht="30" customHeight="1">
      <c r="C4" s="45"/>
      <c r="D4" s="44"/>
    </row>
    <row r="5" spans="1:5" s="40" customFormat="1" ht="15" customHeight="1">
      <c r="C5" s="45"/>
      <c r="D5" s="44"/>
    </row>
    <row r="6" spans="1:5" s="40" customFormat="1" ht="24" customHeight="1">
      <c r="B6" s="43"/>
      <c r="C6" s="42"/>
      <c r="D6" s="42"/>
      <c r="E6" s="42"/>
    </row>
    <row r="7" spans="1:5" s="40" customFormat="1" ht="26.25" customHeight="1">
      <c r="A7" s="41"/>
      <c r="B7" s="75"/>
      <c r="C7" s="75"/>
      <c r="D7" s="75"/>
      <c r="E7" s="75"/>
    </row>
    <row r="8" spans="1:5" s="40" customFormat="1" ht="33" customHeight="1">
      <c r="A8" s="41"/>
      <c r="B8" s="75"/>
      <c r="C8" s="75"/>
      <c r="D8" s="75"/>
      <c r="E8" s="75"/>
    </row>
    <row r="9" spans="1:5" s="25" customFormat="1" ht="40.5" customHeight="1">
      <c r="B9" s="37" t="s">
        <v>28</v>
      </c>
      <c r="C9" s="39" t="s">
        <v>25</v>
      </c>
      <c r="D9" s="38" t="s">
        <v>20</v>
      </c>
      <c r="E9" s="37" t="s">
        <v>19</v>
      </c>
    </row>
    <row r="10" spans="1:5" ht="15" customHeight="1">
      <c r="B10" s="76" t="s">
        <v>211</v>
      </c>
      <c r="C10" s="62" t="s">
        <v>101</v>
      </c>
      <c r="D10" s="63">
        <v>1</v>
      </c>
      <c r="E10" s="64">
        <v>1.2797542871799999E-4</v>
      </c>
    </row>
    <row r="11" spans="1:5" ht="15" customHeight="1">
      <c r="B11" s="77"/>
      <c r="C11" s="62" t="s">
        <v>103</v>
      </c>
      <c r="D11" s="63">
        <v>4</v>
      </c>
      <c r="E11" s="64">
        <v>5.1190171487100001E-4</v>
      </c>
    </row>
    <row r="12" spans="1:5" ht="15" customHeight="1">
      <c r="B12" s="77"/>
      <c r="C12" s="62" t="s">
        <v>105</v>
      </c>
      <c r="D12" s="63">
        <v>79</v>
      </c>
      <c r="E12" s="64">
        <v>1.0110058868697E-2</v>
      </c>
    </row>
    <row r="13" spans="1:5" ht="15" customHeight="1">
      <c r="B13" s="77"/>
      <c r="C13" s="62" t="s">
        <v>106</v>
      </c>
      <c r="D13" s="63">
        <v>2</v>
      </c>
      <c r="E13" s="64">
        <v>2.5595085743500002E-4</v>
      </c>
    </row>
    <row r="14" spans="1:5" ht="15" customHeight="1">
      <c r="B14" s="77"/>
      <c r="C14" s="62" t="s">
        <v>109</v>
      </c>
      <c r="D14" s="63">
        <v>2</v>
      </c>
      <c r="E14" s="64">
        <v>2.5595085743500002E-4</v>
      </c>
    </row>
    <row r="15" spans="1:5" ht="15" customHeight="1">
      <c r="B15" s="77"/>
      <c r="C15" s="62" t="s">
        <v>110</v>
      </c>
      <c r="D15" s="63">
        <v>2</v>
      </c>
      <c r="E15" s="64">
        <v>2.5595085743500002E-4</v>
      </c>
    </row>
    <row r="16" spans="1:5" ht="15" customHeight="1">
      <c r="B16" s="77"/>
      <c r="C16" s="62" t="s">
        <v>113</v>
      </c>
      <c r="D16" s="63">
        <v>2</v>
      </c>
      <c r="E16" s="64">
        <v>2.5595085743500002E-4</v>
      </c>
    </row>
    <row r="17" spans="2:5" ht="15" customHeight="1">
      <c r="B17" s="77"/>
      <c r="C17" s="62" t="s">
        <v>114</v>
      </c>
      <c r="D17" s="63">
        <v>2</v>
      </c>
      <c r="E17" s="64">
        <v>2.5595085743500002E-4</v>
      </c>
    </row>
    <row r="18" spans="2:5" ht="15" customHeight="1">
      <c r="B18" s="77"/>
      <c r="C18" s="62" t="s">
        <v>119</v>
      </c>
      <c r="D18" s="63">
        <v>1</v>
      </c>
      <c r="E18" s="64">
        <v>1.2797542871799999E-4</v>
      </c>
    </row>
    <row r="19" spans="2:5" ht="15" customHeight="1">
      <c r="B19" s="77"/>
      <c r="C19" s="62" t="s">
        <v>127</v>
      </c>
      <c r="D19" s="63">
        <v>3</v>
      </c>
      <c r="E19" s="64">
        <v>3.8392628615299999E-4</v>
      </c>
    </row>
    <row r="20" spans="2:5" ht="15" customHeight="1">
      <c r="B20" s="77"/>
      <c r="C20" s="62" t="s">
        <v>133</v>
      </c>
      <c r="D20" s="63">
        <v>2</v>
      </c>
      <c r="E20" s="64">
        <v>2.5595085743500002E-4</v>
      </c>
    </row>
    <row r="21" spans="2:5" ht="15" customHeight="1">
      <c r="B21" s="77"/>
      <c r="C21" s="62" t="s">
        <v>134</v>
      </c>
      <c r="D21" s="63">
        <v>1</v>
      </c>
      <c r="E21" s="64">
        <v>1.2797542871799999E-4</v>
      </c>
    </row>
    <row r="22" spans="2:5" ht="15" customHeight="1">
      <c r="B22" s="77"/>
      <c r="C22" s="62" t="s">
        <v>135</v>
      </c>
      <c r="D22" s="63">
        <v>2</v>
      </c>
      <c r="E22" s="64">
        <v>2.5595085743500002E-4</v>
      </c>
    </row>
    <row r="23" spans="2:5" ht="15" customHeight="1">
      <c r="B23" s="77"/>
      <c r="C23" s="62" t="s">
        <v>136</v>
      </c>
      <c r="D23" s="63">
        <v>1</v>
      </c>
      <c r="E23" s="64">
        <v>1.2797542871799999E-4</v>
      </c>
    </row>
    <row r="24" spans="2:5" ht="15" customHeight="1">
      <c r="B24" s="77"/>
      <c r="C24" s="62" t="s">
        <v>140</v>
      </c>
      <c r="D24" s="63">
        <v>5</v>
      </c>
      <c r="E24" s="64">
        <v>6.3987714358799996E-4</v>
      </c>
    </row>
    <row r="25" spans="2:5" ht="15" customHeight="1">
      <c r="B25" s="77"/>
      <c r="C25" s="62" t="s">
        <v>141</v>
      </c>
      <c r="D25" s="63">
        <v>1</v>
      </c>
      <c r="E25" s="64">
        <v>1.2797542871799999E-4</v>
      </c>
    </row>
    <row r="26" spans="2:5" ht="15" customHeight="1">
      <c r="B26" s="77"/>
      <c r="C26" s="62" t="s">
        <v>142</v>
      </c>
      <c r="D26" s="63">
        <v>1</v>
      </c>
      <c r="E26" s="64">
        <v>1.2797542871799999E-4</v>
      </c>
    </row>
    <row r="27" spans="2:5" ht="15" customHeight="1">
      <c r="B27" s="78" t="s">
        <v>212</v>
      </c>
      <c r="C27" s="36" t="s">
        <v>29</v>
      </c>
      <c r="D27" s="35">
        <v>111</v>
      </c>
      <c r="E27" s="34">
        <v>1.4205272587663E-2</v>
      </c>
    </row>
    <row r="28" spans="2:5" ht="15" customHeight="1">
      <c r="B28" s="76" t="s">
        <v>213</v>
      </c>
      <c r="C28" s="62" t="s">
        <v>103</v>
      </c>
      <c r="D28" s="63">
        <v>1</v>
      </c>
      <c r="E28" s="64">
        <v>1.2797542871799999E-4</v>
      </c>
    </row>
    <row r="29" spans="2:5" ht="15" customHeight="1">
      <c r="B29" s="77"/>
      <c r="C29" s="62" t="s">
        <v>105</v>
      </c>
      <c r="D29" s="63">
        <v>24</v>
      </c>
      <c r="E29" s="64">
        <v>3.0714102892239999E-3</v>
      </c>
    </row>
    <row r="30" spans="2:5" ht="15" customHeight="1">
      <c r="B30" s="77"/>
      <c r="C30" s="62" t="s">
        <v>106</v>
      </c>
      <c r="D30" s="63">
        <v>2</v>
      </c>
      <c r="E30" s="64">
        <v>2.5595085743500002E-4</v>
      </c>
    </row>
    <row r="31" spans="2:5" ht="15" customHeight="1">
      <c r="B31" s="77"/>
      <c r="C31" s="62" t="s">
        <v>109</v>
      </c>
      <c r="D31" s="63">
        <v>1</v>
      </c>
      <c r="E31" s="64">
        <v>1.2797542871799999E-4</v>
      </c>
    </row>
    <row r="32" spans="2:5" ht="15" customHeight="1">
      <c r="B32" s="77"/>
      <c r="C32" s="62" t="s">
        <v>112</v>
      </c>
      <c r="D32" s="63">
        <v>1</v>
      </c>
      <c r="E32" s="64">
        <v>1.2797542871799999E-4</v>
      </c>
    </row>
    <row r="33" spans="2:5" ht="15" customHeight="1">
      <c r="B33" s="77"/>
      <c r="C33" s="62" t="s">
        <v>116</v>
      </c>
      <c r="D33" s="63">
        <v>1</v>
      </c>
      <c r="E33" s="64">
        <v>1.2797542871799999E-4</v>
      </c>
    </row>
    <row r="34" spans="2:5" ht="15" customHeight="1">
      <c r="B34" s="77"/>
      <c r="C34" s="62" t="s">
        <v>139</v>
      </c>
      <c r="D34" s="63">
        <v>1</v>
      </c>
      <c r="E34" s="64">
        <v>1.2797542871799999E-4</v>
      </c>
    </row>
    <row r="35" spans="2:5" ht="15" customHeight="1">
      <c r="B35" s="77"/>
      <c r="C35" s="62" t="s">
        <v>140</v>
      </c>
      <c r="D35" s="63">
        <v>1</v>
      </c>
      <c r="E35" s="64">
        <v>1.2797542871799999E-4</v>
      </c>
    </row>
    <row r="36" spans="2:5" ht="15" customHeight="1">
      <c r="B36" s="77"/>
      <c r="C36" s="62" t="s">
        <v>82</v>
      </c>
      <c r="D36" s="63">
        <v>1</v>
      </c>
      <c r="E36" s="64">
        <v>1.2797542871799999E-4</v>
      </c>
    </row>
    <row r="37" spans="2:5" ht="15" customHeight="1">
      <c r="B37" s="78"/>
      <c r="C37" s="36" t="s">
        <v>29</v>
      </c>
      <c r="D37" s="35">
        <v>33</v>
      </c>
      <c r="E37" s="34">
        <v>4.223189147684E-3</v>
      </c>
    </row>
    <row r="38" spans="2:5" ht="15" customHeight="1">
      <c r="B38" s="76" t="s">
        <v>214</v>
      </c>
      <c r="C38" s="62" t="s">
        <v>103</v>
      </c>
      <c r="D38" s="63">
        <v>2</v>
      </c>
      <c r="E38" s="64">
        <v>2.5595085743500002E-4</v>
      </c>
    </row>
    <row r="39" spans="2:5" ht="15" customHeight="1">
      <c r="B39" s="77"/>
      <c r="C39" s="62" t="s">
        <v>104</v>
      </c>
      <c r="D39" s="63">
        <v>1</v>
      </c>
      <c r="E39" s="64">
        <v>1.2797542871799999E-4</v>
      </c>
    </row>
    <row r="40" spans="2:5" ht="15" customHeight="1">
      <c r="B40" s="77"/>
      <c r="C40" s="62" t="s">
        <v>105</v>
      </c>
      <c r="D40" s="63">
        <v>36</v>
      </c>
      <c r="E40" s="64">
        <v>4.6071154338370003E-3</v>
      </c>
    </row>
    <row r="41" spans="2:5" ht="15" customHeight="1">
      <c r="B41" s="77"/>
      <c r="C41" s="62" t="s">
        <v>106</v>
      </c>
      <c r="D41" s="63">
        <v>1</v>
      </c>
      <c r="E41" s="64">
        <v>1.2797542871799999E-4</v>
      </c>
    </row>
    <row r="42" spans="2:5" ht="15" customHeight="1">
      <c r="B42" s="77"/>
      <c r="C42" s="62" t="s">
        <v>109</v>
      </c>
      <c r="D42" s="63">
        <v>1</v>
      </c>
      <c r="E42" s="64">
        <v>1.2797542871799999E-4</v>
      </c>
    </row>
    <row r="43" spans="2:5" ht="15" customHeight="1">
      <c r="B43" s="77"/>
      <c r="C43" s="62" t="s">
        <v>112</v>
      </c>
      <c r="D43" s="63">
        <v>2</v>
      </c>
      <c r="E43" s="64">
        <v>2.5595085743500002E-4</v>
      </c>
    </row>
    <row r="44" spans="2:5" ht="15" customHeight="1">
      <c r="B44" s="77"/>
      <c r="C44" s="62" t="s">
        <v>115</v>
      </c>
      <c r="D44" s="63">
        <v>1</v>
      </c>
      <c r="E44" s="64">
        <v>1.2797542871799999E-4</v>
      </c>
    </row>
    <row r="45" spans="2:5" ht="15" customHeight="1">
      <c r="B45" s="77"/>
      <c r="C45" s="62" t="s">
        <v>134</v>
      </c>
      <c r="D45" s="63">
        <v>1</v>
      </c>
      <c r="E45" s="64">
        <v>1.2797542871799999E-4</v>
      </c>
    </row>
    <row r="46" spans="2:5" ht="15" customHeight="1">
      <c r="B46" s="77"/>
      <c r="C46" s="62" t="s">
        <v>135</v>
      </c>
      <c r="D46" s="63">
        <v>3</v>
      </c>
      <c r="E46" s="64">
        <v>3.8392628615299999E-4</v>
      </c>
    </row>
    <row r="47" spans="2:5" ht="15" customHeight="1">
      <c r="B47" s="77"/>
      <c r="C47" s="62" t="s">
        <v>140</v>
      </c>
      <c r="D47" s="63">
        <v>3</v>
      </c>
      <c r="E47" s="64">
        <v>3.8392628615299999E-4</v>
      </c>
    </row>
    <row r="48" spans="2:5" ht="15" customHeight="1">
      <c r="B48" s="77"/>
      <c r="C48" s="62" t="s">
        <v>82</v>
      </c>
      <c r="D48" s="63">
        <v>1</v>
      </c>
      <c r="E48" s="64">
        <v>1.2797542871799999E-4</v>
      </c>
    </row>
    <row r="49" spans="2:5" ht="15" customHeight="1">
      <c r="B49" s="78"/>
      <c r="C49" s="36" t="s">
        <v>29</v>
      </c>
      <c r="D49" s="35">
        <v>52</v>
      </c>
      <c r="E49" s="34">
        <v>6.6547222933200003E-3</v>
      </c>
    </row>
    <row r="50" spans="2:5" ht="15" customHeight="1">
      <c r="B50" s="76" t="s">
        <v>215</v>
      </c>
      <c r="C50" s="62" t="s">
        <v>103</v>
      </c>
      <c r="D50" s="63">
        <v>3</v>
      </c>
      <c r="E50" s="64">
        <v>3.8392628615299999E-4</v>
      </c>
    </row>
    <row r="51" spans="2:5" ht="15" customHeight="1">
      <c r="B51" s="77"/>
      <c r="C51" s="62" t="s">
        <v>105</v>
      </c>
      <c r="D51" s="63">
        <v>80</v>
      </c>
      <c r="E51" s="64">
        <v>1.0238034297415001E-2</v>
      </c>
    </row>
    <row r="52" spans="2:5" ht="15" customHeight="1">
      <c r="B52" s="77"/>
      <c r="C52" s="62" t="s">
        <v>106</v>
      </c>
      <c r="D52" s="63">
        <v>2</v>
      </c>
      <c r="E52" s="64">
        <v>2.5595085743500002E-4</v>
      </c>
    </row>
    <row r="53" spans="2:5" ht="15" customHeight="1">
      <c r="B53" s="77"/>
      <c r="C53" s="62" t="s">
        <v>109</v>
      </c>
      <c r="D53" s="63">
        <v>4</v>
      </c>
      <c r="E53" s="64">
        <v>5.1190171487100001E-4</v>
      </c>
    </row>
    <row r="54" spans="2:5" ht="15" customHeight="1">
      <c r="B54" s="77"/>
      <c r="C54" s="62" t="s">
        <v>110</v>
      </c>
      <c r="D54" s="63">
        <v>3</v>
      </c>
      <c r="E54" s="64">
        <v>3.8392628615299999E-4</v>
      </c>
    </row>
    <row r="55" spans="2:5" ht="15" customHeight="1">
      <c r="B55" s="77"/>
      <c r="C55" s="62" t="s">
        <v>112</v>
      </c>
      <c r="D55" s="63">
        <v>3</v>
      </c>
      <c r="E55" s="64">
        <v>3.8392628615299999E-4</v>
      </c>
    </row>
    <row r="56" spans="2:5" ht="15" customHeight="1">
      <c r="B56" s="77"/>
      <c r="C56" s="62" t="s">
        <v>114</v>
      </c>
      <c r="D56" s="63">
        <v>1</v>
      </c>
      <c r="E56" s="64">
        <v>1.2797542871799999E-4</v>
      </c>
    </row>
    <row r="57" spans="2:5" ht="15" customHeight="1">
      <c r="B57" s="77"/>
      <c r="C57" s="62" t="s">
        <v>116</v>
      </c>
      <c r="D57" s="63">
        <v>1</v>
      </c>
      <c r="E57" s="64">
        <v>1.2797542871799999E-4</v>
      </c>
    </row>
    <row r="58" spans="2:5" ht="15" customHeight="1">
      <c r="B58" s="77"/>
      <c r="C58" s="62" t="s">
        <v>122</v>
      </c>
      <c r="D58" s="63">
        <v>1</v>
      </c>
      <c r="E58" s="64">
        <v>1.2797542871799999E-4</v>
      </c>
    </row>
    <row r="59" spans="2:5" ht="15" customHeight="1">
      <c r="B59" s="77"/>
      <c r="C59" s="62" t="s">
        <v>123</v>
      </c>
      <c r="D59" s="63">
        <v>1</v>
      </c>
      <c r="E59" s="64">
        <v>1.2797542871799999E-4</v>
      </c>
    </row>
    <row r="60" spans="2:5" ht="15" customHeight="1">
      <c r="B60" s="77"/>
      <c r="C60" s="62" t="s">
        <v>126</v>
      </c>
      <c r="D60" s="63">
        <v>1</v>
      </c>
      <c r="E60" s="64">
        <v>1.2797542871799999E-4</v>
      </c>
    </row>
    <row r="61" spans="2:5" ht="15" customHeight="1">
      <c r="B61" s="77"/>
      <c r="C61" s="62" t="s">
        <v>127</v>
      </c>
      <c r="D61" s="63">
        <v>6</v>
      </c>
      <c r="E61" s="64">
        <v>7.6785257230599997E-4</v>
      </c>
    </row>
    <row r="62" spans="2:5" ht="15" customHeight="1">
      <c r="B62" s="77"/>
      <c r="C62" s="62" t="s">
        <v>131</v>
      </c>
      <c r="D62" s="63">
        <v>4</v>
      </c>
      <c r="E62" s="64">
        <v>5.1190171487100001E-4</v>
      </c>
    </row>
    <row r="63" spans="2:5" ht="15" customHeight="1">
      <c r="B63" s="77"/>
      <c r="C63" s="62" t="s">
        <v>134</v>
      </c>
      <c r="D63" s="63">
        <v>1</v>
      </c>
      <c r="E63" s="64">
        <v>1.2797542871799999E-4</v>
      </c>
    </row>
    <row r="64" spans="2:5" ht="15" customHeight="1">
      <c r="B64" s="77"/>
      <c r="C64" s="62" t="s">
        <v>135</v>
      </c>
      <c r="D64" s="63">
        <v>2</v>
      </c>
      <c r="E64" s="64">
        <v>2.5595085743500002E-4</v>
      </c>
    </row>
    <row r="65" spans="2:5" ht="15" customHeight="1">
      <c r="B65" s="77"/>
      <c r="C65" s="62" t="s">
        <v>137</v>
      </c>
      <c r="D65" s="63">
        <v>1</v>
      </c>
      <c r="E65" s="64">
        <v>1.2797542871799999E-4</v>
      </c>
    </row>
    <row r="66" spans="2:5" ht="15" customHeight="1">
      <c r="B66" s="77"/>
      <c r="C66" s="62" t="s">
        <v>140</v>
      </c>
      <c r="D66" s="63">
        <v>6</v>
      </c>
      <c r="E66" s="64">
        <v>7.6785257230599997E-4</v>
      </c>
    </row>
    <row r="67" spans="2:5" ht="15" customHeight="1">
      <c r="B67" s="77"/>
      <c r="C67" s="62" t="s">
        <v>141</v>
      </c>
      <c r="D67" s="63">
        <v>2</v>
      </c>
      <c r="E67" s="64">
        <v>2.5595085743500002E-4</v>
      </c>
    </row>
    <row r="68" spans="2:5" ht="15" customHeight="1">
      <c r="B68" s="77"/>
      <c r="C68" s="62" t="s">
        <v>142</v>
      </c>
      <c r="D68" s="63">
        <v>1</v>
      </c>
      <c r="E68" s="64">
        <v>1.2797542871799999E-4</v>
      </c>
    </row>
    <row r="69" spans="2:5" ht="15" customHeight="1">
      <c r="B69" s="77"/>
      <c r="C69" s="62" t="s">
        <v>82</v>
      </c>
      <c r="D69" s="63">
        <v>1</v>
      </c>
      <c r="E69" s="64">
        <v>1.2797542871799999E-4</v>
      </c>
    </row>
    <row r="70" spans="2:5" ht="15" customHeight="1">
      <c r="B70" s="78"/>
      <c r="C70" s="36" t="s">
        <v>29</v>
      </c>
      <c r="D70" s="35">
        <v>124</v>
      </c>
      <c r="E70" s="34">
        <v>1.5868953160992998E-2</v>
      </c>
    </row>
    <row r="71" spans="2:5" ht="15" customHeight="1">
      <c r="B71" s="76" t="s">
        <v>216</v>
      </c>
      <c r="C71" s="62" t="s">
        <v>103</v>
      </c>
      <c r="D71" s="63">
        <v>2</v>
      </c>
      <c r="E71" s="64">
        <v>2.5595085743500002E-4</v>
      </c>
    </row>
    <row r="72" spans="2:5" ht="15" customHeight="1">
      <c r="B72" s="77"/>
      <c r="C72" s="62" t="s">
        <v>104</v>
      </c>
      <c r="D72" s="63">
        <v>1</v>
      </c>
      <c r="E72" s="64">
        <v>1.2797542871799999E-4</v>
      </c>
    </row>
    <row r="73" spans="2:5" ht="15" customHeight="1">
      <c r="B73" s="77"/>
      <c r="C73" s="62" t="s">
        <v>105</v>
      </c>
      <c r="D73" s="63">
        <v>50</v>
      </c>
      <c r="E73" s="64">
        <v>6.398771435884E-3</v>
      </c>
    </row>
    <row r="74" spans="2:5" ht="15" customHeight="1">
      <c r="B74" s="77"/>
      <c r="C74" s="62" t="s">
        <v>106</v>
      </c>
      <c r="D74" s="63">
        <v>2</v>
      </c>
      <c r="E74" s="64">
        <v>2.5595085743500002E-4</v>
      </c>
    </row>
    <row r="75" spans="2:5" ht="15" customHeight="1">
      <c r="B75" s="77"/>
      <c r="C75" s="62" t="s">
        <v>109</v>
      </c>
      <c r="D75" s="63">
        <v>2</v>
      </c>
      <c r="E75" s="64">
        <v>2.5595085743500002E-4</v>
      </c>
    </row>
    <row r="76" spans="2:5" ht="15" customHeight="1">
      <c r="B76" s="77"/>
      <c r="C76" s="62" t="s">
        <v>110</v>
      </c>
      <c r="D76" s="63">
        <v>1</v>
      </c>
      <c r="E76" s="64">
        <v>1.2797542871799999E-4</v>
      </c>
    </row>
    <row r="77" spans="2:5" ht="15" customHeight="1">
      <c r="B77" s="77"/>
      <c r="C77" s="62" t="s">
        <v>112</v>
      </c>
      <c r="D77" s="63">
        <v>1</v>
      </c>
      <c r="E77" s="64">
        <v>1.2797542871799999E-4</v>
      </c>
    </row>
    <row r="78" spans="2:5" ht="15" customHeight="1">
      <c r="B78" s="77"/>
      <c r="C78" s="62" t="s">
        <v>113</v>
      </c>
      <c r="D78" s="63">
        <v>2</v>
      </c>
      <c r="E78" s="64">
        <v>2.5595085743500002E-4</v>
      </c>
    </row>
    <row r="79" spans="2:5" ht="15" customHeight="1">
      <c r="B79" s="77"/>
      <c r="C79" s="62" t="s">
        <v>122</v>
      </c>
      <c r="D79" s="63">
        <v>2</v>
      </c>
      <c r="E79" s="64">
        <v>2.5595085743500002E-4</v>
      </c>
    </row>
    <row r="80" spans="2:5" ht="15" customHeight="1">
      <c r="B80" s="77"/>
      <c r="C80" s="62" t="s">
        <v>124</v>
      </c>
      <c r="D80" s="63">
        <v>2</v>
      </c>
      <c r="E80" s="64">
        <v>2.5595085743500002E-4</v>
      </c>
    </row>
    <row r="81" spans="2:5" ht="15" customHeight="1">
      <c r="B81" s="77"/>
      <c r="C81" s="62" t="s">
        <v>127</v>
      </c>
      <c r="D81" s="63">
        <v>5</v>
      </c>
      <c r="E81" s="64">
        <v>6.3987714358799996E-4</v>
      </c>
    </row>
    <row r="82" spans="2:5" ht="15" customHeight="1">
      <c r="B82" s="77"/>
      <c r="C82" s="62" t="s">
        <v>133</v>
      </c>
      <c r="D82" s="63">
        <v>1</v>
      </c>
      <c r="E82" s="64">
        <v>1.2797542871799999E-4</v>
      </c>
    </row>
    <row r="83" spans="2:5" ht="15" customHeight="1">
      <c r="B83" s="77"/>
      <c r="C83" s="62" t="s">
        <v>135</v>
      </c>
      <c r="D83" s="63">
        <v>2</v>
      </c>
      <c r="E83" s="64">
        <v>2.5595085743500002E-4</v>
      </c>
    </row>
    <row r="84" spans="2:5" ht="15" customHeight="1">
      <c r="B84" s="77"/>
      <c r="C84" s="62" t="s">
        <v>140</v>
      </c>
      <c r="D84" s="63">
        <v>1</v>
      </c>
      <c r="E84" s="64">
        <v>1.2797542871799999E-4</v>
      </c>
    </row>
    <row r="85" spans="2:5" ht="15" customHeight="1">
      <c r="B85" s="77"/>
      <c r="C85" s="62" t="s">
        <v>141</v>
      </c>
      <c r="D85" s="63">
        <v>1</v>
      </c>
      <c r="E85" s="64">
        <v>1.2797542871799999E-4</v>
      </c>
    </row>
    <row r="86" spans="2:5" ht="15" customHeight="1">
      <c r="B86" s="78"/>
      <c r="C86" s="36" t="s">
        <v>29</v>
      </c>
      <c r="D86" s="35">
        <v>75</v>
      </c>
      <c r="E86" s="34">
        <v>9.5981571538260001E-3</v>
      </c>
    </row>
    <row r="87" spans="2:5" ht="15" customHeight="1">
      <c r="B87" s="76" t="s">
        <v>217</v>
      </c>
      <c r="C87" s="62" t="s">
        <v>104</v>
      </c>
      <c r="D87" s="63">
        <v>1</v>
      </c>
      <c r="E87" s="64">
        <v>1.2797542871799999E-4</v>
      </c>
    </row>
    <row r="88" spans="2:5" ht="15" customHeight="1">
      <c r="B88" s="77"/>
      <c r="C88" s="62" t="s">
        <v>105</v>
      </c>
      <c r="D88" s="63">
        <v>64</v>
      </c>
      <c r="E88" s="64">
        <v>8.1904274379319998E-3</v>
      </c>
    </row>
    <row r="89" spans="2:5" ht="15" customHeight="1">
      <c r="B89" s="77"/>
      <c r="C89" s="62" t="s">
        <v>106</v>
      </c>
      <c r="D89" s="63">
        <v>3</v>
      </c>
      <c r="E89" s="64">
        <v>3.8392628615299999E-4</v>
      </c>
    </row>
    <row r="90" spans="2:5" ht="15" customHeight="1">
      <c r="B90" s="77"/>
      <c r="C90" s="62" t="s">
        <v>110</v>
      </c>
      <c r="D90" s="63">
        <v>1</v>
      </c>
      <c r="E90" s="64">
        <v>1.2797542871799999E-4</v>
      </c>
    </row>
    <row r="91" spans="2:5" ht="15" customHeight="1">
      <c r="B91" s="77"/>
      <c r="C91" s="62" t="s">
        <v>112</v>
      </c>
      <c r="D91" s="63">
        <v>3</v>
      </c>
      <c r="E91" s="64">
        <v>3.8392628615299999E-4</v>
      </c>
    </row>
    <row r="92" spans="2:5" ht="15" customHeight="1">
      <c r="B92" s="77"/>
      <c r="C92" s="62" t="s">
        <v>122</v>
      </c>
      <c r="D92" s="63">
        <v>1</v>
      </c>
      <c r="E92" s="64">
        <v>1.2797542871799999E-4</v>
      </c>
    </row>
    <row r="93" spans="2:5" ht="15" customHeight="1">
      <c r="B93" s="77"/>
      <c r="C93" s="62" t="s">
        <v>127</v>
      </c>
      <c r="D93" s="63">
        <v>7</v>
      </c>
      <c r="E93" s="64">
        <v>8.9582800102399999E-4</v>
      </c>
    </row>
    <row r="94" spans="2:5" ht="15" customHeight="1">
      <c r="B94" s="77"/>
      <c r="C94" s="62" t="s">
        <v>131</v>
      </c>
      <c r="D94" s="63">
        <v>1</v>
      </c>
      <c r="E94" s="64">
        <v>1.2797542871799999E-4</v>
      </c>
    </row>
    <row r="95" spans="2:5" ht="15" customHeight="1">
      <c r="B95" s="77"/>
      <c r="C95" s="62" t="s">
        <v>134</v>
      </c>
      <c r="D95" s="63">
        <v>1</v>
      </c>
      <c r="E95" s="64">
        <v>1.2797542871799999E-4</v>
      </c>
    </row>
    <row r="96" spans="2:5" ht="15" customHeight="1">
      <c r="B96" s="77"/>
      <c r="C96" s="62" t="s">
        <v>135</v>
      </c>
      <c r="D96" s="63">
        <v>3</v>
      </c>
      <c r="E96" s="64">
        <v>3.8392628615299999E-4</v>
      </c>
    </row>
    <row r="97" spans="2:5" ht="15" customHeight="1">
      <c r="B97" s="77"/>
      <c r="C97" s="62" t="s">
        <v>139</v>
      </c>
      <c r="D97" s="63">
        <v>1</v>
      </c>
      <c r="E97" s="64">
        <v>1.2797542871799999E-4</v>
      </c>
    </row>
    <row r="98" spans="2:5" ht="15" customHeight="1">
      <c r="B98" s="77"/>
      <c r="C98" s="62" t="s">
        <v>140</v>
      </c>
      <c r="D98" s="63">
        <v>8</v>
      </c>
      <c r="E98" s="64">
        <v>1.0238034297409999E-3</v>
      </c>
    </row>
    <row r="99" spans="2:5" ht="15" customHeight="1">
      <c r="B99" s="77"/>
      <c r="C99" s="62" t="s">
        <v>82</v>
      </c>
      <c r="D99" s="63">
        <v>2</v>
      </c>
      <c r="E99" s="64">
        <v>2.5595085743500002E-4</v>
      </c>
    </row>
    <row r="100" spans="2:5" ht="15" customHeight="1">
      <c r="B100" s="78"/>
      <c r="C100" s="36" t="s">
        <v>29</v>
      </c>
      <c r="D100" s="35">
        <v>96</v>
      </c>
      <c r="E100" s="34">
        <v>1.2285641156898E-2</v>
      </c>
    </row>
    <row r="101" spans="2:5" ht="15" customHeight="1">
      <c r="B101" s="76" t="s">
        <v>218</v>
      </c>
      <c r="C101" s="62" t="s">
        <v>101</v>
      </c>
      <c r="D101" s="63">
        <v>1</v>
      </c>
      <c r="E101" s="64">
        <v>1.2797542871799999E-4</v>
      </c>
    </row>
    <row r="102" spans="2:5" ht="15" customHeight="1">
      <c r="B102" s="77"/>
      <c r="C102" s="62" t="s">
        <v>103</v>
      </c>
      <c r="D102" s="63">
        <v>12</v>
      </c>
      <c r="E102" s="64">
        <v>1.5357051446119999E-3</v>
      </c>
    </row>
    <row r="103" spans="2:5" ht="15" customHeight="1">
      <c r="B103" s="77"/>
      <c r="C103" s="62" t="s">
        <v>104</v>
      </c>
      <c r="D103" s="63">
        <v>2</v>
      </c>
      <c r="E103" s="64">
        <v>2.5595085743500002E-4</v>
      </c>
    </row>
    <row r="104" spans="2:5" ht="15" customHeight="1">
      <c r="B104" s="77"/>
      <c r="C104" s="62" t="s">
        <v>105</v>
      </c>
      <c r="D104" s="63">
        <v>361</v>
      </c>
      <c r="E104" s="64">
        <v>4.6199129767084998E-2</v>
      </c>
    </row>
    <row r="105" spans="2:5" ht="15" customHeight="1">
      <c r="B105" s="77"/>
      <c r="C105" s="62" t="s">
        <v>106</v>
      </c>
      <c r="D105" s="63">
        <v>14</v>
      </c>
      <c r="E105" s="64">
        <v>1.791656002048E-3</v>
      </c>
    </row>
    <row r="106" spans="2:5" ht="15" customHeight="1">
      <c r="B106" s="77"/>
      <c r="C106" s="62" t="s">
        <v>107</v>
      </c>
      <c r="D106" s="63">
        <v>1</v>
      </c>
      <c r="E106" s="64">
        <v>1.2797542871799999E-4</v>
      </c>
    </row>
    <row r="107" spans="2:5" ht="15" customHeight="1">
      <c r="B107" s="77"/>
      <c r="C107" s="62" t="s">
        <v>108</v>
      </c>
      <c r="D107" s="63">
        <v>1</v>
      </c>
      <c r="E107" s="64">
        <v>1.2797542871799999E-4</v>
      </c>
    </row>
    <row r="108" spans="2:5" ht="15" customHeight="1">
      <c r="B108" s="77"/>
      <c r="C108" s="62" t="s">
        <v>109</v>
      </c>
      <c r="D108" s="63">
        <v>7</v>
      </c>
      <c r="E108" s="64">
        <v>8.9582800102399999E-4</v>
      </c>
    </row>
    <row r="109" spans="2:5" ht="15" customHeight="1">
      <c r="B109" s="77"/>
      <c r="C109" s="62" t="s">
        <v>110</v>
      </c>
      <c r="D109" s="63">
        <v>4</v>
      </c>
      <c r="E109" s="64">
        <v>5.1190171487100001E-4</v>
      </c>
    </row>
    <row r="110" spans="2:5" ht="15" customHeight="1">
      <c r="B110" s="77"/>
      <c r="C110" s="62" t="s">
        <v>112</v>
      </c>
      <c r="D110" s="63">
        <v>17</v>
      </c>
      <c r="E110" s="64">
        <v>2.1755822882010001E-3</v>
      </c>
    </row>
    <row r="111" spans="2:5" ht="15" customHeight="1">
      <c r="B111" s="77"/>
      <c r="C111" s="62" t="s">
        <v>113</v>
      </c>
      <c r="D111" s="63">
        <v>9</v>
      </c>
      <c r="E111" s="64">
        <v>1.1517788584590001E-3</v>
      </c>
    </row>
    <row r="112" spans="2:5" ht="15" customHeight="1">
      <c r="B112" s="77"/>
      <c r="C112" s="62" t="s">
        <v>114</v>
      </c>
      <c r="D112" s="63">
        <v>6</v>
      </c>
      <c r="E112" s="64">
        <v>7.6785257230599997E-4</v>
      </c>
    </row>
    <row r="113" spans="2:5" ht="15" customHeight="1">
      <c r="B113" s="77"/>
      <c r="C113" s="62" t="s">
        <v>115</v>
      </c>
      <c r="D113" s="63">
        <v>3</v>
      </c>
      <c r="E113" s="64">
        <v>3.8392628615299999E-4</v>
      </c>
    </row>
    <row r="114" spans="2:5" ht="15" customHeight="1">
      <c r="B114" s="77"/>
      <c r="C114" s="62" t="s">
        <v>116</v>
      </c>
      <c r="D114" s="63">
        <v>6</v>
      </c>
      <c r="E114" s="64">
        <v>7.6785257230599997E-4</v>
      </c>
    </row>
    <row r="115" spans="2:5" ht="15" customHeight="1">
      <c r="B115" s="77"/>
      <c r="C115" s="62" t="s">
        <v>117</v>
      </c>
      <c r="D115" s="63">
        <v>5</v>
      </c>
      <c r="E115" s="64">
        <v>6.3987714358799996E-4</v>
      </c>
    </row>
    <row r="116" spans="2:5" ht="15" customHeight="1">
      <c r="B116" s="77"/>
      <c r="C116" s="62" t="s">
        <v>118</v>
      </c>
      <c r="D116" s="63">
        <v>2</v>
      </c>
      <c r="E116" s="64">
        <v>2.5595085743500002E-4</v>
      </c>
    </row>
    <row r="117" spans="2:5" ht="15" customHeight="1">
      <c r="B117" s="77"/>
      <c r="C117" s="62" t="s">
        <v>121</v>
      </c>
      <c r="D117" s="63">
        <v>2</v>
      </c>
      <c r="E117" s="64">
        <v>2.5595085743500002E-4</v>
      </c>
    </row>
    <row r="118" spans="2:5" ht="15" customHeight="1">
      <c r="B118" s="77"/>
      <c r="C118" s="62" t="s">
        <v>122</v>
      </c>
      <c r="D118" s="63">
        <v>3</v>
      </c>
      <c r="E118" s="64">
        <v>3.8392628615299999E-4</v>
      </c>
    </row>
    <row r="119" spans="2:5" ht="15" customHeight="1">
      <c r="B119" s="77"/>
      <c r="C119" s="62" t="s">
        <v>123</v>
      </c>
      <c r="D119" s="63">
        <v>1</v>
      </c>
      <c r="E119" s="64">
        <v>1.2797542871799999E-4</v>
      </c>
    </row>
    <row r="120" spans="2:5" ht="15" customHeight="1">
      <c r="B120" s="77"/>
      <c r="C120" s="62" t="s">
        <v>124</v>
      </c>
      <c r="D120" s="63">
        <v>3</v>
      </c>
      <c r="E120" s="64">
        <v>3.8392628615299999E-4</v>
      </c>
    </row>
    <row r="121" spans="2:5" ht="15" customHeight="1">
      <c r="B121" s="77"/>
      <c r="C121" s="62" t="s">
        <v>126</v>
      </c>
      <c r="D121" s="63">
        <v>3</v>
      </c>
      <c r="E121" s="64">
        <v>3.8392628615299999E-4</v>
      </c>
    </row>
    <row r="122" spans="2:5" ht="15" customHeight="1">
      <c r="B122" s="77"/>
      <c r="C122" s="62" t="s">
        <v>127</v>
      </c>
      <c r="D122" s="63">
        <v>31</v>
      </c>
      <c r="E122" s="64">
        <v>3.9672382902479998E-3</v>
      </c>
    </row>
    <row r="123" spans="2:5" ht="15" customHeight="1">
      <c r="B123" s="77"/>
      <c r="C123" s="62" t="s">
        <v>129</v>
      </c>
      <c r="D123" s="63">
        <v>2</v>
      </c>
      <c r="E123" s="64">
        <v>2.5595085743500002E-4</v>
      </c>
    </row>
    <row r="124" spans="2:5" ht="15" customHeight="1">
      <c r="B124" s="77"/>
      <c r="C124" s="62" t="s">
        <v>131</v>
      </c>
      <c r="D124" s="63">
        <v>4</v>
      </c>
      <c r="E124" s="64">
        <v>5.1190171487100001E-4</v>
      </c>
    </row>
    <row r="125" spans="2:5" ht="15" customHeight="1">
      <c r="B125" s="77"/>
      <c r="C125" s="62" t="s">
        <v>133</v>
      </c>
      <c r="D125" s="63">
        <v>1</v>
      </c>
      <c r="E125" s="64">
        <v>1.2797542871799999E-4</v>
      </c>
    </row>
    <row r="126" spans="2:5" ht="15" customHeight="1">
      <c r="B126" s="77"/>
      <c r="C126" s="62" t="s">
        <v>134</v>
      </c>
      <c r="D126" s="63">
        <v>4</v>
      </c>
      <c r="E126" s="64">
        <v>5.1190171487100001E-4</v>
      </c>
    </row>
    <row r="127" spans="2:5" ht="15" customHeight="1">
      <c r="B127" s="77"/>
      <c r="C127" s="62" t="s">
        <v>135</v>
      </c>
      <c r="D127" s="63">
        <v>11</v>
      </c>
      <c r="E127" s="64">
        <v>1.4077297158950001E-3</v>
      </c>
    </row>
    <row r="128" spans="2:5" ht="15" customHeight="1">
      <c r="B128" s="77"/>
      <c r="C128" s="62" t="s">
        <v>137</v>
      </c>
      <c r="D128" s="63">
        <v>1</v>
      </c>
      <c r="E128" s="64">
        <v>1.2797542871799999E-4</v>
      </c>
    </row>
    <row r="129" spans="2:5" ht="15" customHeight="1">
      <c r="B129" s="77"/>
      <c r="C129" s="62" t="s">
        <v>139</v>
      </c>
      <c r="D129" s="63">
        <v>1</v>
      </c>
      <c r="E129" s="64">
        <v>1.2797542871799999E-4</v>
      </c>
    </row>
    <row r="130" spans="2:5" ht="15" customHeight="1">
      <c r="B130" s="77"/>
      <c r="C130" s="62" t="s">
        <v>140</v>
      </c>
      <c r="D130" s="63">
        <v>18</v>
      </c>
      <c r="E130" s="64">
        <v>2.3035577169180001E-3</v>
      </c>
    </row>
    <row r="131" spans="2:5" ht="15" customHeight="1">
      <c r="B131" s="77"/>
      <c r="C131" s="62" t="s">
        <v>141</v>
      </c>
      <c r="D131" s="63">
        <v>7</v>
      </c>
      <c r="E131" s="64">
        <v>8.9582800102399999E-4</v>
      </c>
    </row>
    <row r="132" spans="2:5" ht="15" customHeight="1">
      <c r="B132" s="77"/>
      <c r="C132" s="62" t="s">
        <v>142</v>
      </c>
      <c r="D132" s="63">
        <v>1</v>
      </c>
      <c r="E132" s="64">
        <v>1.2797542871799999E-4</v>
      </c>
    </row>
    <row r="133" spans="2:5" ht="15" customHeight="1">
      <c r="B133" s="77"/>
      <c r="C133" s="62" t="s">
        <v>82</v>
      </c>
      <c r="D133" s="63">
        <v>6</v>
      </c>
      <c r="E133" s="64">
        <v>7.6785257230599997E-4</v>
      </c>
    </row>
    <row r="134" spans="2:5" ht="15" customHeight="1">
      <c r="B134" s="77"/>
      <c r="C134" s="62" t="s">
        <v>143</v>
      </c>
      <c r="D134" s="63">
        <v>1</v>
      </c>
      <c r="E134" s="64">
        <v>1.2797542871799999E-4</v>
      </c>
    </row>
    <row r="135" spans="2:5" ht="15" customHeight="1">
      <c r="B135" s="78"/>
      <c r="C135" s="36" t="s">
        <v>29</v>
      </c>
      <c r="D135" s="35">
        <v>551</v>
      </c>
      <c r="E135" s="34">
        <v>7.0514461223444999E-2</v>
      </c>
    </row>
    <row r="136" spans="2:5" ht="15" customHeight="1">
      <c r="B136" s="76" t="s">
        <v>219</v>
      </c>
      <c r="C136" s="62" t="s">
        <v>101</v>
      </c>
      <c r="D136" s="63">
        <v>2</v>
      </c>
      <c r="E136" s="64">
        <v>2.5595085743500002E-4</v>
      </c>
    </row>
    <row r="137" spans="2:5" ht="15" customHeight="1">
      <c r="B137" s="77"/>
      <c r="C137" s="62" t="s">
        <v>103</v>
      </c>
      <c r="D137" s="63">
        <v>24</v>
      </c>
      <c r="E137" s="64">
        <v>3.0714102892239999E-3</v>
      </c>
    </row>
    <row r="138" spans="2:5" ht="15" customHeight="1">
      <c r="B138" s="77"/>
      <c r="C138" s="62" t="s">
        <v>104</v>
      </c>
      <c r="D138" s="63">
        <v>2</v>
      </c>
      <c r="E138" s="64">
        <v>2.5595085743500002E-4</v>
      </c>
    </row>
    <row r="139" spans="2:5" ht="15" customHeight="1">
      <c r="B139" s="77"/>
      <c r="C139" s="62" t="s">
        <v>105</v>
      </c>
      <c r="D139" s="63">
        <v>564</v>
      </c>
      <c r="E139" s="64">
        <v>7.2178141796774994E-2</v>
      </c>
    </row>
    <row r="140" spans="2:5" ht="15" customHeight="1">
      <c r="B140" s="77"/>
      <c r="C140" s="62" t="s">
        <v>106</v>
      </c>
      <c r="D140" s="63">
        <v>16</v>
      </c>
      <c r="E140" s="64">
        <v>2.047606859483E-3</v>
      </c>
    </row>
    <row r="141" spans="2:5" ht="15" customHeight="1">
      <c r="B141" s="77"/>
      <c r="C141" s="62" t="s">
        <v>109</v>
      </c>
      <c r="D141" s="63">
        <v>12</v>
      </c>
      <c r="E141" s="64">
        <v>1.5357051446119999E-3</v>
      </c>
    </row>
    <row r="142" spans="2:5" ht="15" customHeight="1">
      <c r="B142" s="77"/>
      <c r="C142" s="62" t="s">
        <v>110</v>
      </c>
      <c r="D142" s="63">
        <v>10</v>
      </c>
      <c r="E142" s="64">
        <v>1.279754287177E-3</v>
      </c>
    </row>
    <row r="143" spans="2:5" ht="15" customHeight="1">
      <c r="B143" s="77"/>
      <c r="C143" s="62" t="s">
        <v>111</v>
      </c>
      <c r="D143" s="63">
        <v>1</v>
      </c>
      <c r="E143" s="64">
        <v>1.2797542871799999E-4</v>
      </c>
    </row>
    <row r="144" spans="2:5" ht="15" customHeight="1">
      <c r="B144" s="77"/>
      <c r="C144" s="62" t="s">
        <v>112</v>
      </c>
      <c r="D144" s="63">
        <v>10</v>
      </c>
      <c r="E144" s="64">
        <v>1.279754287177E-3</v>
      </c>
    </row>
    <row r="145" spans="2:5" ht="15" customHeight="1">
      <c r="B145" s="77"/>
      <c r="C145" s="62" t="s">
        <v>113</v>
      </c>
      <c r="D145" s="63">
        <v>27</v>
      </c>
      <c r="E145" s="64">
        <v>3.4553365753779998E-3</v>
      </c>
    </row>
    <row r="146" spans="2:5" ht="15" customHeight="1">
      <c r="B146" s="77"/>
      <c r="C146" s="62" t="s">
        <v>114</v>
      </c>
      <c r="D146" s="63">
        <v>6</v>
      </c>
      <c r="E146" s="64">
        <v>7.6785257230599997E-4</v>
      </c>
    </row>
    <row r="147" spans="2:5" ht="15" customHeight="1">
      <c r="B147" s="77"/>
      <c r="C147" s="62" t="s">
        <v>115</v>
      </c>
      <c r="D147" s="63">
        <v>1</v>
      </c>
      <c r="E147" s="64">
        <v>1.2797542871799999E-4</v>
      </c>
    </row>
    <row r="148" spans="2:5" ht="15" customHeight="1">
      <c r="B148" s="77"/>
      <c r="C148" s="62" t="s">
        <v>116</v>
      </c>
      <c r="D148" s="63">
        <v>5</v>
      </c>
      <c r="E148" s="64">
        <v>6.3987714358799996E-4</v>
      </c>
    </row>
    <row r="149" spans="2:5" ht="15" customHeight="1">
      <c r="B149" s="77"/>
      <c r="C149" s="62" t="s">
        <v>117</v>
      </c>
      <c r="D149" s="63">
        <v>3</v>
      </c>
      <c r="E149" s="64">
        <v>3.8392628615299999E-4</v>
      </c>
    </row>
    <row r="150" spans="2:5" ht="15" customHeight="1">
      <c r="B150" s="77"/>
      <c r="C150" s="62" t="s">
        <v>118</v>
      </c>
      <c r="D150" s="63">
        <v>1</v>
      </c>
      <c r="E150" s="64">
        <v>1.2797542871799999E-4</v>
      </c>
    </row>
    <row r="151" spans="2:5" ht="15" customHeight="1">
      <c r="B151" s="77"/>
      <c r="C151" s="62" t="s">
        <v>121</v>
      </c>
      <c r="D151" s="63">
        <v>1</v>
      </c>
      <c r="E151" s="64">
        <v>1.2797542871799999E-4</v>
      </c>
    </row>
    <row r="152" spans="2:5" ht="15" customHeight="1">
      <c r="B152" s="77"/>
      <c r="C152" s="62" t="s">
        <v>122</v>
      </c>
      <c r="D152" s="63">
        <v>21</v>
      </c>
      <c r="E152" s="64">
        <v>2.687484003071E-3</v>
      </c>
    </row>
    <row r="153" spans="2:5" ht="15" customHeight="1">
      <c r="B153" s="77"/>
      <c r="C153" s="62" t="s">
        <v>124</v>
      </c>
      <c r="D153" s="63">
        <v>3</v>
      </c>
      <c r="E153" s="64">
        <v>3.8392628615299999E-4</v>
      </c>
    </row>
    <row r="154" spans="2:5" ht="15" customHeight="1">
      <c r="B154" s="77"/>
      <c r="C154" s="62" t="s">
        <v>126</v>
      </c>
      <c r="D154" s="63">
        <v>1</v>
      </c>
      <c r="E154" s="64">
        <v>1.2797542871799999E-4</v>
      </c>
    </row>
    <row r="155" spans="2:5" ht="15" customHeight="1">
      <c r="B155" s="77"/>
      <c r="C155" s="62" t="s">
        <v>127</v>
      </c>
      <c r="D155" s="63">
        <v>42</v>
      </c>
      <c r="E155" s="64">
        <v>5.3749680061430001E-3</v>
      </c>
    </row>
    <row r="156" spans="2:5" ht="15" customHeight="1">
      <c r="B156" s="77"/>
      <c r="C156" s="62" t="s">
        <v>128</v>
      </c>
      <c r="D156" s="63">
        <v>2</v>
      </c>
      <c r="E156" s="64">
        <v>2.5595085743500002E-4</v>
      </c>
    </row>
    <row r="157" spans="2:5" ht="15" customHeight="1">
      <c r="B157" s="77"/>
      <c r="C157" s="62" t="s">
        <v>129</v>
      </c>
      <c r="D157" s="63">
        <v>2</v>
      </c>
      <c r="E157" s="64">
        <v>2.5595085743500002E-4</v>
      </c>
    </row>
    <row r="158" spans="2:5" ht="15" customHeight="1">
      <c r="B158" s="77"/>
      <c r="C158" s="62" t="s">
        <v>131</v>
      </c>
      <c r="D158" s="63">
        <v>23</v>
      </c>
      <c r="E158" s="64">
        <v>2.9434348605069998E-3</v>
      </c>
    </row>
    <row r="159" spans="2:5" ht="15" customHeight="1">
      <c r="B159" s="77"/>
      <c r="C159" s="62" t="s">
        <v>133</v>
      </c>
      <c r="D159" s="63">
        <v>4</v>
      </c>
      <c r="E159" s="64">
        <v>5.1190171487100001E-4</v>
      </c>
    </row>
    <row r="160" spans="2:5" ht="15" customHeight="1">
      <c r="B160" s="77"/>
      <c r="C160" s="62" t="s">
        <v>134</v>
      </c>
      <c r="D160" s="63">
        <v>5</v>
      </c>
      <c r="E160" s="64">
        <v>6.3987714358799996E-4</v>
      </c>
    </row>
    <row r="161" spans="2:5" ht="15" customHeight="1">
      <c r="B161" s="77"/>
      <c r="C161" s="62" t="s">
        <v>135</v>
      </c>
      <c r="D161" s="63">
        <v>6</v>
      </c>
      <c r="E161" s="64">
        <v>7.6785257230599997E-4</v>
      </c>
    </row>
    <row r="162" spans="2:5" ht="15" customHeight="1">
      <c r="B162" s="77"/>
      <c r="C162" s="62" t="s">
        <v>136</v>
      </c>
      <c r="D162" s="63">
        <v>2</v>
      </c>
      <c r="E162" s="64">
        <v>2.5595085743500002E-4</v>
      </c>
    </row>
    <row r="163" spans="2:5" ht="15" customHeight="1">
      <c r="B163" s="77"/>
      <c r="C163" s="62" t="s">
        <v>137</v>
      </c>
      <c r="D163" s="63">
        <v>8</v>
      </c>
      <c r="E163" s="64">
        <v>1.0238034297409999E-3</v>
      </c>
    </row>
    <row r="164" spans="2:5" ht="15" customHeight="1">
      <c r="B164" s="77"/>
      <c r="C164" s="62" t="s">
        <v>138</v>
      </c>
      <c r="D164" s="63">
        <v>2</v>
      </c>
      <c r="E164" s="64">
        <v>2.5595085743500002E-4</v>
      </c>
    </row>
    <row r="165" spans="2:5" ht="15" customHeight="1">
      <c r="B165" s="77"/>
      <c r="C165" s="62" t="s">
        <v>139</v>
      </c>
      <c r="D165" s="63">
        <v>5</v>
      </c>
      <c r="E165" s="64">
        <v>6.3987714358799996E-4</v>
      </c>
    </row>
    <row r="166" spans="2:5" ht="15" customHeight="1">
      <c r="B166" s="77"/>
      <c r="C166" s="62" t="s">
        <v>140</v>
      </c>
      <c r="D166" s="63">
        <v>25</v>
      </c>
      <c r="E166" s="64">
        <v>3.199385717942E-3</v>
      </c>
    </row>
    <row r="167" spans="2:5" ht="15" customHeight="1">
      <c r="B167" s="77"/>
      <c r="C167" s="62" t="s">
        <v>141</v>
      </c>
      <c r="D167" s="63">
        <v>13</v>
      </c>
      <c r="E167" s="64">
        <v>1.6636805733300001E-3</v>
      </c>
    </row>
    <row r="168" spans="2:5" ht="15" customHeight="1">
      <c r="B168" s="77"/>
      <c r="C168" s="62" t="s">
        <v>142</v>
      </c>
      <c r="D168" s="63">
        <v>6</v>
      </c>
      <c r="E168" s="64">
        <v>7.6785257230599997E-4</v>
      </c>
    </row>
    <row r="169" spans="2:5" ht="15" customHeight="1">
      <c r="B169" s="77"/>
      <c r="C169" s="62" t="s">
        <v>82</v>
      </c>
      <c r="D169" s="63">
        <v>4</v>
      </c>
      <c r="E169" s="64">
        <v>5.1190171487100001E-4</v>
      </c>
    </row>
    <row r="170" spans="2:5" ht="15" customHeight="1">
      <c r="B170" s="77"/>
      <c r="C170" s="62" t="s">
        <v>143</v>
      </c>
      <c r="D170" s="63">
        <v>3</v>
      </c>
      <c r="E170" s="64">
        <v>3.8392628615299999E-4</v>
      </c>
    </row>
    <row r="171" spans="2:5" ht="15" customHeight="1">
      <c r="B171" s="77"/>
      <c r="C171" s="62" t="s">
        <v>144</v>
      </c>
      <c r="D171" s="63">
        <v>1</v>
      </c>
      <c r="E171" s="64">
        <v>1.2797542871799999E-4</v>
      </c>
    </row>
    <row r="172" spans="2:5" ht="15" customHeight="1">
      <c r="B172" s="78"/>
      <c r="C172" s="36" t="s">
        <v>29</v>
      </c>
      <c r="D172" s="35">
        <v>863</v>
      </c>
      <c r="E172" s="34">
        <v>0.110442794983363</v>
      </c>
    </row>
    <row r="173" spans="2:5" ht="15" customHeight="1">
      <c r="B173" s="76" t="s">
        <v>220</v>
      </c>
      <c r="C173" s="62" t="s">
        <v>103</v>
      </c>
      <c r="D173" s="63">
        <v>5</v>
      </c>
      <c r="E173" s="64">
        <v>6.3987714358799996E-4</v>
      </c>
    </row>
    <row r="174" spans="2:5" ht="15" customHeight="1">
      <c r="B174" s="77"/>
      <c r="C174" s="62" t="s">
        <v>104</v>
      </c>
      <c r="D174" s="63">
        <v>1</v>
      </c>
      <c r="E174" s="64">
        <v>1.2797542871799999E-4</v>
      </c>
    </row>
    <row r="175" spans="2:5" ht="15" customHeight="1">
      <c r="B175" s="77"/>
      <c r="C175" s="62" t="s">
        <v>105</v>
      </c>
      <c r="D175" s="63">
        <v>50</v>
      </c>
      <c r="E175" s="64">
        <v>6.398771435884E-3</v>
      </c>
    </row>
    <row r="176" spans="2:5" ht="15" customHeight="1">
      <c r="B176" s="77"/>
      <c r="C176" s="62" t="s">
        <v>106</v>
      </c>
      <c r="D176" s="63">
        <v>8</v>
      </c>
      <c r="E176" s="64">
        <v>1.0238034297409999E-3</v>
      </c>
    </row>
    <row r="177" spans="2:5" ht="15" customHeight="1">
      <c r="B177" s="77"/>
      <c r="C177" s="62" t="s">
        <v>109</v>
      </c>
      <c r="D177" s="63">
        <v>1</v>
      </c>
      <c r="E177" s="64">
        <v>1.2797542871799999E-4</v>
      </c>
    </row>
    <row r="178" spans="2:5" ht="15" customHeight="1">
      <c r="B178" s="77"/>
      <c r="C178" s="62" t="s">
        <v>110</v>
      </c>
      <c r="D178" s="63">
        <v>1</v>
      </c>
      <c r="E178" s="64">
        <v>1.2797542871799999E-4</v>
      </c>
    </row>
    <row r="179" spans="2:5" ht="15" customHeight="1">
      <c r="B179" s="77"/>
      <c r="C179" s="62" t="s">
        <v>112</v>
      </c>
      <c r="D179" s="63">
        <v>1</v>
      </c>
      <c r="E179" s="64">
        <v>1.2797542871799999E-4</v>
      </c>
    </row>
    <row r="180" spans="2:5" ht="15" customHeight="1">
      <c r="B180" s="77"/>
      <c r="C180" s="62" t="s">
        <v>113</v>
      </c>
      <c r="D180" s="63">
        <v>3</v>
      </c>
      <c r="E180" s="64">
        <v>3.8392628615299999E-4</v>
      </c>
    </row>
    <row r="181" spans="2:5" ht="15" customHeight="1">
      <c r="B181" s="77"/>
      <c r="C181" s="62" t="s">
        <v>114</v>
      </c>
      <c r="D181" s="63">
        <v>1</v>
      </c>
      <c r="E181" s="64">
        <v>1.2797542871799999E-4</v>
      </c>
    </row>
    <row r="182" spans="2:5" ht="15" customHeight="1">
      <c r="B182" s="77"/>
      <c r="C182" s="62" t="s">
        <v>118</v>
      </c>
      <c r="D182" s="63">
        <v>1</v>
      </c>
      <c r="E182" s="64">
        <v>1.2797542871799999E-4</v>
      </c>
    </row>
    <row r="183" spans="2:5" ht="15" customHeight="1">
      <c r="B183" s="77"/>
      <c r="C183" s="62" t="s">
        <v>127</v>
      </c>
      <c r="D183" s="63">
        <v>6</v>
      </c>
      <c r="E183" s="64">
        <v>7.6785257230599997E-4</v>
      </c>
    </row>
    <row r="184" spans="2:5" ht="15" customHeight="1">
      <c r="B184" s="77"/>
      <c r="C184" s="62" t="s">
        <v>128</v>
      </c>
      <c r="D184" s="63">
        <v>1</v>
      </c>
      <c r="E184" s="64">
        <v>1.2797542871799999E-4</v>
      </c>
    </row>
    <row r="185" spans="2:5" ht="15" customHeight="1">
      <c r="B185" s="77"/>
      <c r="C185" s="62" t="s">
        <v>134</v>
      </c>
      <c r="D185" s="63">
        <v>1</v>
      </c>
      <c r="E185" s="64">
        <v>1.2797542871799999E-4</v>
      </c>
    </row>
    <row r="186" spans="2:5" ht="15" customHeight="1">
      <c r="B186" s="77"/>
      <c r="C186" s="62" t="s">
        <v>135</v>
      </c>
      <c r="D186" s="63">
        <v>3</v>
      </c>
      <c r="E186" s="64">
        <v>3.8392628615299999E-4</v>
      </c>
    </row>
    <row r="187" spans="2:5" ht="15" customHeight="1">
      <c r="B187" s="77"/>
      <c r="C187" s="62" t="s">
        <v>136</v>
      </c>
      <c r="D187" s="63">
        <v>1</v>
      </c>
      <c r="E187" s="64">
        <v>1.2797542871799999E-4</v>
      </c>
    </row>
    <row r="188" spans="2:5" ht="15" customHeight="1">
      <c r="B188" s="77"/>
      <c r="C188" s="62" t="s">
        <v>137</v>
      </c>
      <c r="D188" s="63">
        <v>1</v>
      </c>
      <c r="E188" s="64">
        <v>1.2797542871799999E-4</v>
      </c>
    </row>
    <row r="189" spans="2:5" ht="15" customHeight="1">
      <c r="B189" s="77"/>
      <c r="C189" s="62" t="s">
        <v>140</v>
      </c>
      <c r="D189" s="63">
        <v>2</v>
      </c>
      <c r="E189" s="64">
        <v>2.5595085743500002E-4</v>
      </c>
    </row>
    <row r="190" spans="2:5" ht="15" customHeight="1">
      <c r="B190" s="77"/>
      <c r="C190" s="62" t="s">
        <v>141</v>
      </c>
      <c r="D190" s="63">
        <v>1</v>
      </c>
      <c r="E190" s="64">
        <v>1.2797542871799999E-4</v>
      </c>
    </row>
    <row r="191" spans="2:5" ht="15" customHeight="1">
      <c r="B191" s="77"/>
      <c r="C191" s="62" t="s">
        <v>142</v>
      </c>
      <c r="D191" s="63">
        <v>1</v>
      </c>
      <c r="E191" s="64">
        <v>1.2797542871799999E-4</v>
      </c>
    </row>
    <row r="192" spans="2:5" ht="15" customHeight="1">
      <c r="B192" s="77"/>
      <c r="C192" s="62" t="s">
        <v>82</v>
      </c>
      <c r="D192" s="63">
        <v>1</v>
      </c>
      <c r="E192" s="64">
        <v>1.2797542871799999E-4</v>
      </c>
    </row>
    <row r="193" spans="2:5" ht="15" customHeight="1">
      <c r="B193" s="77"/>
      <c r="C193" s="62" t="s">
        <v>143</v>
      </c>
      <c r="D193" s="63">
        <v>1</v>
      </c>
      <c r="E193" s="64">
        <v>1.2797542871799999E-4</v>
      </c>
    </row>
    <row r="194" spans="2:5" ht="15" customHeight="1">
      <c r="B194" s="78"/>
      <c r="C194" s="36" t="s">
        <v>29</v>
      </c>
      <c r="D194" s="35">
        <v>91</v>
      </c>
      <c r="E194" s="34">
        <v>1.1645764013308999E-2</v>
      </c>
    </row>
    <row r="195" spans="2:5" ht="15" customHeight="1">
      <c r="B195" s="76" t="s">
        <v>221</v>
      </c>
      <c r="C195" s="62" t="s">
        <v>103</v>
      </c>
      <c r="D195" s="63">
        <v>6</v>
      </c>
      <c r="E195" s="64">
        <v>7.6785257230599997E-4</v>
      </c>
    </row>
    <row r="196" spans="2:5" ht="15" customHeight="1">
      <c r="B196" s="77"/>
      <c r="C196" s="62" t="s">
        <v>105</v>
      </c>
      <c r="D196" s="63">
        <v>90</v>
      </c>
      <c r="E196" s="64">
        <v>1.1517788584592001E-2</v>
      </c>
    </row>
    <row r="197" spans="2:5" ht="15" customHeight="1">
      <c r="B197" s="77"/>
      <c r="C197" s="62" t="s">
        <v>106</v>
      </c>
      <c r="D197" s="63">
        <v>5</v>
      </c>
      <c r="E197" s="64">
        <v>6.3987714358799996E-4</v>
      </c>
    </row>
    <row r="198" spans="2:5" ht="15" customHeight="1">
      <c r="B198" s="77"/>
      <c r="C198" s="62" t="s">
        <v>109</v>
      </c>
      <c r="D198" s="63">
        <v>3</v>
      </c>
      <c r="E198" s="64">
        <v>3.8392628615299999E-4</v>
      </c>
    </row>
    <row r="199" spans="2:5" ht="15" customHeight="1">
      <c r="B199" s="77"/>
      <c r="C199" s="62" t="s">
        <v>110</v>
      </c>
      <c r="D199" s="63">
        <v>3</v>
      </c>
      <c r="E199" s="64">
        <v>3.8392628615299999E-4</v>
      </c>
    </row>
    <row r="200" spans="2:5" ht="15" customHeight="1">
      <c r="B200" s="77"/>
      <c r="C200" s="62" t="s">
        <v>112</v>
      </c>
      <c r="D200" s="63">
        <v>3</v>
      </c>
      <c r="E200" s="64">
        <v>3.8392628615299999E-4</v>
      </c>
    </row>
    <row r="201" spans="2:5" ht="15" customHeight="1">
      <c r="B201" s="77"/>
      <c r="C201" s="62" t="s">
        <v>113</v>
      </c>
      <c r="D201" s="63">
        <v>5</v>
      </c>
      <c r="E201" s="64">
        <v>6.3987714358799996E-4</v>
      </c>
    </row>
    <row r="202" spans="2:5" ht="15" customHeight="1">
      <c r="B202" s="77"/>
      <c r="C202" s="62" t="s">
        <v>114</v>
      </c>
      <c r="D202" s="63">
        <v>1</v>
      </c>
      <c r="E202" s="64">
        <v>1.2797542871799999E-4</v>
      </c>
    </row>
    <row r="203" spans="2:5" ht="15" customHeight="1">
      <c r="B203" s="77"/>
      <c r="C203" s="62" t="s">
        <v>116</v>
      </c>
      <c r="D203" s="63">
        <v>2</v>
      </c>
      <c r="E203" s="64">
        <v>2.5595085743500002E-4</v>
      </c>
    </row>
    <row r="204" spans="2:5" ht="15" customHeight="1">
      <c r="B204" s="77"/>
      <c r="C204" s="62" t="s">
        <v>118</v>
      </c>
      <c r="D204" s="63">
        <v>1</v>
      </c>
      <c r="E204" s="64">
        <v>1.2797542871799999E-4</v>
      </c>
    </row>
    <row r="205" spans="2:5" ht="15" customHeight="1">
      <c r="B205" s="77"/>
      <c r="C205" s="62" t="s">
        <v>122</v>
      </c>
      <c r="D205" s="63">
        <v>2</v>
      </c>
      <c r="E205" s="64">
        <v>2.5595085743500002E-4</v>
      </c>
    </row>
    <row r="206" spans="2:5" ht="15" customHeight="1">
      <c r="B206" s="77"/>
      <c r="C206" s="62" t="s">
        <v>123</v>
      </c>
      <c r="D206" s="63">
        <v>1</v>
      </c>
      <c r="E206" s="64">
        <v>1.2797542871799999E-4</v>
      </c>
    </row>
    <row r="207" spans="2:5" ht="15" customHeight="1">
      <c r="B207" s="77"/>
      <c r="C207" s="62" t="s">
        <v>124</v>
      </c>
      <c r="D207" s="63">
        <v>2</v>
      </c>
      <c r="E207" s="64">
        <v>2.5595085743500002E-4</v>
      </c>
    </row>
    <row r="208" spans="2:5" ht="15" customHeight="1">
      <c r="B208" s="77"/>
      <c r="C208" s="62" t="s">
        <v>127</v>
      </c>
      <c r="D208" s="63">
        <v>7</v>
      </c>
      <c r="E208" s="64">
        <v>8.9582800102399999E-4</v>
      </c>
    </row>
    <row r="209" spans="2:5" ht="15" customHeight="1">
      <c r="B209" s="77"/>
      <c r="C209" s="62" t="s">
        <v>128</v>
      </c>
      <c r="D209" s="63">
        <v>1</v>
      </c>
      <c r="E209" s="64">
        <v>1.2797542871799999E-4</v>
      </c>
    </row>
    <row r="210" spans="2:5" ht="15" customHeight="1">
      <c r="B210" s="77"/>
      <c r="C210" s="62" t="s">
        <v>129</v>
      </c>
      <c r="D210" s="63">
        <v>1</v>
      </c>
      <c r="E210" s="64">
        <v>1.2797542871799999E-4</v>
      </c>
    </row>
    <row r="211" spans="2:5" ht="15" customHeight="1">
      <c r="B211" s="77"/>
      <c r="C211" s="62" t="s">
        <v>131</v>
      </c>
      <c r="D211" s="63">
        <v>6</v>
      </c>
      <c r="E211" s="64">
        <v>7.6785257230599997E-4</v>
      </c>
    </row>
    <row r="212" spans="2:5" ht="15" customHeight="1">
      <c r="B212" s="77"/>
      <c r="C212" s="62" t="s">
        <v>133</v>
      </c>
      <c r="D212" s="63">
        <v>1</v>
      </c>
      <c r="E212" s="64">
        <v>1.2797542871799999E-4</v>
      </c>
    </row>
    <row r="213" spans="2:5" ht="15" customHeight="1">
      <c r="B213" s="77"/>
      <c r="C213" s="62" t="s">
        <v>134</v>
      </c>
      <c r="D213" s="63">
        <v>1</v>
      </c>
      <c r="E213" s="64">
        <v>1.2797542871799999E-4</v>
      </c>
    </row>
    <row r="214" spans="2:5" ht="15" customHeight="1">
      <c r="B214" s="77"/>
      <c r="C214" s="62" t="s">
        <v>135</v>
      </c>
      <c r="D214" s="63">
        <v>4</v>
      </c>
      <c r="E214" s="64">
        <v>5.1190171487100001E-4</v>
      </c>
    </row>
    <row r="215" spans="2:5" ht="15" customHeight="1">
      <c r="B215" s="77"/>
      <c r="C215" s="62" t="s">
        <v>137</v>
      </c>
      <c r="D215" s="63">
        <v>4</v>
      </c>
      <c r="E215" s="64">
        <v>5.1190171487100001E-4</v>
      </c>
    </row>
    <row r="216" spans="2:5" ht="15" customHeight="1">
      <c r="B216" s="77"/>
      <c r="C216" s="62" t="s">
        <v>139</v>
      </c>
      <c r="D216" s="63">
        <v>3</v>
      </c>
      <c r="E216" s="64">
        <v>3.8392628615299999E-4</v>
      </c>
    </row>
    <row r="217" spans="2:5" ht="15" customHeight="1">
      <c r="B217" s="77"/>
      <c r="C217" s="62" t="s">
        <v>140</v>
      </c>
      <c r="D217" s="63">
        <v>6</v>
      </c>
      <c r="E217" s="64">
        <v>7.6785257230599997E-4</v>
      </c>
    </row>
    <row r="218" spans="2:5" ht="15" customHeight="1">
      <c r="B218" s="77"/>
      <c r="C218" s="62" t="s">
        <v>141</v>
      </c>
      <c r="D218" s="63">
        <v>2</v>
      </c>
      <c r="E218" s="64">
        <v>2.5595085743500002E-4</v>
      </c>
    </row>
    <row r="219" spans="2:5" ht="15" customHeight="1">
      <c r="B219" s="77"/>
      <c r="C219" s="62" t="s">
        <v>82</v>
      </c>
      <c r="D219" s="63">
        <v>1</v>
      </c>
      <c r="E219" s="64">
        <v>1.2797542871799999E-4</v>
      </c>
    </row>
    <row r="220" spans="2:5" ht="15" customHeight="1">
      <c r="B220" s="77"/>
      <c r="C220" s="62" t="s">
        <v>143</v>
      </c>
      <c r="D220" s="63">
        <v>1</v>
      </c>
      <c r="E220" s="64">
        <v>1.2797542871799999E-4</v>
      </c>
    </row>
    <row r="221" spans="2:5" ht="15" customHeight="1">
      <c r="B221" s="78"/>
      <c r="C221" s="36" t="s">
        <v>29</v>
      </c>
      <c r="D221" s="35">
        <v>162</v>
      </c>
      <c r="E221" s="34">
        <v>2.0732019452265001E-2</v>
      </c>
    </row>
    <row r="222" spans="2:5" ht="15" customHeight="1">
      <c r="B222" s="76" t="s">
        <v>222</v>
      </c>
      <c r="C222" s="62" t="s">
        <v>103</v>
      </c>
      <c r="D222" s="63">
        <v>17</v>
      </c>
      <c r="E222" s="64">
        <v>2.1755822882010001E-3</v>
      </c>
    </row>
    <row r="223" spans="2:5" ht="15" customHeight="1">
      <c r="B223" s="77"/>
      <c r="C223" s="62" t="s">
        <v>104</v>
      </c>
      <c r="D223" s="63">
        <v>2</v>
      </c>
      <c r="E223" s="64">
        <v>2.5595085743500002E-4</v>
      </c>
    </row>
    <row r="224" spans="2:5" ht="15" customHeight="1">
      <c r="B224" s="77"/>
      <c r="C224" s="62" t="s">
        <v>105</v>
      </c>
      <c r="D224" s="63">
        <v>210</v>
      </c>
      <c r="E224" s="64">
        <v>2.6874840030714001E-2</v>
      </c>
    </row>
    <row r="225" spans="2:5" ht="15" customHeight="1">
      <c r="B225" s="77"/>
      <c r="C225" s="62" t="s">
        <v>106</v>
      </c>
      <c r="D225" s="63">
        <v>16</v>
      </c>
      <c r="E225" s="64">
        <v>2.047606859483E-3</v>
      </c>
    </row>
    <row r="226" spans="2:5" ht="15" customHeight="1">
      <c r="B226" s="77"/>
      <c r="C226" s="62" t="s">
        <v>108</v>
      </c>
      <c r="D226" s="63">
        <v>1</v>
      </c>
      <c r="E226" s="64">
        <v>1.2797542871799999E-4</v>
      </c>
    </row>
    <row r="227" spans="2:5" ht="15" customHeight="1">
      <c r="B227" s="77"/>
      <c r="C227" s="62" t="s">
        <v>109</v>
      </c>
      <c r="D227" s="63">
        <v>3</v>
      </c>
      <c r="E227" s="64">
        <v>3.8392628615299999E-4</v>
      </c>
    </row>
    <row r="228" spans="2:5" ht="15" customHeight="1">
      <c r="B228" s="77"/>
      <c r="C228" s="62" t="s">
        <v>111</v>
      </c>
      <c r="D228" s="63">
        <v>2</v>
      </c>
      <c r="E228" s="64">
        <v>2.5595085743500002E-4</v>
      </c>
    </row>
    <row r="229" spans="2:5" ht="15" customHeight="1">
      <c r="B229" s="77"/>
      <c r="C229" s="62" t="s">
        <v>113</v>
      </c>
      <c r="D229" s="63">
        <v>5</v>
      </c>
      <c r="E229" s="64">
        <v>6.3987714358799996E-4</v>
      </c>
    </row>
    <row r="230" spans="2:5" ht="15" customHeight="1">
      <c r="B230" s="77"/>
      <c r="C230" s="62" t="s">
        <v>114</v>
      </c>
      <c r="D230" s="63">
        <v>1</v>
      </c>
      <c r="E230" s="64">
        <v>1.2797542871799999E-4</v>
      </c>
    </row>
    <row r="231" spans="2:5" ht="15" customHeight="1">
      <c r="B231" s="77"/>
      <c r="C231" s="62" t="s">
        <v>115</v>
      </c>
      <c r="D231" s="63">
        <v>1</v>
      </c>
      <c r="E231" s="64">
        <v>1.2797542871799999E-4</v>
      </c>
    </row>
    <row r="232" spans="2:5" ht="15" customHeight="1">
      <c r="B232" s="77"/>
      <c r="C232" s="62" t="s">
        <v>116</v>
      </c>
      <c r="D232" s="63">
        <v>4</v>
      </c>
      <c r="E232" s="64">
        <v>5.1190171487100001E-4</v>
      </c>
    </row>
    <row r="233" spans="2:5" ht="15" customHeight="1">
      <c r="B233" s="77"/>
      <c r="C233" s="62" t="s">
        <v>117</v>
      </c>
      <c r="D233" s="63">
        <v>3</v>
      </c>
      <c r="E233" s="64">
        <v>3.8392628615299999E-4</v>
      </c>
    </row>
    <row r="234" spans="2:5" ht="15" customHeight="1">
      <c r="B234" s="77"/>
      <c r="C234" s="62" t="s">
        <v>121</v>
      </c>
      <c r="D234" s="63">
        <v>1</v>
      </c>
      <c r="E234" s="64">
        <v>1.2797542871799999E-4</v>
      </c>
    </row>
    <row r="235" spans="2:5" ht="15" customHeight="1">
      <c r="B235" s="77"/>
      <c r="C235" s="62" t="s">
        <v>122</v>
      </c>
      <c r="D235" s="63">
        <v>3</v>
      </c>
      <c r="E235" s="64">
        <v>3.8392628615299999E-4</v>
      </c>
    </row>
    <row r="236" spans="2:5" ht="15" customHeight="1">
      <c r="B236" s="77"/>
      <c r="C236" s="62" t="s">
        <v>123</v>
      </c>
      <c r="D236" s="63">
        <v>1</v>
      </c>
      <c r="E236" s="64">
        <v>1.2797542871799999E-4</v>
      </c>
    </row>
    <row r="237" spans="2:5" ht="15" customHeight="1">
      <c r="B237" s="77"/>
      <c r="C237" s="62" t="s">
        <v>124</v>
      </c>
      <c r="D237" s="63">
        <v>2</v>
      </c>
      <c r="E237" s="64">
        <v>2.5595085743500002E-4</v>
      </c>
    </row>
    <row r="238" spans="2:5" ht="15" customHeight="1">
      <c r="B238" s="77"/>
      <c r="C238" s="62" t="s">
        <v>126</v>
      </c>
      <c r="D238" s="63">
        <v>1</v>
      </c>
      <c r="E238" s="64">
        <v>1.2797542871799999E-4</v>
      </c>
    </row>
    <row r="239" spans="2:5" ht="15" customHeight="1">
      <c r="B239" s="77"/>
      <c r="C239" s="62" t="s">
        <v>127</v>
      </c>
      <c r="D239" s="63">
        <v>34</v>
      </c>
      <c r="E239" s="64">
        <v>4.3511645764010001E-3</v>
      </c>
    </row>
    <row r="240" spans="2:5" ht="15" customHeight="1">
      <c r="B240" s="77"/>
      <c r="C240" s="62" t="s">
        <v>131</v>
      </c>
      <c r="D240" s="63">
        <v>4</v>
      </c>
      <c r="E240" s="64">
        <v>5.1190171487100001E-4</v>
      </c>
    </row>
    <row r="241" spans="2:5" ht="15" customHeight="1">
      <c r="B241" s="77"/>
      <c r="C241" s="62" t="s">
        <v>132</v>
      </c>
      <c r="D241" s="63">
        <v>1</v>
      </c>
      <c r="E241" s="64">
        <v>1.2797542871799999E-4</v>
      </c>
    </row>
    <row r="242" spans="2:5" ht="15" customHeight="1">
      <c r="B242" s="77"/>
      <c r="C242" s="62" t="s">
        <v>133</v>
      </c>
      <c r="D242" s="63">
        <v>1</v>
      </c>
      <c r="E242" s="64">
        <v>1.2797542871799999E-4</v>
      </c>
    </row>
    <row r="243" spans="2:5" ht="15" customHeight="1">
      <c r="B243" s="77"/>
      <c r="C243" s="62" t="s">
        <v>134</v>
      </c>
      <c r="D243" s="63">
        <v>2</v>
      </c>
      <c r="E243" s="64">
        <v>2.5595085743500002E-4</v>
      </c>
    </row>
    <row r="244" spans="2:5" ht="15" customHeight="1">
      <c r="B244" s="77"/>
      <c r="C244" s="62" t="s">
        <v>135</v>
      </c>
      <c r="D244" s="63">
        <v>2</v>
      </c>
      <c r="E244" s="64">
        <v>2.5595085743500002E-4</v>
      </c>
    </row>
    <row r="245" spans="2:5" ht="15" customHeight="1">
      <c r="B245" s="77"/>
      <c r="C245" s="62" t="s">
        <v>137</v>
      </c>
      <c r="D245" s="63">
        <v>3</v>
      </c>
      <c r="E245" s="64">
        <v>3.8392628615299999E-4</v>
      </c>
    </row>
    <row r="246" spans="2:5" ht="15" customHeight="1">
      <c r="B246" s="77"/>
      <c r="C246" s="62" t="s">
        <v>138</v>
      </c>
      <c r="D246" s="63">
        <v>1</v>
      </c>
      <c r="E246" s="64">
        <v>1.2797542871799999E-4</v>
      </c>
    </row>
    <row r="247" spans="2:5" ht="15" customHeight="1">
      <c r="B247" s="77"/>
      <c r="C247" s="62" t="s">
        <v>139</v>
      </c>
      <c r="D247" s="63">
        <v>1</v>
      </c>
      <c r="E247" s="64">
        <v>1.2797542871799999E-4</v>
      </c>
    </row>
    <row r="248" spans="2:5" ht="15" customHeight="1">
      <c r="B248" s="77"/>
      <c r="C248" s="62" t="s">
        <v>140</v>
      </c>
      <c r="D248" s="63">
        <v>10</v>
      </c>
      <c r="E248" s="64">
        <v>1.279754287177E-3</v>
      </c>
    </row>
    <row r="249" spans="2:5" ht="15" customHeight="1">
      <c r="B249" s="77"/>
      <c r="C249" s="62" t="s">
        <v>141</v>
      </c>
      <c r="D249" s="63">
        <v>6</v>
      </c>
      <c r="E249" s="64">
        <v>7.6785257230599997E-4</v>
      </c>
    </row>
    <row r="250" spans="2:5" ht="15" customHeight="1">
      <c r="B250" s="77"/>
      <c r="C250" s="62" t="s">
        <v>142</v>
      </c>
      <c r="D250" s="63">
        <v>2</v>
      </c>
      <c r="E250" s="64">
        <v>2.5595085743500002E-4</v>
      </c>
    </row>
    <row r="251" spans="2:5" ht="15" customHeight="1">
      <c r="B251" s="77"/>
      <c r="C251" s="62" t="s">
        <v>82</v>
      </c>
      <c r="D251" s="63">
        <v>9</v>
      </c>
      <c r="E251" s="64">
        <v>1.1517788584590001E-3</v>
      </c>
    </row>
    <row r="252" spans="2:5" ht="15" customHeight="1">
      <c r="B252" s="77"/>
      <c r="C252" s="62" t="s">
        <v>143</v>
      </c>
      <c r="D252" s="63">
        <v>1</v>
      </c>
      <c r="E252" s="64">
        <v>1.2797542871799999E-4</v>
      </c>
    </row>
    <row r="253" spans="2:5" ht="15" customHeight="1">
      <c r="B253" s="78"/>
      <c r="C253" s="36" t="s">
        <v>29</v>
      </c>
      <c r="D253" s="35">
        <v>350</v>
      </c>
      <c r="E253" s="34">
        <v>4.4791400051189999E-2</v>
      </c>
    </row>
    <row r="254" spans="2:5" ht="15" customHeight="1">
      <c r="B254" s="76" t="s">
        <v>223</v>
      </c>
      <c r="C254" s="62" t="s">
        <v>101</v>
      </c>
      <c r="D254" s="63">
        <v>15</v>
      </c>
      <c r="E254" s="64">
        <v>1.919631430765E-3</v>
      </c>
    </row>
    <row r="255" spans="2:5" ht="15" customHeight="1">
      <c r="B255" s="77"/>
      <c r="C255" s="62" t="s">
        <v>102</v>
      </c>
      <c r="D255" s="63">
        <v>1</v>
      </c>
      <c r="E255" s="64">
        <v>1.2797542871799999E-4</v>
      </c>
    </row>
    <row r="256" spans="2:5" ht="15" customHeight="1">
      <c r="B256" s="77"/>
      <c r="C256" s="62" t="s">
        <v>103</v>
      </c>
      <c r="D256" s="63">
        <v>94</v>
      </c>
      <c r="E256" s="64">
        <v>1.2029690299463E-2</v>
      </c>
    </row>
    <row r="257" spans="2:5" ht="15" customHeight="1">
      <c r="B257" s="77"/>
      <c r="C257" s="62" t="s">
        <v>104</v>
      </c>
      <c r="D257" s="63">
        <v>11</v>
      </c>
      <c r="E257" s="64">
        <v>1.4077297158950001E-3</v>
      </c>
    </row>
    <row r="258" spans="2:5" ht="15" customHeight="1">
      <c r="B258" s="77"/>
      <c r="C258" s="62" t="s">
        <v>105</v>
      </c>
      <c r="D258" s="63">
        <v>1477</v>
      </c>
      <c r="E258" s="64">
        <v>0.18901970821602301</v>
      </c>
    </row>
    <row r="259" spans="2:5" ht="15" customHeight="1">
      <c r="B259" s="77"/>
      <c r="C259" s="62" t="s">
        <v>106</v>
      </c>
      <c r="D259" s="63">
        <v>63</v>
      </c>
      <c r="E259" s="64">
        <v>8.0624520092140006E-3</v>
      </c>
    </row>
    <row r="260" spans="2:5" ht="15" customHeight="1">
      <c r="B260" s="77"/>
      <c r="C260" s="62" t="s">
        <v>108</v>
      </c>
      <c r="D260" s="63">
        <v>2</v>
      </c>
      <c r="E260" s="64">
        <v>2.5595085743500002E-4</v>
      </c>
    </row>
    <row r="261" spans="2:5" ht="15" customHeight="1">
      <c r="B261" s="77"/>
      <c r="C261" s="62" t="s">
        <v>109</v>
      </c>
      <c r="D261" s="63">
        <v>51</v>
      </c>
      <c r="E261" s="64">
        <v>6.5267468646020002E-3</v>
      </c>
    </row>
    <row r="262" spans="2:5" ht="15" customHeight="1">
      <c r="B262" s="77"/>
      <c r="C262" s="62" t="s">
        <v>110</v>
      </c>
      <c r="D262" s="63">
        <v>21</v>
      </c>
      <c r="E262" s="64">
        <v>2.687484003071E-3</v>
      </c>
    </row>
    <row r="263" spans="2:5" ht="15" customHeight="1">
      <c r="B263" s="77"/>
      <c r="C263" s="62" t="s">
        <v>111</v>
      </c>
      <c r="D263" s="63">
        <v>5</v>
      </c>
      <c r="E263" s="64">
        <v>6.3987714358799996E-4</v>
      </c>
    </row>
    <row r="264" spans="2:5" ht="15" customHeight="1">
      <c r="B264" s="77"/>
      <c r="C264" s="62" t="s">
        <v>112</v>
      </c>
      <c r="D264" s="63">
        <v>30</v>
      </c>
      <c r="E264" s="64">
        <v>3.8392628615310002E-3</v>
      </c>
    </row>
    <row r="265" spans="2:5" ht="15" customHeight="1">
      <c r="B265" s="77"/>
      <c r="C265" s="62" t="s">
        <v>113</v>
      </c>
      <c r="D265" s="63">
        <v>80</v>
      </c>
      <c r="E265" s="64">
        <v>1.0238034297415001E-2</v>
      </c>
    </row>
    <row r="266" spans="2:5" ht="15" customHeight="1">
      <c r="B266" s="77"/>
      <c r="C266" s="62" t="s">
        <v>114</v>
      </c>
      <c r="D266" s="63">
        <v>22</v>
      </c>
      <c r="E266" s="64">
        <v>2.8154594317890001E-3</v>
      </c>
    </row>
    <row r="267" spans="2:5" ht="15" customHeight="1">
      <c r="B267" s="77"/>
      <c r="C267" s="62" t="s">
        <v>115</v>
      </c>
      <c r="D267" s="63">
        <v>6</v>
      </c>
      <c r="E267" s="64">
        <v>7.6785257230599997E-4</v>
      </c>
    </row>
    <row r="268" spans="2:5" ht="15" customHeight="1">
      <c r="B268" s="77"/>
      <c r="C268" s="62" t="s">
        <v>116</v>
      </c>
      <c r="D268" s="63">
        <v>15</v>
      </c>
      <c r="E268" s="64">
        <v>1.919631430765E-3</v>
      </c>
    </row>
    <row r="269" spans="2:5" ht="15" customHeight="1">
      <c r="B269" s="77"/>
      <c r="C269" s="62" t="s">
        <v>117</v>
      </c>
      <c r="D269" s="63">
        <v>28</v>
      </c>
      <c r="E269" s="64">
        <v>3.5833120040949999E-3</v>
      </c>
    </row>
    <row r="270" spans="2:5" ht="15" customHeight="1">
      <c r="B270" s="77"/>
      <c r="C270" s="62" t="s">
        <v>118</v>
      </c>
      <c r="D270" s="63">
        <v>2</v>
      </c>
      <c r="E270" s="64">
        <v>2.5595085743500002E-4</v>
      </c>
    </row>
    <row r="271" spans="2:5" ht="15" customHeight="1">
      <c r="B271" s="77"/>
      <c r="C271" s="62" t="s">
        <v>119</v>
      </c>
      <c r="D271" s="63">
        <v>1</v>
      </c>
      <c r="E271" s="64">
        <v>1.2797542871799999E-4</v>
      </c>
    </row>
    <row r="272" spans="2:5" ht="15" customHeight="1">
      <c r="B272" s="77"/>
      <c r="C272" s="62" t="s">
        <v>121</v>
      </c>
      <c r="D272" s="63">
        <v>9</v>
      </c>
      <c r="E272" s="64">
        <v>1.1517788584590001E-3</v>
      </c>
    </row>
    <row r="273" spans="2:5" ht="15" customHeight="1">
      <c r="B273" s="77"/>
      <c r="C273" s="62" t="s">
        <v>122</v>
      </c>
      <c r="D273" s="63">
        <v>42</v>
      </c>
      <c r="E273" s="64">
        <v>5.3749680061430001E-3</v>
      </c>
    </row>
    <row r="274" spans="2:5" ht="15" customHeight="1">
      <c r="B274" s="77"/>
      <c r="C274" s="62" t="s">
        <v>123</v>
      </c>
      <c r="D274" s="63">
        <v>2</v>
      </c>
      <c r="E274" s="64">
        <v>2.5595085743500002E-4</v>
      </c>
    </row>
    <row r="275" spans="2:5" ht="15" customHeight="1">
      <c r="B275" s="77"/>
      <c r="C275" s="62" t="s">
        <v>124</v>
      </c>
      <c r="D275" s="63">
        <v>5</v>
      </c>
      <c r="E275" s="64">
        <v>6.3987714358799996E-4</v>
      </c>
    </row>
    <row r="276" spans="2:5" ht="15" customHeight="1">
      <c r="B276" s="77"/>
      <c r="C276" s="62" t="s">
        <v>125</v>
      </c>
      <c r="D276" s="63">
        <v>2</v>
      </c>
      <c r="E276" s="64">
        <v>2.5595085743500002E-4</v>
      </c>
    </row>
    <row r="277" spans="2:5" ht="15" customHeight="1">
      <c r="B277" s="77"/>
      <c r="C277" s="62" t="s">
        <v>126</v>
      </c>
      <c r="D277" s="63">
        <v>12</v>
      </c>
      <c r="E277" s="64">
        <v>1.5357051446119999E-3</v>
      </c>
    </row>
    <row r="278" spans="2:5" ht="15" customHeight="1">
      <c r="B278" s="77"/>
      <c r="C278" s="62" t="s">
        <v>127</v>
      </c>
      <c r="D278" s="63">
        <v>142</v>
      </c>
      <c r="E278" s="64">
        <v>1.8172510877911E-2</v>
      </c>
    </row>
    <row r="279" spans="2:5" ht="15" customHeight="1">
      <c r="B279" s="77"/>
      <c r="C279" s="62" t="s">
        <v>128</v>
      </c>
      <c r="D279" s="63">
        <v>5</v>
      </c>
      <c r="E279" s="64">
        <v>6.3987714358799996E-4</v>
      </c>
    </row>
    <row r="280" spans="2:5" ht="15" customHeight="1">
      <c r="B280" s="77"/>
      <c r="C280" s="62" t="s">
        <v>129</v>
      </c>
      <c r="D280" s="63">
        <v>6</v>
      </c>
      <c r="E280" s="64">
        <v>7.6785257230599997E-4</v>
      </c>
    </row>
    <row r="281" spans="2:5" ht="15" customHeight="1">
      <c r="B281" s="77"/>
      <c r="C281" s="62" t="s">
        <v>130</v>
      </c>
      <c r="D281" s="63">
        <v>5</v>
      </c>
      <c r="E281" s="64">
        <v>6.3987714358799996E-4</v>
      </c>
    </row>
    <row r="282" spans="2:5" ht="15" customHeight="1">
      <c r="B282" s="77"/>
      <c r="C282" s="62" t="s">
        <v>131</v>
      </c>
      <c r="D282" s="63">
        <v>47</v>
      </c>
      <c r="E282" s="64">
        <v>6.0148451497309997E-3</v>
      </c>
    </row>
    <row r="283" spans="2:5" ht="15" customHeight="1">
      <c r="B283" s="77"/>
      <c r="C283" s="62" t="s">
        <v>133</v>
      </c>
      <c r="D283" s="63">
        <v>12</v>
      </c>
      <c r="E283" s="64">
        <v>1.5357051446119999E-3</v>
      </c>
    </row>
    <row r="284" spans="2:5" ht="15" customHeight="1">
      <c r="B284" s="77"/>
      <c r="C284" s="62" t="s">
        <v>134</v>
      </c>
      <c r="D284" s="63">
        <v>19</v>
      </c>
      <c r="E284" s="64">
        <v>2.4315331456359998E-3</v>
      </c>
    </row>
    <row r="285" spans="2:5" ht="15" customHeight="1">
      <c r="B285" s="77"/>
      <c r="C285" s="62" t="s">
        <v>135</v>
      </c>
      <c r="D285" s="63">
        <v>28</v>
      </c>
      <c r="E285" s="64">
        <v>3.5833120040949999E-3</v>
      </c>
    </row>
    <row r="286" spans="2:5" ht="15" customHeight="1">
      <c r="B286" s="77"/>
      <c r="C286" s="62" t="s">
        <v>136</v>
      </c>
      <c r="D286" s="63">
        <v>8</v>
      </c>
      <c r="E286" s="64">
        <v>1.0238034297409999E-3</v>
      </c>
    </row>
    <row r="287" spans="2:5" ht="15" customHeight="1">
      <c r="B287" s="77"/>
      <c r="C287" s="62" t="s">
        <v>137</v>
      </c>
      <c r="D287" s="63">
        <v>30</v>
      </c>
      <c r="E287" s="64">
        <v>3.8392628615310002E-3</v>
      </c>
    </row>
    <row r="288" spans="2:5" ht="15" customHeight="1">
      <c r="B288" s="77"/>
      <c r="C288" s="62" t="s">
        <v>138</v>
      </c>
      <c r="D288" s="63">
        <v>3</v>
      </c>
      <c r="E288" s="64">
        <v>3.8392628615299999E-4</v>
      </c>
    </row>
    <row r="289" spans="2:5" ht="15" customHeight="1">
      <c r="B289" s="77"/>
      <c r="C289" s="62" t="s">
        <v>139</v>
      </c>
      <c r="D289" s="63">
        <v>17</v>
      </c>
      <c r="E289" s="64">
        <v>2.1755822882010001E-3</v>
      </c>
    </row>
    <row r="290" spans="2:5" ht="15" customHeight="1">
      <c r="B290" s="77"/>
      <c r="C290" s="62" t="s">
        <v>140</v>
      </c>
      <c r="D290" s="63">
        <v>97</v>
      </c>
      <c r="E290" s="64">
        <v>1.2413616585616001E-2</v>
      </c>
    </row>
    <row r="291" spans="2:5" ht="15" customHeight="1">
      <c r="B291" s="77"/>
      <c r="C291" s="62" t="s">
        <v>141</v>
      </c>
      <c r="D291" s="63">
        <v>40</v>
      </c>
      <c r="E291" s="64">
        <v>5.1190171487069999E-3</v>
      </c>
    </row>
    <row r="292" spans="2:5" ht="15" customHeight="1">
      <c r="B292" s="77"/>
      <c r="C292" s="62" t="s">
        <v>142</v>
      </c>
      <c r="D292" s="63">
        <v>8</v>
      </c>
      <c r="E292" s="64">
        <v>1.0238034297409999E-3</v>
      </c>
    </row>
    <row r="293" spans="2:5" ht="15" customHeight="1">
      <c r="B293" s="77"/>
      <c r="C293" s="62" t="s">
        <v>82</v>
      </c>
      <c r="D293" s="63">
        <v>28</v>
      </c>
      <c r="E293" s="64">
        <v>3.5833120040949999E-3</v>
      </c>
    </row>
    <row r="294" spans="2:5" ht="15" customHeight="1">
      <c r="B294" s="77"/>
      <c r="C294" s="62" t="s">
        <v>143</v>
      </c>
      <c r="D294" s="63">
        <v>16</v>
      </c>
      <c r="E294" s="64">
        <v>2.047606859483E-3</v>
      </c>
    </row>
    <row r="295" spans="2:5" ht="15" customHeight="1">
      <c r="B295" s="77"/>
      <c r="C295" s="62" t="s">
        <v>144</v>
      </c>
      <c r="D295" s="63">
        <v>7</v>
      </c>
      <c r="E295" s="64">
        <v>8.9582800102399999E-4</v>
      </c>
    </row>
    <row r="296" spans="2:5" ht="15" customHeight="1">
      <c r="B296" s="78"/>
      <c r="C296" s="36" t="s">
        <v>29</v>
      </c>
      <c r="D296" s="35">
        <v>2514</v>
      </c>
      <c r="E296" s="34">
        <v>0.32173022779626298</v>
      </c>
    </row>
    <row r="297" spans="2:5" ht="15" customHeight="1">
      <c r="B297" s="76" t="s">
        <v>224</v>
      </c>
      <c r="C297" s="62" t="s">
        <v>101</v>
      </c>
      <c r="D297" s="63">
        <v>1</v>
      </c>
      <c r="E297" s="64">
        <v>1.2797542871799999E-4</v>
      </c>
    </row>
    <row r="298" spans="2:5" ht="15" customHeight="1">
      <c r="B298" s="77"/>
      <c r="C298" s="62" t="s">
        <v>103</v>
      </c>
      <c r="D298" s="63">
        <v>8</v>
      </c>
      <c r="E298" s="64">
        <v>1.0238034297409999E-3</v>
      </c>
    </row>
    <row r="299" spans="2:5" ht="15" customHeight="1">
      <c r="B299" s="77"/>
      <c r="C299" s="62" t="s">
        <v>105</v>
      </c>
      <c r="D299" s="63">
        <v>86</v>
      </c>
      <c r="E299" s="64">
        <v>1.1005886869721E-2</v>
      </c>
    </row>
    <row r="300" spans="2:5" ht="15" customHeight="1">
      <c r="B300" s="77"/>
      <c r="C300" s="62" t="s">
        <v>106</v>
      </c>
      <c r="D300" s="63">
        <v>3</v>
      </c>
      <c r="E300" s="64">
        <v>3.8392628615299999E-4</v>
      </c>
    </row>
    <row r="301" spans="2:5" ht="15" customHeight="1">
      <c r="B301" s="77"/>
      <c r="C301" s="62" t="s">
        <v>108</v>
      </c>
      <c r="D301" s="63">
        <v>1</v>
      </c>
      <c r="E301" s="64">
        <v>1.2797542871799999E-4</v>
      </c>
    </row>
    <row r="302" spans="2:5" ht="15" customHeight="1">
      <c r="B302" s="77"/>
      <c r="C302" s="62" t="s">
        <v>109</v>
      </c>
      <c r="D302" s="63">
        <v>2</v>
      </c>
      <c r="E302" s="64">
        <v>2.5595085743500002E-4</v>
      </c>
    </row>
    <row r="303" spans="2:5" ht="15" customHeight="1">
      <c r="B303" s="77"/>
      <c r="C303" s="62" t="s">
        <v>110</v>
      </c>
      <c r="D303" s="63">
        <v>2</v>
      </c>
      <c r="E303" s="64">
        <v>2.5595085743500002E-4</v>
      </c>
    </row>
    <row r="304" spans="2:5" ht="15" customHeight="1">
      <c r="B304" s="77"/>
      <c r="C304" s="62" t="s">
        <v>112</v>
      </c>
      <c r="D304" s="63">
        <v>1</v>
      </c>
      <c r="E304" s="64">
        <v>1.2797542871799999E-4</v>
      </c>
    </row>
    <row r="305" spans="2:5" ht="15" customHeight="1">
      <c r="B305" s="77"/>
      <c r="C305" s="62" t="s">
        <v>113</v>
      </c>
      <c r="D305" s="63">
        <v>2</v>
      </c>
      <c r="E305" s="64">
        <v>2.5595085743500002E-4</v>
      </c>
    </row>
    <row r="306" spans="2:5" ht="15" customHeight="1">
      <c r="B306" s="77"/>
      <c r="C306" s="62" t="s">
        <v>114</v>
      </c>
      <c r="D306" s="63">
        <v>2</v>
      </c>
      <c r="E306" s="64">
        <v>2.5595085743500002E-4</v>
      </c>
    </row>
    <row r="307" spans="2:5" ht="15" customHeight="1">
      <c r="B307" s="77"/>
      <c r="C307" s="62" t="s">
        <v>116</v>
      </c>
      <c r="D307" s="63">
        <v>1</v>
      </c>
      <c r="E307" s="64">
        <v>1.2797542871799999E-4</v>
      </c>
    </row>
    <row r="308" spans="2:5" ht="15" customHeight="1">
      <c r="B308" s="77"/>
      <c r="C308" s="62" t="s">
        <v>117</v>
      </c>
      <c r="D308" s="63">
        <v>2</v>
      </c>
      <c r="E308" s="64">
        <v>2.5595085743500002E-4</v>
      </c>
    </row>
    <row r="309" spans="2:5" ht="15" customHeight="1">
      <c r="B309" s="77"/>
      <c r="C309" s="62" t="s">
        <v>122</v>
      </c>
      <c r="D309" s="63">
        <v>2</v>
      </c>
      <c r="E309" s="64">
        <v>2.5595085743500002E-4</v>
      </c>
    </row>
    <row r="310" spans="2:5" ht="15" customHeight="1">
      <c r="B310" s="77"/>
      <c r="C310" s="62" t="s">
        <v>126</v>
      </c>
      <c r="D310" s="63">
        <v>1</v>
      </c>
      <c r="E310" s="64">
        <v>1.2797542871799999E-4</v>
      </c>
    </row>
    <row r="311" spans="2:5" ht="15" customHeight="1">
      <c r="B311" s="77"/>
      <c r="C311" s="62" t="s">
        <v>127</v>
      </c>
      <c r="D311" s="63">
        <v>11</v>
      </c>
      <c r="E311" s="64">
        <v>1.4077297158950001E-3</v>
      </c>
    </row>
    <row r="312" spans="2:5" ht="15" customHeight="1">
      <c r="B312" s="77"/>
      <c r="C312" s="62" t="s">
        <v>131</v>
      </c>
      <c r="D312" s="63">
        <v>2</v>
      </c>
      <c r="E312" s="64">
        <v>2.5595085743500002E-4</v>
      </c>
    </row>
    <row r="313" spans="2:5" ht="15" customHeight="1">
      <c r="B313" s="77"/>
      <c r="C313" s="62" t="s">
        <v>132</v>
      </c>
      <c r="D313" s="63">
        <v>1</v>
      </c>
      <c r="E313" s="64">
        <v>1.2797542871799999E-4</v>
      </c>
    </row>
    <row r="314" spans="2:5" ht="15" customHeight="1">
      <c r="B314" s="77"/>
      <c r="C314" s="62" t="s">
        <v>133</v>
      </c>
      <c r="D314" s="63">
        <v>1</v>
      </c>
      <c r="E314" s="64">
        <v>1.2797542871799999E-4</v>
      </c>
    </row>
    <row r="315" spans="2:5" ht="15" customHeight="1">
      <c r="B315" s="77"/>
      <c r="C315" s="62" t="s">
        <v>134</v>
      </c>
      <c r="D315" s="63">
        <v>2</v>
      </c>
      <c r="E315" s="64">
        <v>2.5595085743500002E-4</v>
      </c>
    </row>
    <row r="316" spans="2:5" ht="15" customHeight="1">
      <c r="B316" s="77"/>
      <c r="C316" s="62" t="s">
        <v>135</v>
      </c>
      <c r="D316" s="63">
        <v>3</v>
      </c>
      <c r="E316" s="64">
        <v>3.8392628615299999E-4</v>
      </c>
    </row>
    <row r="317" spans="2:5" ht="15" customHeight="1">
      <c r="B317" s="77"/>
      <c r="C317" s="62" t="s">
        <v>136</v>
      </c>
      <c r="D317" s="63">
        <v>1</v>
      </c>
      <c r="E317" s="64">
        <v>1.2797542871799999E-4</v>
      </c>
    </row>
    <row r="318" spans="2:5" ht="15" customHeight="1">
      <c r="B318" s="77"/>
      <c r="C318" s="62" t="s">
        <v>139</v>
      </c>
      <c r="D318" s="63">
        <v>2</v>
      </c>
      <c r="E318" s="64">
        <v>2.5595085743500002E-4</v>
      </c>
    </row>
    <row r="319" spans="2:5" ht="15" customHeight="1">
      <c r="B319" s="77"/>
      <c r="C319" s="62" t="s">
        <v>140</v>
      </c>
      <c r="D319" s="63">
        <v>5</v>
      </c>
      <c r="E319" s="64">
        <v>6.3987714358799996E-4</v>
      </c>
    </row>
    <row r="320" spans="2:5" ht="15" customHeight="1">
      <c r="B320" s="77"/>
      <c r="C320" s="62" t="s">
        <v>142</v>
      </c>
      <c r="D320" s="63">
        <v>1</v>
      </c>
      <c r="E320" s="64">
        <v>1.2797542871799999E-4</v>
      </c>
    </row>
    <row r="321" spans="2:5" ht="15" customHeight="1">
      <c r="B321" s="77"/>
      <c r="C321" s="62" t="s">
        <v>82</v>
      </c>
      <c r="D321" s="63">
        <v>1</v>
      </c>
      <c r="E321" s="64">
        <v>1.2797542871799999E-4</v>
      </c>
    </row>
    <row r="322" spans="2:5" ht="15" customHeight="1">
      <c r="B322" s="78"/>
      <c r="C322" s="36" t="s">
        <v>29</v>
      </c>
      <c r="D322" s="35">
        <v>144</v>
      </c>
      <c r="E322" s="34">
        <v>1.8428461735346999E-2</v>
      </c>
    </row>
    <row r="323" spans="2:5" ht="15" customHeight="1">
      <c r="B323" s="76" t="s">
        <v>225</v>
      </c>
      <c r="C323" s="62" t="s">
        <v>103</v>
      </c>
      <c r="D323" s="63">
        <v>25</v>
      </c>
      <c r="E323" s="64">
        <v>3.199385717942E-3</v>
      </c>
    </row>
    <row r="324" spans="2:5" ht="15" customHeight="1">
      <c r="B324" s="77"/>
      <c r="C324" s="62" t="s">
        <v>104</v>
      </c>
      <c r="D324" s="63">
        <v>1</v>
      </c>
      <c r="E324" s="64">
        <v>1.2797542871799999E-4</v>
      </c>
    </row>
    <row r="325" spans="2:5" ht="15" customHeight="1">
      <c r="B325" s="77"/>
      <c r="C325" s="62" t="s">
        <v>105</v>
      </c>
      <c r="D325" s="63">
        <v>255</v>
      </c>
      <c r="E325" s="64">
        <v>3.2633734323009998E-2</v>
      </c>
    </row>
    <row r="326" spans="2:5" ht="15" customHeight="1">
      <c r="B326" s="77"/>
      <c r="C326" s="62" t="s">
        <v>106</v>
      </c>
      <c r="D326" s="63">
        <v>13</v>
      </c>
      <c r="E326" s="64">
        <v>1.6636805733300001E-3</v>
      </c>
    </row>
    <row r="327" spans="2:5" ht="15" customHeight="1">
      <c r="B327" s="77"/>
      <c r="C327" s="62" t="s">
        <v>109</v>
      </c>
      <c r="D327" s="63">
        <v>10</v>
      </c>
      <c r="E327" s="64">
        <v>1.279754287177E-3</v>
      </c>
    </row>
    <row r="328" spans="2:5" ht="15" customHeight="1">
      <c r="B328" s="77"/>
      <c r="C328" s="62" t="s">
        <v>110</v>
      </c>
      <c r="D328" s="63">
        <v>3</v>
      </c>
      <c r="E328" s="64">
        <v>3.8392628615299999E-4</v>
      </c>
    </row>
    <row r="329" spans="2:5" ht="15" customHeight="1">
      <c r="B329" s="77"/>
      <c r="C329" s="62" t="s">
        <v>112</v>
      </c>
      <c r="D329" s="63">
        <v>8</v>
      </c>
      <c r="E329" s="64">
        <v>1.0238034297409999E-3</v>
      </c>
    </row>
    <row r="330" spans="2:5" ht="15" customHeight="1">
      <c r="B330" s="77"/>
      <c r="C330" s="62" t="s">
        <v>113</v>
      </c>
      <c r="D330" s="63">
        <v>5</v>
      </c>
      <c r="E330" s="64">
        <v>6.3987714358799996E-4</v>
      </c>
    </row>
    <row r="331" spans="2:5" ht="15" customHeight="1">
      <c r="B331" s="77"/>
      <c r="C331" s="62" t="s">
        <v>114</v>
      </c>
      <c r="D331" s="63">
        <v>1</v>
      </c>
      <c r="E331" s="64">
        <v>1.2797542871799999E-4</v>
      </c>
    </row>
    <row r="332" spans="2:5" ht="15" customHeight="1">
      <c r="B332" s="77"/>
      <c r="C332" s="62" t="s">
        <v>115</v>
      </c>
      <c r="D332" s="63">
        <v>2</v>
      </c>
      <c r="E332" s="64">
        <v>2.5595085743500002E-4</v>
      </c>
    </row>
    <row r="333" spans="2:5" ht="15" customHeight="1">
      <c r="B333" s="77"/>
      <c r="C333" s="62" t="s">
        <v>116</v>
      </c>
      <c r="D333" s="63">
        <v>6</v>
      </c>
      <c r="E333" s="64">
        <v>7.6785257230599997E-4</v>
      </c>
    </row>
    <row r="334" spans="2:5" ht="15" customHeight="1">
      <c r="B334" s="77"/>
      <c r="C334" s="62" t="s">
        <v>117</v>
      </c>
      <c r="D334" s="63">
        <v>6</v>
      </c>
      <c r="E334" s="64">
        <v>7.6785257230599997E-4</v>
      </c>
    </row>
    <row r="335" spans="2:5" ht="15" customHeight="1">
      <c r="B335" s="77"/>
      <c r="C335" s="62" t="s">
        <v>118</v>
      </c>
      <c r="D335" s="63">
        <v>1</v>
      </c>
      <c r="E335" s="64">
        <v>1.2797542871799999E-4</v>
      </c>
    </row>
    <row r="336" spans="2:5" ht="15" customHeight="1">
      <c r="B336" s="77"/>
      <c r="C336" s="62" t="s">
        <v>121</v>
      </c>
      <c r="D336" s="63">
        <v>6</v>
      </c>
      <c r="E336" s="64">
        <v>7.6785257230599997E-4</v>
      </c>
    </row>
    <row r="337" spans="2:5" ht="15" customHeight="1">
      <c r="B337" s="77"/>
      <c r="C337" s="62" t="s">
        <v>122</v>
      </c>
      <c r="D337" s="63">
        <v>11</v>
      </c>
      <c r="E337" s="64">
        <v>1.4077297158950001E-3</v>
      </c>
    </row>
    <row r="338" spans="2:5" ht="15" customHeight="1">
      <c r="B338" s="77"/>
      <c r="C338" s="62" t="s">
        <v>124</v>
      </c>
      <c r="D338" s="63">
        <v>1</v>
      </c>
      <c r="E338" s="64">
        <v>1.2797542871799999E-4</v>
      </c>
    </row>
    <row r="339" spans="2:5" ht="15" customHeight="1">
      <c r="B339" s="77"/>
      <c r="C339" s="62" t="s">
        <v>125</v>
      </c>
      <c r="D339" s="63">
        <v>1</v>
      </c>
      <c r="E339" s="64">
        <v>1.2797542871799999E-4</v>
      </c>
    </row>
    <row r="340" spans="2:5" ht="15" customHeight="1">
      <c r="B340" s="77"/>
      <c r="C340" s="62" t="s">
        <v>126</v>
      </c>
      <c r="D340" s="63">
        <v>2</v>
      </c>
      <c r="E340" s="64">
        <v>2.5595085743500002E-4</v>
      </c>
    </row>
    <row r="341" spans="2:5" ht="15" customHeight="1">
      <c r="B341" s="77"/>
      <c r="C341" s="62" t="s">
        <v>127</v>
      </c>
      <c r="D341" s="63">
        <v>41</v>
      </c>
      <c r="E341" s="64">
        <v>5.246992577425E-3</v>
      </c>
    </row>
    <row r="342" spans="2:5" ht="15" customHeight="1">
      <c r="B342" s="77"/>
      <c r="C342" s="62" t="s">
        <v>128</v>
      </c>
      <c r="D342" s="63">
        <v>2</v>
      </c>
      <c r="E342" s="64">
        <v>2.5595085743500002E-4</v>
      </c>
    </row>
    <row r="343" spans="2:5" ht="15" customHeight="1">
      <c r="B343" s="77"/>
      <c r="C343" s="62" t="s">
        <v>129</v>
      </c>
      <c r="D343" s="63">
        <v>3</v>
      </c>
      <c r="E343" s="64">
        <v>3.8392628615299999E-4</v>
      </c>
    </row>
    <row r="344" spans="2:5" ht="15" customHeight="1">
      <c r="B344" s="77"/>
      <c r="C344" s="62" t="s">
        <v>130</v>
      </c>
      <c r="D344" s="63">
        <v>1</v>
      </c>
      <c r="E344" s="64">
        <v>1.2797542871799999E-4</v>
      </c>
    </row>
    <row r="345" spans="2:5" ht="15" customHeight="1">
      <c r="B345" s="77"/>
      <c r="C345" s="62" t="s">
        <v>131</v>
      </c>
      <c r="D345" s="63">
        <v>5</v>
      </c>
      <c r="E345" s="64">
        <v>6.3987714358799996E-4</v>
      </c>
    </row>
    <row r="346" spans="2:5" ht="15" customHeight="1">
      <c r="B346" s="77"/>
      <c r="C346" s="62" t="s">
        <v>133</v>
      </c>
      <c r="D346" s="63">
        <v>2</v>
      </c>
      <c r="E346" s="64">
        <v>2.5595085743500002E-4</v>
      </c>
    </row>
    <row r="347" spans="2:5" ht="15" customHeight="1">
      <c r="B347" s="77"/>
      <c r="C347" s="62" t="s">
        <v>134</v>
      </c>
      <c r="D347" s="63">
        <v>7</v>
      </c>
      <c r="E347" s="64">
        <v>8.9582800102399999E-4</v>
      </c>
    </row>
    <row r="348" spans="2:5" ht="15" customHeight="1">
      <c r="B348" s="77"/>
      <c r="C348" s="62" t="s">
        <v>135</v>
      </c>
      <c r="D348" s="63">
        <v>10</v>
      </c>
      <c r="E348" s="64">
        <v>1.279754287177E-3</v>
      </c>
    </row>
    <row r="349" spans="2:5" ht="15" customHeight="1">
      <c r="B349" s="77"/>
      <c r="C349" s="62" t="s">
        <v>136</v>
      </c>
      <c r="D349" s="63">
        <v>3</v>
      </c>
      <c r="E349" s="64">
        <v>3.8392628615299999E-4</v>
      </c>
    </row>
    <row r="350" spans="2:5" ht="15" customHeight="1">
      <c r="B350" s="77"/>
      <c r="C350" s="62" t="s">
        <v>137</v>
      </c>
      <c r="D350" s="63">
        <v>2</v>
      </c>
      <c r="E350" s="64">
        <v>2.5595085743500002E-4</v>
      </c>
    </row>
    <row r="351" spans="2:5" ht="15" customHeight="1">
      <c r="B351" s="77"/>
      <c r="C351" s="62" t="s">
        <v>139</v>
      </c>
      <c r="D351" s="63">
        <v>6</v>
      </c>
      <c r="E351" s="64">
        <v>7.6785257230599997E-4</v>
      </c>
    </row>
    <row r="352" spans="2:5" ht="15" customHeight="1">
      <c r="B352" s="77"/>
      <c r="C352" s="62" t="s">
        <v>140</v>
      </c>
      <c r="D352" s="63">
        <v>23</v>
      </c>
      <c r="E352" s="64">
        <v>2.9434348605069998E-3</v>
      </c>
    </row>
    <row r="353" spans="2:5" ht="15" customHeight="1">
      <c r="B353" s="77"/>
      <c r="C353" s="62" t="s">
        <v>141</v>
      </c>
      <c r="D353" s="63">
        <v>3</v>
      </c>
      <c r="E353" s="64">
        <v>3.8392628615299999E-4</v>
      </c>
    </row>
    <row r="354" spans="2:5" ht="15" customHeight="1">
      <c r="B354" s="77"/>
      <c r="C354" s="62" t="s">
        <v>142</v>
      </c>
      <c r="D354" s="63">
        <v>6</v>
      </c>
      <c r="E354" s="64">
        <v>7.6785257230599997E-4</v>
      </c>
    </row>
    <row r="355" spans="2:5" ht="15" customHeight="1">
      <c r="B355" s="77"/>
      <c r="C355" s="62" t="s">
        <v>82</v>
      </c>
      <c r="D355" s="63">
        <v>11</v>
      </c>
      <c r="E355" s="64">
        <v>1.4077297158950001E-3</v>
      </c>
    </row>
    <row r="356" spans="2:5" ht="15" customHeight="1">
      <c r="B356" s="78"/>
      <c r="C356" s="36" t="s">
        <v>29</v>
      </c>
      <c r="D356" s="35">
        <v>482</v>
      </c>
      <c r="E356" s="34">
        <v>6.1684156641925003E-2</v>
      </c>
    </row>
    <row r="357" spans="2:5" ht="15" customHeight="1">
      <c r="B357" s="76" t="s">
        <v>226</v>
      </c>
      <c r="C357" s="62" t="s">
        <v>101</v>
      </c>
      <c r="D357" s="63">
        <v>9</v>
      </c>
      <c r="E357" s="64">
        <v>1.1517788584590001E-3</v>
      </c>
    </row>
    <row r="358" spans="2:5" ht="15" customHeight="1">
      <c r="B358" s="77"/>
      <c r="C358" s="62" t="s">
        <v>103</v>
      </c>
      <c r="D358" s="63">
        <v>52</v>
      </c>
      <c r="E358" s="64">
        <v>6.6547222933200003E-3</v>
      </c>
    </row>
    <row r="359" spans="2:5" ht="15" customHeight="1">
      <c r="B359" s="77"/>
      <c r="C359" s="62" t="s">
        <v>104</v>
      </c>
      <c r="D359" s="63">
        <v>10</v>
      </c>
      <c r="E359" s="64">
        <v>1.279754287177E-3</v>
      </c>
    </row>
    <row r="360" spans="2:5" ht="15" customHeight="1">
      <c r="B360" s="77"/>
      <c r="C360" s="62" t="s">
        <v>105</v>
      </c>
      <c r="D360" s="63">
        <v>911</v>
      </c>
      <c r="E360" s="64">
        <v>0.116585615561812</v>
      </c>
    </row>
    <row r="361" spans="2:5" ht="15" customHeight="1">
      <c r="B361" s="77"/>
      <c r="C361" s="62" t="s">
        <v>106</v>
      </c>
      <c r="D361" s="63">
        <v>57</v>
      </c>
      <c r="E361" s="64">
        <v>7.2945994369079999E-3</v>
      </c>
    </row>
    <row r="362" spans="2:5" ht="15" customHeight="1">
      <c r="B362" s="77"/>
      <c r="C362" s="62" t="s">
        <v>108</v>
      </c>
      <c r="D362" s="63">
        <v>1</v>
      </c>
      <c r="E362" s="64">
        <v>1.2797542871799999E-4</v>
      </c>
    </row>
    <row r="363" spans="2:5" ht="15" customHeight="1">
      <c r="B363" s="77"/>
      <c r="C363" s="62" t="s">
        <v>109</v>
      </c>
      <c r="D363" s="63">
        <v>13</v>
      </c>
      <c r="E363" s="64">
        <v>1.6636805733300001E-3</v>
      </c>
    </row>
    <row r="364" spans="2:5" ht="15" customHeight="1">
      <c r="B364" s="77"/>
      <c r="C364" s="62" t="s">
        <v>110</v>
      </c>
      <c r="D364" s="63">
        <v>15</v>
      </c>
      <c r="E364" s="64">
        <v>1.919631430765E-3</v>
      </c>
    </row>
    <row r="365" spans="2:5" ht="15" customHeight="1">
      <c r="B365" s="77"/>
      <c r="C365" s="62" t="s">
        <v>111</v>
      </c>
      <c r="D365" s="63">
        <v>6</v>
      </c>
      <c r="E365" s="64">
        <v>7.6785257230599997E-4</v>
      </c>
    </row>
    <row r="366" spans="2:5" ht="15" customHeight="1">
      <c r="B366" s="77"/>
      <c r="C366" s="62" t="s">
        <v>112</v>
      </c>
      <c r="D366" s="63">
        <v>22</v>
      </c>
      <c r="E366" s="64">
        <v>2.8154594317890001E-3</v>
      </c>
    </row>
    <row r="367" spans="2:5" ht="15" customHeight="1">
      <c r="B367" s="77"/>
      <c r="C367" s="62" t="s">
        <v>113</v>
      </c>
      <c r="D367" s="63">
        <v>47</v>
      </c>
      <c r="E367" s="64">
        <v>6.0148451497309997E-3</v>
      </c>
    </row>
    <row r="368" spans="2:5" ht="15" customHeight="1">
      <c r="B368" s="77"/>
      <c r="C368" s="62" t="s">
        <v>114</v>
      </c>
      <c r="D368" s="63">
        <v>18</v>
      </c>
      <c r="E368" s="64">
        <v>2.3035577169180001E-3</v>
      </c>
    </row>
    <row r="369" spans="2:5" ht="15" customHeight="1">
      <c r="B369" s="77"/>
      <c r="C369" s="62" t="s">
        <v>115</v>
      </c>
      <c r="D369" s="63">
        <v>1</v>
      </c>
      <c r="E369" s="64">
        <v>1.2797542871799999E-4</v>
      </c>
    </row>
    <row r="370" spans="2:5" ht="15" customHeight="1">
      <c r="B370" s="77"/>
      <c r="C370" s="62" t="s">
        <v>116</v>
      </c>
      <c r="D370" s="63">
        <v>8</v>
      </c>
      <c r="E370" s="64">
        <v>1.0238034297409999E-3</v>
      </c>
    </row>
    <row r="371" spans="2:5" ht="15" customHeight="1">
      <c r="B371" s="77"/>
      <c r="C371" s="62" t="s">
        <v>117</v>
      </c>
      <c r="D371" s="63">
        <v>17</v>
      </c>
      <c r="E371" s="64">
        <v>2.1755822882010001E-3</v>
      </c>
    </row>
    <row r="372" spans="2:5" ht="15" customHeight="1">
      <c r="B372" s="77"/>
      <c r="C372" s="62" t="s">
        <v>118</v>
      </c>
      <c r="D372" s="63">
        <v>6</v>
      </c>
      <c r="E372" s="64">
        <v>7.6785257230599997E-4</v>
      </c>
    </row>
    <row r="373" spans="2:5" ht="15" customHeight="1">
      <c r="B373" s="77"/>
      <c r="C373" s="62" t="s">
        <v>120</v>
      </c>
      <c r="D373" s="63">
        <v>1</v>
      </c>
      <c r="E373" s="64">
        <v>1.2797542871799999E-4</v>
      </c>
    </row>
    <row r="374" spans="2:5" ht="15" customHeight="1">
      <c r="B374" s="77"/>
      <c r="C374" s="62" t="s">
        <v>121</v>
      </c>
      <c r="D374" s="63">
        <v>2</v>
      </c>
      <c r="E374" s="64">
        <v>2.5595085743500002E-4</v>
      </c>
    </row>
    <row r="375" spans="2:5" ht="15" customHeight="1">
      <c r="B375" s="77"/>
      <c r="C375" s="62" t="s">
        <v>122</v>
      </c>
      <c r="D375" s="63">
        <v>56</v>
      </c>
      <c r="E375" s="64">
        <v>7.1666240081899998E-3</v>
      </c>
    </row>
    <row r="376" spans="2:5" ht="15" customHeight="1">
      <c r="B376" s="77"/>
      <c r="C376" s="62" t="s">
        <v>123</v>
      </c>
      <c r="D376" s="63">
        <v>2</v>
      </c>
      <c r="E376" s="64">
        <v>2.5595085743500002E-4</v>
      </c>
    </row>
    <row r="377" spans="2:5" ht="15" customHeight="1">
      <c r="B377" s="77"/>
      <c r="C377" s="62" t="s">
        <v>124</v>
      </c>
      <c r="D377" s="63">
        <v>4</v>
      </c>
      <c r="E377" s="64">
        <v>5.1190171487100001E-4</v>
      </c>
    </row>
    <row r="378" spans="2:5" ht="15" customHeight="1">
      <c r="B378" s="77"/>
      <c r="C378" s="62" t="s">
        <v>125</v>
      </c>
      <c r="D378" s="63">
        <v>4</v>
      </c>
      <c r="E378" s="64">
        <v>5.1190171487100001E-4</v>
      </c>
    </row>
    <row r="379" spans="2:5" ht="15" customHeight="1">
      <c r="B379" s="77"/>
      <c r="C379" s="62" t="s">
        <v>126</v>
      </c>
      <c r="D379" s="63">
        <v>7</v>
      </c>
      <c r="E379" s="64">
        <v>8.9582800102399999E-4</v>
      </c>
    </row>
    <row r="380" spans="2:5" ht="15" customHeight="1">
      <c r="B380" s="77"/>
      <c r="C380" s="62" t="s">
        <v>127</v>
      </c>
      <c r="D380" s="63">
        <v>128</v>
      </c>
      <c r="E380" s="64">
        <v>1.6380854875864E-2</v>
      </c>
    </row>
    <row r="381" spans="2:5" ht="15" customHeight="1">
      <c r="B381" s="77"/>
      <c r="C381" s="62" t="s">
        <v>128</v>
      </c>
      <c r="D381" s="63">
        <v>5</v>
      </c>
      <c r="E381" s="64">
        <v>6.3987714358799996E-4</v>
      </c>
    </row>
    <row r="382" spans="2:5" ht="15" customHeight="1">
      <c r="B382" s="77"/>
      <c r="C382" s="62" t="s">
        <v>129</v>
      </c>
      <c r="D382" s="63">
        <v>12</v>
      </c>
      <c r="E382" s="64">
        <v>1.5357051446119999E-3</v>
      </c>
    </row>
    <row r="383" spans="2:5" ht="15" customHeight="1">
      <c r="B383" s="77"/>
      <c r="C383" s="62" t="s">
        <v>130</v>
      </c>
      <c r="D383" s="63">
        <v>4</v>
      </c>
      <c r="E383" s="64">
        <v>5.1190171487100001E-4</v>
      </c>
    </row>
    <row r="384" spans="2:5" ht="15" customHeight="1">
      <c r="B384" s="77"/>
      <c r="C384" s="62" t="s">
        <v>131</v>
      </c>
      <c r="D384" s="63">
        <v>26</v>
      </c>
      <c r="E384" s="64">
        <v>3.3273611466600002E-3</v>
      </c>
    </row>
    <row r="385" spans="2:5" ht="15" customHeight="1">
      <c r="B385" s="77"/>
      <c r="C385" s="62" t="s">
        <v>133</v>
      </c>
      <c r="D385" s="63">
        <v>8</v>
      </c>
      <c r="E385" s="64">
        <v>1.0238034297409999E-3</v>
      </c>
    </row>
    <row r="386" spans="2:5" ht="15" customHeight="1">
      <c r="B386" s="77"/>
      <c r="C386" s="62" t="s">
        <v>134</v>
      </c>
      <c r="D386" s="63">
        <v>10</v>
      </c>
      <c r="E386" s="64">
        <v>1.279754287177E-3</v>
      </c>
    </row>
    <row r="387" spans="2:5" ht="15" customHeight="1">
      <c r="B387" s="77"/>
      <c r="C387" s="62" t="s">
        <v>135</v>
      </c>
      <c r="D387" s="63">
        <v>23</v>
      </c>
      <c r="E387" s="64">
        <v>2.9434348605069998E-3</v>
      </c>
    </row>
    <row r="388" spans="2:5" ht="15" customHeight="1">
      <c r="B388" s="77"/>
      <c r="C388" s="62" t="s">
        <v>136</v>
      </c>
      <c r="D388" s="63">
        <v>4</v>
      </c>
      <c r="E388" s="64">
        <v>5.1190171487100001E-4</v>
      </c>
    </row>
    <row r="389" spans="2:5" ht="15" customHeight="1">
      <c r="B389" s="77"/>
      <c r="C389" s="62" t="s">
        <v>137</v>
      </c>
      <c r="D389" s="63">
        <v>5</v>
      </c>
      <c r="E389" s="64">
        <v>6.3987714358799996E-4</v>
      </c>
    </row>
    <row r="390" spans="2:5" ht="15" customHeight="1">
      <c r="B390" s="77"/>
      <c r="C390" s="62" t="s">
        <v>139</v>
      </c>
      <c r="D390" s="63">
        <v>10</v>
      </c>
      <c r="E390" s="64">
        <v>1.279754287177E-3</v>
      </c>
    </row>
    <row r="391" spans="2:5" ht="15" customHeight="1">
      <c r="B391" s="77"/>
      <c r="C391" s="62" t="s">
        <v>140</v>
      </c>
      <c r="D391" s="63">
        <v>72</v>
      </c>
      <c r="E391" s="64">
        <v>9.2142308676729998E-3</v>
      </c>
    </row>
    <row r="392" spans="2:5" ht="15" customHeight="1">
      <c r="B392" s="77"/>
      <c r="C392" s="62" t="s">
        <v>141</v>
      </c>
      <c r="D392" s="63">
        <v>17</v>
      </c>
      <c r="E392" s="64">
        <v>2.1755822882010001E-3</v>
      </c>
    </row>
    <row r="393" spans="2:5" ht="15" customHeight="1">
      <c r="B393" s="77"/>
      <c r="C393" s="62" t="s">
        <v>142</v>
      </c>
      <c r="D393" s="63">
        <v>4</v>
      </c>
      <c r="E393" s="64">
        <v>5.1190171487100001E-4</v>
      </c>
    </row>
    <row r="394" spans="2:5" ht="15" customHeight="1">
      <c r="B394" s="77"/>
      <c r="C394" s="62" t="s">
        <v>82</v>
      </c>
      <c r="D394" s="63">
        <v>20</v>
      </c>
      <c r="E394" s="64">
        <v>2.559508574354E-3</v>
      </c>
    </row>
    <row r="395" spans="2:5" ht="15" customHeight="1">
      <c r="B395" s="77"/>
      <c r="C395" s="62" t="s">
        <v>143</v>
      </c>
      <c r="D395" s="63">
        <v>11</v>
      </c>
      <c r="E395" s="64">
        <v>1.4077297158950001E-3</v>
      </c>
    </row>
    <row r="396" spans="2:5" ht="15" customHeight="1">
      <c r="B396" s="77"/>
      <c r="C396" s="62" t="s">
        <v>144</v>
      </c>
      <c r="D396" s="63">
        <v>3</v>
      </c>
      <c r="E396" s="64">
        <v>3.8392628615299999E-4</v>
      </c>
    </row>
    <row r="397" spans="2:5" ht="15" customHeight="1">
      <c r="B397" s="78"/>
      <c r="C397" s="36" t="s">
        <v>29</v>
      </c>
      <c r="D397" s="35">
        <v>1631</v>
      </c>
      <c r="E397" s="34">
        <v>0.208727924238546</v>
      </c>
    </row>
    <row r="398" spans="2:5" ht="15" customHeight="1">
      <c r="B398" s="76" t="s">
        <v>227</v>
      </c>
      <c r="C398" s="62" t="s">
        <v>103</v>
      </c>
      <c r="D398" s="63">
        <v>2</v>
      </c>
      <c r="E398" s="64">
        <v>2.5595085743500002E-4</v>
      </c>
    </row>
    <row r="399" spans="2:5" ht="15" customHeight="1">
      <c r="B399" s="77"/>
      <c r="C399" s="62" t="s">
        <v>105</v>
      </c>
      <c r="D399" s="63">
        <v>21</v>
      </c>
      <c r="E399" s="64">
        <v>2.687484003071E-3</v>
      </c>
    </row>
    <row r="400" spans="2:5" ht="15" customHeight="1">
      <c r="B400" s="77"/>
      <c r="C400" s="62" t="s">
        <v>106</v>
      </c>
      <c r="D400" s="63">
        <v>1</v>
      </c>
      <c r="E400" s="64">
        <v>1.2797542871799999E-4</v>
      </c>
    </row>
    <row r="401" spans="2:5" ht="15" customHeight="1">
      <c r="B401" s="77"/>
      <c r="C401" s="62" t="s">
        <v>112</v>
      </c>
      <c r="D401" s="63">
        <v>1</v>
      </c>
      <c r="E401" s="64">
        <v>1.2797542871799999E-4</v>
      </c>
    </row>
    <row r="402" spans="2:5" ht="15" customHeight="1">
      <c r="B402" s="77"/>
      <c r="C402" s="62" t="s">
        <v>122</v>
      </c>
      <c r="D402" s="63">
        <v>1</v>
      </c>
      <c r="E402" s="64">
        <v>1.2797542871799999E-4</v>
      </c>
    </row>
    <row r="403" spans="2:5" ht="15" customHeight="1">
      <c r="B403" s="77"/>
      <c r="C403" s="62" t="s">
        <v>127</v>
      </c>
      <c r="D403" s="63">
        <v>1</v>
      </c>
      <c r="E403" s="64">
        <v>1.2797542871799999E-4</v>
      </c>
    </row>
    <row r="404" spans="2:5" ht="15" customHeight="1">
      <c r="B404" s="77"/>
      <c r="C404" s="62" t="s">
        <v>129</v>
      </c>
      <c r="D404" s="63">
        <v>1</v>
      </c>
      <c r="E404" s="64">
        <v>1.2797542871799999E-4</v>
      </c>
    </row>
    <row r="405" spans="2:5" ht="15" customHeight="1">
      <c r="B405" s="77"/>
      <c r="C405" s="62" t="s">
        <v>131</v>
      </c>
      <c r="D405" s="63">
        <v>1</v>
      </c>
      <c r="E405" s="64">
        <v>1.2797542871799999E-4</v>
      </c>
    </row>
    <row r="406" spans="2:5" ht="15" customHeight="1">
      <c r="B406" s="77"/>
      <c r="C406" s="62" t="s">
        <v>134</v>
      </c>
      <c r="D406" s="63">
        <v>1</v>
      </c>
      <c r="E406" s="64">
        <v>1.2797542871799999E-4</v>
      </c>
    </row>
    <row r="407" spans="2:5" ht="15" customHeight="1">
      <c r="B407" s="77"/>
      <c r="C407" s="62" t="s">
        <v>135</v>
      </c>
      <c r="D407" s="63">
        <v>1</v>
      </c>
      <c r="E407" s="64">
        <v>1.2797542871799999E-4</v>
      </c>
    </row>
    <row r="408" spans="2:5" ht="15" customHeight="1">
      <c r="B408" s="77"/>
      <c r="C408" s="62" t="s">
        <v>140</v>
      </c>
      <c r="D408" s="63">
        <v>1</v>
      </c>
      <c r="E408" s="64">
        <v>1.2797542871799999E-4</v>
      </c>
    </row>
    <row r="409" spans="2:5" ht="15" customHeight="1">
      <c r="B409" s="78"/>
      <c r="C409" s="36" t="s">
        <v>29</v>
      </c>
      <c r="D409" s="35">
        <v>32</v>
      </c>
      <c r="E409" s="34">
        <v>4.0952137189659999E-3</v>
      </c>
    </row>
    <row r="410" spans="2:5" ht="15" customHeight="1">
      <c r="B410" s="76" t="s">
        <v>228</v>
      </c>
      <c r="C410" s="62" t="s">
        <v>103</v>
      </c>
      <c r="D410" s="63">
        <v>1</v>
      </c>
      <c r="E410" s="64">
        <v>1.2797542871799999E-4</v>
      </c>
    </row>
    <row r="411" spans="2:5" ht="15" customHeight="1">
      <c r="B411" s="77"/>
      <c r="C411" s="62" t="s">
        <v>105</v>
      </c>
      <c r="D411" s="63">
        <v>23</v>
      </c>
      <c r="E411" s="64">
        <v>2.9434348605069998E-3</v>
      </c>
    </row>
    <row r="412" spans="2:5" ht="15" customHeight="1">
      <c r="B412" s="77"/>
      <c r="C412" s="62" t="s">
        <v>112</v>
      </c>
      <c r="D412" s="63">
        <v>1</v>
      </c>
      <c r="E412" s="64">
        <v>1.2797542871799999E-4</v>
      </c>
    </row>
    <row r="413" spans="2:5" ht="15" customHeight="1">
      <c r="B413" s="77"/>
      <c r="C413" s="62" t="s">
        <v>113</v>
      </c>
      <c r="D413" s="63">
        <v>1</v>
      </c>
      <c r="E413" s="64">
        <v>1.2797542871799999E-4</v>
      </c>
    </row>
    <row r="414" spans="2:5" ht="15" customHeight="1">
      <c r="B414" s="77"/>
      <c r="C414" s="62" t="s">
        <v>116</v>
      </c>
      <c r="D414" s="63">
        <v>1</v>
      </c>
      <c r="E414" s="64">
        <v>1.2797542871799999E-4</v>
      </c>
    </row>
    <row r="415" spans="2:5" ht="15" customHeight="1">
      <c r="B415" s="77"/>
      <c r="C415" s="62" t="s">
        <v>127</v>
      </c>
      <c r="D415" s="63">
        <v>1</v>
      </c>
      <c r="E415" s="64">
        <v>1.2797542871799999E-4</v>
      </c>
    </row>
    <row r="416" spans="2:5" ht="15" customHeight="1">
      <c r="B416" s="77"/>
      <c r="C416" s="62" t="s">
        <v>131</v>
      </c>
      <c r="D416" s="63">
        <v>1</v>
      </c>
      <c r="E416" s="64">
        <v>1.2797542871799999E-4</v>
      </c>
    </row>
    <row r="417" spans="2:5" ht="15" customHeight="1">
      <c r="B417" s="77"/>
      <c r="C417" s="62" t="s">
        <v>134</v>
      </c>
      <c r="D417" s="63">
        <v>1</v>
      </c>
      <c r="E417" s="64">
        <v>1.2797542871799999E-4</v>
      </c>
    </row>
    <row r="418" spans="2:5" ht="15" customHeight="1">
      <c r="B418" s="77"/>
      <c r="C418" s="62" t="s">
        <v>140</v>
      </c>
      <c r="D418" s="63">
        <v>2</v>
      </c>
      <c r="E418" s="64">
        <v>2.5595085743500002E-4</v>
      </c>
    </row>
    <row r="419" spans="2:5" ht="15" customHeight="1">
      <c r="B419" s="77"/>
      <c r="C419" s="62" t="s">
        <v>82</v>
      </c>
      <c r="D419" s="63">
        <v>3</v>
      </c>
      <c r="E419" s="64">
        <v>3.8392628615299999E-4</v>
      </c>
    </row>
    <row r="420" spans="2:5" ht="15" customHeight="1">
      <c r="B420" s="78"/>
      <c r="C420" s="36" t="s">
        <v>29</v>
      </c>
      <c r="D420" s="35">
        <v>35</v>
      </c>
      <c r="E420" s="34">
        <v>4.4791400051190002E-3</v>
      </c>
    </row>
    <row r="421" spans="2:5" ht="15" customHeight="1">
      <c r="B421" s="76" t="s">
        <v>229</v>
      </c>
      <c r="C421" s="62" t="s">
        <v>103</v>
      </c>
      <c r="D421" s="63">
        <v>1</v>
      </c>
      <c r="E421" s="64">
        <v>1.2797542871799999E-4</v>
      </c>
    </row>
    <row r="422" spans="2:5" ht="15" customHeight="1">
      <c r="B422" s="77"/>
      <c r="C422" s="62" t="s">
        <v>105</v>
      </c>
      <c r="D422" s="63">
        <v>15</v>
      </c>
      <c r="E422" s="64">
        <v>1.919631430765E-3</v>
      </c>
    </row>
    <row r="423" spans="2:5" ht="15" customHeight="1">
      <c r="B423" s="77"/>
      <c r="C423" s="62" t="s">
        <v>106</v>
      </c>
      <c r="D423" s="63">
        <v>1</v>
      </c>
      <c r="E423" s="64">
        <v>1.2797542871799999E-4</v>
      </c>
    </row>
    <row r="424" spans="2:5" ht="15" customHeight="1">
      <c r="B424" s="77"/>
      <c r="C424" s="62" t="s">
        <v>140</v>
      </c>
      <c r="D424" s="63">
        <v>2</v>
      </c>
      <c r="E424" s="64">
        <v>2.5595085743500002E-4</v>
      </c>
    </row>
    <row r="425" spans="2:5" ht="15" customHeight="1">
      <c r="B425" s="78"/>
      <c r="C425" s="36" t="s">
        <v>29</v>
      </c>
      <c r="D425" s="35">
        <v>19</v>
      </c>
      <c r="E425" s="34">
        <v>2.4315331456359998E-3</v>
      </c>
    </row>
    <row r="426" spans="2:5" ht="15" customHeight="1">
      <c r="B426" s="76" t="s">
        <v>230</v>
      </c>
      <c r="C426" s="62" t="s">
        <v>105</v>
      </c>
      <c r="D426" s="63">
        <v>8</v>
      </c>
      <c r="E426" s="64">
        <v>1.0238034297409999E-3</v>
      </c>
    </row>
    <row r="427" spans="2:5" ht="15" customHeight="1">
      <c r="B427" s="77"/>
      <c r="C427" s="62" t="s">
        <v>106</v>
      </c>
      <c r="D427" s="63">
        <v>1</v>
      </c>
      <c r="E427" s="64">
        <v>1.2797542871799999E-4</v>
      </c>
    </row>
    <row r="428" spans="2:5" ht="15" customHeight="1">
      <c r="B428" s="77"/>
      <c r="C428" s="62" t="s">
        <v>140</v>
      </c>
      <c r="D428" s="63">
        <v>1</v>
      </c>
      <c r="E428" s="64">
        <v>1.2797542871799999E-4</v>
      </c>
    </row>
    <row r="429" spans="2:5" ht="15" customHeight="1">
      <c r="B429" s="77"/>
      <c r="C429" s="62" t="s">
        <v>141</v>
      </c>
      <c r="D429" s="63">
        <v>1</v>
      </c>
      <c r="E429" s="64">
        <v>1.2797542871799999E-4</v>
      </c>
    </row>
    <row r="430" spans="2:5" ht="15" customHeight="1">
      <c r="B430" s="78"/>
      <c r="C430" s="36" t="s">
        <v>29</v>
      </c>
      <c r="D430" s="35">
        <v>11</v>
      </c>
      <c r="E430" s="34">
        <v>1.4077297158950001E-3</v>
      </c>
    </row>
    <row r="431" spans="2:5" ht="15" customHeight="1">
      <c r="B431" s="76" t="s">
        <v>231</v>
      </c>
      <c r="C431" s="62" t="s">
        <v>103</v>
      </c>
      <c r="D431" s="63">
        <v>2</v>
      </c>
      <c r="E431" s="64">
        <v>2.5595085743500002E-4</v>
      </c>
    </row>
    <row r="432" spans="2:5" ht="15" customHeight="1">
      <c r="B432" s="77"/>
      <c r="C432" s="62" t="s">
        <v>105</v>
      </c>
      <c r="D432" s="63">
        <v>70</v>
      </c>
      <c r="E432" s="64">
        <v>8.9582800102380004E-3</v>
      </c>
    </row>
    <row r="433" spans="2:5" ht="15" customHeight="1">
      <c r="B433" s="77"/>
      <c r="C433" s="62" t="s">
        <v>106</v>
      </c>
      <c r="D433" s="63">
        <v>2</v>
      </c>
      <c r="E433" s="64">
        <v>2.5595085743500002E-4</v>
      </c>
    </row>
    <row r="434" spans="2:5" ht="15" customHeight="1">
      <c r="B434" s="77"/>
      <c r="C434" s="62" t="s">
        <v>109</v>
      </c>
      <c r="D434" s="63">
        <v>1</v>
      </c>
      <c r="E434" s="64">
        <v>1.2797542871799999E-4</v>
      </c>
    </row>
    <row r="435" spans="2:5" ht="15" customHeight="1">
      <c r="B435" s="77"/>
      <c r="C435" s="62" t="s">
        <v>111</v>
      </c>
      <c r="D435" s="63">
        <v>1</v>
      </c>
      <c r="E435" s="64">
        <v>1.2797542871799999E-4</v>
      </c>
    </row>
    <row r="436" spans="2:5" ht="15" customHeight="1">
      <c r="B436" s="77"/>
      <c r="C436" s="62" t="s">
        <v>112</v>
      </c>
      <c r="D436" s="63">
        <v>2</v>
      </c>
      <c r="E436" s="64">
        <v>2.5595085743500002E-4</v>
      </c>
    </row>
    <row r="437" spans="2:5" ht="15" customHeight="1">
      <c r="B437" s="77"/>
      <c r="C437" s="62" t="s">
        <v>113</v>
      </c>
      <c r="D437" s="63">
        <v>5</v>
      </c>
      <c r="E437" s="64">
        <v>6.3987714358799996E-4</v>
      </c>
    </row>
    <row r="438" spans="2:5" ht="15" customHeight="1">
      <c r="B438" s="77"/>
      <c r="C438" s="62" t="s">
        <v>114</v>
      </c>
      <c r="D438" s="63">
        <v>2</v>
      </c>
      <c r="E438" s="64">
        <v>2.5595085743500002E-4</v>
      </c>
    </row>
    <row r="439" spans="2:5" ht="15" customHeight="1">
      <c r="B439" s="77"/>
      <c r="C439" s="62" t="s">
        <v>115</v>
      </c>
      <c r="D439" s="63">
        <v>2</v>
      </c>
      <c r="E439" s="64">
        <v>2.5595085743500002E-4</v>
      </c>
    </row>
    <row r="440" spans="2:5" ht="15" customHeight="1">
      <c r="B440" s="77"/>
      <c r="C440" s="62" t="s">
        <v>117</v>
      </c>
      <c r="D440" s="63">
        <v>1</v>
      </c>
      <c r="E440" s="64">
        <v>1.2797542871799999E-4</v>
      </c>
    </row>
    <row r="441" spans="2:5" ht="15" customHeight="1">
      <c r="B441" s="77"/>
      <c r="C441" s="62" t="s">
        <v>120</v>
      </c>
      <c r="D441" s="63">
        <v>1</v>
      </c>
      <c r="E441" s="64">
        <v>1.2797542871799999E-4</v>
      </c>
    </row>
    <row r="442" spans="2:5" ht="15" customHeight="1">
      <c r="B442" s="77"/>
      <c r="C442" s="62" t="s">
        <v>122</v>
      </c>
      <c r="D442" s="63">
        <v>6</v>
      </c>
      <c r="E442" s="64">
        <v>7.6785257230599997E-4</v>
      </c>
    </row>
    <row r="443" spans="2:5" ht="15" customHeight="1">
      <c r="B443" s="77"/>
      <c r="C443" s="62" t="s">
        <v>123</v>
      </c>
      <c r="D443" s="63">
        <v>1</v>
      </c>
      <c r="E443" s="64">
        <v>1.2797542871799999E-4</v>
      </c>
    </row>
    <row r="444" spans="2:5" ht="15" customHeight="1">
      <c r="B444" s="77"/>
      <c r="C444" s="62" t="s">
        <v>127</v>
      </c>
      <c r="D444" s="63">
        <v>10</v>
      </c>
      <c r="E444" s="64">
        <v>1.279754287177E-3</v>
      </c>
    </row>
    <row r="445" spans="2:5" ht="15" customHeight="1">
      <c r="B445" s="77"/>
      <c r="C445" s="62" t="s">
        <v>128</v>
      </c>
      <c r="D445" s="63">
        <v>1</v>
      </c>
      <c r="E445" s="64">
        <v>1.2797542871799999E-4</v>
      </c>
    </row>
    <row r="446" spans="2:5" ht="15" customHeight="1">
      <c r="B446" s="77"/>
      <c r="C446" s="62" t="s">
        <v>130</v>
      </c>
      <c r="D446" s="63">
        <v>1</v>
      </c>
      <c r="E446" s="64">
        <v>1.2797542871799999E-4</v>
      </c>
    </row>
    <row r="447" spans="2:5" ht="15" customHeight="1">
      <c r="B447" s="77"/>
      <c r="C447" s="62" t="s">
        <v>131</v>
      </c>
      <c r="D447" s="63">
        <v>2</v>
      </c>
      <c r="E447" s="64">
        <v>2.5595085743500002E-4</v>
      </c>
    </row>
    <row r="448" spans="2:5" ht="15" customHeight="1">
      <c r="B448" s="77"/>
      <c r="C448" s="62" t="s">
        <v>134</v>
      </c>
      <c r="D448" s="63">
        <v>2</v>
      </c>
      <c r="E448" s="64">
        <v>2.5595085743500002E-4</v>
      </c>
    </row>
    <row r="449" spans="2:5" ht="15" customHeight="1">
      <c r="B449" s="77"/>
      <c r="C449" s="62" t="s">
        <v>135</v>
      </c>
      <c r="D449" s="63">
        <v>1</v>
      </c>
      <c r="E449" s="64">
        <v>1.2797542871799999E-4</v>
      </c>
    </row>
    <row r="450" spans="2:5" ht="15" customHeight="1">
      <c r="B450" s="77"/>
      <c r="C450" s="62" t="s">
        <v>140</v>
      </c>
      <c r="D450" s="63">
        <v>4</v>
      </c>
      <c r="E450" s="64">
        <v>5.1190171487100001E-4</v>
      </c>
    </row>
    <row r="451" spans="2:5" ht="15" customHeight="1">
      <c r="B451" s="77"/>
      <c r="C451" s="62" t="s">
        <v>82</v>
      </c>
      <c r="D451" s="63">
        <v>1</v>
      </c>
      <c r="E451" s="64">
        <v>1.2797542871799999E-4</v>
      </c>
    </row>
    <row r="452" spans="2:5" ht="15" customHeight="1">
      <c r="B452" s="77"/>
      <c r="C452" s="62" t="s">
        <v>143</v>
      </c>
      <c r="D452" s="63">
        <v>1</v>
      </c>
      <c r="E452" s="64">
        <v>1.2797542871799999E-4</v>
      </c>
    </row>
    <row r="453" spans="2:5" ht="15" customHeight="1">
      <c r="B453" s="78"/>
      <c r="C453" s="36" t="s">
        <v>29</v>
      </c>
      <c r="D453" s="35">
        <v>119</v>
      </c>
      <c r="E453" s="34">
        <v>1.5229076017405E-2</v>
      </c>
    </row>
    <row r="454" spans="2:5" ht="15" customHeight="1">
      <c r="B454" s="76" t="s">
        <v>232</v>
      </c>
      <c r="C454" s="62" t="s">
        <v>103</v>
      </c>
      <c r="D454" s="63">
        <v>18</v>
      </c>
      <c r="E454" s="64">
        <v>2.3035577169180001E-3</v>
      </c>
    </row>
    <row r="455" spans="2:5" ht="15" customHeight="1">
      <c r="B455" s="77"/>
      <c r="C455" s="62" t="s">
        <v>104</v>
      </c>
      <c r="D455" s="63">
        <v>2</v>
      </c>
      <c r="E455" s="64">
        <v>2.5595085743500002E-4</v>
      </c>
    </row>
    <row r="456" spans="2:5" ht="15" customHeight="1">
      <c r="B456" s="77"/>
      <c r="C456" s="62" t="s">
        <v>105</v>
      </c>
      <c r="D456" s="63">
        <v>161</v>
      </c>
      <c r="E456" s="64">
        <v>2.0604044023547E-2</v>
      </c>
    </row>
    <row r="457" spans="2:5" ht="15" customHeight="1">
      <c r="B457" s="77"/>
      <c r="C457" s="62" t="s">
        <v>106</v>
      </c>
      <c r="D457" s="63">
        <v>9</v>
      </c>
      <c r="E457" s="64">
        <v>1.1517788584590001E-3</v>
      </c>
    </row>
    <row r="458" spans="2:5" ht="15" customHeight="1">
      <c r="B458" s="77"/>
      <c r="C458" s="62" t="s">
        <v>108</v>
      </c>
      <c r="D458" s="63">
        <v>1</v>
      </c>
      <c r="E458" s="64">
        <v>1.2797542871799999E-4</v>
      </c>
    </row>
    <row r="459" spans="2:5" ht="15" customHeight="1">
      <c r="B459" s="77"/>
      <c r="C459" s="62" t="s">
        <v>109</v>
      </c>
      <c r="D459" s="63">
        <v>7</v>
      </c>
      <c r="E459" s="64">
        <v>8.9582800102399999E-4</v>
      </c>
    </row>
    <row r="460" spans="2:5" ht="15" customHeight="1">
      <c r="B460" s="77"/>
      <c r="C460" s="62" t="s">
        <v>110</v>
      </c>
      <c r="D460" s="63">
        <v>1</v>
      </c>
      <c r="E460" s="64">
        <v>1.2797542871799999E-4</v>
      </c>
    </row>
    <row r="461" spans="2:5" ht="15" customHeight="1">
      <c r="B461" s="77"/>
      <c r="C461" s="62" t="s">
        <v>112</v>
      </c>
      <c r="D461" s="63">
        <v>10</v>
      </c>
      <c r="E461" s="64">
        <v>1.279754287177E-3</v>
      </c>
    </row>
    <row r="462" spans="2:5" ht="15" customHeight="1">
      <c r="B462" s="77"/>
      <c r="C462" s="62" t="s">
        <v>113</v>
      </c>
      <c r="D462" s="63">
        <v>13</v>
      </c>
      <c r="E462" s="64">
        <v>1.6636805733300001E-3</v>
      </c>
    </row>
    <row r="463" spans="2:5" ht="15" customHeight="1">
      <c r="B463" s="77"/>
      <c r="C463" s="62" t="s">
        <v>114</v>
      </c>
      <c r="D463" s="63">
        <v>6</v>
      </c>
      <c r="E463" s="64">
        <v>7.6785257230599997E-4</v>
      </c>
    </row>
    <row r="464" spans="2:5" ht="15" customHeight="1">
      <c r="B464" s="77"/>
      <c r="C464" s="62" t="s">
        <v>115</v>
      </c>
      <c r="D464" s="63">
        <v>1</v>
      </c>
      <c r="E464" s="64">
        <v>1.2797542871799999E-4</v>
      </c>
    </row>
    <row r="465" spans="2:5" ht="15" customHeight="1">
      <c r="B465" s="77"/>
      <c r="C465" s="62" t="s">
        <v>116</v>
      </c>
      <c r="D465" s="63">
        <v>3</v>
      </c>
      <c r="E465" s="64">
        <v>3.8392628615299999E-4</v>
      </c>
    </row>
    <row r="466" spans="2:5" ht="15" customHeight="1">
      <c r="B466" s="77"/>
      <c r="C466" s="62" t="s">
        <v>117</v>
      </c>
      <c r="D466" s="63">
        <v>1</v>
      </c>
      <c r="E466" s="64">
        <v>1.2797542871799999E-4</v>
      </c>
    </row>
    <row r="467" spans="2:5" ht="15" customHeight="1">
      <c r="B467" s="77"/>
      <c r="C467" s="62" t="s">
        <v>118</v>
      </c>
      <c r="D467" s="63">
        <v>1</v>
      </c>
      <c r="E467" s="64">
        <v>1.2797542871799999E-4</v>
      </c>
    </row>
    <row r="468" spans="2:5" ht="15" customHeight="1">
      <c r="B468" s="77"/>
      <c r="C468" s="62" t="s">
        <v>120</v>
      </c>
      <c r="D468" s="63">
        <v>1</v>
      </c>
      <c r="E468" s="64">
        <v>1.2797542871799999E-4</v>
      </c>
    </row>
    <row r="469" spans="2:5" ht="15" customHeight="1">
      <c r="B469" s="77"/>
      <c r="C469" s="62" t="s">
        <v>121</v>
      </c>
      <c r="D469" s="63">
        <v>1</v>
      </c>
      <c r="E469" s="64">
        <v>1.2797542871799999E-4</v>
      </c>
    </row>
    <row r="470" spans="2:5" ht="15" customHeight="1">
      <c r="B470" s="77"/>
      <c r="C470" s="62" t="s">
        <v>122</v>
      </c>
      <c r="D470" s="63">
        <v>15</v>
      </c>
      <c r="E470" s="64">
        <v>1.919631430765E-3</v>
      </c>
    </row>
    <row r="471" spans="2:5" ht="15" customHeight="1">
      <c r="B471" s="77"/>
      <c r="C471" s="62" t="s">
        <v>124</v>
      </c>
      <c r="D471" s="63">
        <v>1</v>
      </c>
      <c r="E471" s="64">
        <v>1.2797542871799999E-4</v>
      </c>
    </row>
    <row r="472" spans="2:5" ht="15" customHeight="1">
      <c r="B472" s="77"/>
      <c r="C472" s="62" t="s">
        <v>127</v>
      </c>
      <c r="D472" s="63">
        <v>14</v>
      </c>
      <c r="E472" s="64">
        <v>1.791656002048E-3</v>
      </c>
    </row>
    <row r="473" spans="2:5" ht="15" customHeight="1">
      <c r="B473" s="77"/>
      <c r="C473" s="62" t="s">
        <v>128</v>
      </c>
      <c r="D473" s="63">
        <v>2</v>
      </c>
      <c r="E473" s="64">
        <v>2.5595085743500002E-4</v>
      </c>
    </row>
    <row r="474" spans="2:5" ht="15" customHeight="1">
      <c r="B474" s="77"/>
      <c r="C474" s="62" t="s">
        <v>130</v>
      </c>
      <c r="D474" s="63">
        <v>1</v>
      </c>
      <c r="E474" s="64">
        <v>1.2797542871799999E-4</v>
      </c>
    </row>
    <row r="475" spans="2:5" ht="15" customHeight="1">
      <c r="B475" s="77"/>
      <c r="C475" s="62" t="s">
        <v>131</v>
      </c>
      <c r="D475" s="63">
        <v>5</v>
      </c>
      <c r="E475" s="64">
        <v>6.3987714358799996E-4</v>
      </c>
    </row>
    <row r="476" spans="2:5" ht="15" customHeight="1">
      <c r="B476" s="77"/>
      <c r="C476" s="62" t="s">
        <v>134</v>
      </c>
      <c r="D476" s="63">
        <v>1</v>
      </c>
      <c r="E476" s="64">
        <v>1.2797542871799999E-4</v>
      </c>
    </row>
    <row r="477" spans="2:5" ht="15" customHeight="1">
      <c r="B477" s="77"/>
      <c r="C477" s="62" t="s">
        <v>135</v>
      </c>
      <c r="D477" s="63">
        <v>3</v>
      </c>
      <c r="E477" s="64">
        <v>3.8392628615299999E-4</v>
      </c>
    </row>
    <row r="478" spans="2:5" ht="15" customHeight="1">
      <c r="B478" s="77"/>
      <c r="C478" s="62" t="s">
        <v>136</v>
      </c>
      <c r="D478" s="63">
        <v>1</v>
      </c>
      <c r="E478" s="64">
        <v>1.2797542871799999E-4</v>
      </c>
    </row>
    <row r="479" spans="2:5" ht="15" customHeight="1">
      <c r="B479" s="77"/>
      <c r="C479" s="62" t="s">
        <v>138</v>
      </c>
      <c r="D479" s="63">
        <v>1</v>
      </c>
      <c r="E479" s="64">
        <v>1.2797542871799999E-4</v>
      </c>
    </row>
    <row r="480" spans="2:5" ht="15" customHeight="1">
      <c r="B480" s="77"/>
      <c r="C480" s="62" t="s">
        <v>139</v>
      </c>
      <c r="D480" s="63">
        <v>2</v>
      </c>
      <c r="E480" s="64">
        <v>2.5595085743500002E-4</v>
      </c>
    </row>
    <row r="481" spans="2:5" ht="15" customHeight="1">
      <c r="B481" s="77"/>
      <c r="C481" s="62" t="s">
        <v>140</v>
      </c>
      <c r="D481" s="63">
        <v>24</v>
      </c>
      <c r="E481" s="64">
        <v>3.0714102892239999E-3</v>
      </c>
    </row>
    <row r="482" spans="2:5" ht="15" customHeight="1">
      <c r="B482" s="77"/>
      <c r="C482" s="62" t="s">
        <v>141</v>
      </c>
      <c r="D482" s="63">
        <v>2</v>
      </c>
      <c r="E482" s="64">
        <v>2.5595085743500002E-4</v>
      </c>
    </row>
    <row r="483" spans="2:5" ht="15" customHeight="1">
      <c r="B483" s="77"/>
      <c r="C483" s="62" t="s">
        <v>142</v>
      </c>
      <c r="D483" s="63">
        <v>1</v>
      </c>
      <c r="E483" s="64">
        <v>1.2797542871799999E-4</v>
      </c>
    </row>
    <row r="484" spans="2:5" ht="15" customHeight="1">
      <c r="B484" s="77"/>
      <c r="C484" s="62" t="s">
        <v>82</v>
      </c>
      <c r="D484" s="63">
        <v>2</v>
      </c>
      <c r="E484" s="64">
        <v>2.5595085743500002E-4</v>
      </c>
    </row>
    <row r="485" spans="2:5" ht="15" customHeight="1">
      <c r="B485" s="77"/>
      <c r="C485" s="62" t="s">
        <v>143</v>
      </c>
      <c r="D485" s="63">
        <v>2</v>
      </c>
      <c r="E485" s="64">
        <v>2.5595085743500002E-4</v>
      </c>
    </row>
    <row r="486" spans="2:5" ht="15" customHeight="1">
      <c r="B486" s="78"/>
      <c r="C486" s="36" t="s">
        <v>29</v>
      </c>
      <c r="D486" s="35">
        <v>313</v>
      </c>
      <c r="E486" s="34">
        <v>4.0056309188636001E-2</v>
      </c>
    </row>
    <row r="487" spans="2:5" ht="15" customHeight="1">
      <c r="B487" s="76" t="s">
        <v>233</v>
      </c>
      <c r="C487" s="62" t="s">
        <v>105</v>
      </c>
      <c r="D487" s="63">
        <v>5</v>
      </c>
      <c r="E487" s="64">
        <v>6.3987714358799996E-4</v>
      </c>
    </row>
    <row r="488" spans="2:5" ht="15" customHeight="1">
      <c r="B488" s="81"/>
      <c r="C488" s="62" t="s">
        <v>122</v>
      </c>
      <c r="D488" s="63">
        <v>1</v>
      </c>
      <c r="E488" s="64">
        <v>1.2797542871799999E-4</v>
      </c>
    </row>
    <row r="489" spans="2:5" ht="15" customHeight="1">
      <c r="B489" s="82"/>
      <c r="C489" s="36" t="s">
        <v>29</v>
      </c>
      <c r="D489" s="35">
        <v>6</v>
      </c>
      <c r="E489" s="34">
        <v>7.6785257230599997E-4</v>
      </c>
    </row>
    <row r="490" spans="2:5" ht="15" customHeight="1">
      <c r="B490" s="79" t="s">
        <v>29</v>
      </c>
      <c r="C490" s="80"/>
      <c r="D490" s="60">
        <v>7814</v>
      </c>
      <c r="E490" s="61">
        <v>1</v>
      </c>
    </row>
    <row r="492" spans="2:5" ht="15" customHeight="1">
      <c r="B492" s="15" t="s">
        <v>47</v>
      </c>
    </row>
    <row r="493" spans="2:5" ht="15" customHeight="1">
      <c r="B493" s="17" t="s">
        <v>18</v>
      </c>
    </row>
    <row r="494" spans="2:5" ht="15" customHeight="1">
      <c r="B494" s="16" t="s">
        <v>48</v>
      </c>
    </row>
    <row r="495" spans="2:5" ht="15" customHeight="1">
      <c r="B495" s="15" t="s">
        <v>17</v>
      </c>
    </row>
    <row r="496" spans="2:5" ht="15" customHeight="1">
      <c r="B496" s="15" t="s">
        <v>49</v>
      </c>
    </row>
  </sheetData>
  <mergeCells count="24">
    <mergeCell ref="B454:B486"/>
    <mergeCell ref="B487:B489"/>
    <mergeCell ref="B490:C490"/>
    <mergeCell ref="B398:B409"/>
    <mergeCell ref="B410:B420"/>
    <mergeCell ref="B421:B425"/>
    <mergeCell ref="B426:B430"/>
    <mergeCell ref="B431:B453"/>
    <mergeCell ref="B222:B253"/>
    <mergeCell ref="B254:B296"/>
    <mergeCell ref="B297:B322"/>
    <mergeCell ref="B323:B356"/>
    <mergeCell ref="B357:B397"/>
    <mergeCell ref="B195:B221"/>
    <mergeCell ref="B7:E8"/>
    <mergeCell ref="B87:B100"/>
    <mergeCell ref="B101:B135"/>
    <mergeCell ref="B136:B172"/>
    <mergeCell ref="B173:B194"/>
    <mergeCell ref="B10:B27"/>
    <mergeCell ref="B28:B37"/>
    <mergeCell ref="B38:B49"/>
    <mergeCell ref="B50:B70"/>
    <mergeCell ref="B71:B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682"/>
  <sheetViews>
    <sheetView showGridLines="0" view="pageBreakPreview" topLeftCell="A648" zoomScale="85" zoomScaleNormal="98" zoomScaleSheetLayoutView="85" workbookViewId="0">
      <selection activeCell="E672" sqref="E672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9.710937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0" customFormat="1" ht="12" customHeight="1">
      <c r="B1" s="43"/>
      <c r="C1" s="42"/>
      <c r="D1" s="42"/>
      <c r="E1" s="42"/>
    </row>
    <row r="2" spans="1:5" s="40" customFormat="1" ht="15" customHeight="1">
      <c r="C2" s="45"/>
    </row>
    <row r="3" spans="1:5" s="40" customFormat="1" ht="15" customHeight="1">
      <c r="C3" s="45"/>
    </row>
    <row r="4" spans="1:5" s="40" customFormat="1" ht="30" customHeight="1">
      <c r="C4" s="45"/>
      <c r="D4" s="44"/>
    </row>
    <row r="5" spans="1:5" s="40" customFormat="1" ht="15" customHeight="1">
      <c r="C5" s="45"/>
      <c r="D5" s="44"/>
    </row>
    <row r="6" spans="1:5" s="40" customFormat="1" ht="24" customHeight="1">
      <c r="B6" s="43"/>
      <c r="C6" s="42"/>
      <c r="D6" s="42"/>
      <c r="E6" s="42"/>
    </row>
    <row r="7" spans="1:5" s="40" customFormat="1" ht="26.25" customHeight="1">
      <c r="A7" s="41"/>
      <c r="B7" s="75"/>
      <c r="C7" s="75"/>
      <c r="D7" s="75"/>
      <c r="E7" s="75"/>
    </row>
    <row r="8" spans="1:5" s="40" customFormat="1" ht="33" customHeight="1">
      <c r="A8" s="41"/>
      <c r="B8" s="75"/>
      <c r="C8" s="75"/>
      <c r="D8" s="75"/>
      <c r="E8" s="75"/>
    </row>
    <row r="9" spans="1:5" s="25" customFormat="1" ht="40.5" customHeight="1">
      <c r="B9" s="37" t="s">
        <v>22</v>
      </c>
      <c r="C9" s="39" t="s">
        <v>27</v>
      </c>
      <c r="D9" s="38" t="s">
        <v>20</v>
      </c>
      <c r="E9" s="37" t="s">
        <v>19</v>
      </c>
    </row>
    <row r="10" spans="1:5" ht="15" customHeight="1">
      <c r="B10" s="76" t="s">
        <v>84</v>
      </c>
      <c r="C10" s="62" t="s">
        <v>218</v>
      </c>
      <c r="D10" s="63">
        <v>1</v>
      </c>
      <c r="E10" s="64">
        <v>1.2797542871799999E-4</v>
      </c>
    </row>
    <row r="11" spans="1:5" ht="15" customHeight="1">
      <c r="B11" s="77"/>
      <c r="C11" s="62" t="s">
        <v>219</v>
      </c>
      <c r="D11" s="63">
        <v>2</v>
      </c>
      <c r="E11" s="64">
        <v>2.5595085743500002E-4</v>
      </c>
    </row>
    <row r="12" spans="1:5" ht="15" customHeight="1">
      <c r="B12" s="77"/>
      <c r="C12" s="62" t="s">
        <v>221</v>
      </c>
      <c r="D12" s="63">
        <v>1</v>
      </c>
      <c r="E12" s="64">
        <v>1.2797542871799999E-4</v>
      </c>
    </row>
    <row r="13" spans="1:5" ht="15" customHeight="1">
      <c r="B13" s="77"/>
      <c r="C13" s="62" t="s">
        <v>223</v>
      </c>
      <c r="D13" s="63">
        <v>5</v>
      </c>
      <c r="E13" s="64">
        <v>6.3987714358799996E-4</v>
      </c>
    </row>
    <row r="14" spans="1:5" ht="15" customHeight="1">
      <c r="B14" s="77"/>
      <c r="C14" s="62" t="s">
        <v>225</v>
      </c>
      <c r="D14" s="63">
        <v>1</v>
      </c>
      <c r="E14" s="64">
        <v>1.2797542871799999E-4</v>
      </c>
    </row>
    <row r="15" spans="1:5" ht="15" customHeight="1">
      <c r="B15" s="77"/>
      <c r="C15" s="62" t="s">
        <v>226</v>
      </c>
      <c r="D15" s="63">
        <v>17</v>
      </c>
      <c r="E15" s="64">
        <v>2.1755822882010001E-3</v>
      </c>
    </row>
    <row r="16" spans="1:5" ht="15" customHeight="1">
      <c r="B16" s="77"/>
      <c r="C16" s="62" t="s">
        <v>231</v>
      </c>
      <c r="D16" s="63">
        <v>1</v>
      </c>
      <c r="E16" s="64">
        <v>1.2797542871799999E-4</v>
      </c>
    </row>
    <row r="17" spans="2:5" ht="15" customHeight="1">
      <c r="B17" s="78"/>
      <c r="C17" s="36" t="s">
        <v>29</v>
      </c>
      <c r="D17" s="35">
        <v>28</v>
      </c>
      <c r="E17" s="34">
        <v>3.5833120040949999E-3</v>
      </c>
    </row>
    <row r="18" spans="2:5" ht="15" customHeight="1">
      <c r="B18" s="76" t="s">
        <v>66</v>
      </c>
      <c r="C18" s="62" t="s">
        <v>211</v>
      </c>
      <c r="D18" s="63">
        <v>3</v>
      </c>
      <c r="E18" s="64">
        <v>3.8392628615299999E-4</v>
      </c>
    </row>
    <row r="19" spans="2:5" ht="15" customHeight="1">
      <c r="B19" s="77"/>
      <c r="C19" s="62" t="s">
        <v>215</v>
      </c>
      <c r="D19" s="63">
        <v>3</v>
      </c>
      <c r="E19" s="64">
        <v>3.8392628615299999E-4</v>
      </c>
    </row>
    <row r="20" spans="2:5" ht="15" customHeight="1">
      <c r="B20" s="77"/>
      <c r="C20" s="62" t="s">
        <v>216</v>
      </c>
      <c r="D20" s="63">
        <v>2</v>
      </c>
      <c r="E20" s="64">
        <v>2.5595085743500002E-4</v>
      </c>
    </row>
    <row r="21" spans="2:5" ht="15" customHeight="1">
      <c r="B21" s="77"/>
      <c r="C21" s="62" t="s">
        <v>217</v>
      </c>
      <c r="D21" s="63">
        <v>1</v>
      </c>
      <c r="E21" s="64">
        <v>1.2797542871799999E-4</v>
      </c>
    </row>
    <row r="22" spans="2:5" ht="15" customHeight="1">
      <c r="B22" s="77"/>
      <c r="C22" s="62" t="s">
        <v>218</v>
      </c>
      <c r="D22" s="63">
        <v>6</v>
      </c>
      <c r="E22" s="64">
        <v>7.6785257230599997E-4</v>
      </c>
    </row>
    <row r="23" spans="2:5" ht="15" customHeight="1">
      <c r="B23" s="77"/>
      <c r="C23" s="62" t="s">
        <v>219</v>
      </c>
      <c r="D23" s="63">
        <v>13</v>
      </c>
      <c r="E23" s="64">
        <v>1.6636805733300001E-3</v>
      </c>
    </row>
    <row r="24" spans="2:5" ht="15" customHeight="1">
      <c r="B24" s="77"/>
      <c r="C24" s="62" t="s">
        <v>220</v>
      </c>
      <c r="D24" s="63">
        <v>1</v>
      </c>
      <c r="E24" s="64">
        <v>1.2797542871799999E-4</v>
      </c>
    </row>
    <row r="25" spans="2:5" ht="15" customHeight="1">
      <c r="B25" s="77"/>
      <c r="C25" s="62" t="s">
        <v>221</v>
      </c>
      <c r="D25" s="63">
        <v>5</v>
      </c>
      <c r="E25" s="64">
        <v>6.3987714358799996E-4</v>
      </c>
    </row>
    <row r="26" spans="2:5" ht="15" customHeight="1">
      <c r="B26" s="77"/>
      <c r="C26" s="62" t="s">
        <v>223</v>
      </c>
      <c r="D26" s="63">
        <v>42</v>
      </c>
      <c r="E26" s="64">
        <v>5.3749680061430001E-3</v>
      </c>
    </row>
    <row r="27" spans="2:5" ht="15" customHeight="1">
      <c r="B27" s="77"/>
      <c r="C27" s="62" t="s">
        <v>224</v>
      </c>
      <c r="D27" s="63">
        <v>4</v>
      </c>
      <c r="E27" s="64">
        <v>5.1190171487100001E-4</v>
      </c>
    </row>
    <row r="28" spans="2:5" ht="15" customHeight="1">
      <c r="B28" s="77"/>
      <c r="C28" s="62" t="s">
        <v>225</v>
      </c>
      <c r="D28" s="63">
        <v>5</v>
      </c>
      <c r="E28" s="64">
        <v>6.3987714358799996E-4</v>
      </c>
    </row>
    <row r="29" spans="2:5" ht="15" customHeight="1">
      <c r="B29" s="77"/>
      <c r="C29" s="62" t="s">
        <v>226</v>
      </c>
      <c r="D29" s="63">
        <v>23</v>
      </c>
      <c r="E29" s="64">
        <v>2.9434348605069998E-3</v>
      </c>
    </row>
    <row r="30" spans="2:5" ht="15" customHeight="1">
      <c r="B30" s="77"/>
      <c r="C30" s="62" t="s">
        <v>232</v>
      </c>
      <c r="D30" s="63">
        <v>1</v>
      </c>
      <c r="E30" s="64">
        <v>1.2797542871799999E-4</v>
      </c>
    </row>
    <row r="31" spans="2:5" ht="15" customHeight="1">
      <c r="B31" s="78"/>
      <c r="C31" s="36" t="s">
        <v>29</v>
      </c>
      <c r="D31" s="35">
        <v>109</v>
      </c>
      <c r="E31" s="34">
        <v>1.3949321730228E-2</v>
      </c>
    </row>
    <row r="32" spans="2:5" ht="15" customHeight="1">
      <c r="B32" s="76" t="s">
        <v>80</v>
      </c>
      <c r="C32" s="62" t="s">
        <v>211</v>
      </c>
      <c r="D32" s="63">
        <v>1</v>
      </c>
      <c r="E32" s="64">
        <v>1.2797542871799999E-4</v>
      </c>
    </row>
    <row r="33" spans="2:5" ht="15" customHeight="1">
      <c r="B33" s="77"/>
      <c r="C33" s="62" t="s">
        <v>214</v>
      </c>
      <c r="D33" s="63">
        <v>1</v>
      </c>
      <c r="E33" s="64">
        <v>1.2797542871799999E-4</v>
      </c>
    </row>
    <row r="34" spans="2:5" ht="15" customHeight="1">
      <c r="B34" s="77"/>
      <c r="C34" s="62" t="s">
        <v>215</v>
      </c>
      <c r="D34" s="63">
        <v>2</v>
      </c>
      <c r="E34" s="64">
        <v>2.5595085743500002E-4</v>
      </c>
    </row>
    <row r="35" spans="2:5" ht="15" customHeight="1">
      <c r="B35" s="77"/>
      <c r="C35" s="62" t="s">
        <v>217</v>
      </c>
      <c r="D35" s="63">
        <v>1</v>
      </c>
      <c r="E35" s="64">
        <v>1.2797542871799999E-4</v>
      </c>
    </row>
    <row r="36" spans="2:5" ht="15" customHeight="1">
      <c r="B36" s="77"/>
      <c r="C36" s="62" t="s">
        <v>218</v>
      </c>
      <c r="D36" s="63">
        <v>1</v>
      </c>
      <c r="E36" s="64">
        <v>1.2797542871799999E-4</v>
      </c>
    </row>
    <row r="37" spans="2:5" ht="15" customHeight="1">
      <c r="B37" s="77"/>
      <c r="C37" s="62" t="s">
        <v>219</v>
      </c>
      <c r="D37" s="63">
        <v>4</v>
      </c>
      <c r="E37" s="64">
        <v>5.1190171487100001E-4</v>
      </c>
    </row>
    <row r="38" spans="2:5" ht="15" customHeight="1">
      <c r="B38" s="77"/>
      <c r="C38" s="62" t="s">
        <v>221</v>
      </c>
      <c r="D38" s="63">
        <v>2</v>
      </c>
      <c r="E38" s="64">
        <v>2.5595085743500002E-4</v>
      </c>
    </row>
    <row r="39" spans="2:5" ht="15" customHeight="1">
      <c r="B39" s="77"/>
      <c r="C39" s="62" t="s">
        <v>222</v>
      </c>
      <c r="D39" s="63">
        <v>1</v>
      </c>
      <c r="E39" s="64">
        <v>1.2797542871799999E-4</v>
      </c>
    </row>
    <row r="40" spans="2:5" ht="15" customHeight="1">
      <c r="B40" s="77"/>
      <c r="C40" s="62" t="s">
        <v>223</v>
      </c>
      <c r="D40" s="63">
        <v>7</v>
      </c>
      <c r="E40" s="64">
        <v>8.9582800102399999E-4</v>
      </c>
    </row>
    <row r="41" spans="2:5" ht="15" customHeight="1">
      <c r="B41" s="77"/>
      <c r="C41" s="62" t="s">
        <v>225</v>
      </c>
      <c r="D41" s="63">
        <v>3</v>
      </c>
      <c r="E41" s="64">
        <v>3.8392628615299999E-4</v>
      </c>
    </row>
    <row r="42" spans="2:5" ht="15" customHeight="1">
      <c r="B42" s="77"/>
      <c r="C42" s="62" t="s">
        <v>226</v>
      </c>
      <c r="D42" s="63">
        <v>6</v>
      </c>
      <c r="E42" s="64">
        <v>7.6785257230599997E-4</v>
      </c>
    </row>
    <row r="43" spans="2:5" ht="15" customHeight="1">
      <c r="B43" s="77"/>
      <c r="C43" s="62" t="s">
        <v>232</v>
      </c>
      <c r="D43" s="63">
        <v>2</v>
      </c>
      <c r="E43" s="64">
        <v>2.5595085743500002E-4</v>
      </c>
    </row>
    <row r="44" spans="2:5" ht="15" customHeight="1">
      <c r="B44" s="78"/>
      <c r="C44" s="36" t="s">
        <v>29</v>
      </c>
      <c r="D44" s="35">
        <v>31</v>
      </c>
      <c r="E44" s="34">
        <v>3.9672382902479998E-3</v>
      </c>
    </row>
    <row r="45" spans="2:5" ht="15" customHeight="1">
      <c r="B45" s="76" t="s">
        <v>63</v>
      </c>
      <c r="C45" s="62" t="s">
        <v>213</v>
      </c>
      <c r="D45" s="63">
        <v>1</v>
      </c>
      <c r="E45" s="64">
        <v>1.2797542871799999E-4</v>
      </c>
    </row>
    <row r="46" spans="2:5" ht="15" customHeight="1">
      <c r="B46" s="77"/>
      <c r="C46" s="62" t="s">
        <v>214</v>
      </c>
      <c r="D46" s="63">
        <v>2</v>
      </c>
      <c r="E46" s="64">
        <v>2.5595085743500002E-4</v>
      </c>
    </row>
    <row r="47" spans="2:5" ht="15" customHeight="1">
      <c r="B47" s="77"/>
      <c r="C47" s="62" t="s">
        <v>215</v>
      </c>
      <c r="D47" s="63">
        <v>4</v>
      </c>
      <c r="E47" s="64">
        <v>5.1190171487100001E-4</v>
      </c>
    </row>
    <row r="48" spans="2:5" ht="15" customHeight="1">
      <c r="B48" s="77"/>
      <c r="C48" s="62" t="s">
        <v>216</v>
      </c>
      <c r="D48" s="63">
        <v>2</v>
      </c>
      <c r="E48" s="64">
        <v>2.5595085743500002E-4</v>
      </c>
    </row>
    <row r="49" spans="2:5" ht="15" customHeight="1">
      <c r="B49" s="77"/>
      <c r="C49" s="62" t="s">
        <v>217</v>
      </c>
      <c r="D49" s="63">
        <v>4</v>
      </c>
      <c r="E49" s="64">
        <v>5.1190171487100001E-4</v>
      </c>
    </row>
    <row r="50" spans="2:5" ht="15" customHeight="1">
      <c r="B50" s="77"/>
      <c r="C50" s="62" t="s">
        <v>218</v>
      </c>
      <c r="D50" s="63">
        <v>19</v>
      </c>
      <c r="E50" s="64">
        <v>2.4315331456359998E-3</v>
      </c>
    </row>
    <row r="51" spans="2:5" ht="15" customHeight="1">
      <c r="B51" s="77"/>
      <c r="C51" s="62" t="s">
        <v>219</v>
      </c>
      <c r="D51" s="63">
        <v>11</v>
      </c>
      <c r="E51" s="64">
        <v>1.4077297158950001E-3</v>
      </c>
    </row>
    <row r="52" spans="2:5" ht="15" customHeight="1">
      <c r="B52" s="77"/>
      <c r="C52" s="62" t="s">
        <v>220</v>
      </c>
      <c r="D52" s="63">
        <v>1</v>
      </c>
      <c r="E52" s="64">
        <v>1.2797542871799999E-4</v>
      </c>
    </row>
    <row r="53" spans="2:5" ht="15" customHeight="1">
      <c r="B53" s="77"/>
      <c r="C53" s="62" t="s">
        <v>221</v>
      </c>
      <c r="D53" s="63">
        <v>4</v>
      </c>
      <c r="E53" s="64">
        <v>5.1190171487100001E-4</v>
      </c>
    </row>
    <row r="54" spans="2:5" ht="15" customHeight="1">
      <c r="B54" s="77"/>
      <c r="C54" s="62" t="s">
        <v>222</v>
      </c>
      <c r="D54" s="63">
        <v>3</v>
      </c>
      <c r="E54" s="64">
        <v>3.8392628615299999E-4</v>
      </c>
    </row>
    <row r="55" spans="2:5" ht="15" customHeight="1">
      <c r="B55" s="77"/>
      <c r="C55" s="62" t="s">
        <v>223</v>
      </c>
      <c r="D55" s="63">
        <v>43</v>
      </c>
      <c r="E55" s="64">
        <v>5.5029434348610002E-3</v>
      </c>
    </row>
    <row r="56" spans="2:5" ht="15" customHeight="1">
      <c r="B56" s="77"/>
      <c r="C56" s="62" t="s">
        <v>224</v>
      </c>
      <c r="D56" s="63">
        <v>1</v>
      </c>
      <c r="E56" s="64">
        <v>1.2797542871799999E-4</v>
      </c>
    </row>
    <row r="57" spans="2:5" ht="15" customHeight="1">
      <c r="B57" s="77"/>
      <c r="C57" s="62" t="s">
        <v>225</v>
      </c>
      <c r="D57" s="63">
        <v>12</v>
      </c>
      <c r="E57" s="64">
        <v>1.5357051446119999E-3</v>
      </c>
    </row>
    <row r="58" spans="2:5" ht="15" customHeight="1">
      <c r="B58" s="77"/>
      <c r="C58" s="62" t="s">
        <v>226</v>
      </c>
      <c r="D58" s="63">
        <v>31</v>
      </c>
      <c r="E58" s="64">
        <v>3.9672382902479998E-3</v>
      </c>
    </row>
    <row r="59" spans="2:5" ht="15" customHeight="1">
      <c r="B59" s="77"/>
      <c r="C59" s="62" t="s">
        <v>227</v>
      </c>
      <c r="D59" s="63">
        <v>1</v>
      </c>
      <c r="E59" s="64">
        <v>1.2797542871799999E-4</v>
      </c>
    </row>
    <row r="60" spans="2:5" ht="15" customHeight="1">
      <c r="B60" s="77"/>
      <c r="C60" s="62" t="s">
        <v>228</v>
      </c>
      <c r="D60" s="63">
        <v>1</v>
      </c>
      <c r="E60" s="64">
        <v>1.2797542871799999E-4</v>
      </c>
    </row>
    <row r="61" spans="2:5" ht="15" customHeight="1">
      <c r="B61" s="77"/>
      <c r="C61" s="62" t="s">
        <v>231</v>
      </c>
      <c r="D61" s="63">
        <v>2</v>
      </c>
      <c r="E61" s="64">
        <v>2.5595085743500002E-4</v>
      </c>
    </row>
    <row r="62" spans="2:5" ht="15" customHeight="1">
      <c r="B62" s="77"/>
      <c r="C62" s="62" t="s">
        <v>232</v>
      </c>
      <c r="D62" s="63">
        <v>12</v>
      </c>
      <c r="E62" s="64">
        <v>1.5357051446119999E-3</v>
      </c>
    </row>
    <row r="63" spans="2:5" ht="15" customHeight="1">
      <c r="B63" s="78"/>
      <c r="C63" s="36" t="s">
        <v>29</v>
      </c>
      <c r="D63" s="35">
        <v>154</v>
      </c>
      <c r="E63" s="34">
        <v>1.9708216022524001E-2</v>
      </c>
    </row>
    <row r="64" spans="2:5" ht="15" customHeight="1">
      <c r="B64" s="76" t="s">
        <v>95</v>
      </c>
      <c r="C64" s="62" t="s">
        <v>218</v>
      </c>
      <c r="D64" s="63">
        <v>1</v>
      </c>
      <c r="E64" s="64">
        <v>1.2797542871799999E-4</v>
      </c>
    </row>
    <row r="65" spans="2:5" ht="15" customHeight="1">
      <c r="B65" s="77"/>
      <c r="C65" s="62" t="s">
        <v>226</v>
      </c>
      <c r="D65" s="63">
        <v>1</v>
      </c>
      <c r="E65" s="64">
        <v>1.2797542871799999E-4</v>
      </c>
    </row>
    <row r="66" spans="2:5" ht="15" customHeight="1">
      <c r="B66" s="77"/>
      <c r="C66" s="62" t="s">
        <v>231</v>
      </c>
      <c r="D66" s="63">
        <v>1</v>
      </c>
      <c r="E66" s="64">
        <v>1.2797542871799999E-4</v>
      </c>
    </row>
    <row r="67" spans="2:5" ht="15" customHeight="1">
      <c r="B67" s="77"/>
      <c r="C67" s="62" t="s">
        <v>232</v>
      </c>
      <c r="D67" s="63">
        <v>1</v>
      </c>
      <c r="E67" s="64">
        <v>1.2797542871799999E-4</v>
      </c>
    </row>
    <row r="68" spans="2:5" ht="15" customHeight="1">
      <c r="B68" s="78"/>
      <c r="C68" s="36" t="s">
        <v>29</v>
      </c>
      <c r="D68" s="35">
        <v>4</v>
      </c>
      <c r="E68" s="34">
        <v>5.1190171487100001E-4</v>
      </c>
    </row>
    <row r="69" spans="2:5" ht="15" customHeight="1">
      <c r="B69" s="76" t="s">
        <v>93</v>
      </c>
      <c r="C69" s="62" t="s">
        <v>223</v>
      </c>
      <c r="D69" s="63">
        <v>2</v>
      </c>
      <c r="E69" s="64">
        <v>2.5595085743500002E-4</v>
      </c>
    </row>
    <row r="70" spans="2:5" ht="15" customHeight="1">
      <c r="B70" s="77"/>
      <c r="C70" s="62" t="s">
        <v>225</v>
      </c>
      <c r="D70" s="63">
        <v>1</v>
      </c>
      <c r="E70" s="64">
        <v>1.2797542871799999E-4</v>
      </c>
    </row>
    <row r="71" spans="2:5" ht="15" customHeight="1">
      <c r="B71" s="77"/>
      <c r="C71" s="62" t="s">
        <v>226</v>
      </c>
      <c r="D71" s="63">
        <v>1</v>
      </c>
      <c r="E71" s="64">
        <v>1.2797542871799999E-4</v>
      </c>
    </row>
    <row r="72" spans="2:5" ht="15" customHeight="1">
      <c r="B72" s="77"/>
      <c r="C72" s="62" t="s">
        <v>229</v>
      </c>
      <c r="D72" s="63">
        <v>1</v>
      </c>
      <c r="E72" s="64">
        <v>1.2797542871799999E-4</v>
      </c>
    </row>
    <row r="73" spans="2:5" ht="15" customHeight="1">
      <c r="B73" s="77"/>
      <c r="C73" s="62" t="s">
        <v>232</v>
      </c>
      <c r="D73" s="63">
        <v>1</v>
      </c>
      <c r="E73" s="64">
        <v>1.2797542871799999E-4</v>
      </c>
    </row>
    <row r="74" spans="2:5" ht="15" customHeight="1">
      <c r="B74" s="78"/>
      <c r="C74" s="36" t="s">
        <v>29</v>
      </c>
      <c r="D74" s="35">
        <v>6</v>
      </c>
      <c r="E74" s="34">
        <v>7.6785257230599997E-4</v>
      </c>
    </row>
    <row r="75" spans="2:5" ht="15" customHeight="1">
      <c r="B75" s="76" t="s">
        <v>92</v>
      </c>
      <c r="C75" s="62" t="s">
        <v>218</v>
      </c>
      <c r="D75" s="63">
        <v>1</v>
      </c>
      <c r="E75" s="64">
        <v>1.2797542871799999E-4</v>
      </c>
    </row>
    <row r="76" spans="2:5" ht="15" customHeight="1">
      <c r="B76" s="77"/>
      <c r="C76" s="62" t="s">
        <v>219</v>
      </c>
      <c r="D76" s="63">
        <v>1</v>
      </c>
      <c r="E76" s="64">
        <v>1.2797542871799999E-4</v>
      </c>
    </row>
    <row r="77" spans="2:5" ht="15" customHeight="1">
      <c r="B77" s="77"/>
      <c r="C77" s="62" t="s">
        <v>221</v>
      </c>
      <c r="D77" s="63">
        <v>1</v>
      </c>
      <c r="E77" s="64">
        <v>1.2797542871799999E-4</v>
      </c>
    </row>
    <row r="78" spans="2:5" ht="15" customHeight="1">
      <c r="B78" s="77"/>
      <c r="C78" s="62" t="s">
        <v>223</v>
      </c>
      <c r="D78" s="63">
        <v>1</v>
      </c>
      <c r="E78" s="64">
        <v>1.2797542871799999E-4</v>
      </c>
    </row>
    <row r="79" spans="2:5" ht="15" customHeight="1">
      <c r="B79" s="77"/>
      <c r="C79" s="62" t="s">
        <v>226</v>
      </c>
      <c r="D79" s="63">
        <v>2</v>
      </c>
      <c r="E79" s="64">
        <v>2.5595085743500002E-4</v>
      </c>
    </row>
    <row r="80" spans="2:5" ht="15" customHeight="1">
      <c r="B80" s="77"/>
      <c r="C80" s="62" t="s">
        <v>232</v>
      </c>
      <c r="D80" s="63">
        <v>1</v>
      </c>
      <c r="E80" s="64">
        <v>1.2797542871799999E-4</v>
      </c>
    </row>
    <row r="81" spans="2:5" ht="15" customHeight="1">
      <c r="B81" s="78"/>
      <c r="C81" s="36" t="s">
        <v>29</v>
      </c>
      <c r="D81" s="35">
        <v>7</v>
      </c>
      <c r="E81" s="34">
        <v>8.9582800102399999E-4</v>
      </c>
    </row>
    <row r="82" spans="2:5" ht="15" customHeight="1">
      <c r="B82" s="76" t="s">
        <v>58</v>
      </c>
      <c r="C82" s="62" t="s">
        <v>211</v>
      </c>
      <c r="D82" s="63">
        <v>4</v>
      </c>
      <c r="E82" s="64">
        <v>5.1190171487100001E-4</v>
      </c>
    </row>
    <row r="83" spans="2:5" ht="15" customHeight="1">
      <c r="B83" s="77"/>
      <c r="C83" s="62" t="s">
        <v>216</v>
      </c>
      <c r="D83" s="63">
        <v>2</v>
      </c>
      <c r="E83" s="64">
        <v>2.5595085743500002E-4</v>
      </c>
    </row>
    <row r="84" spans="2:5" ht="15" customHeight="1">
      <c r="B84" s="77"/>
      <c r="C84" s="62" t="s">
        <v>218</v>
      </c>
      <c r="D84" s="63">
        <v>17</v>
      </c>
      <c r="E84" s="64">
        <v>2.1755822882010001E-3</v>
      </c>
    </row>
    <row r="85" spans="2:5" ht="15" customHeight="1">
      <c r="B85" s="77"/>
      <c r="C85" s="62" t="s">
        <v>219</v>
      </c>
      <c r="D85" s="63">
        <v>33</v>
      </c>
      <c r="E85" s="64">
        <v>4.223189147684E-3</v>
      </c>
    </row>
    <row r="86" spans="2:5" ht="15" customHeight="1">
      <c r="B86" s="77"/>
      <c r="C86" s="62" t="s">
        <v>220</v>
      </c>
      <c r="D86" s="63">
        <v>4</v>
      </c>
      <c r="E86" s="64">
        <v>5.1190171487100001E-4</v>
      </c>
    </row>
    <row r="87" spans="2:5" ht="15" customHeight="1">
      <c r="B87" s="77"/>
      <c r="C87" s="62" t="s">
        <v>221</v>
      </c>
      <c r="D87" s="63">
        <v>5</v>
      </c>
      <c r="E87" s="64">
        <v>6.3987714358799996E-4</v>
      </c>
    </row>
    <row r="88" spans="2:5" ht="15" customHeight="1">
      <c r="B88" s="77"/>
      <c r="C88" s="62" t="s">
        <v>222</v>
      </c>
      <c r="D88" s="63">
        <v>9</v>
      </c>
      <c r="E88" s="64">
        <v>1.1517788584590001E-3</v>
      </c>
    </row>
    <row r="89" spans="2:5" ht="15" customHeight="1">
      <c r="B89" s="77"/>
      <c r="C89" s="62" t="s">
        <v>223</v>
      </c>
      <c r="D89" s="63">
        <v>103</v>
      </c>
      <c r="E89" s="64">
        <v>1.3181469157922E-2</v>
      </c>
    </row>
    <row r="90" spans="2:5" ht="15" customHeight="1">
      <c r="B90" s="77"/>
      <c r="C90" s="62" t="s">
        <v>224</v>
      </c>
      <c r="D90" s="63">
        <v>2</v>
      </c>
      <c r="E90" s="64">
        <v>2.5595085743500002E-4</v>
      </c>
    </row>
    <row r="91" spans="2:5" ht="15" customHeight="1">
      <c r="B91" s="77"/>
      <c r="C91" s="62" t="s">
        <v>225</v>
      </c>
      <c r="D91" s="63">
        <v>10</v>
      </c>
      <c r="E91" s="64">
        <v>1.279754287177E-3</v>
      </c>
    </row>
    <row r="92" spans="2:5" ht="15" customHeight="1">
      <c r="B92" s="77"/>
      <c r="C92" s="62" t="s">
        <v>226</v>
      </c>
      <c r="D92" s="63">
        <v>64</v>
      </c>
      <c r="E92" s="64">
        <v>8.1904274379319998E-3</v>
      </c>
    </row>
    <row r="93" spans="2:5" ht="15" customHeight="1">
      <c r="B93" s="77"/>
      <c r="C93" s="62" t="s">
        <v>228</v>
      </c>
      <c r="D93" s="63">
        <v>1</v>
      </c>
      <c r="E93" s="64">
        <v>1.2797542871799999E-4</v>
      </c>
    </row>
    <row r="94" spans="2:5" ht="15" customHeight="1">
      <c r="B94" s="77"/>
      <c r="C94" s="62" t="s">
        <v>231</v>
      </c>
      <c r="D94" s="63">
        <v>6</v>
      </c>
      <c r="E94" s="64">
        <v>7.6785257230599997E-4</v>
      </c>
    </row>
    <row r="95" spans="2:5" ht="15" customHeight="1">
      <c r="B95" s="77"/>
      <c r="C95" s="62" t="s">
        <v>232</v>
      </c>
      <c r="D95" s="63">
        <v>17</v>
      </c>
      <c r="E95" s="64">
        <v>2.1755822882010001E-3</v>
      </c>
    </row>
    <row r="96" spans="2:5" ht="15" customHeight="1">
      <c r="B96" s="78"/>
      <c r="C96" s="36" t="s">
        <v>29</v>
      </c>
      <c r="D96" s="35">
        <v>277</v>
      </c>
      <c r="E96" s="34">
        <v>3.5449193754798998E-2</v>
      </c>
    </row>
    <row r="97" spans="2:5" ht="15" customHeight="1">
      <c r="B97" s="76" t="s">
        <v>65</v>
      </c>
      <c r="C97" s="62" t="s">
        <v>211</v>
      </c>
      <c r="D97" s="63">
        <v>1</v>
      </c>
      <c r="E97" s="64">
        <v>1.2797542871799999E-4</v>
      </c>
    </row>
    <row r="98" spans="2:5" ht="15" customHeight="1">
      <c r="B98" s="77"/>
      <c r="C98" s="62" t="s">
        <v>213</v>
      </c>
      <c r="D98" s="63">
        <v>1</v>
      </c>
      <c r="E98" s="64">
        <v>1.2797542871799999E-4</v>
      </c>
    </row>
    <row r="99" spans="2:5" ht="15" customHeight="1">
      <c r="B99" s="77"/>
      <c r="C99" s="62" t="s">
        <v>214</v>
      </c>
      <c r="D99" s="63">
        <v>1</v>
      </c>
      <c r="E99" s="64">
        <v>1.2797542871799999E-4</v>
      </c>
    </row>
    <row r="100" spans="2:5" ht="15" customHeight="1">
      <c r="B100" s="77"/>
      <c r="C100" s="62" t="s">
        <v>215</v>
      </c>
      <c r="D100" s="63">
        <v>1</v>
      </c>
      <c r="E100" s="64">
        <v>1.2797542871799999E-4</v>
      </c>
    </row>
    <row r="101" spans="2:5" ht="15" customHeight="1">
      <c r="B101" s="77"/>
      <c r="C101" s="62" t="s">
        <v>216</v>
      </c>
      <c r="D101" s="63">
        <v>1</v>
      </c>
      <c r="E101" s="64">
        <v>1.2797542871799999E-4</v>
      </c>
    </row>
    <row r="102" spans="2:5" ht="15" customHeight="1">
      <c r="B102" s="77"/>
      <c r="C102" s="62" t="s">
        <v>217</v>
      </c>
      <c r="D102" s="63">
        <v>3</v>
      </c>
      <c r="E102" s="64">
        <v>3.8392628615299999E-4</v>
      </c>
    </row>
    <row r="103" spans="2:5" ht="15" customHeight="1">
      <c r="B103" s="77"/>
      <c r="C103" s="62" t="s">
        <v>218</v>
      </c>
      <c r="D103" s="63">
        <v>7</v>
      </c>
      <c r="E103" s="64">
        <v>8.9582800102399999E-4</v>
      </c>
    </row>
    <row r="104" spans="2:5" ht="15" customHeight="1">
      <c r="B104" s="77"/>
      <c r="C104" s="62" t="s">
        <v>219</v>
      </c>
      <c r="D104" s="63">
        <v>7</v>
      </c>
      <c r="E104" s="64">
        <v>8.9582800102399999E-4</v>
      </c>
    </row>
    <row r="105" spans="2:5" ht="15" customHeight="1">
      <c r="B105" s="77"/>
      <c r="C105" s="62" t="s">
        <v>220</v>
      </c>
      <c r="D105" s="63">
        <v>2</v>
      </c>
      <c r="E105" s="64">
        <v>2.5595085743500002E-4</v>
      </c>
    </row>
    <row r="106" spans="2:5" ht="15" customHeight="1">
      <c r="B106" s="77"/>
      <c r="C106" s="62" t="s">
        <v>221</v>
      </c>
      <c r="D106" s="63">
        <v>2</v>
      </c>
      <c r="E106" s="64">
        <v>2.5595085743500002E-4</v>
      </c>
    </row>
    <row r="107" spans="2:5" ht="15" customHeight="1">
      <c r="B107" s="77"/>
      <c r="C107" s="62" t="s">
        <v>222</v>
      </c>
      <c r="D107" s="63">
        <v>3</v>
      </c>
      <c r="E107" s="64">
        <v>3.8392628615299999E-4</v>
      </c>
    </row>
    <row r="108" spans="2:5" ht="15" customHeight="1">
      <c r="B108" s="77"/>
      <c r="C108" s="62" t="s">
        <v>223</v>
      </c>
      <c r="D108" s="63">
        <v>40</v>
      </c>
      <c r="E108" s="64">
        <v>5.1190171487069999E-3</v>
      </c>
    </row>
    <row r="109" spans="2:5" ht="15" customHeight="1">
      <c r="B109" s="77"/>
      <c r="C109" s="62" t="s">
        <v>224</v>
      </c>
      <c r="D109" s="63">
        <v>2</v>
      </c>
      <c r="E109" s="64">
        <v>2.5595085743500002E-4</v>
      </c>
    </row>
    <row r="110" spans="2:5" ht="15" customHeight="1">
      <c r="B110" s="77"/>
      <c r="C110" s="62" t="s">
        <v>225</v>
      </c>
      <c r="D110" s="63">
        <v>8</v>
      </c>
      <c r="E110" s="64">
        <v>1.0238034297409999E-3</v>
      </c>
    </row>
    <row r="111" spans="2:5" ht="15" customHeight="1">
      <c r="B111" s="77"/>
      <c r="C111" s="62" t="s">
        <v>226</v>
      </c>
      <c r="D111" s="63">
        <v>34</v>
      </c>
      <c r="E111" s="64">
        <v>4.3511645764010001E-3</v>
      </c>
    </row>
    <row r="112" spans="2:5" ht="15" customHeight="1">
      <c r="B112" s="77"/>
      <c r="C112" s="62" t="s">
        <v>229</v>
      </c>
      <c r="D112" s="63">
        <v>1</v>
      </c>
      <c r="E112" s="64">
        <v>1.2797542871799999E-4</v>
      </c>
    </row>
    <row r="113" spans="2:5" ht="15" customHeight="1">
      <c r="B113" s="77"/>
      <c r="C113" s="62" t="s">
        <v>230</v>
      </c>
      <c r="D113" s="63">
        <v>1</v>
      </c>
      <c r="E113" s="64">
        <v>1.2797542871799999E-4</v>
      </c>
    </row>
    <row r="114" spans="2:5" ht="15" customHeight="1">
      <c r="B114" s="77"/>
      <c r="C114" s="62" t="s">
        <v>231</v>
      </c>
      <c r="D114" s="63">
        <v>1</v>
      </c>
      <c r="E114" s="64">
        <v>1.2797542871799999E-4</v>
      </c>
    </row>
    <row r="115" spans="2:5" ht="15" customHeight="1">
      <c r="B115" s="77"/>
      <c r="C115" s="62" t="s">
        <v>232</v>
      </c>
      <c r="D115" s="63">
        <v>5</v>
      </c>
      <c r="E115" s="64">
        <v>6.3987714358799996E-4</v>
      </c>
    </row>
    <row r="116" spans="2:5" ht="15" customHeight="1">
      <c r="B116" s="78"/>
      <c r="C116" s="36" t="s">
        <v>29</v>
      </c>
      <c r="D116" s="35">
        <v>121</v>
      </c>
      <c r="E116" s="34">
        <v>1.548502687484E-2</v>
      </c>
    </row>
    <row r="117" spans="2:5" ht="15" customHeight="1">
      <c r="B117" s="76" t="s">
        <v>98</v>
      </c>
      <c r="C117" s="62" t="s">
        <v>225</v>
      </c>
      <c r="D117" s="63">
        <v>1</v>
      </c>
      <c r="E117" s="64">
        <v>1.2797542871799999E-4</v>
      </c>
    </row>
    <row r="118" spans="2:5" ht="15" customHeight="1">
      <c r="B118" s="78"/>
      <c r="C118" s="36" t="s">
        <v>29</v>
      </c>
      <c r="D118" s="35">
        <v>1</v>
      </c>
      <c r="E118" s="34">
        <v>1.2797542871799999E-4</v>
      </c>
    </row>
    <row r="119" spans="2:5" ht="15" customHeight="1">
      <c r="B119" s="76" t="s">
        <v>60</v>
      </c>
      <c r="C119" s="62" t="s">
        <v>211</v>
      </c>
      <c r="D119" s="63">
        <v>2</v>
      </c>
      <c r="E119" s="64">
        <v>2.5595085743500002E-4</v>
      </c>
    </row>
    <row r="120" spans="2:5" ht="15" customHeight="1">
      <c r="B120" s="77"/>
      <c r="C120" s="62" t="s">
        <v>213</v>
      </c>
      <c r="D120" s="63">
        <v>1</v>
      </c>
      <c r="E120" s="64">
        <v>1.2797542871799999E-4</v>
      </c>
    </row>
    <row r="121" spans="2:5" ht="15" customHeight="1">
      <c r="B121" s="77"/>
      <c r="C121" s="62" t="s">
        <v>214</v>
      </c>
      <c r="D121" s="63">
        <v>1</v>
      </c>
      <c r="E121" s="64">
        <v>1.2797542871799999E-4</v>
      </c>
    </row>
    <row r="122" spans="2:5" ht="15" customHeight="1">
      <c r="B122" s="77"/>
      <c r="C122" s="62" t="s">
        <v>215</v>
      </c>
      <c r="D122" s="63">
        <v>2</v>
      </c>
      <c r="E122" s="64">
        <v>2.5595085743500002E-4</v>
      </c>
    </row>
    <row r="123" spans="2:5" ht="15" customHeight="1">
      <c r="B123" s="77"/>
      <c r="C123" s="62" t="s">
        <v>216</v>
      </c>
      <c r="D123" s="63">
        <v>2</v>
      </c>
      <c r="E123" s="64">
        <v>2.5595085743500002E-4</v>
      </c>
    </row>
    <row r="124" spans="2:5" ht="15" customHeight="1">
      <c r="B124" s="77"/>
      <c r="C124" s="62" t="s">
        <v>217</v>
      </c>
      <c r="D124" s="63">
        <v>3</v>
      </c>
      <c r="E124" s="64">
        <v>3.8392628615299999E-4</v>
      </c>
    </row>
    <row r="125" spans="2:5" ht="15" customHeight="1">
      <c r="B125" s="77"/>
      <c r="C125" s="62" t="s">
        <v>218</v>
      </c>
      <c r="D125" s="63">
        <v>14</v>
      </c>
      <c r="E125" s="64">
        <v>1.791656002048E-3</v>
      </c>
    </row>
    <row r="126" spans="2:5" ht="15" customHeight="1">
      <c r="B126" s="77"/>
      <c r="C126" s="62" t="s">
        <v>219</v>
      </c>
      <c r="D126" s="63">
        <v>16</v>
      </c>
      <c r="E126" s="64">
        <v>2.047606859483E-3</v>
      </c>
    </row>
    <row r="127" spans="2:5" ht="15" customHeight="1">
      <c r="B127" s="77"/>
      <c r="C127" s="62" t="s">
        <v>220</v>
      </c>
      <c r="D127" s="63">
        <v>9</v>
      </c>
      <c r="E127" s="64">
        <v>1.1517788584590001E-3</v>
      </c>
    </row>
    <row r="128" spans="2:5" ht="15" customHeight="1">
      <c r="B128" s="77"/>
      <c r="C128" s="62" t="s">
        <v>221</v>
      </c>
      <c r="D128" s="63">
        <v>5</v>
      </c>
      <c r="E128" s="64">
        <v>6.3987714358799996E-4</v>
      </c>
    </row>
    <row r="129" spans="2:5" ht="15" customHeight="1">
      <c r="B129" s="77"/>
      <c r="C129" s="62" t="s">
        <v>222</v>
      </c>
      <c r="D129" s="63">
        <v>16</v>
      </c>
      <c r="E129" s="64">
        <v>2.047606859483E-3</v>
      </c>
    </row>
    <row r="130" spans="2:5" ht="15" customHeight="1">
      <c r="B130" s="77"/>
      <c r="C130" s="62" t="s">
        <v>223</v>
      </c>
      <c r="D130" s="63">
        <v>68</v>
      </c>
      <c r="E130" s="64">
        <v>8.7023291528029994E-3</v>
      </c>
    </row>
    <row r="131" spans="2:5" ht="15" customHeight="1">
      <c r="B131" s="77"/>
      <c r="C131" s="62" t="s">
        <v>224</v>
      </c>
      <c r="D131" s="63">
        <v>3</v>
      </c>
      <c r="E131" s="64">
        <v>3.8392628615299999E-4</v>
      </c>
    </row>
    <row r="132" spans="2:5" ht="15" customHeight="1">
      <c r="B132" s="77"/>
      <c r="C132" s="62" t="s">
        <v>225</v>
      </c>
      <c r="D132" s="63">
        <v>12</v>
      </c>
      <c r="E132" s="64">
        <v>1.5357051446119999E-3</v>
      </c>
    </row>
    <row r="133" spans="2:5" ht="15" customHeight="1">
      <c r="B133" s="77"/>
      <c r="C133" s="62" t="s">
        <v>226</v>
      </c>
      <c r="D133" s="63">
        <v>55</v>
      </c>
      <c r="E133" s="64">
        <v>7.0386485794729997E-3</v>
      </c>
    </row>
    <row r="134" spans="2:5" ht="15" customHeight="1">
      <c r="B134" s="77"/>
      <c r="C134" s="62" t="s">
        <v>227</v>
      </c>
      <c r="D134" s="63">
        <v>1</v>
      </c>
      <c r="E134" s="64">
        <v>1.2797542871799999E-4</v>
      </c>
    </row>
    <row r="135" spans="2:5" ht="15" customHeight="1">
      <c r="B135" s="77"/>
      <c r="C135" s="62" t="s">
        <v>229</v>
      </c>
      <c r="D135" s="63">
        <v>1</v>
      </c>
      <c r="E135" s="64">
        <v>1.2797542871799999E-4</v>
      </c>
    </row>
    <row r="136" spans="2:5" ht="15" customHeight="1">
      <c r="B136" s="77"/>
      <c r="C136" s="62" t="s">
        <v>230</v>
      </c>
      <c r="D136" s="63">
        <v>1</v>
      </c>
      <c r="E136" s="64">
        <v>1.2797542871799999E-4</v>
      </c>
    </row>
    <row r="137" spans="2:5" ht="15" customHeight="1">
      <c r="B137" s="77"/>
      <c r="C137" s="62" t="s">
        <v>231</v>
      </c>
      <c r="D137" s="63">
        <v>2</v>
      </c>
      <c r="E137" s="64">
        <v>2.5595085743500002E-4</v>
      </c>
    </row>
    <row r="138" spans="2:5" ht="15" customHeight="1">
      <c r="B138" s="77"/>
      <c r="C138" s="62" t="s">
        <v>232</v>
      </c>
      <c r="D138" s="63">
        <v>9</v>
      </c>
      <c r="E138" s="64">
        <v>1.1517788584590001E-3</v>
      </c>
    </row>
    <row r="139" spans="2:5" ht="15" customHeight="1">
      <c r="B139" s="78"/>
      <c r="C139" s="36" t="s">
        <v>29</v>
      </c>
      <c r="D139" s="35">
        <v>223</v>
      </c>
      <c r="E139" s="34">
        <v>2.8538520604044E-2</v>
      </c>
    </row>
    <row r="140" spans="2:5" ht="15" customHeight="1">
      <c r="B140" s="76" t="s">
        <v>78</v>
      </c>
      <c r="C140" s="62" t="s">
        <v>211</v>
      </c>
      <c r="D140" s="63">
        <v>1</v>
      </c>
      <c r="E140" s="64">
        <v>1.2797542871799999E-4</v>
      </c>
    </row>
    <row r="141" spans="2:5" ht="15" customHeight="1">
      <c r="B141" s="77"/>
      <c r="C141" s="62" t="s">
        <v>218</v>
      </c>
      <c r="D141" s="63">
        <v>3</v>
      </c>
      <c r="E141" s="64">
        <v>3.8392628615299999E-4</v>
      </c>
    </row>
    <row r="142" spans="2:5" ht="15" customHeight="1">
      <c r="B142" s="77"/>
      <c r="C142" s="62" t="s">
        <v>219</v>
      </c>
      <c r="D142" s="63">
        <v>4</v>
      </c>
      <c r="E142" s="64">
        <v>5.1190171487100001E-4</v>
      </c>
    </row>
    <row r="143" spans="2:5" ht="15" customHeight="1">
      <c r="B143" s="77"/>
      <c r="C143" s="62" t="s">
        <v>221</v>
      </c>
      <c r="D143" s="63">
        <v>1</v>
      </c>
      <c r="E143" s="64">
        <v>1.2797542871799999E-4</v>
      </c>
    </row>
    <row r="144" spans="2:5" ht="15" customHeight="1">
      <c r="B144" s="77"/>
      <c r="C144" s="62" t="s">
        <v>222</v>
      </c>
      <c r="D144" s="63">
        <v>3</v>
      </c>
      <c r="E144" s="64">
        <v>3.8392628615299999E-4</v>
      </c>
    </row>
    <row r="145" spans="2:5" ht="15" customHeight="1">
      <c r="B145" s="77"/>
      <c r="C145" s="62" t="s">
        <v>223</v>
      </c>
      <c r="D145" s="63">
        <v>17</v>
      </c>
      <c r="E145" s="64">
        <v>2.1755822882010001E-3</v>
      </c>
    </row>
    <row r="146" spans="2:5" ht="15" customHeight="1">
      <c r="B146" s="77"/>
      <c r="C146" s="62" t="s">
        <v>225</v>
      </c>
      <c r="D146" s="63">
        <v>6</v>
      </c>
      <c r="E146" s="64">
        <v>7.6785257230599997E-4</v>
      </c>
    </row>
    <row r="147" spans="2:5" ht="15" customHeight="1">
      <c r="B147" s="77"/>
      <c r="C147" s="62" t="s">
        <v>226</v>
      </c>
      <c r="D147" s="63">
        <v>9</v>
      </c>
      <c r="E147" s="64">
        <v>1.1517788584590001E-3</v>
      </c>
    </row>
    <row r="148" spans="2:5" ht="15" customHeight="1">
      <c r="B148" s="77"/>
      <c r="C148" s="62" t="s">
        <v>232</v>
      </c>
      <c r="D148" s="63">
        <v>1</v>
      </c>
      <c r="E148" s="64">
        <v>1.2797542871799999E-4</v>
      </c>
    </row>
    <row r="149" spans="2:5" ht="15" customHeight="1">
      <c r="B149" s="78"/>
      <c r="C149" s="36" t="s">
        <v>29</v>
      </c>
      <c r="D149" s="35">
        <v>45</v>
      </c>
      <c r="E149" s="34">
        <v>5.7588942922960004E-3</v>
      </c>
    </row>
    <row r="150" spans="2:5" ht="15" customHeight="1">
      <c r="B150" s="76" t="s">
        <v>99</v>
      </c>
      <c r="C150" s="62" t="s">
        <v>222</v>
      </c>
      <c r="D150" s="63">
        <v>1</v>
      </c>
      <c r="E150" s="64">
        <v>1.2797542871799999E-4</v>
      </c>
    </row>
    <row r="151" spans="2:5" ht="15" customHeight="1">
      <c r="B151" s="78"/>
      <c r="C151" s="36" t="s">
        <v>29</v>
      </c>
      <c r="D151" s="35">
        <v>1</v>
      </c>
      <c r="E151" s="34">
        <v>1.2797542871799999E-4</v>
      </c>
    </row>
    <row r="152" spans="2:5" ht="15" customHeight="1">
      <c r="B152" s="76" t="s">
        <v>90</v>
      </c>
      <c r="C152" s="62" t="s">
        <v>217</v>
      </c>
      <c r="D152" s="63">
        <v>1</v>
      </c>
      <c r="E152" s="64">
        <v>1.2797542871799999E-4</v>
      </c>
    </row>
    <row r="153" spans="2:5" ht="15" customHeight="1">
      <c r="B153" s="77"/>
      <c r="C153" s="62" t="s">
        <v>218</v>
      </c>
      <c r="D153" s="63">
        <v>1</v>
      </c>
      <c r="E153" s="64">
        <v>1.2797542871799999E-4</v>
      </c>
    </row>
    <row r="154" spans="2:5" ht="15" customHeight="1">
      <c r="B154" s="77"/>
      <c r="C154" s="62" t="s">
        <v>219</v>
      </c>
      <c r="D154" s="63">
        <v>1</v>
      </c>
      <c r="E154" s="64">
        <v>1.2797542871799999E-4</v>
      </c>
    </row>
    <row r="155" spans="2:5" ht="15" customHeight="1">
      <c r="B155" s="77"/>
      <c r="C155" s="62" t="s">
        <v>223</v>
      </c>
      <c r="D155" s="63">
        <v>3</v>
      </c>
      <c r="E155" s="64">
        <v>3.8392628615299999E-4</v>
      </c>
    </row>
    <row r="156" spans="2:5" ht="15" customHeight="1">
      <c r="B156" s="77"/>
      <c r="C156" s="62" t="s">
        <v>225</v>
      </c>
      <c r="D156" s="63">
        <v>2</v>
      </c>
      <c r="E156" s="64">
        <v>2.5595085743500002E-4</v>
      </c>
    </row>
    <row r="157" spans="2:5" ht="15" customHeight="1">
      <c r="B157" s="77"/>
      <c r="C157" s="62" t="s">
        <v>226</v>
      </c>
      <c r="D157" s="63">
        <v>2</v>
      </c>
      <c r="E157" s="64">
        <v>2.5595085743500002E-4</v>
      </c>
    </row>
    <row r="158" spans="2:5" ht="15" customHeight="1">
      <c r="B158" s="77"/>
      <c r="C158" s="62" t="s">
        <v>227</v>
      </c>
      <c r="D158" s="63">
        <v>1</v>
      </c>
      <c r="E158" s="64">
        <v>1.2797542871799999E-4</v>
      </c>
    </row>
    <row r="159" spans="2:5" ht="15" customHeight="1">
      <c r="B159" s="77"/>
      <c r="C159" s="62" t="s">
        <v>232</v>
      </c>
      <c r="D159" s="63">
        <v>1</v>
      </c>
      <c r="E159" s="64">
        <v>1.2797542871799999E-4</v>
      </c>
    </row>
    <row r="160" spans="2:5" ht="15" customHeight="1">
      <c r="B160" s="78"/>
      <c r="C160" s="36" t="s">
        <v>29</v>
      </c>
      <c r="D160" s="35">
        <v>12</v>
      </c>
      <c r="E160" s="34">
        <v>1.5357051446119999E-3</v>
      </c>
    </row>
    <row r="161" spans="2:5" ht="15" customHeight="1">
      <c r="B161" s="76" t="s">
        <v>79</v>
      </c>
      <c r="C161" s="62" t="s">
        <v>211</v>
      </c>
      <c r="D161" s="63">
        <v>1</v>
      </c>
      <c r="E161" s="64">
        <v>1.2797542871799999E-4</v>
      </c>
    </row>
    <row r="162" spans="2:5" ht="15" customHeight="1">
      <c r="B162" s="77"/>
      <c r="C162" s="62" t="s">
        <v>218</v>
      </c>
      <c r="D162" s="63">
        <v>1</v>
      </c>
      <c r="E162" s="64">
        <v>1.2797542871799999E-4</v>
      </c>
    </row>
    <row r="163" spans="2:5" ht="15" customHeight="1">
      <c r="B163" s="77"/>
      <c r="C163" s="62" t="s">
        <v>219</v>
      </c>
      <c r="D163" s="63">
        <v>3</v>
      </c>
      <c r="E163" s="64">
        <v>3.8392628615299999E-4</v>
      </c>
    </row>
    <row r="164" spans="2:5" ht="15" customHeight="1">
      <c r="B164" s="77"/>
      <c r="C164" s="62" t="s">
        <v>220</v>
      </c>
      <c r="D164" s="63">
        <v>2</v>
      </c>
      <c r="E164" s="64">
        <v>2.5595085743500002E-4</v>
      </c>
    </row>
    <row r="165" spans="2:5" ht="15" customHeight="1">
      <c r="B165" s="77"/>
      <c r="C165" s="62" t="s">
        <v>221</v>
      </c>
      <c r="D165" s="63">
        <v>1</v>
      </c>
      <c r="E165" s="64">
        <v>1.2797542871799999E-4</v>
      </c>
    </row>
    <row r="166" spans="2:5" ht="15" customHeight="1">
      <c r="B166" s="77"/>
      <c r="C166" s="62" t="s">
        <v>222</v>
      </c>
      <c r="D166" s="63">
        <v>1</v>
      </c>
      <c r="E166" s="64">
        <v>1.2797542871799999E-4</v>
      </c>
    </row>
    <row r="167" spans="2:5" ht="15" customHeight="1">
      <c r="B167" s="77"/>
      <c r="C167" s="62" t="s">
        <v>223</v>
      </c>
      <c r="D167" s="63">
        <v>13</v>
      </c>
      <c r="E167" s="64">
        <v>1.6636805733300001E-3</v>
      </c>
    </row>
    <row r="168" spans="2:5" ht="15" customHeight="1">
      <c r="B168" s="77"/>
      <c r="C168" s="62" t="s">
        <v>224</v>
      </c>
      <c r="D168" s="63">
        <v>2</v>
      </c>
      <c r="E168" s="64">
        <v>2.5595085743500002E-4</v>
      </c>
    </row>
    <row r="169" spans="2:5" ht="15" customHeight="1">
      <c r="B169" s="77"/>
      <c r="C169" s="62" t="s">
        <v>225</v>
      </c>
      <c r="D169" s="63">
        <v>3</v>
      </c>
      <c r="E169" s="64">
        <v>3.8392628615299999E-4</v>
      </c>
    </row>
    <row r="170" spans="2:5" ht="15" customHeight="1">
      <c r="B170" s="77"/>
      <c r="C170" s="62" t="s">
        <v>226</v>
      </c>
      <c r="D170" s="63">
        <v>7</v>
      </c>
      <c r="E170" s="64">
        <v>8.9582800102399999E-4</v>
      </c>
    </row>
    <row r="171" spans="2:5" ht="15" customHeight="1">
      <c r="B171" s="77"/>
      <c r="C171" s="62" t="s">
        <v>231</v>
      </c>
      <c r="D171" s="63">
        <v>1</v>
      </c>
      <c r="E171" s="64">
        <v>1.2797542871799999E-4</v>
      </c>
    </row>
    <row r="172" spans="2:5" ht="15" customHeight="1">
      <c r="B172" s="77"/>
      <c r="C172" s="62" t="s">
        <v>232</v>
      </c>
      <c r="D172" s="63">
        <v>3</v>
      </c>
      <c r="E172" s="64">
        <v>3.8392628615299999E-4</v>
      </c>
    </row>
    <row r="173" spans="2:5" ht="15" customHeight="1">
      <c r="B173" s="78"/>
      <c r="C173" s="36" t="s">
        <v>29</v>
      </c>
      <c r="D173" s="35">
        <v>38</v>
      </c>
      <c r="E173" s="34">
        <v>4.8630662912719997E-3</v>
      </c>
    </row>
    <row r="174" spans="2:5" ht="15" customHeight="1">
      <c r="B174" s="76" t="s">
        <v>51</v>
      </c>
      <c r="C174" s="62" t="s">
        <v>211</v>
      </c>
      <c r="D174" s="63">
        <v>15</v>
      </c>
      <c r="E174" s="64">
        <v>1.919631430765E-3</v>
      </c>
    </row>
    <row r="175" spans="2:5" ht="15" customHeight="1">
      <c r="B175" s="77"/>
      <c r="C175" s="62" t="s">
        <v>213</v>
      </c>
      <c r="D175" s="63">
        <v>7</v>
      </c>
      <c r="E175" s="64">
        <v>8.9582800102399999E-4</v>
      </c>
    </row>
    <row r="176" spans="2:5" ht="15" customHeight="1">
      <c r="B176" s="77"/>
      <c r="C176" s="62" t="s">
        <v>214</v>
      </c>
      <c r="D176" s="63">
        <v>6</v>
      </c>
      <c r="E176" s="64">
        <v>7.6785257230599997E-4</v>
      </c>
    </row>
    <row r="177" spans="2:5" ht="15" customHeight="1">
      <c r="B177" s="77"/>
      <c r="C177" s="62" t="s">
        <v>215</v>
      </c>
      <c r="D177" s="63">
        <v>15</v>
      </c>
      <c r="E177" s="64">
        <v>1.919631430765E-3</v>
      </c>
    </row>
    <row r="178" spans="2:5" ht="15" customHeight="1">
      <c r="B178" s="77"/>
      <c r="C178" s="62" t="s">
        <v>216</v>
      </c>
      <c r="D178" s="63">
        <v>10</v>
      </c>
      <c r="E178" s="64">
        <v>1.279754287177E-3</v>
      </c>
    </row>
    <row r="179" spans="2:5" ht="15" customHeight="1">
      <c r="B179" s="77"/>
      <c r="C179" s="62" t="s">
        <v>217</v>
      </c>
      <c r="D179" s="63">
        <v>12</v>
      </c>
      <c r="E179" s="64">
        <v>1.5357051446119999E-3</v>
      </c>
    </row>
    <row r="180" spans="2:5" ht="15" customHeight="1">
      <c r="B180" s="77"/>
      <c r="C180" s="62" t="s">
        <v>218</v>
      </c>
      <c r="D180" s="63">
        <v>62</v>
      </c>
      <c r="E180" s="64">
        <v>7.9344765804970005E-3</v>
      </c>
    </row>
    <row r="181" spans="2:5" ht="15" customHeight="1">
      <c r="B181" s="77"/>
      <c r="C181" s="62" t="s">
        <v>219</v>
      </c>
      <c r="D181" s="63">
        <v>72</v>
      </c>
      <c r="E181" s="64">
        <v>9.2142308676729998E-3</v>
      </c>
    </row>
    <row r="182" spans="2:5" ht="15" customHeight="1">
      <c r="B182" s="77"/>
      <c r="C182" s="62" t="s">
        <v>220</v>
      </c>
      <c r="D182" s="63">
        <v>3</v>
      </c>
      <c r="E182" s="64">
        <v>3.8392628615299999E-4</v>
      </c>
    </row>
    <row r="183" spans="2:5" ht="15" customHeight="1">
      <c r="B183" s="77"/>
      <c r="C183" s="62" t="s">
        <v>221</v>
      </c>
      <c r="D183" s="63">
        <v>16</v>
      </c>
      <c r="E183" s="64">
        <v>2.047606859483E-3</v>
      </c>
    </row>
    <row r="184" spans="2:5" ht="15" customHeight="1">
      <c r="B184" s="77"/>
      <c r="C184" s="62" t="s">
        <v>222</v>
      </c>
      <c r="D184" s="63">
        <v>31</v>
      </c>
      <c r="E184" s="64">
        <v>3.9672382902479998E-3</v>
      </c>
    </row>
    <row r="185" spans="2:5" ht="15" customHeight="1">
      <c r="B185" s="77"/>
      <c r="C185" s="62" t="s">
        <v>223</v>
      </c>
      <c r="D185" s="63">
        <v>195</v>
      </c>
      <c r="E185" s="64">
        <v>2.4955208599949E-2</v>
      </c>
    </row>
    <row r="186" spans="2:5" ht="15" customHeight="1">
      <c r="B186" s="77"/>
      <c r="C186" s="62" t="s">
        <v>224</v>
      </c>
      <c r="D186" s="63">
        <v>3</v>
      </c>
      <c r="E186" s="64">
        <v>3.8392628615299999E-4</v>
      </c>
    </row>
    <row r="187" spans="2:5" ht="15" customHeight="1">
      <c r="B187" s="77"/>
      <c r="C187" s="62" t="s">
        <v>225</v>
      </c>
      <c r="D187" s="63">
        <v>33</v>
      </c>
      <c r="E187" s="64">
        <v>4.223189147684E-3</v>
      </c>
    </row>
    <row r="188" spans="2:5" ht="15" customHeight="1">
      <c r="B188" s="77"/>
      <c r="C188" s="62" t="s">
        <v>226</v>
      </c>
      <c r="D188" s="63">
        <v>84</v>
      </c>
      <c r="E188" s="64">
        <v>1.0749936012286E-2</v>
      </c>
    </row>
    <row r="189" spans="2:5" ht="15" customHeight="1">
      <c r="B189" s="77"/>
      <c r="C189" s="62" t="s">
        <v>227</v>
      </c>
      <c r="D189" s="63">
        <v>2</v>
      </c>
      <c r="E189" s="64">
        <v>2.5595085743500002E-4</v>
      </c>
    </row>
    <row r="190" spans="2:5" ht="15" customHeight="1">
      <c r="B190" s="77"/>
      <c r="C190" s="62" t="s">
        <v>228</v>
      </c>
      <c r="D190" s="63">
        <v>1</v>
      </c>
      <c r="E190" s="64">
        <v>1.2797542871799999E-4</v>
      </c>
    </row>
    <row r="191" spans="2:5" ht="15" customHeight="1">
      <c r="B191" s="77"/>
      <c r="C191" s="62" t="s">
        <v>229</v>
      </c>
      <c r="D191" s="63">
        <v>2</v>
      </c>
      <c r="E191" s="64">
        <v>2.5595085743500002E-4</v>
      </c>
    </row>
    <row r="192" spans="2:5" ht="15" customHeight="1">
      <c r="B192" s="77"/>
      <c r="C192" s="62" t="s">
        <v>231</v>
      </c>
      <c r="D192" s="63">
        <v>7</v>
      </c>
      <c r="E192" s="64">
        <v>8.9582800102399999E-4</v>
      </c>
    </row>
    <row r="193" spans="2:5" ht="15" customHeight="1">
      <c r="B193" s="77"/>
      <c r="C193" s="62" t="s">
        <v>232</v>
      </c>
      <c r="D193" s="63">
        <v>11</v>
      </c>
      <c r="E193" s="64">
        <v>1.4077297158950001E-3</v>
      </c>
    </row>
    <row r="194" spans="2:5" ht="15" customHeight="1">
      <c r="B194" s="78"/>
      <c r="C194" s="36" t="s">
        <v>29</v>
      </c>
      <c r="D194" s="35">
        <v>587</v>
      </c>
      <c r="E194" s="34">
        <v>7.5121576657282002E-2</v>
      </c>
    </row>
    <row r="195" spans="2:5" ht="15" customHeight="1">
      <c r="B195" s="76" t="s">
        <v>69</v>
      </c>
      <c r="C195" s="62" t="s">
        <v>211</v>
      </c>
      <c r="D195" s="63">
        <v>2</v>
      </c>
      <c r="E195" s="64">
        <v>2.5595085743500002E-4</v>
      </c>
    </row>
    <row r="196" spans="2:5" ht="15" customHeight="1">
      <c r="B196" s="77"/>
      <c r="C196" s="62" t="s">
        <v>215</v>
      </c>
      <c r="D196" s="63">
        <v>1</v>
      </c>
      <c r="E196" s="64">
        <v>1.2797542871799999E-4</v>
      </c>
    </row>
    <row r="197" spans="2:5" ht="15" customHeight="1">
      <c r="B197" s="77"/>
      <c r="C197" s="62" t="s">
        <v>217</v>
      </c>
      <c r="D197" s="63">
        <v>2</v>
      </c>
      <c r="E197" s="64">
        <v>2.5595085743500002E-4</v>
      </c>
    </row>
    <row r="198" spans="2:5" ht="15" customHeight="1">
      <c r="B198" s="77"/>
      <c r="C198" s="62" t="s">
        <v>218</v>
      </c>
      <c r="D198" s="63">
        <v>6</v>
      </c>
      <c r="E198" s="64">
        <v>7.6785257230599997E-4</v>
      </c>
    </row>
    <row r="199" spans="2:5" ht="15" customHeight="1">
      <c r="B199" s="77"/>
      <c r="C199" s="62" t="s">
        <v>219</v>
      </c>
      <c r="D199" s="63">
        <v>6</v>
      </c>
      <c r="E199" s="64">
        <v>7.6785257230599997E-4</v>
      </c>
    </row>
    <row r="200" spans="2:5" ht="15" customHeight="1">
      <c r="B200" s="77"/>
      <c r="C200" s="62" t="s">
        <v>221</v>
      </c>
      <c r="D200" s="63">
        <v>3</v>
      </c>
      <c r="E200" s="64">
        <v>3.8392628615299999E-4</v>
      </c>
    </row>
    <row r="201" spans="2:5" ht="15" customHeight="1">
      <c r="B201" s="77"/>
      <c r="C201" s="62" t="s">
        <v>222</v>
      </c>
      <c r="D201" s="63">
        <v>6</v>
      </c>
      <c r="E201" s="64">
        <v>7.6785257230599997E-4</v>
      </c>
    </row>
    <row r="202" spans="2:5" ht="15" customHeight="1">
      <c r="B202" s="77"/>
      <c r="C202" s="62" t="s">
        <v>223</v>
      </c>
      <c r="D202" s="63">
        <v>26</v>
      </c>
      <c r="E202" s="64">
        <v>3.3273611466600002E-3</v>
      </c>
    </row>
    <row r="203" spans="2:5" ht="15" customHeight="1">
      <c r="B203" s="77"/>
      <c r="C203" s="62" t="s">
        <v>224</v>
      </c>
      <c r="D203" s="63">
        <v>3</v>
      </c>
      <c r="E203" s="64">
        <v>3.8392628615299999E-4</v>
      </c>
    </row>
    <row r="204" spans="2:5" ht="15" customHeight="1">
      <c r="B204" s="77"/>
      <c r="C204" s="62" t="s">
        <v>225</v>
      </c>
      <c r="D204" s="63">
        <v>10</v>
      </c>
      <c r="E204" s="64">
        <v>1.279754287177E-3</v>
      </c>
    </row>
    <row r="205" spans="2:5" ht="15" customHeight="1">
      <c r="B205" s="77"/>
      <c r="C205" s="62" t="s">
        <v>226</v>
      </c>
      <c r="D205" s="63">
        <v>15</v>
      </c>
      <c r="E205" s="64">
        <v>1.919631430765E-3</v>
      </c>
    </row>
    <row r="206" spans="2:5" ht="15" customHeight="1">
      <c r="B206" s="77"/>
      <c r="C206" s="62" t="s">
        <v>228</v>
      </c>
      <c r="D206" s="63">
        <v>2</v>
      </c>
      <c r="E206" s="64">
        <v>2.5595085743500002E-4</v>
      </c>
    </row>
    <row r="207" spans="2:5" ht="15" customHeight="1">
      <c r="B207" s="77"/>
      <c r="C207" s="62" t="s">
        <v>231</v>
      </c>
      <c r="D207" s="63">
        <v>1</v>
      </c>
      <c r="E207" s="64">
        <v>1.2797542871799999E-4</v>
      </c>
    </row>
    <row r="208" spans="2:5" ht="15" customHeight="1">
      <c r="B208" s="77"/>
      <c r="C208" s="62" t="s">
        <v>232</v>
      </c>
      <c r="D208" s="63">
        <v>12</v>
      </c>
      <c r="E208" s="64">
        <v>1.5357051446119999E-3</v>
      </c>
    </row>
    <row r="209" spans="2:5" ht="15" customHeight="1">
      <c r="B209" s="78"/>
      <c r="C209" s="36" t="s">
        <v>29</v>
      </c>
      <c r="D209" s="35">
        <v>95</v>
      </c>
      <c r="E209" s="34">
        <v>1.215766572818E-2</v>
      </c>
    </row>
    <row r="210" spans="2:5" ht="15" customHeight="1">
      <c r="B210" s="76" t="s">
        <v>72</v>
      </c>
      <c r="C210" s="62" t="s">
        <v>211</v>
      </c>
      <c r="D210" s="63">
        <v>1</v>
      </c>
      <c r="E210" s="64">
        <v>1.2797542871799999E-4</v>
      </c>
    </row>
    <row r="211" spans="2:5" ht="15" customHeight="1">
      <c r="B211" s="77"/>
      <c r="C211" s="62" t="s">
        <v>215</v>
      </c>
      <c r="D211" s="63">
        <v>1</v>
      </c>
      <c r="E211" s="64">
        <v>1.2797542871799999E-4</v>
      </c>
    </row>
    <row r="212" spans="2:5" ht="15" customHeight="1">
      <c r="B212" s="77"/>
      <c r="C212" s="62" t="s">
        <v>216</v>
      </c>
      <c r="D212" s="63">
        <v>1</v>
      </c>
      <c r="E212" s="64">
        <v>1.2797542871799999E-4</v>
      </c>
    </row>
    <row r="213" spans="2:5" ht="15" customHeight="1">
      <c r="B213" s="77"/>
      <c r="C213" s="62" t="s">
        <v>218</v>
      </c>
      <c r="D213" s="63">
        <v>5</v>
      </c>
      <c r="E213" s="64">
        <v>6.3987714358799996E-4</v>
      </c>
    </row>
    <row r="214" spans="2:5" ht="15" customHeight="1">
      <c r="B214" s="77"/>
      <c r="C214" s="62" t="s">
        <v>219</v>
      </c>
      <c r="D214" s="63">
        <v>5</v>
      </c>
      <c r="E214" s="64">
        <v>6.3987714358799996E-4</v>
      </c>
    </row>
    <row r="215" spans="2:5" ht="15" customHeight="1">
      <c r="B215" s="77"/>
      <c r="C215" s="62" t="s">
        <v>221</v>
      </c>
      <c r="D215" s="63">
        <v>1</v>
      </c>
      <c r="E215" s="64">
        <v>1.2797542871799999E-4</v>
      </c>
    </row>
    <row r="216" spans="2:5" ht="15" customHeight="1">
      <c r="B216" s="77"/>
      <c r="C216" s="62" t="s">
        <v>222</v>
      </c>
      <c r="D216" s="63">
        <v>1</v>
      </c>
      <c r="E216" s="64">
        <v>1.2797542871799999E-4</v>
      </c>
    </row>
    <row r="217" spans="2:5" ht="15" customHeight="1">
      <c r="B217" s="77"/>
      <c r="C217" s="62" t="s">
        <v>223</v>
      </c>
      <c r="D217" s="63">
        <v>33</v>
      </c>
      <c r="E217" s="64">
        <v>4.223189147684E-3</v>
      </c>
    </row>
    <row r="218" spans="2:5" ht="15" customHeight="1">
      <c r="B218" s="77"/>
      <c r="C218" s="62" t="s">
        <v>224</v>
      </c>
      <c r="D218" s="63">
        <v>5</v>
      </c>
      <c r="E218" s="64">
        <v>6.3987714358799996E-4</v>
      </c>
    </row>
    <row r="219" spans="2:5" ht="15" customHeight="1">
      <c r="B219" s="77"/>
      <c r="C219" s="62" t="s">
        <v>225</v>
      </c>
      <c r="D219" s="63">
        <v>4</v>
      </c>
      <c r="E219" s="64">
        <v>5.1190171487100001E-4</v>
      </c>
    </row>
    <row r="220" spans="2:5" ht="15" customHeight="1">
      <c r="B220" s="77"/>
      <c r="C220" s="62" t="s">
        <v>226</v>
      </c>
      <c r="D220" s="63">
        <v>19</v>
      </c>
      <c r="E220" s="64">
        <v>2.4315331456359998E-3</v>
      </c>
    </row>
    <row r="221" spans="2:5" ht="15" customHeight="1">
      <c r="B221" s="77"/>
      <c r="C221" s="62" t="s">
        <v>231</v>
      </c>
      <c r="D221" s="63">
        <v>2</v>
      </c>
      <c r="E221" s="64">
        <v>2.5595085743500002E-4</v>
      </c>
    </row>
    <row r="222" spans="2:5" ht="15" customHeight="1">
      <c r="B222" s="77"/>
      <c r="C222" s="62" t="s">
        <v>232</v>
      </c>
      <c r="D222" s="63">
        <v>2</v>
      </c>
      <c r="E222" s="64">
        <v>2.5595085743500002E-4</v>
      </c>
    </row>
    <row r="223" spans="2:5" ht="15" customHeight="1">
      <c r="B223" s="78"/>
      <c r="C223" s="36" t="s">
        <v>29</v>
      </c>
      <c r="D223" s="35">
        <v>80</v>
      </c>
      <c r="E223" s="34">
        <v>1.0238034297415001E-2</v>
      </c>
    </row>
    <row r="224" spans="2:5" ht="15" customHeight="1">
      <c r="B224" s="76" t="s">
        <v>73</v>
      </c>
      <c r="C224" s="62" t="s">
        <v>213</v>
      </c>
      <c r="D224" s="63">
        <v>1</v>
      </c>
      <c r="E224" s="64">
        <v>1.2797542871799999E-4</v>
      </c>
    </row>
    <row r="225" spans="2:5" ht="15" customHeight="1">
      <c r="B225" s="77"/>
      <c r="C225" s="62" t="s">
        <v>215</v>
      </c>
      <c r="D225" s="63">
        <v>1</v>
      </c>
      <c r="E225" s="64">
        <v>1.2797542871799999E-4</v>
      </c>
    </row>
    <row r="226" spans="2:5" ht="15" customHeight="1">
      <c r="B226" s="77"/>
      <c r="C226" s="62" t="s">
        <v>216</v>
      </c>
      <c r="D226" s="63">
        <v>2</v>
      </c>
      <c r="E226" s="64">
        <v>2.5595085743500002E-4</v>
      </c>
    </row>
    <row r="227" spans="2:5" ht="15" customHeight="1">
      <c r="B227" s="77"/>
      <c r="C227" s="62" t="s">
        <v>218</v>
      </c>
      <c r="D227" s="63">
        <v>8</v>
      </c>
      <c r="E227" s="64">
        <v>1.0238034297409999E-3</v>
      </c>
    </row>
    <row r="228" spans="2:5" ht="15" customHeight="1">
      <c r="B228" s="77"/>
      <c r="C228" s="62" t="s">
        <v>219</v>
      </c>
      <c r="D228" s="63">
        <v>7</v>
      </c>
      <c r="E228" s="64">
        <v>8.9582800102399999E-4</v>
      </c>
    </row>
    <row r="229" spans="2:5" ht="15" customHeight="1">
      <c r="B229" s="77"/>
      <c r="C229" s="62" t="s">
        <v>221</v>
      </c>
      <c r="D229" s="63">
        <v>4</v>
      </c>
      <c r="E229" s="64">
        <v>5.1190171487100001E-4</v>
      </c>
    </row>
    <row r="230" spans="2:5" ht="15" customHeight="1">
      <c r="B230" s="77"/>
      <c r="C230" s="62" t="s">
        <v>222</v>
      </c>
      <c r="D230" s="63">
        <v>6</v>
      </c>
      <c r="E230" s="64">
        <v>7.6785257230599997E-4</v>
      </c>
    </row>
    <row r="231" spans="2:5" ht="15" customHeight="1">
      <c r="B231" s="77"/>
      <c r="C231" s="62" t="s">
        <v>223</v>
      </c>
      <c r="D231" s="63">
        <v>20</v>
      </c>
      <c r="E231" s="64">
        <v>2.559508574354E-3</v>
      </c>
    </row>
    <row r="232" spans="2:5" ht="15" customHeight="1">
      <c r="B232" s="77"/>
      <c r="C232" s="62" t="s">
        <v>224</v>
      </c>
      <c r="D232" s="63">
        <v>1</v>
      </c>
      <c r="E232" s="64">
        <v>1.2797542871799999E-4</v>
      </c>
    </row>
    <row r="233" spans="2:5" ht="15" customHeight="1">
      <c r="B233" s="77"/>
      <c r="C233" s="62" t="s">
        <v>225</v>
      </c>
      <c r="D233" s="63">
        <v>6</v>
      </c>
      <c r="E233" s="64">
        <v>7.6785257230599997E-4</v>
      </c>
    </row>
    <row r="234" spans="2:5" ht="15" customHeight="1">
      <c r="B234" s="77"/>
      <c r="C234" s="62" t="s">
        <v>226</v>
      </c>
      <c r="D234" s="63">
        <v>12</v>
      </c>
      <c r="E234" s="64">
        <v>1.5357051446119999E-3</v>
      </c>
    </row>
    <row r="235" spans="2:5" ht="15" customHeight="1">
      <c r="B235" s="77"/>
      <c r="C235" s="62" t="s">
        <v>228</v>
      </c>
      <c r="D235" s="63">
        <v>2</v>
      </c>
      <c r="E235" s="64">
        <v>2.5595085743500002E-4</v>
      </c>
    </row>
    <row r="236" spans="2:5" ht="15" customHeight="1">
      <c r="B236" s="77"/>
      <c r="C236" s="62" t="s">
        <v>232</v>
      </c>
      <c r="D236" s="63">
        <v>4</v>
      </c>
      <c r="E236" s="64">
        <v>5.1190171487100001E-4</v>
      </c>
    </row>
    <row r="237" spans="2:5" ht="15" customHeight="1">
      <c r="B237" s="78"/>
      <c r="C237" s="36" t="s">
        <v>29</v>
      </c>
      <c r="D237" s="35">
        <v>74</v>
      </c>
      <c r="E237" s="34">
        <v>9.470181725109E-3</v>
      </c>
    </row>
    <row r="238" spans="2:5" ht="15" customHeight="1">
      <c r="B238" s="76" t="s">
        <v>94</v>
      </c>
      <c r="C238" s="62" t="s">
        <v>211</v>
      </c>
      <c r="D238" s="63">
        <v>1</v>
      </c>
      <c r="E238" s="64">
        <v>1.2797542871799999E-4</v>
      </c>
    </row>
    <row r="239" spans="2:5" ht="15" customHeight="1">
      <c r="B239" s="77"/>
      <c r="C239" s="62" t="s">
        <v>223</v>
      </c>
      <c r="D239" s="63">
        <v>1</v>
      </c>
      <c r="E239" s="64">
        <v>1.2797542871799999E-4</v>
      </c>
    </row>
    <row r="240" spans="2:5" ht="15" customHeight="1">
      <c r="B240" s="77"/>
      <c r="C240" s="62" t="s">
        <v>226</v>
      </c>
      <c r="D240" s="63">
        <v>2</v>
      </c>
      <c r="E240" s="64">
        <v>2.5595085743500002E-4</v>
      </c>
    </row>
    <row r="241" spans="2:5" ht="15" customHeight="1">
      <c r="B241" s="77"/>
      <c r="C241" s="62" t="s">
        <v>232</v>
      </c>
      <c r="D241" s="63">
        <v>1</v>
      </c>
      <c r="E241" s="64">
        <v>1.2797542871799999E-4</v>
      </c>
    </row>
    <row r="242" spans="2:5" ht="15" customHeight="1">
      <c r="B242" s="78"/>
      <c r="C242" s="36" t="s">
        <v>29</v>
      </c>
      <c r="D242" s="35">
        <v>5</v>
      </c>
      <c r="E242" s="34">
        <v>6.3987714358799996E-4</v>
      </c>
    </row>
    <row r="243" spans="2:5" ht="15" customHeight="1">
      <c r="B243" s="76" t="s">
        <v>53</v>
      </c>
      <c r="C243" s="62" t="s">
        <v>211</v>
      </c>
      <c r="D243" s="63">
        <v>3</v>
      </c>
      <c r="E243" s="64">
        <v>3.8392628615299999E-4</v>
      </c>
    </row>
    <row r="244" spans="2:5" ht="15" customHeight="1">
      <c r="B244" s="77"/>
      <c r="C244" s="62" t="s">
        <v>215</v>
      </c>
      <c r="D244" s="63">
        <v>6</v>
      </c>
      <c r="E244" s="64">
        <v>7.6785257230599997E-4</v>
      </c>
    </row>
    <row r="245" spans="2:5" ht="15" customHeight="1">
      <c r="B245" s="77"/>
      <c r="C245" s="62" t="s">
        <v>216</v>
      </c>
      <c r="D245" s="63">
        <v>5</v>
      </c>
      <c r="E245" s="64">
        <v>6.3987714358799996E-4</v>
      </c>
    </row>
    <row r="246" spans="2:5" ht="15" customHeight="1">
      <c r="B246" s="77"/>
      <c r="C246" s="62" t="s">
        <v>217</v>
      </c>
      <c r="D246" s="63">
        <v>7</v>
      </c>
      <c r="E246" s="64">
        <v>8.9582800102399999E-4</v>
      </c>
    </row>
    <row r="247" spans="2:5" ht="15" customHeight="1">
      <c r="B247" s="77"/>
      <c r="C247" s="62" t="s">
        <v>218</v>
      </c>
      <c r="D247" s="63">
        <v>30</v>
      </c>
      <c r="E247" s="64">
        <v>3.8392628615310002E-3</v>
      </c>
    </row>
    <row r="248" spans="2:5" ht="15" customHeight="1">
      <c r="B248" s="77"/>
      <c r="C248" s="62" t="s">
        <v>219</v>
      </c>
      <c r="D248" s="63">
        <v>39</v>
      </c>
      <c r="E248" s="64">
        <v>4.9910417199899998E-3</v>
      </c>
    </row>
    <row r="249" spans="2:5" ht="15" customHeight="1">
      <c r="B249" s="77"/>
      <c r="C249" s="62" t="s">
        <v>220</v>
      </c>
      <c r="D249" s="63">
        <v>6</v>
      </c>
      <c r="E249" s="64">
        <v>7.6785257230599997E-4</v>
      </c>
    </row>
    <row r="250" spans="2:5" ht="15" customHeight="1">
      <c r="B250" s="77"/>
      <c r="C250" s="62" t="s">
        <v>221</v>
      </c>
      <c r="D250" s="63">
        <v>7</v>
      </c>
      <c r="E250" s="64">
        <v>8.9582800102399999E-4</v>
      </c>
    </row>
    <row r="251" spans="2:5" ht="15" customHeight="1">
      <c r="B251" s="77"/>
      <c r="C251" s="62" t="s">
        <v>222</v>
      </c>
      <c r="D251" s="63">
        <v>35</v>
      </c>
      <c r="E251" s="64">
        <v>4.4791400051190002E-3</v>
      </c>
    </row>
    <row r="252" spans="2:5" ht="15" customHeight="1">
      <c r="B252" s="77"/>
      <c r="C252" s="62" t="s">
        <v>223</v>
      </c>
      <c r="D252" s="63">
        <v>130</v>
      </c>
      <c r="E252" s="64">
        <v>1.6636805733298999E-2</v>
      </c>
    </row>
    <row r="253" spans="2:5" ht="15" customHeight="1">
      <c r="B253" s="77"/>
      <c r="C253" s="62" t="s">
        <v>224</v>
      </c>
      <c r="D253" s="63">
        <v>11</v>
      </c>
      <c r="E253" s="64">
        <v>1.4077297158950001E-3</v>
      </c>
    </row>
    <row r="254" spans="2:5" ht="15" customHeight="1">
      <c r="B254" s="77"/>
      <c r="C254" s="62" t="s">
        <v>225</v>
      </c>
      <c r="D254" s="63">
        <v>40</v>
      </c>
      <c r="E254" s="64">
        <v>5.1190171487069999E-3</v>
      </c>
    </row>
    <row r="255" spans="2:5" ht="15" customHeight="1">
      <c r="B255" s="77"/>
      <c r="C255" s="62" t="s">
        <v>226</v>
      </c>
      <c r="D255" s="63">
        <v>116</v>
      </c>
      <c r="E255" s="64">
        <v>1.4845149731252E-2</v>
      </c>
    </row>
    <row r="256" spans="2:5" ht="15" customHeight="1">
      <c r="B256" s="77"/>
      <c r="C256" s="62" t="s">
        <v>227</v>
      </c>
      <c r="D256" s="63">
        <v>1</v>
      </c>
      <c r="E256" s="64">
        <v>1.2797542871799999E-4</v>
      </c>
    </row>
    <row r="257" spans="2:5" ht="15" customHeight="1">
      <c r="B257" s="77"/>
      <c r="C257" s="62" t="s">
        <v>228</v>
      </c>
      <c r="D257" s="63">
        <v>1</v>
      </c>
      <c r="E257" s="64">
        <v>1.2797542871799999E-4</v>
      </c>
    </row>
    <row r="258" spans="2:5" ht="15" customHeight="1">
      <c r="B258" s="77"/>
      <c r="C258" s="62" t="s">
        <v>231</v>
      </c>
      <c r="D258" s="63">
        <v>9</v>
      </c>
      <c r="E258" s="64">
        <v>1.1517788584590001E-3</v>
      </c>
    </row>
    <row r="259" spans="2:5" ht="15" customHeight="1">
      <c r="B259" s="77"/>
      <c r="C259" s="62" t="s">
        <v>232</v>
      </c>
      <c r="D259" s="63">
        <v>14</v>
      </c>
      <c r="E259" s="64">
        <v>1.791656002048E-3</v>
      </c>
    </row>
    <row r="260" spans="2:5" ht="15" customHeight="1">
      <c r="B260" s="78"/>
      <c r="C260" s="36" t="s">
        <v>29</v>
      </c>
      <c r="D260" s="35">
        <v>460</v>
      </c>
      <c r="E260" s="34">
        <v>5.8868697210136003E-2</v>
      </c>
    </row>
    <row r="261" spans="2:5" ht="15" customHeight="1">
      <c r="B261" s="76" t="s">
        <v>74</v>
      </c>
      <c r="C261" s="62" t="s">
        <v>213</v>
      </c>
      <c r="D261" s="63">
        <v>1</v>
      </c>
      <c r="E261" s="64">
        <v>1.2797542871799999E-4</v>
      </c>
    </row>
    <row r="262" spans="2:5" ht="15" customHeight="1">
      <c r="B262" s="77"/>
      <c r="C262" s="62" t="s">
        <v>214</v>
      </c>
      <c r="D262" s="63">
        <v>1</v>
      </c>
      <c r="E262" s="64">
        <v>1.2797542871799999E-4</v>
      </c>
    </row>
    <row r="263" spans="2:5" ht="15" customHeight="1">
      <c r="B263" s="77"/>
      <c r="C263" s="62" t="s">
        <v>216</v>
      </c>
      <c r="D263" s="63">
        <v>1</v>
      </c>
      <c r="E263" s="64">
        <v>1.2797542871799999E-4</v>
      </c>
    </row>
    <row r="264" spans="2:5" ht="15" customHeight="1">
      <c r="B264" s="77"/>
      <c r="C264" s="62" t="s">
        <v>217</v>
      </c>
      <c r="D264" s="63">
        <v>2</v>
      </c>
      <c r="E264" s="64">
        <v>2.5595085743500002E-4</v>
      </c>
    </row>
    <row r="265" spans="2:5" ht="15" customHeight="1">
      <c r="B265" s="77"/>
      <c r="C265" s="62" t="s">
        <v>218</v>
      </c>
      <c r="D265" s="63">
        <v>3</v>
      </c>
      <c r="E265" s="64">
        <v>3.8392628615299999E-4</v>
      </c>
    </row>
    <row r="266" spans="2:5" ht="15" customHeight="1">
      <c r="B266" s="77"/>
      <c r="C266" s="62" t="s">
        <v>219</v>
      </c>
      <c r="D266" s="63">
        <v>6</v>
      </c>
      <c r="E266" s="64">
        <v>7.6785257230599997E-4</v>
      </c>
    </row>
    <row r="267" spans="2:5" ht="15" customHeight="1">
      <c r="B267" s="77"/>
      <c r="C267" s="62" t="s">
        <v>220</v>
      </c>
      <c r="D267" s="63">
        <v>1</v>
      </c>
      <c r="E267" s="64">
        <v>1.2797542871799999E-4</v>
      </c>
    </row>
    <row r="268" spans="2:5" ht="15" customHeight="1">
      <c r="B268" s="77"/>
      <c r="C268" s="62" t="s">
        <v>222</v>
      </c>
      <c r="D268" s="63">
        <v>5</v>
      </c>
      <c r="E268" s="64">
        <v>6.3987714358799996E-4</v>
      </c>
    </row>
    <row r="269" spans="2:5" ht="15" customHeight="1">
      <c r="B269" s="77"/>
      <c r="C269" s="62" t="s">
        <v>223</v>
      </c>
      <c r="D269" s="63">
        <v>21</v>
      </c>
      <c r="E269" s="64">
        <v>2.687484003071E-3</v>
      </c>
    </row>
    <row r="270" spans="2:5" ht="15" customHeight="1">
      <c r="B270" s="77"/>
      <c r="C270" s="62" t="s">
        <v>224</v>
      </c>
      <c r="D270" s="63">
        <v>1</v>
      </c>
      <c r="E270" s="64">
        <v>1.2797542871799999E-4</v>
      </c>
    </row>
    <row r="271" spans="2:5" ht="15" customHeight="1">
      <c r="B271" s="77"/>
      <c r="C271" s="62" t="s">
        <v>225</v>
      </c>
      <c r="D271" s="63">
        <v>4</v>
      </c>
      <c r="E271" s="64">
        <v>5.1190171487100001E-4</v>
      </c>
    </row>
    <row r="272" spans="2:5" ht="15" customHeight="1">
      <c r="B272" s="77"/>
      <c r="C272" s="62" t="s">
        <v>226</v>
      </c>
      <c r="D272" s="63">
        <v>19</v>
      </c>
      <c r="E272" s="64">
        <v>2.4315331456359998E-3</v>
      </c>
    </row>
    <row r="273" spans="2:5" ht="15" customHeight="1">
      <c r="B273" s="77"/>
      <c r="C273" s="62" t="s">
        <v>232</v>
      </c>
      <c r="D273" s="63">
        <v>3</v>
      </c>
      <c r="E273" s="64">
        <v>3.8392628615299999E-4</v>
      </c>
    </row>
    <row r="274" spans="2:5" ht="15" customHeight="1">
      <c r="B274" s="78"/>
      <c r="C274" s="36" t="s">
        <v>29</v>
      </c>
      <c r="D274" s="35">
        <v>68</v>
      </c>
      <c r="E274" s="34">
        <v>8.7023291528029994E-3</v>
      </c>
    </row>
    <row r="275" spans="2:5" ht="15" customHeight="1">
      <c r="B275" s="76" t="s">
        <v>50</v>
      </c>
      <c r="C275" s="62" t="s">
        <v>211</v>
      </c>
      <c r="D275" s="63">
        <v>34</v>
      </c>
      <c r="E275" s="64">
        <v>4.3511645764010001E-3</v>
      </c>
    </row>
    <row r="276" spans="2:5" ht="15" customHeight="1">
      <c r="B276" s="77"/>
      <c r="C276" s="62" t="s">
        <v>213</v>
      </c>
      <c r="D276" s="63">
        <v>7</v>
      </c>
      <c r="E276" s="64">
        <v>8.9582800102399999E-4</v>
      </c>
    </row>
    <row r="277" spans="2:5" ht="15" customHeight="1">
      <c r="B277" s="77"/>
      <c r="C277" s="62" t="s">
        <v>214</v>
      </c>
      <c r="D277" s="63">
        <v>16</v>
      </c>
      <c r="E277" s="64">
        <v>2.047606859483E-3</v>
      </c>
    </row>
    <row r="278" spans="2:5" ht="15" customHeight="1">
      <c r="B278" s="77"/>
      <c r="C278" s="62" t="s">
        <v>215</v>
      </c>
      <c r="D278" s="63">
        <v>32</v>
      </c>
      <c r="E278" s="64">
        <v>4.0952137189659999E-3</v>
      </c>
    </row>
    <row r="279" spans="2:5" ht="15" customHeight="1">
      <c r="B279" s="77"/>
      <c r="C279" s="62" t="s">
        <v>216</v>
      </c>
      <c r="D279" s="63">
        <v>26</v>
      </c>
      <c r="E279" s="64">
        <v>3.3273611466600002E-3</v>
      </c>
    </row>
    <row r="280" spans="2:5" ht="15" customHeight="1">
      <c r="B280" s="77"/>
      <c r="C280" s="62" t="s">
        <v>217</v>
      </c>
      <c r="D280" s="63">
        <v>19</v>
      </c>
      <c r="E280" s="64">
        <v>2.4315331456359998E-3</v>
      </c>
    </row>
    <row r="281" spans="2:5" ht="15" customHeight="1">
      <c r="B281" s="77"/>
      <c r="C281" s="62" t="s">
        <v>218</v>
      </c>
      <c r="D281" s="63">
        <v>124</v>
      </c>
      <c r="E281" s="64">
        <v>1.5868953160992998E-2</v>
      </c>
    </row>
    <row r="282" spans="2:5" ht="15" customHeight="1">
      <c r="B282" s="77"/>
      <c r="C282" s="62" t="s">
        <v>219</v>
      </c>
      <c r="D282" s="63">
        <v>239</v>
      </c>
      <c r="E282" s="64">
        <v>3.0586127463526999E-2</v>
      </c>
    </row>
    <row r="283" spans="2:5" ht="15" customHeight="1">
      <c r="B283" s="77"/>
      <c r="C283" s="62" t="s">
        <v>220</v>
      </c>
      <c r="D283" s="63">
        <v>13</v>
      </c>
      <c r="E283" s="64">
        <v>1.6636805733300001E-3</v>
      </c>
    </row>
    <row r="284" spans="2:5" ht="15" customHeight="1">
      <c r="B284" s="77"/>
      <c r="C284" s="62" t="s">
        <v>221</v>
      </c>
      <c r="D284" s="63">
        <v>28</v>
      </c>
      <c r="E284" s="64">
        <v>3.5833120040949999E-3</v>
      </c>
    </row>
    <row r="285" spans="2:5" ht="15" customHeight="1">
      <c r="B285" s="77"/>
      <c r="C285" s="62" t="s">
        <v>222</v>
      </c>
      <c r="D285" s="63">
        <v>75</v>
      </c>
      <c r="E285" s="64">
        <v>9.5981571538260001E-3</v>
      </c>
    </row>
    <row r="286" spans="2:5" ht="15" customHeight="1">
      <c r="B286" s="77"/>
      <c r="C286" s="62" t="s">
        <v>223</v>
      </c>
      <c r="D286" s="63">
        <v>609</v>
      </c>
      <c r="E286" s="64">
        <v>7.7937036089071002E-2</v>
      </c>
    </row>
    <row r="287" spans="2:5" ht="15" customHeight="1">
      <c r="B287" s="77"/>
      <c r="C287" s="62" t="s">
        <v>224</v>
      </c>
      <c r="D287" s="63">
        <v>30</v>
      </c>
      <c r="E287" s="64">
        <v>3.8392628615310002E-3</v>
      </c>
    </row>
    <row r="288" spans="2:5" ht="15" customHeight="1">
      <c r="B288" s="77"/>
      <c r="C288" s="62" t="s">
        <v>225</v>
      </c>
      <c r="D288" s="63">
        <v>97</v>
      </c>
      <c r="E288" s="64">
        <v>1.2413616585616001E-2</v>
      </c>
    </row>
    <row r="289" spans="2:5" ht="15" customHeight="1">
      <c r="B289" s="77"/>
      <c r="C289" s="62" t="s">
        <v>226</v>
      </c>
      <c r="D289" s="63">
        <v>422</v>
      </c>
      <c r="E289" s="64">
        <v>5.4005630918863998E-2</v>
      </c>
    </row>
    <row r="290" spans="2:5" ht="15" customHeight="1">
      <c r="B290" s="77"/>
      <c r="C290" s="62" t="s">
        <v>227</v>
      </c>
      <c r="D290" s="63">
        <v>7</v>
      </c>
      <c r="E290" s="64">
        <v>8.9582800102399999E-4</v>
      </c>
    </row>
    <row r="291" spans="2:5" ht="15" customHeight="1">
      <c r="B291" s="77"/>
      <c r="C291" s="62" t="s">
        <v>228</v>
      </c>
      <c r="D291" s="63">
        <v>7</v>
      </c>
      <c r="E291" s="64">
        <v>8.9582800102399999E-4</v>
      </c>
    </row>
    <row r="292" spans="2:5" ht="15" customHeight="1">
      <c r="B292" s="77"/>
      <c r="C292" s="62" t="s">
        <v>229</v>
      </c>
      <c r="D292" s="63">
        <v>5</v>
      </c>
      <c r="E292" s="64">
        <v>6.3987714358799996E-4</v>
      </c>
    </row>
    <row r="293" spans="2:5" ht="15" customHeight="1">
      <c r="B293" s="77"/>
      <c r="C293" s="62" t="s">
        <v>230</v>
      </c>
      <c r="D293" s="63">
        <v>3</v>
      </c>
      <c r="E293" s="64">
        <v>3.8392628615299999E-4</v>
      </c>
    </row>
    <row r="294" spans="2:5" ht="15" customHeight="1">
      <c r="B294" s="77"/>
      <c r="C294" s="62" t="s">
        <v>231</v>
      </c>
      <c r="D294" s="63">
        <v>37</v>
      </c>
      <c r="E294" s="64">
        <v>4.7350908625540004E-3</v>
      </c>
    </row>
    <row r="295" spans="2:5" ht="15" customHeight="1">
      <c r="B295" s="77"/>
      <c r="C295" s="62" t="s">
        <v>232</v>
      </c>
      <c r="D295" s="63">
        <v>72</v>
      </c>
      <c r="E295" s="64">
        <v>9.2142308676729998E-3</v>
      </c>
    </row>
    <row r="296" spans="2:5" ht="15" customHeight="1">
      <c r="B296" s="77"/>
      <c r="C296" s="62" t="s">
        <v>233</v>
      </c>
      <c r="D296" s="63">
        <v>2</v>
      </c>
      <c r="E296" s="64">
        <v>2.5595085743500002E-4</v>
      </c>
    </row>
    <row r="297" spans="2:5" ht="15" customHeight="1">
      <c r="B297" s="78"/>
      <c r="C297" s="36" t="s">
        <v>29</v>
      </c>
      <c r="D297" s="35">
        <v>1904</v>
      </c>
      <c r="E297" s="34">
        <v>0.24366521627847501</v>
      </c>
    </row>
    <row r="298" spans="2:5" ht="15" customHeight="1">
      <c r="B298" s="76" t="s">
        <v>85</v>
      </c>
      <c r="C298" s="62" t="s">
        <v>214</v>
      </c>
      <c r="D298" s="63">
        <v>1</v>
      </c>
      <c r="E298" s="64">
        <v>1.2797542871799999E-4</v>
      </c>
    </row>
    <row r="299" spans="2:5" ht="15" customHeight="1">
      <c r="B299" s="77"/>
      <c r="C299" s="62" t="s">
        <v>215</v>
      </c>
      <c r="D299" s="63">
        <v>1</v>
      </c>
      <c r="E299" s="64">
        <v>1.2797542871799999E-4</v>
      </c>
    </row>
    <row r="300" spans="2:5" ht="15" customHeight="1">
      <c r="B300" s="77"/>
      <c r="C300" s="62" t="s">
        <v>217</v>
      </c>
      <c r="D300" s="63">
        <v>1</v>
      </c>
      <c r="E300" s="64">
        <v>1.2797542871799999E-4</v>
      </c>
    </row>
    <row r="301" spans="2:5" ht="15" customHeight="1">
      <c r="B301" s="77"/>
      <c r="C301" s="62" t="s">
        <v>218</v>
      </c>
      <c r="D301" s="63">
        <v>2</v>
      </c>
      <c r="E301" s="64">
        <v>2.5595085743500002E-4</v>
      </c>
    </row>
    <row r="302" spans="2:5" ht="15" customHeight="1">
      <c r="B302" s="77"/>
      <c r="C302" s="62" t="s">
        <v>219</v>
      </c>
      <c r="D302" s="63">
        <v>5</v>
      </c>
      <c r="E302" s="64">
        <v>6.3987714358799996E-4</v>
      </c>
    </row>
    <row r="303" spans="2:5" ht="15" customHeight="1">
      <c r="B303" s="77"/>
      <c r="C303" s="62" t="s">
        <v>223</v>
      </c>
      <c r="D303" s="63">
        <v>12</v>
      </c>
      <c r="E303" s="64">
        <v>1.5357051446119999E-3</v>
      </c>
    </row>
    <row r="304" spans="2:5" ht="15" customHeight="1">
      <c r="B304" s="77"/>
      <c r="C304" s="62" t="s">
        <v>226</v>
      </c>
      <c r="D304" s="63">
        <v>4</v>
      </c>
      <c r="E304" s="64">
        <v>5.1190171487100001E-4</v>
      </c>
    </row>
    <row r="305" spans="2:5" ht="15" customHeight="1">
      <c r="B305" s="77"/>
      <c r="C305" s="62" t="s">
        <v>227</v>
      </c>
      <c r="D305" s="63">
        <v>1</v>
      </c>
      <c r="E305" s="64">
        <v>1.2797542871799999E-4</v>
      </c>
    </row>
    <row r="306" spans="2:5" ht="15" customHeight="1">
      <c r="B306" s="77"/>
      <c r="C306" s="62" t="s">
        <v>232</v>
      </c>
      <c r="D306" s="63">
        <v>1</v>
      </c>
      <c r="E306" s="64">
        <v>1.2797542871799999E-4</v>
      </c>
    </row>
    <row r="307" spans="2:5" ht="15" customHeight="1">
      <c r="B307" s="78"/>
      <c r="C307" s="36" t="s">
        <v>29</v>
      </c>
      <c r="D307" s="35">
        <v>28</v>
      </c>
      <c r="E307" s="34">
        <v>3.5833120040949999E-3</v>
      </c>
    </row>
    <row r="308" spans="2:5" ht="15" customHeight="1">
      <c r="B308" s="76" t="s">
        <v>86</v>
      </c>
      <c r="C308" s="62" t="s">
        <v>215</v>
      </c>
      <c r="D308" s="63">
        <v>1</v>
      </c>
      <c r="E308" s="64">
        <v>1.2797542871799999E-4</v>
      </c>
    </row>
    <row r="309" spans="2:5" ht="15" customHeight="1">
      <c r="B309" s="77"/>
      <c r="C309" s="62" t="s">
        <v>218</v>
      </c>
      <c r="D309" s="63">
        <v>2</v>
      </c>
      <c r="E309" s="64">
        <v>2.5595085743500002E-4</v>
      </c>
    </row>
    <row r="310" spans="2:5" ht="15" customHeight="1">
      <c r="B310" s="77"/>
      <c r="C310" s="62" t="s">
        <v>219</v>
      </c>
      <c r="D310" s="63">
        <v>2</v>
      </c>
      <c r="E310" s="64">
        <v>2.5595085743500002E-4</v>
      </c>
    </row>
    <row r="311" spans="2:5" ht="15" customHeight="1">
      <c r="B311" s="77"/>
      <c r="C311" s="62" t="s">
        <v>222</v>
      </c>
      <c r="D311" s="63">
        <v>1</v>
      </c>
      <c r="E311" s="64">
        <v>1.2797542871799999E-4</v>
      </c>
    </row>
    <row r="312" spans="2:5" ht="15" customHeight="1">
      <c r="B312" s="77"/>
      <c r="C312" s="62" t="s">
        <v>223</v>
      </c>
      <c r="D312" s="63">
        <v>8</v>
      </c>
      <c r="E312" s="64">
        <v>1.0238034297409999E-3</v>
      </c>
    </row>
    <row r="313" spans="2:5" ht="15" customHeight="1">
      <c r="B313" s="77"/>
      <c r="C313" s="62" t="s">
        <v>225</v>
      </c>
      <c r="D313" s="63">
        <v>3</v>
      </c>
      <c r="E313" s="64">
        <v>3.8392628615299999E-4</v>
      </c>
    </row>
    <row r="314" spans="2:5" ht="15" customHeight="1">
      <c r="B314" s="77"/>
      <c r="C314" s="62" t="s">
        <v>226</v>
      </c>
      <c r="D314" s="63">
        <v>6</v>
      </c>
      <c r="E314" s="64">
        <v>7.6785257230599997E-4</v>
      </c>
    </row>
    <row r="315" spans="2:5" ht="15" customHeight="1">
      <c r="B315" s="77"/>
      <c r="C315" s="62" t="s">
        <v>232</v>
      </c>
      <c r="D315" s="63">
        <v>2</v>
      </c>
      <c r="E315" s="64">
        <v>2.5595085743500002E-4</v>
      </c>
    </row>
    <row r="316" spans="2:5" ht="15" customHeight="1">
      <c r="B316" s="78"/>
      <c r="C316" s="36" t="s">
        <v>29</v>
      </c>
      <c r="D316" s="35">
        <v>25</v>
      </c>
      <c r="E316" s="34">
        <v>3.199385717942E-3</v>
      </c>
    </row>
    <row r="317" spans="2:5" ht="15" customHeight="1">
      <c r="B317" s="76" t="s">
        <v>81</v>
      </c>
      <c r="C317" s="62" t="s">
        <v>218</v>
      </c>
      <c r="D317" s="63">
        <v>1</v>
      </c>
      <c r="E317" s="64">
        <v>1.2797542871799999E-4</v>
      </c>
    </row>
    <row r="318" spans="2:5" ht="15" customHeight="1">
      <c r="B318" s="77"/>
      <c r="C318" s="62" t="s">
        <v>219</v>
      </c>
      <c r="D318" s="63">
        <v>2</v>
      </c>
      <c r="E318" s="64">
        <v>2.5595085743500002E-4</v>
      </c>
    </row>
    <row r="319" spans="2:5" ht="15" customHeight="1">
      <c r="B319" s="77"/>
      <c r="C319" s="62" t="s">
        <v>220</v>
      </c>
      <c r="D319" s="63">
        <v>1</v>
      </c>
      <c r="E319" s="64">
        <v>1.2797542871799999E-4</v>
      </c>
    </row>
    <row r="320" spans="2:5" ht="15" customHeight="1">
      <c r="B320" s="77"/>
      <c r="C320" s="62" t="s">
        <v>221</v>
      </c>
      <c r="D320" s="63">
        <v>1</v>
      </c>
      <c r="E320" s="64">
        <v>1.2797542871799999E-4</v>
      </c>
    </row>
    <row r="321" spans="2:5" ht="15" customHeight="1">
      <c r="B321" s="77"/>
      <c r="C321" s="62" t="s">
        <v>223</v>
      </c>
      <c r="D321" s="63">
        <v>11</v>
      </c>
      <c r="E321" s="64">
        <v>1.4077297158950001E-3</v>
      </c>
    </row>
    <row r="322" spans="2:5" ht="15" customHeight="1">
      <c r="B322" s="77"/>
      <c r="C322" s="62" t="s">
        <v>225</v>
      </c>
      <c r="D322" s="63">
        <v>1</v>
      </c>
      <c r="E322" s="64">
        <v>1.2797542871799999E-4</v>
      </c>
    </row>
    <row r="323" spans="2:5" ht="15" customHeight="1">
      <c r="B323" s="77"/>
      <c r="C323" s="62" t="s">
        <v>226</v>
      </c>
      <c r="D323" s="63">
        <v>10</v>
      </c>
      <c r="E323" s="64">
        <v>1.279754287177E-3</v>
      </c>
    </row>
    <row r="324" spans="2:5" ht="15" customHeight="1">
      <c r="B324" s="77"/>
      <c r="C324" s="62" t="s">
        <v>231</v>
      </c>
      <c r="D324" s="63">
        <v>1</v>
      </c>
      <c r="E324" s="64">
        <v>1.2797542871799999E-4</v>
      </c>
    </row>
    <row r="325" spans="2:5" ht="15" customHeight="1">
      <c r="B325" s="77"/>
      <c r="C325" s="62" t="s">
        <v>232</v>
      </c>
      <c r="D325" s="63">
        <v>2</v>
      </c>
      <c r="E325" s="64">
        <v>2.5595085743500002E-4</v>
      </c>
    </row>
    <row r="326" spans="2:5" ht="15" customHeight="1">
      <c r="B326" s="78"/>
      <c r="C326" s="36" t="s">
        <v>29</v>
      </c>
      <c r="D326" s="35">
        <v>30</v>
      </c>
      <c r="E326" s="34">
        <v>3.8392628615310002E-3</v>
      </c>
    </row>
    <row r="327" spans="2:5" ht="15" customHeight="1">
      <c r="B327" s="76" t="s">
        <v>96</v>
      </c>
      <c r="C327" s="62" t="s">
        <v>223</v>
      </c>
      <c r="D327" s="63">
        <v>1</v>
      </c>
      <c r="E327" s="64">
        <v>1.2797542871799999E-4</v>
      </c>
    </row>
    <row r="328" spans="2:5" ht="15" customHeight="1">
      <c r="B328" s="77"/>
      <c r="C328" s="62" t="s">
        <v>225</v>
      </c>
      <c r="D328" s="63">
        <v>1</v>
      </c>
      <c r="E328" s="64">
        <v>1.2797542871799999E-4</v>
      </c>
    </row>
    <row r="329" spans="2:5" ht="15" customHeight="1">
      <c r="B329" s="77"/>
      <c r="C329" s="62" t="s">
        <v>226</v>
      </c>
      <c r="D329" s="63">
        <v>1</v>
      </c>
      <c r="E329" s="64">
        <v>1.2797542871799999E-4</v>
      </c>
    </row>
    <row r="330" spans="2:5" ht="15" customHeight="1">
      <c r="B330" s="77"/>
      <c r="C330" s="62" t="s">
        <v>232</v>
      </c>
      <c r="D330" s="63">
        <v>1</v>
      </c>
      <c r="E330" s="64">
        <v>1.2797542871799999E-4</v>
      </c>
    </row>
    <row r="331" spans="2:5" ht="15" customHeight="1">
      <c r="B331" s="78"/>
      <c r="C331" s="36" t="s">
        <v>29</v>
      </c>
      <c r="D331" s="35">
        <v>4</v>
      </c>
      <c r="E331" s="34">
        <v>5.1190171487100001E-4</v>
      </c>
    </row>
    <row r="332" spans="2:5" ht="15" customHeight="1">
      <c r="B332" s="76" t="s">
        <v>97</v>
      </c>
      <c r="C332" s="62" t="s">
        <v>232</v>
      </c>
      <c r="D332" s="63">
        <v>2</v>
      </c>
      <c r="E332" s="64">
        <v>2.5595085743500002E-4</v>
      </c>
    </row>
    <row r="333" spans="2:5" ht="15" customHeight="1">
      <c r="B333" s="78"/>
      <c r="C333" s="36" t="s">
        <v>29</v>
      </c>
      <c r="D333" s="35">
        <v>2</v>
      </c>
      <c r="E333" s="34">
        <v>2.5595085743500002E-4</v>
      </c>
    </row>
    <row r="334" spans="2:5" ht="15" customHeight="1">
      <c r="B334" s="76" t="s">
        <v>87</v>
      </c>
      <c r="C334" s="62" t="s">
        <v>218</v>
      </c>
      <c r="D334" s="63">
        <v>3</v>
      </c>
      <c r="E334" s="64">
        <v>3.8392628615299999E-4</v>
      </c>
    </row>
    <row r="335" spans="2:5" ht="15" customHeight="1">
      <c r="B335" s="77"/>
      <c r="C335" s="62" t="s">
        <v>219</v>
      </c>
      <c r="D335" s="63">
        <v>1</v>
      </c>
      <c r="E335" s="64">
        <v>1.2797542871799999E-4</v>
      </c>
    </row>
    <row r="336" spans="2:5" ht="15" customHeight="1">
      <c r="B336" s="77"/>
      <c r="C336" s="62" t="s">
        <v>220</v>
      </c>
      <c r="D336" s="63">
        <v>1</v>
      </c>
      <c r="E336" s="64">
        <v>1.2797542871799999E-4</v>
      </c>
    </row>
    <row r="337" spans="2:5" ht="15" customHeight="1">
      <c r="B337" s="77"/>
      <c r="C337" s="62" t="s">
        <v>221</v>
      </c>
      <c r="D337" s="63">
        <v>2</v>
      </c>
      <c r="E337" s="64">
        <v>2.5595085743500002E-4</v>
      </c>
    </row>
    <row r="338" spans="2:5" ht="15" customHeight="1">
      <c r="B338" s="77"/>
      <c r="C338" s="62" t="s">
        <v>223</v>
      </c>
      <c r="D338" s="63">
        <v>5</v>
      </c>
      <c r="E338" s="64">
        <v>6.3987714358799996E-4</v>
      </c>
    </row>
    <row r="339" spans="2:5" ht="15" customHeight="1">
      <c r="B339" s="77"/>
      <c r="C339" s="62" t="s">
        <v>225</v>
      </c>
      <c r="D339" s="63">
        <v>1</v>
      </c>
      <c r="E339" s="64">
        <v>1.2797542871799999E-4</v>
      </c>
    </row>
    <row r="340" spans="2:5" ht="15" customHeight="1">
      <c r="B340" s="77"/>
      <c r="C340" s="62" t="s">
        <v>226</v>
      </c>
      <c r="D340" s="63">
        <v>8</v>
      </c>
      <c r="E340" s="64">
        <v>1.0238034297409999E-3</v>
      </c>
    </row>
    <row r="341" spans="2:5" ht="15" customHeight="1">
      <c r="B341" s="77"/>
      <c r="C341" s="62" t="s">
        <v>231</v>
      </c>
      <c r="D341" s="63">
        <v>1</v>
      </c>
      <c r="E341" s="64">
        <v>1.2797542871799999E-4</v>
      </c>
    </row>
    <row r="342" spans="2:5" ht="15" customHeight="1">
      <c r="B342" s="77"/>
      <c r="C342" s="62" t="s">
        <v>232</v>
      </c>
      <c r="D342" s="63">
        <v>1</v>
      </c>
      <c r="E342" s="64">
        <v>1.2797542871799999E-4</v>
      </c>
    </row>
    <row r="343" spans="2:5" ht="15" customHeight="1">
      <c r="B343" s="78"/>
      <c r="C343" s="36" t="s">
        <v>29</v>
      </c>
      <c r="D343" s="35">
        <v>23</v>
      </c>
      <c r="E343" s="34">
        <v>2.9434348605069998E-3</v>
      </c>
    </row>
    <row r="344" spans="2:5" ht="15" customHeight="1">
      <c r="B344" s="76" t="s">
        <v>88</v>
      </c>
      <c r="C344" s="62" t="s">
        <v>219</v>
      </c>
      <c r="D344" s="63">
        <v>1</v>
      </c>
      <c r="E344" s="64">
        <v>1.2797542871799999E-4</v>
      </c>
    </row>
    <row r="345" spans="2:5" ht="15" customHeight="1">
      <c r="B345" s="77"/>
      <c r="C345" s="62" t="s">
        <v>223</v>
      </c>
      <c r="D345" s="63">
        <v>7</v>
      </c>
      <c r="E345" s="64">
        <v>8.9582800102399999E-4</v>
      </c>
    </row>
    <row r="346" spans="2:5" ht="15" customHeight="1">
      <c r="B346" s="77"/>
      <c r="C346" s="62" t="s">
        <v>225</v>
      </c>
      <c r="D346" s="63">
        <v>2</v>
      </c>
      <c r="E346" s="64">
        <v>2.5595085743500002E-4</v>
      </c>
    </row>
    <row r="347" spans="2:5" ht="15" customHeight="1">
      <c r="B347" s="77"/>
      <c r="C347" s="62" t="s">
        <v>226</v>
      </c>
      <c r="D347" s="63">
        <v>6</v>
      </c>
      <c r="E347" s="64">
        <v>7.6785257230599997E-4</v>
      </c>
    </row>
    <row r="348" spans="2:5" ht="15" customHeight="1">
      <c r="B348" s="77"/>
      <c r="C348" s="62" t="s">
        <v>231</v>
      </c>
      <c r="D348" s="63">
        <v>1</v>
      </c>
      <c r="E348" s="64">
        <v>1.2797542871799999E-4</v>
      </c>
    </row>
    <row r="349" spans="2:5" ht="15" customHeight="1">
      <c r="B349" s="77"/>
      <c r="C349" s="62" t="s">
        <v>232</v>
      </c>
      <c r="D349" s="63">
        <v>1</v>
      </c>
      <c r="E349" s="64">
        <v>1.2797542871799999E-4</v>
      </c>
    </row>
    <row r="350" spans="2:5" ht="15" customHeight="1">
      <c r="B350" s="78"/>
      <c r="C350" s="36" t="s">
        <v>29</v>
      </c>
      <c r="D350" s="35">
        <v>18</v>
      </c>
      <c r="E350" s="34">
        <v>2.3035577169180001E-3</v>
      </c>
    </row>
    <row r="351" spans="2:5" ht="15" customHeight="1">
      <c r="B351" s="76" t="s">
        <v>76</v>
      </c>
      <c r="C351" s="62" t="s">
        <v>211</v>
      </c>
      <c r="D351" s="63">
        <v>1</v>
      </c>
      <c r="E351" s="64">
        <v>1.2797542871799999E-4</v>
      </c>
    </row>
    <row r="352" spans="2:5" ht="15" customHeight="1">
      <c r="B352" s="77"/>
      <c r="C352" s="62" t="s">
        <v>214</v>
      </c>
      <c r="D352" s="63">
        <v>1</v>
      </c>
      <c r="E352" s="64">
        <v>1.2797542871799999E-4</v>
      </c>
    </row>
    <row r="353" spans="2:5" ht="15" customHeight="1">
      <c r="B353" s="77"/>
      <c r="C353" s="62" t="s">
        <v>215</v>
      </c>
      <c r="D353" s="63">
        <v>1</v>
      </c>
      <c r="E353" s="64">
        <v>1.2797542871799999E-4</v>
      </c>
    </row>
    <row r="354" spans="2:5" ht="15" customHeight="1">
      <c r="B354" s="77"/>
      <c r="C354" s="62" t="s">
        <v>217</v>
      </c>
      <c r="D354" s="63">
        <v>1</v>
      </c>
      <c r="E354" s="64">
        <v>1.2797542871799999E-4</v>
      </c>
    </row>
    <row r="355" spans="2:5" ht="15" customHeight="1">
      <c r="B355" s="77"/>
      <c r="C355" s="62" t="s">
        <v>218</v>
      </c>
      <c r="D355" s="63">
        <v>3</v>
      </c>
      <c r="E355" s="64">
        <v>3.8392628615299999E-4</v>
      </c>
    </row>
    <row r="356" spans="2:5" ht="15" customHeight="1">
      <c r="B356" s="77"/>
      <c r="C356" s="62" t="s">
        <v>219</v>
      </c>
      <c r="D356" s="63">
        <v>5</v>
      </c>
      <c r="E356" s="64">
        <v>6.3987714358799996E-4</v>
      </c>
    </row>
    <row r="357" spans="2:5" ht="15" customHeight="1">
      <c r="B357" s="77"/>
      <c r="C357" s="62" t="s">
        <v>220</v>
      </c>
      <c r="D357" s="63">
        <v>1</v>
      </c>
      <c r="E357" s="64">
        <v>1.2797542871799999E-4</v>
      </c>
    </row>
    <row r="358" spans="2:5" ht="15" customHeight="1">
      <c r="B358" s="77"/>
      <c r="C358" s="62" t="s">
        <v>221</v>
      </c>
      <c r="D358" s="63">
        <v>1</v>
      </c>
      <c r="E358" s="64">
        <v>1.2797542871799999E-4</v>
      </c>
    </row>
    <row r="359" spans="2:5" ht="15" customHeight="1">
      <c r="B359" s="77"/>
      <c r="C359" s="62" t="s">
        <v>222</v>
      </c>
      <c r="D359" s="63">
        <v>1</v>
      </c>
      <c r="E359" s="64">
        <v>1.2797542871799999E-4</v>
      </c>
    </row>
    <row r="360" spans="2:5" ht="15" customHeight="1">
      <c r="B360" s="77"/>
      <c r="C360" s="62" t="s">
        <v>223</v>
      </c>
      <c r="D360" s="63">
        <v>18</v>
      </c>
      <c r="E360" s="64">
        <v>2.3035577169180001E-3</v>
      </c>
    </row>
    <row r="361" spans="2:5" ht="15" customHeight="1">
      <c r="B361" s="77"/>
      <c r="C361" s="62" t="s">
        <v>224</v>
      </c>
      <c r="D361" s="63">
        <v>2</v>
      </c>
      <c r="E361" s="64">
        <v>2.5595085743500002E-4</v>
      </c>
    </row>
    <row r="362" spans="2:5" ht="15" customHeight="1">
      <c r="B362" s="77"/>
      <c r="C362" s="62" t="s">
        <v>225</v>
      </c>
      <c r="D362" s="63">
        <v>7</v>
      </c>
      <c r="E362" s="64">
        <v>8.9582800102399999E-4</v>
      </c>
    </row>
    <row r="363" spans="2:5" ht="15" customHeight="1">
      <c r="B363" s="77"/>
      <c r="C363" s="62" t="s">
        <v>226</v>
      </c>
      <c r="D363" s="63">
        <v>7</v>
      </c>
      <c r="E363" s="64">
        <v>8.9582800102399999E-4</v>
      </c>
    </row>
    <row r="364" spans="2:5" ht="15" customHeight="1">
      <c r="B364" s="77"/>
      <c r="C364" s="62" t="s">
        <v>227</v>
      </c>
      <c r="D364" s="63">
        <v>1</v>
      </c>
      <c r="E364" s="64">
        <v>1.2797542871799999E-4</v>
      </c>
    </row>
    <row r="365" spans="2:5" ht="15" customHeight="1">
      <c r="B365" s="77"/>
      <c r="C365" s="62" t="s">
        <v>228</v>
      </c>
      <c r="D365" s="63">
        <v>1</v>
      </c>
      <c r="E365" s="64">
        <v>1.2797542871799999E-4</v>
      </c>
    </row>
    <row r="366" spans="2:5" ht="15" customHeight="1">
      <c r="B366" s="77"/>
      <c r="C366" s="62" t="s">
        <v>231</v>
      </c>
      <c r="D366" s="63">
        <v>2</v>
      </c>
      <c r="E366" s="64">
        <v>2.5595085743500002E-4</v>
      </c>
    </row>
    <row r="367" spans="2:5" ht="15" customHeight="1">
      <c r="B367" s="77"/>
      <c r="C367" s="62" t="s">
        <v>232</v>
      </c>
      <c r="D367" s="63">
        <v>1</v>
      </c>
      <c r="E367" s="64">
        <v>1.2797542871799999E-4</v>
      </c>
    </row>
    <row r="368" spans="2:5" ht="15" customHeight="1">
      <c r="B368" s="78"/>
      <c r="C368" s="36" t="s">
        <v>29</v>
      </c>
      <c r="D368" s="35">
        <v>54</v>
      </c>
      <c r="E368" s="34">
        <v>6.9106731507549996E-3</v>
      </c>
    </row>
    <row r="369" spans="2:5" ht="15" customHeight="1">
      <c r="B369" s="76" t="s">
        <v>77</v>
      </c>
      <c r="C369" s="62" t="s">
        <v>214</v>
      </c>
      <c r="D369" s="63">
        <v>1</v>
      </c>
      <c r="E369" s="64">
        <v>1.2797542871799999E-4</v>
      </c>
    </row>
    <row r="370" spans="2:5" ht="15" customHeight="1">
      <c r="B370" s="77"/>
      <c r="C370" s="62" t="s">
        <v>215</v>
      </c>
      <c r="D370" s="63">
        <v>1</v>
      </c>
      <c r="E370" s="64">
        <v>1.2797542871799999E-4</v>
      </c>
    </row>
    <row r="371" spans="2:5" ht="15" customHeight="1">
      <c r="B371" s="77"/>
      <c r="C371" s="62" t="s">
        <v>218</v>
      </c>
      <c r="D371" s="63">
        <v>5</v>
      </c>
      <c r="E371" s="64">
        <v>6.3987714358799996E-4</v>
      </c>
    </row>
    <row r="372" spans="2:5" ht="15" customHeight="1">
      <c r="B372" s="77"/>
      <c r="C372" s="62" t="s">
        <v>219</v>
      </c>
      <c r="D372" s="63">
        <v>3</v>
      </c>
      <c r="E372" s="64">
        <v>3.8392628615299999E-4</v>
      </c>
    </row>
    <row r="373" spans="2:5" ht="15" customHeight="1">
      <c r="B373" s="77"/>
      <c r="C373" s="62" t="s">
        <v>222</v>
      </c>
      <c r="D373" s="63">
        <v>2</v>
      </c>
      <c r="E373" s="64">
        <v>2.5595085743500002E-4</v>
      </c>
    </row>
    <row r="374" spans="2:5" ht="15" customHeight="1">
      <c r="B374" s="77"/>
      <c r="C374" s="62" t="s">
        <v>223</v>
      </c>
      <c r="D374" s="63">
        <v>20</v>
      </c>
      <c r="E374" s="64">
        <v>2.559508574354E-3</v>
      </c>
    </row>
    <row r="375" spans="2:5" ht="15" customHeight="1">
      <c r="B375" s="77"/>
      <c r="C375" s="62" t="s">
        <v>224</v>
      </c>
      <c r="D375" s="63">
        <v>1</v>
      </c>
      <c r="E375" s="64">
        <v>1.2797542871799999E-4</v>
      </c>
    </row>
    <row r="376" spans="2:5" ht="15" customHeight="1">
      <c r="B376" s="77"/>
      <c r="C376" s="62" t="s">
        <v>225</v>
      </c>
      <c r="D376" s="63">
        <v>4</v>
      </c>
      <c r="E376" s="64">
        <v>5.1190171487100001E-4</v>
      </c>
    </row>
    <row r="377" spans="2:5" ht="15" customHeight="1">
      <c r="B377" s="77"/>
      <c r="C377" s="62" t="s">
        <v>226</v>
      </c>
      <c r="D377" s="63">
        <v>8</v>
      </c>
      <c r="E377" s="64">
        <v>1.0238034297409999E-3</v>
      </c>
    </row>
    <row r="378" spans="2:5" ht="15" customHeight="1">
      <c r="B378" s="77"/>
      <c r="C378" s="62" t="s">
        <v>231</v>
      </c>
      <c r="D378" s="63">
        <v>2</v>
      </c>
      <c r="E378" s="64">
        <v>2.5595085743500002E-4</v>
      </c>
    </row>
    <row r="379" spans="2:5" ht="15" customHeight="1">
      <c r="B379" s="77"/>
      <c r="C379" s="62" t="s">
        <v>232</v>
      </c>
      <c r="D379" s="63">
        <v>1</v>
      </c>
      <c r="E379" s="64">
        <v>1.2797542871799999E-4</v>
      </c>
    </row>
    <row r="380" spans="2:5" ht="15" customHeight="1">
      <c r="B380" s="78"/>
      <c r="C380" s="36" t="s">
        <v>29</v>
      </c>
      <c r="D380" s="35">
        <v>48</v>
      </c>
      <c r="E380" s="34">
        <v>6.1428205784489999E-3</v>
      </c>
    </row>
    <row r="381" spans="2:5" ht="15" customHeight="1">
      <c r="B381" s="76" t="s">
        <v>70</v>
      </c>
      <c r="C381" s="62" t="s">
        <v>211</v>
      </c>
      <c r="D381" s="63">
        <v>2</v>
      </c>
      <c r="E381" s="64">
        <v>2.5595085743500002E-4</v>
      </c>
    </row>
    <row r="382" spans="2:5" ht="15" customHeight="1">
      <c r="B382" s="77"/>
      <c r="C382" s="62" t="s">
        <v>213</v>
      </c>
      <c r="D382" s="63">
        <v>1</v>
      </c>
      <c r="E382" s="64">
        <v>1.2797542871799999E-4</v>
      </c>
    </row>
    <row r="383" spans="2:5" ht="15" customHeight="1">
      <c r="B383" s="77"/>
      <c r="C383" s="62" t="s">
        <v>214</v>
      </c>
      <c r="D383" s="63">
        <v>1</v>
      </c>
      <c r="E383" s="64">
        <v>1.2797542871799999E-4</v>
      </c>
    </row>
    <row r="384" spans="2:5" ht="15" customHeight="1">
      <c r="B384" s="77"/>
      <c r="C384" s="62" t="s">
        <v>215</v>
      </c>
      <c r="D384" s="63">
        <v>3</v>
      </c>
      <c r="E384" s="64">
        <v>3.8392628615299999E-4</v>
      </c>
    </row>
    <row r="385" spans="2:5" ht="15" customHeight="1">
      <c r="B385" s="77"/>
      <c r="C385" s="62" t="s">
        <v>216</v>
      </c>
      <c r="D385" s="63">
        <v>1</v>
      </c>
      <c r="E385" s="64">
        <v>1.2797542871799999E-4</v>
      </c>
    </row>
    <row r="386" spans="2:5" ht="15" customHeight="1">
      <c r="B386" s="77"/>
      <c r="C386" s="62" t="s">
        <v>218</v>
      </c>
      <c r="D386" s="63">
        <v>5</v>
      </c>
      <c r="E386" s="64">
        <v>6.3987714358799996E-4</v>
      </c>
    </row>
    <row r="387" spans="2:5" ht="15" customHeight="1">
      <c r="B387" s="77"/>
      <c r="C387" s="62" t="s">
        <v>219</v>
      </c>
      <c r="D387" s="63">
        <v>10</v>
      </c>
      <c r="E387" s="64">
        <v>1.279754287177E-3</v>
      </c>
    </row>
    <row r="388" spans="2:5" ht="15" customHeight="1">
      <c r="B388" s="77"/>
      <c r="C388" s="62" t="s">
        <v>220</v>
      </c>
      <c r="D388" s="63">
        <v>1</v>
      </c>
      <c r="E388" s="64">
        <v>1.2797542871799999E-4</v>
      </c>
    </row>
    <row r="389" spans="2:5" ht="15" customHeight="1">
      <c r="B389" s="77"/>
      <c r="C389" s="62" t="s">
        <v>221</v>
      </c>
      <c r="D389" s="63">
        <v>3</v>
      </c>
      <c r="E389" s="64">
        <v>3.8392628615299999E-4</v>
      </c>
    </row>
    <row r="390" spans="2:5" ht="15" customHeight="1">
      <c r="B390" s="77"/>
      <c r="C390" s="62" t="s">
        <v>222</v>
      </c>
      <c r="D390" s="63">
        <v>2</v>
      </c>
      <c r="E390" s="64">
        <v>2.5595085743500002E-4</v>
      </c>
    </row>
    <row r="391" spans="2:5" ht="15" customHeight="1">
      <c r="B391" s="77"/>
      <c r="C391" s="62" t="s">
        <v>223</v>
      </c>
      <c r="D391" s="63">
        <v>41</v>
      </c>
      <c r="E391" s="64">
        <v>5.246992577425E-3</v>
      </c>
    </row>
    <row r="392" spans="2:5" ht="15" customHeight="1">
      <c r="B392" s="77"/>
      <c r="C392" s="62" t="s">
        <v>224</v>
      </c>
      <c r="D392" s="63">
        <v>2</v>
      </c>
      <c r="E392" s="64">
        <v>2.5595085743500002E-4</v>
      </c>
    </row>
    <row r="393" spans="2:5" ht="15" customHeight="1">
      <c r="B393" s="77"/>
      <c r="C393" s="62" t="s">
        <v>225</v>
      </c>
      <c r="D393" s="63">
        <v>7</v>
      </c>
      <c r="E393" s="64">
        <v>8.9582800102399999E-4</v>
      </c>
    </row>
    <row r="394" spans="2:5" ht="15" customHeight="1">
      <c r="B394" s="77"/>
      <c r="C394" s="62" t="s">
        <v>226</v>
      </c>
      <c r="D394" s="63">
        <v>9</v>
      </c>
      <c r="E394" s="64">
        <v>1.1517788584590001E-3</v>
      </c>
    </row>
    <row r="395" spans="2:5" ht="15" customHeight="1">
      <c r="B395" s="77"/>
      <c r="C395" s="62" t="s">
        <v>231</v>
      </c>
      <c r="D395" s="63">
        <v>1</v>
      </c>
      <c r="E395" s="64">
        <v>1.2797542871799999E-4</v>
      </c>
    </row>
    <row r="396" spans="2:5" ht="15" customHeight="1">
      <c r="B396" s="77"/>
      <c r="C396" s="62" t="s">
        <v>232</v>
      </c>
      <c r="D396" s="63">
        <v>5</v>
      </c>
      <c r="E396" s="64">
        <v>6.3987714358799996E-4</v>
      </c>
    </row>
    <row r="397" spans="2:5" ht="15" customHeight="1">
      <c r="B397" s="78"/>
      <c r="C397" s="36" t="s">
        <v>29</v>
      </c>
      <c r="D397" s="35">
        <v>94</v>
      </c>
      <c r="E397" s="34">
        <v>1.2029690299463E-2</v>
      </c>
    </row>
    <row r="398" spans="2:5" ht="15" customHeight="1">
      <c r="B398" s="76" t="s">
        <v>71</v>
      </c>
      <c r="C398" s="62" t="s">
        <v>211</v>
      </c>
      <c r="D398" s="63">
        <v>1</v>
      </c>
      <c r="E398" s="64">
        <v>1.2797542871799999E-4</v>
      </c>
    </row>
    <row r="399" spans="2:5" ht="15" customHeight="1">
      <c r="B399" s="77"/>
      <c r="C399" s="62" t="s">
        <v>214</v>
      </c>
      <c r="D399" s="63">
        <v>2</v>
      </c>
      <c r="E399" s="64">
        <v>2.5595085743500002E-4</v>
      </c>
    </row>
    <row r="400" spans="2:5" ht="15" customHeight="1">
      <c r="B400" s="77"/>
      <c r="C400" s="62" t="s">
        <v>215</v>
      </c>
      <c r="D400" s="63">
        <v>2</v>
      </c>
      <c r="E400" s="64">
        <v>2.5595085743500002E-4</v>
      </c>
    </row>
    <row r="401" spans="2:5" ht="15" customHeight="1">
      <c r="B401" s="77"/>
      <c r="C401" s="62" t="s">
        <v>216</v>
      </c>
      <c r="D401" s="63">
        <v>2</v>
      </c>
      <c r="E401" s="64">
        <v>2.5595085743500002E-4</v>
      </c>
    </row>
    <row r="402" spans="2:5" ht="15" customHeight="1">
      <c r="B402" s="77"/>
      <c r="C402" s="62" t="s">
        <v>217</v>
      </c>
      <c r="D402" s="63">
        <v>1</v>
      </c>
      <c r="E402" s="64">
        <v>1.2797542871799999E-4</v>
      </c>
    </row>
    <row r="403" spans="2:5" ht="15" customHeight="1">
      <c r="B403" s="77"/>
      <c r="C403" s="62" t="s">
        <v>218</v>
      </c>
      <c r="D403" s="63">
        <v>9</v>
      </c>
      <c r="E403" s="64">
        <v>1.1517788584590001E-3</v>
      </c>
    </row>
    <row r="404" spans="2:5" ht="15" customHeight="1">
      <c r="B404" s="77"/>
      <c r="C404" s="62" t="s">
        <v>219</v>
      </c>
      <c r="D404" s="63">
        <v>8</v>
      </c>
      <c r="E404" s="64">
        <v>1.0238034297409999E-3</v>
      </c>
    </row>
    <row r="405" spans="2:5" ht="15" customHeight="1">
      <c r="B405" s="77"/>
      <c r="C405" s="62" t="s">
        <v>221</v>
      </c>
      <c r="D405" s="63">
        <v>1</v>
      </c>
      <c r="E405" s="64">
        <v>1.2797542871799999E-4</v>
      </c>
    </row>
    <row r="406" spans="2:5" ht="15" customHeight="1">
      <c r="B406" s="77"/>
      <c r="C406" s="62" t="s">
        <v>222</v>
      </c>
      <c r="D406" s="63">
        <v>6</v>
      </c>
      <c r="E406" s="64">
        <v>7.6785257230599997E-4</v>
      </c>
    </row>
    <row r="407" spans="2:5" ht="15" customHeight="1">
      <c r="B407" s="77"/>
      <c r="C407" s="62" t="s">
        <v>223</v>
      </c>
      <c r="D407" s="63">
        <v>24</v>
      </c>
      <c r="E407" s="64">
        <v>3.0714102892239999E-3</v>
      </c>
    </row>
    <row r="408" spans="2:5" ht="15" customHeight="1">
      <c r="B408" s="77"/>
      <c r="C408" s="62" t="s">
        <v>224</v>
      </c>
      <c r="D408" s="63">
        <v>2</v>
      </c>
      <c r="E408" s="64">
        <v>2.5595085743500002E-4</v>
      </c>
    </row>
    <row r="409" spans="2:5" ht="15" customHeight="1">
      <c r="B409" s="77"/>
      <c r="C409" s="62" t="s">
        <v>225</v>
      </c>
      <c r="D409" s="63">
        <v>4</v>
      </c>
      <c r="E409" s="64">
        <v>5.1190171487100001E-4</v>
      </c>
    </row>
    <row r="410" spans="2:5" ht="15" customHeight="1">
      <c r="B410" s="77"/>
      <c r="C410" s="62" t="s">
        <v>226</v>
      </c>
      <c r="D410" s="63">
        <v>20</v>
      </c>
      <c r="E410" s="64">
        <v>2.559508574354E-3</v>
      </c>
    </row>
    <row r="411" spans="2:5" ht="15" customHeight="1">
      <c r="B411" s="77"/>
      <c r="C411" s="62" t="s">
        <v>232</v>
      </c>
      <c r="D411" s="63">
        <v>4</v>
      </c>
      <c r="E411" s="64">
        <v>5.1190171487100001E-4</v>
      </c>
    </row>
    <row r="412" spans="2:5" ht="15" customHeight="1">
      <c r="B412" s="78"/>
      <c r="C412" s="36" t="s">
        <v>29</v>
      </c>
      <c r="D412" s="35">
        <v>86</v>
      </c>
      <c r="E412" s="34">
        <v>1.1005886869721E-2</v>
      </c>
    </row>
    <row r="413" spans="2:5" ht="15" customHeight="1">
      <c r="B413" s="76" t="s">
        <v>59</v>
      </c>
      <c r="C413" s="62" t="s">
        <v>211</v>
      </c>
      <c r="D413" s="63">
        <v>4</v>
      </c>
      <c r="E413" s="64">
        <v>5.1190171487100001E-4</v>
      </c>
    </row>
    <row r="414" spans="2:5" ht="15" customHeight="1">
      <c r="B414" s="77"/>
      <c r="C414" s="62" t="s">
        <v>213</v>
      </c>
      <c r="D414" s="63">
        <v>1</v>
      </c>
      <c r="E414" s="64">
        <v>1.2797542871799999E-4</v>
      </c>
    </row>
    <row r="415" spans="2:5" ht="15" customHeight="1">
      <c r="B415" s="77"/>
      <c r="C415" s="62" t="s">
        <v>214</v>
      </c>
      <c r="D415" s="63">
        <v>2</v>
      </c>
      <c r="E415" s="64">
        <v>2.5595085743500002E-4</v>
      </c>
    </row>
    <row r="416" spans="2:5" ht="15" customHeight="1">
      <c r="B416" s="77"/>
      <c r="C416" s="62" t="s">
        <v>215</v>
      </c>
      <c r="D416" s="63">
        <v>4</v>
      </c>
      <c r="E416" s="64">
        <v>5.1190171487100001E-4</v>
      </c>
    </row>
    <row r="417" spans="2:5" ht="15" customHeight="1">
      <c r="B417" s="77"/>
      <c r="C417" s="62" t="s">
        <v>216</v>
      </c>
      <c r="D417" s="63">
        <v>2</v>
      </c>
      <c r="E417" s="64">
        <v>2.5595085743500002E-4</v>
      </c>
    </row>
    <row r="418" spans="2:5" ht="15" customHeight="1">
      <c r="B418" s="77"/>
      <c r="C418" s="62" t="s">
        <v>218</v>
      </c>
      <c r="D418" s="63">
        <v>13</v>
      </c>
      <c r="E418" s="64">
        <v>1.6636805733300001E-3</v>
      </c>
    </row>
    <row r="419" spans="2:5" ht="15" customHeight="1">
      <c r="B419" s="77"/>
      <c r="C419" s="62" t="s">
        <v>219</v>
      </c>
      <c r="D419" s="63">
        <v>19</v>
      </c>
      <c r="E419" s="64">
        <v>2.4315331456359998E-3</v>
      </c>
    </row>
    <row r="420" spans="2:5" ht="15" customHeight="1">
      <c r="B420" s="77"/>
      <c r="C420" s="62" t="s">
        <v>220</v>
      </c>
      <c r="D420" s="63">
        <v>4</v>
      </c>
      <c r="E420" s="64">
        <v>5.1190171487100001E-4</v>
      </c>
    </row>
    <row r="421" spans="2:5" ht="15" customHeight="1">
      <c r="B421" s="77"/>
      <c r="C421" s="62" t="s">
        <v>221</v>
      </c>
      <c r="D421" s="63">
        <v>6</v>
      </c>
      <c r="E421" s="64">
        <v>7.6785257230599997E-4</v>
      </c>
    </row>
    <row r="422" spans="2:5" ht="15" customHeight="1">
      <c r="B422" s="77"/>
      <c r="C422" s="62" t="s">
        <v>222</v>
      </c>
      <c r="D422" s="63">
        <v>11</v>
      </c>
      <c r="E422" s="64">
        <v>1.4077297158950001E-3</v>
      </c>
    </row>
    <row r="423" spans="2:5" ht="15" customHeight="1">
      <c r="B423" s="77"/>
      <c r="C423" s="62" t="s">
        <v>223</v>
      </c>
      <c r="D423" s="63">
        <v>80</v>
      </c>
      <c r="E423" s="64">
        <v>1.0238034297415001E-2</v>
      </c>
    </row>
    <row r="424" spans="2:5" ht="15" customHeight="1">
      <c r="B424" s="77"/>
      <c r="C424" s="62" t="s">
        <v>224</v>
      </c>
      <c r="D424" s="63">
        <v>7</v>
      </c>
      <c r="E424" s="64">
        <v>8.9582800102399999E-4</v>
      </c>
    </row>
    <row r="425" spans="2:5" ht="15" customHeight="1">
      <c r="B425" s="77"/>
      <c r="C425" s="62" t="s">
        <v>225</v>
      </c>
      <c r="D425" s="63">
        <v>20</v>
      </c>
      <c r="E425" s="64">
        <v>2.559508574354E-3</v>
      </c>
    </row>
    <row r="426" spans="2:5" ht="15" customHeight="1">
      <c r="B426" s="77"/>
      <c r="C426" s="62" t="s">
        <v>226</v>
      </c>
      <c r="D426" s="63">
        <v>46</v>
      </c>
      <c r="E426" s="64">
        <v>5.8868697210139997E-3</v>
      </c>
    </row>
    <row r="427" spans="2:5" ht="15" customHeight="1">
      <c r="B427" s="77"/>
      <c r="C427" s="62" t="s">
        <v>227</v>
      </c>
      <c r="D427" s="63">
        <v>2</v>
      </c>
      <c r="E427" s="64">
        <v>2.5595085743500002E-4</v>
      </c>
    </row>
    <row r="428" spans="2:5" ht="15" customHeight="1">
      <c r="B428" s="77"/>
      <c r="C428" s="62" t="s">
        <v>228</v>
      </c>
      <c r="D428" s="63">
        <v>1</v>
      </c>
      <c r="E428" s="64">
        <v>1.2797542871799999E-4</v>
      </c>
    </row>
    <row r="429" spans="2:5" ht="15" customHeight="1">
      <c r="B429" s="77"/>
      <c r="C429" s="62" t="s">
        <v>229</v>
      </c>
      <c r="D429" s="63">
        <v>1</v>
      </c>
      <c r="E429" s="64">
        <v>1.2797542871799999E-4</v>
      </c>
    </row>
    <row r="430" spans="2:5" ht="15" customHeight="1">
      <c r="B430" s="77"/>
      <c r="C430" s="62" t="s">
        <v>231</v>
      </c>
      <c r="D430" s="63">
        <v>1</v>
      </c>
      <c r="E430" s="64">
        <v>1.2797542871799999E-4</v>
      </c>
    </row>
    <row r="431" spans="2:5" ht="15" customHeight="1">
      <c r="B431" s="77"/>
      <c r="C431" s="62" t="s">
        <v>232</v>
      </c>
      <c r="D431" s="63">
        <v>14</v>
      </c>
      <c r="E431" s="64">
        <v>1.791656002048E-3</v>
      </c>
    </row>
    <row r="432" spans="2:5" ht="15" customHeight="1">
      <c r="B432" s="78"/>
      <c r="C432" s="36" t="s">
        <v>29</v>
      </c>
      <c r="D432" s="35">
        <v>238</v>
      </c>
      <c r="E432" s="34">
        <v>3.0458152034809002E-2</v>
      </c>
    </row>
    <row r="433" spans="2:5" ht="15" customHeight="1">
      <c r="B433" s="76" t="s">
        <v>67</v>
      </c>
      <c r="C433" s="62" t="s">
        <v>211</v>
      </c>
      <c r="D433" s="63">
        <v>2</v>
      </c>
      <c r="E433" s="64">
        <v>2.5595085743500002E-4</v>
      </c>
    </row>
    <row r="434" spans="2:5" ht="15" customHeight="1">
      <c r="B434" s="77"/>
      <c r="C434" s="62" t="s">
        <v>214</v>
      </c>
      <c r="D434" s="63">
        <v>4</v>
      </c>
      <c r="E434" s="64">
        <v>5.1190171487100001E-4</v>
      </c>
    </row>
    <row r="435" spans="2:5" ht="15" customHeight="1">
      <c r="B435" s="77"/>
      <c r="C435" s="62" t="s">
        <v>215</v>
      </c>
      <c r="D435" s="63">
        <v>2</v>
      </c>
      <c r="E435" s="64">
        <v>2.5595085743500002E-4</v>
      </c>
    </row>
    <row r="436" spans="2:5" ht="15" customHeight="1">
      <c r="B436" s="77"/>
      <c r="C436" s="62" t="s">
        <v>216</v>
      </c>
      <c r="D436" s="63">
        <v>1</v>
      </c>
      <c r="E436" s="64">
        <v>1.2797542871799999E-4</v>
      </c>
    </row>
    <row r="437" spans="2:5" ht="15" customHeight="1">
      <c r="B437" s="77"/>
      <c r="C437" s="62" t="s">
        <v>217</v>
      </c>
      <c r="D437" s="63">
        <v>3</v>
      </c>
      <c r="E437" s="64">
        <v>3.8392628615299999E-4</v>
      </c>
    </row>
    <row r="438" spans="2:5" ht="15" customHeight="1">
      <c r="B438" s="77"/>
      <c r="C438" s="62" t="s">
        <v>218</v>
      </c>
      <c r="D438" s="63">
        <v>8</v>
      </c>
      <c r="E438" s="64">
        <v>1.0238034297409999E-3</v>
      </c>
    </row>
    <row r="439" spans="2:5" ht="15" customHeight="1">
      <c r="B439" s="77"/>
      <c r="C439" s="62" t="s">
        <v>219</v>
      </c>
      <c r="D439" s="63">
        <v>6</v>
      </c>
      <c r="E439" s="64">
        <v>7.6785257230599997E-4</v>
      </c>
    </row>
    <row r="440" spans="2:5" ht="15" customHeight="1">
      <c r="B440" s="77"/>
      <c r="C440" s="62" t="s">
        <v>220</v>
      </c>
      <c r="D440" s="63">
        <v>2</v>
      </c>
      <c r="E440" s="64">
        <v>2.5595085743500002E-4</v>
      </c>
    </row>
    <row r="441" spans="2:5" ht="15" customHeight="1">
      <c r="B441" s="77"/>
      <c r="C441" s="62" t="s">
        <v>221</v>
      </c>
      <c r="D441" s="63">
        <v>2</v>
      </c>
      <c r="E441" s="64">
        <v>2.5595085743500002E-4</v>
      </c>
    </row>
    <row r="442" spans="2:5" ht="15" customHeight="1">
      <c r="B442" s="77"/>
      <c r="C442" s="62" t="s">
        <v>222</v>
      </c>
      <c r="D442" s="63">
        <v>3</v>
      </c>
      <c r="E442" s="64">
        <v>3.8392628615299999E-4</v>
      </c>
    </row>
    <row r="443" spans="2:5" ht="15" customHeight="1">
      <c r="B443" s="77"/>
      <c r="C443" s="62" t="s">
        <v>223</v>
      </c>
      <c r="D443" s="63">
        <v>27</v>
      </c>
      <c r="E443" s="64">
        <v>3.4553365753779998E-3</v>
      </c>
    </row>
    <row r="444" spans="2:5" ht="15" customHeight="1">
      <c r="B444" s="77"/>
      <c r="C444" s="62" t="s">
        <v>224</v>
      </c>
      <c r="D444" s="63">
        <v>3</v>
      </c>
      <c r="E444" s="64">
        <v>3.8392628615299999E-4</v>
      </c>
    </row>
    <row r="445" spans="2:5" ht="15" customHeight="1">
      <c r="B445" s="77"/>
      <c r="C445" s="62" t="s">
        <v>225</v>
      </c>
      <c r="D445" s="63">
        <v>12</v>
      </c>
      <c r="E445" s="64">
        <v>1.5357051446119999E-3</v>
      </c>
    </row>
    <row r="446" spans="2:5" ht="15" customHeight="1">
      <c r="B446" s="77"/>
      <c r="C446" s="62" t="s">
        <v>226</v>
      </c>
      <c r="D446" s="63">
        <v>25</v>
      </c>
      <c r="E446" s="64">
        <v>3.199385717942E-3</v>
      </c>
    </row>
    <row r="447" spans="2:5" ht="15" customHeight="1">
      <c r="B447" s="77"/>
      <c r="C447" s="62" t="s">
        <v>227</v>
      </c>
      <c r="D447" s="63">
        <v>1</v>
      </c>
      <c r="E447" s="64">
        <v>1.2797542871799999E-4</v>
      </c>
    </row>
    <row r="448" spans="2:5" ht="15" customHeight="1">
      <c r="B448" s="77"/>
      <c r="C448" s="62" t="s">
        <v>228</v>
      </c>
      <c r="D448" s="63">
        <v>1</v>
      </c>
      <c r="E448" s="64">
        <v>1.2797542871799999E-4</v>
      </c>
    </row>
    <row r="449" spans="2:5" ht="15" customHeight="1">
      <c r="B449" s="77"/>
      <c r="C449" s="62" t="s">
        <v>231</v>
      </c>
      <c r="D449" s="63">
        <v>1</v>
      </c>
      <c r="E449" s="64">
        <v>1.2797542871799999E-4</v>
      </c>
    </row>
    <row r="450" spans="2:5" ht="15" customHeight="1">
      <c r="B450" s="77"/>
      <c r="C450" s="62" t="s">
        <v>232</v>
      </c>
      <c r="D450" s="63">
        <v>2</v>
      </c>
      <c r="E450" s="64">
        <v>2.5595085743500002E-4</v>
      </c>
    </row>
    <row r="451" spans="2:5" ht="15" customHeight="1">
      <c r="B451" s="78"/>
      <c r="C451" s="36" t="s">
        <v>29</v>
      </c>
      <c r="D451" s="35">
        <v>105</v>
      </c>
      <c r="E451" s="34">
        <v>1.3437420015357001E-2</v>
      </c>
    </row>
    <row r="452" spans="2:5" ht="15" customHeight="1">
      <c r="B452" s="76" t="s">
        <v>100</v>
      </c>
      <c r="C452" s="62" t="s">
        <v>215</v>
      </c>
      <c r="D452" s="63">
        <v>1</v>
      </c>
      <c r="E452" s="64">
        <v>1.2797542871799999E-4</v>
      </c>
    </row>
    <row r="453" spans="2:5" ht="15" customHeight="1">
      <c r="B453" s="78"/>
      <c r="C453" s="36" t="s">
        <v>29</v>
      </c>
      <c r="D453" s="35">
        <v>1</v>
      </c>
      <c r="E453" s="34">
        <v>1.2797542871799999E-4</v>
      </c>
    </row>
    <row r="454" spans="2:5" ht="15" customHeight="1">
      <c r="B454" s="76" t="s">
        <v>61</v>
      </c>
      <c r="C454" s="62" t="s">
        <v>215</v>
      </c>
      <c r="D454" s="63">
        <v>5</v>
      </c>
      <c r="E454" s="64">
        <v>6.3987714358799996E-4</v>
      </c>
    </row>
    <row r="455" spans="2:5" ht="15" customHeight="1">
      <c r="B455" s="77"/>
      <c r="C455" s="62" t="s">
        <v>217</v>
      </c>
      <c r="D455" s="63">
        <v>1</v>
      </c>
      <c r="E455" s="64">
        <v>1.2797542871799999E-4</v>
      </c>
    </row>
    <row r="456" spans="2:5" ht="15" customHeight="1">
      <c r="B456" s="77"/>
      <c r="C456" s="62" t="s">
        <v>218</v>
      </c>
      <c r="D456" s="63">
        <v>5</v>
      </c>
      <c r="E456" s="64">
        <v>6.3987714358799996E-4</v>
      </c>
    </row>
    <row r="457" spans="2:5" ht="15" customHeight="1">
      <c r="B457" s="77"/>
      <c r="C457" s="62" t="s">
        <v>219</v>
      </c>
      <c r="D457" s="63">
        <v>32</v>
      </c>
      <c r="E457" s="64">
        <v>4.0952137189659999E-3</v>
      </c>
    </row>
    <row r="458" spans="2:5" ht="15" customHeight="1">
      <c r="B458" s="77"/>
      <c r="C458" s="62" t="s">
        <v>220</v>
      </c>
      <c r="D458" s="63">
        <v>1</v>
      </c>
      <c r="E458" s="64">
        <v>1.2797542871799999E-4</v>
      </c>
    </row>
    <row r="459" spans="2:5" ht="15" customHeight="1">
      <c r="B459" s="77"/>
      <c r="C459" s="62" t="s">
        <v>221</v>
      </c>
      <c r="D459" s="63">
        <v>10</v>
      </c>
      <c r="E459" s="64">
        <v>1.279754287177E-3</v>
      </c>
    </row>
    <row r="460" spans="2:5" ht="15" customHeight="1">
      <c r="B460" s="77"/>
      <c r="C460" s="62" t="s">
        <v>222</v>
      </c>
      <c r="D460" s="63">
        <v>6</v>
      </c>
      <c r="E460" s="64">
        <v>7.6785257230599997E-4</v>
      </c>
    </row>
    <row r="461" spans="2:5" ht="15" customHeight="1">
      <c r="B461" s="77"/>
      <c r="C461" s="62" t="s">
        <v>223</v>
      </c>
      <c r="D461" s="63">
        <v>82</v>
      </c>
      <c r="E461" s="64">
        <v>1.049398515485E-2</v>
      </c>
    </row>
    <row r="462" spans="2:5" ht="15" customHeight="1">
      <c r="B462" s="77"/>
      <c r="C462" s="62" t="s">
        <v>224</v>
      </c>
      <c r="D462" s="63">
        <v>2</v>
      </c>
      <c r="E462" s="64">
        <v>2.5595085743500002E-4</v>
      </c>
    </row>
    <row r="463" spans="2:5" ht="15" customHeight="1">
      <c r="B463" s="77"/>
      <c r="C463" s="62" t="s">
        <v>225</v>
      </c>
      <c r="D463" s="63">
        <v>10</v>
      </c>
      <c r="E463" s="64">
        <v>1.279754287177E-3</v>
      </c>
    </row>
    <row r="464" spans="2:5" ht="15" customHeight="1">
      <c r="B464" s="77"/>
      <c r="C464" s="62" t="s">
        <v>226</v>
      </c>
      <c r="D464" s="63">
        <v>33</v>
      </c>
      <c r="E464" s="64">
        <v>4.223189147684E-3</v>
      </c>
    </row>
    <row r="465" spans="2:5" ht="15" customHeight="1">
      <c r="B465" s="77"/>
      <c r="C465" s="62" t="s">
        <v>227</v>
      </c>
      <c r="D465" s="63">
        <v>1</v>
      </c>
      <c r="E465" s="64">
        <v>1.2797542871799999E-4</v>
      </c>
    </row>
    <row r="466" spans="2:5" ht="15" customHeight="1">
      <c r="B466" s="77"/>
      <c r="C466" s="62" t="s">
        <v>228</v>
      </c>
      <c r="D466" s="63">
        <v>1</v>
      </c>
      <c r="E466" s="64">
        <v>1.2797542871799999E-4</v>
      </c>
    </row>
    <row r="467" spans="2:5" ht="15" customHeight="1">
      <c r="B467" s="77"/>
      <c r="C467" s="62" t="s">
        <v>231</v>
      </c>
      <c r="D467" s="63">
        <v>2</v>
      </c>
      <c r="E467" s="64">
        <v>2.5595085743500002E-4</v>
      </c>
    </row>
    <row r="468" spans="2:5" ht="15" customHeight="1">
      <c r="B468" s="77"/>
      <c r="C468" s="62" t="s">
        <v>232</v>
      </c>
      <c r="D468" s="63">
        <v>6</v>
      </c>
      <c r="E468" s="64">
        <v>7.6785257230599997E-4</v>
      </c>
    </row>
    <row r="469" spans="2:5" ht="15" customHeight="1">
      <c r="B469" s="78"/>
      <c r="C469" s="36" t="s">
        <v>29</v>
      </c>
      <c r="D469" s="35">
        <v>197</v>
      </c>
      <c r="E469" s="34">
        <v>2.5211159457383999E-2</v>
      </c>
    </row>
    <row r="470" spans="2:5" ht="15" customHeight="1">
      <c r="B470" s="76" t="s">
        <v>54</v>
      </c>
      <c r="C470" s="62" t="s">
        <v>211</v>
      </c>
      <c r="D470" s="63">
        <v>3</v>
      </c>
      <c r="E470" s="64">
        <v>3.8392628615299999E-4</v>
      </c>
    </row>
    <row r="471" spans="2:5" ht="15" customHeight="1">
      <c r="B471" s="77"/>
      <c r="C471" s="62" t="s">
        <v>213</v>
      </c>
      <c r="D471" s="63">
        <v>2</v>
      </c>
      <c r="E471" s="64">
        <v>2.5595085743500002E-4</v>
      </c>
    </row>
    <row r="472" spans="2:5" ht="15" customHeight="1">
      <c r="B472" s="77"/>
      <c r="C472" s="62" t="s">
        <v>214</v>
      </c>
      <c r="D472" s="63">
        <v>1</v>
      </c>
      <c r="E472" s="64">
        <v>1.2797542871799999E-4</v>
      </c>
    </row>
    <row r="473" spans="2:5" ht="15" customHeight="1">
      <c r="B473" s="77"/>
      <c r="C473" s="62" t="s">
        <v>215</v>
      </c>
      <c r="D473" s="63">
        <v>8</v>
      </c>
      <c r="E473" s="64">
        <v>1.0238034297409999E-3</v>
      </c>
    </row>
    <row r="474" spans="2:5" ht="15" customHeight="1">
      <c r="B474" s="77"/>
      <c r="C474" s="62" t="s">
        <v>217</v>
      </c>
      <c r="D474" s="63">
        <v>6</v>
      </c>
      <c r="E474" s="64">
        <v>7.6785257230599997E-4</v>
      </c>
    </row>
    <row r="475" spans="2:5" ht="15" customHeight="1">
      <c r="B475" s="77"/>
      <c r="C475" s="62" t="s">
        <v>218</v>
      </c>
      <c r="D475" s="63">
        <v>19</v>
      </c>
      <c r="E475" s="64">
        <v>2.4315331456359998E-3</v>
      </c>
    </row>
    <row r="476" spans="2:5" ht="15" customHeight="1">
      <c r="B476" s="77"/>
      <c r="C476" s="62" t="s">
        <v>219</v>
      </c>
      <c r="D476" s="63">
        <v>65</v>
      </c>
      <c r="E476" s="64">
        <v>8.3184028666500008E-3</v>
      </c>
    </row>
    <row r="477" spans="2:5" ht="15" customHeight="1">
      <c r="B477" s="77"/>
      <c r="C477" s="62" t="s">
        <v>220</v>
      </c>
      <c r="D477" s="63">
        <v>5</v>
      </c>
      <c r="E477" s="64">
        <v>6.3987714358799996E-4</v>
      </c>
    </row>
    <row r="478" spans="2:5" ht="15" customHeight="1">
      <c r="B478" s="77"/>
      <c r="C478" s="62" t="s">
        <v>221</v>
      </c>
      <c r="D478" s="63">
        <v>6</v>
      </c>
      <c r="E478" s="64">
        <v>7.6785257230599997E-4</v>
      </c>
    </row>
    <row r="479" spans="2:5" ht="15" customHeight="1">
      <c r="B479" s="77"/>
      <c r="C479" s="62" t="s">
        <v>222</v>
      </c>
      <c r="D479" s="63">
        <v>22</v>
      </c>
      <c r="E479" s="64">
        <v>2.8154594317890001E-3</v>
      </c>
    </row>
    <row r="480" spans="2:5" ht="15" customHeight="1">
      <c r="B480" s="77"/>
      <c r="C480" s="62" t="s">
        <v>223</v>
      </c>
      <c r="D480" s="63">
        <v>127</v>
      </c>
      <c r="E480" s="64">
        <v>1.6252879447145999E-2</v>
      </c>
    </row>
    <row r="481" spans="2:5" ht="15" customHeight="1">
      <c r="B481" s="77"/>
      <c r="C481" s="62" t="s">
        <v>224</v>
      </c>
      <c r="D481" s="63">
        <v>12</v>
      </c>
      <c r="E481" s="64">
        <v>1.5357051446119999E-3</v>
      </c>
    </row>
    <row r="482" spans="2:5" ht="15" customHeight="1">
      <c r="B482" s="77"/>
      <c r="C482" s="62" t="s">
        <v>225</v>
      </c>
      <c r="D482" s="63">
        <v>18</v>
      </c>
      <c r="E482" s="64">
        <v>2.3035577169180001E-3</v>
      </c>
    </row>
    <row r="483" spans="2:5" ht="15" customHeight="1">
      <c r="B483" s="77"/>
      <c r="C483" s="62" t="s">
        <v>226</v>
      </c>
      <c r="D483" s="63">
        <v>77</v>
      </c>
      <c r="E483" s="64">
        <v>9.8541080112620003E-3</v>
      </c>
    </row>
    <row r="484" spans="2:5" ht="15" customHeight="1">
      <c r="B484" s="77"/>
      <c r="C484" s="62" t="s">
        <v>227</v>
      </c>
      <c r="D484" s="63">
        <v>1</v>
      </c>
      <c r="E484" s="64">
        <v>1.2797542871799999E-4</v>
      </c>
    </row>
    <row r="485" spans="2:5" ht="15" customHeight="1">
      <c r="B485" s="77"/>
      <c r="C485" s="62" t="s">
        <v>228</v>
      </c>
      <c r="D485" s="63">
        <v>1</v>
      </c>
      <c r="E485" s="64">
        <v>1.2797542871799999E-4</v>
      </c>
    </row>
    <row r="486" spans="2:5" ht="15" customHeight="1">
      <c r="B486" s="77"/>
      <c r="C486" s="62" t="s">
        <v>229</v>
      </c>
      <c r="D486" s="63">
        <v>2</v>
      </c>
      <c r="E486" s="64">
        <v>2.5595085743500002E-4</v>
      </c>
    </row>
    <row r="487" spans="2:5" ht="15" customHeight="1">
      <c r="B487" s="77"/>
      <c r="C487" s="62" t="s">
        <v>230</v>
      </c>
      <c r="D487" s="63">
        <v>1</v>
      </c>
      <c r="E487" s="64">
        <v>1.2797542871799999E-4</v>
      </c>
    </row>
    <row r="488" spans="2:5" ht="15" customHeight="1">
      <c r="B488" s="77"/>
      <c r="C488" s="62" t="s">
        <v>231</v>
      </c>
      <c r="D488" s="63">
        <v>4</v>
      </c>
      <c r="E488" s="64">
        <v>5.1190171487100001E-4</v>
      </c>
    </row>
    <row r="489" spans="2:5" ht="15" customHeight="1">
      <c r="B489" s="77"/>
      <c r="C489" s="62" t="s">
        <v>232</v>
      </c>
      <c r="D489" s="63">
        <v>12</v>
      </c>
      <c r="E489" s="64">
        <v>1.5357051446119999E-3</v>
      </c>
    </row>
    <row r="490" spans="2:5" ht="15" customHeight="1">
      <c r="B490" s="78"/>
      <c r="C490" s="36" t="s">
        <v>29</v>
      </c>
      <c r="D490" s="35">
        <v>392</v>
      </c>
      <c r="E490" s="34">
        <v>5.0166368057333002E-2</v>
      </c>
    </row>
    <row r="491" spans="2:5" ht="15" customHeight="1">
      <c r="B491" s="76" t="s">
        <v>62</v>
      </c>
      <c r="C491" s="62" t="s">
        <v>215</v>
      </c>
      <c r="D491" s="63">
        <v>1</v>
      </c>
      <c r="E491" s="64">
        <v>1.2797542871799999E-4</v>
      </c>
    </row>
    <row r="492" spans="2:5" ht="15" customHeight="1">
      <c r="B492" s="77"/>
      <c r="C492" s="62" t="s">
        <v>216</v>
      </c>
      <c r="D492" s="63">
        <v>2</v>
      </c>
      <c r="E492" s="64">
        <v>2.5595085743500002E-4</v>
      </c>
    </row>
    <row r="493" spans="2:5" ht="15" customHeight="1">
      <c r="B493" s="77"/>
      <c r="C493" s="62" t="s">
        <v>217</v>
      </c>
      <c r="D493" s="63">
        <v>1</v>
      </c>
      <c r="E493" s="64">
        <v>1.2797542871799999E-4</v>
      </c>
    </row>
    <row r="494" spans="2:5" ht="15" customHeight="1">
      <c r="B494" s="77"/>
      <c r="C494" s="62" t="s">
        <v>218</v>
      </c>
      <c r="D494" s="63">
        <v>2</v>
      </c>
      <c r="E494" s="64">
        <v>2.5595085743500002E-4</v>
      </c>
    </row>
    <row r="495" spans="2:5" ht="15" customHeight="1">
      <c r="B495" s="77"/>
      <c r="C495" s="62" t="s">
        <v>219</v>
      </c>
      <c r="D495" s="63">
        <v>23</v>
      </c>
      <c r="E495" s="64">
        <v>2.9434348605069998E-3</v>
      </c>
    </row>
    <row r="496" spans="2:5" ht="15" customHeight="1">
      <c r="B496" s="77"/>
      <c r="C496" s="62" t="s">
        <v>221</v>
      </c>
      <c r="D496" s="63">
        <v>2</v>
      </c>
      <c r="E496" s="64">
        <v>2.5595085743500002E-4</v>
      </c>
    </row>
    <row r="497" spans="2:5" ht="15" customHeight="1">
      <c r="B497" s="77"/>
      <c r="C497" s="62" t="s">
        <v>222</v>
      </c>
      <c r="D497" s="63">
        <v>4</v>
      </c>
      <c r="E497" s="64">
        <v>5.1190171487100001E-4</v>
      </c>
    </row>
    <row r="498" spans="2:5" ht="15" customHeight="1">
      <c r="B498" s="77"/>
      <c r="C498" s="62" t="s">
        <v>223</v>
      </c>
      <c r="D498" s="63">
        <v>47</v>
      </c>
      <c r="E498" s="64">
        <v>6.0148451497309997E-3</v>
      </c>
    </row>
    <row r="499" spans="2:5" ht="15" customHeight="1">
      <c r="B499" s="77"/>
      <c r="C499" s="62" t="s">
        <v>224</v>
      </c>
      <c r="D499" s="63">
        <v>3</v>
      </c>
      <c r="E499" s="64">
        <v>3.8392628615299999E-4</v>
      </c>
    </row>
    <row r="500" spans="2:5" ht="15" customHeight="1">
      <c r="B500" s="77"/>
      <c r="C500" s="62" t="s">
        <v>225</v>
      </c>
      <c r="D500" s="63">
        <v>10</v>
      </c>
      <c r="E500" s="64">
        <v>1.279754287177E-3</v>
      </c>
    </row>
    <row r="501" spans="2:5" ht="15" customHeight="1">
      <c r="B501" s="77"/>
      <c r="C501" s="62" t="s">
        <v>226</v>
      </c>
      <c r="D501" s="63">
        <v>57</v>
      </c>
      <c r="E501" s="64">
        <v>7.2945994369079999E-3</v>
      </c>
    </row>
    <row r="502" spans="2:5" ht="15" customHeight="1">
      <c r="B502" s="77"/>
      <c r="C502" s="62" t="s">
        <v>227</v>
      </c>
      <c r="D502" s="63">
        <v>1</v>
      </c>
      <c r="E502" s="64">
        <v>1.2797542871799999E-4</v>
      </c>
    </row>
    <row r="503" spans="2:5" ht="15" customHeight="1">
      <c r="B503" s="77"/>
      <c r="C503" s="62" t="s">
        <v>231</v>
      </c>
      <c r="D503" s="63">
        <v>6</v>
      </c>
      <c r="E503" s="64">
        <v>7.6785257230599997E-4</v>
      </c>
    </row>
    <row r="504" spans="2:5" ht="15" customHeight="1">
      <c r="B504" s="77"/>
      <c r="C504" s="62" t="s">
        <v>232</v>
      </c>
      <c r="D504" s="63">
        <v>16</v>
      </c>
      <c r="E504" s="64">
        <v>2.047606859483E-3</v>
      </c>
    </row>
    <row r="505" spans="2:5" ht="15" customHeight="1">
      <c r="B505" s="77"/>
      <c r="C505" s="62" t="s">
        <v>233</v>
      </c>
      <c r="D505" s="63">
        <v>1</v>
      </c>
      <c r="E505" s="64">
        <v>1.2797542871799999E-4</v>
      </c>
    </row>
    <row r="506" spans="2:5" ht="15" customHeight="1">
      <c r="B506" s="78"/>
      <c r="C506" s="36" t="s">
        <v>29</v>
      </c>
      <c r="D506" s="35">
        <v>176</v>
      </c>
      <c r="E506" s="34">
        <v>2.2523675454313E-2</v>
      </c>
    </row>
    <row r="507" spans="2:5" ht="15" customHeight="1">
      <c r="B507" s="76" t="s">
        <v>68</v>
      </c>
      <c r="C507" s="62" t="s">
        <v>211</v>
      </c>
      <c r="D507" s="63">
        <v>1</v>
      </c>
      <c r="E507" s="64">
        <v>1.2797542871799999E-4</v>
      </c>
    </row>
    <row r="508" spans="2:5" ht="15" customHeight="1">
      <c r="B508" s="77"/>
      <c r="C508" s="62" t="s">
        <v>213</v>
      </c>
      <c r="D508" s="63">
        <v>1</v>
      </c>
      <c r="E508" s="64">
        <v>1.2797542871799999E-4</v>
      </c>
    </row>
    <row r="509" spans="2:5" ht="15" customHeight="1">
      <c r="B509" s="77"/>
      <c r="C509" s="62" t="s">
        <v>215</v>
      </c>
      <c r="D509" s="63">
        <v>2</v>
      </c>
      <c r="E509" s="64">
        <v>2.5595085743500002E-4</v>
      </c>
    </row>
    <row r="510" spans="2:5" ht="15" customHeight="1">
      <c r="B510" s="77"/>
      <c r="C510" s="62" t="s">
        <v>216</v>
      </c>
      <c r="D510" s="63">
        <v>1</v>
      </c>
      <c r="E510" s="64">
        <v>1.2797542871799999E-4</v>
      </c>
    </row>
    <row r="511" spans="2:5" ht="15" customHeight="1">
      <c r="B511" s="77"/>
      <c r="C511" s="62" t="s">
        <v>218</v>
      </c>
      <c r="D511" s="63">
        <v>8</v>
      </c>
      <c r="E511" s="64">
        <v>1.0238034297409999E-3</v>
      </c>
    </row>
    <row r="512" spans="2:5" ht="15" customHeight="1">
      <c r="B512" s="77"/>
      <c r="C512" s="62" t="s">
        <v>219</v>
      </c>
      <c r="D512" s="63">
        <v>14</v>
      </c>
      <c r="E512" s="64">
        <v>1.791656002048E-3</v>
      </c>
    </row>
    <row r="513" spans="2:5" ht="15" customHeight="1">
      <c r="B513" s="77"/>
      <c r="C513" s="62" t="s">
        <v>220</v>
      </c>
      <c r="D513" s="63">
        <v>1</v>
      </c>
      <c r="E513" s="64">
        <v>1.2797542871799999E-4</v>
      </c>
    </row>
    <row r="514" spans="2:5" ht="15" customHeight="1">
      <c r="B514" s="77"/>
      <c r="C514" s="62" t="s">
        <v>221</v>
      </c>
      <c r="D514" s="63">
        <v>2</v>
      </c>
      <c r="E514" s="64">
        <v>2.5595085743500002E-4</v>
      </c>
    </row>
    <row r="515" spans="2:5" ht="15" customHeight="1">
      <c r="B515" s="77"/>
      <c r="C515" s="62" t="s">
        <v>222</v>
      </c>
      <c r="D515" s="63">
        <v>6</v>
      </c>
      <c r="E515" s="64">
        <v>7.6785257230599997E-4</v>
      </c>
    </row>
    <row r="516" spans="2:5" ht="15" customHeight="1">
      <c r="B516" s="77"/>
      <c r="C516" s="62" t="s">
        <v>223</v>
      </c>
      <c r="D516" s="63">
        <v>41</v>
      </c>
      <c r="E516" s="64">
        <v>5.246992577425E-3</v>
      </c>
    </row>
    <row r="517" spans="2:5" ht="15" customHeight="1">
      <c r="B517" s="77"/>
      <c r="C517" s="62" t="s">
        <v>225</v>
      </c>
      <c r="D517" s="63">
        <v>4</v>
      </c>
      <c r="E517" s="64">
        <v>5.1190171487100001E-4</v>
      </c>
    </row>
    <row r="518" spans="2:5" ht="15" customHeight="1">
      <c r="B518" s="77"/>
      <c r="C518" s="62" t="s">
        <v>226</v>
      </c>
      <c r="D518" s="63">
        <v>17</v>
      </c>
      <c r="E518" s="64">
        <v>2.1755822882010001E-3</v>
      </c>
    </row>
    <row r="519" spans="2:5" ht="15" customHeight="1">
      <c r="B519" s="77"/>
      <c r="C519" s="62" t="s">
        <v>230</v>
      </c>
      <c r="D519" s="63">
        <v>1</v>
      </c>
      <c r="E519" s="64">
        <v>1.2797542871799999E-4</v>
      </c>
    </row>
    <row r="520" spans="2:5" ht="15" customHeight="1">
      <c r="B520" s="77"/>
      <c r="C520" s="62" t="s">
        <v>232</v>
      </c>
      <c r="D520" s="63">
        <v>2</v>
      </c>
      <c r="E520" s="64">
        <v>2.5595085743500002E-4</v>
      </c>
    </row>
    <row r="521" spans="2:5" ht="15" customHeight="1">
      <c r="B521" s="78"/>
      <c r="C521" s="36" t="s">
        <v>29</v>
      </c>
      <c r="D521" s="35">
        <v>101</v>
      </c>
      <c r="E521" s="34">
        <v>1.2925518300485999E-2</v>
      </c>
    </row>
    <row r="522" spans="2:5" ht="15" customHeight="1">
      <c r="B522" s="76" t="s">
        <v>89</v>
      </c>
      <c r="C522" s="62" t="s">
        <v>218</v>
      </c>
      <c r="D522" s="63">
        <v>2</v>
      </c>
      <c r="E522" s="64">
        <v>2.5595085743500002E-4</v>
      </c>
    </row>
    <row r="523" spans="2:5" ht="15" customHeight="1">
      <c r="B523" s="77"/>
      <c r="C523" s="62" t="s">
        <v>219</v>
      </c>
      <c r="D523" s="63">
        <v>2</v>
      </c>
      <c r="E523" s="64">
        <v>2.5595085743500002E-4</v>
      </c>
    </row>
    <row r="524" spans="2:5" ht="15" customHeight="1">
      <c r="B524" s="77"/>
      <c r="C524" s="62" t="s">
        <v>223</v>
      </c>
      <c r="D524" s="63">
        <v>5</v>
      </c>
      <c r="E524" s="64">
        <v>6.3987714358799996E-4</v>
      </c>
    </row>
    <row r="525" spans="2:5" ht="15" customHeight="1">
      <c r="B525" s="77"/>
      <c r="C525" s="62" t="s">
        <v>226</v>
      </c>
      <c r="D525" s="63">
        <v>6</v>
      </c>
      <c r="E525" s="64">
        <v>7.6785257230599997E-4</v>
      </c>
    </row>
    <row r="526" spans="2:5" ht="15" customHeight="1">
      <c r="B526" s="77"/>
      <c r="C526" s="62" t="s">
        <v>231</v>
      </c>
      <c r="D526" s="63">
        <v>1</v>
      </c>
      <c r="E526" s="64">
        <v>1.2797542871799999E-4</v>
      </c>
    </row>
    <row r="527" spans="2:5" ht="15" customHeight="1">
      <c r="B527" s="77"/>
      <c r="C527" s="62" t="s">
        <v>232</v>
      </c>
      <c r="D527" s="63">
        <v>1</v>
      </c>
      <c r="E527" s="64">
        <v>1.2797542871799999E-4</v>
      </c>
    </row>
    <row r="528" spans="2:5" ht="15" customHeight="1">
      <c r="B528" s="78"/>
      <c r="C528" s="36" t="s">
        <v>29</v>
      </c>
      <c r="D528" s="35">
        <v>17</v>
      </c>
      <c r="E528" s="34">
        <v>2.1755822882010001E-3</v>
      </c>
    </row>
    <row r="529" spans="2:5" ht="15" customHeight="1">
      <c r="B529" s="76" t="s">
        <v>52</v>
      </c>
      <c r="C529" s="62" t="s">
        <v>211</v>
      </c>
      <c r="D529" s="63">
        <v>8</v>
      </c>
      <c r="E529" s="64">
        <v>1.0238034297409999E-3</v>
      </c>
    </row>
    <row r="530" spans="2:5" ht="15" customHeight="1">
      <c r="B530" s="77"/>
      <c r="C530" s="62" t="s">
        <v>213</v>
      </c>
      <c r="D530" s="63">
        <v>1</v>
      </c>
      <c r="E530" s="64">
        <v>1.2797542871799999E-4</v>
      </c>
    </row>
    <row r="531" spans="2:5" ht="15" customHeight="1">
      <c r="B531" s="77"/>
      <c r="C531" s="62" t="s">
        <v>214</v>
      </c>
      <c r="D531" s="63">
        <v>1</v>
      </c>
      <c r="E531" s="64">
        <v>1.2797542871799999E-4</v>
      </c>
    </row>
    <row r="532" spans="2:5" ht="15" customHeight="1">
      <c r="B532" s="77"/>
      <c r="C532" s="62" t="s">
        <v>215</v>
      </c>
      <c r="D532" s="63">
        <v>3</v>
      </c>
      <c r="E532" s="64">
        <v>3.8392628615299999E-4</v>
      </c>
    </row>
    <row r="533" spans="2:5" ht="15" customHeight="1">
      <c r="B533" s="77"/>
      <c r="C533" s="62" t="s">
        <v>216</v>
      </c>
      <c r="D533" s="63">
        <v>3</v>
      </c>
      <c r="E533" s="64">
        <v>3.8392628615299999E-4</v>
      </c>
    </row>
    <row r="534" spans="2:5" ht="15" customHeight="1">
      <c r="B534" s="77"/>
      <c r="C534" s="62" t="s">
        <v>217</v>
      </c>
      <c r="D534" s="63">
        <v>9</v>
      </c>
      <c r="E534" s="64">
        <v>1.1517788584590001E-3</v>
      </c>
    </row>
    <row r="535" spans="2:5" ht="15" customHeight="1">
      <c r="B535" s="77"/>
      <c r="C535" s="62" t="s">
        <v>218</v>
      </c>
      <c r="D535" s="63">
        <v>54</v>
      </c>
      <c r="E535" s="64">
        <v>6.9106731507549996E-3</v>
      </c>
    </row>
    <row r="536" spans="2:5" ht="15" customHeight="1">
      <c r="B536" s="77"/>
      <c r="C536" s="62" t="s">
        <v>219</v>
      </c>
      <c r="D536" s="63">
        <v>63</v>
      </c>
      <c r="E536" s="64">
        <v>8.0624520092140006E-3</v>
      </c>
    </row>
    <row r="537" spans="2:5" ht="15" customHeight="1">
      <c r="B537" s="77"/>
      <c r="C537" s="62" t="s">
        <v>220</v>
      </c>
      <c r="D537" s="63">
        <v>11</v>
      </c>
      <c r="E537" s="64">
        <v>1.4077297158950001E-3</v>
      </c>
    </row>
    <row r="538" spans="2:5" ht="15" customHeight="1">
      <c r="B538" s="77"/>
      <c r="C538" s="62" t="s">
        <v>221</v>
      </c>
      <c r="D538" s="63">
        <v>22</v>
      </c>
      <c r="E538" s="64">
        <v>2.8154594317890001E-3</v>
      </c>
    </row>
    <row r="539" spans="2:5" ht="15" customHeight="1">
      <c r="B539" s="77"/>
      <c r="C539" s="62" t="s">
        <v>222</v>
      </c>
      <c r="D539" s="63">
        <v>45</v>
      </c>
      <c r="E539" s="64">
        <v>5.7588942922960004E-3</v>
      </c>
    </row>
    <row r="540" spans="2:5" ht="15" customHeight="1">
      <c r="B540" s="77"/>
      <c r="C540" s="62" t="s">
        <v>223</v>
      </c>
      <c r="D540" s="63">
        <v>146</v>
      </c>
      <c r="E540" s="64">
        <v>1.8684412592782002E-2</v>
      </c>
    </row>
    <row r="541" spans="2:5" ht="15" customHeight="1">
      <c r="B541" s="77"/>
      <c r="C541" s="62" t="s">
        <v>224</v>
      </c>
      <c r="D541" s="63">
        <v>17</v>
      </c>
      <c r="E541" s="64">
        <v>2.1755822882010001E-3</v>
      </c>
    </row>
    <row r="542" spans="2:5" ht="15" customHeight="1">
      <c r="B542" s="77"/>
      <c r="C542" s="62" t="s">
        <v>225</v>
      </c>
      <c r="D542" s="63">
        <v>45</v>
      </c>
      <c r="E542" s="64">
        <v>5.7588942922960004E-3</v>
      </c>
    </row>
    <row r="543" spans="2:5" ht="15" customHeight="1">
      <c r="B543" s="77"/>
      <c r="C543" s="62" t="s">
        <v>226</v>
      </c>
      <c r="D543" s="63">
        <v>103</v>
      </c>
      <c r="E543" s="64">
        <v>1.3181469157922E-2</v>
      </c>
    </row>
    <row r="544" spans="2:5" ht="15" customHeight="1">
      <c r="B544" s="77"/>
      <c r="C544" s="62" t="s">
        <v>227</v>
      </c>
      <c r="D544" s="63">
        <v>3</v>
      </c>
      <c r="E544" s="64">
        <v>3.8392628615299999E-4</v>
      </c>
    </row>
    <row r="545" spans="2:5" ht="15" customHeight="1">
      <c r="B545" s="77"/>
      <c r="C545" s="62" t="s">
        <v>229</v>
      </c>
      <c r="D545" s="63">
        <v>3</v>
      </c>
      <c r="E545" s="64">
        <v>3.8392628615299999E-4</v>
      </c>
    </row>
    <row r="546" spans="2:5" ht="15" customHeight="1">
      <c r="B546" s="77"/>
      <c r="C546" s="62" t="s">
        <v>230</v>
      </c>
      <c r="D546" s="63">
        <v>3</v>
      </c>
      <c r="E546" s="64">
        <v>3.8392628615299999E-4</v>
      </c>
    </row>
    <row r="547" spans="2:5" ht="15" customHeight="1">
      <c r="B547" s="77"/>
      <c r="C547" s="62" t="s">
        <v>231</v>
      </c>
      <c r="D547" s="63">
        <v>10</v>
      </c>
      <c r="E547" s="64">
        <v>1.279754287177E-3</v>
      </c>
    </row>
    <row r="548" spans="2:5" ht="15" customHeight="1">
      <c r="B548" s="77"/>
      <c r="C548" s="62" t="s">
        <v>232</v>
      </c>
      <c r="D548" s="63">
        <v>20</v>
      </c>
      <c r="E548" s="64">
        <v>2.559508574354E-3</v>
      </c>
    </row>
    <row r="549" spans="2:5" ht="15" customHeight="1">
      <c r="B549" s="78"/>
      <c r="C549" s="36" t="s">
        <v>29</v>
      </c>
      <c r="D549" s="35">
        <v>570</v>
      </c>
      <c r="E549" s="34">
        <v>7.2945994369081002E-2</v>
      </c>
    </row>
    <row r="550" spans="2:5" ht="15" customHeight="1">
      <c r="B550" s="76" t="s">
        <v>57</v>
      </c>
      <c r="C550" s="62" t="s">
        <v>211</v>
      </c>
      <c r="D550" s="63">
        <v>3</v>
      </c>
      <c r="E550" s="64">
        <v>3.8392628615299999E-4</v>
      </c>
    </row>
    <row r="551" spans="2:5" ht="15" customHeight="1">
      <c r="B551" s="77"/>
      <c r="C551" s="62" t="s">
        <v>213</v>
      </c>
      <c r="D551" s="63">
        <v>1</v>
      </c>
      <c r="E551" s="64">
        <v>1.2797542871799999E-4</v>
      </c>
    </row>
    <row r="552" spans="2:5" ht="15" customHeight="1">
      <c r="B552" s="77"/>
      <c r="C552" s="62" t="s">
        <v>214</v>
      </c>
      <c r="D552" s="63">
        <v>5</v>
      </c>
      <c r="E552" s="64">
        <v>6.3987714358799996E-4</v>
      </c>
    </row>
    <row r="553" spans="2:5" ht="15" customHeight="1">
      <c r="B553" s="77"/>
      <c r="C553" s="62" t="s">
        <v>215</v>
      </c>
      <c r="D553" s="63">
        <v>8</v>
      </c>
      <c r="E553" s="64">
        <v>1.0238034297409999E-3</v>
      </c>
    </row>
    <row r="554" spans="2:5" ht="15" customHeight="1">
      <c r="B554" s="77"/>
      <c r="C554" s="62" t="s">
        <v>216</v>
      </c>
      <c r="D554" s="63">
        <v>2</v>
      </c>
      <c r="E554" s="64">
        <v>2.5595085743500002E-4</v>
      </c>
    </row>
    <row r="555" spans="2:5" ht="15" customHeight="1">
      <c r="B555" s="77"/>
      <c r="C555" s="62" t="s">
        <v>217</v>
      </c>
      <c r="D555" s="63">
        <v>3</v>
      </c>
      <c r="E555" s="64">
        <v>3.8392628615299999E-4</v>
      </c>
    </row>
    <row r="556" spans="2:5" ht="15" customHeight="1">
      <c r="B556" s="77"/>
      <c r="C556" s="62" t="s">
        <v>218</v>
      </c>
      <c r="D556" s="63">
        <v>8</v>
      </c>
      <c r="E556" s="64">
        <v>1.0238034297409999E-3</v>
      </c>
    </row>
    <row r="557" spans="2:5" ht="15" customHeight="1">
      <c r="B557" s="77"/>
      <c r="C557" s="62" t="s">
        <v>219</v>
      </c>
      <c r="D557" s="63">
        <v>42</v>
      </c>
      <c r="E557" s="64">
        <v>5.3749680061430001E-3</v>
      </c>
    </row>
    <row r="558" spans="2:5" ht="15" customHeight="1">
      <c r="B558" s="77"/>
      <c r="C558" s="62" t="s">
        <v>220</v>
      </c>
      <c r="D558" s="63">
        <v>4</v>
      </c>
      <c r="E558" s="64">
        <v>5.1190171487100001E-4</v>
      </c>
    </row>
    <row r="559" spans="2:5" ht="15" customHeight="1">
      <c r="B559" s="77"/>
      <c r="C559" s="62" t="s">
        <v>221</v>
      </c>
      <c r="D559" s="63">
        <v>2</v>
      </c>
      <c r="E559" s="64">
        <v>2.5595085743500002E-4</v>
      </c>
    </row>
    <row r="560" spans="2:5" ht="15" customHeight="1">
      <c r="B560" s="77"/>
      <c r="C560" s="62" t="s">
        <v>222</v>
      </c>
      <c r="D560" s="63">
        <v>6</v>
      </c>
      <c r="E560" s="64">
        <v>7.6785257230599997E-4</v>
      </c>
    </row>
    <row r="561" spans="2:5" ht="15" customHeight="1">
      <c r="B561" s="77"/>
      <c r="C561" s="62" t="s">
        <v>223</v>
      </c>
      <c r="D561" s="63">
        <v>116</v>
      </c>
      <c r="E561" s="64">
        <v>1.4845149731252E-2</v>
      </c>
    </row>
    <row r="562" spans="2:5" ht="15" customHeight="1">
      <c r="B562" s="77"/>
      <c r="C562" s="62" t="s">
        <v>224</v>
      </c>
      <c r="D562" s="63">
        <v>5</v>
      </c>
      <c r="E562" s="64">
        <v>6.3987714358799996E-4</v>
      </c>
    </row>
    <row r="563" spans="2:5" ht="15" customHeight="1">
      <c r="B563" s="77"/>
      <c r="C563" s="62" t="s">
        <v>225</v>
      </c>
      <c r="D563" s="63">
        <v>12</v>
      </c>
      <c r="E563" s="64">
        <v>1.5357051446119999E-3</v>
      </c>
    </row>
    <row r="564" spans="2:5" ht="15" customHeight="1">
      <c r="B564" s="77"/>
      <c r="C564" s="62" t="s">
        <v>226</v>
      </c>
      <c r="D564" s="63">
        <v>50</v>
      </c>
      <c r="E564" s="64">
        <v>6.398771435884E-3</v>
      </c>
    </row>
    <row r="565" spans="2:5" ht="15" customHeight="1">
      <c r="B565" s="77"/>
      <c r="C565" s="62" t="s">
        <v>227</v>
      </c>
      <c r="D565" s="63">
        <v>2</v>
      </c>
      <c r="E565" s="64">
        <v>2.5595085743500002E-4</v>
      </c>
    </row>
    <row r="566" spans="2:5" ht="15" customHeight="1">
      <c r="B566" s="77"/>
      <c r="C566" s="62" t="s">
        <v>228</v>
      </c>
      <c r="D566" s="63">
        <v>7</v>
      </c>
      <c r="E566" s="64">
        <v>8.9582800102399999E-4</v>
      </c>
    </row>
    <row r="567" spans="2:5" ht="15" customHeight="1">
      <c r="B567" s="77"/>
      <c r="C567" s="62" t="s">
        <v>229</v>
      </c>
      <c r="D567" s="63">
        <v>1</v>
      </c>
      <c r="E567" s="64">
        <v>1.2797542871799999E-4</v>
      </c>
    </row>
    <row r="568" spans="2:5" ht="15" customHeight="1">
      <c r="B568" s="77"/>
      <c r="C568" s="62" t="s">
        <v>230</v>
      </c>
      <c r="D568" s="63">
        <v>1</v>
      </c>
      <c r="E568" s="64">
        <v>1.2797542871799999E-4</v>
      </c>
    </row>
    <row r="569" spans="2:5" ht="15" customHeight="1">
      <c r="B569" s="77"/>
      <c r="C569" s="62" t="s">
        <v>231</v>
      </c>
      <c r="D569" s="63">
        <v>4</v>
      </c>
      <c r="E569" s="64">
        <v>5.1190171487100001E-4</v>
      </c>
    </row>
    <row r="570" spans="2:5" ht="15" customHeight="1">
      <c r="B570" s="77"/>
      <c r="C570" s="62" t="s">
        <v>232</v>
      </c>
      <c r="D570" s="63">
        <v>17</v>
      </c>
      <c r="E570" s="64">
        <v>2.1755822882010001E-3</v>
      </c>
    </row>
    <row r="571" spans="2:5" ht="15" customHeight="1">
      <c r="B571" s="77"/>
      <c r="C571" s="62" t="s">
        <v>233</v>
      </c>
      <c r="D571" s="63">
        <v>1</v>
      </c>
      <c r="E571" s="64">
        <v>1.2797542871799999E-4</v>
      </c>
    </row>
    <row r="572" spans="2:5" ht="15" customHeight="1">
      <c r="B572" s="78"/>
      <c r="C572" s="36" t="s">
        <v>29</v>
      </c>
      <c r="D572" s="35">
        <v>300</v>
      </c>
      <c r="E572" s="34">
        <v>3.8392628615305999E-2</v>
      </c>
    </row>
    <row r="573" spans="2:5" ht="15" customHeight="1">
      <c r="B573" s="76" t="s">
        <v>64</v>
      </c>
      <c r="C573" s="62" t="s">
        <v>211</v>
      </c>
      <c r="D573" s="63">
        <v>2</v>
      </c>
      <c r="E573" s="64">
        <v>2.5595085743500002E-4</v>
      </c>
    </row>
    <row r="574" spans="2:5" ht="15" customHeight="1">
      <c r="B574" s="77"/>
      <c r="C574" s="62" t="s">
        <v>213</v>
      </c>
      <c r="D574" s="63">
        <v>2</v>
      </c>
      <c r="E574" s="64">
        <v>2.5595085743500002E-4</v>
      </c>
    </row>
    <row r="575" spans="2:5" ht="15" customHeight="1">
      <c r="B575" s="77"/>
      <c r="C575" s="62" t="s">
        <v>214</v>
      </c>
      <c r="D575" s="63">
        <v>2</v>
      </c>
      <c r="E575" s="64">
        <v>2.5595085743500002E-4</v>
      </c>
    </row>
    <row r="576" spans="2:5" ht="15" customHeight="1">
      <c r="B576" s="77"/>
      <c r="C576" s="62" t="s">
        <v>215</v>
      </c>
      <c r="D576" s="63">
        <v>3</v>
      </c>
      <c r="E576" s="64">
        <v>3.8392628615299999E-4</v>
      </c>
    </row>
    <row r="577" spans="2:5" ht="15" customHeight="1">
      <c r="B577" s="77"/>
      <c r="C577" s="62" t="s">
        <v>216</v>
      </c>
      <c r="D577" s="63">
        <v>2</v>
      </c>
      <c r="E577" s="64">
        <v>2.5595085743500002E-4</v>
      </c>
    </row>
    <row r="578" spans="2:5" ht="15" customHeight="1">
      <c r="B578" s="77"/>
      <c r="C578" s="62" t="s">
        <v>217</v>
      </c>
      <c r="D578" s="63">
        <v>1</v>
      </c>
      <c r="E578" s="64">
        <v>1.2797542871799999E-4</v>
      </c>
    </row>
    <row r="579" spans="2:5" ht="15" customHeight="1">
      <c r="B579" s="77"/>
      <c r="C579" s="62" t="s">
        <v>218</v>
      </c>
      <c r="D579" s="63">
        <v>18</v>
      </c>
      <c r="E579" s="64">
        <v>2.3035577169180001E-3</v>
      </c>
    </row>
    <row r="580" spans="2:5" ht="15" customHeight="1">
      <c r="B580" s="77"/>
      <c r="C580" s="62" t="s">
        <v>219</v>
      </c>
      <c r="D580" s="63">
        <v>16</v>
      </c>
      <c r="E580" s="64">
        <v>2.047606859483E-3</v>
      </c>
    </row>
    <row r="581" spans="2:5" ht="15" customHeight="1">
      <c r="B581" s="77"/>
      <c r="C581" s="62" t="s">
        <v>221</v>
      </c>
      <c r="D581" s="63">
        <v>2</v>
      </c>
      <c r="E581" s="64">
        <v>2.5595085743500002E-4</v>
      </c>
    </row>
    <row r="582" spans="2:5" ht="15" customHeight="1">
      <c r="B582" s="77"/>
      <c r="C582" s="62" t="s">
        <v>222</v>
      </c>
      <c r="D582" s="63">
        <v>8</v>
      </c>
      <c r="E582" s="64">
        <v>1.0238034297409999E-3</v>
      </c>
    </row>
    <row r="583" spans="2:5" ht="15" customHeight="1">
      <c r="B583" s="77"/>
      <c r="C583" s="62" t="s">
        <v>223</v>
      </c>
      <c r="D583" s="63">
        <v>48</v>
      </c>
      <c r="E583" s="64">
        <v>6.1428205784489999E-3</v>
      </c>
    </row>
    <row r="584" spans="2:5" ht="15" customHeight="1">
      <c r="B584" s="77"/>
      <c r="C584" s="62" t="s">
        <v>224</v>
      </c>
      <c r="D584" s="63">
        <v>1</v>
      </c>
      <c r="E584" s="64">
        <v>1.2797542871799999E-4</v>
      </c>
    </row>
    <row r="585" spans="2:5" ht="15" customHeight="1">
      <c r="B585" s="77"/>
      <c r="C585" s="62" t="s">
        <v>225</v>
      </c>
      <c r="D585" s="63">
        <v>4</v>
      </c>
      <c r="E585" s="64">
        <v>5.1190171487100001E-4</v>
      </c>
    </row>
    <row r="586" spans="2:5" ht="15" customHeight="1">
      <c r="B586" s="77"/>
      <c r="C586" s="62" t="s">
        <v>226</v>
      </c>
      <c r="D586" s="63">
        <v>27</v>
      </c>
      <c r="E586" s="64">
        <v>3.4553365753779998E-3</v>
      </c>
    </row>
    <row r="587" spans="2:5" ht="15" customHeight="1">
      <c r="B587" s="77"/>
      <c r="C587" s="62" t="s">
        <v>231</v>
      </c>
      <c r="D587" s="63">
        <v>3</v>
      </c>
      <c r="E587" s="64">
        <v>3.8392628615299999E-4</v>
      </c>
    </row>
    <row r="588" spans="2:5" ht="15" customHeight="1">
      <c r="B588" s="77"/>
      <c r="C588" s="62" t="s">
        <v>232</v>
      </c>
      <c r="D588" s="63">
        <v>5</v>
      </c>
      <c r="E588" s="64">
        <v>6.3987714358799996E-4</v>
      </c>
    </row>
    <row r="589" spans="2:5" ht="15" customHeight="1">
      <c r="B589" s="78"/>
      <c r="C589" s="36" t="s">
        <v>29</v>
      </c>
      <c r="D589" s="35">
        <v>144</v>
      </c>
      <c r="E589" s="34">
        <v>1.8428461735346999E-2</v>
      </c>
    </row>
    <row r="590" spans="2:5" ht="15" customHeight="1">
      <c r="B590" s="76" t="s">
        <v>56</v>
      </c>
      <c r="C590" s="62" t="s">
        <v>211</v>
      </c>
      <c r="D590" s="63">
        <v>6</v>
      </c>
      <c r="E590" s="64">
        <v>7.6785257230599997E-4</v>
      </c>
    </row>
    <row r="591" spans="2:5" ht="15" customHeight="1">
      <c r="B591" s="77"/>
      <c r="C591" s="62" t="s">
        <v>213</v>
      </c>
      <c r="D591" s="63">
        <v>3</v>
      </c>
      <c r="E591" s="64">
        <v>3.8392628615299999E-4</v>
      </c>
    </row>
    <row r="592" spans="2:5" ht="15" customHeight="1">
      <c r="B592" s="77"/>
      <c r="C592" s="62" t="s">
        <v>214</v>
      </c>
      <c r="D592" s="63">
        <v>2</v>
      </c>
      <c r="E592" s="64">
        <v>2.5595085743500002E-4</v>
      </c>
    </row>
    <row r="593" spans="2:5" ht="15" customHeight="1">
      <c r="B593" s="77"/>
      <c r="C593" s="62" t="s">
        <v>215</v>
      </c>
      <c r="D593" s="63">
        <v>6</v>
      </c>
      <c r="E593" s="64">
        <v>7.6785257230599997E-4</v>
      </c>
    </row>
    <row r="594" spans="2:5" ht="15" customHeight="1">
      <c r="B594" s="77"/>
      <c r="C594" s="62" t="s">
        <v>216</v>
      </c>
      <c r="D594" s="63">
        <v>2</v>
      </c>
      <c r="E594" s="64">
        <v>2.5595085743500002E-4</v>
      </c>
    </row>
    <row r="595" spans="2:5" ht="15" customHeight="1">
      <c r="B595" s="77"/>
      <c r="C595" s="62" t="s">
        <v>217</v>
      </c>
      <c r="D595" s="63">
        <v>4</v>
      </c>
      <c r="E595" s="64">
        <v>5.1190171487100001E-4</v>
      </c>
    </row>
    <row r="596" spans="2:5" ht="15" customHeight="1">
      <c r="B596" s="77"/>
      <c r="C596" s="62" t="s">
        <v>218</v>
      </c>
      <c r="D596" s="63">
        <v>33</v>
      </c>
      <c r="E596" s="64">
        <v>4.223189147684E-3</v>
      </c>
    </row>
    <row r="597" spans="2:5" ht="15" customHeight="1">
      <c r="B597" s="77"/>
      <c r="C597" s="62" t="s">
        <v>219</v>
      </c>
      <c r="D597" s="63">
        <v>29</v>
      </c>
      <c r="E597" s="64">
        <v>3.711287432813E-3</v>
      </c>
    </row>
    <row r="598" spans="2:5" ht="15" customHeight="1">
      <c r="B598" s="77"/>
      <c r="C598" s="62" t="s">
        <v>220</v>
      </c>
      <c r="D598" s="63">
        <v>10</v>
      </c>
      <c r="E598" s="64">
        <v>1.279754287177E-3</v>
      </c>
    </row>
    <row r="599" spans="2:5" ht="15" customHeight="1">
      <c r="B599" s="77"/>
      <c r="C599" s="62" t="s">
        <v>221</v>
      </c>
      <c r="D599" s="63">
        <v>7</v>
      </c>
      <c r="E599" s="64">
        <v>8.9582800102399999E-4</v>
      </c>
    </row>
    <row r="600" spans="2:5" ht="15" customHeight="1">
      <c r="B600" s="77"/>
      <c r="C600" s="62" t="s">
        <v>222</v>
      </c>
      <c r="D600" s="63">
        <v>11</v>
      </c>
      <c r="E600" s="64">
        <v>1.4077297158950001E-3</v>
      </c>
    </row>
    <row r="601" spans="2:5" ht="15" customHeight="1">
      <c r="B601" s="77"/>
      <c r="C601" s="62" t="s">
        <v>223</v>
      </c>
      <c r="D601" s="63">
        <v>96</v>
      </c>
      <c r="E601" s="64">
        <v>1.2285641156898E-2</v>
      </c>
    </row>
    <row r="602" spans="2:5" ht="15" customHeight="1">
      <c r="B602" s="77"/>
      <c r="C602" s="62" t="s">
        <v>224</v>
      </c>
      <c r="D602" s="63">
        <v>9</v>
      </c>
      <c r="E602" s="64">
        <v>1.1517788584590001E-3</v>
      </c>
    </row>
    <row r="603" spans="2:5" ht="15" customHeight="1">
      <c r="B603" s="77"/>
      <c r="C603" s="62" t="s">
        <v>225</v>
      </c>
      <c r="D603" s="63">
        <v>14</v>
      </c>
      <c r="E603" s="64">
        <v>1.791656002048E-3</v>
      </c>
    </row>
    <row r="604" spans="2:5" ht="15" customHeight="1">
      <c r="B604" s="77"/>
      <c r="C604" s="62" t="s">
        <v>226</v>
      </c>
      <c r="D604" s="63">
        <v>60</v>
      </c>
      <c r="E604" s="64">
        <v>7.6785257230610002E-3</v>
      </c>
    </row>
    <row r="605" spans="2:5" ht="15" customHeight="1">
      <c r="B605" s="77"/>
      <c r="C605" s="62" t="s">
        <v>227</v>
      </c>
      <c r="D605" s="63">
        <v>1</v>
      </c>
      <c r="E605" s="64">
        <v>1.2797542871799999E-4</v>
      </c>
    </row>
    <row r="606" spans="2:5" ht="15" customHeight="1">
      <c r="B606" s="77"/>
      <c r="C606" s="62" t="s">
        <v>228</v>
      </c>
      <c r="D606" s="63">
        <v>3</v>
      </c>
      <c r="E606" s="64">
        <v>3.8392628615299999E-4</v>
      </c>
    </row>
    <row r="607" spans="2:5" ht="15" customHeight="1">
      <c r="B607" s="77"/>
      <c r="C607" s="62" t="s">
        <v>231</v>
      </c>
      <c r="D607" s="63">
        <v>1</v>
      </c>
      <c r="E607" s="64">
        <v>1.2797542871799999E-4</v>
      </c>
    </row>
    <row r="608" spans="2:5" ht="15" customHeight="1">
      <c r="B608" s="77"/>
      <c r="C608" s="62" t="s">
        <v>232</v>
      </c>
      <c r="D608" s="63">
        <v>9</v>
      </c>
      <c r="E608" s="64">
        <v>1.1517788584590001E-3</v>
      </c>
    </row>
    <row r="609" spans="2:5" ht="15" customHeight="1">
      <c r="B609" s="77"/>
      <c r="C609" s="62" t="s">
        <v>233</v>
      </c>
      <c r="D609" s="63">
        <v>1</v>
      </c>
      <c r="E609" s="64">
        <v>1.2797542871799999E-4</v>
      </c>
    </row>
    <row r="610" spans="2:5" ht="15" customHeight="1">
      <c r="B610" s="78"/>
      <c r="C610" s="36" t="s">
        <v>29</v>
      </c>
      <c r="D610" s="35">
        <v>307</v>
      </c>
      <c r="E610" s="34">
        <v>3.928845661633E-2</v>
      </c>
    </row>
    <row r="611" spans="2:5" ht="15" customHeight="1">
      <c r="B611" s="76" t="s">
        <v>55</v>
      </c>
      <c r="C611" s="62" t="s">
        <v>211</v>
      </c>
      <c r="D611" s="63">
        <v>7</v>
      </c>
      <c r="E611" s="64">
        <v>8.9582800102399999E-4</v>
      </c>
    </row>
    <row r="612" spans="2:5" ht="15" customHeight="1">
      <c r="B612" s="77"/>
      <c r="C612" s="62" t="s">
        <v>213</v>
      </c>
      <c r="D612" s="63">
        <v>1</v>
      </c>
      <c r="E612" s="64">
        <v>1.2797542871799999E-4</v>
      </c>
    </row>
    <row r="613" spans="2:5" ht="15" customHeight="1">
      <c r="B613" s="77"/>
      <c r="C613" s="62" t="s">
        <v>214</v>
      </c>
      <c r="D613" s="63">
        <v>1</v>
      </c>
      <c r="E613" s="64">
        <v>1.2797542871799999E-4</v>
      </c>
    </row>
    <row r="614" spans="2:5" ht="15" customHeight="1">
      <c r="B614" s="77"/>
      <c r="C614" s="62" t="s">
        <v>215</v>
      </c>
      <c r="D614" s="63">
        <v>3</v>
      </c>
      <c r="E614" s="64">
        <v>3.8392628615299999E-4</v>
      </c>
    </row>
    <row r="615" spans="2:5" ht="15" customHeight="1">
      <c r="B615" s="77"/>
      <c r="C615" s="62" t="s">
        <v>216</v>
      </c>
      <c r="D615" s="63">
        <v>3</v>
      </c>
      <c r="E615" s="64">
        <v>3.8392628615299999E-4</v>
      </c>
    </row>
    <row r="616" spans="2:5" ht="15" customHeight="1">
      <c r="B616" s="77"/>
      <c r="C616" s="62" t="s">
        <v>217</v>
      </c>
      <c r="D616" s="63">
        <v>9</v>
      </c>
      <c r="E616" s="64">
        <v>1.1517788584590001E-3</v>
      </c>
    </row>
    <row r="617" spans="2:5" ht="15" customHeight="1">
      <c r="B617" s="77"/>
      <c r="C617" s="62" t="s">
        <v>218</v>
      </c>
      <c r="D617" s="63">
        <v>34</v>
      </c>
      <c r="E617" s="64">
        <v>4.3511645764010001E-3</v>
      </c>
    </row>
    <row r="618" spans="2:5" ht="15" customHeight="1">
      <c r="B618" s="77"/>
      <c r="C618" s="62" t="s">
        <v>219</v>
      </c>
      <c r="D618" s="63">
        <v>33</v>
      </c>
      <c r="E618" s="64">
        <v>4.223189147684E-3</v>
      </c>
    </row>
    <row r="619" spans="2:5" ht="15" customHeight="1">
      <c r="B619" s="77"/>
      <c r="C619" s="62" t="s">
        <v>220</v>
      </c>
      <c r="D619" s="63">
        <v>4</v>
      </c>
      <c r="E619" s="64">
        <v>5.1190171487100001E-4</v>
      </c>
    </row>
    <row r="620" spans="2:5" ht="15" customHeight="1">
      <c r="B620" s="77"/>
      <c r="C620" s="62" t="s">
        <v>221</v>
      </c>
      <c r="D620" s="63">
        <v>6</v>
      </c>
      <c r="E620" s="64">
        <v>7.6785257230599997E-4</v>
      </c>
    </row>
    <row r="621" spans="2:5" ht="15" customHeight="1">
      <c r="B621" s="77"/>
      <c r="C621" s="62" t="s">
        <v>222</v>
      </c>
      <c r="D621" s="63">
        <v>7</v>
      </c>
      <c r="E621" s="64">
        <v>8.9582800102399999E-4</v>
      </c>
    </row>
    <row r="622" spans="2:5" ht="15" customHeight="1">
      <c r="B622" s="77"/>
      <c r="C622" s="62" t="s">
        <v>223</v>
      </c>
      <c r="D622" s="63">
        <v>131</v>
      </c>
      <c r="E622" s="64">
        <v>1.6764781162017E-2</v>
      </c>
    </row>
    <row r="623" spans="2:5" ht="15" customHeight="1">
      <c r="B623" s="77"/>
      <c r="C623" s="62" t="s">
        <v>224</v>
      </c>
      <c r="D623" s="63">
        <v>7</v>
      </c>
      <c r="E623" s="64">
        <v>8.9582800102399999E-4</v>
      </c>
    </row>
    <row r="624" spans="2:5" ht="15" customHeight="1">
      <c r="B624" s="77"/>
      <c r="C624" s="62" t="s">
        <v>225</v>
      </c>
      <c r="D624" s="63">
        <v>30</v>
      </c>
      <c r="E624" s="64">
        <v>3.8392628615310002E-3</v>
      </c>
    </row>
    <row r="625" spans="2:5" ht="15" customHeight="1">
      <c r="B625" s="77"/>
      <c r="C625" s="62" t="s">
        <v>226</v>
      </c>
      <c r="D625" s="63">
        <v>88</v>
      </c>
      <c r="E625" s="64">
        <v>1.1261837727156001E-2</v>
      </c>
    </row>
    <row r="626" spans="2:5" ht="15" customHeight="1">
      <c r="B626" s="77"/>
      <c r="C626" s="62" t="s">
        <v>227</v>
      </c>
      <c r="D626" s="63">
        <v>5</v>
      </c>
      <c r="E626" s="64">
        <v>6.3987714358799996E-4</v>
      </c>
    </row>
    <row r="627" spans="2:5" ht="15" customHeight="1">
      <c r="B627" s="77"/>
      <c r="C627" s="62" t="s">
        <v>228</v>
      </c>
      <c r="D627" s="63">
        <v>3</v>
      </c>
      <c r="E627" s="64">
        <v>3.8392628615299999E-4</v>
      </c>
    </row>
    <row r="628" spans="2:5" ht="15" customHeight="1">
      <c r="B628" s="77"/>
      <c r="C628" s="62" t="s">
        <v>229</v>
      </c>
      <c r="D628" s="63">
        <v>2</v>
      </c>
      <c r="E628" s="64">
        <v>2.5595085743500002E-4</v>
      </c>
    </row>
    <row r="629" spans="2:5" ht="15" customHeight="1">
      <c r="B629" s="77"/>
      <c r="C629" s="62" t="s">
        <v>231</v>
      </c>
      <c r="D629" s="63">
        <v>6</v>
      </c>
      <c r="E629" s="64">
        <v>7.6785257230599997E-4</v>
      </c>
    </row>
    <row r="630" spans="2:5" ht="15" customHeight="1">
      <c r="B630" s="77"/>
      <c r="C630" s="62" t="s">
        <v>232</v>
      </c>
      <c r="D630" s="63">
        <v>11</v>
      </c>
      <c r="E630" s="64">
        <v>1.4077297158950001E-3</v>
      </c>
    </row>
    <row r="631" spans="2:5" ht="15" customHeight="1">
      <c r="B631" s="77"/>
      <c r="C631" s="62" t="s">
        <v>233</v>
      </c>
      <c r="D631" s="63">
        <v>1</v>
      </c>
      <c r="E631" s="64">
        <v>1.2797542871799999E-4</v>
      </c>
    </row>
    <row r="632" spans="2:5" ht="15" customHeight="1">
      <c r="B632" s="78"/>
      <c r="C632" s="36" t="s">
        <v>29</v>
      </c>
      <c r="D632" s="35">
        <v>392</v>
      </c>
      <c r="E632" s="34">
        <v>5.0166368057333002E-2</v>
      </c>
    </row>
    <row r="633" spans="2:5" ht="15" customHeight="1">
      <c r="B633" s="76" t="s">
        <v>75</v>
      </c>
      <c r="C633" s="62" t="s">
        <v>213</v>
      </c>
      <c r="D633" s="63">
        <v>1</v>
      </c>
      <c r="E633" s="64">
        <v>1.2797542871799999E-4</v>
      </c>
    </row>
    <row r="634" spans="2:5" ht="15" customHeight="1">
      <c r="B634" s="77"/>
      <c r="C634" s="62" t="s">
        <v>217</v>
      </c>
      <c r="D634" s="63">
        <v>1</v>
      </c>
      <c r="E634" s="64">
        <v>1.2797542871799999E-4</v>
      </c>
    </row>
    <row r="635" spans="2:5" ht="15" customHeight="1">
      <c r="B635" s="77"/>
      <c r="C635" s="62" t="s">
        <v>218</v>
      </c>
      <c r="D635" s="63">
        <v>6</v>
      </c>
      <c r="E635" s="64">
        <v>7.6785257230599997E-4</v>
      </c>
    </row>
    <row r="636" spans="2:5" ht="15" customHeight="1">
      <c r="B636" s="77"/>
      <c r="C636" s="62" t="s">
        <v>219</v>
      </c>
      <c r="D636" s="63">
        <v>3</v>
      </c>
      <c r="E636" s="64">
        <v>3.8392628615299999E-4</v>
      </c>
    </row>
    <row r="637" spans="2:5" ht="15" customHeight="1">
      <c r="B637" s="77"/>
      <c r="C637" s="62" t="s">
        <v>220</v>
      </c>
      <c r="D637" s="63">
        <v>1</v>
      </c>
      <c r="E637" s="64">
        <v>1.2797542871799999E-4</v>
      </c>
    </row>
    <row r="638" spans="2:5" ht="15" customHeight="1">
      <c r="B638" s="77"/>
      <c r="C638" s="62" t="s">
        <v>221</v>
      </c>
      <c r="D638" s="63">
        <v>1</v>
      </c>
      <c r="E638" s="64">
        <v>1.2797542871799999E-4</v>
      </c>
    </row>
    <row r="639" spans="2:5" ht="15" customHeight="1">
      <c r="B639" s="77"/>
      <c r="C639" s="62" t="s">
        <v>222</v>
      </c>
      <c r="D639" s="63">
        <v>6</v>
      </c>
      <c r="E639" s="64">
        <v>7.6785257230599997E-4</v>
      </c>
    </row>
    <row r="640" spans="2:5" ht="15" customHeight="1">
      <c r="B640" s="77"/>
      <c r="C640" s="62" t="s">
        <v>223</v>
      </c>
      <c r="D640" s="63">
        <v>19</v>
      </c>
      <c r="E640" s="64">
        <v>2.4315331456359998E-3</v>
      </c>
    </row>
    <row r="641" spans="2:5" ht="15" customHeight="1">
      <c r="B641" s="77"/>
      <c r="C641" s="62" t="s">
        <v>224</v>
      </c>
      <c r="D641" s="63">
        <v>1</v>
      </c>
      <c r="E641" s="64">
        <v>1.2797542871799999E-4</v>
      </c>
    </row>
    <row r="642" spans="2:5" ht="15" customHeight="1">
      <c r="B642" s="77"/>
      <c r="C642" s="62" t="s">
        <v>225</v>
      </c>
      <c r="D642" s="63">
        <v>6</v>
      </c>
      <c r="E642" s="64">
        <v>7.6785257230599997E-4</v>
      </c>
    </row>
    <row r="643" spans="2:5" ht="15" customHeight="1">
      <c r="B643" s="77"/>
      <c r="C643" s="62" t="s">
        <v>226</v>
      </c>
      <c r="D643" s="63">
        <v>13</v>
      </c>
      <c r="E643" s="64">
        <v>1.6636805733300001E-3</v>
      </c>
    </row>
    <row r="644" spans="2:5" ht="15" customHeight="1">
      <c r="B644" s="77"/>
      <c r="C644" s="62" t="s">
        <v>228</v>
      </c>
      <c r="D644" s="63">
        <v>2</v>
      </c>
      <c r="E644" s="64">
        <v>2.5595085743500002E-4</v>
      </c>
    </row>
    <row r="645" spans="2:5" ht="15" customHeight="1">
      <c r="B645" s="77"/>
      <c r="C645" s="62" t="s">
        <v>231</v>
      </c>
      <c r="D645" s="63">
        <v>1</v>
      </c>
      <c r="E645" s="64">
        <v>1.2797542871799999E-4</v>
      </c>
    </row>
    <row r="646" spans="2:5" ht="15" customHeight="1">
      <c r="B646" s="77"/>
      <c r="C646" s="62" t="s">
        <v>232</v>
      </c>
      <c r="D646" s="63">
        <v>1</v>
      </c>
      <c r="E646" s="64">
        <v>1.2797542871799999E-4</v>
      </c>
    </row>
    <row r="647" spans="2:5" ht="15" customHeight="1">
      <c r="B647" s="78"/>
      <c r="C647" s="36" t="s">
        <v>29</v>
      </c>
      <c r="D647" s="35">
        <v>62</v>
      </c>
      <c r="E647" s="34">
        <v>7.9344765804970005E-3</v>
      </c>
    </row>
    <row r="648" spans="2:5" ht="15" customHeight="1">
      <c r="B648" s="76" t="s">
        <v>83</v>
      </c>
      <c r="C648" s="62" t="s">
        <v>219</v>
      </c>
      <c r="D648" s="63">
        <v>5</v>
      </c>
      <c r="E648" s="64">
        <v>6.3987714358799996E-4</v>
      </c>
    </row>
    <row r="649" spans="2:5" ht="15" customHeight="1">
      <c r="B649" s="77"/>
      <c r="C649" s="62" t="s">
        <v>222</v>
      </c>
      <c r="D649" s="63">
        <v>4</v>
      </c>
      <c r="E649" s="64">
        <v>5.1190171487100001E-4</v>
      </c>
    </row>
    <row r="650" spans="2:5" ht="15" customHeight="1">
      <c r="B650" s="77"/>
      <c r="C650" s="62" t="s">
        <v>223</v>
      </c>
      <c r="D650" s="63">
        <v>12</v>
      </c>
      <c r="E650" s="64">
        <v>1.5357051446119999E-3</v>
      </c>
    </row>
    <row r="651" spans="2:5" ht="15" customHeight="1">
      <c r="B651" s="77"/>
      <c r="C651" s="62" t="s">
        <v>224</v>
      </c>
      <c r="D651" s="63">
        <v>1</v>
      </c>
      <c r="E651" s="64">
        <v>1.2797542871799999E-4</v>
      </c>
    </row>
    <row r="652" spans="2:5" ht="15" customHeight="1">
      <c r="B652" s="77"/>
      <c r="C652" s="62" t="s">
        <v>225</v>
      </c>
      <c r="D652" s="63">
        <v>2</v>
      </c>
      <c r="E652" s="64">
        <v>2.5595085743500002E-4</v>
      </c>
    </row>
    <row r="653" spans="2:5" ht="15" customHeight="1">
      <c r="B653" s="77"/>
      <c r="C653" s="62" t="s">
        <v>226</v>
      </c>
      <c r="D653" s="63">
        <v>3</v>
      </c>
      <c r="E653" s="64">
        <v>3.8392628615299999E-4</v>
      </c>
    </row>
    <row r="654" spans="2:5" ht="15" customHeight="1">
      <c r="B654" s="77"/>
      <c r="C654" s="62" t="s">
        <v>231</v>
      </c>
      <c r="D654" s="63">
        <v>1</v>
      </c>
      <c r="E654" s="64">
        <v>1.2797542871799999E-4</v>
      </c>
    </row>
    <row r="655" spans="2:5" ht="15" customHeight="1">
      <c r="B655" s="77"/>
      <c r="C655" s="62" t="s">
        <v>232</v>
      </c>
      <c r="D655" s="63">
        <v>1</v>
      </c>
      <c r="E655" s="64">
        <v>1.2797542871799999E-4</v>
      </c>
    </row>
    <row r="656" spans="2:5" ht="15" customHeight="1">
      <c r="B656" s="78"/>
      <c r="C656" s="36" t="s">
        <v>29</v>
      </c>
      <c r="D656" s="35">
        <v>29</v>
      </c>
      <c r="E656" s="34">
        <v>3.711287432813E-3</v>
      </c>
    </row>
    <row r="657" spans="2:5" ht="15" customHeight="1">
      <c r="B657" s="76" t="s">
        <v>82</v>
      </c>
      <c r="C657" s="62" t="s">
        <v>211</v>
      </c>
      <c r="D657" s="63">
        <v>2</v>
      </c>
      <c r="E657" s="64">
        <v>2.5595085743500002E-4</v>
      </c>
    </row>
    <row r="658" spans="2:5" ht="15" customHeight="1">
      <c r="B658" s="77"/>
      <c r="C658" s="62" t="s">
        <v>215</v>
      </c>
      <c r="D658" s="63">
        <v>1</v>
      </c>
      <c r="E658" s="64">
        <v>1.2797542871799999E-4</v>
      </c>
    </row>
    <row r="659" spans="2:5" ht="15" customHeight="1">
      <c r="B659" s="77"/>
      <c r="C659" s="62" t="s">
        <v>218</v>
      </c>
      <c r="D659" s="63">
        <v>1</v>
      </c>
      <c r="E659" s="64">
        <v>1.2797542871799999E-4</v>
      </c>
    </row>
    <row r="660" spans="2:5" ht="15" customHeight="1">
      <c r="B660" s="77"/>
      <c r="C660" s="62" t="s">
        <v>219</v>
      </c>
      <c r="D660" s="63">
        <v>5</v>
      </c>
      <c r="E660" s="64">
        <v>6.3987714358799996E-4</v>
      </c>
    </row>
    <row r="661" spans="2:5" ht="15" customHeight="1">
      <c r="B661" s="77"/>
      <c r="C661" s="62" t="s">
        <v>220</v>
      </c>
      <c r="D661" s="63">
        <v>1</v>
      </c>
      <c r="E661" s="64">
        <v>1.2797542871799999E-4</v>
      </c>
    </row>
    <row r="662" spans="2:5" ht="15" customHeight="1">
      <c r="B662" s="77"/>
      <c r="C662" s="62" t="s">
        <v>222</v>
      </c>
      <c r="D662" s="63">
        <v>2</v>
      </c>
      <c r="E662" s="64">
        <v>2.5595085743500002E-4</v>
      </c>
    </row>
    <row r="663" spans="2:5" ht="15" customHeight="1">
      <c r="B663" s="77"/>
      <c r="C663" s="62" t="s">
        <v>223</v>
      </c>
      <c r="D663" s="63">
        <v>8</v>
      </c>
      <c r="E663" s="64">
        <v>1.0238034297409999E-3</v>
      </c>
    </row>
    <row r="664" spans="2:5" ht="15" customHeight="1">
      <c r="B664" s="77"/>
      <c r="C664" s="62" t="s">
        <v>224</v>
      </c>
      <c r="D664" s="63">
        <v>1</v>
      </c>
      <c r="E664" s="64">
        <v>1.2797542871799999E-4</v>
      </c>
    </row>
    <row r="665" spans="2:5" ht="15" customHeight="1">
      <c r="B665" s="77"/>
      <c r="C665" s="62" t="s">
        <v>225</v>
      </c>
      <c r="D665" s="63">
        <v>4</v>
      </c>
      <c r="E665" s="64">
        <v>5.1190171487100001E-4</v>
      </c>
    </row>
    <row r="666" spans="2:5" ht="15" customHeight="1">
      <c r="B666" s="77"/>
      <c r="C666" s="62" t="s">
        <v>226</v>
      </c>
      <c r="D666" s="63">
        <v>4</v>
      </c>
      <c r="E666" s="64">
        <v>5.1190171487100001E-4</v>
      </c>
    </row>
    <row r="667" spans="2:5" ht="15" customHeight="1">
      <c r="B667" s="77"/>
      <c r="C667" s="62" t="s">
        <v>232</v>
      </c>
      <c r="D667" s="63">
        <v>1</v>
      </c>
      <c r="E667" s="64">
        <v>1.2797542871799999E-4</v>
      </c>
    </row>
    <row r="668" spans="2:5" ht="15" customHeight="1">
      <c r="B668" s="78"/>
      <c r="C668" s="36" t="s">
        <v>29</v>
      </c>
      <c r="D668" s="35">
        <v>30</v>
      </c>
      <c r="E668" s="34">
        <v>3.8392628615310002E-3</v>
      </c>
    </row>
    <row r="669" spans="2:5" ht="15" customHeight="1">
      <c r="B669" s="76" t="s">
        <v>91</v>
      </c>
      <c r="C669" s="62" t="s">
        <v>220</v>
      </c>
      <c r="D669" s="63">
        <v>1</v>
      </c>
      <c r="E669" s="64">
        <v>1.2797542871799999E-4</v>
      </c>
    </row>
    <row r="670" spans="2:5" ht="15" customHeight="1">
      <c r="B670" s="77"/>
      <c r="C670" s="62" t="s">
        <v>222</v>
      </c>
      <c r="D670" s="63">
        <v>1</v>
      </c>
      <c r="E670" s="64">
        <v>1.2797542871799999E-4</v>
      </c>
    </row>
    <row r="671" spans="2:5" ht="15" customHeight="1">
      <c r="B671" s="77"/>
      <c r="C671" s="62" t="s">
        <v>223</v>
      </c>
      <c r="D671" s="63">
        <v>3</v>
      </c>
      <c r="E671" s="64">
        <v>3.8392628615299999E-4</v>
      </c>
    </row>
    <row r="672" spans="2:5" ht="15" customHeight="1">
      <c r="B672" s="77"/>
      <c r="C672" s="62" t="s">
        <v>225</v>
      </c>
      <c r="D672" s="63">
        <v>3</v>
      </c>
      <c r="E672" s="64">
        <v>3.8392628615299999E-4</v>
      </c>
    </row>
    <row r="673" spans="2:5" ht="15" customHeight="1">
      <c r="B673" s="77"/>
      <c r="C673" s="62" t="s">
        <v>226</v>
      </c>
      <c r="D673" s="63">
        <v>2</v>
      </c>
      <c r="E673" s="64">
        <v>2.5595085743500002E-4</v>
      </c>
    </row>
    <row r="674" spans="2:5" ht="15" customHeight="1">
      <c r="B674" s="77"/>
      <c r="C674" s="62" t="s">
        <v>232</v>
      </c>
      <c r="D674" s="63">
        <v>1</v>
      </c>
      <c r="E674" s="64">
        <v>1.2797542871799999E-4</v>
      </c>
    </row>
    <row r="675" spans="2:5" ht="15" customHeight="1">
      <c r="B675" s="78"/>
      <c r="C675" s="36" t="s">
        <v>29</v>
      </c>
      <c r="D675" s="35">
        <v>11</v>
      </c>
      <c r="E675" s="34">
        <v>1.4077297158950001E-3</v>
      </c>
    </row>
    <row r="676" spans="2:5" ht="15" customHeight="1">
      <c r="B676" s="79" t="s">
        <v>29</v>
      </c>
      <c r="C676" s="80"/>
      <c r="D676" s="60">
        <v>7814</v>
      </c>
      <c r="E676" s="61">
        <v>1</v>
      </c>
    </row>
    <row r="678" spans="2:5" ht="15" customHeight="1">
      <c r="B678" s="15" t="s">
        <v>47</v>
      </c>
    </row>
    <row r="679" spans="2:5" ht="15" customHeight="1">
      <c r="B679" s="17" t="s">
        <v>18</v>
      </c>
    </row>
    <row r="680" spans="2:5" ht="15" customHeight="1">
      <c r="B680" s="16" t="s">
        <v>48</v>
      </c>
    </row>
    <row r="681" spans="2:5" ht="15" customHeight="1">
      <c r="B681" s="15" t="s">
        <v>17</v>
      </c>
    </row>
    <row r="682" spans="2:5" ht="15" customHeight="1">
      <c r="B682" s="15" t="s">
        <v>49</v>
      </c>
    </row>
  </sheetData>
  <mergeCells count="53">
    <mergeCell ref="B669:B675"/>
    <mergeCell ref="B676:C676"/>
    <mergeCell ref="B573:B589"/>
    <mergeCell ref="B590:B610"/>
    <mergeCell ref="B611:B632"/>
    <mergeCell ref="B633:B647"/>
    <mergeCell ref="B648:B656"/>
    <mergeCell ref="B507:B521"/>
    <mergeCell ref="B522:B528"/>
    <mergeCell ref="B529:B549"/>
    <mergeCell ref="B550:B572"/>
    <mergeCell ref="B657:B668"/>
    <mergeCell ref="B433:B451"/>
    <mergeCell ref="B452:B453"/>
    <mergeCell ref="B454:B469"/>
    <mergeCell ref="B470:B490"/>
    <mergeCell ref="B491:B506"/>
    <mergeCell ref="B351:B368"/>
    <mergeCell ref="B369:B380"/>
    <mergeCell ref="B381:B397"/>
    <mergeCell ref="B413:B432"/>
    <mergeCell ref="B398:B412"/>
    <mergeCell ref="B152:B160"/>
    <mergeCell ref="B161:B173"/>
    <mergeCell ref="B174:B194"/>
    <mergeCell ref="B334:B343"/>
    <mergeCell ref="B344:B350"/>
    <mergeCell ref="B97:B116"/>
    <mergeCell ref="B117:B118"/>
    <mergeCell ref="B119:B139"/>
    <mergeCell ref="B140:B149"/>
    <mergeCell ref="B150:B151"/>
    <mergeCell ref="B32:B44"/>
    <mergeCell ref="B45:B63"/>
    <mergeCell ref="B69:B74"/>
    <mergeCell ref="B75:B81"/>
    <mergeCell ref="B82:B96"/>
    <mergeCell ref="B7:E8"/>
    <mergeCell ref="B64:B68"/>
    <mergeCell ref="B327:B331"/>
    <mergeCell ref="B332:B333"/>
    <mergeCell ref="B195:B209"/>
    <mergeCell ref="B210:B223"/>
    <mergeCell ref="B224:B237"/>
    <mergeCell ref="B238:B242"/>
    <mergeCell ref="B243:B260"/>
    <mergeCell ref="B261:B274"/>
    <mergeCell ref="B275:B297"/>
    <mergeCell ref="B298:B307"/>
    <mergeCell ref="B308:B316"/>
    <mergeCell ref="B317:B326"/>
    <mergeCell ref="B10:B17"/>
    <mergeCell ref="B18:B3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D20"/>
  <sheetViews>
    <sheetView showGridLines="0" view="pageBreakPreview" topLeftCell="A8" zoomScale="115" zoomScaleNormal="100" zoomScaleSheetLayoutView="115" workbookViewId="0">
      <selection activeCell="C16" sqref="C16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4" t="s">
        <v>37</v>
      </c>
      <c r="C7" s="74"/>
      <c r="D7" s="74"/>
    </row>
    <row r="8" spans="2:4" s="25" customFormat="1" ht="15" customHeight="1">
      <c r="B8" s="74"/>
      <c r="C8" s="74"/>
      <c r="D8" s="74"/>
    </row>
    <row r="9" spans="2:4" s="25" customFormat="1" ht="33" customHeight="1">
      <c r="B9" s="74"/>
      <c r="C9" s="74"/>
      <c r="D9" s="74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30</v>
      </c>
      <c r="C11" s="27" t="s">
        <v>20</v>
      </c>
      <c r="D11" s="26" t="s">
        <v>19</v>
      </c>
    </row>
    <row r="12" spans="2:4">
      <c r="B12" s="23" t="s">
        <v>145</v>
      </c>
      <c r="C12" s="22">
        <v>3618</v>
      </c>
      <c r="D12" s="21">
        <v>0.46301510110058902</v>
      </c>
    </row>
    <row r="13" spans="2:4">
      <c r="B13" s="23" t="s">
        <v>146</v>
      </c>
      <c r="C13" s="22">
        <v>4196</v>
      </c>
      <c r="D13" s="21">
        <v>0.53698489889941103</v>
      </c>
    </row>
    <row r="14" spans="2:4">
      <c r="B14" s="20" t="s">
        <v>29</v>
      </c>
      <c r="C14" s="19">
        <v>7814</v>
      </c>
      <c r="D14" s="18">
        <v>1</v>
      </c>
    </row>
    <row r="15" spans="2:4">
      <c r="B15" s="24"/>
      <c r="C15" s="48"/>
      <c r="D15" s="48"/>
    </row>
    <row r="16" spans="2:4">
      <c r="B16" s="15" t="s">
        <v>47</v>
      </c>
      <c r="C16" s="48"/>
      <c r="D16" s="48"/>
    </row>
    <row r="17" spans="2:4">
      <c r="B17" s="17" t="s">
        <v>18</v>
      </c>
      <c r="C17" s="47"/>
      <c r="D17" s="47"/>
    </row>
    <row r="18" spans="2:4">
      <c r="B18" s="16" t="s">
        <v>48</v>
      </c>
      <c r="C18" s="46"/>
      <c r="D18" s="46"/>
    </row>
    <row r="19" spans="2:4">
      <c r="B19" s="15" t="s">
        <v>17</v>
      </c>
    </row>
    <row r="20" spans="2:4">
      <c r="B20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67"/>
  <sheetViews>
    <sheetView showGridLines="0" view="pageBreakPreview" topLeftCell="A147" zoomScaleNormal="100" zoomScaleSheetLayoutView="100" workbookViewId="0">
      <selection activeCell="A167" sqref="A13:XFD167"/>
    </sheetView>
  </sheetViews>
  <sheetFormatPr baseColWidth="10" defaultColWidth="11.42578125" defaultRowHeight="11.25"/>
  <cols>
    <col min="1" max="1" width="5.7109375" style="25" customWidth="1"/>
    <col min="2" max="3" width="25.7109375" style="40" customWidth="1"/>
    <col min="4" max="4" width="15.7109375" style="44" customWidth="1"/>
    <col min="5" max="5" width="15.7109375" style="40" customWidth="1"/>
    <col min="6" max="6" width="2.5703125" style="25" customWidth="1"/>
    <col min="7" max="16384" width="11.42578125" style="25"/>
  </cols>
  <sheetData>
    <row r="1" spans="2:6" s="13" customFormat="1" ht="15">
      <c r="B1" s="40"/>
      <c r="C1" s="40"/>
    </row>
    <row r="2" spans="2:6" s="40" customFormat="1">
      <c r="B2" s="50"/>
    </row>
    <row r="3" spans="2:6" ht="15" customHeight="1">
      <c r="B3" s="51"/>
      <c r="C3" s="31"/>
      <c r="D3" s="25"/>
      <c r="F3" s="40"/>
    </row>
    <row r="4" spans="2:6" ht="30" customHeight="1">
      <c r="B4" s="51"/>
      <c r="C4" s="31"/>
      <c r="D4" s="25"/>
      <c r="F4" s="40"/>
    </row>
    <row r="5" spans="2:6" ht="15" customHeight="1">
      <c r="B5" s="51"/>
      <c r="C5" s="31"/>
      <c r="D5" s="25"/>
      <c r="F5" s="40"/>
    </row>
    <row r="6" spans="2:6" s="40" customFormat="1">
      <c r="B6" s="43"/>
      <c r="C6" s="42"/>
    </row>
    <row r="7" spans="2:6" s="40" customFormat="1">
      <c r="B7" s="50"/>
    </row>
    <row r="8" spans="2:6" s="13" customFormat="1" ht="15" customHeight="1">
      <c r="B8" s="74" t="s">
        <v>39</v>
      </c>
      <c r="C8" s="74"/>
      <c r="D8" s="74"/>
      <c r="E8" s="74"/>
    </row>
    <row r="9" spans="2:6" s="13" customFormat="1" ht="15" customHeight="1">
      <c r="B9" s="74"/>
      <c r="C9" s="74"/>
      <c r="D9" s="74"/>
      <c r="E9" s="74"/>
      <c r="F9" s="49"/>
    </row>
    <row r="10" spans="2:6" s="13" customFormat="1" ht="15" customHeight="1">
      <c r="B10" s="74"/>
      <c r="C10" s="74"/>
      <c r="D10" s="74"/>
      <c r="E10" s="74"/>
    </row>
    <row r="11" spans="2:6" s="13" customFormat="1" ht="15" customHeight="1">
      <c r="B11" s="52"/>
      <c r="C11" s="52"/>
      <c r="D11" s="52"/>
      <c r="E11" s="52"/>
    </row>
    <row r="12" spans="2:6" s="13" customFormat="1" ht="36.950000000000003" customHeight="1">
      <c r="B12" s="54" t="s">
        <v>22</v>
      </c>
      <c r="C12" s="54" t="s">
        <v>30</v>
      </c>
      <c r="D12" s="54" t="s">
        <v>20</v>
      </c>
      <c r="E12" s="54" t="s">
        <v>19</v>
      </c>
    </row>
    <row r="13" spans="2:6" ht="14.45" customHeight="1">
      <c r="B13" s="76" t="s">
        <v>84</v>
      </c>
      <c r="C13" s="62" t="s">
        <v>145</v>
      </c>
      <c r="D13" s="63">
        <v>10</v>
      </c>
      <c r="E13" s="64">
        <v>1.279754287177E-3</v>
      </c>
    </row>
    <row r="14" spans="2:6" ht="14.45" customHeight="1">
      <c r="B14" s="77"/>
      <c r="C14" s="62" t="s">
        <v>146</v>
      </c>
      <c r="D14" s="63">
        <v>18</v>
      </c>
      <c r="E14" s="64">
        <v>2.3035577169180001E-3</v>
      </c>
    </row>
    <row r="15" spans="2:6" ht="14.45" customHeight="1">
      <c r="B15" s="78"/>
      <c r="C15" s="57" t="s">
        <v>29</v>
      </c>
      <c r="D15" s="58">
        <v>28</v>
      </c>
      <c r="E15" s="59">
        <v>3.5833120040949999E-3</v>
      </c>
    </row>
    <row r="16" spans="2:6" ht="14.45" customHeight="1">
      <c r="B16" s="76" t="s">
        <v>66</v>
      </c>
      <c r="C16" s="62" t="s">
        <v>145</v>
      </c>
      <c r="D16" s="63">
        <v>45</v>
      </c>
      <c r="E16" s="64">
        <v>5.7588942922960004E-3</v>
      </c>
    </row>
    <row r="17" spans="2:5" ht="14.45" customHeight="1">
      <c r="B17" s="77"/>
      <c r="C17" s="62" t="s">
        <v>146</v>
      </c>
      <c r="D17" s="63">
        <v>64</v>
      </c>
      <c r="E17" s="64">
        <v>8.1904274379319998E-3</v>
      </c>
    </row>
    <row r="18" spans="2:5" ht="14.45" customHeight="1">
      <c r="B18" s="78" t="s">
        <v>282</v>
      </c>
      <c r="C18" s="57" t="s">
        <v>29</v>
      </c>
      <c r="D18" s="58">
        <v>109</v>
      </c>
      <c r="E18" s="59">
        <v>1.3949321730228E-2</v>
      </c>
    </row>
    <row r="19" spans="2:5" ht="14.45" customHeight="1">
      <c r="B19" s="76" t="s">
        <v>80</v>
      </c>
      <c r="C19" s="62" t="s">
        <v>145</v>
      </c>
      <c r="D19" s="63">
        <v>8</v>
      </c>
      <c r="E19" s="64">
        <v>1.0238034297409999E-3</v>
      </c>
    </row>
    <row r="20" spans="2:5" ht="14.45" customHeight="1">
      <c r="B20" s="77"/>
      <c r="C20" s="62" t="s">
        <v>146</v>
      </c>
      <c r="D20" s="63">
        <v>23</v>
      </c>
      <c r="E20" s="64">
        <v>2.9434348605069998E-3</v>
      </c>
    </row>
    <row r="21" spans="2:5" ht="14.45" customHeight="1">
      <c r="B21" s="78" t="s">
        <v>283</v>
      </c>
      <c r="C21" s="57" t="s">
        <v>29</v>
      </c>
      <c r="D21" s="58">
        <v>31</v>
      </c>
      <c r="E21" s="59">
        <v>3.9672382902479998E-3</v>
      </c>
    </row>
    <row r="22" spans="2:5" ht="14.45" customHeight="1">
      <c r="B22" s="76" t="s">
        <v>63</v>
      </c>
      <c r="C22" s="62" t="s">
        <v>145</v>
      </c>
      <c r="D22" s="63">
        <v>55</v>
      </c>
      <c r="E22" s="64">
        <v>7.0386485794729997E-3</v>
      </c>
    </row>
    <row r="23" spans="2:5" ht="14.45" customHeight="1">
      <c r="B23" s="77"/>
      <c r="C23" s="62" t="s">
        <v>146</v>
      </c>
      <c r="D23" s="63">
        <v>99</v>
      </c>
      <c r="E23" s="64">
        <v>1.2669567443051E-2</v>
      </c>
    </row>
    <row r="24" spans="2:5" ht="14.45" customHeight="1">
      <c r="B24" s="78" t="s">
        <v>284</v>
      </c>
      <c r="C24" s="57" t="s">
        <v>29</v>
      </c>
      <c r="D24" s="58">
        <v>154</v>
      </c>
      <c r="E24" s="59">
        <v>1.9708216022524001E-2</v>
      </c>
    </row>
    <row r="25" spans="2:5" ht="14.45" customHeight="1">
      <c r="B25" s="76" t="s">
        <v>95</v>
      </c>
      <c r="C25" s="62" t="s">
        <v>145</v>
      </c>
      <c r="D25" s="63">
        <v>2</v>
      </c>
      <c r="E25" s="64">
        <v>2.5595085743500002E-4</v>
      </c>
    </row>
    <row r="26" spans="2:5" ht="14.45" customHeight="1">
      <c r="B26" s="77"/>
      <c r="C26" s="62" t="s">
        <v>146</v>
      </c>
      <c r="D26" s="63">
        <v>2</v>
      </c>
      <c r="E26" s="64">
        <v>2.5595085743500002E-4</v>
      </c>
    </row>
    <row r="27" spans="2:5" ht="14.45" customHeight="1">
      <c r="B27" s="78" t="s">
        <v>285</v>
      </c>
      <c r="C27" s="57" t="s">
        <v>29</v>
      </c>
      <c r="D27" s="58">
        <v>4</v>
      </c>
      <c r="E27" s="59">
        <v>5.1190171487100001E-4</v>
      </c>
    </row>
    <row r="28" spans="2:5" ht="14.45" customHeight="1">
      <c r="B28" s="76" t="s">
        <v>93</v>
      </c>
      <c r="C28" s="62" t="s">
        <v>145</v>
      </c>
      <c r="D28" s="63">
        <v>3</v>
      </c>
      <c r="E28" s="64">
        <v>3.8392628615299999E-4</v>
      </c>
    </row>
    <row r="29" spans="2:5" ht="14.45" customHeight="1">
      <c r="B29" s="77"/>
      <c r="C29" s="62" t="s">
        <v>146</v>
      </c>
      <c r="D29" s="63">
        <v>3</v>
      </c>
      <c r="E29" s="64">
        <v>3.8392628615299999E-4</v>
      </c>
    </row>
    <row r="30" spans="2:5" ht="14.45" customHeight="1">
      <c r="B30" s="78" t="s">
        <v>286</v>
      </c>
      <c r="C30" s="57" t="s">
        <v>29</v>
      </c>
      <c r="D30" s="58">
        <v>6</v>
      </c>
      <c r="E30" s="59">
        <v>7.6785257230599997E-4</v>
      </c>
    </row>
    <row r="31" spans="2:5" ht="14.45" customHeight="1">
      <c r="B31" s="76" t="s">
        <v>92</v>
      </c>
      <c r="C31" s="62" t="s">
        <v>145</v>
      </c>
      <c r="D31" s="63">
        <v>4</v>
      </c>
      <c r="E31" s="64">
        <v>5.1190171487100001E-4</v>
      </c>
    </row>
    <row r="32" spans="2:5" ht="14.45" customHeight="1">
      <c r="B32" s="77"/>
      <c r="C32" s="62" t="s">
        <v>146</v>
      </c>
      <c r="D32" s="63">
        <v>3</v>
      </c>
      <c r="E32" s="64">
        <v>3.8392628615299999E-4</v>
      </c>
    </row>
    <row r="33" spans="2:5" ht="14.45" customHeight="1">
      <c r="B33" s="78" t="s">
        <v>287</v>
      </c>
      <c r="C33" s="57" t="s">
        <v>29</v>
      </c>
      <c r="D33" s="58">
        <v>7</v>
      </c>
      <c r="E33" s="59">
        <v>8.9582800102399999E-4</v>
      </c>
    </row>
    <row r="34" spans="2:5" ht="14.45" customHeight="1">
      <c r="B34" s="76" t="s">
        <v>58</v>
      </c>
      <c r="C34" s="62" t="s">
        <v>145</v>
      </c>
      <c r="D34" s="63">
        <v>133</v>
      </c>
      <c r="E34" s="64">
        <v>1.7020732019451999E-2</v>
      </c>
    </row>
    <row r="35" spans="2:5" ht="14.45" customHeight="1">
      <c r="B35" s="77"/>
      <c r="C35" s="62" t="s">
        <v>146</v>
      </c>
      <c r="D35" s="63">
        <v>144</v>
      </c>
      <c r="E35" s="64">
        <v>1.8428461735346999E-2</v>
      </c>
    </row>
    <row r="36" spans="2:5" ht="14.45" customHeight="1">
      <c r="B36" s="78" t="s">
        <v>288</v>
      </c>
      <c r="C36" s="57" t="s">
        <v>29</v>
      </c>
      <c r="D36" s="58">
        <v>277</v>
      </c>
      <c r="E36" s="59">
        <v>3.5449193754798998E-2</v>
      </c>
    </row>
    <row r="37" spans="2:5" ht="14.45" customHeight="1">
      <c r="B37" s="76" t="s">
        <v>65</v>
      </c>
      <c r="C37" s="62" t="s">
        <v>145</v>
      </c>
      <c r="D37" s="63">
        <v>53</v>
      </c>
      <c r="E37" s="64">
        <v>6.7826977220370004E-3</v>
      </c>
    </row>
    <row r="38" spans="2:5" ht="14.45" customHeight="1">
      <c r="B38" s="77"/>
      <c r="C38" s="62" t="s">
        <v>146</v>
      </c>
      <c r="D38" s="63">
        <v>68</v>
      </c>
      <c r="E38" s="64">
        <v>8.7023291528029994E-3</v>
      </c>
    </row>
    <row r="39" spans="2:5" ht="14.45" customHeight="1">
      <c r="B39" s="78" t="s">
        <v>289</v>
      </c>
      <c r="C39" s="57" t="s">
        <v>29</v>
      </c>
      <c r="D39" s="58">
        <v>121</v>
      </c>
      <c r="E39" s="59">
        <v>1.548502687484E-2</v>
      </c>
    </row>
    <row r="40" spans="2:5" ht="14.45" customHeight="1">
      <c r="B40" s="76" t="s">
        <v>98</v>
      </c>
      <c r="C40" s="62" t="s">
        <v>145</v>
      </c>
      <c r="D40" s="63">
        <v>1</v>
      </c>
      <c r="E40" s="64">
        <v>1.2797542871799999E-4</v>
      </c>
    </row>
    <row r="41" spans="2:5" ht="14.45" customHeight="1">
      <c r="B41" s="78"/>
      <c r="C41" s="57" t="s">
        <v>29</v>
      </c>
      <c r="D41" s="58">
        <v>1</v>
      </c>
      <c r="E41" s="59">
        <v>1.2797542871799999E-4</v>
      </c>
    </row>
    <row r="42" spans="2:5" ht="14.45" customHeight="1">
      <c r="B42" s="76" t="s">
        <v>60</v>
      </c>
      <c r="C42" s="62" t="s">
        <v>145</v>
      </c>
      <c r="D42" s="63">
        <v>85</v>
      </c>
      <c r="E42" s="64">
        <v>1.0877911441003E-2</v>
      </c>
    </row>
    <row r="43" spans="2:5" ht="14.45" customHeight="1">
      <c r="B43" s="77"/>
      <c r="C43" s="62" t="s">
        <v>146</v>
      </c>
      <c r="D43" s="63">
        <v>138</v>
      </c>
      <c r="E43" s="64">
        <v>1.7660609163041002E-2</v>
      </c>
    </row>
    <row r="44" spans="2:5" ht="14.45" customHeight="1">
      <c r="B44" s="78" t="s">
        <v>290</v>
      </c>
      <c r="C44" s="57" t="s">
        <v>29</v>
      </c>
      <c r="D44" s="58">
        <v>223</v>
      </c>
      <c r="E44" s="59">
        <v>2.8538520604044E-2</v>
      </c>
    </row>
    <row r="45" spans="2:5" ht="14.45" customHeight="1">
      <c r="B45" s="76" t="s">
        <v>78</v>
      </c>
      <c r="C45" s="62" t="s">
        <v>145</v>
      </c>
      <c r="D45" s="63">
        <v>15</v>
      </c>
      <c r="E45" s="64">
        <v>1.919631430765E-3</v>
      </c>
    </row>
    <row r="46" spans="2:5" ht="14.45" customHeight="1">
      <c r="B46" s="77"/>
      <c r="C46" s="62" t="s">
        <v>146</v>
      </c>
      <c r="D46" s="63">
        <v>30</v>
      </c>
      <c r="E46" s="64">
        <v>3.8392628615310002E-3</v>
      </c>
    </row>
    <row r="47" spans="2:5" ht="14.45" customHeight="1">
      <c r="B47" s="78" t="s">
        <v>291</v>
      </c>
      <c r="C47" s="57" t="s">
        <v>29</v>
      </c>
      <c r="D47" s="58">
        <v>45</v>
      </c>
      <c r="E47" s="59">
        <v>5.7588942922960004E-3</v>
      </c>
    </row>
    <row r="48" spans="2:5" ht="14.45" customHeight="1">
      <c r="B48" s="76" t="s">
        <v>99</v>
      </c>
      <c r="C48" s="62" t="s">
        <v>146</v>
      </c>
      <c r="D48" s="63">
        <v>1</v>
      </c>
      <c r="E48" s="64">
        <v>1.2797542871799999E-4</v>
      </c>
    </row>
    <row r="49" spans="2:5" ht="14.45" customHeight="1">
      <c r="B49" s="78"/>
      <c r="C49" s="57" t="s">
        <v>29</v>
      </c>
      <c r="D49" s="58">
        <v>1</v>
      </c>
      <c r="E49" s="59">
        <v>1.2797542871799999E-4</v>
      </c>
    </row>
    <row r="50" spans="2:5" ht="14.45" customHeight="1">
      <c r="B50" s="76" t="s">
        <v>90</v>
      </c>
      <c r="C50" s="62" t="s">
        <v>145</v>
      </c>
      <c r="D50" s="63">
        <v>6</v>
      </c>
      <c r="E50" s="64">
        <v>7.6785257230599997E-4</v>
      </c>
    </row>
    <row r="51" spans="2:5" ht="14.45" customHeight="1">
      <c r="B51" s="77"/>
      <c r="C51" s="62" t="s">
        <v>146</v>
      </c>
      <c r="D51" s="63">
        <v>6</v>
      </c>
      <c r="E51" s="64">
        <v>7.6785257230599997E-4</v>
      </c>
    </row>
    <row r="52" spans="2:5" ht="14.45" customHeight="1">
      <c r="B52" s="78"/>
      <c r="C52" s="57" t="s">
        <v>29</v>
      </c>
      <c r="D52" s="58">
        <v>12</v>
      </c>
      <c r="E52" s="59">
        <v>1.5357051446119999E-3</v>
      </c>
    </row>
    <row r="53" spans="2:5" ht="14.45" customHeight="1">
      <c r="B53" s="76" t="s">
        <v>79</v>
      </c>
      <c r="C53" s="62" t="s">
        <v>145</v>
      </c>
      <c r="D53" s="63">
        <v>17</v>
      </c>
      <c r="E53" s="64">
        <v>2.1755822882010001E-3</v>
      </c>
    </row>
    <row r="54" spans="2:5" ht="14.45" customHeight="1">
      <c r="B54" s="77"/>
      <c r="C54" s="62" t="s">
        <v>146</v>
      </c>
      <c r="D54" s="63">
        <v>21</v>
      </c>
      <c r="E54" s="64">
        <v>2.687484003071E-3</v>
      </c>
    </row>
    <row r="55" spans="2:5" ht="14.45" customHeight="1">
      <c r="B55" s="78" t="s">
        <v>292</v>
      </c>
      <c r="C55" s="57" t="s">
        <v>29</v>
      </c>
      <c r="D55" s="58">
        <v>38</v>
      </c>
      <c r="E55" s="59">
        <v>4.8630662912719997E-3</v>
      </c>
    </row>
    <row r="56" spans="2:5" ht="14.45" customHeight="1">
      <c r="B56" s="76" t="s">
        <v>51</v>
      </c>
      <c r="C56" s="62" t="s">
        <v>145</v>
      </c>
      <c r="D56" s="63">
        <v>266</v>
      </c>
      <c r="E56" s="64">
        <v>3.4041464038904998E-2</v>
      </c>
    </row>
    <row r="57" spans="2:5" ht="14.45" customHeight="1">
      <c r="B57" s="77"/>
      <c r="C57" s="62" t="s">
        <v>146</v>
      </c>
      <c r="D57" s="63">
        <v>321</v>
      </c>
      <c r="E57" s="64">
        <v>4.1080112618376997E-2</v>
      </c>
    </row>
    <row r="58" spans="2:5" ht="14.45" customHeight="1">
      <c r="B58" s="78" t="s">
        <v>293</v>
      </c>
      <c r="C58" s="57" t="s">
        <v>29</v>
      </c>
      <c r="D58" s="58">
        <v>587</v>
      </c>
      <c r="E58" s="59">
        <v>7.5121576657282002E-2</v>
      </c>
    </row>
    <row r="59" spans="2:5" ht="14.45" customHeight="1">
      <c r="B59" s="76" t="s">
        <v>69</v>
      </c>
      <c r="C59" s="62" t="s">
        <v>145</v>
      </c>
      <c r="D59" s="63">
        <v>42</v>
      </c>
      <c r="E59" s="64">
        <v>5.3749680061430001E-3</v>
      </c>
    </row>
    <row r="60" spans="2:5" ht="14.45" customHeight="1">
      <c r="B60" s="77"/>
      <c r="C60" s="62" t="s">
        <v>146</v>
      </c>
      <c r="D60" s="63">
        <v>53</v>
      </c>
      <c r="E60" s="64">
        <v>6.7826977220370004E-3</v>
      </c>
    </row>
    <row r="61" spans="2:5" ht="14.45" customHeight="1">
      <c r="B61" s="78" t="s">
        <v>294</v>
      </c>
      <c r="C61" s="57" t="s">
        <v>29</v>
      </c>
      <c r="D61" s="58">
        <v>95</v>
      </c>
      <c r="E61" s="59">
        <v>1.215766572818E-2</v>
      </c>
    </row>
    <row r="62" spans="2:5" ht="14.45" customHeight="1">
      <c r="B62" s="76" t="s">
        <v>72</v>
      </c>
      <c r="C62" s="62" t="s">
        <v>145</v>
      </c>
      <c r="D62" s="63">
        <v>36</v>
      </c>
      <c r="E62" s="64">
        <v>4.6071154338370003E-3</v>
      </c>
    </row>
    <row r="63" spans="2:5" ht="14.45" customHeight="1">
      <c r="B63" s="77"/>
      <c r="C63" s="62" t="s">
        <v>146</v>
      </c>
      <c r="D63" s="63">
        <v>44</v>
      </c>
      <c r="E63" s="64">
        <v>5.6309188635780003E-3</v>
      </c>
    </row>
    <row r="64" spans="2:5" ht="14.45" customHeight="1">
      <c r="B64" s="78" t="s">
        <v>295</v>
      </c>
      <c r="C64" s="57" t="s">
        <v>29</v>
      </c>
      <c r="D64" s="58">
        <v>80</v>
      </c>
      <c r="E64" s="59">
        <v>1.0238034297415001E-2</v>
      </c>
    </row>
    <row r="65" spans="2:5" ht="14.45" customHeight="1">
      <c r="B65" s="76" t="s">
        <v>73</v>
      </c>
      <c r="C65" s="62" t="s">
        <v>145</v>
      </c>
      <c r="D65" s="63">
        <v>34</v>
      </c>
      <c r="E65" s="64">
        <v>4.3511645764010001E-3</v>
      </c>
    </row>
    <row r="66" spans="2:5" ht="14.45" customHeight="1">
      <c r="B66" s="77"/>
      <c r="C66" s="62" t="s">
        <v>146</v>
      </c>
      <c r="D66" s="63">
        <v>40</v>
      </c>
      <c r="E66" s="64">
        <v>5.1190171487069999E-3</v>
      </c>
    </row>
    <row r="67" spans="2:5" ht="14.45" customHeight="1">
      <c r="B67" s="78" t="s">
        <v>296</v>
      </c>
      <c r="C67" s="57" t="s">
        <v>29</v>
      </c>
      <c r="D67" s="58">
        <v>74</v>
      </c>
      <c r="E67" s="59">
        <v>9.470181725109E-3</v>
      </c>
    </row>
    <row r="68" spans="2:5" ht="14.45" customHeight="1">
      <c r="B68" s="76" t="s">
        <v>94</v>
      </c>
      <c r="C68" s="62" t="s">
        <v>145</v>
      </c>
      <c r="D68" s="63">
        <v>3</v>
      </c>
      <c r="E68" s="64">
        <v>3.8392628615299999E-4</v>
      </c>
    </row>
    <row r="69" spans="2:5" ht="14.45" customHeight="1">
      <c r="B69" s="77"/>
      <c r="C69" s="62" t="s">
        <v>146</v>
      </c>
      <c r="D69" s="63">
        <v>2</v>
      </c>
      <c r="E69" s="64">
        <v>2.5595085743500002E-4</v>
      </c>
    </row>
    <row r="70" spans="2:5" ht="14.45" customHeight="1">
      <c r="B70" s="78" t="s">
        <v>297</v>
      </c>
      <c r="C70" s="57" t="s">
        <v>29</v>
      </c>
      <c r="D70" s="58">
        <v>5</v>
      </c>
      <c r="E70" s="59">
        <v>6.3987714358799996E-4</v>
      </c>
    </row>
    <row r="71" spans="2:5" ht="14.45" customHeight="1">
      <c r="B71" s="76" t="s">
        <v>53</v>
      </c>
      <c r="C71" s="62" t="s">
        <v>145</v>
      </c>
      <c r="D71" s="63">
        <v>222</v>
      </c>
      <c r="E71" s="64">
        <v>2.8410545175325999E-2</v>
      </c>
    </row>
    <row r="72" spans="2:5" ht="14.45" customHeight="1">
      <c r="B72" s="77"/>
      <c r="C72" s="62" t="s">
        <v>146</v>
      </c>
      <c r="D72" s="63">
        <v>238</v>
      </c>
      <c r="E72" s="64">
        <v>3.0458152034809002E-2</v>
      </c>
    </row>
    <row r="73" spans="2:5" ht="14.45" customHeight="1">
      <c r="B73" s="78" t="s">
        <v>298</v>
      </c>
      <c r="C73" s="57" t="s">
        <v>29</v>
      </c>
      <c r="D73" s="58">
        <v>460</v>
      </c>
      <c r="E73" s="59">
        <v>5.8868697210136003E-2</v>
      </c>
    </row>
    <row r="74" spans="2:5" ht="14.45" customHeight="1">
      <c r="B74" s="76" t="s">
        <v>74</v>
      </c>
      <c r="C74" s="62" t="s">
        <v>145</v>
      </c>
      <c r="D74" s="63">
        <v>28</v>
      </c>
      <c r="E74" s="64">
        <v>3.5833120040949999E-3</v>
      </c>
    </row>
    <row r="75" spans="2:5" ht="14.45" customHeight="1">
      <c r="B75" s="77"/>
      <c r="C75" s="62" t="s">
        <v>146</v>
      </c>
      <c r="D75" s="63">
        <v>40</v>
      </c>
      <c r="E75" s="64">
        <v>5.1190171487069999E-3</v>
      </c>
    </row>
    <row r="76" spans="2:5" ht="14.45" customHeight="1">
      <c r="B76" s="78" t="s">
        <v>299</v>
      </c>
      <c r="C76" s="57" t="s">
        <v>29</v>
      </c>
      <c r="D76" s="58">
        <v>68</v>
      </c>
      <c r="E76" s="59">
        <v>8.7023291528029994E-3</v>
      </c>
    </row>
    <row r="77" spans="2:5" ht="14.45" customHeight="1">
      <c r="B77" s="76" t="s">
        <v>50</v>
      </c>
      <c r="C77" s="62" t="s">
        <v>145</v>
      </c>
      <c r="D77" s="63">
        <v>975</v>
      </c>
      <c r="E77" s="64">
        <v>0.124776042999744</v>
      </c>
    </row>
    <row r="78" spans="2:5" ht="14.45" customHeight="1">
      <c r="B78" s="77"/>
      <c r="C78" s="62" t="s">
        <v>146</v>
      </c>
      <c r="D78" s="63">
        <v>929</v>
      </c>
      <c r="E78" s="64">
        <v>0.11888917327873</v>
      </c>
    </row>
    <row r="79" spans="2:5" ht="14.45" customHeight="1">
      <c r="B79" s="78" t="s">
        <v>300</v>
      </c>
      <c r="C79" s="57" t="s">
        <v>29</v>
      </c>
      <c r="D79" s="58">
        <v>1904</v>
      </c>
      <c r="E79" s="59">
        <v>0.24366521627847501</v>
      </c>
    </row>
    <row r="80" spans="2:5" ht="14.45" customHeight="1">
      <c r="B80" s="76" t="s">
        <v>85</v>
      </c>
      <c r="C80" s="62" t="s">
        <v>145</v>
      </c>
      <c r="D80" s="63">
        <v>14</v>
      </c>
      <c r="E80" s="64">
        <v>1.791656002048E-3</v>
      </c>
    </row>
    <row r="81" spans="2:5" ht="14.45" customHeight="1">
      <c r="B81" s="77"/>
      <c r="C81" s="62" t="s">
        <v>146</v>
      </c>
      <c r="D81" s="63">
        <v>14</v>
      </c>
      <c r="E81" s="64">
        <v>1.791656002048E-3</v>
      </c>
    </row>
    <row r="82" spans="2:5" ht="14.45" customHeight="1">
      <c r="B82" s="78" t="s">
        <v>301</v>
      </c>
      <c r="C82" s="57" t="s">
        <v>29</v>
      </c>
      <c r="D82" s="58">
        <v>28</v>
      </c>
      <c r="E82" s="59">
        <v>3.5833120040949999E-3</v>
      </c>
    </row>
    <row r="83" spans="2:5" ht="14.45" customHeight="1">
      <c r="B83" s="76" t="s">
        <v>86</v>
      </c>
      <c r="C83" s="62" t="s">
        <v>145</v>
      </c>
      <c r="D83" s="63">
        <v>9</v>
      </c>
      <c r="E83" s="64">
        <v>1.1517788584590001E-3</v>
      </c>
    </row>
    <row r="84" spans="2:5" ht="14.45" customHeight="1">
      <c r="B84" s="77"/>
      <c r="C84" s="62" t="s">
        <v>146</v>
      </c>
      <c r="D84" s="63">
        <v>16</v>
      </c>
      <c r="E84" s="64">
        <v>2.047606859483E-3</v>
      </c>
    </row>
    <row r="85" spans="2:5" ht="14.45" customHeight="1">
      <c r="B85" s="78" t="s">
        <v>302</v>
      </c>
      <c r="C85" s="57" t="s">
        <v>29</v>
      </c>
      <c r="D85" s="58">
        <v>25</v>
      </c>
      <c r="E85" s="59">
        <v>3.199385717942E-3</v>
      </c>
    </row>
    <row r="86" spans="2:5" ht="14.45" customHeight="1">
      <c r="B86" s="76" t="s">
        <v>81</v>
      </c>
      <c r="C86" s="62" t="s">
        <v>145</v>
      </c>
      <c r="D86" s="63">
        <v>16</v>
      </c>
      <c r="E86" s="64">
        <v>2.047606859483E-3</v>
      </c>
    </row>
    <row r="87" spans="2:5" ht="14.45" customHeight="1">
      <c r="B87" s="77"/>
      <c r="C87" s="62" t="s">
        <v>146</v>
      </c>
      <c r="D87" s="63">
        <v>14</v>
      </c>
      <c r="E87" s="64">
        <v>1.791656002048E-3</v>
      </c>
    </row>
    <row r="88" spans="2:5" ht="14.45" customHeight="1">
      <c r="B88" s="78" t="s">
        <v>303</v>
      </c>
      <c r="C88" s="57" t="s">
        <v>29</v>
      </c>
      <c r="D88" s="58">
        <v>30</v>
      </c>
      <c r="E88" s="59">
        <v>3.8392628615310002E-3</v>
      </c>
    </row>
    <row r="89" spans="2:5" ht="14.45" customHeight="1">
      <c r="B89" s="76" t="s">
        <v>96</v>
      </c>
      <c r="C89" s="62" t="s">
        <v>146</v>
      </c>
      <c r="D89" s="63">
        <v>4</v>
      </c>
      <c r="E89" s="64">
        <v>5.1190171487100001E-4</v>
      </c>
    </row>
    <row r="90" spans="2:5" ht="14.45" customHeight="1">
      <c r="B90" s="78"/>
      <c r="C90" s="57" t="s">
        <v>29</v>
      </c>
      <c r="D90" s="58">
        <v>4</v>
      </c>
      <c r="E90" s="59">
        <v>5.1190171487100001E-4</v>
      </c>
    </row>
    <row r="91" spans="2:5" ht="14.45" customHeight="1">
      <c r="B91" s="76" t="s">
        <v>97</v>
      </c>
      <c r="C91" s="62" t="s">
        <v>145</v>
      </c>
      <c r="D91" s="63">
        <v>2</v>
      </c>
      <c r="E91" s="64">
        <v>2.5595085743500002E-4</v>
      </c>
    </row>
    <row r="92" spans="2:5" ht="14.45" customHeight="1">
      <c r="B92" s="78" t="s">
        <v>304</v>
      </c>
      <c r="C92" s="57" t="s">
        <v>29</v>
      </c>
      <c r="D92" s="58">
        <v>2</v>
      </c>
      <c r="E92" s="59">
        <v>2.5595085743500002E-4</v>
      </c>
    </row>
    <row r="93" spans="2:5" ht="14.45" customHeight="1">
      <c r="B93" s="76" t="s">
        <v>87</v>
      </c>
      <c r="C93" s="62" t="s">
        <v>145</v>
      </c>
      <c r="D93" s="63">
        <v>7</v>
      </c>
      <c r="E93" s="64">
        <v>8.9582800102399999E-4</v>
      </c>
    </row>
    <row r="94" spans="2:5" ht="14.45" customHeight="1">
      <c r="B94" s="77"/>
      <c r="C94" s="62" t="s">
        <v>146</v>
      </c>
      <c r="D94" s="63">
        <v>16</v>
      </c>
      <c r="E94" s="64">
        <v>2.047606859483E-3</v>
      </c>
    </row>
    <row r="95" spans="2:5" ht="14.45" customHeight="1">
      <c r="B95" s="78" t="s">
        <v>305</v>
      </c>
      <c r="C95" s="57" t="s">
        <v>29</v>
      </c>
      <c r="D95" s="58">
        <v>23</v>
      </c>
      <c r="E95" s="59">
        <v>2.9434348605069998E-3</v>
      </c>
    </row>
    <row r="96" spans="2:5" ht="14.45" customHeight="1">
      <c r="B96" s="76" t="s">
        <v>88</v>
      </c>
      <c r="C96" s="62" t="s">
        <v>145</v>
      </c>
      <c r="D96" s="63">
        <v>6</v>
      </c>
      <c r="E96" s="64">
        <v>7.6785257230599997E-4</v>
      </c>
    </row>
    <row r="97" spans="2:5" ht="14.45" customHeight="1">
      <c r="B97" s="77"/>
      <c r="C97" s="62" t="s">
        <v>146</v>
      </c>
      <c r="D97" s="63">
        <v>12</v>
      </c>
      <c r="E97" s="64">
        <v>1.5357051446119999E-3</v>
      </c>
    </row>
    <row r="98" spans="2:5" ht="14.45" customHeight="1">
      <c r="B98" s="78" t="s">
        <v>306</v>
      </c>
      <c r="C98" s="57" t="s">
        <v>29</v>
      </c>
      <c r="D98" s="58">
        <v>18</v>
      </c>
      <c r="E98" s="59">
        <v>2.3035577169180001E-3</v>
      </c>
    </row>
    <row r="99" spans="2:5" ht="14.45" customHeight="1">
      <c r="B99" s="76" t="s">
        <v>76</v>
      </c>
      <c r="C99" s="62" t="s">
        <v>145</v>
      </c>
      <c r="D99" s="63">
        <v>24</v>
      </c>
      <c r="E99" s="64">
        <v>3.0714102892239999E-3</v>
      </c>
    </row>
    <row r="100" spans="2:5" ht="14.45" customHeight="1">
      <c r="B100" s="77"/>
      <c r="C100" s="62" t="s">
        <v>146</v>
      </c>
      <c r="D100" s="63">
        <v>30</v>
      </c>
      <c r="E100" s="64">
        <v>3.8392628615310002E-3</v>
      </c>
    </row>
    <row r="101" spans="2:5" ht="14.45" customHeight="1">
      <c r="B101" s="78" t="s">
        <v>307</v>
      </c>
      <c r="C101" s="57" t="s">
        <v>29</v>
      </c>
      <c r="D101" s="58">
        <v>54</v>
      </c>
      <c r="E101" s="59">
        <v>6.9106731507549996E-3</v>
      </c>
    </row>
    <row r="102" spans="2:5" ht="14.45" customHeight="1">
      <c r="B102" s="76" t="s">
        <v>77</v>
      </c>
      <c r="C102" s="62" t="s">
        <v>145</v>
      </c>
      <c r="D102" s="63">
        <v>22</v>
      </c>
      <c r="E102" s="64">
        <v>2.8154594317890001E-3</v>
      </c>
    </row>
    <row r="103" spans="2:5" ht="14.45" customHeight="1">
      <c r="B103" s="77"/>
      <c r="C103" s="62" t="s">
        <v>146</v>
      </c>
      <c r="D103" s="63">
        <v>26</v>
      </c>
      <c r="E103" s="64">
        <v>3.3273611466600002E-3</v>
      </c>
    </row>
    <row r="104" spans="2:5" ht="14.45" customHeight="1">
      <c r="B104" s="78" t="s">
        <v>308</v>
      </c>
      <c r="C104" s="57" t="s">
        <v>29</v>
      </c>
      <c r="D104" s="58">
        <v>48</v>
      </c>
      <c r="E104" s="59">
        <v>6.1428205784489999E-3</v>
      </c>
    </row>
    <row r="105" spans="2:5" ht="14.45" customHeight="1">
      <c r="B105" s="76" t="s">
        <v>70</v>
      </c>
      <c r="C105" s="62" t="s">
        <v>145</v>
      </c>
      <c r="D105" s="63">
        <v>32</v>
      </c>
      <c r="E105" s="64">
        <v>4.0952137189659999E-3</v>
      </c>
    </row>
    <row r="106" spans="2:5" ht="14.45" customHeight="1">
      <c r="B106" s="77"/>
      <c r="C106" s="62" t="s">
        <v>146</v>
      </c>
      <c r="D106" s="63">
        <v>62</v>
      </c>
      <c r="E106" s="64">
        <v>7.9344765804970005E-3</v>
      </c>
    </row>
    <row r="107" spans="2:5" ht="14.45" customHeight="1">
      <c r="B107" s="78" t="s">
        <v>309</v>
      </c>
      <c r="C107" s="57" t="s">
        <v>29</v>
      </c>
      <c r="D107" s="58">
        <v>94</v>
      </c>
      <c r="E107" s="59">
        <v>1.2029690299463E-2</v>
      </c>
    </row>
    <row r="108" spans="2:5" ht="14.45" customHeight="1">
      <c r="B108" s="76" t="s">
        <v>71</v>
      </c>
      <c r="C108" s="62" t="s">
        <v>145</v>
      </c>
      <c r="D108" s="63">
        <v>36</v>
      </c>
      <c r="E108" s="64">
        <v>4.6071154338370003E-3</v>
      </c>
    </row>
    <row r="109" spans="2:5" ht="14.45" customHeight="1">
      <c r="B109" s="77"/>
      <c r="C109" s="62" t="s">
        <v>146</v>
      </c>
      <c r="D109" s="63">
        <v>50</v>
      </c>
      <c r="E109" s="64">
        <v>6.398771435884E-3</v>
      </c>
    </row>
    <row r="110" spans="2:5" ht="14.45" customHeight="1">
      <c r="B110" s="78" t="s">
        <v>310</v>
      </c>
      <c r="C110" s="57" t="s">
        <v>29</v>
      </c>
      <c r="D110" s="58">
        <v>86</v>
      </c>
      <c r="E110" s="59">
        <v>1.1005886869721E-2</v>
      </c>
    </row>
    <row r="111" spans="2:5" ht="14.45" customHeight="1">
      <c r="B111" s="76" t="s">
        <v>59</v>
      </c>
      <c r="C111" s="62" t="s">
        <v>145</v>
      </c>
      <c r="D111" s="63">
        <v>103</v>
      </c>
      <c r="E111" s="64">
        <v>1.3181469157922E-2</v>
      </c>
    </row>
    <row r="112" spans="2:5" ht="14.45" customHeight="1">
      <c r="B112" s="77"/>
      <c r="C112" s="62" t="s">
        <v>146</v>
      </c>
      <c r="D112" s="63">
        <v>135</v>
      </c>
      <c r="E112" s="64">
        <v>1.7276682876888001E-2</v>
      </c>
    </row>
    <row r="113" spans="2:5" ht="14.45" customHeight="1">
      <c r="B113" s="78" t="s">
        <v>311</v>
      </c>
      <c r="C113" s="57" t="s">
        <v>29</v>
      </c>
      <c r="D113" s="58">
        <v>238</v>
      </c>
      <c r="E113" s="59">
        <v>3.0458152034809002E-2</v>
      </c>
    </row>
    <row r="114" spans="2:5" ht="14.45" customHeight="1">
      <c r="B114" s="76" t="s">
        <v>67</v>
      </c>
      <c r="C114" s="62" t="s">
        <v>145</v>
      </c>
      <c r="D114" s="63">
        <v>43</v>
      </c>
      <c r="E114" s="64">
        <v>5.5029434348610002E-3</v>
      </c>
    </row>
    <row r="115" spans="2:5" ht="14.45" customHeight="1">
      <c r="B115" s="77"/>
      <c r="C115" s="62" t="s">
        <v>146</v>
      </c>
      <c r="D115" s="63">
        <v>62</v>
      </c>
      <c r="E115" s="64">
        <v>7.9344765804970005E-3</v>
      </c>
    </row>
    <row r="116" spans="2:5" ht="14.45" customHeight="1">
      <c r="B116" s="78" t="s">
        <v>312</v>
      </c>
      <c r="C116" s="57" t="s">
        <v>29</v>
      </c>
      <c r="D116" s="58">
        <v>105</v>
      </c>
      <c r="E116" s="59">
        <v>1.3437420015357001E-2</v>
      </c>
    </row>
    <row r="117" spans="2:5" ht="14.45" customHeight="1">
      <c r="B117" s="76" t="s">
        <v>100</v>
      </c>
      <c r="C117" s="62" t="s">
        <v>146</v>
      </c>
      <c r="D117" s="63">
        <v>1</v>
      </c>
      <c r="E117" s="64">
        <v>1.2797542871799999E-4</v>
      </c>
    </row>
    <row r="118" spans="2:5" ht="14.45" customHeight="1">
      <c r="B118" s="78" t="s">
        <v>313</v>
      </c>
      <c r="C118" s="57" t="s">
        <v>29</v>
      </c>
      <c r="D118" s="58">
        <v>1</v>
      </c>
      <c r="E118" s="59">
        <v>1.2797542871799999E-4</v>
      </c>
    </row>
    <row r="119" spans="2:5" ht="14.45" customHeight="1">
      <c r="B119" s="76" t="s">
        <v>61</v>
      </c>
      <c r="C119" s="62" t="s">
        <v>145</v>
      </c>
      <c r="D119" s="63">
        <v>89</v>
      </c>
      <c r="E119" s="64">
        <v>1.1389813155874E-2</v>
      </c>
    </row>
    <row r="120" spans="2:5" ht="14.45" customHeight="1">
      <c r="B120" s="77"/>
      <c r="C120" s="62" t="s">
        <v>146</v>
      </c>
      <c r="D120" s="63">
        <v>108</v>
      </c>
      <c r="E120" s="64">
        <v>1.3821346301509999E-2</v>
      </c>
    </row>
    <row r="121" spans="2:5" ht="14.45" customHeight="1">
      <c r="B121" s="78" t="s">
        <v>314</v>
      </c>
      <c r="C121" s="57" t="s">
        <v>29</v>
      </c>
      <c r="D121" s="58">
        <v>197</v>
      </c>
      <c r="E121" s="59">
        <v>2.5211159457383999E-2</v>
      </c>
    </row>
    <row r="122" spans="2:5" ht="14.45" customHeight="1">
      <c r="B122" s="76" t="s">
        <v>54</v>
      </c>
      <c r="C122" s="62" t="s">
        <v>145</v>
      </c>
      <c r="D122" s="63">
        <v>154</v>
      </c>
      <c r="E122" s="64">
        <v>1.9708216022524001E-2</v>
      </c>
    </row>
    <row r="123" spans="2:5" ht="14.45" customHeight="1">
      <c r="B123" s="77"/>
      <c r="C123" s="62" t="s">
        <v>146</v>
      </c>
      <c r="D123" s="63">
        <v>238</v>
      </c>
      <c r="E123" s="64">
        <v>3.0458152034809002E-2</v>
      </c>
    </row>
    <row r="124" spans="2:5" ht="14.45" customHeight="1">
      <c r="B124" s="78" t="s">
        <v>315</v>
      </c>
      <c r="C124" s="57" t="s">
        <v>29</v>
      </c>
      <c r="D124" s="58">
        <v>392</v>
      </c>
      <c r="E124" s="59">
        <v>5.0166368057333002E-2</v>
      </c>
    </row>
    <row r="125" spans="2:5" ht="14.45" customHeight="1">
      <c r="B125" s="76" t="s">
        <v>62</v>
      </c>
      <c r="C125" s="62" t="s">
        <v>145</v>
      </c>
      <c r="D125" s="63">
        <v>75</v>
      </c>
      <c r="E125" s="64">
        <v>9.5981571538260001E-3</v>
      </c>
    </row>
    <row r="126" spans="2:5" ht="14.45" customHeight="1">
      <c r="B126" s="77"/>
      <c r="C126" s="62" t="s">
        <v>146</v>
      </c>
      <c r="D126" s="63">
        <v>101</v>
      </c>
      <c r="E126" s="64">
        <v>1.2925518300485999E-2</v>
      </c>
    </row>
    <row r="127" spans="2:5" ht="14.45" customHeight="1">
      <c r="B127" s="78" t="s">
        <v>316</v>
      </c>
      <c r="C127" s="57" t="s">
        <v>29</v>
      </c>
      <c r="D127" s="58">
        <v>176</v>
      </c>
      <c r="E127" s="59">
        <v>2.2523675454313E-2</v>
      </c>
    </row>
    <row r="128" spans="2:5" ht="14.45" customHeight="1">
      <c r="B128" s="76" t="s">
        <v>68</v>
      </c>
      <c r="C128" s="62" t="s">
        <v>145</v>
      </c>
      <c r="D128" s="63">
        <v>44</v>
      </c>
      <c r="E128" s="64">
        <v>5.6309188635780003E-3</v>
      </c>
    </row>
    <row r="129" spans="2:5" ht="14.45" customHeight="1">
      <c r="B129" s="77"/>
      <c r="C129" s="62" t="s">
        <v>146</v>
      </c>
      <c r="D129" s="63">
        <v>57</v>
      </c>
      <c r="E129" s="64">
        <v>7.2945994369079999E-3</v>
      </c>
    </row>
    <row r="130" spans="2:5" ht="14.45" customHeight="1">
      <c r="B130" s="78" t="s">
        <v>317</v>
      </c>
      <c r="C130" s="57" t="s">
        <v>29</v>
      </c>
      <c r="D130" s="58">
        <v>101</v>
      </c>
      <c r="E130" s="59">
        <v>1.2925518300485999E-2</v>
      </c>
    </row>
    <row r="131" spans="2:5" ht="14.45" customHeight="1">
      <c r="B131" s="76" t="s">
        <v>89</v>
      </c>
      <c r="C131" s="62" t="s">
        <v>145</v>
      </c>
      <c r="D131" s="63">
        <v>9</v>
      </c>
      <c r="E131" s="64">
        <v>1.1517788584590001E-3</v>
      </c>
    </row>
    <row r="132" spans="2:5" ht="14.45" customHeight="1">
      <c r="B132" s="77"/>
      <c r="C132" s="62" t="s">
        <v>146</v>
      </c>
      <c r="D132" s="63">
        <v>8</v>
      </c>
      <c r="E132" s="64">
        <v>1.0238034297409999E-3</v>
      </c>
    </row>
    <row r="133" spans="2:5" ht="14.45" customHeight="1">
      <c r="B133" s="78" t="s">
        <v>318</v>
      </c>
      <c r="C133" s="57" t="s">
        <v>29</v>
      </c>
      <c r="D133" s="58">
        <v>17</v>
      </c>
      <c r="E133" s="59">
        <v>2.1755822882010001E-3</v>
      </c>
    </row>
    <row r="134" spans="2:5" ht="14.45" customHeight="1">
      <c r="B134" s="76" t="s">
        <v>52</v>
      </c>
      <c r="C134" s="62" t="s">
        <v>145</v>
      </c>
      <c r="D134" s="63">
        <v>278</v>
      </c>
      <c r="E134" s="64">
        <v>3.5577169183516999E-2</v>
      </c>
    </row>
    <row r="135" spans="2:5" ht="14.45" customHeight="1">
      <c r="B135" s="77"/>
      <c r="C135" s="62" t="s">
        <v>146</v>
      </c>
      <c r="D135" s="63">
        <v>292</v>
      </c>
      <c r="E135" s="64">
        <v>3.7368825185564003E-2</v>
      </c>
    </row>
    <row r="136" spans="2:5" ht="14.45" customHeight="1">
      <c r="B136" s="78" t="s">
        <v>319</v>
      </c>
      <c r="C136" s="57" t="s">
        <v>29</v>
      </c>
      <c r="D136" s="58">
        <v>570</v>
      </c>
      <c r="E136" s="59">
        <v>7.2945994369081002E-2</v>
      </c>
    </row>
    <row r="137" spans="2:5" ht="14.45" customHeight="1">
      <c r="B137" s="76" t="s">
        <v>57</v>
      </c>
      <c r="C137" s="62" t="s">
        <v>145</v>
      </c>
      <c r="D137" s="63">
        <v>160</v>
      </c>
      <c r="E137" s="64">
        <v>2.0476068594830001E-2</v>
      </c>
    </row>
    <row r="138" spans="2:5" ht="14.45" customHeight="1">
      <c r="B138" s="77"/>
      <c r="C138" s="62" t="s">
        <v>146</v>
      </c>
      <c r="D138" s="63">
        <v>140</v>
      </c>
      <c r="E138" s="64">
        <v>1.7916560020476001E-2</v>
      </c>
    </row>
    <row r="139" spans="2:5" ht="14.45" customHeight="1">
      <c r="B139" s="78" t="s">
        <v>320</v>
      </c>
      <c r="C139" s="57" t="s">
        <v>29</v>
      </c>
      <c r="D139" s="58">
        <v>300</v>
      </c>
      <c r="E139" s="59">
        <v>3.8392628615305999E-2</v>
      </c>
    </row>
    <row r="140" spans="2:5" ht="14.45" customHeight="1">
      <c r="B140" s="76" t="s">
        <v>64</v>
      </c>
      <c r="C140" s="62" t="s">
        <v>145</v>
      </c>
      <c r="D140" s="63">
        <v>66</v>
      </c>
      <c r="E140" s="64">
        <v>8.4463782953669991E-3</v>
      </c>
    </row>
    <row r="141" spans="2:5" ht="14.45" customHeight="1">
      <c r="B141" s="77"/>
      <c r="C141" s="62" t="s">
        <v>146</v>
      </c>
      <c r="D141" s="63">
        <v>78</v>
      </c>
      <c r="E141" s="64">
        <v>9.9820834399799996E-3</v>
      </c>
    </row>
    <row r="142" spans="2:5" ht="14.45" customHeight="1">
      <c r="B142" s="78" t="s">
        <v>321</v>
      </c>
      <c r="C142" s="57" t="s">
        <v>29</v>
      </c>
      <c r="D142" s="58">
        <v>144</v>
      </c>
      <c r="E142" s="59">
        <v>1.8428461735346999E-2</v>
      </c>
    </row>
    <row r="143" spans="2:5" ht="14.45" customHeight="1">
      <c r="B143" s="76" t="s">
        <v>56</v>
      </c>
      <c r="C143" s="62" t="s">
        <v>145</v>
      </c>
      <c r="D143" s="63">
        <v>136</v>
      </c>
      <c r="E143" s="64">
        <v>1.7404658305605E-2</v>
      </c>
    </row>
    <row r="144" spans="2:5" ht="14.45" customHeight="1">
      <c r="B144" s="77"/>
      <c r="C144" s="62" t="s">
        <v>146</v>
      </c>
      <c r="D144" s="63">
        <v>171</v>
      </c>
      <c r="E144" s="64">
        <v>2.1883798310724002E-2</v>
      </c>
    </row>
    <row r="145" spans="2:5" ht="14.45" customHeight="1">
      <c r="B145" s="78" t="s">
        <v>322</v>
      </c>
      <c r="C145" s="57" t="s">
        <v>29</v>
      </c>
      <c r="D145" s="58">
        <v>307</v>
      </c>
      <c r="E145" s="59">
        <v>3.928845661633E-2</v>
      </c>
    </row>
    <row r="146" spans="2:5" ht="14.45" customHeight="1">
      <c r="B146" s="76" t="s">
        <v>55</v>
      </c>
      <c r="C146" s="62" t="s">
        <v>145</v>
      </c>
      <c r="D146" s="63">
        <v>200</v>
      </c>
      <c r="E146" s="64">
        <v>2.5595085743536999E-2</v>
      </c>
    </row>
    <row r="147" spans="2:5" ht="14.45" customHeight="1">
      <c r="B147" s="77"/>
      <c r="C147" s="62" t="s">
        <v>146</v>
      </c>
      <c r="D147" s="63">
        <v>192</v>
      </c>
      <c r="E147" s="64">
        <v>2.4571282313795999E-2</v>
      </c>
    </row>
    <row r="148" spans="2:5" ht="14.45" customHeight="1">
      <c r="B148" s="78" t="s">
        <v>323</v>
      </c>
      <c r="C148" s="57" t="s">
        <v>29</v>
      </c>
      <c r="D148" s="58">
        <v>392</v>
      </c>
      <c r="E148" s="59">
        <v>5.0166368057333002E-2</v>
      </c>
    </row>
    <row r="149" spans="2:5" ht="14.45" customHeight="1">
      <c r="B149" s="76" t="s">
        <v>75</v>
      </c>
      <c r="C149" s="62" t="s">
        <v>145</v>
      </c>
      <c r="D149" s="63">
        <v>17</v>
      </c>
      <c r="E149" s="64">
        <v>2.1755822882010001E-3</v>
      </c>
    </row>
    <row r="150" spans="2:5" ht="14.45" customHeight="1">
      <c r="B150" s="77"/>
      <c r="C150" s="62" t="s">
        <v>146</v>
      </c>
      <c r="D150" s="63">
        <v>45</v>
      </c>
      <c r="E150" s="64">
        <v>5.7588942922960004E-3</v>
      </c>
    </row>
    <row r="151" spans="2:5" ht="14.45" customHeight="1">
      <c r="B151" s="78" t="s">
        <v>324</v>
      </c>
      <c r="C151" s="57" t="s">
        <v>29</v>
      </c>
      <c r="D151" s="58">
        <v>62</v>
      </c>
      <c r="E151" s="59">
        <v>7.9344765804970005E-3</v>
      </c>
    </row>
    <row r="152" spans="2:5" ht="14.45" customHeight="1">
      <c r="B152" s="76" t="s">
        <v>83</v>
      </c>
      <c r="C152" s="62" t="s">
        <v>145</v>
      </c>
      <c r="D152" s="63">
        <v>12</v>
      </c>
      <c r="E152" s="64">
        <v>1.5357051446119999E-3</v>
      </c>
    </row>
    <row r="153" spans="2:5" ht="14.45" customHeight="1">
      <c r="B153" s="77"/>
      <c r="C153" s="62" t="s">
        <v>146</v>
      </c>
      <c r="D153" s="63">
        <v>17</v>
      </c>
      <c r="E153" s="64">
        <v>2.1755822882010001E-3</v>
      </c>
    </row>
    <row r="154" spans="2:5" ht="14.45" customHeight="1">
      <c r="B154" s="78" t="s">
        <v>325</v>
      </c>
      <c r="C154" s="57" t="s">
        <v>29</v>
      </c>
      <c r="D154" s="58">
        <v>29</v>
      </c>
      <c r="E154" s="59">
        <v>3.711287432813E-3</v>
      </c>
    </row>
    <row r="155" spans="2:5" ht="14.45" customHeight="1">
      <c r="B155" s="76" t="s">
        <v>82</v>
      </c>
      <c r="C155" s="62" t="s">
        <v>145</v>
      </c>
      <c r="D155" s="63">
        <v>14</v>
      </c>
      <c r="E155" s="64">
        <v>1.791656002048E-3</v>
      </c>
    </row>
    <row r="156" spans="2:5" ht="14.45" customHeight="1">
      <c r="B156" s="77"/>
      <c r="C156" s="62" t="s">
        <v>146</v>
      </c>
      <c r="D156" s="63">
        <v>16</v>
      </c>
      <c r="E156" s="64">
        <v>2.047606859483E-3</v>
      </c>
    </row>
    <row r="157" spans="2:5" ht="14.45" customHeight="1">
      <c r="B157" s="78" t="s">
        <v>187</v>
      </c>
      <c r="C157" s="57" t="s">
        <v>29</v>
      </c>
      <c r="D157" s="58">
        <v>30</v>
      </c>
      <c r="E157" s="59">
        <v>3.8392628615310002E-3</v>
      </c>
    </row>
    <row r="158" spans="2:5" ht="14.45" customHeight="1">
      <c r="B158" s="76" t="s">
        <v>91</v>
      </c>
      <c r="C158" s="62" t="s">
        <v>145</v>
      </c>
      <c r="D158" s="63">
        <v>7</v>
      </c>
      <c r="E158" s="64">
        <v>8.9582800102399999E-4</v>
      </c>
    </row>
    <row r="159" spans="2:5" ht="14.45" customHeight="1">
      <c r="B159" s="77"/>
      <c r="C159" s="62" t="s">
        <v>146</v>
      </c>
      <c r="D159" s="63">
        <v>4</v>
      </c>
      <c r="E159" s="64">
        <v>5.1190171487100001E-4</v>
      </c>
    </row>
    <row r="160" spans="2:5" ht="14.45" customHeight="1">
      <c r="B160" s="78" t="s">
        <v>326</v>
      </c>
      <c r="C160" s="57" t="s">
        <v>29</v>
      </c>
      <c r="D160" s="58">
        <v>11</v>
      </c>
      <c r="E160" s="59">
        <v>1.4077297158950001E-3</v>
      </c>
    </row>
    <row r="161" spans="2:5" ht="14.45" customHeight="1">
      <c r="B161" s="83" t="s">
        <v>29</v>
      </c>
      <c r="C161" s="84"/>
      <c r="D161" s="55">
        <v>7814</v>
      </c>
      <c r="E161" s="56">
        <v>1</v>
      </c>
    </row>
    <row r="162" spans="2:5" ht="14.45" customHeight="1"/>
    <row r="163" spans="2:5" ht="14.45" customHeight="1">
      <c r="B163" s="15" t="s">
        <v>47</v>
      </c>
    </row>
    <row r="164" spans="2:5" ht="14.45" customHeight="1">
      <c r="B164" s="17" t="s">
        <v>18</v>
      </c>
    </row>
    <row r="165" spans="2:5" ht="14.45" customHeight="1">
      <c r="B165" s="16" t="s">
        <v>48</v>
      </c>
    </row>
    <row r="166" spans="2:5" ht="14.45" customHeight="1">
      <c r="B166" s="15" t="s">
        <v>17</v>
      </c>
    </row>
    <row r="167" spans="2:5" ht="14.45" customHeight="1">
      <c r="B167" s="15" t="s">
        <v>49</v>
      </c>
    </row>
  </sheetData>
  <mergeCells count="53">
    <mergeCell ref="B158:B160"/>
    <mergeCell ref="B161:C161"/>
    <mergeCell ref="B143:B145"/>
    <mergeCell ref="B146:B148"/>
    <mergeCell ref="B149:B151"/>
    <mergeCell ref="B152:B154"/>
    <mergeCell ref="B155:B157"/>
    <mergeCell ref="B128:B130"/>
    <mergeCell ref="B131:B133"/>
    <mergeCell ref="B134:B136"/>
    <mergeCell ref="B137:B139"/>
    <mergeCell ref="B140:B142"/>
    <mergeCell ref="B114:B116"/>
    <mergeCell ref="B25:B27"/>
    <mergeCell ref="B28:B30"/>
    <mergeCell ref="B31:B33"/>
    <mergeCell ref="B34:B36"/>
    <mergeCell ref="B37:B39"/>
    <mergeCell ref="B40:B41"/>
    <mergeCell ref="B42:B44"/>
    <mergeCell ref="B45:B47"/>
    <mergeCell ref="B48:B49"/>
    <mergeCell ref="B50:B52"/>
    <mergeCell ref="B53:B55"/>
    <mergeCell ref="B56:B58"/>
    <mergeCell ref="B59:B61"/>
    <mergeCell ref="B86:B88"/>
    <mergeCell ref="B89:B90"/>
    <mergeCell ref="B117:B118"/>
    <mergeCell ref="B119:B121"/>
    <mergeCell ref="B122:B124"/>
    <mergeCell ref="B125:B127"/>
    <mergeCell ref="B62:B64"/>
    <mergeCell ref="B65:B67"/>
    <mergeCell ref="B80:B82"/>
    <mergeCell ref="B83:B85"/>
    <mergeCell ref="B68:B70"/>
    <mergeCell ref="B71:B73"/>
    <mergeCell ref="B74:B76"/>
    <mergeCell ref="B77:B79"/>
    <mergeCell ref="B102:B104"/>
    <mergeCell ref="B105:B107"/>
    <mergeCell ref="B108:B110"/>
    <mergeCell ref="B111:B113"/>
    <mergeCell ref="B8:E10"/>
    <mergeCell ref="B91:B92"/>
    <mergeCell ref="B93:B95"/>
    <mergeCell ref="B96:B98"/>
    <mergeCell ref="B99:B101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52"/>
  <sheetViews>
    <sheetView showGridLines="0" view="pageBreakPreview" topLeftCell="A132" zoomScaleNormal="100" zoomScaleSheetLayoutView="100" workbookViewId="0">
      <selection activeCell="D26" sqref="D26"/>
    </sheetView>
  </sheetViews>
  <sheetFormatPr baseColWidth="10" defaultColWidth="11.42578125" defaultRowHeight="11.25"/>
  <cols>
    <col min="1" max="1" width="5.7109375" style="25" customWidth="1"/>
    <col min="2" max="3" width="25.7109375" style="40" customWidth="1"/>
    <col min="4" max="4" width="15.7109375" style="44" customWidth="1"/>
    <col min="5" max="5" width="15.7109375" style="40" customWidth="1"/>
    <col min="6" max="6" width="2.42578125" style="25" customWidth="1"/>
    <col min="7" max="16384" width="11.42578125" style="25"/>
  </cols>
  <sheetData>
    <row r="1" spans="2:6" s="13" customFormat="1" ht="15">
      <c r="B1" s="40"/>
      <c r="C1" s="40"/>
    </row>
    <row r="2" spans="2:6" s="40" customFormat="1">
      <c r="B2" s="50"/>
    </row>
    <row r="3" spans="2:6" ht="15" customHeight="1">
      <c r="B3" s="51"/>
      <c r="C3" s="31"/>
      <c r="D3" s="25"/>
      <c r="F3" s="40"/>
    </row>
    <row r="4" spans="2:6" ht="30" customHeight="1">
      <c r="B4" s="51"/>
      <c r="C4" s="31"/>
      <c r="D4" s="25"/>
      <c r="F4" s="40"/>
    </row>
    <row r="5" spans="2:6" ht="15" customHeight="1">
      <c r="B5" s="51"/>
      <c r="C5" s="31"/>
      <c r="D5" s="25"/>
      <c r="F5" s="40"/>
    </row>
    <row r="6" spans="2:6" s="40" customFormat="1">
      <c r="B6" s="43"/>
      <c r="C6" s="42"/>
    </row>
    <row r="7" spans="2:6" s="40" customFormat="1">
      <c r="B7" s="50"/>
    </row>
    <row r="8" spans="2:6" s="13" customFormat="1" ht="15" customHeight="1">
      <c r="B8" s="74" t="s">
        <v>40</v>
      </c>
      <c r="C8" s="74"/>
      <c r="D8" s="74"/>
      <c r="E8" s="74"/>
    </row>
    <row r="9" spans="2:6" s="13" customFormat="1" ht="15" customHeight="1">
      <c r="B9" s="74"/>
      <c r="C9" s="74"/>
      <c r="D9" s="74"/>
      <c r="E9" s="74"/>
      <c r="F9" s="49"/>
    </row>
    <row r="10" spans="2:6" s="13" customFormat="1" ht="15" customHeight="1">
      <c r="B10" s="74"/>
      <c r="C10" s="74"/>
      <c r="D10" s="74"/>
      <c r="E10" s="74"/>
    </row>
    <row r="11" spans="2:6" s="13" customFormat="1" ht="15" customHeight="1">
      <c r="B11" s="52"/>
      <c r="C11" s="52"/>
      <c r="D11" s="52"/>
      <c r="E11" s="52"/>
    </row>
    <row r="12" spans="2:6" s="13" customFormat="1" ht="36.950000000000003" customHeight="1">
      <c r="B12" s="54" t="s">
        <v>25</v>
      </c>
      <c r="C12" s="54" t="s">
        <v>30</v>
      </c>
      <c r="D12" s="54" t="s">
        <v>20</v>
      </c>
      <c r="E12" s="54" t="s">
        <v>19</v>
      </c>
    </row>
    <row r="13" spans="2:6" ht="14.45" customHeight="1">
      <c r="B13" s="76" t="s">
        <v>101</v>
      </c>
      <c r="C13" s="62" t="s">
        <v>145</v>
      </c>
      <c r="D13" s="63">
        <v>14</v>
      </c>
      <c r="E13" s="64">
        <v>1.791656002048E-3</v>
      </c>
    </row>
    <row r="14" spans="2:6" ht="14.45" customHeight="1">
      <c r="B14" s="77"/>
      <c r="C14" s="62" t="s">
        <v>146</v>
      </c>
      <c r="D14" s="63">
        <v>15</v>
      </c>
      <c r="E14" s="64">
        <v>1.919631430765E-3</v>
      </c>
    </row>
    <row r="15" spans="2:6" ht="14.45" customHeight="1">
      <c r="B15" s="78"/>
      <c r="C15" s="57" t="s">
        <v>29</v>
      </c>
      <c r="D15" s="58">
        <v>29</v>
      </c>
      <c r="E15" s="59">
        <v>3.711287432813E-3</v>
      </c>
    </row>
    <row r="16" spans="2:6" ht="14.45" customHeight="1">
      <c r="B16" s="76" t="s">
        <v>102</v>
      </c>
      <c r="C16" s="62" t="s">
        <v>145</v>
      </c>
      <c r="D16" s="63">
        <v>1</v>
      </c>
      <c r="E16" s="64">
        <v>1.2797542871799999E-4</v>
      </c>
    </row>
    <row r="17" spans="2:5" ht="14.45" customHeight="1">
      <c r="B17" s="78" t="s">
        <v>147</v>
      </c>
      <c r="C17" s="57" t="s">
        <v>29</v>
      </c>
      <c r="D17" s="58">
        <v>1</v>
      </c>
      <c r="E17" s="59">
        <v>1.2797542871799999E-4</v>
      </c>
    </row>
    <row r="18" spans="2:5" ht="14.45" customHeight="1">
      <c r="B18" s="76" t="s">
        <v>103</v>
      </c>
      <c r="C18" s="62" t="s">
        <v>145</v>
      </c>
      <c r="D18" s="63">
        <v>124</v>
      </c>
      <c r="E18" s="64">
        <v>1.5868953160992998E-2</v>
      </c>
    </row>
    <row r="19" spans="2:5" ht="14.45" customHeight="1">
      <c r="B19" s="77"/>
      <c r="C19" s="62" t="s">
        <v>146</v>
      </c>
      <c r="D19" s="63">
        <v>155</v>
      </c>
      <c r="E19" s="64">
        <v>1.9836191451240999E-2</v>
      </c>
    </row>
    <row r="20" spans="2:5" ht="14.45" customHeight="1">
      <c r="B20" s="78" t="s">
        <v>148</v>
      </c>
      <c r="C20" s="57" t="s">
        <v>29</v>
      </c>
      <c r="D20" s="58">
        <v>279</v>
      </c>
      <c r="E20" s="59">
        <v>3.5705144612234001E-2</v>
      </c>
    </row>
    <row r="21" spans="2:5" ht="14.45" customHeight="1">
      <c r="B21" s="76" t="s">
        <v>104</v>
      </c>
      <c r="C21" s="62" t="s">
        <v>145</v>
      </c>
      <c r="D21" s="63">
        <v>14</v>
      </c>
      <c r="E21" s="64">
        <v>1.791656002048E-3</v>
      </c>
    </row>
    <row r="22" spans="2:5" ht="14.45" customHeight="1">
      <c r="B22" s="77"/>
      <c r="C22" s="62" t="s">
        <v>146</v>
      </c>
      <c r="D22" s="63">
        <v>20</v>
      </c>
      <c r="E22" s="64">
        <v>2.559508574354E-3</v>
      </c>
    </row>
    <row r="23" spans="2:5" ht="14.45" customHeight="1">
      <c r="B23" s="78" t="s">
        <v>149</v>
      </c>
      <c r="C23" s="57" t="s">
        <v>29</v>
      </c>
      <c r="D23" s="58">
        <v>34</v>
      </c>
      <c r="E23" s="59">
        <v>4.3511645764010001E-3</v>
      </c>
    </row>
    <row r="24" spans="2:5" ht="14.45" customHeight="1">
      <c r="B24" s="76" t="s">
        <v>105</v>
      </c>
      <c r="C24" s="62" t="s">
        <v>145</v>
      </c>
      <c r="D24" s="63">
        <v>2256</v>
      </c>
      <c r="E24" s="64">
        <v>0.28871256718709998</v>
      </c>
    </row>
    <row r="25" spans="2:5" ht="14.45" customHeight="1">
      <c r="B25" s="77"/>
      <c r="C25" s="62" t="s">
        <v>146</v>
      </c>
      <c r="D25" s="63">
        <v>2384</v>
      </c>
      <c r="E25" s="64">
        <v>0.30509342206296403</v>
      </c>
    </row>
    <row r="26" spans="2:5" ht="14.45" customHeight="1">
      <c r="B26" s="78" t="s">
        <v>150</v>
      </c>
      <c r="C26" s="57" t="s">
        <v>29</v>
      </c>
      <c r="D26" s="58">
        <v>4640</v>
      </c>
      <c r="E26" s="59">
        <v>0.593805989250064</v>
      </c>
    </row>
    <row r="27" spans="2:5" ht="14.45" customHeight="1">
      <c r="B27" s="76" t="s">
        <v>106</v>
      </c>
      <c r="C27" s="62" t="s">
        <v>145</v>
      </c>
      <c r="D27" s="63">
        <v>82</v>
      </c>
      <c r="E27" s="64">
        <v>1.049398515485E-2</v>
      </c>
    </row>
    <row r="28" spans="2:5" ht="14.45" customHeight="1">
      <c r="B28" s="77"/>
      <c r="C28" s="62" t="s">
        <v>146</v>
      </c>
      <c r="D28" s="63">
        <v>139</v>
      </c>
      <c r="E28" s="64">
        <v>1.7788584591758E-2</v>
      </c>
    </row>
    <row r="29" spans="2:5" ht="14.45" customHeight="1">
      <c r="B29" s="78" t="s">
        <v>151</v>
      </c>
      <c r="C29" s="57" t="s">
        <v>29</v>
      </c>
      <c r="D29" s="58">
        <v>221</v>
      </c>
      <c r="E29" s="59">
        <v>2.8282569746609001E-2</v>
      </c>
    </row>
    <row r="30" spans="2:5" ht="14.45" customHeight="1">
      <c r="B30" s="76" t="s">
        <v>107</v>
      </c>
      <c r="C30" s="62" t="s">
        <v>146</v>
      </c>
      <c r="D30" s="63">
        <v>1</v>
      </c>
      <c r="E30" s="64">
        <v>1.2797542871799999E-4</v>
      </c>
    </row>
    <row r="31" spans="2:5" ht="14.45" customHeight="1">
      <c r="B31" s="78"/>
      <c r="C31" s="57" t="s">
        <v>29</v>
      </c>
      <c r="D31" s="58">
        <v>1</v>
      </c>
      <c r="E31" s="59">
        <v>1.2797542871799999E-4</v>
      </c>
    </row>
    <row r="32" spans="2:5" ht="14.45" customHeight="1">
      <c r="B32" s="76" t="s">
        <v>108</v>
      </c>
      <c r="C32" s="62" t="s">
        <v>145</v>
      </c>
      <c r="D32" s="63">
        <v>5</v>
      </c>
      <c r="E32" s="64">
        <v>6.3987714358799996E-4</v>
      </c>
    </row>
    <row r="33" spans="2:5" ht="14.45" customHeight="1">
      <c r="B33" s="77"/>
      <c r="C33" s="62" t="s">
        <v>146</v>
      </c>
      <c r="D33" s="63">
        <v>2</v>
      </c>
      <c r="E33" s="64">
        <v>2.5595085743500002E-4</v>
      </c>
    </row>
    <row r="34" spans="2:5" ht="14.45" customHeight="1">
      <c r="B34" s="78" t="s">
        <v>152</v>
      </c>
      <c r="C34" s="57" t="s">
        <v>29</v>
      </c>
      <c r="D34" s="58">
        <v>7</v>
      </c>
      <c r="E34" s="59">
        <v>8.9582800102399999E-4</v>
      </c>
    </row>
    <row r="35" spans="2:5" ht="14.45" customHeight="1">
      <c r="B35" s="76" t="s">
        <v>109</v>
      </c>
      <c r="C35" s="62" t="s">
        <v>145</v>
      </c>
      <c r="D35" s="63">
        <v>43</v>
      </c>
      <c r="E35" s="64">
        <v>5.5029434348610002E-3</v>
      </c>
    </row>
    <row r="36" spans="2:5" ht="14.45" customHeight="1">
      <c r="B36" s="77"/>
      <c r="C36" s="62" t="s">
        <v>146</v>
      </c>
      <c r="D36" s="63">
        <v>77</v>
      </c>
      <c r="E36" s="64">
        <v>9.8541080112620003E-3</v>
      </c>
    </row>
    <row r="37" spans="2:5" ht="14.45" customHeight="1">
      <c r="B37" s="78" t="s">
        <v>153</v>
      </c>
      <c r="C37" s="57" t="s">
        <v>29</v>
      </c>
      <c r="D37" s="58">
        <v>120</v>
      </c>
      <c r="E37" s="59">
        <v>1.5357051446122E-2</v>
      </c>
    </row>
    <row r="38" spans="2:5" ht="14.45" customHeight="1">
      <c r="B38" s="76" t="s">
        <v>110</v>
      </c>
      <c r="C38" s="62" t="s">
        <v>145</v>
      </c>
      <c r="D38" s="63">
        <v>27</v>
      </c>
      <c r="E38" s="64">
        <v>3.4553365753779998E-3</v>
      </c>
    </row>
    <row r="39" spans="2:5" ht="14.45" customHeight="1">
      <c r="B39" s="77"/>
      <c r="C39" s="62" t="s">
        <v>146</v>
      </c>
      <c r="D39" s="63">
        <v>40</v>
      </c>
      <c r="E39" s="64">
        <v>5.1190171487069999E-3</v>
      </c>
    </row>
    <row r="40" spans="2:5" ht="14.45" customHeight="1">
      <c r="B40" s="78" t="s">
        <v>154</v>
      </c>
      <c r="C40" s="57" t="s">
        <v>29</v>
      </c>
      <c r="D40" s="58">
        <v>67</v>
      </c>
      <c r="E40" s="59">
        <v>8.5743537240850001E-3</v>
      </c>
    </row>
    <row r="41" spans="2:5" ht="14.45" customHeight="1">
      <c r="B41" s="76" t="s">
        <v>111</v>
      </c>
      <c r="C41" s="62" t="s">
        <v>145</v>
      </c>
      <c r="D41" s="63">
        <v>6</v>
      </c>
      <c r="E41" s="64">
        <v>7.6785257230599997E-4</v>
      </c>
    </row>
    <row r="42" spans="2:5" ht="14.45" customHeight="1">
      <c r="B42" s="77"/>
      <c r="C42" s="62" t="s">
        <v>146</v>
      </c>
      <c r="D42" s="63">
        <v>9</v>
      </c>
      <c r="E42" s="64">
        <v>1.1517788584590001E-3</v>
      </c>
    </row>
    <row r="43" spans="2:5" ht="14.45" customHeight="1">
      <c r="B43" s="78" t="s">
        <v>155</v>
      </c>
      <c r="C43" s="57" t="s">
        <v>29</v>
      </c>
      <c r="D43" s="58">
        <v>15</v>
      </c>
      <c r="E43" s="59">
        <v>1.919631430765E-3</v>
      </c>
    </row>
    <row r="44" spans="2:5" ht="14.45" customHeight="1">
      <c r="B44" s="76" t="s">
        <v>112</v>
      </c>
      <c r="C44" s="62" t="s">
        <v>145</v>
      </c>
      <c r="D44" s="63">
        <v>43</v>
      </c>
      <c r="E44" s="64">
        <v>5.5029434348610002E-3</v>
      </c>
    </row>
    <row r="45" spans="2:5" ht="14.45" customHeight="1">
      <c r="B45" s="77"/>
      <c r="C45" s="62" t="s">
        <v>146</v>
      </c>
      <c r="D45" s="63">
        <v>73</v>
      </c>
      <c r="E45" s="64">
        <v>9.3422062963910008E-3</v>
      </c>
    </row>
    <row r="46" spans="2:5" ht="14.45" customHeight="1">
      <c r="B46" s="78" t="s">
        <v>156</v>
      </c>
      <c r="C46" s="57" t="s">
        <v>29</v>
      </c>
      <c r="D46" s="58">
        <v>116</v>
      </c>
      <c r="E46" s="59">
        <v>1.4845149731252E-2</v>
      </c>
    </row>
    <row r="47" spans="2:5" ht="14.45" customHeight="1">
      <c r="B47" s="76" t="s">
        <v>113</v>
      </c>
      <c r="C47" s="62" t="s">
        <v>145</v>
      </c>
      <c r="D47" s="63">
        <v>94</v>
      </c>
      <c r="E47" s="64">
        <v>1.2029690299463E-2</v>
      </c>
    </row>
    <row r="48" spans="2:5" ht="14.45" customHeight="1">
      <c r="B48" s="77"/>
      <c r="C48" s="62" t="s">
        <v>146</v>
      </c>
      <c r="D48" s="63">
        <v>112</v>
      </c>
      <c r="E48" s="64">
        <v>1.4333248016381001E-2</v>
      </c>
    </row>
    <row r="49" spans="2:5" ht="14.45" customHeight="1">
      <c r="B49" s="78" t="s">
        <v>157</v>
      </c>
      <c r="C49" s="57" t="s">
        <v>29</v>
      </c>
      <c r="D49" s="58">
        <v>206</v>
      </c>
      <c r="E49" s="59">
        <v>2.6362938315843E-2</v>
      </c>
    </row>
    <row r="50" spans="2:5" ht="14.45" customHeight="1">
      <c r="B50" s="76" t="s">
        <v>114</v>
      </c>
      <c r="C50" s="62" t="s">
        <v>145</v>
      </c>
      <c r="D50" s="63">
        <v>31</v>
      </c>
      <c r="E50" s="64">
        <v>3.9672382902479998E-3</v>
      </c>
    </row>
    <row r="51" spans="2:5" ht="14.45" customHeight="1">
      <c r="B51" s="77"/>
      <c r="C51" s="62" t="s">
        <v>146</v>
      </c>
      <c r="D51" s="63">
        <v>38</v>
      </c>
      <c r="E51" s="64">
        <v>4.8630662912719997E-3</v>
      </c>
    </row>
    <row r="52" spans="2:5" ht="14.45" customHeight="1">
      <c r="B52" s="78" t="s">
        <v>158</v>
      </c>
      <c r="C52" s="57" t="s">
        <v>29</v>
      </c>
      <c r="D52" s="58">
        <v>69</v>
      </c>
      <c r="E52" s="59">
        <v>8.8303045815199994E-3</v>
      </c>
    </row>
    <row r="53" spans="2:5" ht="14.45" customHeight="1">
      <c r="B53" s="76" t="s">
        <v>115</v>
      </c>
      <c r="C53" s="62" t="s">
        <v>145</v>
      </c>
      <c r="D53" s="63">
        <v>10</v>
      </c>
      <c r="E53" s="64">
        <v>1.279754287177E-3</v>
      </c>
    </row>
    <row r="54" spans="2:5" ht="14.45" customHeight="1">
      <c r="B54" s="77"/>
      <c r="C54" s="62" t="s">
        <v>146</v>
      </c>
      <c r="D54" s="63">
        <v>8</v>
      </c>
      <c r="E54" s="64">
        <v>1.0238034297409999E-3</v>
      </c>
    </row>
    <row r="55" spans="2:5" ht="14.45" customHeight="1">
      <c r="B55" s="78" t="s">
        <v>159</v>
      </c>
      <c r="C55" s="57" t="s">
        <v>29</v>
      </c>
      <c r="D55" s="58">
        <v>18</v>
      </c>
      <c r="E55" s="59">
        <v>2.3035577169180001E-3</v>
      </c>
    </row>
    <row r="56" spans="2:5" ht="14.45" customHeight="1">
      <c r="B56" s="76" t="s">
        <v>116</v>
      </c>
      <c r="C56" s="62" t="s">
        <v>145</v>
      </c>
      <c r="D56" s="63">
        <v>26</v>
      </c>
      <c r="E56" s="64">
        <v>3.3273611466600002E-3</v>
      </c>
    </row>
    <row r="57" spans="2:5" ht="14.45" customHeight="1">
      <c r="B57" s="77"/>
      <c r="C57" s="62" t="s">
        <v>146</v>
      </c>
      <c r="D57" s="63">
        <v>27</v>
      </c>
      <c r="E57" s="64">
        <v>3.4553365753779998E-3</v>
      </c>
    </row>
    <row r="58" spans="2:5" ht="14.45" customHeight="1">
      <c r="B58" s="78" t="s">
        <v>160</v>
      </c>
      <c r="C58" s="57" t="s">
        <v>29</v>
      </c>
      <c r="D58" s="58">
        <v>53</v>
      </c>
      <c r="E58" s="59">
        <v>6.7826977220370004E-3</v>
      </c>
    </row>
    <row r="59" spans="2:5" ht="14.45" customHeight="1">
      <c r="B59" s="76" t="s">
        <v>117</v>
      </c>
      <c r="C59" s="62" t="s">
        <v>145</v>
      </c>
      <c r="D59" s="63">
        <v>32</v>
      </c>
      <c r="E59" s="64">
        <v>4.0952137189659999E-3</v>
      </c>
    </row>
    <row r="60" spans="2:5" ht="14.45" customHeight="1">
      <c r="B60" s="77"/>
      <c r="C60" s="62" t="s">
        <v>146</v>
      </c>
      <c r="D60" s="63">
        <v>34</v>
      </c>
      <c r="E60" s="64">
        <v>4.3511645764010001E-3</v>
      </c>
    </row>
    <row r="61" spans="2:5" ht="14.45" customHeight="1">
      <c r="B61" s="78" t="s">
        <v>161</v>
      </c>
      <c r="C61" s="57" t="s">
        <v>29</v>
      </c>
      <c r="D61" s="58">
        <v>66</v>
      </c>
      <c r="E61" s="59">
        <v>8.4463782953669991E-3</v>
      </c>
    </row>
    <row r="62" spans="2:5" ht="14.45" customHeight="1">
      <c r="B62" s="76" t="s">
        <v>118</v>
      </c>
      <c r="C62" s="62" t="s">
        <v>145</v>
      </c>
      <c r="D62" s="63">
        <v>5</v>
      </c>
      <c r="E62" s="64">
        <v>6.3987714358799996E-4</v>
      </c>
    </row>
    <row r="63" spans="2:5" ht="14.45" customHeight="1">
      <c r="B63" s="77"/>
      <c r="C63" s="62" t="s">
        <v>146</v>
      </c>
      <c r="D63" s="63">
        <v>10</v>
      </c>
      <c r="E63" s="64">
        <v>1.279754287177E-3</v>
      </c>
    </row>
    <row r="64" spans="2:5" ht="14.45" customHeight="1">
      <c r="B64" s="78" t="s">
        <v>162</v>
      </c>
      <c r="C64" s="57" t="s">
        <v>29</v>
      </c>
      <c r="D64" s="58">
        <v>15</v>
      </c>
      <c r="E64" s="59">
        <v>1.919631430765E-3</v>
      </c>
    </row>
    <row r="65" spans="2:5" ht="14.45" customHeight="1">
      <c r="B65" s="76" t="s">
        <v>119</v>
      </c>
      <c r="C65" s="62" t="s">
        <v>145</v>
      </c>
      <c r="D65" s="63">
        <v>1</v>
      </c>
      <c r="E65" s="64">
        <v>1.2797542871799999E-4</v>
      </c>
    </row>
    <row r="66" spans="2:5" ht="14.45" customHeight="1">
      <c r="B66" s="77"/>
      <c r="C66" s="62" t="s">
        <v>146</v>
      </c>
      <c r="D66" s="63">
        <v>1</v>
      </c>
      <c r="E66" s="64">
        <v>1.2797542871799999E-4</v>
      </c>
    </row>
    <row r="67" spans="2:5" ht="14.45" customHeight="1">
      <c r="B67" s="78" t="s">
        <v>163</v>
      </c>
      <c r="C67" s="57" t="s">
        <v>29</v>
      </c>
      <c r="D67" s="58">
        <v>2</v>
      </c>
      <c r="E67" s="59">
        <v>2.5595085743500002E-4</v>
      </c>
    </row>
    <row r="68" spans="2:5" ht="14.45" customHeight="1">
      <c r="B68" s="76" t="s">
        <v>120</v>
      </c>
      <c r="C68" s="62" t="s">
        <v>145</v>
      </c>
      <c r="D68" s="63">
        <v>2</v>
      </c>
      <c r="E68" s="64">
        <v>2.5595085743500002E-4</v>
      </c>
    </row>
    <row r="69" spans="2:5" ht="14.45" customHeight="1">
      <c r="B69" s="77"/>
      <c r="C69" s="62" t="s">
        <v>146</v>
      </c>
      <c r="D69" s="63">
        <v>1</v>
      </c>
      <c r="E69" s="64">
        <v>1.2797542871799999E-4</v>
      </c>
    </row>
    <row r="70" spans="2:5" ht="14.45" customHeight="1">
      <c r="B70" s="78" t="s">
        <v>164</v>
      </c>
      <c r="C70" s="57" t="s">
        <v>29</v>
      </c>
      <c r="D70" s="58">
        <v>3</v>
      </c>
      <c r="E70" s="59">
        <v>3.8392628615299999E-4</v>
      </c>
    </row>
    <row r="71" spans="2:5" ht="14.45" customHeight="1">
      <c r="B71" s="76" t="s">
        <v>121</v>
      </c>
      <c r="C71" s="62" t="s">
        <v>145</v>
      </c>
      <c r="D71" s="63">
        <v>7</v>
      </c>
      <c r="E71" s="64">
        <v>8.9582800102399999E-4</v>
      </c>
    </row>
    <row r="72" spans="2:5" ht="14.45" customHeight="1">
      <c r="B72" s="77"/>
      <c r="C72" s="62" t="s">
        <v>146</v>
      </c>
      <c r="D72" s="63">
        <v>15</v>
      </c>
      <c r="E72" s="64">
        <v>1.919631430765E-3</v>
      </c>
    </row>
    <row r="73" spans="2:5" ht="14.45" customHeight="1">
      <c r="B73" s="78" t="s">
        <v>165</v>
      </c>
      <c r="C73" s="57" t="s">
        <v>29</v>
      </c>
      <c r="D73" s="58">
        <v>22</v>
      </c>
      <c r="E73" s="59">
        <v>2.8154594317890001E-3</v>
      </c>
    </row>
    <row r="74" spans="2:5" ht="14.45" customHeight="1">
      <c r="B74" s="76" t="s">
        <v>122</v>
      </c>
      <c r="C74" s="62" t="s">
        <v>145</v>
      </c>
      <c r="D74" s="63">
        <v>71</v>
      </c>
      <c r="E74" s="64">
        <v>9.0862554389559997E-3</v>
      </c>
    </row>
    <row r="75" spans="2:5" ht="14.45" customHeight="1">
      <c r="B75" s="77"/>
      <c r="C75" s="62" t="s">
        <v>146</v>
      </c>
      <c r="D75" s="63">
        <v>96</v>
      </c>
      <c r="E75" s="64">
        <v>1.2285641156898E-2</v>
      </c>
    </row>
    <row r="76" spans="2:5" ht="14.45" customHeight="1">
      <c r="B76" s="78" t="s">
        <v>166</v>
      </c>
      <c r="C76" s="57" t="s">
        <v>29</v>
      </c>
      <c r="D76" s="58">
        <v>167</v>
      </c>
      <c r="E76" s="59">
        <v>2.1371896595853999E-2</v>
      </c>
    </row>
    <row r="77" spans="2:5" ht="14.45" customHeight="1">
      <c r="B77" s="76" t="s">
        <v>123</v>
      </c>
      <c r="C77" s="62" t="s">
        <v>145</v>
      </c>
      <c r="D77" s="63">
        <v>3</v>
      </c>
      <c r="E77" s="64">
        <v>3.8392628615299999E-4</v>
      </c>
    </row>
    <row r="78" spans="2:5" ht="14.45" customHeight="1">
      <c r="B78" s="77"/>
      <c r="C78" s="62" t="s">
        <v>146</v>
      </c>
      <c r="D78" s="63">
        <v>6</v>
      </c>
      <c r="E78" s="64">
        <v>7.6785257230599997E-4</v>
      </c>
    </row>
    <row r="79" spans="2:5" ht="14.45" customHeight="1">
      <c r="B79" s="78" t="s">
        <v>167</v>
      </c>
      <c r="C79" s="57" t="s">
        <v>29</v>
      </c>
      <c r="D79" s="58">
        <v>9</v>
      </c>
      <c r="E79" s="59">
        <v>1.1517788584590001E-3</v>
      </c>
    </row>
    <row r="80" spans="2:5" ht="14.45" customHeight="1">
      <c r="B80" s="76" t="s">
        <v>124</v>
      </c>
      <c r="C80" s="62" t="s">
        <v>145</v>
      </c>
      <c r="D80" s="63">
        <v>9</v>
      </c>
      <c r="E80" s="64">
        <v>1.1517788584590001E-3</v>
      </c>
    </row>
    <row r="81" spans="2:5" ht="14.45" customHeight="1">
      <c r="B81" s="77"/>
      <c r="C81" s="62" t="s">
        <v>146</v>
      </c>
      <c r="D81" s="63">
        <v>14</v>
      </c>
      <c r="E81" s="64">
        <v>1.791656002048E-3</v>
      </c>
    </row>
    <row r="82" spans="2:5" ht="14.45" customHeight="1">
      <c r="B82" s="78" t="s">
        <v>168</v>
      </c>
      <c r="C82" s="57" t="s">
        <v>29</v>
      </c>
      <c r="D82" s="58">
        <v>23</v>
      </c>
      <c r="E82" s="59">
        <v>2.9434348605069998E-3</v>
      </c>
    </row>
    <row r="83" spans="2:5" ht="14.45" customHeight="1">
      <c r="B83" s="76" t="s">
        <v>125</v>
      </c>
      <c r="C83" s="62" t="s">
        <v>145</v>
      </c>
      <c r="D83" s="63">
        <v>1</v>
      </c>
      <c r="E83" s="64">
        <v>1.2797542871799999E-4</v>
      </c>
    </row>
    <row r="84" spans="2:5" ht="14.45" customHeight="1">
      <c r="B84" s="77"/>
      <c r="C84" s="62" t="s">
        <v>146</v>
      </c>
      <c r="D84" s="63">
        <v>6</v>
      </c>
      <c r="E84" s="64">
        <v>7.6785257230599997E-4</v>
      </c>
    </row>
    <row r="85" spans="2:5" ht="14.45" customHeight="1">
      <c r="B85" s="78" t="s">
        <v>169</v>
      </c>
      <c r="C85" s="57" t="s">
        <v>29</v>
      </c>
      <c r="D85" s="58">
        <v>7</v>
      </c>
      <c r="E85" s="59">
        <v>8.9582800102399999E-4</v>
      </c>
    </row>
    <row r="86" spans="2:5" ht="14.45" customHeight="1">
      <c r="B86" s="76" t="s">
        <v>126</v>
      </c>
      <c r="C86" s="62" t="s">
        <v>145</v>
      </c>
      <c r="D86" s="63">
        <v>11</v>
      </c>
      <c r="E86" s="64">
        <v>1.4077297158950001E-3</v>
      </c>
    </row>
    <row r="87" spans="2:5" ht="14.45" customHeight="1">
      <c r="B87" s="77"/>
      <c r="C87" s="62" t="s">
        <v>146</v>
      </c>
      <c r="D87" s="63">
        <v>17</v>
      </c>
      <c r="E87" s="64">
        <v>2.1755822882010001E-3</v>
      </c>
    </row>
    <row r="88" spans="2:5" ht="14.45" customHeight="1">
      <c r="B88" s="78" t="s">
        <v>170</v>
      </c>
      <c r="C88" s="57" t="s">
        <v>29</v>
      </c>
      <c r="D88" s="58">
        <v>28</v>
      </c>
      <c r="E88" s="59">
        <v>3.5833120040949999E-3</v>
      </c>
    </row>
    <row r="89" spans="2:5" ht="14.45" customHeight="1">
      <c r="B89" s="76" t="s">
        <v>127</v>
      </c>
      <c r="C89" s="62" t="s">
        <v>145</v>
      </c>
      <c r="D89" s="63">
        <v>233</v>
      </c>
      <c r="E89" s="64">
        <v>2.9818274891220999E-2</v>
      </c>
    </row>
    <row r="90" spans="2:5" ht="14.45" customHeight="1">
      <c r="B90" s="77"/>
      <c r="C90" s="62" t="s">
        <v>146</v>
      </c>
      <c r="D90" s="63">
        <v>256</v>
      </c>
      <c r="E90" s="64">
        <v>3.2761709751727999E-2</v>
      </c>
    </row>
    <row r="91" spans="2:5" ht="14.45" customHeight="1">
      <c r="B91" s="78" t="s">
        <v>171</v>
      </c>
      <c r="C91" s="57" t="s">
        <v>29</v>
      </c>
      <c r="D91" s="58">
        <v>489</v>
      </c>
      <c r="E91" s="59">
        <v>6.2579984642949005E-2</v>
      </c>
    </row>
    <row r="92" spans="2:5" ht="14.45" customHeight="1">
      <c r="B92" s="76" t="s">
        <v>128</v>
      </c>
      <c r="C92" s="62" t="s">
        <v>145</v>
      </c>
      <c r="D92" s="63">
        <v>5</v>
      </c>
      <c r="E92" s="64">
        <v>6.3987714358799996E-4</v>
      </c>
    </row>
    <row r="93" spans="2:5" ht="14.45" customHeight="1">
      <c r="B93" s="77"/>
      <c r="C93" s="62" t="s">
        <v>146</v>
      </c>
      <c r="D93" s="63">
        <v>14</v>
      </c>
      <c r="E93" s="64">
        <v>1.791656002048E-3</v>
      </c>
    </row>
    <row r="94" spans="2:5" ht="14.45" customHeight="1">
      <c r="B94" s="78" t="s">
        <v>172</v>
      </c>
      <c r="C94" s="57" t="s">
        <v>29</v>
      </c>
      <c r="D94" s="58">
        <v>19</v>
      </c>
      <c r="E94" s="59">
        <v>2.4315331456359998E-3</v>
      </c>
    </row>
    <row r="95" spans="2:5" ht="14.45" customHeight="1">
      <c r="B95" s="76" t="s">
        <v>129</v>
      </c>
      <c r="C95" s="62" t="s">
        <v>145</v>
      </c>
      <c r="D95" s="63">
        <v>9</v>
      </c>
      <c r="E95" s="64">
        <v>1.1517788584590001E-3</v>
      </c>
    </row>
    <row r="96" spans="2:5" ht="14.45" customHeight="1">
      <c r="B96" s="77"/>
      <c r="C96" s="62" t="s">
        <v>146</v>
      </c>
      <c r="D96" s="63">
        <v>18</v>
      </c>
      <c r="E96" s="64">
        <v>2.3035577169180001E-3</v>
      </c>
    </row>
    <row r="97" spans="2:5" ht="14.45" customHeight="1">
      <c r="B97" s="78" t="s">
        <v>173</v>
      </c>
      <c r="C97" s="57" t="s">
        <v>29</v>
      </c>
      <c r="D97" s="58">
        <v>27</v>
      </c>
      <c r="E97" s="59">
        <v>3.4553365753779998E-3</v>
      </c>
    </row>
    <row r="98" spans="2:5" ht="14.45" customHeight="1">
      <c r="B98" s="76" t="s">
        <v>130</v>
      </c>
      <c r="C98" s="62" t="s">
        <v>145</v>
      </c>
      <c r="D98" s="63">
        <v>4</v>
      </c>
      <c r="E98" s="64">
        <v>5.1190171487100001E-4</v>
      </c>
    </row>
    <row r="99" spans="2:5" ht="14.45" customHeight="1">
      <c r="B99" s="77"/>
      <c r="C99" s="62" t="s">
        <v>146</v>
      </c>
      <c r="D99" s="63">
        <v>8</v>
      </c>
      <c r="E99" s="64">
        <v>1.0238034297409999E-3</v>
      </c>
    </row>
    <row r="100" spans="2:5" ht="14.45" customHeight="1">
      <c r="B100" s="78" t="s">
        <v>174</v>
      </c>
      <c r="C100" s="57" t="s">
        <v>29</v>
      </c>
      <c r="D100" s="58">
        <v>12</v>
      </c>
      <c r="E100" s="59">
        <v>1.5357051446119999E-3</v>
      </c>
    </row>
    <row r="101" spans="2:5" ht="14.45" customHeight="1">
      <c r="B101" s="76" t="s">
        <v>131</v>
      </c>
      <c r="C101" s="62" t="s">
        <v>145</v>
      </c>
      <c r="D101" s="63">
        <v>59</v>
      </c>
      <c r="E101" s="64">
        <v>7.5505502943430001E-3</v>
      </c>
    </row>
    <row r="102" spans="2:5" ht="14.45" customHeight="1">
      <c r="B102" s="77"/>
      <c r="C102" s="62" t="s">
        <v>146</v>
      </c>
      <c r="D102" s="63">
        <v>72</v>
      </c>
      <c r="E102" s="64">
        <v>9.2142308676729998E-3</v>
      </c>
    </row>
    <row r="103" spans="2:5" ht="14.45" customHeight="1">
      <c r="B103" s="78" t="s">
        <v>175</v>
      </c>
      <c r="C103" s="57" t="s">
        <v>29</v>
      </c>
      <c r="D103" s="58">
        <v>131</v>
      </c>
      <c r="E103" s="59">
        <v>1.6764781162017E-2</v>
      </c>
    </row>
    <row r="104" spans="2:5" ht="14.45" customHeight="1">
      <c r="B104" s="76" t="s">
        <v>132</v>
      </c>
      <c r="C104" s="62" t="s">
        <v>145</v>
      </c>
      <c r="D104" s="63">
        <v>1</v>
      </c>
      <c r="E104" s="64">
        <v>1.2797542871799999E-4</v>
      </c>
    </row>
    <row r="105" spans="2:5" ht="14.45" customHeight="1">
      <c r="B105" s="77"/>
      <c r="C105" s="62" t="s">
        <v>146</v>
      </c>
      <c r="D105" s="63">
        <v>1</v>
      </c>
      <c r="E105" s="64">
        <v>1.2797542871799999E-4</v>
      </c>
    </row>
    <row r="106" spans="2:5" ht="14.45" customHeight="1">
      <c r="B106" s="78" t="s">
        <v>176</v>
      </c>
      <c r="C106" s="57" t="s">
        <v>29</v>
      </c>
      <c r="D106" s="58">
        <v>2</v>
      </c>
      <c r="E106" s="59">
        <v>2.5595085743500002E-4</v>
      </c>
    </row>
    <row r="107" spans="2:5" ht="14.45" customHeight="1">
      <c r="B107" s="76" t="s">
        <v>133</v>
      </c>
      <c r="C107" s="62" t="s">
        <v>145</v>
      </c>
      <c r="D107" s="63">
        <v>18</v>
      </c>
      <c r="E107" s="64">
        <v>2.3035577169180001E-3</v>
      </c>
    </row>
    <row r="108" spans="2:5" ht="14.45" customHeight="1">
      <c r="B108" s="77"/>
      <c r="C108" s="62" t="s">
        <v>146</v>
      </c>
      <c r="D108" s="63">
        <v>15</v>
      </c>
      <c r="E108" s="64">
        <v>1.919631430765E-3</v>
      </c>
    </row>
    <row r="109" spans="2:5" ht="14.45" customHeight="1">
      <c r="B109" s="78" t="s">
        <v>177</v>
      </c>
      <c r="C109" s="57" t="s">
        <v>29</v>
      </c>
      <c r="D109" s="58">
        <v>33</v>
      </c>
      <c r="E109" s="59">
        <v>4.223189147684E-3</v>
      </c>
    </row>
    <row r="110" spans="2:5" ht="14.45" customHeight="1">
      <c r="B110" s="76" t="s">
        <v>134</v>
      </c>
      <c r="C110" s="62" t="s">
        <v>145</v>
      </c>
      <c r="D110" s="63">
        <v>25</v>
      </c>
      <c r="E110" s="64">
        <v>3.199385717942E-3</v>
      </c>
    </row>
    <row r="111" spans="2:5" ht="14.45" customHeight="1">
      <c r="B111" s="77"/>
      <c r="C111" s="62" t="s">
        <v>146</v>
      </c>
      <c r="D111" s="63">
        <v>35</v>
      </c>
      <c r="E111" s="64">
        <v>4.4791400051190002E-3</v>
      </c>
    </row>
    <row r="112" spans="2:5" ht="14.45" customHeight="1">
      <c r="B112" s="78" t="s">
        <v>178</v>
      </c>
      <c r="C112" s="57" t="s">
        <v>29</v>
      </c>
      <c r="D112" s="58">
        <v>60</v>
      </c>
      <c r="E112" s="59">
        <v>7.6785257230610002E-3</v>
      </c>
    </row>
    <row r="113" spans="2:5" ht="14.45" customHeight="1">
      <c r="B113" s="76" t="s">
        <v>135</v>
      </c>
      <c r="C113" s="62" t="s">
        <v>145</v>
      </c>
      <c r="D113" s="63">
        <v>43</v>
      </c>
      <c r="E113" s="64">
        <v>5.5029434348610002E-3</v>
      </c>
    </row>
    <row r="114" spans="2:5" ht="14.45" customHeight="1">
      <c r="B114" s="77"/>
      <c r="C114" s="62" t="s">
        <v>146</v>
      </c>
      <c r="D114" s="63">
        <v>64</v>
      </c>
      <c r="E114" s="64">
        <v>8.1904274379319998E-3</v>
      </c>
    </row>
    <row r="115" spans="2:5" ht="14.45" customHeight="1">
      <c r="B115" s="78" t="s">
        <v>179</v>
      </c>
      <c r="C115" s="57" t="s">
        <v>29</v>
      </c>
      <c r="D115" s="58">
        <v>107</v>
      </c>
      <c r="E115" s="59">
        <v>1.3693370872792E-2</v>
      </c>
    </row>
    <row r="116" spans="2:5" ht="14.45" customHeight="1">
      <c r="B116" s="76" t="s">
        <v>136</v>
      </c>
      <c r="C116" s="62" t="s">
        <v>145</v>
      </c>
      <c r="D116" s="63">
        <v>8</v>
      </c>
      <c r="E116" s="64">
        <v>1.0238034297409999E-3</v>
      </c>
    </row>
    <row r="117" spans="2:5" ht="14.45" customHeight="1">
      <c r="B117" s="77"/>
      <c r="C117" s="62" t="s">
        <v>146</v>
      </c>
      <c r="D117" s="63">
        <v>13</v>
      </c>
      <c r="E117" s="64">
        <v>1.6636805733300001E-3</v>
      </c>
    </row>
    <row r="118" spans="2:5" ht="14.45" customHeight="1">
      <c r="B118" s="78" t="s">
        <v>180</v>
      </c>
      <c r="C118" s="57" t="s">
        <v>29</v>
      </c>
      <c r="D118" s="58">
        <v>21</v>
      </c>
      <c r="E118" s="59">
        <v>2.687484003071E-3</v>
      </c>
    </row>
    <row r="119" spans="2:5" ht="14.45" customHeight="1">
      <c r="B119" s="76" t="s">
        <v>137</v>
      </c>
      <c r="C119" s="62" t="s">
        <v>145</v>
      </c>
      <c r="D119" s="63">
        <v>22</v>
      </c>
      <c r="E119" s="64">
        <v>2.8154594317890001E-3</v>
      </c>
    </row>
    <row r="120" spans="2:5" ht="14.45" customHeight="1">
      <c r="B120" s="77"/>
      <c r="C120" s="62" t="s">
        <v>146</v>
      </c>
      <c r="D120" s="63">
        <v>33</v>
      </c>
      <c r="E120" s="64">
        <v>4.223189147684E-3</v>
      </c>
    </row>
    <row r="121" spans="2:5" ht="14.45" customHeight="1">
      <c r="B121" s="78" t="s">
        <v>181</v>
      </c>
      <c r="C121" s="57" t="s">
        <v>29</v>
      </c>
      <c r="D121" s="58">
        <v>55</v>
      </c>
      <c r="E121" s="59">
        <v>7.0386485794729997E-3</v>
      </c>
    </row>
    <row r="122" spans="2:5" ht="14.45" customHeight="1">
      <c r="B122" s="76" t="s">
        <v>138</v>
      </c>
      <c r="C122" s="62" t="s">
        <v>145</v>
      </c>
      <c r="D122" s="63">
        <v>3</v>
      </c>
      <c r="E122" s="64">
        <v>3.8392628615299999E-4</v>
      </c>
    </row>
    <row r="123" spans="2:5" ht="14.45" customHeight="1">
      <c r="B123" s="77"/>
      <c r="C123" s="62" t="s">
        <v>146</v>
      </c>
      <c r="D123" s="63">
        <v>4</v>
      </c>
      <c r="E123" s="64">
        <v>5.1190171487100001E-4</v>
      </c>
    </row>
    <row r="124" spans="2:5" ht="14.45" customHeight="1">
      <c r="B124" s="78" t="s">
        <v>182</v>
      </c>
      <c r="C124" s="57" t="s">
        <v>29</v>
      </c>
      <c r="D124" s="58">
        <v>7</v>
      </c>
      <c r="E124" s="59">
        <v>8.9582800102399999E-4</v>
      </c>
    </row>
    <row r="125" spans="2:5" ht="14.45" customHeight="1">
      <c r="B125" s="76" t="s">
        <v>139</v>
      </c>
      <c r="C125" s="62" t="s">
        <v>145</v>
      </c>
      <c r="D125" s="63">
        <v>17</v>
      </c>
      <c r="E125" s="64">
        <v>2.1755822882010001E-3</v>
      </c>
    </row>
    <row r="126" spans="2:5" ht="14.45" customHeight="1">
      <c r="B126" s="77"/>
      <c r="C126" s="62" t="s">
        <v>146</v>
      </c>
      <c r="D126" s="63">
        <v>32</v>
      </c>
      <c r="E126" s="64">
        <v>4.0952137189659999E-3</v>
      </c>
    </row>
    <row r="127" spans="2:5" ht="14.45" customHeight="1">
      <c r="B127" s="78" t="s">
        <v>183</v>
      </c>
      <c r="C127" s="57" t="s">
        <v>29</v>
      </c>
      <c r="D127" s="58">
        <v>49</v>
      </c>
      <c r="E127" s="59">
        <v>6.270796007167E-3</v>
      </c>
    </row>
    <row r="128" spans="2:5" ht="14.45" customHeight="1">
      <c r="B128" s="76" t="s">
        <v>140</v>
      </c>
      <c r="C128" s="62" t="s">
        <v>145</v>
      </c>
      <c r="D128" s="63">
        <v>139</v>
      </c>
      <c r="E128" s="64">
        <v>1.7788584591758E-2</v>
      </c>
    </row>
    <row r="129" spans="2:5" ht="14.45" customHeight="1">
      <c r="B129" s="77"/>
      <c r="C129" s="62" t="s">
        <v>146</v>
      </c>
      <c r="D129" s="63">
        <v>177</v>
      </c>
      <c r="E129" s="64">
        <v>2.2651650883029999E-2</v>
      </c>
    </row>
    <row r="130" spans="2:5" ht="14.45" customHeight="1">
      <c r="B130" s="78" t="s">
        <v>184</v>
      </c>
      <c r="C130" s="57" t="s">
        <v>29</v>
      </c>
      <c r="D130" s="58">
        <v>316</v>
      </c>
      <c r="E130" s="59">
        <v>4.0440235474788998E-2</v>
      </c>
    </row>
    <row r="131" spans="2:5" ht="14.45" customHeight="1">
      <c r="B131" s="76" t="s">
        <v>141</v>
      </c>
      <c r="C131" s="62" t="s">
        <v>145</v>
      </c>
      <c r="D131" s="63">
        <v>43</v>
      </c>
      <c r="E131" s="64">
        <v>5.5029434348610002E-3</v>
      </c>
    </row>
    <row r="132" spans="2:5" ht="14.45" customHeight="1">
      <c r="B132" s="77"/>
      <c r="C132" s="62" t="s">
        <v>146</v>
      </c>
      <c r="D132" s="63">
        <v>53</v>
      </c>
      <c r="E132" s="64">
        <v>6.7826977220370004E-3</v>
      </c>
    </row>
    <row r="133" spans="2:5" ht="14.45" customHeight="1">
      <c r="B133" s="78" t="s">
        <v>185</v>
      </c>
      <c r="C133" s="57" t="s">
        <v>29</v>
      </c>
      <c r="D133" s="58">
        <v>96</v>
      </c>
      <c r="E133" s="59">
        <v>1.2285641156898E-2</v>
      </c>
    </row>
    <row r="134" spans="2:5" ht="14.45" customHeight="1">
      <c r="B134" s="76" t="s">
        <v>142</v>
      </c>
      <c r="C134" s="62" t="s">
        <v>145</v>
      </c>
      <c r="D134" s="63">
        <v>17</v>
      </c>
      <c r="E134" s="64">
        <v>2.1755822882010001E-3</v>
      </c>
    </row>
    <row r="135" spans="2:5" ht="14.45" customHeight="1">
      <c r="B135" s="77"/>
      <c r="C135" s="62" t="s">
        <v>146</v>
      </c>
      <c r="D135" s="63">
        <v>15</v>
      </c>
      <c r="E135" s="64">
        <v>1.919631430765E-3</v>
      </c>
    </row>
    <row r="136" spans="2:5" ht="14.45" customHeight="1">
      <c r="B136" s="78" t="s">
        <v>186</v>
      </c>
      <c r="C136" s="57" t="s">
        <v>29</v>
      </c>
      <c r="D136" s="58">
        <v>32</v>
      </c>
      <c r="E136" s="59">
        <v>4.0952137189659999E-3</v>
      </c>
    </row>
    <row r="137" spans="2:5" ht="14.45" customHeight="1">
      <c r="B137" s="76" t="s">
        <v>82</v>
      </c>
      <c r="C137" s="62" t="s">
        <v>145</v>
      </c>
      <c r="D137" s="63">
        <v>29</v>
      </c>
      <c r="E137" s="64">
        <v>3.711287432813E-3</v>
      </c>
    </row>
    <row r="138" spans="2:5" ht="14.45" customHeight="1">
      <c r="B138" s="77"/>
      <c r="C138" s="62" t="s">
        <v>146</v>
      </c>
      <c r="D138" s="63">
        <v>63</v>
      </c>
      <c r="E138" s="64">
        <v>8.0624520092140006E-3</v>
      </c>
    </row>
    <row r="139" spans="2:5" ht="14.45" customHeight="1">
      <c r="B139" s="78" t="s">
        <v>187</v>
      </c>
      <c r="C139" s="57" t="s">
        <v>29</v>
      </c>
      <c r="D139" s="58">
        <v>92</v>
      </c>
      <c r="E139" s="59">
        <v>1.1773739442027E-2</v>
      </c>
    </row>
    <row r="140" spans="2:5" ht="14.45" customHeight="1">
      <c r="B140" s="76" t="s">
        <v>143</v>
      </c>
      <c r="C140" s="62" t="s">
        <v>145</v>
      </c>
      <c r="D140" s="63">
        <v>19</v>
      </c>
      <c r="E140" s="64">
        <v>2.4315331456359998E-3</v>
      </c>
    </row>
    <row r="141" spans="2:5" ht="14.45" customHeight="1">
      <c r="B141" s="77"/>
      <c r="C141" s="62" t="s">
        <v>146</v>
      </c>
      <c r="D141" s="63">
        <v>18</v>
      </c>
      <c r="E141" s="64">
        <v>2.3035577169180001E-3</v>
      </c>
    </row>
    <row r="142" spans="2:5" ht="14.45" customHeight="1">
      <c r="B142" s="78" t="s">
        <v>188</v>
      </c>
      <c r="C142" s="57" t="s">
        <v>29</v>
      </c>
      <c r="D142" s="58">
        <v>37</v>
      </c>
      <c r="E142" s="59">
        <v>4.7350908625540004E-3</v>
      </c>
    </row>
    <row r="143" spans="2:5" ht="14.45" customHeight="1">
      <c r="B143" s="76" t="s">
        <v>144</v>
      </c>
      <c r="C143" s="62" t="s">
        <v>145</v>
      </c>
      <c r="D143" s="63">
        <v>6</v>
      </c>
      <c r="E143" s="64">
        <v>7.6785257230599997E-4</v>
      </c>
    </row>
    <row r="144" spans="2:5" ht="14.45" customHeight="1">
      <c r="B144" s="77"/>
      <c r="C144" s="62" t="s">
        <v>146</v>
      </c>
      <c r="D144" s="63">
        <v>5</v>
      </c>
      <c r="E144" s="64">
        <v>6.3987714358799996E-4</v>
      </c>
    </row>
    <row r="145" spans="2:5" ht="14.45" customHeight="1">
      <c r="B145" s="78" t="s">
        <v>189</v>
      </c>
      <c r="C145" s="57" t="s">
        <v>29</v>
      </c>
      <c r="D145" s="58">
        <v>11</v>
      </c>
      <c r="E145" s="59">
        <v>1.4077297158950001E-3</v>
      </c>
    </row>
    <row r="146" spans="2:5" ht="14.45" customHeight="1">
      <c r="B146" s="83" t="s">
        <v>29</v>
      </c>
      <c r="C146" s="84"/>
      <c r="D146" s="55">
        <v>7814</v>
      </c>
      <c r="E146" s="56">
        <v>1</v>
      </c>
    </row>
    <row r="147" spans="2:5" ht="14.45" customHeight="1"/>
    <row r="148" spans="2:5" ht="14.45" customHeight="1">
      <c r="B148" s="15" t="s">
        <v>47</v>
      </c>
    </row>
    <row r="149" spans="2:5" ht="14.45" customHeight="1">
      <c r="B149" s="17" t="s">
        <v>18</v>
      </c>
    </row>
    <row r="150" spans="2:5" ht="14.45" customHeight="1">
      <c r="B150" s="16" t="s">
        <v>48</v>
      </c>
    </row>
    <row r="151" spans="2:5" ht="14.45" customHeight="1">
      <c r="B151" s="15" t="s">
        <v>17</v>
      </c>
    </row>
    <row r="152" spans="2:5" ht="14.45" customHeight="1">
      <c r="B152" s="15" t="s">
        <v>49</v>
      </c>
    </row>
  </sheetData>
  <mergeCells count="47">
    <mergeCell ref="B143:B145"/>
    <mergeCell ref="B146:C146"/>
    <mergeCell ref="B122:B124"/>
    <mergeCell ref="B125:B127"/>
    <mergeCell ref="B128:B130"/>
    <mergeCell ref="B131:B133"/>
    <mergeCell ref="B140:B142"/>
    <mergeCell ref="B134:B136"/>
    <mergeCell ref="B137:B139"/>
    <mergeCell ref="B107:B109"/>
    <mergeCell ref="B110:B112"/>
    <mergeCell ref="B113:B115"/>
    <mergeCell ref="B116:B118"/>
    <mergeCell ref="B119:B121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  <mergeCell ref="B104:B10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44:B46"/>
    <mergeCell ref="B27:B29"/>
    <mergeCell ref="B41:B43"/>
    <mergeCell ref="B8:E10"/>
    <mergeCell ref="B13:B15"/>
    <mergeCell ref="B32:B34"/>
    <mergeCell ref="B35:B37"/>
    <mergeCell ref="B38:B40"/>
    <mergeCell ref="B16:B17"/>
    <mergeCell ref="B18:B20"/>
    <mergeCell ref="B21:B23"/>
    <mergeCell ref="B24:B26"/>
    <mergeCell ref="B30:B31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B1:G33"/>
  <sheetViews>
    <sheetView showGridLines="0" view="pageBreakPreview" topLeftCell="A21" zoomScaleNormal="100" zoomScaleSheetLayoutView="100" workbookViewId="0">
      <selection activeCell="E32" sqref="E32"/>
    </sheetView>
  </sheetViews>
  <sheetFormatPr baseColWidth="10" defaultColWidth="11.42578125" defaultRowHeight="11.25"/>
  <cols>
    <col min="1" max="1" width="5.7109375" style="25" customWidth="1"/>
    <col min="2" max="2" width="15.7109375" style="40" bestFit="1" customWidth="1"/>
    <col min="3" max="3" width="19.5703125" style="40" bestFit="1" customWidth="1"/>
    <col min="4" max="4" width="14.5703125" style="44" bestFit="1" customWidth="1"/>
    <col min="5" max="5" width="22" style="44" bestFit="1" customWidth="1"/>
    <col min="6" max="6" width="20.140625" style="40" bestFit="1" customWidth="1"/>
    <col min="7" max="7" width="4.28515625" style="25" customWidth="1"/>
    <col min="8" max="16384" width="11.42578125" style="25"/>
  </cols>
  <sheetData>
    <row r="1" spans="2:7" s="13" customFormat="1" ht="15">
      <c r="B1" s="40"/>
      <c r="C1" s="40"/>
    </row>
    <row r="2" spans="2:7" s="40" customFormat="1">
      <c r="B2" s="50"/>
    </row>
    <row r="3" spans="2:7" ht="15" customHeight="1">
      <c r="B3" s="51"/>
      <c r="C3" s="31"/>
      <c r="D3" s="25"/>
      <c r="E3" s="25"/>
      <c r="G3" s="40"/>
    </row>
    <row r="4" spans="2:7" ht="30" customHeight="1">
      <c r="B4" s="51"/>
      <c r="C4" s="31"/>
      <c r="D4" s="25"/>
      <c r="E4" s="25"/>
      <c r="G4" s="40"/>
    </row>
    <row r="5" spans="2:7" ht="15" customHeight="1">
      <c r="B5" s="51"/>
      <c r="C5" s="31"/>
      <c r="D5" s="25"/>
      <c r="E5" s="25"/>
      <c r="G5" s="40"/>
    </row>
    <row r="6" spans="2:7" s="40" customFormat="1">
      <c r="B6" s="43"/>
      <c r="C6" s="42"/>
    </row>
    <row r="7" spans="2:7" s="40" customFormat="1">
      <c r="B7" s="50"/>
    </row>
    <row r="8" spans="2:7" s="13" customFormat="1" ht="15" customHeight="1">
      <c r="B8" s="74" t="s">
        <v>327</v>
      </c>
      <c r="C8" s="74"/>
      <c r="D8" s="74"/>
      <c r="E8" s="74"/>
      <c r="F8" s="74"/>
    </row>
    <row r="9" spans="2:7" s="13" customFormat="1" ht="15" customHeight="1">
      <c r="B9" s="74"/>
      <c r="C9" s="74"/>
      <c r="D9" s="74"/>
      <c r="E9" s="74"/>
      <c r="F9" s="74"/>
      <c r="G9" s="49"/>
    </row>
    <row r="10" spans="2:7" s="13" customFormat="1" ht="15" customHeight="1">
      <c r="B10" s="74"/>
      <c r="C10" s="74"/>
      <c r="D10" s="74"/>
      <c r="E10" s="74"/>
      <c r="F10" s="74"/>
    </row>
    <row r="11" spans="2:7" s="13" customFormat="1" ht="15" customHeight="1">
      <c r="B11" s="52"/>
      <c r="C11" s="52"/>
      <c r="D11" s="52"/>
      <c r="E11" s="52"/>
      <c r="F11" s="52"/>
    </row>
    <row r="12" spans="2:7" s="13" customFormat="1" ht="36.950000000000003" customHeight="1">
      <c r="B12" s="54" t="s">
        <v>30</v>
      </c>
      <c r="C12" s="54" t="s">
        <v>33</v>
      </c>
      <c r="D12" s="54" t="s">
        <v>20</v>
      </c>
      <c r="E12" s="54" t="s">
        <v>32</v>
      </c>
      <c r="F12" s="54" t="s">
        <v>31</v>
      </c>
    </row>
    <row r="13" spans="2:7" ht="14.45" customHeight="1">
      <c r="B13" s="76" t="s">
        <v>145</v>
      </c>
      <c r="C13" s="62" t="s">
        <v>234</v>
      </c>
      <c r="D13" s="63">
        <v>281</v>
      </c>
      <c r="E13" s="64">
        <v>7.7667219458264006E-2</v>
      </c>
      <c r="F13" s="64">
        <v>3.5961095469670003E-2</v>
      </c>
    </row>
    <row r="14" spans="2:7" ht="14.45" customHeight="1">
      <c r="B14" s="77"/>
      <c r="C14" s="62" t="s">
        <v>235</v>
      </c>
      <c r="D14" s="63">
        <v>634</v>
      </c>
      <c r="E14" s="64">
        <v>0.17523493642896601</v>
      </c>
      <c r="F14" s="64">
        <v>8.1136421807012998E-2</v>
      </c>
    </row>
    <row r="15" spans="2:7" ht="14.45" customHeight="1">
      <c r="B15" s="77"/>
      <c r="C15" s="62" t="s">
        <v>236</v>
      </c>
      <c r="D15" s="63">
        <v>1334</v>
      </c>
      <c r="E15" s="64">
        <v>0.36871199557766698</v>
      </c>
      <c r="F15" s="64">
        <v>0.17071922190939301</v>
      </c>
    </row>
    <row r="16" spans="2:7" ht="14.45" customHeight="1">
      <c r="B16" s="77"/>
      <c r="C16" s="62" t="s">
        <v>237</v>
      </c>
      <c r="D16" s="63">
        <v>1229</v>
      </c>
      <c r="E16" s="64">
        <v>0.33969043670536198</v>
      </c>
      <c r="F16" s="64">
        <v>0.15728180189403601</v>
      </c>
    </row>
    <row r="17" spans="2:6" ht="14.45" customHeight="1">
      <c r="B17" s="77"/>
      <c r="C17" s="62" t="s">
        <v>238</v>
      </c>
      <c r="D17" s="63">
        <v>111</v>
      </c>
      <c r="E17" s="64">
        <v>3.0679933665008E-2</v>
      </c>
      <c r="F17" s="64">
        <v>1.4205272587663E-2</v>
      </c>
    </row>
    <row r="18" spans="2:6" ht="14.45" customHeight="1">
      <c r="B18" s="77"/>
      <c r="C18" s="62" t="s">
        <v>239</v>
      </c>
      <c r="D18" s="63">
        <v>1</v>
      </c>
      <c r="E18" s="64">
        <v>2.7639579878400002E-4</v>
      </c>
      <c r="F18" s="64">
        <v>1.2797542871799999E-4</v>
      </c>
    </row>
    <row r="19" spans="2:6" ht="14.45" customHeight="1">
      <c r="B19" s="78"/>
      <c r="C19" s="62" t="s">
        <v>240</v>
      </c>
      <c r="D19" s="63">
        <v>28</v>
      </c>
      <c r="E19" s="64">
        <v>7.7390823659479998E-3</v>
      </c>
      <c r="F19" s="64">
        <v>3.5833120040949999E-3</v>
      </c>
    </row>
    <row r="20" spans="2:6" ht="14.45" customHeight="1">
      <c r="B20" s="76" t="s">
        <v>146</v>
      </c>
      <c r="C20" s="62" t="s">
        <v>241</v>
      </c>
      <c r="D20" s="63">
        <v>3</v>
      </c>
      <c r="E20" s="64">
        <v>7.1496663488999999E-4</v>
      </c>
      <c r="F20" s="64">
        <v>3.8392628615299999E-4</v>
      </c>
    </row>
    <row r="21" spans="2:6" ht="14.45" customHeight="1">
      <c r="B21" s="77"/>
      <c r="C21" s="62" t="s">
        <v>234</v>
      </c>
      <c r="D21" s="63">
        <v>561</v>
      </c>
      <c r="E21" s="64">
        <v>0.13369876072449999</v>
      </c>
      <c r="F21" s="64">
        <v>7.1794215510621998E-2</v>
      </c>
    </row>
    <row r="22" spans="2:6" ht="14.45" customHeight="1">
      <c r="B22" s="77"/>
      <c r="C22" s="62" t="s">
        <v>235</v>
      </c>
      <c r="D22" s="63">
        <v>933</v>
      </c>
      <c r="E22" s="64">
        <v>0.22235462345090601</v>
      </c>
      <c r="F22" s="64">
        <v>0.119401074993601</v>
      </c>
    </row>
    <row r="23" spans="2:6" ht="14.45" customHeight="1">
      <c r="B23" s="77"/>
      <c r="C23" s="62" t="s">
        <v>236</v>
      </c>
      <c r="D23" s="63">
        <v>1423</v>
      </c>
      <c r="E23" s="64">
        <v>0.33913250714966597</v>
      </c>
      <c r="F23" s="64">
        <v>0.18210903506526699</v>
      </c>
    </row>
    <row r="24" spans="2:6" ht="14.45" customHeight="1">
      <c r="B24" s="77"/>
      <c r="C24" s="62" t="s">
        <v>237</v>
      </c>
      <c r="D24" s="63">
        <v>1127</v>
      </c>
      <c r="E24" s="64">
        <v>0.26858913250715</v>
      </c>
      <c r="F24" s="64">
        <v>0.14422830816483201</v>
      </c>
    </row>
    <row r="25" spans="2:6" ht="14.45" customHeight="1">
      <c r="B25" s="77"/>
      <c r="C25" s="62" t="s">
        <v>238</v>
      </c>
      <c r="D25" s="63">
        <v>128</v>
      </c>
      <c r="E25" s="64">
        <v>3.0505243088656001E-2</v>
      </c>
      <c r="F25" s="64">
        <v>1.6380854875864E-2</v>
      </c>
    </row>
    <row r="26" spans="2:6" ht="14.45" customHeight="1">
      <c r="B26" s="78"/>
      <c r="C26" s="62" t="s">
        <v>240</v>
      </c>
      <c r="D26" s="63">
        <v>21</v>
      </c>
      <c r="E26" s="64">
        <v>5.0047664442330001E-3</v>
      </c>
      <c r="F26" s="64">
        <v>2.687484003071E-3</v>
      </c>
    </row>
    <row r="27" spans="2:6" ht="14.45" customHeight="1">
      <c r="B27" s="83" t="s">
        <v>29</v>
      </c>
      <c r="C27" s="84"/>
      <c r="D27" s="55">
        <v>7814</v>
      </c>
      <c r="E27" s="56">
        <v>1</v>
      </c>
      <c r="F27" s="56">
        <v>1</v>
      </c>
    </row>
    <row r="28" spans="2:6" ht="14.45" customHeight="1"/>
    <row r="29" spans="2:6" ht="14.45" customHeight="1">
      <c r="B29" s="15" t="s">
        <v>47</v>
      </c>
    </row>
    <row r="30" spans="2:6" ht="14.45" customHeight="1">
      <c r="B30" s="17" t="s">
        <v>18</v>
      </c>
    </row>
    <row r="31" spans="2:6" ht="14.45" customHeight="1">
      <c r="B31" s="16" t="s">
        <v>48</v>
      </c>
    </row>
    <row r="32" spans="2:6" ht="14.45" customHeight="1">
      <c r="B32" s="15" t="s">
        <v>17</v>
      </c>
    </row>
    <row r="33" spans="2:2" ht="14.45" customHeight="1">
      <c r="B33" s="15" t="s">
        <v>49</v>
      </c>
    </row>
  </sheetData>
  <mergeCells count="4">
    <mergeCell ref="B8:F10"/>
    <mergeCell ref="B13:B19"/>
    <mergeCell ref="B20:B26"/>
    <mergeCell ref="B27:C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D58"/>
  <sheetViews>
    <sheetView showGridLines="0" tabSelected="1" view="pageBreakPreview" zoomScaleNormal="100" zoomScaleSheetLayoutView="100" workbookViewId="0">
      <selection activeCell="I12" sqref="I12"/>
    </sheetView>
  </sheetViews>
  <sheetFormatPr baseColWidth="10" defaultColWidth="11.42578125" defaultRowHeight="15"/>
  <cols>
    <col min="1" max="1" width="9.28515625" style="13" customWidth="1"/>
    <col min="2" max="2" width="49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74" t="s">
        <v>328</v>
      </c>
      <c r="C7" s="74"/>
      <c r="D7" s="74"/>
    </row>
    <row r="8" spans="1:4" s="25" customFormat="1" ht="15" customHeight="1">
      <c r="B8" s="74"/>
      <c r="C8" s="74"/>
      <c r="D8" s="74"/>
    </row>
    <row r="9" spans="1:4" s="25" customFormat="1" ht="33" customHeight="1">
      <c r="B9" s="74"/>
      <c r="C9" s="74"/>
      <c r="D9" s="74"/>
    </row>
    <row r="10" spans="1:4" s="25" customFormat="1" ht="11.1" customHeight="1">
      <c r="B10" s="29"/>
      <c r="C10" s="29"/>
      <c r="D10" s="29"/>
    </row>
    <row r="11" spans="1:4" s="25" customFormat="1" ht="33" customHeight="1">
      <c r="B11" s="28" t="s">
        <v>34</v>
      </c>
      <c r="C11" s="27" t="s">
        <v>20</v>
      </c>
      <c r="D11" s="26" t="s">
        <v>19</v>
      </c>
    </row>
    <row r="12" spans="1:4">
      <c r="B12" s="23" t="s">
        <v>242</v>
      </c>
      <c r="C12" s="22">
        <v>4423</v>
      </c>
      <c r="D12" s="21">
        <v>0.566035321218326</v>
      </c>
    </row>
    <row r="13" spans="1:4">
      <c r="B13" s="23" t="s">
        <v>243</v>
      </c>
      <c r="C13" s="22">
        <v>1943</v>
      </c>
      <c r="D13" s="21">
        <v>0.248656257998464</v>
      </c>
    </row>
    <row r="14" spans="1:4">
      <c r="A14" s="24"/>
      <c r="B14" s="23" t="s">
        <v>244</v>
      </c>
      <c r="C14" s="22">
        <v>255</v>
      </c>
      <c r="D14" s="21">
        <v>3.2633734323009998E-2</v>
      </c>
    </row>
    <row r="15" spans="1:4">
      <c r="A15" s="24"/>
      <c r="B15" s="23" t="s">
        <v>245</v>
      </c>
      <c r="C15" s="22">
        <v>206</v>
      </c>
      <c r="D15" s="21">
        <v>2.6362938315843E-2</v>
      </c>
    </row>
    <row r="16" spans="1:4">
      <c r="B16" s="23" t="s">
        <v>246</v>
      </c>
      <c r="C16" s="22">
        <v>176</v>
      </c>
      <c r="D16" s="21">
        <v>2.2523675454313E-2</v>
      </c>
    </row>
    <row r="17" spans="2:4">
      <c r="B17" s="23" t="s">
        <v>247</v>
      </c>
      <c r="C17" s="22">
        <v>145</v>
      </c>
      <c r="D17" s="21">
        <v>1.8556437164065E-2</v>
      </c>
    </row>
    <row r="18" spans="2:4">
      <c r="B18" s="23" t="s">
        <v>248</v>
      </c>
      <c r="C18" s="22">
        <v>137</v>
      </c>
      <c r="D18" s="21">
        <v>1.7532633734323001E-2</v>
      </c>
    </row>
    <row r="19" spans="2:4">
      <c r="B19" s="23" t="s">
        <v>249</v>
      </c>
      <c r="C19" s="22">
        <v>97</v>
      </c>
      <c r="D19" s="21">
        <v>1.2413616585616001E-2</v>
      </c>
    </row>
    <row r="20" spans="2:4">
      <c r="B20" s="23" t="s">
        <v>250</v>
      </c>
      <c r="C20" s="22">
        <v>54</v>
      </c>
      <c r="D20" s="21">
        <v>6.9106731507549996E-3</v>
      </c>
    </row>
    <row r="21" spans="2:4">
      <c r="B21" s="23" t="s">
        <v>251</v>
      </c>
      <c r="C21" s="22">
        <v>39</v>
      </c>
      <c r="D21" s="21">
        <v>4.9910417199899998E-3</v>
      </c>
    </row>
    <row r="22" spans="2:4">
      <c r="B22" s="23" t="s">
        <v>252</v>
      </c>
      <c r="C22" s="22">
        <v>33</v>
      </c>
      <c r="D22" s="21">
        <v>4.223189147684E-3</v>
      </c>
    </row>
    <row r="23" spans="2:4">
      <c r="B23" s="23" t="s">
        <v>253</v>
      </c>
      <c r="C23" s="22">
        <v>32</v>
      </c>
      <c r="D23" s="21">
        <v>4.0952137189659999E-3</v>
      </c>
    </row>
    <row r="24" spans="2:4">
      <c r="B24" s="23" t="s">
        <v>254</v>
      </c>
      <c r="C24" s="22">
        <v>29</v>
      </c>
      <c r="D24" s="21">
        <v>3.711287432813E-3</v>
      </c>
    </row>
    <row r="25" spans="2:4">
      <c r="B25" s="23" t="s">
        <v>255</v>
      </c>
      <c r="C25" s="22">
        <v>24</v>
      </c>
      <c r="D25" s="21">
        <v>3.0714102892239999E-3</v>
      </c>
    </row>
    <row r="26" spans="2:4">
      <c r="B26" s="23" t="s">
        <v>256</v>
      </c>
      <c r="C26" s="22">
        <v>23</v>
      </c>
      <c r="D26" s="21">
        <v>2.9434348605069998E-3</v>
      </c>
    </row>
    <row r="27" spans="2:4">
      <c r="B27" s="23" t="s">
        <v>257</v>
      </c>
      <c r="C27" s="22">
        <v>22</v>
      </c>
      <c r="D27" s="21">
        <v>2.8154594317890001E-3</v>
      </c>
    </row>
    <row r="28" spans="2:4">
      <c r="B28" s="23" t="s">
        <v>258</v>
      </c>
      <c r="C28" s="22">
        <v>21</v>
      </c>
      <c r="D28" s="21">
        <v>2.687484003071E-3</v>
      </c>
    </row>
    <row r="29" spans="2:4">
      <c r="B29" s="23" t="s">
        <v>259</v>
      </c>
      <c r="C29" s="22">
        <v>19</v>
      </c>
      <c r="D29" s="21">
        <v>2.4315331456359998E-3</v>
      </c>
    </row>
    <row r="30" spans="2:4">
      <c r="B30" s="23" t="s">
        <v>260</v>
      </c>
      <c r="C30" s="22">
        <v>18</v>
      </c>
      <c r="D30" s="21">
        <v>2.3035577169180001E-3</v>
      </c>
    </row>
    <row r="31" spans="2:4">
      <c r="B31" s="23" t="s">
        <v>261</v>
      </c>
      <c r="C31" s="22">
        <v>17</v>
      </c>
      <c r="D31" s="21">
        <v>2.1755822882010001E-3</v>
      </c>
    </row>
    <row r="32" spans="2:4">
      <c r="B32" s="23" t="s">
        <v>262</v>
      </c>
      <c r="C32" s="22">
        <v>12</v>
      </c>
      <c r="D32" s="21">
        <v>1.5357051446119999E-3</v>
      </c>
    </row>
    <row r="33" spans="2:4">
      <c r="B33" s="23" t="s">
        <v>263</v>
      </c>
      <c r="C33" s="22">
        <v>11</v>
      </c>
      <c r="D33" s="21">
        <v>1.4077297158950001E-3</v>
      </c>
    </row>
    <row r="34" spans="2:4">
      <c r="B34" s="23" t="s">
        <v>264</v>
      </c>
      <c r="C34" s="22">
        <v>10</v>
      </c>
      <c r="D34" s="21">
        <v>1.279754287177E-3</v>
      </c>
    </row>
    <row r="35" spans="2:4">
      <c r="B35" s="23" t="s">
        <v>265</v>
      </c>
      <c r="C35" s="22">
        <v>9</v>
      </c>
      <c r="D35" s="21">
        <v>1.1517788584590001E-3</v>
      </c>
    </row>
    <row r="36" spans="2:4">
      <c r="B36" s="23" t="s">
        <v>266</v>
      </c>
      <c r="C36" s="22">
        <v>9</v>
      </c>
      <c r="D36" s="21">
        <v>1.1517788584590001E-3</v>
      </c>
    </row>
    <row r="37" spans="2:4">
      <c r="B37" s="23" t="s">
        <v>267</v>
      </c>
      <c r="C37" s="22">
        <v>8</v>
      </c>
      <c r="D37" s="21">
        <v>1.0238034297409999E-3</v>
      </c>
    </row>
    <row r="38" spans="2:4">
      <c r="B38" s="23" t="s">
        <v>268</v>
      </c>
      <c r="C38" s="22">
        <v>8</v>
      </c>
      <c r="D38" s="21">
        <v>1.0238034297409999E-3</v>
      </c>
    </row>
    <row r="39" spans="2:4">
      <c r="B39" s="23" t="s">
        <v>269</v>
      </c>
      <c r="C39" s="22">
        <v>7</v>
      </c>
      <c r="D39" s="21">
        <v>8.9582800102399999E-4</v>
      </c>
    </row>
    <row r="40" spans="2:4">
      <c r="B40" s="23" t="s">
        <v>270</v>
      </c>
      <c r="C40" s="22">
        <v>5</v>
      </c>
      <c r="D40" s="21">
        <v>6.3987714358799996E-4</v>
      </c>
    </row>
    <row r="41" spans="2:4">
      <c r="B41" s="23" t="s">
        <v>271</v>
      </c>
      <c r="C41" s="22">
        <v>3</v>
      </c>
      <c r="D41" s="21">
        <v>3.8392628615299999E-4</v>
      </c>
    </row>
    <row r="42" spans="2:4">
      <c r="B42" s="23" t="s">
        <v>272</v>
      </c>
      <c r="C42" s="22">
        <v>3</v>
      </c>
      <c r="D42" s="21">
        <v>3.8392628615299999E-4</v>
      </c>
    </row>
    <row r="43" spans="2:4">
      <c r="B43" s="23" t="s">
        <v>273</v>
      </c>
      <c r="C43" s="22">
        <v>3</v>
      </c>
      <c r="D43" s="21">
        <v>3.8392628615299999E-4</v>
      </c>
    </row>
    <row r="44" spans="2:4">
      <c r="B44" s="23" t="s">
        <v>274</v>
      </c>
      <c r="C44" s="22">
        <v>2</v>
      </c>
      <c r="D44" s="21">
        <v>2.5595085743500002E-4</v>
      </c>
    </row>
    <row r="45" spans="2:4">
      <c r="B45" s="23" t="s">
        <v>275</v>
      </c>
      <c r="C45" s="22">
        <v>2</v>
      </c>
      <c r="D45" s="21">
        <v>2.5595085743500002E-4</v>
      </c>
    </row>
    <row r="46" spans="2:4">
      <c r="B46" s="23" t="s">
        <v>276</v>
      </c>
      <c r="C46" s="22">
        <v>2</v>
      </c>
      <c r="D46" s="21">
        <v>2.5595085743500002E-4</v>
      </c>
    </row>
    <row r="47" spans="2:4">
      <c r="B47" s="23" t="s">
        <v>277</v>
      </c>
      <c r="C47" s="22">
        <v>2</v>
      </c>
      <c r="D47" s="21">
        <v>2.5595085743500002E-4</v>
      </c>
    </row>
    <row r="48" spans="2:4">
      <c r="B48" s="23" t="s">
        <v>278</v>
      </c>
      <c r="C48" s="22">
        <v>2</v>
      </c>
      <c r="D48" s="21">
        <v>2.5595085743500002E-4</v>
      </c>
    </row>
    <row r="49" spans="2:4">
      <c r="B49" s="23" t="s">
        <v>279</v>
      </c>
      <c r="C49" s="22">
        <v>1</v>
      </c>
      <c r="D49" s="21">
        <v>1.2797542871799999E-4</v>
      </c>
    </row>
    <row r="50" spans="2:4">
      <c r="B50" s="23" t="s">
        <v>280</v>
      </c>
      <c r="C50" s="22">
        <v>1</v>
      </c>
      <c r="D50" s="21">
        <v>1.2797542871799999E-4</v>
      </c>
    </row>
    <row r="51" spans="2:4">
      <c r="B51" s="23" t="s">
        <v>281</v>
      </c>
      <c r="C51" s="22">
        <v>1</v>
      </c>
      <c r="D51" s="21">
        <v>1.2797542871799999E-4</v>
      </c>
    </row>
    <row r="52" spans="2:4">
      <c r="B52" s="20" t="s">
        <v>29</v>
      </c>
      <c r="C52" s="19">
        <v>7814</v>
      </c>
      <c r="D52" s="18">
        <v>1</v>
      </c>
    </row>
    <row r="54" spans="2:4">
      <c r="B54" s="15" t="s">
        <v>47</v>
      </c>
    </row>
    <row r="55" spans="2:4">
      <c r="B55" s="17" t="s">
        <v>18</v>
      </c>
    </row>
    <row r="56" spans="2:4">
      <c r="B56" s="16" t="s">
        <v>48</v>
      </c>
    </row>
    <row r="57" spans="2:4">
      <c r="B57" s="15" t="s">
        <v>17</v>
      </c>
    </row>
    <row r="58" spans="2:4">
      <c r="B58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22</vt:i4>
      </vt:variant>
    </vt:vector>
  </HeadingPairs>
  <TitlesOfParts>
    <vt:vector size="37" baseType="lpstr">
      <vt:lpstr>Índice</vt:lpstr>
      <vt:lpstr>Nayarit_EdoUsa</vt:lpstr>
      <vt:lpstr>Nayarit_Cons</vt:lpstr>
      <vt:lpstr>NayaritXCons</vt:lpstr>
      <vt:lpstr>Nayarit_EdoMun</vt:lpstr>
      <vt:lpstr>Nayarit_USAMuni</vt:lpstr>
      <vt:lpstr>Nayarit_MUNICIPIO</vt:lpstr>
      <vt:lpstr>Nayarit_educ_gral</vt:lpstr>
      <vt:lpstr>Nayarit_NivelE_Cons</vt:lpstr>
      <vt:lpstr>Nayarit_EducCons</vt:lpstr>
      <vt:lpstr>Nayarit_GenGral</vt:lpstr>
      <vt:lpstr>Nayarit_GENERO</vt:lpstr>
      <vt:lpstr>Nayarit_GENERO_EUA</vt:lpstr>
      <vt:lpstr>Nayarit_Gen_Edad</vt:lpstr>
      <vt:lpstr>Nayarit_ocup_gral</vt:lpstr>
      <vt:lpstr>Nayarit_EdoMun!Área_de_impresión</vt:lpstr>
      <vt:lpstr>Nayarit_educ_gral!Área_de_impresión</vt:lpstr>
      <vt:lpstr>Nayarit_EducCons!Área_de_impresión</vt:lpstr>
      <vt:lpstr>Nayarit_MUNICIPIO!Área_de_impresión</vt:lpstr>
      <vt:lpstr>Nayarit_NivelE_Cons!Área_de_impresión</vt:lpstr>
      <vt:lpstr>Nayarit_ocup_gral!Área_de_impresión</vt:lpstr>
      <vt:lpstr>Nayarit_USAMuni!Área_de_impresión</vt:lpstr>
      <vt:lpstr>NayaritXCons!Área_de_impresión</vt:lpstr>
      <vt:lpstr>Nayarit_Cons!Títulos_a_imprimir</vt:lpstr>
      <vt:lpstr>Nayarit_EdoMun!Títulos_a_imprimir</vt:lpstr>
      <vt:lpstr>Nayarit_EdoUsa!Títulos_a_imprimir</vt:lpstr>
      <vt:lpstr>Nayarit_educ_gral!Títulos_a_imprimir</vt:lpstr>
      <vt:lpstr>Nayarit_EducCons!Títulos_a_imprimir</vt:lpstr>
      <vt:lpstr>Nayarit_Gen_Edad!Títulos_a_imprimir</vt:lpstr>
      <vt:lpstr>Nayarit_GENERO!Títulos_a_imprimir</vt:lpstr>
      <vt:lpstr>Nayarit_GENERO_EUA!Títulos_a_imprimir</vt:lpstr>
      <vt:lpstr>Nayarit_GenGral!Títulos_a_imprimir</vt:lpstr>
      <vt:lpstr>Nayarit_MUNICIPIO!Títulos_a_imprimir</vt:lpstr>
      <vt:lpstr>Nayarit_NivelE_Cons!Títulos_a_imprimir</vt:lpstr>
      <vt:lpstr>Nayarit_ocup_gral!Títulos_a_imprimir</vt:lpstr>
      <vt:lpstr>Nayarit_USAMuni!Títulos_a_imprimir</vt:lpstr>
      <vt:lpstr>NayaritXCons!Títulos_a_imprimir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2020-06-03T21:20:59Z</dcterms:created>
  <dcterms:modified xsi:type="dcterms:W3CDTF">2024-12-31T16:44:27Z</dcterms:modified>
</cp:coreProperties>
</file>