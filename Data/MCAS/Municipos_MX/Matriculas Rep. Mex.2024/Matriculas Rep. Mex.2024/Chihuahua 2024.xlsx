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FBCE3CA5-E848-4FC8-A247-93E8CCAF6D86}" xr6:coauthVersionLast="47" xr6:coauthVersionMax="47" xr10:uidLastSave="{00000000-0000-0000-0000-000000000000}"/>
  <bookViews>
    <workbookView xWindow="-110" yWindow="-110" windowWidth="19420" windowHeight="10420" tabRatio="810" firstSheet="10" activeTab="14" xr2:uid="{00000000-000D-0000-FFFF-FFFF00000000}"/>
  </bookViews>
  <sheets>
    <sheet name="Índice" sheetId="1" r:id="rId1"/>
    <sheet name="Chihuahua_EdoUsa" sheetId="2" r:id="rId2"/>
    <sheet name="Chihuahua_Cons" sheetId="15" r:id="rId3"/>
    <sheet name="ChihuahuaXCons" sheetId="16" r:id="rId4"/>
    <sheet name="Chihuahua_EdoMun" sheetId="5" r:id="rId5"/>
    <sheet name="Chihuahua_USAMuni" sheetId="6" r:id="rId6"/>
    <sheet name="Chihuahua_MUNICIPIO" sheetId="7" r:id="rId7"/>
    <sheet name="Chihuahua_educ_gral" sheetId="8" r:id="rId8"/>
    <sheet name="Chihuahua_NivelE_Cons" sheetId="9" r:id="rId9"/>
    <sheet name="Chihuahua_EducCons" sheetId="10" r:id="rId10"/>
    <sheet name="Chihuahua_GenGral" sheetId="11" r:id="rId11"/>
    <sheet name="Chihuahua_GENERO_EUA" sheetId="12" r:id="rId12"/>
    <sheet name="Chihuahua_GENERO_C" sheetId="17" r:id="rId13"/>
    <sheet name="Chihuahua_Gen_Edad" sheetId="13" r:id="rId14"/>
    <sheet name="Chihuahua_ocup_gral" sheetId="14" r:id="rId15"/>
  </sheets>
  <definedNames>
    <definedName name="_xlnm._FilterDatabase" localSheetId="2" hidden="1">Chihuahua_Cons!$B$11:$D$11</definedName>
    <definedName name="_xlnm._FilterDatabase" localSheetId="4" hidden="1">Chihuahua_EdoMun!$B$11:$D$11</definedName>
    <definedName name="_xlnm._FilterDatabase" localSheetId="1" hidden="1">Chihuahua_EdoUsa!$B$11:$D$11</definedName>
    <definedName name="_xlnm._FilterDatabase" localSheetId="7" hidden="1">Chihuahua_educ_gral!$B$11:$D$11</definedName>
    <definedName name="_xlnm._FilterDatabase" localSheetId="9" hidden="1">Chihuahua_EducCons!$B$9:$E$807</definedName>
    <definedName name="_xlnm._FilterDatabase" localSheetId="12" hidden="1">Chihuahua_GENERO_C!$B$12:$E$169</definedName>
    <definedName name="_xlnm._FilterDatabase" localSheetId="11" hidden="1">Chihuahua_GENERO_EUA!$B$12:$E$151</definedName>
    <definedName name="_xlnm._FilterDatabase" localSheetId="10" hidden="1">Chihuahua_GenGral!$B$11:$D$11</definedName>
    <definedName name="_xlnm._FilterDatabase" localSheetId="6" hidden="1">Chihuahua_MUNICIPIO!$B$9:$E$1427</definedName>
    <definedName name="_xlnm._FilterDatabase" localSheetId="8" hidden="1">Chihuahua_NivelE_Cons!$B$9:$E$634</definedName>
    <definedName name="_xlnm._FilterDatabase" localSheetId="14" hidden="1">Chihuahua_ocup_gral!$B$11:$D$11</definedName>
    <definedName name="_xlnm._FilterDatabase" localSheetId="5" hidden="1">Chihuahua_USAMuni!$B$9:$E$1123</definedName>
    <definedName name="_xlnm._FilterDatabase" localSheetId="3" hidden="1">ChihuahuaXCons!$B$11:$D$12</definedName>
    <definedName name="_xlnm.Print_Area" localSheetId="1">Chihuahua_EdoUsa!$A$1:$F$64</definedName>
    <definedName name="_xlnm.Print_Area" localSheetId="7">Chihuahua_educ_gral!$A$1:$F$43</definedName>
    <definedName name="_xlnm.Print_Area" localSheetId="9">Chihuahua_EducCons!$A$1:$E$813</definedName>
    <definedName name="_xlnm.Print_Area" localSheetId="13">Chihuahua_Gen_Edad!$A$1:$H$40</definedName>
    <definedName name="_xlnm.Print_Area" localSheetId="12">Chihuahua_GENERO_C!$A$1:$F$176</definedName>
    <definedName name="_xlnm.Print_Area" localSheetId="11">Chihuahua_GENERO_EUA!$A$1:$F$158</definedName>
    <definedName name="_xlnm.Print_Area" localSheetId="6">Chihuahua_MUNICIPIO!$A$1:$E$1433</definedName>
    <definedName name="_xlnm.Print_Area" localSheetId="8">Chihuahua_NivelE_Cons!$A$1:$E$640</definedName>
    <definedName name="_xlnm.Print_Area" localSheetId="14">Chihuahua_ocup_gral!$A$1:$F$79</definedName>
    <definedName name="_xlnm.Print_Area" localSheetId="5">Chihuahua_USAMuni!$A$1:$E$1129</definedName>
    <definedName name="_xlnm.Print_Area" localSheetId="3">ChihuahuaXCons!$A$1:$G$29</definedName>
    <definedName name="_xlnm.Print_Titles" localSheetId="2">Chihuahua_Cons!$1:$11</definedName>
    <definedName name="_xlnm.Print_Titles" localSheetId="4">Chihuahua_EdoMun!$1:$11</definedName>
    <definedName name="_xlnm.Print_Titles" localSheetId="1">Chihuahua_EdoUsa!$1:$11</definedName>
    <definedName name="_xlnm.Print_Titles" localSheetId="7">Chihuahua_educ_gral!$1:$11</definedName>
    <definedName name="_xlnm.Print_Titles" localSheetId="9">Chihuahua_EducCons!$1:$9</definedName>
    <definedName name="_xlnm.Print_Titles" localSheetId="13">Chihuahua_Gen_Edad!$1:$12</definedName>
    <definedName name="_xlnm.Print_Titles" localSheetId="12">Chihuahua_GENERO_C!$1:$12</definedName>
    <definedName name="_xlnm.Print_Titles" localSheetId="11">Chihuahua_GENERO_EUA!$1:$12</definedName>
    <definedName name="_xlnm.Print_Titles" localSheetId="10">Chihuahua_GenGral!$1:$11</definedName>
    <definedName name="_xlnm.Print_Titles" localSheetId="6">Chihuahua_MUNICIPIO!$1:$9</definedName>
    <definedName name="_xlnm.Print_Titles" localSheetId="8">Chihuahua_NivelE_Cons!$1:$9</definedName>
    <definedName name="_xlnm.Print_Titles" localSheetId="14">Chihuahua_ocup_gral!$1:$11</definedName>
    <definedName name="_xlnm.Print_Titles" localSheetId="5">Chihuahua_USAMuni!$1:$9</definedName>
    <definedName name="_xlnm.Print_Titles" localSheetId="3">ChihuahuaXCons!$1:$11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3" l="1"/>
  <c r="F26" i="13"/>
  <c r="F25" i="13"/>
  <c r="E31" i="13"/>
  <c r="E23" i="13"/>
  <c r="E20" i="13"/>
  <c r="E19" i="13"/>
  <c r="E18" i="13"/>
  <c r="E29" i="13"/>
  <c r="E28" i="13"/>
  <c r="E27" i="13"/>
  <c r="E25" i="13"/>
  <c r="E24" i="13"/>
  <c r="E22" i="13"/>
  <c r="E17" i="13"/>
  <c r="E16" i="13"/>
  <c r="E15" i="13"/>
  <c r="E14" i="13"/>
  <c r="E13" i="13"/>
  <c r="F32" i="13"/>
  <c r="F31" i="13"/>
  <c r="F30" i="13"/>
  <c r="F29" i="13"/>
  <c r="F28" i="13"/>
  <c r="F27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C22" i="16"/>
  <c r="D22" i="16" l="1"/>
</calcChain>
</file>

<file path=xl/sharedStrings.xml><?xml version="1.0" encoding="utf-8"?>
<sst xmlns="http://schemas.openxmlformats.org/spreadsheetml/2006/main" count="4972" uniqueCount="328">
  <si>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</si>
  <si>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</si>
  <si>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</si>
  <si>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</si>
  <si>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</si>
  <si>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</si>
  <si>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</si>
  <si>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</si>
  <si>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</si>
  <si>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</si>
  <si>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</si>
  <si>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</si>
  <si>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</si>
  <si>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</si>
  <si>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</si>
  <si>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</si>
  <si>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</si>
  <si>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</si>
  <si>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</si>
  <si>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</si>
  <si>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</si>
  <si>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</si>
  <si>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</si>
  <si>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</si>
  <si>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</si>
  <si>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</si>
  <si>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</si>
  <si>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</si>
  <si>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</si>
  <si>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</si>
  <si>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</si>
  <si>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</si>
  <si>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CHIHUAHUA POR GÉNERO Y EDAD EN EE.UU.</t>
  </si>
  <si>
    <t>Ocupación</t>
  </si>
  <si>
    <t>5.3  Por Estado de la Unión Americana</t>
  </si>
  <si>
    <t>MATRÍCULAS CONSULARES DE ALTA SEGURIDAD EXPEDIDAS A ORIGINARIOS DE CHIHUAHUA EN LOS CONSULADOS DE MÉXICO EN EE.UU.</t>
  </si>
  <si>
    <t>MATRÍCULAS CONSULARES EXPEDIDAS A ORIGINARIOS DE CHIHUAHUA POR GÉNERO EN EE.UU</t>
  </si>
  <si>
    <t>MATRÍCULAS CONSULARES EXPEDIDAS EN EE.UU. A ORIGINARIOS DE CHIHUAHUA POR NIVEL DE EDUCACIÓN</t>
  </si>
  <si>
    <t>MATRÍCULAS CONSULARES DE ALTA SEGURIDAD EXPEDIDAS POR MUNICIPIO A ORIGINARIOS DEL ESTADO DE CHIHUAHUA EN LOS CONSULADOS DE MÉXICO EN EE.UU.</t>
  </si>
  <si>
    <t xml:space="preserve">MATRÍCULAS CONSULARES DE ALTA SEGURIDAD EXPEDIDAS A ORIGINARIOS DE CHIHUAHUA POR ESTADO DE LA UNIÓN AMERICANA. </t>
  </si>
  <si>
    <t>5.2 Por Circunscripción Consular</t>
  </si>
  <si>
    <t>LOS 10 CONSULADOS  DE MÉXICO EN EE.UU., CON MAYOR NÚMERO DE EXPEDICIÓN DE  MATRÍCULAS CONSULARES DE ALTA SEGURIDAD A ORIGINARIOS DE CHIHUAHUA</t>
  </si>
  <si>
    <t>TOTAL TOP 10</t>
  </si>
  <si>
    <t>TOTAL GENERAL</t>
  </si>
  <si>
    <t>Elaborado por: Análisis de Información, Instituto de Mexicanas y Mexicanos en el Exterior</t>
  </si>
  <si>
    <t>EL PASO</t>
  </si>
  <si>
    <t>DENVER</t>
  </si>
  <si>
    <t>DALLAS</t>
  </si>
  <si>
    <t>ALBUQUERQUE</t>
  </si>
  <si>
    <t>KANSAS CITY</t>
  </si>
  <si>
    <t>OKLAHOMA CITY</t>
  </si>
  <si>
    <t>PHOENIX</t>
  </si>
  <si>
    <t>CHICAGO</t>
  </si>
  <si>
    <t>PRESIDIO</t>
  </si>
  <si>
    <t>HOUSTON</t>
  </si>
  <si>
    <t>LOS ANGELES</t>
  </si>
  <si>
    <t>LAS VEGAS</t>
  </si>
  <si>
    <t>LITTLE ROCK</t>
  </si>
  <si>
    <t>SALT LAKE CITY</t>
  </si>
  <si>
    <t>SAINT PAUL</t>
  </si>
  <si>
    <t>SAN ANTONIO</t>
  </si>
  <si>
    <t>ATLANTA</t>
  </si>
  <si>
    <t>OMAHA</t>
  </si>
  <si>
    <t>AUSTIN</t>
  </si>
  <si>
    <t>SAN BERNARDINO</t>
  </si>
  <si>
    <t>INDIANAPOLIS</t>
  </si>
  <si>
    <t>FRESNO</t>
  </si>
  <si>
    <t>BOISE</t>
  </si>
  <si>
    <t>RALEIGH</t>
  </si>
  <si>
    <t>SANTA ANA</t>
  </si>
  <si>
    <t>NUEVA ORLEANS</t>
  </si>
  <si>
    <t>MILWAUKEE</t>
  </si>
  <si>
    <t>SACRAMENTO</t>
  </si>
  <si>
    <t>TUCSON</t>
  </si>
  <si>
    <t>ORLANDO</t>
  </si>
  <si>
    <t>DETROIT</t>
  </si>
  <si>
    <t>SAN JOSE</t>
  </si>
  <si>
    <t>SAN FRANCISCO</t>
  </si>
  <si>
    <t>MIAMI</t>
  </si>
  <si>
    <t>MCALLEN</t>
  </si>
  <si>
    <t>DEL RIO</t>
  </si>
  <si>
    <t>SAN DIEGO</t>
  </si>
  <si>
    <t>WASHINGTON</t>
  </si>
  <si>
    <t>FILADELFIA</t>
  </si>
  <si>
    <t>OXNARD</t>
  </si>
  <si>
    <t>NUEVA YORK</t>
  </si>
  <si>
    <t>SEATTLE</t>
  </si>
  <si>
    <t>BROWNSVILLE</t>
  </si>
  <si>
    <t>PORTLAND</t>
  </si>
  <si>
    <t>LAREDO</t>
  </si>
  <si>
    <t>CALEXICO</t>
  </si>
  <si>
    <t>BOSTON</t>
  </si>
  <si>
    <t>YUMA</t>
  </si>
  <si>
    <t>NEW BRUNSWICK</t>
  </si>
  <si>
    <t>DOUGLAS</t>
  </si>
  <si>
    <t>NOGALES</t>
  </si>
  <si>
    <t>EAGLE PASS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</si>
  <si>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</si>
  <si>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</si>
  <si>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</si>
  <si>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</si>
  <si>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</si>
  <si>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</si>
  <si>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</si>
  <si>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</si>
  <si>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</si>
  <si>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</si>
  <si>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</si>
  <si>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</si>
  <si>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</si>
  <si>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</si>
  <si>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</si>
  <si>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</si>
  <si>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</si>
  <si>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</si>
  <si>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</si>
  <si>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</si>
  <si>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</si>
  <si>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</si>
  <si>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</si>
  <si>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</si>
  <si>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KINDERGARTEN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</si>
  <si>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</si>
  <si>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</si>
  <si>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</si>
  <si>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</si>
  <si>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</si>
  <si>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</si>
  <si>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</si>
  <si>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EN EE.UU. ORIGINARIOS DE CHIHUAHUA POR PERFIL OCUPACIONAL</t>
  </si>
  <si>
    <t>Tamaño de la muestra: 808,027</t>
  </si>
  <si>
    <t>Texas</t>
  </si>
  <si>
    <t>Colorado</t>
  </si>
  <si>
    <t>New Mexico</t>
  </si>
  <si>
    <t>Oklahoma</t>
  </si>
  <si>
    <t>California</t>
  </si>
  <si>
    <t>Arizona</t>
  </si>
  <si>
    <t>Kansas</t>
  </si>
  <si>
    <t>Illinois</t>
  </si>
  <si>
    <t>Nevada</t>
  </si>
  <si>
    <t>Missouri</t>
  </si>
  <si>
    <t>Utah</t>
  </si>
  <si>
    <t>Nebraska</t>
  </si>
  <si>
    <t>Minnesota</t>
  </si>
  <si>
    <t>Arkansas</t>
  </si>
  <si>
    <t>Tennessee</t>
  </si>
  <si>
    <t>Indiana</t>
  </si>
  <si>
    <t>Wisconsin</t>
  </si>
  <si>
    <t>Wyoming</t>
  </si>
  <si>
    <t>Florida</t>
  </si>
  <si>
    <t>North Carolina</t>
  </si>
  <si>
    <t>Iowa</t>
  </si>
  <si>
    <t>Idaho</t>
  </si>
  <si>
    <t>Georgia</t>
  </si>
  <si>
    <t>Mississippi</t>
  </si>
  <si>
    <t>Louisiana</t>
  </si>
  <si>
    <t>Michigan</t>
  </si>
  <si>
    <t>Kentucky</t>
  </si>
  <si>
    <t>Alabama</t>
  </si>
  <si>
    <t>Ohio</t>
  </si>
  <si>
    <t>South Carolina</t>
  </si>
  <si>
    <t>Washington</t>
  </si>
  <si>
    <t>Virginia</t>
  </si>
  <si>
    <t>New York</t>
  </si>
  <si>
    <t>Pennsylvania</t>
  </si>
  <si>
    <t>North Dakota</t>
  </si>
  <si>
    <t>South Dakota</t>
  </si>
  <si>
    <t>Delaware</t>
  </si>
  <si>
    <t>Oregon</t>
  </si>
  <si>
    <t>Connecticut</t>
  </si>
  <si>
    <t>Montana</t>
  </si>
  <si>
    <t>New Jersey</t>
  </si>
  <si>
    <t>Maryland</t>
  </si>
  <si>
    <t>West Virginia</t>
  </si>
  <si>
    <t>Alaska</t>
  </si>
  <si>
    <t>Hawaii</t>
  </si>
  <si>
    <t>Massachusetts</t>
  </si>
  <si>
    <t>Femenino</t>
  </si>
  <si>
    <t>Masculino</t>
  </si>
  <si>
    <t>Arizona Total</t>
  </si>
  <si>
    <t>No Binario</t>
  </si>
  <si>
    <t>Juárez</t>
  </si>
  <si>
    <t>Chihuahua</t>
  </si>
  <si>
    <t>Delicias</t>
  </si>
  <si>
    <t>Cuauhtémoc</t>
  </si>
  <si>
    <t>Hidalgo del Parral</t>
  </si>
  <si>
    <t>Ojinaga</t>
  </si>
  <si>
    <t>Nuevo Casas Grandes</t>
  </si>
  <si>
    <t>Camargo</t>
  </si>
  <si>
    <t>Guerrero</t>
  </si>
  <si>
    <t>Jiménez</t>
  </si>
  <si>
    <t>Meoqui</t>
  </si>
  <si>
    <t>Madera</t>
  </si>
  <si>
    <t>Guadalupe</t>
  </si>
  <si>
    <t>Namiquipa</t>
  </si>
  <si>
    <t>Aldama</t>
  </si>
  <si>
    <t>Allende</t>
  </si>
  <si>
    <t>Dr. Belisario Domínguez</t>
  </si>
  <si>
    <t>Bocoyna</t>
  </si>
  <si>
    <t>Valle de Zaragoza</t>
  </si>
  <si>
    <t>Santa Bárbara</t>
  </si>
  <si>
    <t>Buenaventura</t>
  </si>
  <si>
    <t>Saucillo</t>
  </si>
  <si>
    <t>Praxedis G. Guerrero</t>
  </si>
  <si>
    <t>Satevó</t>
  </si>
  <si>
    <t>Ahumada</t>
  </si>
  <si>
    <t>Desconocido</t>
  </si>
  <si>
    <t>Guadalupe y Calvo</t>
  </si>
  <si>
    <t>San Francisco del Oro</t>
  </si>
  <si>
    <t>Cusihuiriachi</t>
  </si>
  <si>
    <t>Manuel Benavides</t>
  </si>
  <si>
    <t>Bachíniva</t>
  </si>
  <si>
    <t>Carichí</t>
  </si>
  <si>
    <t>Ignacio Zaragoza</t>
  </si>
  <si>
    <t>Guachochi</t>
  </si>
  <si>
    <t>Janos</t>
  </si>
  <si>
    <t>Ascensión</t>
  </si>
  <si>
    <t>Casas Grandes</t>
  </si>
  <si>
    <t>Gran Morelos</t>
  </si>
  <si>
    <t>Gómez Farías</t>
  </si>
  <si>
    <t>Riva Palacio</t>
  </si>
  <si>
    <t>Rosales</t>
  </si>
  <si>
    <t>Balleza</t>
  </si>
  <si>
    <t>Coyame del Sotol</t>
  </si>
  <si>
    <t>San Francisco de Borja</t>
  </si>
  <si>
    <t>Coronado</t>
  </si>
  <si>
    <t>Nonoava</t>
  </si>
  <si>
    <t>Santa Isabel</t>
  </si>
  <si>
    <t>Batopilas</t>
  </si>
  <si>
    <t>Matachí</t>
  </si>
  <si>
    <t>San Francisco de Conchos</t>
  </si>
  <si>
    <t>Temósachic</t>
  </si>
  <si>
    <t>Aquiles Serdán</t>
  </si>
  <si>
    <t>Galeana</t>
  </si>
  <si>
    <t>Matamoros</t>
  </si>
  <si>
    <t>La Cruz</t>
  </si>
  <si>
    <t>López</t>
  </si>
  <si>
    <t>Rosario</t>
  </si>
  <si>
    <t>Julimes</t>
  </si>
  <si>
    <t>Uruachi</t>
  </si>
  <si>
    <t>Morelos</t>
  </si>
  <si>
    <t>Ocampo</t>
  </si>
  <si>
    <t>Urique</t>
  </si>
  <si>
    <t>Chínipas</t>
  </si>
  <si>
    <t>Huejotitán</t>
  </si>
  <si>
    <t>Moris</t>
  </si>
  <si>
    <t>El Tule</t>
  </si>
  <si>
    <t>Guazapares</t>
  </si>
  <si>
    <t>Maguarichi</t>
  </si>
  <si>
    <t>ENTRE 00 Y 10 AÑOS</t>
  </si>
  <si>
    <t xml:space="preserve">Consulado </t>
  </si>
  <si>
    <t xml:space="preserve">MATRÍCULAS CONSULARES EXPEDIDAS A ORIGINARIOS DE CHIHUAHUA POR GÉNERO Y POR ESTADO DE LA UNION AMERICANA </t>
  </si>
  <si>
    <t>MATRÍCULAS CONSULARES EXPEDIDAS A ORIGINARIOS DE CHIHUAHUA POR GÉNERO Y POR CONSULADO</t>
  </si>
  <si>
    <t>FEMENINO</t>
  </si>
  <si>
    <t>MASCULINO</t>
  </si>
  <si>
    <t>NO BINARIO</t>
  </si>
  <si>
    <t xml:space="preserve">FEMENINO  </t>
  </si>
  <si>
    <t xml:space="preserve">MASCULINO  </t>
  </si>
  <si>
    <t xml:space="preserve">NO BINARIO  </t>
  </si>
  <si>
    <t>EMPLEADO(A)</t>
  </si>
  <si>
    <t>HOGAR</t>
  </si>
  <si>
    <t>ESTUDIANTE</t>
  </si>
  <si>
    <t>CONSTRUCCIÓN, TRAB. DE LA IND. DE LA</t>
  </si>
  <si>
    <t>OBRERO(A)</t>
  </si>
  <si>
    <t>ALIMENTOS Y BEBIDAS, ESP. EN PREPARACIÓN DE</t>
  </si>
  <si>
    <t>PROFESIONISTA</t>
  </si>
  <si>
    <t>JUBILADO(A)/PENSIONADO(A)</t>
  </si>
  <si>
    <t>AGROPECUARIA, TRAB. DE LA INDUSTRIA</t>
  </si>
  <si>
    <t>DESEMPLEADO</t>
  </si>
  <si>
    <t>LIMPIEZA, EMPLEADO DE</t>
  </si>
  <si>
    <t>PINTOR(A)</t>
  </si>
  <si>
    <t>EMPRESARIO(A)</t>
  </si>
  <si>
    <t>MECÁNICO(A)</t>
  </si>
  <si>
    <t>JARDINERO(A)</t>
  </si>
  <si>
    <t>CHOFER</t>
  </si>
  <si>
    <t>VENDEDOR(A)</t>
  </si>
  <si>
    <t>CARPINTERO/TAPICERO</t>
  </si>
  <si>
    <t>SIN ESPECIFICAR</t>
  </si>
  <si>
    <t>MESERO(A)</t>
  </si>
  <si>
    <t>OTRO</t>
  </si>
  <si>
    <t>SOLDADOR</t>
  </si>
  <si>
    <t>OPERARIO(A)</t>
  </si>
  <si>
    <t>TÉCNICO(A) EN MANTENIMIENTO</t>
  </si>
  <si>
    <t>COMERCIANTE</t>
  </si>
  <si>
    <t>CAJERO(A)/COBRADOR(A)</t>
  </si>
  <si>
    <t>BELLEZA, PROFESIONAL DE SERVICIOS DE</t>
  </si>
  <si>
    <t>ADMINISTRADOR(A)/CONTADOR(A)</t>
  </si>
  <si>
    <t>EXTRACCIÓN, TRAB. DE LA INDUSTRIA DE LA</t>
  </si>
  <si>
    <t>ENFERMERO(A)/TRAB. DE APOYO EN SALUD</t>
  </si>
  <si>
    <t>PROFESOR(A)</t>
  </si>
  <si>
    <t>INGENIERO(A)</t>
  </si>
  <si>
    <t>GERENTE/DIRECTOR(A)</t>
  </si>
  <si>
    <t>MINISTRO(A) RELIGIOSO(A)</t>
  </si>
  <si>
    <t>PROFESIONAL TÉCNICO</t>
  </si>
  <si>
    <t>DISCAPACITADO</t>
  </si>
  <si>
    <t>AUXILIARES ADMINISTRATIVOS Y DE OFICINA</t>
  </si>
  <si>
    <t>SUPERVISOR(A)</t>
  </si>
  <si>
    <t>ARTISTA INTERPRETATIVO(A)</t>
  </si>
  <si>
    <t>CONSULTOR</t>
  </si>
  <si>
    <t>CARNICERO(A)</t>
  </si>
  <si>
    <t>POLICÍA/ SERV. SEGURIDAD Y PROTECCIÓN</t>
  </si>
  <si>
    <t>ABOGADO(A)</t>
  </si>
  <si>
    <t>AEROCOMERCIAL, TRAB. DE LA INDUSTRIA</t>
  </si>
  <si>
    <t>DISEÑADOR(A)</t>
  </si>
  <si>
    <t>MÉDICO(A) /ESP. EN SALUD</t>
  </si>
  <si>
    <t>TRABAJADOR(A) SOCIAL</t>
  </si>
  <si>
    <t>ARTESANO(A)</t>
  </si>
  <si>
    <t>ARTISTA PLÁSTICO/PINTOR(A)</t>
  </si>
  <si>
    <t>BANQUERO/INVERSIONISTA</t>
  </si>
  <si>
    <t>DEPORTISTA/ENTRENADOR DEPORTIVO</t>
  </si>
  <si>
    <t>DIPLOMÁTICO(A)</t>
  </si>
  <si>
    <t>FOTÓGRAFO(A)</t>
  </si>
  <si>
    <t>MISIONERO(A)</t>
  </si>
  <si>
    <t>MODISTA/SASTRE</t>
  </si>
  <si>
    <t>PLANCHADOR(A)</t>
  </si>
  <si>
    <t>SERVIDOR(A) PÚBLICO(A)</t>
  </si>
  <si>
    <t>TRABAJADOR(A) DOMÉSTICO(A)</t>
  </si>
  <si>
    <t>TURISMO, SERV. RELACIONADOS CON</t>
  </si>
  <si>
    <t>VETERINARIO</t>
  </si>
  <si>
    <t xml:space="preserve"> Total</t>
  </si>
  <si>
    <t>Junio de 2025</t>
  </si>
  <si>
    <t>TOTAL</t>
  </si>
  <si>
    <t xml:space="preserve">TOTAL </t>
  </si>
  <si>
    <t xml:space="preserve"> TOTAL </t>
  </si>
  <si>
    <t xml:space="preserve"> TOTAL</t>
  </si>
  <si>
    <t>Matrículas consulares expedidas a originarios de Chihuahua en el 2024</t>
  </si>
  <si>
    <t>encabezado  de tabla en Montserrat</t>
  </si>
  <si>
    <t>Los títulos están en Montserrat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</si>
</sst>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3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b/>
      <sz val="11"/>
      <name val="Noto Sans"/>
      <family val="2"/>
    </font>
    <font>
      <sz val="11"/>
      <color theme="1"/>
      <name val="Noto Sans"/>
      <family val="2"/>
    </font>
    <font>
      <b/>
      <sz val="9"/>
      <color indexed="9"/>
      <name val="Noto Sans"/>
      <family val="2"/>
    </font>
    <font>
      <b/>
      <sz val="9"/>
      <color theme="0"/>
      <name val="Noto Sans"/>
      <family val="2"/>
    </font>
    <font>
      <sz val="11"/>
      <name val="Noto Sans"/>
      <family val="2"/>
    </font>
    <font>
      <sz val="7"/>
      <color indexed="8"/>
      <name val="Noto Sans"/>
      <family val="2"/>
    </font>
    <font>
      <sz val="10.5"/>
      <color theme="1"/>
      <name val="Noto Sans"/>
      <family val="2"/>
    </font>
    <font>
      <sz val="8"/>
      <color indexed="8"/>
      <name val="Noto Sans"/>
      <family val="2"/>
    </font>
    <font>
      <sz val="10"/>
      <color theme="1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9"/>
      <color theme="0"/>
      <name val="Noto Sans"/>
      <family val="2"/>
    </font>
    <font>
      <b/>
      <sz val="8"/>
      <color theme="1"/>
      <name val="Arial"/>
      <family val="2"/>
    </font>
    <font>
      <b/>
      <sz val="9"/>
      <color theme="0"/>
      <name val="Noto Sans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1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0" fontId="5" fillId="3" borderId="0" xfId="0" applyFont="1" applyFill="1"/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8" fillId="3" borderId="0" xfId="0" applyFont="1" applyFill="1"/>
    <xf numFmtId="0" fontId="9" fillId="3" borderId="0" xfId="0" applyFont="1" applyFill="1"/>
    <xf numFmtId="0" fontId="10" fillId="3" borderId="0" xfId="0" applyFont="1" applyFill="1"/>
    <xf numFmtId="0" fontId="6" fillId="3" borderId="0" xfId="0" applyFont="1" applyFill="1"/>
    <xf numFmtId="0" fontId="12" fillId="3" borderId="0" xfId="0" applyFont="1" applyFill="1"/>
    <xf numFmtId="0" fontId="10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4" fillId="0" borderId="4" xfId="0" applyFont="1" applyBorder="1"/>
    <xf numFmtId="0" fontId="16" fillId="3" borderId="0" xfId="0" applyFont="1" applyFill="1"/>
    <xf numFmtId="0" fontId="16" fillId="3" borderId="0" xfId="0" applyFont="1" applyFill="1" applyAlignment="1">
      <alignment vertical="center"/>
    </xf>
    <xf numFmtId="0" fontId="17" fillId="3" borderId="0" xfId="0" applyFont="1" applyFill="1"/>
    <xf numFmtId="0" fontId="16" fillId="0" borderId="0" xfId="0" applyFont="1"/>
    <xf numFmtId="0" fontId="21" fillId="3" borderId="0" xfId="0" applyFont="1" applyFill="1"/>
    <xf numFmtId="0" fontId="22" fillId="3" borderId="0" xfId="0" applyFont="1" applyFill="1"/>
    <xf numFmtId="3" fontId="16" fillId="3" borderId="0" xfId="0" applyNumberFormat="1" applyFont="1" applyFill="1"/>
    <xf numFmtId="0" fontId="22" fillId="3" borderId="0" xfId="0" applyFont="1" applyFill="1" applyAlignment="1">
      <alignment vertical="center"/>
    </xf>
    <xf numFmtId="0" fontId="22" fillId="3" borderId="0" xfId="0" applyFont="1" applyFill="1" applyAlignment="1">
      <alignment vertical="top"/>
    </xf>
    <xf numFmtId="0" fontId="18" fillId="0" borderId="0" xfId="0" applyFont="1" applyAlignment="1">
      <alignment horizontal="center" vertical="center" wrapText="1"/>
    </xf>
    <xf numFmtId="0" fontId="20" fillId="2" borderId="11" xfId="0" applyFont="1" applyFill="1" applyBorder="1" applyAlignment="1">
      <alignment horizontal="center" vertical="center" wrapText="1"/>
    </xf>
    <xf numFmtId="1" fontId="20" fillId="2" borderId="10" xfId="0" applyNumberFormat="1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0" fontId="18" fillId="3" borderId="0" xfId="0" applyFont="1" applyFill="1"/>
    <xf numFmtId="3" fontId="18" fillId="3" borderId="0" xfId="0" applyNumberFormat="1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0" fontId="26" fillId="3" borderId="0" xfId="0" applyFont="1" applyFill="1"/>
    <xf numFmtId="0" fontId="26" fillId="3" borderId="12" xfId="0" applyFont="1" applyFill="1" applyBorder="1" applyAlignment="1">
      <alignment horizontal="center" vertical="distributed"/>
    </xf>
    <xf numFmtId="49" fontId="20" fillId="4" borderId="9" xfId="0" applyNumberFormat="1" applyFont="1" applyFill="1" applyBorder="1" applyAlignment="1">
      <alignment vertical="top" wrapText="1"/>
    </xf>
    <xf numFmtId="165" fontId="20" fillId="4" borderId="9" xfId="0" applyNumberFormat="1" applyFont="1" applyFill="1" applyBorder="1" applyAlignment="1">
      <alignment horizontal="right" vertical="top" wrapText="1"/>
    </xf>
    <xf numFmtId="164" fontId="20" fillId="4" borderId="9" xfId="0" applyNumberFormat="1" applyFont="1" applyFill="1" applyBorder="1" applyAlignment="1">
      <alignment horizontal="right" vertical="top" wrapText="1"/>
    </xf>
    <xf numFmtId="49" fontId="28" fillId="0" borderId="9" xfId="0" applyNumberFormat="1" applyFont="1" applyBorder="1" applyAlignment="1">
      <alignment vertical="top" wrapText="1"/>
    </xf>
    <xf numFmtId="165" fontId="29" fillId="6" borderId="9" xfId="0" applyNumberFormat="1" applyFont="1" applyFill="1" applyBorder="1" applyAlignment="1">
      <alignment horizontal="right" vertical="top" wrapText="1"/>
    </xf>
    <xf numFmtId="164" fontId="29" fillId="6" borderId="9" xfId="0" applyNumberFormat="1" applyFont="1" applyFill="1" applyBorder="1" applyAlignment="1">
      <alignment horizontal="right" vertical="top" wrapText="1"/>
    </xf>
    <xf numFmtId="49" fontId="20" fillId="4" borderId="9" xfId="0" applyNumberFormat="1" applyFont="1" applyFill="1" applyBorder="1" applyAlignment="1">
      <alignment vertical="center" wrapText="1"/>
    </xf>
    <xf numFmtId="0" fontId="28" fillId="3" borderId="9" xfId="0" applyFont="1" applyFill="1" applyBorder="1"/>
    <xf numFmtId="49" fontId="20" fillId="8" borderId="9" xfId="0" applyNumberFormat="1" applyFont="1" applyFill="1" applyBorder="1" applyAlignment="1">
      <alignment vertical="center" wrapText="1"/>
    </xf>
    <xf numFmtId="3" fontId="20" fillId="8" borderId="9" xfId="0" applyNumberFormat="1" applyFont="1" applyFill="1" applyBorder="1" applyAlignment="1">
      <alignment horizontal="right" vertical="center" wrapText="1"/>
    </xf>
    <xf numFmtId="164" fontId="20" fillId="8" borderId="9" xfId="0" applyNumberFormat="1" applyFont="1" applyFill="1" applyBorder="1" applyAlignment="1">
      <alignment horizontal="right" vertical="center" wrapText="1"/>
    </xf>
    <xf numFmtId="165" fontId="20" fillId="7" borderId="9" xfId="0" applyNumberFormat="1" applyFont="1" applyFill="1" applyBorder="1" applyAlignment="1">
      <alignment horizontal="right" vertical="top" wrapText="1"/>
    </xf>
    <xf numFmtId="164" fontId="30" fillId="7" borderId="9" xfId="0" applyNumberFormat="1" applyFont="1" applyFill="1" applyBorder="1" applyAlignment="1">
      <alignment horizontal="right" vertical="top" wrapText="1"/>
    </xf>
    <xf numFmtId="165" fontId="20" fillId="8" borderId="9" xfId="0" applyNumberFormat="1" applyFont="1" applyFill="1" applyBorder="1" applyAlignment="1">
      <alignment horizontal="right" vertical="top" wrapText="1"/>
    </xf>
    <xf numFmtId="49" fontId="20" fillId="8" borderId="9" xfId="0" applyNumberFormat="1" applyFont="1" applyFill="1" applyBorder="1" applyAlignment="1">
      <alignment vertical="top" wrapText="1"/>
    </xf>
    <xf numFmtId="164" fontId="20" fillId="8" borderId="9" xfId="0" applyNumberFormat="1" applyFont="1" applyFill="1" applyBorder="1" applyAlignment="1">
      <alignment horizontal="right" vertical="top" wrapText="1"/>
    </xf>
    <xf numFmtId="49" fontId="20" fillId="7" borderId="9" xfId="0" applyNumberFormat="1" applyFont="1" applyFill="1" applyBorder="1" applyAlignment="1">
      <alignment vertical="top" wrapText="1"/>
    </xf>
    <xf numFmtId="0" fontId="19" fillId="2" borderId="10" xfId="3" applyFont="1" applyFill="1" applyBorder="1" applyAlignment="1">
      <alignment horizontal="center" vertical="center" wrapText="1"/>
    </xf>
    <xf numFmtId="0" fontId="20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9" fillId="0" borderId="9" xfId="0" applyFont="1" applyBorder="1" applyAlignment="1">
      <alignment vertical="center" wrapText="1"/>
    </xf>
    <xf numFmtId="0" fontId="20" fillId="4" borderId="9" xfId="0" applyFont="1" applyFill="1" applyBorder="1" applyAlignment="1">
      <alignment vertical="center" wrapText="1"/>
    </xf>
    <xf numFmtId="0" fontId="27" fillId="5" borderId="10" xfId="3" applyFont="1" applyFill="1" applyBorder="1" applyAlignment="1">
      <alignment horizontal="center" vertical="center" wrapText="1"/>
    </xf>
    <xf numFmtId="0" fontId="20" fillId="8" borderId="9" xfId="0" applyFont="1" applyFill="1" applyBorder="1" applyAlignment="1">
      <alignment vertical="center" wrapText="1"/>
    </xf>
    <xf numFmtId="0" fontId="31" fillId="0" borderId="0" xfId="0" applyFont="1"/>
    <xf numFmtId="164" fontId="32" fillId="7" borderId="9" xfId="0" applyNumberFormat="1" applyFont="1" applyFill="1" applyBorder="1" applyAlignment="1">
      <alignment horizontal="right" vertical="top" wrapText="1"/>
    </xf>
    <xf numFmtId="0" fontId="15" fillId="0" borderId="4" xfId="1" applyFont="1" applyBorder="1" applyAlignment="1">
      <alignment horizontal="left"/>
    </xf>
    <xf numFmtId="0" fontId="15" fillId="0" borderId="0" xfId="1" applyFont="1" applyBorder="1" applyAlignment="1">
      <alignment horizontal="left"/>
    </xf>
    <xf numFmtId="0" fontId="15" fillId="0" borderId="5" xfId="1" applyFont="1" applyBorder="1" applyAlignment="1">
      <alignment horizontal="left"/>
    </xf>
    <xf numFmtId="0" fontId="13" fillId="2" borderId="1" xfId="0" applyFont="1" applyFill="1" applyBorder="1" applyAlignment="1">
      <alignment horizontal="center" wrapText="1"/>
    </xf>
    <xf numFmtId="0" fontId="13" fillId="2" borderId="2" xfId="0" applyFont="1" applyFill="1" applyBorder="1" applyAlignment="1">
      <alignment horizontal="center" wrapText="1"/>
    </xf>
    <xf numFmtId="0" fontId="13" fillId="2" borderId="3" xfId="0" applyFont="1" applyFill="1" applyBorder="1" applyAlignment="1">
      <alignment horizontal="center" wrapText="1"/>
    </xf>
    <xf numFmtId="0" fontId="14" fillId="0" borderId="4" xfId="0" applyFont="1" applyBorder="1" applyAlignment="1">
      <alignment horizontal="left" wrapText="1"/>
    </xf>
    <xf numFmtId="0" fontId="14" fillId="0" borderId="0" xfId="0" applyFont="1" applyAlignment="1">
      <alignment horizontal="left" wrapText="1"/>
    </xf>
    <xf numFmtId="0" fontId="14" fillId="0" borderId="5" xfId="0" applyFont="1" applyBorder="1" applyAlignment="1">
      <alignment horizontal="left" wrapText="1"/>
    </xf>
    <xf numFmtId="0" fontId="25" fillId="0" borderId="0" xfId="0" applyFont="1" applyAlignment="1">
      <alignment horizontal="center" vertical="center" wrapText="1"/>
    </xf>
    <xf numFmtId="49" fontId="20" fillId="4" borderId="15" xfId="0" applyNumberFormat="1" applyFont="1" applyFill="1" applyBorder="1" applyAlignment="1">
      <alignment horizontal="center" vertical="top" wrapText="1"/>
    </xf>
    <xf numFmtId="49" fontId="20" fillId="4" borderId="16" xfId="0" applyNumberFormat="1" applyFont="1" applyFill="1" applyBorder="1" applyAlignment="1">
      <alignment horizontal="center" vertical="top" wrapText="1"/>
    </xf>
    <xf numFmtId="49" fontId="28" fillId="0" borderId="10" xfId="0" applyNumberFormat="1" applyFont="1" applyBorder="1" applyAlignment="1">
      <alignment horizontal="center" vertical="center" wrapText="1"/>
    </xf>
    <xf numFmtId="49" fontId="28" fillId="0" borderId="13" xfId="0" applyNumberFormat="1" applyFont="1" applyBorder="1" applyAlignment="1">
      <alignment horizontal="center" vertical="center" wrapText="1"/>
    </xf>
    <xf numFmtId="49" fontId="28" fillId="0" borderId="14" xfId="0" applyNumberFormat="1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20" fillId="4" borderId="15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29" fillId="0" borderId="13" xfId="0" applyFont="1" applyBorder="1" applyAlignment="1">
      <alignment horizontal="center" vertical="center" wrapText="1"/>
    </xf>
    <xf numFmtId="0" fontId="29" fillId="0" borderId="14" xfId="0" applyFont="1" applyBorder="1" applyAlignment="1">
      <alignment horizontal="center" vertical="center" wrapText="1"/>
    </xf>
    <xf numFmtId="0" fontId="18" fillId="3" borderId="0" xfId="0" applyFont="1" applyFill="1" applyAlignment="1">
      <alignment horizontal="center" wrapText="1"/>
    </xf>
    <xf numFmtId="0" fontId="23" fillId="0" borderId="0" xfId="0" applyFont="1" applyAlignment="1">
      <alignment horizontal="center" vertical="center" wrapText="1"/>
    </xf>
    <xf numFmtId="49" fontId="28" fillId="3" borderId="10" xfId="0" applyNumberFormat="1" applyFont="1" applyFill="1" applyBorder="1" applyAlignment="1">
      <alignment horizontal="center" vertical="center" wrapText="1"/>
    </xf>
    <xf numFmtId="49" fontId="28" fillId="3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410291</xdr:colOff>
      <xdr:row>1</xdr:row>
      <xdr:rowOff>158442</xdr:rowOff>
    </xdr:from>
    <xdr:to>
      <xdr:col>3</xdr:col>
      <xdr:colOff>922388</xdr:colOff>
      <xdr:row>2</xdr:row>
      <xdr:rowOff>158442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96441" y="6918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219075</xdr:colOff>
      <xdr:row>8</xdr:row>
      <xdr:rowOff>9525</xdr:rowOff>
    </xdr:from>
    <xdr:to>
      <xdr:col>5</xdr:col>
      <xdr:colOff>112047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6707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164828</xdr:colOff>
      <xdr:row>2</xdr:row>
      <xdr:rowOff>1</xdr:rowOff>
    </xdr:from>
    <xdr:to>
      <xdr:col>1</xdr:col>
      <xdr:colOff>1164953</xdr:colOff>
      <xdr:row>3</xdr:row>
      <xdr:rowOff>31378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59F7366-96AD-4CAE-9F85-6689105862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828" y="38100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413303</xdr:colOff>
      <xdr:row>1</xdr:row>
      <xdr:rowOff>91109</xdr:rowOff>
    </xdr:from>
    <xdr:to>
      <xdr:col>5</xdr:col>
      <xdr:colOff>232328</xdr:colOff>
      <xdr:row>3</xdr:row>
      <xdr:rowOff>178544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4EB9935-01A1-4941-A2CD-10BEFD5CBD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1260" y="28160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7</xdr:row>
      <xdr:rowOff>38100</xdr:rowOff>
    </xdr:from>
    <xdr:to>
      <xdr:col>5</xdr:col>
      <xdr:colOff>92997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29150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202099</xdr:colOff>
      <xdr:row>1</xdr:row>
      <xdr:rowOff>129338</xdr:rowOff>
    </xdr:from>
    <xdr:to>
      <xdr:col>1</xdr:col>
      <xdr:colOff>1202224</xdr:colOff>
      <xdr:row>2</xdr:row>
      <xdr:rowOff>160715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90A5888-9168-4BCB-A331-D5C461452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099" y="319838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379217</xdr:colOff>
      <xdr:row>1</xdr:row>
      <xdr:rowOff>97163</xdr:rowOff>
    </xdr:from>
    <xdr:to>
      <xdr:col>5</xdr:col>
      <xdr:colOff>198241</xdr:colOff>
      <xdr:row>3</xdr:row>
      <xdr:rowOff>184598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B372145-E607-4798-BECA-A85C396702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2005" y="287663"/>
          <a:ext cx="441813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8630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157369</xdr:colOff>
      <xdr:row>1</xdr:row>
      <xdr:rowOff>115957</xdr:rowOff>
    </xdr:from>
    <xdr:to>
      <xdr:col>1</xdr:col>
      <xdr:colOff>1157494</xdr:colOff>
      <xdr:row>2</xdr:row>
      <xdr:rowOff>147334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A3A538E-D1E3-408A-B367-5BEBBC584E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369" y="306457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339587</xdr:colOff>
      <xdr:row>1</xdr:row>
      <xdr:rowOff>57978</xdr:rowOff>
    </xdr:from>
    <xdr:to>
      <xdr:col>5</xdr:col>
      <xdr:colOff>158611</xdr:colOff>
      <xdr:row>3</xdr:row>
      <xdr:rowOff>145413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82D748A-8DD4-4DF7-A954-B68C7810C6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79065" y="24847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7</xdr:row>
      <xdr:rowOff>123825</xdr:rowOff>
    </xdr:from>
    <xdr:to>
      <xdr:col>5</xdr:col>
      <xdr:colOff>83472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238500" y="14573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98566</xdr:colOff>
      <xdr:row>1</xdr:row>
      <xdr:rowOff>49698</xdr:rowOff>
    </xdr:from>
    <xdr:to>
      <xdr:col>1</xdr:col>
      <xdr:colOff>1098691</xdr:colOff>
      <xdr:row>2</xdr:row>
      <xdr:rowOff>81075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5EF8F26-58FD-4B8C-B1FC-6EDA6CCCD8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6" y="24019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330477</xdr:colOff>
      <xdr:row>1</xdr:row>
      <xdr:rowOff>41413</xdr:rowOff>
    </xdr:from>
    <xdr:to>
      <xdr:col>5</xdr:col>
      <xdr:colOff>149501</xdr:colOff>
      <xdr:row>3</xdr:row>
      <xdr:rowOff>128848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16DD5B-E02D-4D19-9773-28868E42C4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6303" y="23191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CHIHUAHUA POR ESTADO EN EE.UU.</a:t>
          </a:r>
        </a:p>
      </xdr:txBody>
    </xdr:sp>
    <xdr:clientData/>
  </xdr:twoCellAnchor>
  <xdr:twoCellAnchor>
    <xdr:from>
      <xdr:col>4</xdr:col>
      <xdr:colOff>459827</xdr:colOff>
      <xdr:row>7</xdr:row>
      <xdr:rowOff>91965</xdr:rowOff>
    </xdr:from>
    <xdr:to>
      <xdr:col>4</xdr:col>
      <xdr:colOff>971924</xdr:colOff>
      <xdr:row>7</xdr:row>
      <xdr:rowOff>276320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097517" y="183274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91935</xdr:colOff>
      <xdr:row>1</xdr:row>
      <xdr:rowOff>99323</xdr:rowOff>
    </xdr:from>
    <xdr:to>
      <xdr:col>2</xdr:col>
      <xdr:colOff>191327</xdr:colOff>
      <xdr:row>2</xdr:row>
      <xdr:rowOff>134841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309194D-3BB6-4D43-BDAD-0BC487167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055" y="2546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464653</xdr:colOff>
      <xdr:row>1</xdr:row>
      <xdr:rowOff>6146</xdr:rowOff>
    </xdr:from>
    <xdr:to>
      <xdr:col>4</xdr:col>
      <xdr:colOff>904873</xdr:colOff>
      <xdr:row>3</xdr:row>
      <xdr:rowOff>101864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8828043C-CF9C-43A1-BBA1-93689F9DDB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2561" y="161445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CHIHUAHUA EN LOS CONSULADOS DE MÉXICO EN EE.UU.</a:t>
          </a:r>
        </a:p>
      </xdr:txBody>
    </xdr:sp>
    <xdr:clientData/>
  </xdr:twoCellAnchor>
  <xdr:twoCellAnchor>
    <xdr:from>
      <xdr:col>4</xdr:col>
      <xdr:colOff>466396</xdr:colOff>
      <xdr:row>7</xdr:row>
      <xdr:rowOff>151086</xdr:rowOff>
    </xdr:from>
    <xdr:to>
      <xdr:col>4</xdr:col>
      <xdr:colOff>978493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04086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123107</xdr:colOff>
      <xdr:row>1</xdr:row>
      <xdr:rowOff>156043</xdr:rowOff>
    </xdr:from>
    <xdr:to>
      <xdr:col>2</xdr:col>
      <xdr:colOff>218380</xdr:colOff>
      <xdr:row>2</xdr:row>
      <xdr:rowOff>183323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FE2EF56-6F3D-4360-9815-D5408689CA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782" y="308443"/>
          <a:ext cx="1619273" cy="217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491817</xdr:colOff>
      <xdr:row>1</xdr:row>
      <xdr:rowOff>59359</xdr:rowOff>
    </xdr:from>
    <xdr:to>
      <xdr:col>4</xdr:col>
      <xdr:colOff>932037</xdr:colOff>
      <xdr:row>3</xdr:row>
      <xdr:rowOff>138600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DDAC56A-139B-4603-A668-AE9B39E3FE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6978" y="21298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342348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2" y="193261"/>
          <a:ext cx="6237631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149087</xdr:colOff>
      <xdr:row>8</xdr:row>
      <xdr:rowOff>55218</xdr:rowOff>
    </xdr:from>
    <xdr:to>
      <xdr:col>5</xdr:col>
      <xdr:colOff>15140</xdr:colOff>
      <xdr:row>8</xdr:row>
      <xdr:rowOff>239573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455478" y="1789044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195199</xdr:colOff>
      <xdr:row>1</xdr:row>
      <xdr:rowOff>186360</xdr:rowOff>
    </xdr:from>
    <xdr:to>
      <xdr:col>1</xdr:col>
      <xdr:colOff>1195324</xdr:colOff>
      <xdr:row>3</xdr:row>
      <xdr:rowOff>27237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FA7D275-2E1E-4A81-A701-AA3178A47A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5199" y="376860"/>
          <a:ext cx="1624542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347044</xdr:colOff>
      <xdr:row>1</xdr:row>
      <xdr:rowOff>52457</xdr:rowOff>
    </xdr:from>
    <xdr:to>
      <xdr:col>5</xdr:col>
      <xdr:colOff>166068</xdr:colOff>
      <xdr:row>3</xdr:row>
      <xdr:rowOff>139892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FA9831E-073C-4605-8730-A92F1A398D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4283" y="24295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50">
              <a:solidFill>
                <a:schemeClr val="dk1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MATRÍCULAS CONSULARES DE ALTA SEGURIDAD EXPEDIDAS A ORIGINARIOS DEL ESTADO DE CHIHUAHUA POR NIVEL DE EDUCACIÓN Y ESTADO EN EE.UU.</a:t>
          </a:r>
          <a:endParaRPr lang="es-MX" sz="900"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572485</xdr:colOff>
      <xdr:row>7</xdr:row>
      <xdr:rowOff>160611</xdr:rowOff>
    </xdr:from>
    <xdr:to>
      <xdr:col>4</xdr:col>
      <xdr:colOff>1084582</xdr:colOff>
      <xdr:row>7</xdr:row>
      <xdr:rowOff>344966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211160" y="190368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122144</xdr:colOff>
      <xdr:row>1</xdr:row>
      <xdr:rowOff>181299</xdr:rowOff>
    </xdr:from>
    <xdr:to>
      <xdr:col>2</xdr:col>
      <xdr:colOff>219465</xdr:colOff>
      <xdr:row>3</xdr:row>
      <xdr:rowOff>22176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E74E882-BA66-4A03-B0D6-0FABE10E54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379" y="33818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469526</xdr:colOff>
      <xdr:row>1</xdr:row>
      <xdr:rowOff>69239</xdr:rowOff>
    </xdr:from>
    <xdr:to>
      <xdr:col>4</xdr:col>
      <xdr:colOff>909746</xdr:colOff>
      <xdr:row>3</xdr:row>
      <xdr:rowOff>156674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B2EC6BA-A12E-44C2-AAB0-058DF865D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8761" y="22612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CHIHUAHUA POR CONSULADO Y NIVEL DE EDUCACIÓN EN EE.UU.</a:t>
          </a:r>
        </a:p>
      </xdr:txBody>
    </xdr:sp>
    <xdr:clientData/>
  </xdr:twoCellAnchor>
  <xdr:twoCellAnchor>
    <xdr:from>
      <xdr:col>4</xdr:col>
      <xdr:colOff>501764</xdr:colOff>
      <xdr:row>7</xdr:row>
      <xdr:rowOff>102054</xdr:rowOff>
    </xdr:from>
    <xdr:to>
      <xdr:col>4</xdr:col>
      <xdr:colOff>1013861</xdr:colOff>
      <xdr:row>7</xdr:row>
      <xdr:rowOff>286409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836264" y="1435554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152399</xdr:colOff>
      <xdr:row>1</xdr:row>
      <xdr:rowOff>154404</xdr:rowOff>
    </xdr:from>
    <xdr:to>
      <xdr:col>2</xdr:col>
      <xdr:colOff>249720</xdr:colOff>
      <xdr:row>2</xdr:row>
      <xdr:rowOff>185781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E511EC1-A0A6-4032-953E-4EC807A304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074" y="30680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514349</xdr:colOff>
      <xdr:row>1</xdr:row>
      <xdr:rowOff>68679</xdr:rowOff>
    </xdr:from>
    <xdr:to>
      <xdr:col>4</xdr:col>
      <xdr:colOff>954569</xdr:colOff>
      <xdr:row>3</xdr:row>
      <xdr:rowOff>156114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97B7CFC-C538-41EC-830A-1C27980C59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1149" y="2210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3181350" y="1552575"/>
          <a:ext cx="654972" cy="1653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82000</xdr:colOff>
      <xdr:row>1</xdr:row>
      <xdr:rowOff>16566</xdr:rowOff>
    </xdr:from>
    <xdr:to>
      <xdr:col>1</xdr:col>
      <xdr:colOff>1082125</xdr:colOff>
      <xdr:row>2</xdr:row>
      <xdr:rowOff>47943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06E08B1-8778-4C32-9916-256129F1B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000" y="20706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330477</xdr:colOff>
      <xdr:row>1</xdr:row>
      <xdr:rowOff>57978</xdr:rowOff>
    </xdr:from>
    <xdr:to>
      <xdr:col>5</xdr:col>
      <xdr:colOff>149501</xdr:colOff>
      <xdr:row>3</xdr:row>
      <xdr:rowOff>145413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A923CAA-BF88-4C2C-9007-E0342AC58F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9955" y="24847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841511</xdr:colOff>
      <xdr:row>9</xdr:row>
      <xdr:rowOff>8309</xdr:rowOff>
    </xdr:from>
    <xdr:to>
      <xdr:col>5</xdr:col>
      <xdr:colOff>342792</xdr:colOff>
      <xdr:row>10</xdr:row>
      <xdr:rowOff>626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040287" y="1796676"/>
          <a:ext cx="512097" cy="1867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148003</xdr:colOff>
      <xdr:row>1</xdr:row>
      <xdr:rowOff>76006</xdr:rowOff>
    </xdr:from>
    <xdr:to>
      <xdr:col>2</xdr:col>
      <xdr:colOff>283424</xdr:colOff>
      <xdr:row>2</xdr:row>
      <xdr:rowOff>155008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4C80216-45F7-412A-A6CF-84DDA6D269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9003" y="266506"/>
          <a:ext cx="1622786" cy="225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476250</xdr:colOff>
      <xdr:row>0</xdr:row>
      <xdr:rowOff>163929</xdr:rowOff>
    </xdr:from>
    <xdr:to>
      <xdr:col>4</xdr:col>
      <xdr:colOff>916470</xdr:colOff>
      <xdr:row>3</xdr:row>
      <xdr:rowOff>108489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5FE34E4-E4B2-454E-9CFE-8EEAD298CB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86300" y="1639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841511</xdr:colOff>
      <xdr:row>9</xdr:row>
      <xdr:rowOff>8309</xdr:rowOff>
    </xdr:from>
    <xdr:to>
      <xdr:col>5</xdr:col>
      <xdr:colOff>342792</xdr:colOff>
      <xdr:row>10</xdr:row>
      <xdr:rowOff>626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042036" y="1770434"/>
          <a:ext cx="510931" cy="18281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122169</xdr:colOff>
      <xdr:row>1</xdr:row>
      <xdr:rowOff>57501</xdr:rowOff>
    </xdr:from>
    <xdr:to>
      <xdr:col>2</xdr:col>
      <xdr:colOff>352840</xdr:colOff>
      <xdr:row>2</xdr:row>
      <xdr:rowOff>136503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1D55776-EFF3-4791-AECC-6E765F7211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3169" y="248001"/>
          <a:ext cx="1622149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457200</xdr:colOff>
      <xdr:row>0</xdr:row>
      <xdr:rowOff>173454</xdr:rowOff>
    </xdr:from>
    <xdr:to>
      <xdr:col>4</xdr:col>
      <xdr:colOff>897420</xdr:colOff>
      <xdr:row>3</xdr:row>
      <xdr:rowOff>118014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35596CF-367B-4284-83C3-BF2A293FC1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7345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968410</xdr:colOff>
      <xdr:row>8</xdr:row>
      <xdr:rowOff>139700</xdr:rowOff>
    </xdr:from>
    <xdr:to>
      <xdr:col>7</xdr:col>
      <xdr:colOff>132522</xdr:colOff>
      <xdr:row>9</xdr:row>
      <xdr:rowOff>165652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194736" y="1729961"/>
          <a:ext cx="522460" cy="21645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142875</xdr:colOff>
      <xdr:row>1</xdr:row>
      <xdr:rowOff>87729</xdr:rowOff>
    </xdr:from>
    <xdr:to>
      <xdr:col>2</xdr:col>
      <xdr:colOff>716446</xdr:colOff>
      <xdr:row>2</xdr:row>
      <xdr:rowOff>166731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9DDE390-1A26-47E9-9943-A9B29C92A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278229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342900</xdr:colOff>
      <xdr:row>0</xdr:row>
      <xdr:rowOff>163929</xdr:rowOff>
    </xdr:from>
    <xdr:to>
      <xdr:col>5</xdr:col>
      <xdr:colOff>783120</xdr:colOff>
      <xdr:row>3</xdr:row>
      <xdr:rowOff>108489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6E9A9D-35FA-498A-8ACC-C1598338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72125" y="16392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CHIHUAHUA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285198</xdr:colOff>
      <xdr:row>8</xdr:row>
      <xdr:rowOff>24572</xdr:rowOff>
    </xdr:from>
    <xdr:to>
      <xdr:col>5</xdr:col>
      <xdr:colOff>149595</xdr:colOff>
      <xdr:row>8</xdr:row>
      <xdr:rowOff>208927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895285" y="1758398"/>
          <a:ext cx="510440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190090</xdr:colOff>
      <xdr:row>1</xdr:row>
      <xdr:rowOff>137907</xdr:rowOff>
    </xdr:from>
    <xdr:to>
      <xdr:col>1</xdr:col>
      <xdr:colOff>1190215</xdr:colOff>
      <xdr:row>2</xdr:row>
      <xdr:rowOff>169284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77ED86-A370-419E-953F-5CB9C1A4EE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090" y="328407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421586</xdr:colOff>
      <xdr:row>1</xdr:row>
      <xdr:rowOff>74543</xdr:rowOff>
    </xdr:from>
    <xdr:to>
      <xdr:col>5</xdr:col>
      <xdr:colOff>240611</xdr:colOff>
      <xdr:row>3</xdr:row>
      <xdr:rowOff>161978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64A2FFF-49B0-4B06-A93F-E5CDD00A8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80434" y="26504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80" t="s">
        <v>325</v>
      </c>
      <c r="B1" s="81"/>
      <c r="C1" s="81"/>
      <c r="D1" s="82"/>
    </row>
    <row r="2" spans="1:4">
      <c r="A2" s="2"/>
      <c r="B2" s="3"/>
      <c r="C2" s="3"/>
      <c r="D2" s="4"/>
    </row>
    <row r="3" spans="1:4">
      <c r="A3" s="83" t="s">
        <v>0</v>
      </c>
      <c r="B3" s="84"/>
      <c r="C3" s="84"/>
      <c r="D3" s="85"/>
    </row>
    <row r="4" spans="1:4">
      <c r="A4" s="83"/>
      <c r="B4" s="84"/>
      <c r="C4" s="84"/>
      <c r="D4" s="85"/>
    </row>
    <row r="5" spans="1:4">
      <c r="A5" s="5"/>
      <c r="B5" s="6"/>
      <c r="C5" s="6"/>
      <c r="D5" s="7"/>
    </row>
    <row r="6" spans="1:4" ht="18.5">
      <c r="A6" s="77" t="s">
        <v>1</v>
      </c>
      <c r="B6" s="78"/>
      <c r="C6" s="78"/>
      <c r="D6" s="79"/>
    </row>
    <row r="7" spans="1:4">
      <c r="A7" s="8"/>
      <c r="D7" s="9"/>
    </row>
    <row r="8" spans="1:4" ht="18.5">
      <c r="A8" s="77" t="s">
        <v>2</v>
      </c>
      <c r="B8" s="78"/>
      <c r="C8" s="78"/>
      <c r="D8" s="79"/>
    </row>
    <row r="9" spans="1:4" ht="18.5">
      <c r="A9" s="8"/>
      <c r="B9" s="77" t="s">
        <v>3</v>
      </c>
      <c r="C9" s="78"/>
      <c r="D9" s="78"/>
    </row>
    <row r="10" spans="1:4">
      <c r="A10" s="8"/>
      <c r="D10" s="9"/>
    </row>
    <row r="11" spans="1:4" ht="18.5">
      <c r="A11" s="31" t="s">
        <v>4</v>
      </c>
      <c r="D11" s="9"/>
    </row>
    <row r="12" spans="1:4" ht="18.5">
      <c r="A12" s="8"/>
      <c r="B12" s="77" t="s">
        <v>5</v>
      </c>
      <c r="C12" s="78"/>
      <c r="D12" s="78"/>
    </row>
    <row r="13" spans="1:4" ht="18.5">
      <c r="A13" s="8"/>
      <c r="B13" s="77" t="s">
        <v>6</v>
      </c>
      <c r="C13" s="78"/>
      <c r="D13" s="78"/>
    </row>
    <row r="14" spans="1:4" ht="18.5">
      <c r="A14" s="8"/>
      <c r="B14" s="77" t="s">
        <v>7</v>
      </c>
      <c r="C14" s="78"/>
      <c r="D14" s="78"/>
    </row>
    <row r="15" spans="1:4">
      <c r="A15" s="8"/>
      <c r="D15" s="9"/>
    </row>
    <row r="16" spans="1:4" ht="18.5">
      <c r="A16" s="31" t="s">
        <v>8</v>
      </c>
      <c r="D16" s="9"/>
    </row>
    <row r="17" spans="1:4" ht="18.5">
      <c r="A17" s="8"/>
      <c r="B17" s="77" t="s">
        <v>9</v>
      </c>
      <c r="C17" s="78"/>
      <c r="D17" s="78"/>
    </row>
    <row r="18" spans="1:4" ht="18.5">
      <c r="A18" s="8"/>
      <c r="B18" s="77" t="s">
        <v>10</v>
      </c>
      <c r="C18" s="78"/>
      <c r="D18" s="78"/>
    </row>
    <row r="19" spans="1:4" ht="18.5">
      <c r="A19" s="8"/>
      <c r="B19" s="77" t="s">
        <v>11</v>
      </c>
      <c r="C19" s="78"/>
      <c r="D19" s="78"/>
    </row>
    <row r="20" spans="1:4">
      <c r="A20" s="8"/>
      <c r="D20" s="9"/>
    </row>
    <row r="21" spans="1:4" ht="18.5">
      <c r="A21" s="31" t="s">
        <v>12</v>
      </c>
      <c r="D21" s="9"/>
    </row>
    <row r="22" spans="1:4" ht="18.5">
      <c r="A22" s="8"/>
      <c r="B22" s="77" t="s">
        <v>13</v>
      </c>
      <c r="C22" s="78"/>
      <c r="D22" s="78"/>
    </row>
    <row r="23" spans="1:4" ht="18.5">
      <c r="A23" s="8"/>
      <c r="B23" s="77" t="s">
        <v>40</v>
      </c>
      <c r="C23" s="78"/>
      <c r="D23" s="78"/>
    </row>
    <row r="24" spans="1:4" ht="18.5">
      <c r="A24" s="8"/>
      <c r="B24" s="77" t="s">
        <v>34</v>
      </c>
      <c r="C24" s="78"/>
      <c r="D24" s="78"/>
    </row>
    <row r="25" spans="1:4">
      <c r="A25" s="8"/>
      <c r="D25" s="9"/>
    </row>
    <row r="26" spans="1:4" ht="18.5">
      <c r="A26" s="77" t="s">
        <v>14</v>
      </c>
      <c r="B26" s="78"/>
      <c r="C26" s="78"/>
      <c r="D26" s="79"/>
    </row>
    <row r="27" spans="1:4">
      <c r="A27" s="8"/>
      <c r="D27" s="9"/>
    </row>
    <row r="28" spans="1:4" ht="18.5">
      <c r="A28" s="77" t="s">
        <v>15</v>
      </c>
      <c r="B28" s="78"/>
      <c r="C28" s="78"/>
      <c r="D28" s="79"/>
    </row>
    <row r="29" spans="1:4" ht="17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Chihuahua_USAMuni!A1" display="3.2 Por Estado de USA" xr:uid="{00000000-0004-0000-0000-00000D000000}"/>
    <hyperlink ref="A8:D8" location="Chihuahua_Cons!A1" display="2. Por Circunscripción Consular" xr:uid="{00000000-0004-0000-0000-00000E000000}"/>
    <hyperlink ref="B9:D9" location="ChihuahuaXCons!A1" display="2.1 Top ten por circunscripción consular" xr:uid="{00000000-0004-0000-0000-00000F000000}"/>
    <hyperlink ref="A6:D6" location="Chihuahua_EdoUsa!A1" display="1. Por Estados de USA" xr:uid="{00000000-0004-0000-0000-000010000000}"/>
    <hyperlink ref="B12:D12" location="Chihuahua_EdoMun!A1" display="3.1 Municipio general" xr:uid="{00000000-0004-0000-0000-000011000000}"/>
    <hyperlink ref="B14:D14" location="Chihuahua_MUNICIPIO!A1" display="3.3 Por Circunscripción Consular" xr:uid="{00000000-0004-0000-0000-000012000000}"/>
    <hyperlink ref="B17:D17" location="Chihuahua_educ_gral!A1" display="4.1 Educación general" xr:uid="{00000000-0004-0000-0000-000013000000}"/>
    <hyperlink ref="B18:D18" location="Chihuahua_NivelE_Cons!A1" display="4.2 Por Estado de USA" xr:uid="{00000000-0004-0000-0000-000014000000}"/>
    <hyperlink ref="B19:D19" location="Chihuahua_EducCons!A1" display="4.3 Por Circunscripción Consular" xr:uid="{00000000-0004-0000-0000-000015000000}"/>
    <hyperlink ref="B22:D22" location="Chihuahua_GenGral!A1" display="5.1 Género General" xr:uid="{00000000-0004-0000-0000-000016000000}"/>
    <hyperlink ref="B23:D23" location="Chihuahua_GENERO!A1" display="5.2 Por Circunscripción Consular" xr:uid="{00000000-0004-0000-0000-000017000000}"/>
    <hyperlink ref="A26:D26" location="Chihuahua_Gen_Edad!A1" display="6. Por estructura de Edad" xr:uid="{00000000-0004-0000-0000-000018000000}"/>
    <hyperlink ref="A28:D28" location="Chihuahua_ocup_gral!A1" display="7. Por Ocupación" xr:uid="{00000000-0004-0000-0000-000019000000}"/>
    <hyperlink ref="B24" location="Chihuahua_GENERO_EUA!A1" display="5.3 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H65"/>
  <sheetViews>
    <sheetView showGridLines="0" view="pageBreakPreview" topLeftCell="A51" zoomScale="115" zoomScaleNormal="100" zoomScaleSheetLayoutView="115" workbookViewId="0">
      <selection activeCell="B60" sqref="B60"/>
    </sheetView>
  </sheetViews>
  <sheetFormatPr baseColWidth="10" defaultColWidth="11.453125" defaultRowHeight="14.5"/>
  <cols>
    <col min="1" max="1" width="9.26953125" style="13" customWidth="1"/>
    <col min="2" max="2" width="25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8" s="17" customFormat="1" ht="15" customHeight="1">
      <c r="C1" s="20"/>
    </row>
    <row r="2" spans="2:8" s="17" customFormat="1" ht="15" customHeight="1">
      <c r="C2" s="20"/>
    </row>
    <row r="3" spans="2:8" s="17" customFormat="1" ht="15" customHeight="1">
      <c r="C3" s="20"/>
    </row>
    <row r="4" spans="2:8" s="17" customFormat="1" ht="30" customHeight="1">
      <c r="C4" s="20"/>
      <c r="D4" s="19"/>
      <c r="H4" s="75" t="s">
        <v>327</v>
      </c>
    </row>
    <row r="5" spans="2:8" s="17" customFormat="1" ht="15" customHeight="1">
      <c r="C5" s="20"/>
      <c r="D5" s="19"/>
    </row>
    <row r="6" spans="2:8" s="17" customFormat="1" ht="15" customHeight="1">
      <c r="C6" s="20"/>
      <c r="D6" s="19"/>
    </row>
    <row r="7" spans="2:8" s="17" customFormat="1" ht="15" customHeight="1">
      <c r="B7" s="86" t="s">
        <v>39</v>
      </c>
      <c r="C7" s="86"/>
      <c r="D7" s="86"/>
    </row>
    <row r="8" spans="2:8" s="17" customFormat="1" ht="15" customHeight="1">
      <c r="B8" s="86"/>
      <c r="C8" s="86"/>
      <c r="D8" s="86"/>
    </row>
    <row r="9" spans="2:8" s="17" customFormat="1" ht="33" customHeight="1">
      <c r="B9" s="86"/>
      <c r="C9" s="86"/>
      <c r="D9" s="86"/>
    </row>
    <row r="10" spans="2:8" s="17" customFormat="1" ht="4.5" customHeight="1">
      <c r="B10" s="18"/>
      <c r="C10" s="18"/>
      <c r="D10" s="18"/>
    </row>
    <row r="11" spans="2:8" s="17" customFormat="1" ht="33" customHeight="1">
      <c r="B11" s="42" t="s">
        <v>20</v>
      </c>
      <c r="C11" s="43" t="s">
        <v>19</v>
      </c>
      <c r="D11" s="44" t="s">
        <v>18</v>
      </c>
      <c r="H11" s="17" t="s">
        <v>326</v>
      </c>
    </row>
    <row r="12" spans="2:8">
      <c r="B12" s="54" t="s">
        <v>131</v>
      </c>
      <c r="C12" s="55">
        <v>6095</v>
      </c>
      <c r="D12" s="56">
        <v>0.32465111324171703</v>
      </c>
    </row>
    <row r="13" spans="2:8">
      <c r="B13" s="54" t="s">
        <v>132</v>
      </c>
      <c r="C13" s="55">
        <v>2430</v>
      </c>
      <c r="D13" s="56">
        <v>0.129434324065197</v>
      </c>
    </row>
    <row r="14" spans="2:8">
      <c r="B14" s="54" t="s">
        <v>133</v>
      </c>
      <c r="C14" s="55">
        <v>1918</v>
      </c>
      <c r="D14" s="56">
        <v>0.102162565249814</v>
      </c>
    </row>
    <row r="15" spans="2:8">
      <c r="B15" s="54" t="s">
        <v>134</v>
      </c>
      <c r="C15" s="55">
        <v>1495</v>
      </c>
      <c r="D15" s="56">
        <v>7.9631405134760996E-2</v>
      </c>
    </row>
    <row r="16" spans="2:8">
      <c r="B16" s="54" t="s">
        <v>135</v>
      </c>
      <c r="C16" s="55">
        <v>1197</v>
      </c>
      <c r="D16" s="56">
        <v>6.3758389261744999E-2</v>
      </c>
    </row>
    <row r="17" spans="2:4">
      <c r="B17" s="54" t="s">
        <v>136</v>
      </c>
      <c r="C17" s="55">
        <v>1102</v>
      </c>
      <c r="D17" s="56">
        <v>5.8698199637797002E-2</v>
      </c>
    </row>
    <row r="18" spans="2:4">
      <c r="B18" s="54" t="s">
        <v>137</v>
      </c>
      <c r="C18" s="55">
        <v>1059</v>
      </c>
      <c r="D18" s="56">
        <v>5.6407798018536001E-2</v>
      </c>
    </row>
    <row r="19" spans="2:4">
      <c r="B19" s="54" t="s">
        <v>138</v>
      </c>
      <c r="C19" s="55">
        <v>461</v>
      </c>
      <c r="D19" s="56">
        <v>2.4555235964632001E-2</v>
      </c>
    </row>
    <row r="20" spans="2:4">
      <c r="B20" s="54" t="s">
        <v>139</v>
      </c>
      <c r="C20" s="55">
        <v>431</v>
      </c>
      <c r="D20" s="56">
        <v>2.2957281346542999E-2</v>
      </c>
    </row>
    <row r="21" spans="2:4">
      <c r="B21" s="54" t="s">
        <v>140</v>
      </c>
      <c r="C21" s="55">
        <v>337</v>
      </c>
      <c r="D21" s="56">
        <v>1.7950356876531001E-2</v>
      </c>
    </row>
    <row r="22" spans="2:4">
      <c r="B22" s="54" t="s">
        <v>141</v>
      </c>
      <c r="C22" s="55">
        <v>258</v>
      </c>
      <c r="D22" s="56">
        <v>1.3742409715563999E-2</v>
      </c>
    </row>
    <row r="23" spans="2:4">
      <c r="B23" s="54" t="s">
        <v>142</v>
      </c>
      <c r="C23" s="55">
        <v>216</v>
      </c>
      <c r="D23" s="56">
        <v>1.150527325024E-2</v>
      </c>
    </row>
    <row r="24" spans="2:4">
      <c r="B24" s="54" t="s">
        <v>143</v>
      </c>
      <c r="C24" s="55">
        <v>167</v>
      </c>
      <c r="D24" s="56">
        <v>8.8952807073609998E-3</v>
      </c>
    </row>
    <row r="25" spans="2:4">
      <c r="B25" s="54" t="s">
        <v>144</v>
      </c>
      <c r="C25" s="55">
        <v>162</v>
      </c>
      <c r="D25" s="56">
        <v>8.6289549376800008E-3</v>
      </c>
    </row>
    <row r="26" spans="2:4">
      <c r="B26" s="54" t="s">
        <v>145</v>
      </c>
      <c r="C26" s="55">
        <v>149</v>
      </c>
      <c r="D26" s="56">
        <v>7.9365079365080003E-3</v>
      </c>
    </row>
    <row r="27" spans="2:4">
      <c r="B27" s="54" t="s">
        <v>146</v>
      </c>
      <c r="C27" s="55">
        <v>128</v>
      </c>
      <c r="D27" s="56">
        <v>6.817939703846E-3</v>
      </c>
    </row>
    <row r="28" spans="2:4">
      <c r="B28" s="54" t="s">
        <v>147</v>
      </c>
      <c r="C28" s="55">
        <v>113</v>
      </c>
      <c r="D28" s="56">
        <v>6.0189623948010001E-3</v>
      </c>
    </row>
    <row r="29" spans="2:4">
      <c r="B29" s="54" t="s">
        <v>148</v>
      </c>
      <c r="C29" s="55">
        <v>103</v>
      </c>
      <c r="D29" s="56">
        <v>5.4863108554380003E-3</v>
      </c>
    </row>
    <row r="30" spans="2:4">
      <c r="B30" s="54" t="s">
        <v>149</v>
      </c>
      <c r="C30" s="55">
        <v>98</v>
      </c>
      <c r="D30" s="56">
        <v>5.2199850857570004E-3</v>
      </c>
    </row>
    <row r="31" spans="2:4">
      <c r="B31" s="54" t="s">
        <v>150</v>
      </c>
      <c r="C31" s="55">
        <v>83</v>
      </c>
      <c r="D31" s="56">
        <v>4.4210077767119996E-3</v>
      </c>
    </row>
    <row r="32" spans="2:4">
      <c r="B32" s="54" t="s">
        <v>151</v>
      </c>
      <c r="C32" s="55">
        <v>78</v>
      </c>
      <c r="D32" s="56">
        <v>4.1546820070309997E-3</v>
      </c>
    </row>
    <row r="33" spans="2:4">
      <c r="B33" s="54" t="s">
        <v>152</v>
      </c>
      <c r="C33" s="55">
        <v>70</v>
      </c>
      <c r="D33" s="56">
        <v>3.728560775541E-3</v>
      </c>
    </row>
    <row r="34" spans="2:4">
      <c r="B34" s="54" t="s">
        <v>153</v>
      </c>
      <c r="C34" s="55">
        <v>68</v>
      </c>
      <c r="D34" s="56">
        <v>3.6220304676679999E-3</v>
      </c>
    </row>
    <row r="35" spans="2:4">
      <c r="B35" s="54" t="s">
        <v>154</v>
      </c>
      <c r="C35" s="55">
        <v>64</v>
      </c>
      <c r="D35" s="56">
        <v>3.408969851923E-3</v>
      </c>
    </row>
    <row r="36" spans="2:4">
      <c r="B36" s="54" t="s">
        <v>155</v>
      </c>
      <c r="C36" s="55">
        <v>60</v>
      </c>
      <c r="D36" s="56">
        <v>3.1959092361780001E-3</v>
      </c>
    </row>
    <row r="37" spans="2:4">
      <c r="B37" s="54" t="s">
        <v>156</v>
      </c>
      <c r="C37" s="55">
        <v>60</v>
      </c>
      <c r="D37" s="56">
        <v>3.1959092361780001E-3</v>
      </c>
    </row>
    <row r="38" spans="2:4">
      <c r="B38" s="54" t="s">
        <v>157</v>
      </c>
      <c r="C38" s="55">
        <v>59</v>
      </c>
      <c r="D38" s="56">
        <v>3.142644082241E-3</v>
      </c>
    </row>
    <row r="39" spans="2:4">
      <c r="B39" s="54" t="s">
        <v>158</v>
      </c>
      <c r="C39" s="55">
        <v>50</v>
      </c>
      <c r="D39" s="56">
        <v>2.6632576968149998E-3</v>
      </c>
    </row>
    <row r="40" spans="2:4">
      <c r="B40" s="54" t="s">
        <v>159</v>
      </c>
      <c r="C40" s="55">
        <v>33</v>
      </c>
      <c r="D40" s="56">
        <v>1.7577500798980001E-3</v>
      </c>
    </row>
    <row r="41" spans="2:4">
      <c r="B41" s="54" t="s">
        <v>160</v>
      </c>
      <c r="C41" s="55">
        <v>33</v>
      </c>
      <c r="D41" s="56">
        <v>1.7577500798980001E-3</v>
      </c>
    </row>
    <row r="42" spans="2:4">
      <c r="B42" s="54" t="s">
        <v>161</v>
      </c>
      <c r="C42" s="55">
        <v>31</v>
      </c>
      <c r="D42" s="56">
        <v>1.6512197720249999E-3</v>
      </c>
    </row>
    <row r="43" spans="2:4">
      <c r="B43" s="54" t="s">
        <v>162</v>
      </c>
      <c r="C43" s="55">
        <v>29</v>
      </c>
      <c r="D43" s="56">
        <v>1.544689464153E-3</v>
      </c>
    </row>
    <row r="44" spans="2:4">
      <c r="B44" s="54" t="s">
        <v>163</v>
      </c>
      <c r="C44" s="55">
        <v>27</v>
      </c>
      <c r="D44" s="56">
        <v>1.4381591562800001E-3</v>
      </c>
    </row>
    <row r="45" spans="2:4">
      <c r="B45" s="54" t="s">
        <v>164</v>
      </c>
      <c r="C45" s="55">
        <v>21</v>
      </c>
      <c r="D45" s="56">
        <v>1.118568232662E-3</v>
      </c>
    </row>
    <row r="46" spans="2:4">
      <c r="B46" s="54" t="s">
        <v>165</v>
      </c>
      <c r="C46" s="55">
        <v>15</v>
      </c>
      <c r="D46" s="56">
        <v>7.98977309044E-4</v>
      </c>
    </row>
    <row r="47" spans="2:4">
      <c r="B47" s="54" t="s">
        <v>166</v>
      </c>
      <c r="C47" s="55">
        <v>14</v>
      </c>
      <c r="D47" s="56">
        <v>7.4571215510799995E-4</v>
      </c>
    </row>
    <row r="48" spans="2:4">
      <c r="B48" s="54" t="s">
        <v>167</v>
      </c>
      <c r="C48" s="55">
        <v>11</v>
      </c>
      <c r="D48" s="56">
        <v>5.8591669329900004E-4</v>
      </c>
    </row>
    <row r="49" spans="2:4">
      <c r="B49" s="54" t="s">
        <v>168</v>
      </c>
      <c r="C49" s="55">
        <v>11</v>
      </c>
      <c r="D49" s="56">
        <v>5.8591669329900004E-4</v>
      </c>
    </row>
    <row r="50" spans="2:4">
      <c r="B50" s="54" t="s">
        <v>169</v>
      </c>
      <c r="C50" s="55">
        <v>8</v>
      </c>
      <c r="D50" s="56">
        <v>4.2612123148999997E-4</v>
      </c>
    </row>
    <row r="51" spans="2:4">
      <c r="B51" s="54" t="s">
        <v>170</v>
      </c>
      <c r="C51" s="55">
        <v>8</v>
      </c>
      <c r="D51" s="56">
        <v>4.2612123148999997E-4</v>
      </c>
    </row>
    <row r="52" spans="2:4">
      <c r="B52" s="54" t="s">
        <v>171</v>
      </c>
      <c r="C52" s="55">
        <v>8</v>
      </c>
      <c r="D52" s="56">
        <v>4.2612123148999997E-4</v>
      </c>
    </row>
    <row r="53" spans="2:4">
      <c r="B53" s="54" t="s">
        <v>172</v>
      </c>
      <c r="C53" s="55">
        <v>5</v>
      </c>
      <c r="D53" s="56">
        <v>2.6632576968100001E-4</v>
      </c>
    </row>
    <row r="54" spans="2:4">
      <c r="B54" s="54" t="s">
        <v>173</v>
      </c>
      <c r="C54" s="55">
        <v>3</v>
      </c>
      <c r="D54" s="56">
        <v>1.5979546180899999E-4</v>
      </c>
    </row>
    <row r="55" spans="2:4">
      <c r="B55" s="54" t="s">
        <v>174</v>
      </c>
      <c r="C55" s="55">
        <v>2</v>
      </c>
      <c r="D55" s="56">
        <v>1.06530307873E-4</v>
      </c>
    </row>
    <row r="56" spans="2:4">
      <c r="B56" s="54" t="s">
        <v>175</v>
      </c>
      <c r="C56" s="55">
        <v>2</v>
      </c>
      <c r="D56" s="56">
        <v>1.06530307873E-4</v>
      </c>
    </row>
    <row r="57" spans="2:4">
      <c r="B57" s="54" t="s">
        <v>176</v>
      </c>
      <c r="C57" s="55">
        <v>2</v>
      </c>
      <c r="D57" s="56">
        <v>1.06530307873E-4</v>
      </c>
    </row>
    <row r="58" spans="2:4">
      <c r="B58" s="51" t="s">
        <v>319</v>
      </c>
      <c r="C58" s="52">
        <v>18774</v>
      </c>
      <c r="D58" s="53">
        <v>1</v>
      </c>
    </row>
    <row r="59" spans="2:4">
      <c r="B59" s="15"/>
    </row>
    <row r="60" spans="2:4" ht="16.5">
      <c r="B60" s="37" t="s">
        <v>130</v>
      </c>
      <c r="C60" s="45"/>
      <c r="D60" s="45"/>
    </row>
    <row r="61" spans="2:4" ht="16.5">
      <c r="B61" s="39" t="s">
        <v>17</v>
      </c>
      <c r="C61" s="45"/>
      <c r="D61" s="45"/>
    </row>
    <row r="62" spans="2:4" ht="16.5">
      <c r="B62" s="40" t="s">
        <v>44</v>
      </c>
      <c r="C62" s="46"/>
      <c r="D62" s="45"/>
    </row>
    <row r="63" spans="2:4" ht="16.5">
      <c r="B63" s="37" t="s">
        <v>16</v>
      </c>
      <c r="C63" s="46"/>
      <c r="D63" s="45"/>
    </row>
    <row r="64" spans="2:4" ht="16.5">
      <c r="B64" s="37" t="s">
        <v>320</v>
      </c>
      <c r="C64" s="46"/>
      <c r="D64" s="45"/>
    </row>
    <row r="65" spans="1:2">
      <c r="A65" s="17"/>
      <c r="B65" s="2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E70"/>
  <sheetViews>
    <sheetView showGridLines="0" view="pageBreakPreview" topLeftCell="A54" zoomScale="115" zoomScaleNormal="100" zoomScaleSheetLayoutView="115" workbookViewId="0">
      <selection activeCell="B66" sqref="B66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17" customFormat="1" ht="15" customHeight="1">
      <c r="C1" s="20"/>
    </row>
    <row r="2" spans="2:4" s="17" customFormat="1" ht="15" customHeight="1">
      <c r="C2" s="20"/>
    </row>
    <row r="3" spans="2:4" s="17" customFormat="1" ht="15" customHeight="1">
      <c r="C3" s="20"/>
    </row>
    <row r="4" spans="2:4" s="17" customFormat="1" ht="30" customHeight="1">
      <c r="C4" s="20"/>
      <c r="D4" s="19"/>
    </row>
    <row r="5" spans="2:4" s="17" customFormat="1" ht="15" customHeight="1">
      <c r="C5" s="20"/>
      <c r="D5" s="19"/>
    </row>
    <row r="6" spans="2:4" s="17" customFormat="1" ht="15" customHeight="1">
      <c r="C6" s="20"/>
      <c r="D6" s="19"/>
    </row>
    <row r="7" spans="2:4" s="17" customFormat="1" ht="15" customHeight="1">
      <c r="B7" s="86" t="s">
        <v>35</v>
      </c>
      <c r="C7" s="86"/>
      <c r="D7" s="86"/>
    </row>
    <row r="8" spans="2:4" s="17" customFormat="1" ht="15" customHeight="1">
      <c r="B8" s="86"/>
      <c r="C8" s="86"/>
      <c r="D8" s="86"/>
    </row>
    <row r="9" spans="2:4" s="17" customFormat="1" ht="33" customHeight="1">
      <c r="B9" s="86"/>
      <c r="C9" s="86"/>
      <c r="D9" s="86"/>
    </row>
    <row r="10" spans="2:4" s="17" customFormat="1" ht="4.5" customHeight="1">
      <c r="B10" s="18"/>
      <c r="C10" s="18"/>
      <c r="D10" s="18"/>
    </row>
    <row r="11" spans="2:4" s="17" customFormat="1" ht="33" customHeight="1">
      <c r="B11" s="42" t="s">
        <v>21</v>
      </c>
      <c r="C11" s="43" t="s">
        <v>19</v>
      </c>
      <c r="D11" s="44" t="s">
        <v>18</v>
      </c>
    </row>
    <row r="12" spans="2:4">
      <c r="B12" s="54" t="s">
        <v>45</v>
      </c>
      <c r="C12" s="55">
        <v>2591</v>
      </c>
      <c r="D12" s="56">
        <v>0.13801001384893999</v>
      </c>
    </row>
    <row r="13" spans="2:4">
      <c r="B13" s="54" t="s">
        <v>46</v>
      </c>
      <c r="C13" s="55">
        <v>2385</v>
      </c>
      <c r="D13" s="56">
        <v>0.127037392138063</v>
      </c>
    </row>
    <row r="14" spans="2:4">
      <c r="B14" s="54" t="s">
        <v>48</v>
      </c>
      <c r="C14" s="55">
        <v>1959</v>
      </c>
      <c r="D14" s="56">
        <v>0.104346436561202</v>
      </c>
    </row>
    <row r="15" spans="2:4">
      <c r="B15" s="54" t="s">
        <v>47</v>
      </c>
      <c r="C15" s="55">
        <v>1899</v>
      </c>
      <c r="D15" s="56">
        <v>0.101150527325024</v>
      </c>
    </row>
    <row r="16" spans="2:4">
      <c r="B16" s="54" t="s">
        <v>50</v>
      </c>
      <c r="C16" s="55">
        <v>1722</v>
      </c>
      <c r="D16" s="56">
        <v>9.1722595078299995E-2</v>
      </c>
    </row>
    <row r="17" spans="2:4">
      <c r="B17" s="54" t="s">
        <v>49</v>
      </c>
      <c r="C17" s="55">
        <v>1274</v>
      </c>
      <c r="D17" s="56">
        <v>6.7859806114839993E-2</v>
      </c>
    </row>
    <row r="18" spans="2:4">
      <c r="B18" s="54" t="s">
        <v>51</v>
      </c>
      <c r="C18" s="55">
        <v>1034</v>
      </c>
      <c r="D18" s="56">
        <v>5.5076169170129002E-2</v>
      </c>
    </row>
    <row r="19" spans="2:4">
      <c r="B19" s="54" t="s">
        <v>53</v>
      </c>
      <c r="C19" s="55">
        <v>634</v>
      </c>
      <c r="D19" s="56">
        <v>3.3770107595610999E-2</v>
      </c>
    </row>
    <row r="20" spans="2:4">
      <c r="B20" s="54" t="s">
        <v>52</v>
      </c>
      <c r="C20" s="55">
        <v>594</v>
      </c>
      <c r="D20" s="56">
        <v>3.1639501438159003E-2</v>
      </c>
    </row>
    <row r="21" spans="2:4">
      <c r="B21" s="54" t="s">
        <v>54</v>
      </c>
      <c r="C21" s="55">
        <v>559</v>
      </c>
      <c r="D21" s="56">
        <v>2.9775221050389E-2</v>
      </c>
    </row>
    <row r="22" spans="2:4">
      <c r="B22" s="54" t="s">
        <v>55</v>
      </c>
      <c r="C22" s="55">
        <v>475</v>
      </c>
      <c r="D22" s="56">
        <v>2.5300948119739999E-2</v>
      </c>
    </row>
    <row r="23" spans="2:4">
      <c r="B23" s="54" t="s">
        <v>56</v>
      </c>
      <c r="C23" s="55">
        <v>403</v>
      </c>
      <c r="D23" s="56">
        <v>2.1465857036326998E-2</v>
      </c>
    </row>
    <row r="24" spans="2:4">
      <c r="B24" s="54" t="s">
        <v>57</v>
      </c>
      <c r="C24" s="55">
        <v>293</v>
      </c>
      <c r="D24" s="56">
        <v>1.5606690103334001E-2</v>
      </c>
    </row>
    <row r="25" spans="2:4">
      <c r="B25" s="54" t="s">
        <v>58</v>
      </c>
      <c r="C25" s="55">
        <v>285</v>
      </c>
      <c r="D25" s="56">
        <v>1.5180568871844E-2</v>
      </c>
    </row>
    <row r="26" spans="2:4">
      <c r="B26" s="54" t="s">
        <v>62</v>
      </c>
      <c r="C26" s="55">
        <v>266</v>
      </c>
      <c r="D26" s="56">
        <v>1.4168530947054E-2</v>
      </c>
    </row>
    <row r="27" spans="2:4">
      <c r="B27" s="54" t="s">
        <v>59</v>
      </c>
      <c r="C27" s="55">
        <v>204</v>
      </c>
      <c r="D27" s="56">
        <v>1.0866091403004E-2</v>
      </c>
    </row>
    <row r="28" spans="2:4">
      <c r="B28" s="54" t="s">
        <v>64</v>
      </c>
      <c r="C28" s="55">
        <v>187</v>
      </c>
      <c r="D28" s="56">
        <v>9.9605837860869996E-3</v>
      </c>
    </row>
    <row r="29" spans="2:4">
      <c r="B29" s="54" t="s">
        <v>60</v>
      </c>
      <c r="C29" s="55">
        <v>153</v>
      </c>
      <c r="D29" s="56">
        <v>8.1495685522529997E-3</v>
      </c>
    </row>
    <row r="30" spans="2:4">
      <c r="B30" s="54" t="s">
        <v>68</v>
      </c>
      <c r="C30" s="55">
        <v>147</v>
      </c>
      <c r="D30" s="56">
        <v>7.8299776286350001E-3</v>
      </c>
    </row>
    <row r="31" spans="2:4">
      <c r="B31" s="54" t="s">
        <v>61</v>
      </c>
      <c r="C31" s="55">
        <v>139</v>
      </c>
      <c r="D31" s="56">
        <v>7.4038563971450004E-3</v>
      </c>
    </row>
    <row r="32" spans="2:4">
      <c r="B32" s="54" t="s">
        <v>66</v>
      </c>
      <c r="C32" s="55">
        <v>126</v>
      </c>
      <c r="D32" s="56">
        <v>6.7114093959729998E-3</v>
      </c>
    </row>
    <row r="33" spans="2:4">
      <c r="B33" s="54" t="s">
        <v>63</v>
      </c>
      <c r="C33" s="55">
        <v>121</v>
      </c>
      <c r="D33" s="56">
        <v>6.4450836262919999E-3</v>
      </c>
    </row>
    <row r="34" spans="2:4">
      <c r="B34" s="54" t="s">
        <v>69</v>
      </c>
      <c r="C34" s="55">
        <v>98</v>
      </c>
      <c r="D34" s="56">
        <v>5.2199850857570004E-3</v>
      </c>
    </row>
    <row r="35" spans="2:4">
      <c r="B35" s="54" t="s">
        <v>70</v>
      </c>
      <c r="C35" s="55">
        <v>96</v>
      </c>
      <c r="D35" s="56">
        <v>5.1134547778840002E-3</v>
      </c>
    </row>
    <row r="36" spans="2:4">
      <c r="B36" s="54" t="s">
        <v>65</v>
      </c>
      <c r="C36" s="55">
        <v>93</v>
      </c>
      <c r="D36" s="56">
        <v>4.9536593160750004E-3</v>
      </c>
    </row>
    <row r="37" spans="2:4">
      <c r="B37" s="54" t="s">
        <v>75</v>
      </c>
      <c r="C37" s="55">
        <v>91</v>
      </c>
      <c r="D37" s="56">
        <v>4.8471290082030003E-3</v>
      </c>
    </row>
    <row r="38" spans="2:4">
      <c r="B38" s="54" t="s">
        <v>67</v>
      </c>
      <c r="C38" s="55">
        <v>88</v>
      </c>
      <c r="D38" s="56">
        <v>4.6873335463939996E-3</v>
      </c>
    </row>
    <row r="39" spans="2:4">
      <c r="B39" s="54" t="s">
        <v>72</v>
      </c>
      <c r="C39" s="55">
        <v>85</v>
      </c>
      <c r="D39" s="56">
        <v>4.5275380845849998E-3</v>
      </c>
    </row>
    <row r="40" spans="2:4">
      <c r="B40" s="54" t="s">
        <v>71</v>
      </c>
      <c r="C40" s="55">
        <v>80</v>
      </c>
      <c r="D40" s="56">
        <v>4.2612123149039999E-3</v>
      </c>
    </row>
    <row r="41" spans="2:4">
      <c r="B41" s="54" t="s">
        <v>73</v>
      </c>
      <c r="C41" s="55">
        <v>79</v>
      </c>
      <c r="D41" s="56">
        <v>4.2079471609670002E-3</v>
      </c>
    </row>
    <row r="42" spans="2:4">
      <c r="B42" s="54" t="s">
        <v>76</v>
      </c>
      <c r="C42" s="55">
        <v>75</v>
      </c>
      <c r="D42" s="56">
        <v>3.9948865452219999E-3</v>
      </c>
    </row>
    <row r="43" spans="2:4">
      <c r="B43" s="54" t="s">
        <v>81</v>
      </c>
      <c r="C43" s="55">
        <v>63</v>
      </c>
      <c r="D43" s="56">
        <v>3.3557046979869999E-3</v>
      </c>
    </row>
    <row r="44" spans="2:4">
      <c r="B44" s="54" t="s">
        <v>84</v>
      </c>
      <c r="C44" s="55">
        <v>55</v>
      </c>
      <c r="D44" s="56">
        <v>2.9295834664960002E-3</v>
      </c>
    </row>
    <row r="45" spans="2:4">
      <c r="B45" s="54" t="s">
        <v>74</v>
      </c>
      <c r="C45" s="55">
        <v>51</v>
      </c>
      <c r="D45" s="56">
        <v>2.7165228507509999E-3</v>
      </c>
    </row>
    <row r="46" spans="2:4">
      <c r="B46" s="54" t="s">
        <v>78</v>
      </c>
      <c r="C46" s="55">
        <v>50</v>
      </c>
      <c r="D46" s="56">
        <v>2.6632576968149998E-3</v>
      </c>
    </row>
    <row r="47" spans="2:4">
      <c r="B47" s="54" t="s">
        <v>77</v>
      </c>
      <c r="C47" s="55">
        <v>46</v>
      </c>
      <c r="D47" s="56">
        <v>2.45019708107E-3</v>
      </c>
    </row>
    <row r="48" spans="2:4">
      <c r="B48" s="54" t="s">
        <v>80</v>
      </c>
      <c r="C48" s="55">
        <v>40</v>
      </c>
      <c r="D48" s="56">
        <v>2.130606157452E-3</v>
      </c>
    </row>
    <row r="49" spans="2:4">
      <c r="B49" s="54" t="s">
        <v>79</v>
      </c>
      <c r="C49" s="55">
        <v>37</v>
      </c>
      <c r="D49" s="56">
        <v>1.9708106956430002E-3</v>
      </c>
    </row>
    <row r="50" spans="2:4">
      <c r="B50" s="54" t="s">
        <v>83</v>
      </c>
      <c r="C50" s="55">
        <v>33</v>
      </c>
      <c r="D50" s="56">
        <v>1.7577500798980001E-3</v>
      </c>
    </row>
    <row r="51" spans="2:4">
      <c r="B51" s="54" t="s">
        <v>85</v>
      </c>
      <c r="C51" s="55">
        <v>33</v>
      </c>
      <c r="D51" s="56">
        <v>1.7577500798980001E-3</v>
      </c>
    </row>
    <row r="52" spans="2:4">
      <c r="B52" s="54" t="s">
        <v>82</v>
      </c>
      <c r="C52" s="55">
        <v>30</v>
      </c>
      <c r="D52" s="56">
        <v>1.5979546180890001E-3</v>
      </c>
    </row>
    <row r="53" spans="2:4">
      <c r="B53" s="54" t="s">
        <v>86</v>
      </c>
      <c r="C53" s="55">
        <v>20</v>
      </c>
      <c r="D53" s="56">
        <v>1.065303078726E-3</v>
      </c>
    </row>
    <row r="54" spans="2:4">
      <c r="B54" s="54" t="s">
        <v>88</v>
      </c>
      <c r="C54" s="55">
        <v>19</v>
      </c>
      <c r="D54" s="56">
        <v>1.0120379247899999E-3</v>
      </c>
    </row>
    <row r="55" spans="2:4">
      <c r="B55" s="54" t="s">
        <v>87</v>
      </c>
      <c r="C55" s="55">
        <v>18</v>
      </c>
      <c r="D55" s="56">
        <v>9.5877277085300002E-4</v>
      </c>
    </row>
    <row r="56" spans="2:4">
      <c r="B56" s="54" t="s">
        <v>89</v>
      </c>
      <c r="C56" s="55">
        <v>11</v>
      </c>
      <c r="D56" s="56">
        <v>5.8591669329900004E-4</v>
      </c>
    </row>
    <row r="57" spans="2:4">
      <c r="B57" s="54" t="s">
        <v>91</v>
      </c>
      <c r="C57" s="55">
        <v>8</v>
      </c>
      <c r="D57" s="56">
        <v>4.2612123148999997E-4</v>
      </c>
    </row>
    <row r="58" spans="2:4">
      <c r="B58" s="54" t="s">
        <v>95</v>
      </c>
      <c r="C58" s="55">
        <v>7</v>
      </c>
      <c r="D58" s="56">
        <v>3.7285607755399997E-4</v>
      </c>
    </row>
    <row r="59" spans="2:4">
      <c r="B59" s="54" t="s">
        <v>90</v>
      </c>
      <c r="C59" s="55">
        <v>5</v>
      </c>
      <c r="D59" s="56">
        <v>2.6632576968100001E-4</v>
      </c>
    </row>
    <row r="60" spans="2:4">
      <c r="B60" s="54" t="s">
        <v>92</v>
      </c>
      <c r="C60" s="55">
        <v>5</v>
      </c>
      <c r="D60" s="56">
        <v>2.6632576968100001E-4</v>
      </c>
    </row>
    <row r="61" spans="2:4">
      <c r="B61" s="54" t="s">
        <v>94</v>
      </c>
      <c r="C61" s="55">
        <v>4</v>
      </c>
      <c r="D61" s="56">
        <v>2.1306061574499999E-4</v>
      </c>
    </row>
    <row r="62" spans="2:4">
      <c r="B62" s="54" t="s">
        <v>93</v>
      </c>
      <c r="C62" s="55">
        <v>3</v>
      </c>
      <c r="D62" s="56">
        <v>1.5979546180899999E-4</v>
      </c>
    </row>
    <row r="63" spans="2:4">
      <c r="B63" s="54" t="s">
        <v>96</v>
      </c>
      <c r="C63" s="55">
        <v>1</v>
      </c>
      <c r="D63" s="56">
        <v>5.3265153936E-5</v>
      </c>
    </row>
    <row r="64" spans="2:4">
      <c r="B64" s="51" t="s">
        <v>321</v>
      </c>
      <c r="C64" s="52">
        <v>18774</v>
      </c>
      <c r="D64" s="53">
        <v>1</v>
      </c>
    </row>
    <row r="66" spans="2:5" ht="16.5">
      <c r="B66" s="37" t="s">
        <v>130</v>
      </c>
      <c r="C66" s="45"/>
      <c r="D66" s="45"/>
      <c r="E66" s="45"/>
    </row>
    <row r="67" spans="2:5" ht="16.5">
      <c r="B67" s="39" t="s">
        <v>17</v>
      </c>
      <c r="C67" s="45"/>
      <c r="D67" s="45"/>
      <c r="E67" s="45"/>
    </row>
    <row r="68" spans="2:5" ht="16.5">
      <c r="B68" s="40" t="s">
        <v>44</v>
      </c>
      <c r="C68" s="46"/>
      <c r="D68" s="45"/>
      <c r="E68" s="45"/>
    </row>
    <row r="69" spans="2:5" ht="16.5">
      <c r="B69" s="37" t="s">
        <v>16</v>
      </c>
      <c r="C69" s="46"/>
      <c r="D69" s="45"/>
      <c r="E69" s="45"/>
    </row>
    <row r="70" spans="2:5" ht="16.5">
      <c r="B70" s="37" t="s">
        <v>320</v>
      </c>
      <c r="C70" s="46"/>
      <c r="D70" s="45"/>
      <c r="E70" s="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E29"/>
  <sheetViews>
    <sheetView showGridLines="0" view="pageBreakPreview" topLeftCell="A11" zoomScaleNormal="100" zoomScaleSheetLayoutView="100" workbookViewId="0">
      <selection activeCell="B29" sqref="B29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17" customFormat="1" ht="15" customHeight="1">
      <c r="C1" s="20"/>
    </row>
    <row r="2" spans="1:4" s="17" customFormat="1" ht="15" customHeight="1">
      <c r="C2" s="20"/>
    </row>
    <row r="3" spans="1:4" s="17" customFormat="1" ht="15" customHeight="1">
      <c r="C3" s="20"/>
    </row>
    <row r="4" spans="1:4" s="17" customFormat="1" ht="30" customHeight="1">
      <c r="C4" s="20"/>
      <c r="D4" s="19"/>
    </row>
    <row r="5" spans="1:4" s="17" customFormat="1" ht="15" customHeight="1">
      <c r="C5" s="20"/>
      <c r="D5" s="19"/>
    </row>
    <row r="6" spans="1:4" s="17" customFormat="1" ht="15" customHeight="1">
      <c r="C6" s="20"/>
      <c r="D6" s="19"/>
    </row>
    <row r="7" spans="1:4" s="17" customFormat="1" ht="15" customHeight="1">
      <c r="B7" s="86" t="s">
        <v>41</v>
      </c>
      <c r="C7" s="86"/>
      <c r="D7" s="86"/>
    </row>
    <row r="8" spans="1:4" s="17" customFormat="1" ht="15" customHeight="1">
      <c r="B8" s="86"/>
      <c r="C8" s="86"/>
      <c r="D8" s="86"/>
    </row>
    <row r="9" spans="1:4" s="17" customFormat="1" ht="33" customHeight="1">
      <c r="B9" s="86"/>
      <c r="C9" s="86"/>
      <c r="D9" s="86"/>
    </row>
    <row r="10" spans="1:4" s="17" customFormat="1" ht="4.5" customHeight="1">
      <c r="B10" s="18"/>
      <c r="C10" s="18"/>
      <c r="D10" s="18"/>
    </row>
    <row r="11" spans="1:4" s="17" customFormat="1" ht="33" customHeight="1">
      <c r="B11" s="42" t="s">
        <v>21</v>
      </c>
      <c r="C11" s="43" t="s">
        <v>19</v>
      </c>
      <c r="D11" s="44" t="s">
        <v>18</v>
      </c>
    </row>
    <row r="12" spans="1:4" ht="15" customHeight="1">
      <c r="B12" s="54" t="s">
        <v>45</v>
      </c>
      <c r="C12" s="55">
        <v>2591</v>
      </c>
      <c r="D12" s="56">
        <v>0.13801001384893999</v>
      </c>
    </row>
    <row r="13" spans="1:4">
      <c r="B13" s="54" t="s">
        <v>46</v>
      </c>
      <c r="C13" s="55">
        <v>2385</v>
      </c>
      <c r="D13" s="56">
        <v>0.127037392138063</v>
      </c>
    </row>
    <row r="14" spans="1:4" s="16" customFormat="1">
      <c r="A14" s="13"/>
      <c r="B14" s="54" t="s">
        <v>48</v>
      </c>
      <c r="C14" s="55">
        <v>1959</v>
      </c>
      <c r="D14" s="56">
        <v>0.104346436561202</v>
      </c>
    </row>
    <row r="15" spans="1:4" s="16" customFormat="1">
      <c r="A15" s="13"/>
      <c r="B15" s="54" t="s">
        <v>47</v>
      </c>
      <c r="C15" s="55">
        <v>1899</v>
      </c>
      <c r="D15" s="56">
        <v>0.101150527325024</v>
      </c>
    </row>
    <row r="16" spans="1:4">
      <c r="B16" s="54" t="s">
        <v>50</v>
      </c>
      <c r="C16" s="55">
        <v>1722</v>
      </c>
      <c r="D16" s="56">
        <v>9.1722595078299995E-2</v>
      </c>
    </row>
    <row r="17" spans="2:5">
      <c r="B17" s="54" t="s">
        <v>49</v>
      </c>
      <c r="C17" s="55">
        <v>1274</v>
      </c>
      <c r="D17" s="56">
        <v>6.7859806114839993E-2</v>
      </c>
    </row>
    <row r="18" spans="2:5">
      <c r="B18" s="54" t="s">
        <v>51</v>
      </c>
      <c r="C18" s="55">
        <v>1034</v>
      </c>
      <c r="D18" s="56">
        <v>5.5076169170129002E-2</v>
      </c>
    </row>
    <row r="19" spans="2:5">
      <c r="B19" s="54" t="s">
        <v>53</v>
      </c>
      <c r="C19" s="55">
        <v>634</v>
      </c>
      <c r="D19" s="56">
        <v>3.3770107595610999E-2</v>
      </c>
    </row>
    <row r="20" spans="2:5">
      <c r="B20" s="54" t="s">
        <v>52</v>
      </c>
      <c r="C20" s="55">
        <v>594</v>
      </c>
      <c r="D20" s="56">
        <v>3.1639501438159003E-2</v>
      </c>
    </row>
    <row r="21" spans="2:5">
      <c r="B21" s="54" t="s">
        <v>54</v>
      </c>
      <c r="C21" s="55">
        <v>559</v>
      </c>
      <c r="D21" s="56">
        <v>2.9775221050389E-2</v>
      </c>
    </row>
    <row r="22" spans="2:5">
      <c r="B22" s="59" t="s">
        <v>42</v>
      </c>
      <c r="C22" s="60">
        <f>SUM(C12:C21)</f>
        <v>14651</v>
      </c>
      <c r="D22" s="61">
        <f t="shared" ref="D22" si="0">C22/$C$22</f>
        <v>1</v>
      </c>
    </row>
    <row r="23" spans="2:5">
      <c r="B23" s="57" t="s">
        <v>43</v>
      </c>
      <c r="C23" s="52">
        <v>18774</v>
      </c>
      <c r="D23" s="58"/>
    </row>
    <row r="24" spans="2:5">
      <c r="B24" s="15"/>
    </row>
    <row r="25" spans="2:5" ht="16.5">
      <c r="B25" s="37" t="s">
        <v>130</v>
      </c>
      <c r="C25" s="46"/>
      <c r="D25" s="45"/>
      <c r="E25" s="45"/>
    </row>
    <row r="26" spans="2:5" ht="16.5">
      <c r="B26" s="39" t="s">
        <v>17</v>
      </c>
      <c r="C26" s="46"/>
      <c r="D26" s="45"/>
      <c r="E26" s="45"/>
    </row>
    <row r="27" spans="2:5" ht="16.5">
      <c r="B27" s="40" t="s">
        <v>44</v>
      </c>
      <c r="C27" s="46"/>
      <c r="D27" s="45"/>
      <c r="E27" s="45"/>
    </row>
    <row r="28" spans="2:5" ht="16.5">
      <c r="B28" s="37" t="s">
        <v>16</v>
      </c>
      <c r="C28" s="46"/>
      <c r="D28" s="45"/>
      <c r="E28" s="45"/>
    </row>
    <row r="29" spans="2:5" ht="16.5">
      <c r="B29" s="37" t="s">
        <v>320</v>
      </c>
      <c r="C29" s="46"/>
      <c r="D29" s="45"/>
      <c r="E29" s="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86"/>
  <sheetViews>
    <sheetView showGridLines="0" view="pageBreakPreview" topLeftCell="A66" zoomScaleNormal="100" zoomScaleSheetLayoutView="100" workbookViewId="0">
      <selection activeCell="B86" sqref="B86"/>
    </sheetView>
  </sheetViews>
  <sheetFormatPr baseColWidth="10" defaultColWidth="11.453125" defaultRowHeight="14.5"/>
  <cols>
    <col min="1" max="1" width="9.26953125" style="13" customWidth="1"/>
    <col min="2" max="2" width="30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17" customFormat="1" ht="15" customHeight="1">
      <c r="C1" s="20"/>
    </row>
    <row r="2" spans="2:4" s="17" customFormat="1" ht="15" customHeight="1">
      <c r="C2" s="20"/>
    </row>
    <row r="3" spans="2:4" s="17" customFormat="1" ht="15" customHeight="1">
      <c r="C3" s="20"/>
    </row>
    <row r="4" spans="2:4" s="17" customFormat="1" ht="30" customHeight="1">
      <c r="C4" s="20"/>
      <c r="D4" s="19"/>
    </row>
    <row r="5" spans="2:4" s="17" customFormat="1" ht="15" customHeight="1">
      <c r="C5" s="20"/>
      <c r="D5" s="19"/>
    </row>
    <row r="6" spans="2:4" s="17" customFormat="1" ht="15" customHeight="1">
      <c r="C6" s="20"/>
      <c r="D6" s="19"/>
    </row>
    <row r="7" spans="2:4" s="17" customFormat="1" ht="15" customHeight="1">
      <c r="B7" s="86" t="s">
        <v>38</v>
      </c>
      <c r="C7" s="86"/>
      <c r="D7" s="86"/>
    </row>
    <row r="8" spans="2:4" s="17" customFormat="1" ht="15" customHeight="1">
      <c r="B8" s="86"/>
      <c r="C8" s="86"/>
      <c r="D8" s="86"/>
    </row>
    <row r="9" spans="2:4" s="17" customFormat="1" ht="33" customHeight="1">
      <c r="B9" s="86"/>
      <c r="C9" s="86"/>
      <c r="D9" s="86"/>
    </row>
    <row r="10" spans="2:4" s="17" customFormat="1" ht="4.5" customHeight="1">
      <c r="B10" s="18"/>
      <c r="C10" s="18"/>
      <c r="D10" s="18"/>
    </row>
    <row r="11" spans="2:4" s="17" customFormat="1" ht="33" customHeight="1">
      <c r="B11" s="42" t="s">
        <v>22</v>
      </c>
      <c r="C11" s="43" t="s">
        <v>19</v>
      </c>
      <c r="D11" s="44" t="s">
        <v>18</v>
      </c>
    </row>
    <row r="12" spans="2:4">
      <c r="B12" s="54" t="s">
        <v>181</v>
      </c>
      <c r="C12" s="55">
        <v>5402</v>
      </c>
      <c r="D12" s="56">
        <v>0.28773836156386501</v>
      </c>
    </row>
    <row r="13" spans="2:4">
      <c r="B13" s="54" t="s">
        <v>182</v>
      </c>
      <c r="C13" s="55">
        <v>3122</v>
      </c>
      <c r="D13" s="56">
        <v>0.16629381058911299</v>
      </c>
    </row>
    <row r="14" spans="2:4">
      <c r="B14" s="54" t="s">
        <v>183</v>
      </c>
      <c r="C14" s="55">
        <v>1483</v>
      </c>
      <c r="D14" s="56">
        <v>7.8992223287525004E-2</v>
      </c>
    </row>
    <row r="15" spans="2:4">
      <c r="B15" s="54" t="s">
        <v>184</v>
      </c>
      <c r="C15" s="55">
        <v>1254</v>
      </c>
      <c r="D15" s="56">
        <v>6.6794503036114006E-2</v>
      </c>
    </row>
    <row r="16" spans="2:4">
      <c r="B16" s="54" t="s">
        <v>185</v>
      </c>
      <c r="C16" s="55">
        <v>862</v>
      </c>
      <c r="D16" s="56">
        <v>4.5914562693085997E-2</v>
      </c>
    </row>
    <row r="17" spans="2:4">
      <c r="B17" s="54" t="s">
        <v>187</v>
      </c>
      <c r="C17" s="55">
        <v>649</v>
      </c>
      <c r="D17" s="56">
        <v>3.4569084904654997E-2</v>
      </c>
    </row>
    <row r="18" spans="2:4">
      <c r="B18" s="54" t="s">
        <v>192</v>
      </c>
      <c r="C18" s="55">
        <v>439</v>
      </c>
      <c r="D18" s="56">
        <v>2.3383402578033001E-2</v>
      </c>
    </row>
    <row r="19" spans="2:4">
      <c r="B19" s="54" t="s">
        <v>188</v>
      </c>
      <c r="C19" s="55">
        <v>391</v>
      </c>
      <c r="D19" s="56">
        <v>2.0826675189090999E-2</v>
      </c>
    </row>
    <row r="20" spans="2:4">
      <c r="B20" s="54" t="s">
        <v>194</v>
      </c>
      <c r="C20" s="55">
        <v>348</v>
      </c>
      <c r="D20" s="56">
        <v>1.8536273569831001E-2</v>
      </c>
    </row>
    <row r="21" spans="2:4">
      <c r="B21" s="54" t="s">
        <v>189</v>
      </c>
      <c r="C21" s="55">
        <v>339</v>
      </c>
      <c r="D21" s="56">
        <v>1.8056887184404E-2</v>
      </c>
    </row>
    <row r="22" spans="2:4">
      <c r="B22" s="54" t="s">
        <v>191</v>
      </c>
      <c r="C22" s="55">
        <v>247</v>
      </c>
      <c r="D22" s="56">
        <v>1.3156493022265001E-2</v>
      </c>
    </row>
    <row r="23" spans="2:4">
      <c r="B23" s="54" t="s">
        <v>190</v>
      </c>
      <c r="C23" s="55">
        <v>243</v>
      </c>
      <c r="D23" s="56">
        <v>1.2943432406519999E-2</v>
      </c>
    </row>
    <row r="24" spans="2:4">
      <c r="B24" s="54" t="s">
        <v>186</v>
      </c>
      <c r="C24" s="55">
        <v>220</v>
      </c>
      <c r="D24" s="56">
        <v>1.1718333865985E-2</v>
      </c>
    </row>
    <row r="25" spans="2:4">
      <c r="B25" s="54" t="s">
        <v>207</v>
      </c>
      <c r="C25" s="55">
        <v>190</v>
      </c>
      <c r="D25" s="56">
        <v>1.0120379247895999E-2</v>
      </c>
    </row>
    <row r="26" spans="2:4">
      <c r="B26" s="54" t="s">
        <v>206</v>
      </c>
      <c r="C26" s="55">
        <v>176</v>
      </c>
      <c r="D26" s="56">
        <v>9.3746670927879992E-3</v>
      </c>
    </row>
    <row r="27" spans="2:4">
      <c r="B27" s="54" t="s">
        <v>196</v>
      </c>
      <c r="C27" s="55">
        <v>172</v>
      </c>
      <c r="D27" s="56">
        <v>9.1616064770429998E-3</v>
      </c>
    </row>
    <row r="28" spans="2:4">
      <c r="B28" s="54" t="s">
        <v>213</v>
      </c>
      <c r="C28" s="55">
        <v>165</v>
      </c>
      <c r="D28" s="56">
        <v>8.7887503994890006E-3</v>
      </c>
    </row>
    <row r="29" spans="2:4">
      <c r="B29" s="54" t="s">
        <v>219</v>
      </c>
      <c r="C29" s="55">
        <v>156</v>
      </c>
      <c r="D29" s="56">
        <v>8.3093640140619995E-3</v>
      </c>
    </row>
    <row r="30" spans="2:4">
      <c r="B30" s="54" t="s">
        <v>201</v>
      </c>
      <c r="C30" s="55">
        <v>153</v>
      </c>
      <c r="D30" s="56">
        <v>8.1495685522529997E-3</v>
      </c>
    </row>
    <row r="31" spans="2:4">
      <c r="B31" s="54" t="s">
        <v>193</v>
      </c>
      <c r="C31" s="55">
        <v>146</v>
      </c>
      <c r="D31" s="56">
        <v>7.7767124746989996E-3</v>
      </c>
    </row>
    <row r="32" spans="2:4">
      <c r="B32" s="54" t="s">
        <v>200</v>
      </c>
      <c r="C32" s="55">
        <v>142</v>
      </c>
      <c r="D32" s="56">
        <v>7.5636518589540002E-3</v>
      </c>
    </row>
    <row r="33" spans="2:4">
      <c r="B33" s="54" t="s">
        <v>202</v>
      </c>
      <c r="C33" s="55">
        <v>142</v>
      </c>
      <c r="D33" s="56">
        <v>7.5636518589540002E-3</v>
      </c>
    </row>
    <row r="34" spans="2:4">
      <c r="B34" s="54" t="s">
        <v>198</v>
      </c>
      <c r="C34" s="55">
        <v>135</v>
      </c>
      <c r="D34" s="56">
        <v>7.1907957814000001E-3</v>
      </c>
    </row>
    <row r="35" spans="2:4">
      <c r="B35" s="54" t="s">
        <v>217</v>
      </c>
      <c r="C35" s="55">
        <v>120</v>
      </c>
      <c r="D35" s="56">
        <v>6.3918184723550002E-3</v>
      </c>
    </row>
    <row r="36" spans="2:4">
      <c r="B36" s="54" t="s">
        <v>203</v>
      </c>
      <c r="C36" s="55">
        <v>117</v>
      </c>
      <c r="D36" s="56">
        <v>6.2320230105469996E-3</v>
      </c>
    </row>
    <row r="37" spans="2:4">
      <c r="B37" s="54" t="s">
        <v>216</v>
      </c>
      <c r="C37" s="55">
        <v>109</v>
      </c>
      <c r="D37" s="56">
        <v>5.8059017790559999E-3</v>
      </c>
    </row>
    <row r="38" spans="2:4">
      <c r="B38" s="54" t="s">
        <v>195</v>
      </c>
      <c r="C38" s="55">
        <v>103</v>
      </c>
      <c r="D38" s="56">
        <v>5.4863108554380003E-3</v>
      </c>
    </row>
    <row r="39" spans="2:4">
      <c r="B39" s="54" t="s">
        <v>222</v>
      </c>
      <c r="C39" s="55">
        <v>100</v>
      </c>
      <c r="D39" s="56">
        <v>5.3265153936289996E-3</v>
      </c>
    </row>
    <row r="40" spans="2:4">
      <c r="B40" s="54" t="s">
        <v>199</v>
      </c>
      <c r="C40" s="55">
        <v>94</v>
      </c>
      <c r="D40" s="56">
        <v>5.0069244700120001E-3</v>
      </c>
    </row>
    <row r="41" spans="2:4">
      <c r="B41" s="54" t="s">
        <v>208</v>
      </c>
      <c r="C41" s="55">
        <v>92</v>
      </c>
      <c r="D41" s="56">
        <v>4.9003941621389999E-3</v>
      </c>
    </row>
    <row r="42" spans="2:4">
      <c r="B42" s="54" t="s">
        <v>215</v>
      </c>
      <c r="C42" s="55">
        <v>85</v>
      </c>
      <c r="D42" s="56">
        <v>4.5275380845849998E-3</v>
      </c>
    </row>
    <row r="43" spans="2:4">
      <c r="B43" s="54" t="s">
        <v>197</v>
      </c>
      <c r="C43" s="55">
        <v>82</v>
      </c>
      <c r="D43" s="56">
        <v>4.367742622776E-3</v>
      </c>
    </row>
    <row r="44" spans="2:4">
      <c r="B44" s="54" t="s">
        <v>214</v>
      </c>
      <c r="C44" s="55">
        <v>77</v>
      </c>
      <c r="D44" s="56">
        <v>4.1014168530950001E-3</v>
      </c>
    </row>
    <row r="45" spans="2:4">
      <c r="B45" s="54" t="s">
        <v>231</v>
      </c>
      <c r="C45" s="55">
        <v>72</v>
      </c>
      <c r="D45" s="56">
        <v>3.8350910834130001E-3</v>
      </c>
    </row>
    <row r="46" spans="2:4">
      <c r="B46" s="54" t="s">
        <v>211</v>
      </c>
      <c r="C46" s="55">
        <v>66</v>
      </c>
      <c r="D46" s="56">
        <v>3.5155001597950001E-3</v>
      </c>
    </row>
    <row r="47" spans="2:4">
      <c r="B47" s="54" t="s">
        <v>218</v>
      </c>
      <c r="C47" s="55">
        <v>65</v>
      </c>
      <c r="D47" s="56">
        <v>3.4622350058590001E-3</v>
      </c>
    </row>
    <row r="48" spans="2:4">
      <c r="B48" s="54" t="s">
        <v>229</v>
      </c>
      <c r="C48" s="55">
        <v>60</v>
      </c>
      <c r="D48" s="56">
        <v>3.1959092361780001E-3</v>
      </c>
    </row>
    <row r="49" spans="2:4">
      <c r="B49" s="54" t="s">
        <v>204</v>
      </c>
      <c r="C49" s="55">
        <v>60</v>
      </c>
      <c r="D49" s="56">
        <v>3.1959092361780001E-3</v>
      </c>
    </row>
    <row r="50" spans="2:4">
      <c r="B50" s="54" t="s">
        <v>205</v>
      </c>
      <c r="C50" s="55">
        <v>57</v>
      </c>
      <c r="D50" s="56">
        <v>3.0361137743689999E-3</v>
      </c>
    </row>
    <row r="51" spans="2:4">
      <c r="B51" s="54" t="s">
        <v>242</v>
      </c>
      <c r="C51" s="55">
        <v>53</v>
      </c>
      <c r="D51" s="56">
        <v>2.8230531586240001E-3</v>
      </c>
    </row>
    <row r="52" spans="2:4">
      <c r="B52" s="54" t="s">
        <v>212</v>
      </c>
      <c r="C52" s="55">
        <v>50</v>
      </c>
      <c r="D52" s="56">
        <v>2.6632576968149998E-3</v>
      </c>
    </row>
    <row r="53" spans="2:4">
      <c r="B53" s="54" t="s">
        <v>209</v>
      </c>
      <c r="C53" s="55">
        <v>48</v>
      </c>
      <c r="D53" s="56">
        <v>2.5567273889420001E-3</v>
      </c>
    </row>
    <row r="54" spans="2:4">
      <c r="B54" s="54" t="s">
        <v>238</v>
      </c>
      <c r="C54" s="55">
        <v>45</v>
      </c>
      <c r="D54" s="56">
        <v>2.3969319271329999E-3</v>
      </c>
    </row>
    <row r="55" spans="2:4">
      <c r="B55" s="54" t="s">
        <v>220</v>
      </c>
      <c r="C55" s="55">
        <v>40</v>
      </c>
      <c r="D55" s="56">
        <v>2.130606157452E-3</v>
      </c>
    </row>
    <row r="56" spans="2:4">
      <c r="B56" s="54" t="s">
        <v>233</v>
      </c>
      <c r="C56" s="55">
        <v>39</v>
      </c>
      <c r="D56" s="56">
        <v>2.0773410035159999E-3</v>
      </c>
    </row>
    <row r="57" spans="2:4">
      <c r="B57" s="54" t="s">
        <v>221</v>
      </c>
      <c r="C57" s="55">
        <v>39</v>
      </c>
      <c r="D57" s="56">
        <v>2.0773410035159999E-3</v>
      </c>
    </row>
    <row r="58" spans="2:4">
      <c r="B58" s="54" t="s">
        <v>227</v>
      </c>
      <c r="C58" s="55">
        <v>39</v>
      </c>
      <c r="D58" s="56">
        <v>2.0773410035159999E-3</v>
      </c>
    </row>
    <row r="59" spans="2:4">
      <c r="B59" s="54" t="s">
        <v>210</v>
      </c>
      <c r="C59" s="55">
        <v>37</v>
      </c>
      <c r="D59" s="56">
        <v>1.9708106956430002E-3</v>
      </c>
    </row>
    <row r="60" spans="2:4">
      <c r="B60" s="54" t="s">
        <v>237</v>
      </c>
      <c r="C60" s="55">
        <v>36</v>
      </c>
      <c r="D60" s="56">
        <v>1.9175455417070001E-3</v>
      </c>
    </row>
    <row r="61" spans="2:4">
      <c r="B61" s="54" t="s">
        <v>236</v>
      </c>
      <c r="C61" s="55">
        <v>35</v>
      </c>
      <c r="D61" s="56">
        <v>1.86428038777E-3</v>
      </c>
    </row>
    <row r="62" spans="2:4">
      <c r="B62" s="54" t="s">
        <v>224</v>
      </c>
      <c r="C62" s="55">
        <v>32</v>
      </c>
      <c r="D62" s="56">
        <v>1.704484925961E-3</v>
      </c>
    </row>
    <row r="63" spans="2:4">
      <c r="B63" s="54" t="s">
        <v>228</v>
      </c>
      <c r="C63" s="55">
        <v>31</v>
      </c>
      <c r="D63" s="56">
        <v>1.6512197720249999E-3</v>
      </c>
    </row>
    <row r="64" spans="2:4">
      <c r="B64" s="54" t="s">
        <v>247</v>
      </c>
      <c r="C64" s="55">
        <v>29</v>
      </c>
      <c r="D64" s="56">
        <v>1.544689464153E-3</v>
      </c>
    </row>
    <row r="65" spans="2:4">
      <c r="B65" s="54" t="s">
        <v>234</v>
      </c>
      <c r="C65" s="55">
        <v>27</v>
      </c>
      <c r="D65" s="56">
        <v>1.4381591562800001E-3</v>
      </c>
    </row>
    <row r="66" spans="2:4">
      <c r="B66" s="54" t="s">
        <v>239</v>
      </c>
      <c r="C66" s="55">
        <v>26</v>
      </c>
      <c r="D66" s="56">
        <v>1.384894002344E-3</v>
      </c>
    </row>
    <row r="67" spans="2:4">
      <c r="B67" s="54" t="s">
        <v>225</v>
      </c>
      <c r="C67" s="55">
        <v>25</v>
      </c>
      <c r="D67" s="56">
        <v>1.3316288484070001E-3</v>
      </c>
    </row>
    <row r="68" spans="2:4">
      <c r="B68" s="54" t="s">
        <v>240</v>
      </c>
      <c r="C68" s="55">
        <v>24</v>
      </c>
      <c r="D68" s="56">
        <v>1.278363694471E-3</v>
      </c>
    </row>
    <row r="69" spans="2:4">
      <c r="B69" s="54" t="s">
        <v>226</v>
      </c>
      <c r="C69" s="55">
        <v>24</v>
      </c>
      <c r="D69" s="56">
        <v>1.278363694471E-3</v>
      </c>
    </row>
    <row r="70" spans="2:4">
      <c r="B70" s="54" t="s">
        <v>243</v>
      </c>
      <c r="C70" s="55">
        <v>22</v>
      </c>
      <c r="D70" s="56">
        <v>1.1718333865980001E-3</v>
      </c>
    </row>
    <row r="71" spans="2:4">
      <c r="B71" s="54" t="s">
        <v>241</v>
      </c>
      <c r="C71" s="55">
        <v>20</v>
      </c>
      <c r="D71" s="56">
        <v>1.065303078726E-3</v>
      </c>
    </row>
    <row r="72" spans="2:4">
      <c r="B72" s="54" t="s">
        <v>223</v>
      </c>
      <c r="C72" s="55">
        <v>19</v>
      </c>
      <c r="D72" s="56">
        <v>1.0120379247899999E-3</v>
      </c>
    </row>
    <row r="73" spans="2:4">
      <c r="B73" s="54" t="s">
        <v>245</v>
      </c>
      <c r="C73" s="55">
        <v>19</v>
      </c>
      <c r="D73" s="56">
        <v>1.0120379247899999E-3</v>
      </c>
    </row>
    <row r="74" spans="2:4">
      <c r="B74" s="54" t="s">
        <v>235</v>
      </c>
      <c r="C74" s="55">
        <v>17</v>
      </c>
      <c r="D74" s="56">
        <v>9.0550761691699996E-4</v>
      </c>
    </row>
    <row r="75" spans="2:4">
      <c r="B75" s="54" t="s">
        <v>232</v>
      </c>
      <c r="C75" s="55">
        <v>16</v>
      </c>
      <c r="D75" s="56">
        <v>8.5224246298100002E-4</v>
      </c>
    </row>
    <row r="76" spans="2:4">
      <c r="B76" s="54" t="s">
        <v>230</v>
      </c>
      <c r="C76" s="55">
        <v>16</v>
      </c>
      <c r="D76" s="56">
        <v>8.5224246298100002E-4</v>
      </c>
    </row>
    <row r="77" spans="2:4">
      <c r="B77" s="54" t="s">
        <v>246</v>
      </c>
      <c r="C77" s="55">
        <v>15</v>
      </c>
      <c r="D77" s="56">
        <v>7.98977309044E-4</v>
      </c>
    </row>
    <row r="78" spans="2:4">
      <c r="B78" s="54" t="s">
        <v>244</v>
      </c>
      <c r="C78" s="55">
        <v>13</v>
      </c>
      <c r="D78" s="56">
        <v>6.92447001172E-4</v>
      </c>
    </row>
    <row r="79" spans="2:4">
      <c r="B79" s="54" t="s">
        <v>248</v>
      </c>
      <c r="C79" s="55">
        <v>3</v>
      </c>
      <c r="D79" s="56">
        <v>1.5979546180899999E-4</v>
      </c>
    </row>
    <row r="80" spans="2:4">
      <c r="B80" s="51" t="s">
        <v>321</v>
      </c>
      <c r="C80" s="52">
        <v>18774</v>
      </c>
      <c r="D80" s="53">
        <v>1</v>
      </c>
    </row>
    <row r="82" spans="2:4" ht="16.5">
      <c r="B82" s="37" t="s">
        <v>130</v>
      </c>
      <c r="C82" s="46"/>
      <c r="D82" s="45"/>
    </row>
    <row r="83" spans="2:4" ht="16.5">
      <c r="B83" s="39" t="s">
        <v>17</v>
      </c>
      <c r="C83" s="46"/>
      <c r="D83" s="45"/>
    </row>
    <row r="84" spans="2:4" ht="16.5">
      <c r="B84" s="40" t="s">
        <v>44</v>
      </c>
      <c r="C84" s="46"/>
      <c r="D84" s="45"/>
    </row>
    <row r="85" spans="2:4" ht="16.5">
      <c r="B85" s="37" t="s">
        <v>16</v>
      </c>
      <c r="C85" s="46"/>
      <c r="D85" s="45"/>
    </row>
    <row r="86" spans="2:4" ht="16.5">
      <c r="B86" s="37" t="s">
        <v>320</v>
      </c>
      <c r="C86" s="46"/>
      <c r="D86" s="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fitToWidth="0" fitToHeight="0" orientation="portrait" r:id="rId1"/>
  <headerFooter>
    <oddFooter>&amp;C&amp;P de &amp;N</oddFooter>
  </headerFooter>
  <rowBreaks count="1" manualBreakCount="1">
    <brk id="45" max="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1129"/>
  <sheetViews>
    <sheetView showGridLines="0" view="pageBreakPreview" topLeftCell="A1110" zoomScaleNormal="100" zoomScaleSheetLayoutView="100" workbookViewId="0">
      <selection activeCell="B1123" sqref="B1123:C1123"/>
    </sheetView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1.45312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92"/>
      <c r="C7" s="92"/>
      <c r="D7" s="92"/>
      <c r="E7" s="92"/>
    </row>
    <row r="8" spans="1:5" s="24" customFormat="1" ht="33" customHeight="1">
      <c r="A8" s="25"/>
      <c r="B8" s="92"/>
      <c r="C8" s="92"/>
      <c r="D8" s="92"/>
      <c r="E8" s="92"/>
    </row>
    <row r="9" spans="1:5" s="17" customFormat="1" ht="40.5" customHeight="1">
      <c r="B9" s="68" t="s">
        <v>24</v>
      </c>
      <c r="C9" s="69" t="s">
        <v>23</v>
      </c>
      <c r="D9" s="70" t="s">
        <v>19</v>
      </c>
      <c r="E9" s="68" t="s">
        <v>18</v>
      </c>
    </row>
    <row r="10" spans="1:5" ht="15" customHeight="1">
      <c r="B10" s="89" t="s">
        <v>131</v>
      </c>
      <c r="C10" s="54" t="s">
        <v>181</v>
      </c>
      <c r="D10" s="55">
        <v>2453</v>
      </c>
      <c r="E10" s="56">
        <v>0.13065942260573099</v>
      </c>
    </row>
    <row r="11" spans="1:5" ht="15" customHeight="1">
      <c r="B11" s="90"/>
      <c r="C11" s="54" t="s">
        <v>182</v>
      </c>
      <c r="D11" s="55">
        <v>1050</v>
      </c>
      <c r="E11" s="56">
        <v>5.5928411633109999E-2</v>
      </c>
    </row>
    <row r="12" spans="1:5" ht="15" customHeight="1">
      <c r="B12" s="90"/>
      <c r="C12" s="54" t="s">
        <v>183</v>
      </c>
      <c r="D12" s="55">
        <v>482</v>
      </c>
      <c r="E12" s="56">
        <v>2.5673804197293999E-2</v>
      </c>
    </row>
    <row r="13" spans="1:5" ht="15" customHeight="1">
      <c r="B13" s="90"/>
      <c r="C13" s="54" t="s">
        <v>184</v>
      </c>
      <c r="D13" s="55">
        <v>316</v>
      </c>
      <c r="E13" s="56">
        <v>1.6831788643869E-2</v>
      </c>
    </row>
    <row r="14" spans="1:5" ht="15" customHeight="1">
      <c r="B14" s="90"/>
      <c r="C14" s="54" t="s">
        <v>185</v>
      </c>
      <c r="D14" s="55">
        <v>184</v>
      </c>
      <c r="E14" s="56">
        <v>9.8007883242779998E-3</v>
      </c>
    </row>
    <row r="15" spans="1:5" ht="15" customHeight="1">
      <c r="B15" s="90"/>
      <c r="C15" s="54" t="s">
        <v>186</v>
      </c>
      <c r="D15" s="55">
        <v>170</v>
      </c>
      <c r="E15" s="56">
        <v>9.0550761691699996E-3</v>
      </c>
    </row>
    <row r="16" spans="1:5" ht="15" customHeight="1">
      <c r="B16" s="90"/>
      <c r="C16" s="54" t="s">
        <v>187</v>
      </c>
      <c r="D16" s="55">
        <v>117</v>
      </c>
      <c r="E16" s="56">
        <v>6.2320230105469996E-3</v>
      </c>
    </row>
    <row r="17" spans="2:5" ht="15" customHeight="1">
      <c r="B17" s="90"/>
      <c r="C17" s="54" t="s">
        <v>188</v>
      </c>
      <c r="D17" s="55">
        <v>99</v>
      </c>
      <c r="E17" s="56">
        <v>5.273250239693E-3</v>
      </c>
    </row>
    <row r="18" spans="2:5" ht="15" customHeight="1">
      <c r="B18" s="90"/>
      <c r="C18" s="54" t="s">
        <v>189</v>
      </c>
      <c r="D18" s="55">
        <v>96</v>
      </c>
      <c r="E18" s="56">
        <v>5.1134547778840002E-3</v>
      </c>
    </row>
    <row r="19" spans="2:5" ht="15" customHeight="1">
      <c r="B19" s="90"/>
      <c r="C19" s="54" t="s">
        <v>190</v>
      </c>
      <c r="D19" s="55">
        <v>71</v>
      </c>
      <c r="E19" s="56">
        <v>3.7818259294770001E-3</v>
      </c>
    </row>
    <row r="20" spans="2:5" ht="15" customHeight="1">
      <c r="B20" s="90"/>
      <c r="C20" s="54" t="s">
        <v>191</v>
      </c>
      <c r="D20" s="55">
        <v>69</v>
      </c>
      <c r="E20" s="56">
        <v>3.6752956216039999E-3</v>
      </c>
    </row>
    <row r="21" spans="2:5" ht="15" customHeight="1">
      <c r="B21" s="90"/>
      <c r="C21" s="54" t="s">
        <v>192</v>
      </c>
      <c r="D21" s="55">
        <v>60</v>
      </c>
      <c r="E21" s="56">
        <v>3.1959092361780001E-3</v>
      </c>
    </row>
    <row r="22" spans="2:5" ht="15" customHeight="1">
      <c r="B22" s="90"/>
      <c r="C22" s="54" t="s">
        <v>193</v>
      </c>
      <c r="D22" s="55">
        <v>55</v>
      </c>
      <c r="E22" s="56">
        <v>2.9295834664960002E-3</v>
      </c>
    </row>
    <row r="23" spans="2:5" ht="15" customHeight="1">
      <c r="B23" s="90"/>
      <c r="C23" s="54" t="s">
        <v>194</v>
      </c>
      <c r="D23" s="55">
        <v>51</v>
      </c>
      <c r="E23" s="56">
        <v>2.7165228507509999E-3</v>
      </c>
    </row>
    <row r="24" spans="2:5" ht="15" customHeight="1">
      <c r="B24" s="90"/>
      <c r="C24" s="54" t="s">
        <v>195</v>
      </c>
      <c r="D24" s="55">
        <v>47</v>
      </c>
      <c r="E24" s="56">
        <v>2.503462235006E-3</v>
      </c>
    </row>
    <row r="25" spans="2:5" ht="15" customHeight="1">
      <c r="B25" s="90"/>
      <c r="C25" s="54" t="s">
        <v>196</v>
      </c>
      <c r="D25" s="55">
        <v>42</v>
      </c>
      <c r="E25" s="56">
        <v>2.2371364653240001E-3</v>
      </c>
    </row>
    <row r="26" spans="2:5" ht="15" customHeight="1">
      <c r="B26" s="90"/>
      <c r="C26" s="54" t="s">
        <v>197</v>
      </c>
      <c r="D26" s="55">
        <v>39</v>
      </c>
      <c r="E26" s="56">
        <v>2.0773410035159999E-3</v>
      </c>
    </row>
    <row r="27" spans="2:5" ht="15" customHeight="1">
      <c r="B27" s="90"/>
      <c r="C27" s="54" t="s">
        <v>198</v>
      </c>
      <c r="D27" s="55">
        <v>36</v>
      </c>
      <c r="E27" s="56">
        <v>1.9175455417070001E-3</v>
      </c>
    </row>
    <row r="28" spans="2:5" ht="15" customHeight="1">
      <c r="B28" s="90"/>
      <c r="C28" s="54" t="s">
        <v>199</v>
      </c>
      <c r="D28" s="55">
        <v>36</v>
      </c>
      <c r="E28" s="56">
        <v>1.9175455417070001E-3</v>
      </c>
    </row>
    <row r="29" spans="2:5" ht="15" customHeight="1">
      <c r="B29" s="90"/>
      <c r="C29" s="54" t="s">
        <v>200</v>
      </c>
      <c r="D29" s="55">
        <v>33</v>
      </c>
      <c r="E29" s="56">
        <v>1.7577500798980001E-3</v>
      </c>
    </row>
    <row r="30" spans="2:5" ht="15" customHeight="1">
      <c r="B30" s="90"/>
      <c r="C30" s="54" t="s">
        <v>201</v>
      </c>
      <c r="D30" s="55">
        <v>32</v>
      </c>
      <c r="E30" s="56">
        <v>1.704484925961E-3</v>
      </c>
    </row>
    <row r="31" spans="2:5" ht="15" customHeight="1">
      <c r="B31" s="90"/>
      <c r="C31" s="54" t="s">
        <v>202</v>
      </c>
      <c r="D31" s="55">
        <v>30</v>
      </c>
      <c r="E31" s="56">
        <v>1.5979546180890001E-3</v>
      </c>
    </row>
    <row r="32" spans="2:5" ht="15" customHeight="1">
      <c r="B32" s="90"/>
      <c r="C32" s="54" t="s">
        <v>203</v>
      </c>
      <c r="D32" s="55">
        <v>29</v>
      </c>
      <c r="E32" s="56">
        <v>1.544689464153E-3</v>
      </c>
    </row>
    <row r="33" spans="2:5" ht="15" customHeight="1">
      <c r="B33" s="90"/>
      <c r="C33" s="54" t="s">
        <v>204</v>
      </c>
      <c r="D33" s="55">
        <v>29</v>
      </c>
      <c r="E33" s="56">
        <v>1.544689464153E-3</v>
      </c>
    </row>
    <row r="34" spans="2:5" ht="15" customHeight="1">
      <c r="B34" s="90"/>
      <c r="C34" s="54" t="s">
        <v>205</v>
      </c>
      <c r="D34" s="55">
        <v>26</v>
      </c>
      <c r="E34" s="56">
        <v>1.384894002344E-3</v>
      </c>
    </row>
    <row r="35" spans="2:5" ht="15" customHeight="1">
      <c r="B35" s="90"/>
      <c r="C35" s="54" t="s">
        <v>206</v>
      </c>
      <c r="D35" s="55">
        <v>26</v>
      </c>
      <c r="E35" s="56">
        <v>1.384894002344E-3</v>
      </c>
    </row>
    <row r="36" spans="2:5" ht="15" customHeight="1">
      <c r="B36" s="90"/>
      <c r="C36" s="54" t="s">
        <v>207</v>
      </c>
      <c r="D36" s="55">
        <v>24</v>
      </c>
      <c r="E36" s="56">
        <v>1.278363694471E-3</v>
      </c>
    </row>
    <row r="37" spans="2:5" ht="15" customHeight="1">
      <c r="B37" s="90"/>
      <c r="C37" s="54" t="s">
        <v>208</v>
      </c>
      <c r="D37" s="55">
        <v>22</v>
      </c>
      <c r="E37" s="56">
        <v>1.1718333865980001E-3</v>
      </c>
    </row>
    <row r="38" spans="2:5" ht="15" customHeight="1">
      <c r="B38" s="90"/>
      <c r="C38" s="54" t="s">
        <v>209</v>
      </c>
      <c r="D38" s="55">
        <v>20</v>
      </c>
      <c r="E38" s="56">
        <v>1.065303078726E-3</v>
      </c>
    </row>
    <row r="39" spans="2:5" ht="15" customHeight="1">
      <c r="B39" s="90"/>
      <c r="C39" s="54" t="s">
        <v>210</v>
      </c>
      <c r="D39" s="55">
        <v>20</v>
      </c>
      <c r="E39" s="56">
        <v>1.065303078726E-3</v>
      </c>
    </row>
    <row r="40" spans="2:5" ht="15" customHeight="1">
      <c r="B40" s="90"/>
      <c r="C40" s="54" t="s">
        <v>211</v>
      </c>
      <c r="D40" s="55">
        <v>19</v>
      </c>
      <c r="E40" s="56">
        <v>1.0120379247899999E-3</v>
      </c>
    </row>
    <row r="41" spans="2:5" ht="15" customHeight="1">
      <c r="B41" s="90"/>
      <c r="C41" s="54" t="s">
        <v>212</v>
      </c>
      <c r="D41" s="55">
        <v>19</v>
      </c>
      <c r="E41" s="56">
        <v>1.0120379247899999E-3</v>
      </c>
    </row>
    <row r="42" spans="2:5" ht="15" customHeight="1">
      <c r="B42" s="90"/>
      <c r="C42" s="54" t="s">
        <v>213</v>
      </c>
      <c r="D42" s="55">
        <v>19</v>
      </c>
      <c r="E42" s="56">
        <v>1.0120379247899999E-3</v>
      </c>
    </row>
    <row r="43" spans="2:5" ht="15" customHeight="1">
      <c r="B43" s="90"/>
      <c r="C43" s="54" t="s">
        <v>214</v>
      </c>
      <c r="D43" s="55">
        <v>18</v>
      </c>
      <c r="E43" s="56">
        <v>9.5877277085300002E-4</v>
      </c>
    </row>
    <row r="44" spans="2:5" ht="15" customHeight="1">
      <c r="B44" s="90"/>
      <c r="C44" s="54" t="s">
        <v>215</v>
      </c>
      <c r="D44" s="55">
        <v>18</v>
      </c>
      <c r="E44" s="56">
        <v>9.5877277085300002E-4</v>
      </c>
    </row>
    <row r="45" spans="2:5" ht="15" customHeight="1">
      <c r="B45" s="90"/>
      <c r="C45" s="54" t="s">
        <v>216</v>
      </c>
      <c r="D45" s="55">
        <v>15</v>
      </c>
      <c r="E45" s="56">
        <v>7.98977309044E-4</v>
      </c>
    </row>
    <row r="46" spans="2:5" ht="15" customHeight="1">
      <c r="B46" s="90"/>
      <c r="C46" s="54" t="s">
        <v>217</v>
      </c>
      <c r="D46" s="55">
        <v>15</v>
      </c>
      <c r="E46" s="56">
        <v>7.98977309044E-4</v>
      </c>
    </row>
    <row r="47" spans="2:5" ht="15" customHeight="1">
      <c r="B47" s="90"/>
      <c r="C47" s="54" t="s">
        <v>218</v>
      </c>
      <c r="D47" s="55">
        <v>14</v>
      </c>
      <c r="E47" s="56">
        <v>7.4571215510799995E-4</v>
      </c>
    </row>
    <row r="48" spans="2:5" ht="15" customHeight="1">
      <c r="B48" s="90"/>
      <c r="C48" s="54" t="s">
        <v>219</v>
      </c>
      <c r="D48" s="55">
        <v>13</v>
      </c>
      <c r="E48" s="56">
        <v>6.92447001172E-4</v>
      </c>
    </row>
    <row r="49" spans="2:5" ht="15" customHeight="1">
      <c r="B49" s="90"/>
      <c r="C49" s="54" t="s">
        <v>220</v>
      </c>
      <c r="D49" s="55">
        <v>12</v>
      </c>
      <c r="E49" s="56">
        <v>6.3918184723599995E-4</v>
      </c>
    </row>
    <row r="50" spans="2:5" ht="15" customHeight="1">
      <c r="B50" s="90"/>
      <c r="C50" s="54" t="s">
        <v>221</v>
      </c>
      <c r="D50" s="55">
        <v>12</v>
      </c>
      <c r="E50" s="56">
        <v>6.3918184723599995E-4</v>
      </c>
    </row>
    <row r="51" spans="2:5" ht="15" customHeight="1">
      <c r="B51" s="90"/>
      <c r="C51" s="54" t="s">
        <v>222</v>
      </c>
      <c r="D51" s="55">
        <v>10</v>
      </c>
      <c r="E51" s="56">
        <v>5.3265153936299999E-4</v>
      </c>
    </row>
    <row r="52" spans="2:5" ht="15" customHeight="1">
      <c r="B52" s="90"/>
      <c r="C52" s="54" t="s">
        <v>223</v>
      </c>
      <c r="D52" s="55">
        <v>10</v>
      </c>
      <c r="E52" s="56">
        <v>5.3265153936299999E-4</v>
      </c>
    </row>
    <row r="53" spans="2:5" ht="15" customHeight="1">
      <c r="B53" s="90"/>
      <c r="C53" s="54" t="s">
        <v>224</v>
      </c>
      <c r="D53" s="55">
        <v>10</v>
      </c>
      <c r="E53" s="56">
        <v>5.3265153936299999E-4</v>
      </c>
    </row>
    <row r="54" spans="2:5" ht="15" customHeight="1">
      <c r="B54" s="90"/>
      <c r="C54" s="54" t="s">
        <v>225</v>
      </c>
      <c r="D54" s="55">
        <v>9</v>
      </c>
      <c r="E54" s="56">
        <v>4.7938638542699999E-4</v>
      </c>
    </row>
    <row r="55" spans="2:5" ht="15" customHeight="1">
      <c r="B55" s="90"/>
      <c r="C55" s="54" t="s">
        <v>226</v>
      </c>
      <c r="D55" s="55">
        <v>9</v>
      </c>
      <c r="E55" s="56">
        <v>4.7938638542699999E-4</v>
      </c>
    </row>
    <row r="56" spans="2:5" ht="15" customHeight="1">
      <c r="B56" s="90"/>
      <c r="C56" s="54" t="s">
        <v>227</v>
      </c>
      <c r="D56" s="55">
        <v>9</v>
      </c>
      <c r="E56" s="56">
        <v>4.7938638542699999E-4</v>
      </c>
    </row>
    <row r="57" spans="2:5" ht="15" customHeight="1">
      <c r="B57" s="90"/>
      <c r="C57" s="54" t="s">
        <v>228</v>
      </c>
      <c r="D57" s="55">
        <v>8</v>
      </c>
      <c r="E57" s="56">
        <v>4.2612123148999997E-4</v>
      </c>
    </row>
    <row r="58" spans="2:5" ht="15" customHeight="1">
      <c r="B58" s="90"/>
      <c r="C58" s="54" t="s">
        <v>229</v>
      </c>
      <c r="D58" s="55">
        <v>8</v>
      </c>
      <c r="E58" s="56">
        <v>4.2612123148999997E-4</v>
      </c>
    </row>
    <row r="59" spans="2:5" ht="15" customHeight="1">
      <c r="B59" s="90"/>
      <c r="C59" s="54" t="s">
        <v>230</v>
      </c>
      <c r="D59" s="55">
        <v>8</v>
      </c>
      <c r="E59" s="56">
        <v>4.2612123148999997E-4</v>
      </c>
    </row>
    <row r="60" spans="2:5" ht="15" customHeight="1">
      <c r="B60" s="90"/>
      <c r="C60" s="54" t="s">
        <v>231</v>
      </c>
      <c r="D60" s="55">
        <v>8</v>
      </c>
      <c r="E60" s="56">
        <v>4.2612123148999997E-4</v>
      </c>
    </row>
    <row r="61" spans="2:5" ht="15" customHeight="1">
      <c r="B61" s="90"/>
      <c r="C61" s="54" t="s">
        <v>232</v>
      </c>
      <c r="D61" s="55">
        <v>7</v>
      </c>
      <c r="E61" s="56">
        <v>3.7285607755399997E-4</v>
      </c>
    </row>
    <row r="62" spans="2:5" ht="15" customHeight="1">
      <c r="B62" s="90"/>
      <c r="C62" s="54" t="s">
        <v>233</v>
      </c>
      <c r="D62" s="55">
        <v>7</v>
      </c>
      <c r="E62" s="56">
        <v>3.7285607755399997E-4</v>
      </c>
    </row>
    <row r="63" spans="2:5" ht="15" customHeight="1">
      <c r="B63" s="90"/>
      <c r="C63" s="54" t="s">
        <v>234</v>
      </c>
      <c r="D63" s="55">
        <v>7</v>
      </c>
      <c r="E63" s="56">
        <v>3.7285607755399997E-4</v>
      </c>
    </row>
    <row r="64" spans="2:5" ht="15" customHeight="1">
      <c r="B64" s="90"/>
      <c r="C64" s="54" t="s">
        <v>235</v>
      </c>
      <c r="D64" s="55">
        <v>6</v>
      </c>
      <c r="E64" s="56">
        <v>3.1959092361799997E-4</v>
      </c>
    </row>
    <row r="65" spans="2:5" ht="15" customHeight="1">
      <c r="B65" s="90"/>
      <c r="C65" s="54" t="s">
        <v>236</v>
      </c>
      <c r="D65" s="55">
        <v>6</v>
      </c>
      <c r="E65" s="56">
        <v>3.1959092361799997E-4</v>
      </c>
    </row>
    <row r="66" spans="2:5" ht="15" customHeight="1">
      <c r="B66" s="90"/>
      <c r="C66" s="54" t="s">
        <v>237</v>
      </c>
      <c r="D66" s="55">
        <v>6</v>
      </c>
      <c r="E66" s="56">
        <v>3.1959092361799997E-4</v>
      </c>
    </row>
    <row r="67" spans="2:5" ht="15" customHeight="1">
      <c r="B67" s="90"/>
      <c r="C67" s="54" t="s">
        <v>238</v>
      </c>
      <c r="D67" s="55">
        <v>5</v>
      </c>
      <c r="E67" s="56">
        <v>2.6632576968100001E-4</v>
      </c>
    </row>
    <row r="68" spans="2:5" ht="15" customHeight="1">
      <c r="B68" s="90"/>
      <c r="C68" s="54" t="s">
        <v>239</v>
      </c>
      <c r="D68" s="55">
        <v>5</v>
      </c>
      <c r="E68" s="56">
        <v>2.6632576968100001E-4</v>
      </c>
    </row>
    <row r="69" spans="2:5" ht="15" customHeight="1">
      <c r="B69" s="90"/>
      <c r="C69" s="54" t="s">
        <v>240</v>
      </c>
      <c r="D69" s="55">
        <v>4</v>
      </c>
      <c r="E69" s="56">
        <v>2.1306061574499999E-4</v>
      </c>
    </row>
    <row r="70" spans="2:5" ht="15" customHeight="1">
      <c r="B70" s="90"/>
      <c r="C70" s="54" t="s">
        <v>241</v>
      </c>
      <c r="D70" s="55">
        <v>4</v>
      </c>
      <c r="E70" s="56">
        <v>2.1306061574499999E-4</v>
      </c>
    </row>
    <row r="71" spans="2:5" ht="15" customHeight="1">
      <c r="B71" s="90"/>
      <c r="C71" s="54" t="s">
        <v>242</v>
      </c>
      <c r="D71" s="55">
        <v>3</v>
      </c>
      <c r="E71" s="56">
        <v>1.5979546180899999E-4</v>
      </c>
    </row>
    <row r="72" spans="2:5" ht="15" customHeight="1">
      <c r="B72" s="90"/>
      <c r="C72" s="54" t="s">
        <v>243</v>
      </c>
      <c r="D72" s="55">
        <v>2</v>
      </c>
      <c r="E72" s="56">
        <v>1.06530307873E-4</v>
      </c>
    </row>
    <row r="73" spans="2:5" ht="15" customHeight="1">
      <c r="B73" s="90"/>
      <c r="C73" s="54" t="s">
        <v>244</v>
      </c>
      <c r="D73" s="55">
        <v>2</v>
      </c>
      <c r="E73" s="56">
        <v>1.06530307873E-4</v>
      </c>
    </row>
    <row r="74" spans="2:5" ht="15" customHeight="1">
      <c r="B74" s="90"/>
      <c r="C74" s="54" t="s">
        <v>245</v>
      </c>
      <c r="D74" s="55">
        <v>2</v>
      </c>
      <c r="E74" s="56">
        <v>1.06530307873E-4</v>
      </c>
    </row>
    <row r="75" spans="2:5" ht="15" customHeight="1">
      <c r="B75" s="90"/>
      <c r="C75" s="54" t="s">
        <v>246</v>
      </c>
      <c r="D75" s="55">
        <v>1</v>
      </c>
      <c r="E75" s="56">
        <v>5.3265153936E-5</v>
      </c>
    </row>
    <row r="76" spans="2:5" ht="15" customHeight="1">
      <c r="B76" s="90"/>
      <c r="C76" s="54" t="s">
        <v>247</v>
      </c>
      <c r="D76" s="55">
        <v>1</v>
      </c>
      <c r="E76" s="56">
        <v>5.3265153936E-5</v>
      </c>
    </row>
    <row r="77" spans="2:5" ht="15" customHeight="1">
      <c r="B77" s="91"/>
      <c r="C77" s="65" t="s">
        <v>321</v>
      </c>
      <c r="D77" s="64">
        <v>6095</v>
      </c>
      <c r="E77" s="66">
        <v>0.32465111324171703</v>
      </c>
    </row>
    <row r="78" spans="2:5" ht="15" customHeight="1">
      <c r="B78" s="89" t="s">
        <v>132</v>
      </c>
      <c r="C78" s="54" t="s">
        <v>181</v>
      </c>
      <c r="D78" s="55">
        <v>471</v>
      </c>
      <c r="E78" s="56">
        <v>2.5087887503995002E-2</v>
      </c>
    </row>
    <row r="79" spans="2:5" ht="15" customHeight="1">
      <c r="B79" s="90"/>
      <c r="C79" s="54" t="s">
        <v>182</v>
      </c>
      <c r="D79" s="55">
        <v>406</v>
      </c>
      <c r="E79" s="56">
        <v>2.1625652498136E-2</v>
      </c>
    </row>
    <row r="80" spans="2:5" ht="15" customHeight="1">
      <c r="B80" s="90"/>
      <c r="C80" s="54" t="s">
        <v>184</v>
      </c>
      <c r="D80" s="55">
        <v>275</v>
      </c>
      <c r="E80" s="56">
        <v>1.4647917332480999E-2</v>
      </c>
    </row>
    <row r="81" spans="2:5" ht="15" customHeight="1">
      <c r="B81" s="90"/>
      <c r="C81" s="54" t="s">
        <v>185</v>
      </c>
      <c r="D81" s="55">
        <v>150</v>
      </c>
      <c r="E81" s="56">
        <v>7.9897730904439999E-3</v>
      </c>
    </row>
    <row r="82" spans="2:5" ht="15" customHeight="1">
      <c r="B82" s="90"/>
      <c r="C82" s="54" t="s">
        <v>192</v>
      </c>
      <c r="D82" s="55">
        <v>107</v>
      </c>
      <c r="E82" s="56">
        <v>5.6993714711839998E-3</v>
      </c>
    </row>
    <row r="83" spans="2:5" ht="15" customHeight="1">
      <c r="B83" s="90"/>
      <c r="C83" s="54" t="s">
        <v>183</v>
      </c>
      <c r="D83" s="55">
        <v>106</v>
      </c>
      <c r="E83" s="56">
        <v>5.6461063172470001E-3</v>
      </c>
    </row>
    <row r="84" spans="2:5" ht="15" customHeight="1">
      <c r="B84" s="90"/>
      <c r="C84" s="54" t="s">
        <v>187</v>
      </c>
      <c r="D84" s="55">
        <v>86</v>
      </c>
      <c r="E84" s="56">
        <v>4.5808032385210003E-3</v>
      </c>
    </row>
    <row r="85" spans="2:5" ht="15" customHeight="1">
      <c r="B85" s="90"/>
      <c r="C85" s="54" t="s">
        <v>206</v>
      </c>
      <c r="D85" s="55">
        <v>77</v>
      </c>
      <c r="E85" s="56">
        <v>4.1014168530950001E-3</v>
      </c>
    </row>
    <row r="86" spans="2:5" ht="15" customHeight="1">
      <c r="B86" s="90"/>
      <c r="C86" s="54" t="s">
        <v>213</v>
      </c>
      <c r="D86" s="55">
        <v>68</v>
      </c>
      <c r="E86" s="56">
        <v>3.6220304676679999E-3</v>
      </c>
    </row>
    <row r="87" spans="2:5" ht="15" customHeight="1">
      <c r="B87" s="90"/>
      <c r="C87" s="54" t="s">
        <v>219</v>
      </c>
      <c r="D87" s="55">
        <v>67</v>
      </c>
      <c r="E87" s="56">
        <v>3.5687653137319998E-3</v>
      </c>
    </row>
    <row r="88" spans="2:5" ht="15" customHeight="1">
      <c r="B88" s="90"/>
      <c r="C88" s="54" t="s">
        <v>194</v>
      </c>
      <c r="D88" s="55">
        <v>59</v>
      </c>
      <c r="E88" s="56">
        <v>3.142644082241E-3</v>
      </c>
    </row>
    <row r="89" spans="2:5" ht="15" customHeight="1">
      <c r="B89" s="90"/>
      <c r="C89" s="54" t="s">
        <v>189</v>
      </c>
      <c r="D89" s="55">
        <v>47</v>
      </c>
      <c r="E89" s="56">
        <v>2.503462235006E-3</v>
      </c>
    </row>
    <row r="90" spans="2:5" ht="15" customHeight="1">
      <c r="B90" s="90"/>
      <c r="C90" s="54" t="s">
        <v>222</v>
      </c>
      <c r="D90" s="55">
        <v>44</v>
      </c>
      <c r="E90" s="56">
        <v>2.3436667731969998E-3</v>
      </c>
    </row>
    <row r="91" spans="2:5" ht="15" customHeight="1">
      <c r="B91" s="90"/>
      <c r="C91" s="54" t="s">
        <v>198</v>
      </c>
      <c r="D91" s="55">
        <v>34</v>
      </c>
      <c r="E91" s="56">
        <v>1.8110152338339999E-3</v>
      </c>
    </row>
    <row r="92" spans="2:5" ht="15" customHeight="1">
      <c r="B92" s="90"/>
      <c r="C92" s="54" t="s">
        <v>207</v>
      </c>
      <c r="D92" s="55">
        <v>34</v>
      </c>
      <c r="E92" s="56">
        <v>1.8110152338339999E-3</v>
      </c>
    </row>
    <row r="93" spans="2:5" ht="15" customHeight="1">
      <c r="B93" s="90"/>
      <c r="C93" s="54" t="s">
        <v>188</v>
      </c>
      <c r="D93" s="55">
        <v>29</v>
      </c>
      <c r="E93" s="56">
        <v>1.544689464153E-3</v>
      </c>
    </row>
    <row r="94" spans="2:5" ht="15" customHeight="1">
      <c r="B94" s="90"/>
      <c r="C94" s="54" t="s">
        <v>196</v>
      </c>
      <c r="D94" s="55">
        <v>28</v>
      </c>
      <c r="E94" s="56">
        <v>1.4914243102159999E-3</v>
      </c>
    </row>
    <row r="95" spans="2:5" ht="15" customHeight="1">
      <c r="B95" s="90"/>
      <c r="C95" s="54" t="s">
        <v>201</v>
      </c>
      <c r="D95" s="55">
        <v>27</v>
      </c>
      <c r="E95" s="56">
        <v>1.4381591562800001E-3</v>
      </c>
    </row>
    <row r="96" spans="2:5" ht="15" customHeight="1">
      <c r="B96" s="90"/>
      <c r="C96" s="54" t="s">
        <v>190</v>
      </c>
      <c r="D96" s="55">
        <v>25</v>
      </c>
      <c r="E96" s="56">
        <v>1.3316288484070001E-3</v>
      </c>
    </row>
    <row r="97" spans="2:5" ht="15" customHeight="1">
      <c r="B97" s="90"/>
      <c r="C97" s="54" t="s">
        <v>231</v>
      </c>
      <c r="D97" s="55">
        <v>21</v>
      </c>
      <c r="E97" s="56">
        <v>1.118568232662E-3</v>
      </c>
    </row>
    <row r="98" spans="2:5" ht="15" customHeight="1">
      <c r="B98" s="90"/>
      <c r="C98" s="54" t="s">
        <v>191</v>
      </c>
      <c r="D98" s="55">
        <v>14</v>
      </c>
      <c r="E98" s="56">
        <v>7.4571215510799995E-4</v>
      </c>
    </row>
    <row r="99" spans="2:5" ht="15" customHeight="1">
      <c r="B99" s="90"/>
      <c r="C99" s="54" t="s">
        <v>202</v>
      </c>
      <c r="D99" s="55">
        <v>13</v>
      </c>
      <c r="E99" s="56">
        <v>6.92447001172E-4</v>
      </c>
    </row>
    <row r="100" spans="2:5" ht="15" customHeight="1">
      <c r="B100" s="90"/>
      <c r="C100" s="54" t="s">
        <v>215</v>
      </c>
      <c r="D100" s="55">
        <v>12</v>
      </c>
      <c r="E100" s="56">
        <v>6.3918184723599995E-4</v>
      </c>
    </row>
    <row r="101" spans="2:5" ht="15" customHeight="1">
      <c r="B101" s="90"/>
      <c r="C101" s="54" t="s">
        <v>229</v>
      </c>
      <c r="D101" s="55">
        <v>12</v>
      </c>
      <c r="E101" s="56">
        <v>6.3918184723599995E-4</v>
      </c>
    </row>
    <row r="102" spans="2:5" ht="15" customHeight="1">
      <c r="B102" s="90"/>
      <c r="C102" s="54" t="s">
        <v>239</v>
      </c>
      <c r="D102" s="55">
        <v>12</v>
      </c>
      <c r="E102" s="56">
        <v>6.3918184723599995E-4</v>
      </c>
    </row>
    <row r="103" spans="2:5" ht="15" customHeight="1">
      <c r="B103" s="90"/>
      <c r="C103" s="54" t="s">
        <v>220</v>
      </c>
      <c r="D103" s="55">
        <v>11</v>
      </c>
      <c r="E103" s="56">
        <v>5.8591669329900004E-4</v>
      </c>
    </row>
    <row r="104" spans="2:5" ht="15" customHeight="1">
      <c r="B104" s="90"/>
      <c r="C104" s="54" t="s">
        <v>195</v>
      </c>
      <c r="D104" s="55">
        <v>10</v>
      </c>
      <c r="E104" s="56">
        <v>5.3265153936299999E-4</v>
      </c>
    </row>
    <row r="105" spans="2:5" ht="15" customHeight="1">
      <c r="B105" s="90"/>
      <c r="C105" s="54" t="s">
        <v>228</v>
      </c>
      <c r="D105" s="55">
        <v>10</v>
      </c>
      <c r="E105" s="56">
        <v>5.3265153936299999E-4</v>
      </c>
    </row>
    <row r="106" spans="2:5" ht="15" customHeight="1">
      <c r="B106" s="90"/>
      <c r="C106" s="54" t="s">
        <v>217</v>
      </c>
      <c r="D106" s="55">
        <v>10</v>
      </c>
      <c r="E106" s="56">
        <v>5.3265153936299999E-4</v>
      </c>
    </row>
    <row r="107" spans="2:5" ht="15" customHeight="1">
      <c r="B107" s="90"/>
      <c r="C107" s="54" t="s">
        <v>197</v>
      </c>
      <c r="D107" s="55">
        <v>10</v>
      </c>
      <c r="E107" s="56">
        <v>5.3265153936299999E-4</v>
      </c>
    </row>
    <row r="108" spans="2:5" ht="15" customHeight="1">
      <c r="B108" s="90"/>
      <c r="C108" s="54" t="s">
        <v>214</v>
      </c>
      <c r="D108" s="55">
        <v>10</v>
      </c>
      <c r="E108" s="56">
        <v>5.3265153936299999E-4</v>
      </c>
    </row>
    <row r="109" spans="2:5" ht="15" customHeight="1">
      <c r="B109" s="90"/>
      <c r="C109" s="54" t="s">
        <v>237</v>
      </c>
      <c r="D109" s="55">
        <v>10</v>
      </c>
      <c r="E109" s="56">
        <v>5.3265153936299999E-4</v>
      </c>
    </row>
    <row r="110" spans="2:5" ht="15" customHeight="1">
      <c r="B110" s="90"/>
      <c r="C110" s="54" t="s">
        <v>209</v>
      </c>
      <c r="D110" s="55">
        <v>9</v>
      </c>
      <c r="E110" s="56">
        <v>4.7938638542699999E-4</v>
      </c>
    </row>
    <row r="111" spans="2:5" ht="15" customHeight="1">
      <c r="B111" s="90"/>
      <c r="C111" s="54" t="s">
        <v>208</v>
      </c>
      <c r="D111" s="55">
        <v>9</v>
      </c>
      <c r="E111" s="56">
        <v>4.7938638542699999E-4</v>
      </c>
    </row>
    <row r="112" spans="2:5" ht="15" customHeight="1">
      <c r="B112" s="90"/>
      <c r="C112" s="54" t="s">
        <v>200</v>
      </c>
      <c r="D112" s="55">
        <v>9</v>
      </c>
      <c r="E112" s="56">
        <v>4.7938638542699999E-4</v>
      </c>
    </row>
    <row r="113" spans="2:5" ht="15" customHeight="1">
      <c r="B113" s="90"/>
      <c r="C113" s="54" t="s">
        <v>205</v>
      </c>
      <c r="D113" s="55">
        <v>7</v>
      </c>
      <c r="E113" s="56">
        <v>3.7285607755399997E-4</v>
      </c>
    </row>
    <row r="114" spans="2:5" ht="15" customHeight="1">
      <c r="B114" s="90"/>
      <c r="C114" s="54" t="s">
        <v>216</v>
      </c>
      <c r="D114" s="55">
        <v>7</v>
      </c>
      <c r="E114" s="56">
        <v>3.7285607755399997E-4</v>
      </c>
    </row>
    <row r="115" spans="2:5" ht="15" customHeight="1">
      <c r="B115" s="90"/>
      <c r="C115" s="54" t="s">
        <v>211</v>
      </c>
      <c r="D115" s="55">
        <v>7</v>
      </c>
      <c r="E115" s="56">
        <v>3.7285607755399997E-4</v>
      </c>
    </row>
    <row r="116" spans="2:5" ht="15" customHeight="1">
      <c r="B116" s="90"/>
      <c r="C116" s="54" t="s">
        <v>212</v>
      </c>
      <c r="D116" s="55">
        <v>7</v>
      </c>
      <c r="E116" s="56">
        <v>3.7285607755399997E-4</v>
      </c>
    </row>
    <row r="117" spans="2:5" ht="15" customHeight="1">
      <c r="B117" s="90"/>
      <c r="C117" s="54" t="s">
        <v>218</v>
      </c>
      <c r="D117" s="55">
        <v>7</v>
      </c>
      <c r="E117" s="56">
        <v>3.7285607755399997E-4</v>
      </c>
    </row>
    <row r="118" spans="2:5" ht="15" customHeight="1">
      <c r="B118" s="90"/>
      <c r="C118" s="54" t="s">
        <v>224</v>
      </c>
      <c r="D118" s="55">
        <v>7</v>
      </c>
      <c r="E118" s="56">
        <v>3.7285607755399997E-4</v>
      </c>
    </row>
    <row r="119" spans="2:5" ht="15" customHeight="1">
      <c r="B119" s="90"/>
      <c r="C119" s="54" t="s">
        <v>227</v>
      </c>
      <c r="D119" s="55">
        <v>7</v>
      </c>
      <c r="E119" s="56">
        <v>3.7285607755399997E-4</v>
      </c>
    </row>
    <row r="120" spans="2:5" ht="15" customHeight="1">
      <c r="B120" s="90"/>
      <c r="C120" s="54" t="s">
        <v>204</v>
      </c>
      <c r="D120" s="55">
        <v>5</v>
      </c>
      <c r="E120" s="56">
        <v>2.6632576968100001E-4</v>
      </c>
    </row>
    <row r="121" spans="2:5" ht="15" customHeight="1">
      <c r="B121" s="90"/>
      <c r="C121" s="54" t="s">
        <v>199</v>
      </c>
      <c r="D121" s="55">
        <v>5</v>
      </c>
      <c r="E121" s="56">
        <v>2.6632576968100001E-4</v>
      </c>
    </row>
    <row r="122" spans="2:5" ht="15" customHeight="1">
      <c r="B122" s="90"/>
      <c r="C122" s="54" t="s">
        <v>232</v>
      </c>
      <c r="D122" s="55">
        <v>4</v>
      </c>
      <c r="E122" s="56">
        <v>2.1306061574499999E-4</v>
      </c>
    </row>
    <row r="123" spans="2:5" ht="15" customHeight="1">
      <c r="B123" s="90"/>
      <c r="C123" s="54" t="s">
        <v>233</v>
      </c>
      <c r="D123" s="55">
        <v>4</v>
      </c>
      <c r="E123" s="56">
        <v>2.1306061574499999E-4</v>
      </c>
    </row>
    <row r="124" spans="2:5" ht="15" customHeight="1">
      <c r="B124" s="90"/>
      <c r="C124" s="54" t="s">
        <v>242</v>
      </c>
      <c r="D124" s="55">
        <v>4</v>
      </c>
      <c r="E124" s="56">
        <v>2.1306061574499999E-4</v>
      </c>
    </row>
    <row r="125" spans="2:5" ht="15" customHeight="1">
      <c r="B125" s="90"/>
      <c r="C125" s="54" t="s">
        <v>193</v>
      </c>
      <c r="D125" s="55">
        <v>3</v>
      </c>
      <c r="E125" s="56">
        <v>1.5979546180899999E-4</v>
      </c>
    </row>
    <row r="126" spans="2:5" ht="15" customHeight="1">
      <c r="B126" s="90"/>
      <c r="C126" s="54" t="s">
        <v>244</v>
      </c>
      <c r="D126" s="55">
        <v>3</v>
      </c>
      <c r="E126" s="56">
        <v>1.5979546180899999E-4</v>
      </c>
    </row>
    <row r="127" spans="2:5" ht="15" customHeight="1">
      <c r="B127" s="90"/>
      <c r="C127" s="54" t="s">
        <v>235</v>
      </c>
      <c r="D127" s="55">
        <v>3</v>
      </c>
      <c r="E127" s="56">
        <v>1.5979546180899999E-4</v>
      </c>
    </row>
    <row r="128" spans="2:5" ht="15" customHeight="1">
      <c r="B128" s="90"/>
      <c r="C128" s="54" t="s">
        <v>245</v>
      </c>
      <c r="D128" s="55">
        <v>3</v>
      </c>
      <c r="E128" s="56">
        <v>1.5979546180899999E-4</v>
      </c>
    </row>
    <row r="129" spans="2:5" ht="15" customHeight="1">
      <c r="B129" s="90"/>
      <c r="C129" s="54" t="s">
        <v>203</v>
      </c>
      <c r="D129" s="55">
        <v>3</v>
      </c>
      <c r="E129" s="56">
        <v>1.5979546180899999E-4</v>
      </c>
    </row>
    <row r="130" spans="2:5" ht="15" customHeight="1">
      <c r="B130" s="90"/>
      <c r="C130" s="54" t="s">
        <v>223</v>
      </c>
      <c r="D130" s="55">
        <v>2</v>
      </c>
      <c r="E130" s="56">
        <v>1.06530307873E-4</v>
      </c>
    </row>
    <row r="131" spans="2:5" ht="15" customHeight="1">
      <c r="B131" s="90"/>
      <c r="C131" s="54" t="s">
        <v>246</v>
      </c>
      <c r="D131" s="55">
        <v>2</v>
      </c>
      <c r="E131" s="56">
        <v>1.06530307873E-4</v>
      </c>
    </row>
    <row r="132" spans="2:5" ht="15" customHeight="1">
      <c r="B132" s="90"/>
      <c r="C132" s="54" t="s">
        <v>247</v>
      </c>
      <c r="D132" s="55">
        <v>2</v>
      </c>
      <c r="E132" s="56">
        <v>1.06530307873E-4</v>
      </c>
    </row>
    <row r="133" spans="2:5" ht="15" customHeight="1">
      <c r="B133" s="90"/>
      <c r="C133" s="54" t="s">
        <v>236</v>
      </c>
      <c r="D133" s="55">
        <v>2</v>
      </c>
      <c r="E133" s="56">
        <v>1.06530307873E-4</v>
      </c>
    </row>
    <row r="134" spans="2:5" ht="15" customHeight="1">
      <c r="B134" s="90"/>
      <c r="C134" s="54" t="s">
        <v>234</v>
      </c>
      <c r="D134" s="55">
        <v>2</v>
      </c>
      <c r="E134" s="56">
        <v>1.06530307873E-4</v>
      </c>
    </row>
    <row r="135" spans="2:5" ht="15" customHeight="1">
      <c r="B135" s="90"/>
      <c r="C135" s="54" t="s">
        <v>240</v>
      </c>
      <c r="D135" s="55">
        <v>2</v>
      </c>
      <c r="E135" s="56">
        <v>1.06530307873E-4</v>
      </c>
    </row>
    <row r="136" spans="2:5" ht="15" customHeight="1">
      <c r="B136" s="90"/>
      <c r="C136" s="54" t="s">
        <v>226</v>
      </c>
      <c r="D136" s="55">
        <v>2</v>
      </c>
      <c r="E136" s="56">
        <v>1.06530307873E-4</v>
      </c>
    </row>
    <row r="137" spans="2:5" ht="15" customHeight="1">
      <c r="B137" s="90"/>
      <c r="C137" s="54" t="s">
        <v>221</v>
      </c>
      <c r="D137" s="55">
        <v>2</v>
      </c>
      <c r="E137" s="56">
        <v>1.06530307873E-4</v>
      </c>
    </row>
    <row r="138" spans="2:5" ht="15" customHeight="1">
      <c r="B138" s="90"/>
      <c r="C138" s="54" t="s">
        <v>230</v>
      </c>
      <c r="D138" s="55">
        <v>2</v>
      </c>
      <c r="E138" s="56">
        <v>1.06530307873E-4</v>
      </c>
    </row>
    <row r="139" spans="2:5" ht="15" customHeight="1">
      <c r="B139" s="90"/>
      <c r="C139" s="54" t="s">
        <v>225</v>
      </c>
      <c r="D139" s="55">
        <v>1</v>
      </c>
      <c r="E139" s="56">
        <v>5.3265153936E-5</v>
      </c>
    </row>
    <row r="140" spans="2:5" ht="15" customHeight="1">
      <c r="B140" s="90"/>
      <c r="C140" s="54" t="s">
        <v>210</v>
      </c>
      <c r="D140" s="55">
        <v>1</v>
      </c>
      <c r="E140" s="56">
        <v>5.3265153936E-5</v>
      </c>
    </row>
    <row r="141" spans="2:5" ht="15" customHeight="1">
      <c r="B141" s="90"/>
      <c r="C141" s="54" t="s">
        <v>241</v>
      </c>
      <c r="D141" s="55">
        <v>1</v>
      </c>
      <c r="E141" s="56">
        <v>5.3265153936E-5</v>
      </c>
    </row>
    <row r="142" spans="2:5" ht="15" customHeight="1">
      <c r="B142" s="90"/>
      <c r="C142" s="54" t="s">
        <v>186</v>
      </c>
      <c r="D142" s="55">
        <v>1</v>
      </c>
      <c r="E142" s="56">
        <v>5.3265153936E-5</v>
      </c>
    </row>
    <row r="143" spans="2:5" ht="15" customHeight="1">
      <c r="B143" s="91"/>
      <c r="C143" s="65" t="s">
        <v>321</v>
      </c>
      <c r="D143" s="64">
        <v>2430</v>
      </c>
      <c r="E143" s="66">
        <v>0.129434324065197</v>
      </c>
    </row>
    <row r="144" spans="2:5" ht="15" customHeight="1">
      <c r="B144" s="89" t="s">
        <v>133</v>
      </c>
      <c r="C144" s="54" t="s">
        <v>181</v>
      </c>
      <c r="D144" s="55">
        <v>453</v>
      </c>
      <c r="E144" s="56">
        <v>2.4129114733141999E-2</v>
      </c>
    </row>
    <row r="145" spans="2:5" ht="15" customHeight="1">
      <c r="B145" s="90"/>
      <c r="C145" s="54" t="s">
        <v>182</v>
      </c>
      <c r="D145" s="55">
        <v>297</v>
      </c>
      <c r="E145" s="56">
        <v>1.5819750719080001E-2</v>
      </c>
    </row>
    <row r="146" spans="2:5" ht="15" customHeight="1">
      <c r="B146" s="90"/>
      <c r="C146" s="54" t="s">
        <v>184</v>
      </c>
      <c r="D146" s="55">
        <v>183</v>
      </c>
      <c r="E146" s="56">
        <v>9.7475231703420002E-3</v>
      </c>
    </row>
    <row r="147" spans="2:5" ht="15" customHeight="1">
      <c r="B147" s="90"/>
      <c r="C147" s="54" t="s">
        <v>183</v>
      </c>
      <c r="D147" s="55">
        <v>142</v>
      </c>
      <c r="E147" s="56">
        <v>7.5636518589540002E-3</v>
      </c>
    </row>
    <row r="148" spans="2:5" ht="15" customHeight="1">
      <c r="B148" s="90"/>
      <c r="C148" s="54" t="s">
        <v>189</v>
      </c>
      <c r="D148" s="55">
        <v>85</v>
      </c>
      <c r="E148" s="56">
        <v>4.5275380845849998E-3</v>
      </c>
    </row>
    <row r="149" spans="2:5" ht="15" customHeight="1">
      <c r="B149" s="90"/>
      <c r="C149" s="54" t="s">
        <v>192</v>
      </c>
      <c r="D149" s="55">
        <v>83</v>
      </c>
      <c r="E149" s="56">
        <v>4.4210077767119996E-3</v>
      </c>
    </row>
    <row r="150" spans="2:5" ht="15" customHeight="1">
      <c r="B150" s="90"/>
      <c r="C150" s="54" t="s">
        <v>194</v>
      </c>
      <c r="D150" s="55">
        <v>76</v>
      </c>
      <c r="E150" s="56">
        <v>4.0481516991580004E-3</v>
      </c>
    </row>
    <row r="151" spans="2:5" ht="15" customHeight="1">
      <c r="B151" s="90"/>
      <c r="C151" s="54" t="s">
        <v>187</v>
      </c>
      <c r="D151" s="55">
        <v>65</v>
      </c>
      <c r="E151" s="56">
        <v>3.4622350058590001E-3</v>
      </c>
    </row>
    <row r="152" spans="2:5" ht="15" customHeight="1">
      <c r="B152" s="90"/>
      <c r="C152" s="54" t="s">
        <v>185</v>
      </c>
      <c r="D152" s="55">
        <v>57</v>
      </c>
      <c r="E152" s="56">
        <v>3.0361137743689999E-3</v>
      </c>
    </row>
    <row r="153" spans="2:5" ht="15" customHeight="1">
      <c r="B153" s="90"/>
      <c r="C153" s="54" t="s">
        <v>188</v>
      </c>
      <c r="D153" s="55">
        <v>28</v>
      </c>
      <c r="E153" s="56">
        <v>1.4914243102159999E-3</v>
      </c>
    </row>
    <row r="154" spans="2:5" ht="15" customHeight="1">
      <c r="B154" s="90"/>
      <c r="C154" s="54" t="s">
        <v>217</v>
      </c>
      <c r="D154" s="55">
        <v>25</v>
      </c>
      <c r="E154" s="56">
        <v>1.3316288484070001E-3</v>
      </c>
    </row>
    <row r="155" spans="2:5" ht="15" customHeight="1">
      <c r="B155" s="90"/>
      <c r="C155" s="54" t="s">
        <v>191</v>
      </c>
      <c r="D155" s="55">
        <v>23</v>
      </c>
      <c r="E155" s="56">
        <v>1.225098540535E-3</v>
      </c>
    </row>
    <row r="156" spans="2:5" ht="15" customHeight="1">
      <c r="B156" s="90"/>
      <c r="C156" s="54" t="s">
        <v>219</v>
      </c>
      <c r="D156" s="55">
        <v>22</v>
      </c>
      <c r="E156" s="56">
        <v>1.1718333865980001E-3</v>
      </c>
    </row>
    <row r="157" spans="2:5" ht="15" customHeight="1">
      <c r="B157" s="90"/>
      <c r="C157" s="54" t="s">
        <v>199</v>
      </c>
      <c r="D157" s="55">
        <v>22</v>
      </c>
      <c r="E157" s="56">
        <v>1.1718333865980001E-3</v>
      </c>
    </row>
    <row r="158" spans="2:5" ht="15" customHeight="1">
      <c r="B158" s="90"/>
      <c r="C158" s="54" t="s">
        <v>218</v>
      </c>
      <c r="D158" s="55">
        <v>21</v>
      </c>
      <c r="E158" s="56">
        <v>1.118568232662E-3</v>
      </c>
    </row>
    <row r="159" spans="2:5" ht="15" customHeight="1">
      <c r="B159" s="90"/>
      <c r="C159" s="54" t="s">
        <v>213</v>
      </c>
      <c r="D159" s="55">
        <v>21</v>
      </c>
      <c r="E159" s="56">
        <v>1.118568232662E-3</v>
      </c>
    </row>
    <row r="160" spans="2:5" ht="15" customHeight="1">
      <c r="B160" s="90"/>
      <c r="C160" s="54" t="s">
        <v>211</v>
      </c>
      <c r="D160" s="55">
        <v>20</v>
      </c>
      <c r="E160" s="56">
        <v>1.065303078726E-3</v>
      </c>
    </row>
    <row r="161" spans="2:5" ht="15" customHeight="1">
      <c r="B161" s="90"/>
      <c r="C161" s="54" t="s">
        <v>216</v>
      </c>
      <c r="D161" s="55">
        <v>17</v>
      </c>
      <c r="E161" s="56">
        <v>9.0550761691699996E-4</v>
      </c>
    </row>
    <row r="162" spans="2:5" ht="15" customHeight="1">
      <c r="B162" s="90"/>
      <c r="C162" s="54" t="s">
        <v>198</v>
      </c>
      <c r="D162" s="55">
        <v>16</v>
      </c>
      <c r="E162" s="56">
        <v>8.5224246298100002E-4</v>
      </c>
    </row>
    <row r="163" spans="2:5" ht="15" customHeight="1">
      <c r="B163" s="90"/>
      <c r="C163" s="54" t="s">
        <v>231</v>
      </c>
      <c r="D163" s="55">
        <v>16</v>
      </c>
      <c r="E163" s="56">
        <v>8.5224246298100002E-4</v>
      </c>
    </row>
    <row r="164" spans="2:5" ht="15" customHeight="1">
      <c r="B164" s="90"/>
      <c r="C164" s="54" t="s">
        <v>201</v>
      </c>
      <c r="D164" s="55">
        <v>15</v>
      </c>
      <c r="E164" s="56">
        <v>7.98977309044E-4</v>
      </c>
    </row>
    <row r="165" spans="2:5" ht="15" customHeight="1">
      <c r="B165" s="90"/>
      <c r="C165" s="54" t="s">
        <v>229</v>
      </c>
      <c r="D165" s="55">
        <v>14</v>
      </c>
      <c r="E165" s="56">
        <v>7.4571215510799995E-4</v>
      </c>
    </row>
    <row r="166" spans="2:5" ht="15" customHeight="1">
      <c r="B166" s="90"/>
      <c r="C166" s="54" t="s">
        <v>207</v>
      </c>
      <c r="D166" s="55">
        <v>13</v>
      </c>
      <c r="E166" s="56">
        <v>6.92447001172E-4</v>
      </c>
    </row>
    <row r="167" spans="2:5" ht="15" customHeight="1">
      <c r="B167" s="90"/>
      <c r="C167" s="54" t="s">
        <v>196</v>
      </c>
      <c r="D167" s="55">
        <v>12</v>
      </c>
      <c r="E167" s="56">
        <v>6.3918184723599995E-4</v>
      </c>
    </row>
    <row r="168" spans="2:5" ht="15" customHeight="1">
      <c r="B168" s="90"/>
      <c r="C168" s="54" t="s">
        <v>193</v>
      </c>
      <c r="D168" s="55">
        <v>12</v>
      </c>
      <c r="E168" s="56">
        <v>6.3918184723599995E-4</v>
      </c>
    </row>
    <row r="169" spans="2:5" ht="15" customHeight="1">
      <c r="B169" s="90"/>
      <c r="C169" s="54" t="s">
        <v>215</v>
      </c>
      <c r="D169" s="55">
        <v>12</v>
      </c>
      <c r="E169" s="56">
        <v>6.3918184723599995E-4</v>
      </c>
    </row>
    <row r="170" spans="2:5" ht="15" customHeight="1">
      <c r="B170" s="90"/>
      <c r="C170" s="54" t="s">
        <v>205</v>
      </c>
      <c r="D170" s="55">
        <v>11</v>
      </c>
      <c r="E170" s="56">
        <v>5.8591669329900004E-4</v>
      </c>
    </row>
    <row r="171" spans="2:5" ht="15" customHeight="1">
      <c r="B171" s="90"/>
      <c r="C171" s="54" t="s">
        <v>190</v>
      </c>
      <c r="D171" s="55">
        <v>11</v>
      </c>
      <c r="E171" s="56">
        <v>5.8591669329900004E-4</v>
      </c>
    </row>
    <row r="172" spans="2:5" ht="15" customHeight="1">
      <c r="B172" s="90"/>
      <c r="C172" s="54" t="s">
        <v>186</v>
      </c>
      <c r="D172" s="55">
        <v>10</v>
      </c>
      <c r="E172" s="56">
        <v>5.3265153936299999E-4</v>
      </c>
    </row>
    <row r="173" spans="2:5" ht="15" customHeight="1">
      <c r="B173" s="90"/>
      <c r="C173" s="54" t="s">
        <v>227</v>
      </c>
      <c r="D173" s="55">
        <v>10</v>
      </c>
      <c r="E173" s="56">
        <v>5.3265153936299999E-4</v>
      </c>
    </row>
    <row r="174" spans="2:5" ht="15" customHeight="1">
      <c r="B174" s="90"/>
      <c r="C174" s="54" t="s">
        <v>202</v>
      </c>
      <c r="D174" s="55">
        <v>10</v>
      </c>
      <c r="E174" s="56">
        <v>5.3265153936299999E-4</v>
      </c>
    </row>
    <row r="175" spans="2:5" ht="15" customHeight="1">
      <c r="B175" s="90"/>
      <c r="C175" s="54" t="s">
        <v>222</v>
      </c>
      <c r="D175" s="55">
        <v>9</v>
      </c>
      <c r="E175" s="56">
        <v>4.7938638542699999E-4</v>
      </c>
    </row>
    <row r="176" spans="2:5" ht="15" customHeight="1">
      <c r="B176" s="90"/>
      <c r="C176" s="54" t="s">
        <v>208</v>
      </c>
      <c r="D176" s="55">
        <v>9</v>
      </c>
      <c r="E176" s="56">
        <v>4.7938638542699999E-4</v>
      </c>
    </row>
    <row r="177" spans="2:5" ht="15" customHeight="1">
      <c r="B177" s="90"/>
      <c r="C177" s="54" t="s">
        <v>200</v>
      </c>
      <c r="D177" s="55">
        <v>9</v>
      </c>
      <c r="E177" s="56">
        <v>4.7938638542699999E-4</v>
      </c>
    </row>
    <row r="178" spans="2:5" ht="15" customHeight="1">
      <c r="B178" s="90"/>
      <c r="C178" s="54" t="s">
        <v>195</v>
      </c>
      <c r="D178" s="55">
        <v>8</v>
      </c>
      <c r="E178" s="56">
        <v>4.2612123148999997E-4</v>
      </c>
    </row>
    <row r="179" spans="2:5" ht="15" customHeight="1">
      <c r="B179" s="90"/>
      <c r="C179" s="54" t="s">
        <v>214</v>
      </c>
      <c r="D179" s="55">
        <v>7</v>
      </c>
      <c r="E179" s="56">
        <v>3.7285607755399997E-4</v>
      </c>
    </row>
    <row r="180" spans="2:5" ht="15" customHeight="1">
      <c r="B180" s="90"/>
      <c r="C180" s="54" t="s">
        <v>238</v>
      </c>
      <c r="D180" s="55">
        <v>7</v>
      </c>
      <c r="E180" s="56">
        <v>3.7285607755399997E-4</v>
      </c>
    </row>
    <row r="181" spans="2:5" ht="15" customHeight="1">
      <c r="B181" s="90"/>
      <c r="C181" s="54" t="s">
        <v>209</v>
      </c>
      <c r="D181" s="55">
        <v>6</v>
      </c>
      <c r="E181" s="56">
        <v>3.1959092361799997E-4</v>
      </c>
    </row>
    <row r="182" spans="2:5" ht="15" customHeight="1">
      <c r="B182" s="90"/>
      <c r="C182" s="54" t="s">
        <v>220</v>
      </c>
      <c r="D182" s="55">
        <v>6</v>
      </c>
      <c r="E182" s="56">
        <v>3.1959092361799997E-4</v>
      </c>
    </row>
    <row r="183" spans="2:5" ht="15" customHeight="1">
      <c r="B183" s="90"/>
      <c r="C183" s="54" t="s">
        <v>204</v>
      </c>
      <c r="D183" s="55">
        <v>6</v>
      </c>
      <c r="E183" s="56">
        <v>3.1959092361799997E-4</v>
      </c>
    </row>
    <row r="184" spans="2:5" ht="15" customHeight="1">
      <c r="B184" s="90"/>
      <c r="C184" s="54" t="s">
        <v>242</v>
      </c>
      <c r="D184" s="55">
        <v>6</v>
      </c>
      <c r="E184" s="56">
        <v>3.1959092361799997E-4</v>
      </c>
    </row>
    <row r="185" spans="2:5" ht="15" customHeight="1">
      <c r="B185" s="90"/>
      <c r="C185" s="54" t="s">
        <v>226</v>
      </c>
      <c r="D185" s="55">
        <v>5</v>
      </c>
      <c r="E185" s="56">
        <v>2.6632576968100001E-4</v>
      </c>
    </row>
    <row r="186" spans="2:5" ht="15" customHeight="1">
      <c r="B186" s="90"/>
      <c r="C186" s="54" t="s">
        <v>241</v>
      </c>
      <c r="D186" s="55">
        <v>5</v>
      </c>
      <c r="E186" s="56">
        <v>2.6632576968100001E-4</v>
      </c>
    </row>
    <row r="187" spans="2:5" ht="15" customHeight="1">
      <c r="B187" s="90"/>
      <c r="C187" s="54" t="s">
        <v>203</v>
      </c>
      <c r="D187" s="55">
        <v>5</v>
      </c>
      <c r="E187" s="56">
        <v>2.6632576968100001E-4</v>
      </c>
    </row>
    <row r="188" spans="2:5" ht="15" customHeight="1">
      <c r="B188" s="90"/>
      <c r="C188" s="54" t="s">
        <v>210</v>
      </c>
      <c r="D188" s="55">
        <v>4</v>
      </c>
      <c r="E188" s="56">
        <v>2.1306061574499999E-4</v>
      </c>
    </row>
    <row r="189" spans="2:5" ht="15" customHeight="1">
      <c r="B189" s="90"/>
      <c r="C189" s="54" t="s">
        <v>212</v>
      </c>
      <c r="D189" s="55">
        <v>3</v>
      </c>
      <c r="E189" s="56">
        <v>1.5979546180899999E-4</v>
      </c>
    </row>
    <row r="190" spans="2:5" ht="15" customHeight="1">
      <c r="B190" s="90"/>
      <c r="C190" s="54" t="s">
        <v>236</v>
      </c>
      <c r="D190" s="55">
        <v>3</v>
      </c>
      <c r="E190" s="56">
        <v>1.5979546180899999E-4</v>
      </c>
    </row>
    <row r="191" spans="2:5" ht="15" customHeight="1">
      <c r="B191" s="90"/>
      <c r="C191" s="54" t="s">
        <v>234</v>
      </c>
      <c r="D191" s="55">
        <v>3</v>
      </c>
      <c r="E191" s="56">
        <v>1.5979546180899999E-4</v>
      </c>
    </row>
    <row r="192" spans="2:5" ht="15" customHeight="1">
      <c r="B192" s="90"/>
      <c r="C192" s="54" t="s">
        <v>225</v>
      </c>
      <c r="D192" s="55">
        <v>2</v>
      </c>
      <c r="E192" s="56">
        <v>1.06530307873E-4</v>
      </c>
    </row>
    <row r="193" spans="2:5" ht="15" customHeight="1">
      <c r="B193" s="90"/>
      <c r="C193" s="54" t="s">
        <v>197</v>
      </c>
      <c r="D193" s="55">
        <v>2</v>
      </c>
      <c r="E193" s="56">
        <v>1.06530307873E-4</v>
      </c>
    </row>
    <row r="194" spans="2:5" ht="15" customHeight="1">
      <c r="B194" s="90"/>
      <c r="C194" s="54" t="s">
        <v>224</v>
      </c>
      <c r="D194" s="55">
        <v>2</v>
      </c>
      <c r="E194" s="56">
        <v>1.06530307873E-4</v>
      </c>
    </row>
    <row r="195" spans="2:5" ht="15" customHeight="1">
      <c r="B195" s="90"/>
      <c r="C195" s="54" t="s">
        <v>239</v>
      </c>
      <c r="D195" s="55">
        <v>2</v>
      </c>
      <c r="E195" s="56">
        <v>1.06530307873E-4</v>
      </c>
    </row>
    <row r="196" spans="2:5" ht="15" customHeight="1">
      <c r="B196" s="90"/>
      <c r="C196" s="54" t="s">
        <v>223</v>
      </c>
      <c r="D196" s="55">
        <v>1</v>
      </c>
      <c r="E196" s="56">
        <v>5.3265153936E-5</v>
      </c>
    </row>
    <row r="197" spans="2:5" ht="15" customHeight="1">
      <c r="B197" s="90"/>
      <c r="C197" s="54" t="s">
        <v>246</v>
      </c>
      <c r="D197" s="55">
        <v>1</v>
      </c>
      <c r="E197" s="56">
        <v>5.3265153936E-5</v>
      </c>
    </row>
    <row r="198" spans="2:5" ht="15" customHeight="1">
      <c r="B198" s="90"/>
      <c r="C198" s="54" t="s">
        <v>233</v>
      </c>
      <c r="D198" s="55">
        <v>1</v>
      </c>
      <c r="E198" s="56">
        <v>5.3265153936E-5</v>
      </c>
    </row>
    <row r="199" spans="2:5" ht="15" customHeight="1">
      <c r="B199" s="90"/>
      <c r="C199" s="54" t="s">
        <v>235</v>
      </c>
      <c r="D199" s="55">
        <v>1</v>
      </c>
      <c r="E199" s="56">
        <v>5.3265153936E-5</v>
      </c>
    </row>
    <row r="200" spans="2:5" ht="15" customHeight="1">
      <c r="B200" s="90"/>
      <c r="C200" s="54" t="s">
        <v>240</v>
      </c>
      <c r="D200" s="55">
        <v>1</v>
      </c>
      <c r="E200" s="56">
        <v>5.3265153936E-5</v>
      </c>
    </row>
    <row r="201" spans="2:5" ht="15" customHeight="1">
      <c r="B201" s="90"/>
      <c r="C201" s="54" t="s">
        <v>221</v>
      </c>
      <c r="D201" s="55">
        <v>1</v>
      </c>
      <c r="E201" s="56">
        <v>5.3265153936E-5</v>
      </c>
    </row>
    <row r="202" spans="2:5" ht="15" customHeight="1">
      <c r="B202" s="90"/>
      <c r="C202" s="54" t="s">
        <v>230</v>
      </c>
      <c r="D202" s="55">
        <v>1</v>
      </c>
      <c r="E202" s="56">
        <v>5.3265153936E-5</v>
      </c>
    </row>
    <row r="203" spans="2:5" ht="15" customHeight="1">
      <c r="B203" s="91"/>
      <c r="C203" s="65" t="s">
        <v>321</v>
      </c>
      <c r="D203" s="64">
        <v>1918</v>
      </c>
      <c r="E203" s="66">
        <v>0.102162565249814</v>
      </c>
    </row>
    <row r="204" spans="2:5" ht="15" customHeight="1">
      <c r="B204" s="89" t="s">
        <v>134</v>
      </c>
      <c r="C204" s="54" t="s">
        <v>181</v>
      </c>
      <c r="D204" s="55">
        <v>397</v>
      </c>
      <c r="E204" s="56">
        <v>2.1146266112708999E-2</v>
      </c>
    </row>
    <row r="205" spans="2:5" ht="15" customHeight="1">
      <c r="B205" s="90"/>
      <c r="C205" s="54" t="s">
        <v>183</v>
      </c>
      <c r="D205" s="55">
        <v>224</v>
      </c>
      <c r="E205" s="56">
        <v>1.1931394481729999E-2</v>
      </c>
    </row>
    <row r="206" spans="2:5" ht="15" customHeight="1">
      <c r="B206" s="90"/>
      <c r="C206" s="54" t="s">
        <v>182</v>
      </c>
      <c r="D206" s="55">
        <v>215</v>
      </c>
      <c r="E206" s="56">
        <v>1.1452008096303E-2</v>
      </c>
    </row>
    <row r="207" spans="2:5" ht="15" customHeight="1">
      <c r="B207" s="90"/>
      <c r="C207" s="54" t="s">
        <v>184</v>
      </c>
      <c r="D207" s="55">
        <v>72</v>
      </c>
      <c r="E207" s="56">
        <v>3.8350910834130001E-3</v>
      </c>
    </row>
    <row r="208" spans="2:5" ht="15" customHeight="1">
      <c r="B208" s="90"/>
      <c r="C208" s="54" t="s">
        <v>203</v>
      </c>
      <c r="D208" s="55">
        <v>70</v>
      </c>
      <c r="E208" s="56">
        <v>3.728560775541E-3</v>
      </c>
    </row>
    <row r="209" spans="2:5" ht="15" customHeight="1">
      <c r="B209" s="90"/>
      <c r="C209" s="54" t="s">
        <v>193</v>
      </c>
      <c r="D209" s="55">
        <v>58</v>
      </c>
      <c r="E209" s="56">
        <v>3.089378928305E-3</v>
      </c>
    </row>
    <row r="210" spans="2:5" ht="15" customHeight="1">
      <c r="B210" s="90"/>
      <c r="C210" s="54" t="s">
        <v>191</v>
      </c>
      <c r="D210" s="55">
        <v>57</v>
      </c>
      <c r="E210" s="56">
        <v>3.0361137743689999E-3</v>
      </c>
    </row>
    <row r="211" spans="2:5" ht="15" customHeight="1">
      <c r="B211" s="90"/>
      <c r="C211" s="54" t="s">
        <v>187</v>
      </c>
      <c r="D211" s="55">
        <v>53</v>
      </c>
      <c r="E211" s="56">
        <v>2.8230531586240001E-3</v>
      </c>
    </row>
    <row r="212" spans="2:5" ht="15" customHeight="1">
      <c r="B212" s="90"/>
      <c r="C212" s="54" t="s">
        <v>190</v>
      </c>
      <c r="D212" s="55">
        <v>46</v>
      </c>
      <c r="E212" s="56">
        <v>2.45019708107E-3</v>
      </c>
    </row>
    <row r="213" spans="2:5" ht="15" customHeight="1">
      <c r="B213" s="90"/>
      <c r="C213" s="54" t="s">
        <v>185</v>
      </c>
      <c r="D213" s="55">
        <v>38</v>
      </c>
      <c r="E213" s="56">
        <v>2.0240758495790002E-3</v>
      </c>
    </row>
    <row r="214" spans="2:5" ht="15" customHeight="1">
      <c r="B214" s="90"/>
      <c r="C214" s="54" t="s">
        <v>238</v>
      </c>
      <c r="D214" s="55">
        <v>31</v>
      </c>
      <c r="E214" s="56">
        <v>1.6512197720249999E-3</v>
      </c>
    </row>
    <row r="215" spans="2:5" ht="15" customHeight="1">
      <c r="B215" s="90"/>
      <c r="C215" s="54" t="s">
        <v>188</v>
      </c>
      <c r="D215" s="55">
        <v>19</v>
      </c>
      <c r="E215" s="56">
        <v>1.0120379247899999E-3</v>
      </c>
    </row>
    <row r="216" spans="2:5" ht="15" customHeight="1">
      <c r="B216" s="90"/>
      <c r="C216" s="54" t="s">
        <v>192</v>
      </c>
      <c r="D216" s="55">
        <v>19</v>
      </c>
      <c r="E216" s="56">
        <v>1.0120379247899999E-3</v>
      </c>
    </row>
    <row r="217" spans="2:5" ht="15" customHeight="1">
      <c r="B217" s="90"/>
      <c r="C217" s="54" t="s">
        <v>196</v>
      </c>
      <c r="D217" s="55">
        <v>18</v>
      </c>
      <c r="E217" s="56">
        <v>9.5877277085300002E-4</v>
      </c>
    </row>
    <row r="218" spans="2:5" ht="15" customHeight="1">
      <c r="B218" s="90"/>
      <c r="C218" s="54" t="s">
        <v>216</v>
      </c>
      <c r="D218" s="55">
        <v>14</v>
      </c>
      <c r="E218" s="56">
        <v>7.4571215510799995E-4</v>
      </c>
    </row>
    <row r="219" spans="2:5" ht="15" customHeight="1">
      <c r="B219" s="90"/>
      <c r="C219" s="54" t="s">
        <v>195</v>
      </c>
      <c r="D219" s="55">
        <v>12</v>
      </c>
      <c r="E219" s="56">
        <v>6.3918184723599995E-4</v>
      </c>
    </row>
    <row r="220" spans="2:5" ht="15" customHeight="1">
      <c r="B220" s="90"/>
      <c r="C220" s="54" t="s">
        <v>218</v>
      </c>
      <c r="D220" s="55">
        <v>12</v>
      </c>
      <c r="E220" s="56">
        <v>6.3918184723599995E-4</v>
      </c>
    </row>
    <row r="221" spans="2:5" ht="15" customHeight="1">
      <c r="B221" s="90"/>
      <c r="C221" s="54" t="s">
        <v>189</v>
      </c>
      <c r="D221" s="55">
        <v>11</v>
      </c>
      <c r="E221" s="56">
        <v>5.8591669329900004E-4</v>
      </c>
    </row>
    <row r="222" spans="2:5" ht="15" customHeight="1">
      <c r="B222" s="90"/>
      <c r="C222" s="54" t="s">
        <v>194</v>
      </c>
      <c r="D222" s="55">
        <v>10</v>
      </c>
      <c r="E222" s="56">
        <v>5.3265153936299999E-4</v>
      </c>
    </row>
    <row r="223" spans="2:5" ht="15" customHeight="1">
      <c r="B223" s="90"/>
      <c r="C223" s="54" t="s">
        <v>227</v>
      </c>
      <c r="D223" s="55">
        <v>10</v>
      </c>
      <c r="E223" s="56">
        <v>5.3265153936299999E-4</v>
      </c>
    </row>
    <row r="224" spans="2:5" ht="15" customHeight="1">
      <c r="B224" s="90"/>
      <c r="C224" s="54" t="s">
        <v>215</v>
      </c>
      <c r="D224" s="55">
        <v>9</v>
      </c>
      <c r="E224" s="56">
        <v>4.7938638542699999E-4</v>
      </c>
    </row>
    <row r="225" spans="2:5" ht="15" customHeight="1">
      <c r="B225" s="90"/>
      <c r="C225" s="54" t="s">
        <v>236</v>
      </c>
      <c r="D225" s="55">
        <v>9</v>
      </c>
      <c r="E225" s="56">
        <v>4.7938638542699999E-4</v>
      </c>
    </row>
    <row r="226" spans="2:5" ht="15" customHeight="1">
      <c r="B226" s="90"/>
      <c r="C226" s="54" t="s">
        <v>202</v>
      </c>
      <c r="D226" s="55">
        <v>8</v>
      </c>
      <c r="E226" s="56">
        <v>4.2612123148999997E-4</v>
      </c>
    </row>
    <row r="227" spans="2:5" ht="15" customHeight="1">
      <c r="B227" s="90"/>
      <c r="C227" s="54" t="s">
        <v>201</v>
      </c>
      <c r="D227" s="55">
        <v>7</v>
      </c>
      <c r="E227" s="56">
        <v>3.7285607755399997E-4</v>
      </c>
    </row>
    <row r="228" spans="2:5" ht="15" customHeight="1">
      <c r="B228" s="90"/>
      <c r="C228" s="54" t="s">
        <v>231</v>
      </c>
      <c r="D228" s="55">
        <v>6</v>
      </c>
      <c r="E228" s="56">
        <v>3.1959092361799997E-4</v>
      </c>
    </row>
    <row r="229" spans="2:5" ht="15" customHeight="1">
      <c r="B229" s="90"/>
      <c r="C229" s="54" t="s">
        <v>214</v>
      </c>
      <c r="D229" s="55">
        <v>5</v>
      </c>
      <c r="E229" s="56">
        <v>2.6632576968100001E-4</v>
      </c>
    </row>
    <row r="230" spans="2:5" ht="15" customHeight="1">
      <c r="B230" s="90"/>
      <c r="C230" s="54" t="s">
        <v>213</v>
      </c>
      <c r="D230" s="55">
        <v>5</v>
      </c>
      <c r="E230" s="56">
        <v>2.6632576968100001E-4</v>
      </c>
    </row>
    <row r="231" spans="2:5" ht="15" customHeight="1">
      <c r="B231" s="90"/>
      <c r="C231" s="54" t="s">
        <v>200</v>
      </c>
      <c r="D231" s="55">
        <v>5</v>
      </c>
      <c r="E231" s="56">
        <v>2.6632576968100001E-4</v>
      </c>
    </row>
    <row r="232" spans="2:5" ht="15" customHeight="1">
      <c r="B232" s="90"/>
      <c r="C232" s="54" t="s">
        <v>210</v>
      </c>
      <c r="D232" s="55">
        <v>4</v>
      </c>
      <c r="E232" s="56">
        <v>2.1306061574499999E-4</v>
      </c>
    </row>
    <row r="233" spans="2:5" ht="15" customHeight="1">
      <c r="B233" s="90"/>
      <c r="C233" s="54" t="s">
        <v>221</v>
      </c>
      <c r="D233" s="55">
        <v>4</v>
      </c>
      <c r="E233" s="56">
        <v>2.1306061574499999E-4</v>
      </c>
    </row>
    <row r="234" spans="2:5" ht="15" customHeight="1">
      <c r="B234" s="90"/>
      <c r="C234" s="54" t="s">
        <v>204</v>
      </c>
      <c r="D234" s="55">
        <v>4</v>
      </c>
      <c r="E234" s="56">
        <v>2.1306061574499999E-4</v>
      </c>
    </row>
    <row r="235" spans="2:5" ht="15" customHeight="1">
      <c r="B235" s="90"/>
      <c r="C235" s="54" t="s">
        <v>217</v>
      </c>
      <c r="D235" s="55">
        <v>3</v>
      </c>
      <c r="E235" s="56">
        <v>1.5979546180899999E-4</v>
      </c>
    </row>
    <row r="236" spans="2:5" ht="15" customHeight="1">
      <c r="B236" s="90"/>
      <c r="C236" s="54" t="s">
        <v>223</v>
      </c>
      <c r="D236" s="55">
        <v>3</v>
      </c>
      <c r="E236" s="56">
        <v>1.5979546180899999E-4</v>
      </c>
    </row>
    <row r="237" spans="2:5" ht="15" customHeight="1">
      <c r="B237" s="90"/>
      <c r="C237" s="54" t="s">
        <v>207</v>
      </c>
      <c r="D237" s="55">
        <v>3</v>
      </c>
      <c r="E237" s="56">
        <v>1.5979546180899999E-4</v>
      </c>
    </row>
    <row r="238" spans="2:5" ht="15" customHeight="1">
      <c r="B238" s="90"/>
      <c r="C238" s="54" t="s">
        <v>219</v>
      </c>
      <c r="D238" s="55">
        <v>3</v>
      </c>
      <c r="E238" s="56">
        <v>1.5979546180899999E-4</v>
      </c>
    </row>
    <row r="239" spans="2:5" ht="15" customHeight="1">
      <c r="B239" s="90"/>
      <c r="C239" s="54" t="s">
        <v>199</v>
      </c>
      <c r="D239" s="55">
        <v>3</v>
      </c>
      <c r="E239" s="56">
        <v>1.5979546180899999E-4</v>
      </c>
    </row>
    <row r="240" spans="2:5" ht="15" customHeight="1">
      <c r="B240" s="90"/>
      <c r="C240" s="54" t="s">
        <v>211</v>
      </c>
      <c r="D240" s="55">
        <v>2</v>
      </c>
      <c r="E240" s="56">
        <v>1.06530307873E-4</v>
      </c>
    </row>
    <row r="241" spans="2:5" ht="15" customHeight="1">
      <c r="B241" s="90"/>
      <c r="C241" s="54" t="s">
        <v>222</v>
      </c>
      <c r="D241" s="55">
        <v>2</v>
      </c>
      <c r="E241" s="56">
        <v>1.06530307873E-4</v>
      </c>
    </row>
    <row r="242" spans="2:5" ht="15" customHeight="1">
      <c r="B242" s="90"/>
      <c r="C242" s="54" t="s">
        <v>198</v>
      </c>
      <c r="D242" s="55">
        <v>2</v>
      </c>
      <c r="E242" s="56">
        <v>1.06530307873E-4</v>
      </c>
    </row>
    <row r="243" spans="2:5" ht="15" customHeight="1">
      <c r="B243" s="90"/>
      <c r="C243" s="54" t="s">
        <v>197</v>
      </c>
      <c r="D243" s="55">
        <v>2</v>
      </c>
      <c r="E243" s="56">
        <v>1.06530307873E-4</v>
      </c>
    </row>
    <row r="244" spans="2:5" ht="15" customHeight="1">
      <c r="B244" s="90"/>
      <c r="C244" s="54" t="s">
        <v>246</v>
      </c>
      <c r="D244" s="55">
        <v>2</v>
      </c>
      <c r="E244" s="56">
        <v>1.06530307873E-4</v>
      </c>
    </row>
    <row r="245" spans="2:5" ht="15" customHeight="1">
      <c r="B245" s="90"/>
      <c r="C245" s="54" t="s">
        <v>229</v>
      </c>
      <c r="D245" s="55">
        <v>2</v>
      </c>
      <c r="E245" s="56">
        <v>1.06530307873E-4</v>
      </c>
    </row>
    <row r="246" spans="2:5" ht="15" customHeight="1">
      <c r="B246" s="90"/>
      <c r="C246" s="54" t="s">
        <v>226</v>
      </c>
      <c r="D246" s="55">
        <v>2</v>
      </c>
      <c r="E246" s="56">
        <v>1.06530307873E-4</v>
      </c>
    </row>
    <row r="247" spans="2:5" ht="15" customHeight="1">
      <c r="B247" s="90"/>
      <c r="C247" s="54" t="s">
        <v>186</v>
      </c>
      <c r="D247" s="55">
        <v>2</v>
      </c>
      <c r="E247" s="56">
        <v>1.06530307873E-4</v>
      </c>
    </row>
    <row r="248" spans="2:5" ht="15" customHeight="1">
      <c r="B248" s="90"/>
      <c r="C248" s="54" t="s">
        <v>230</v>
      </c>
      <c r="D248" s="55">
        <v>2</v>
      </c>
      <c r="E248" s="56">
        <v>1.06530307873E-4</v>
      </c>
    </row>
    <row r="249" spans="2:5" ht="15" customHeight="1">
      <c r="B249" s="90"/>
      <c r="C249" s="54" t="s">
        <v>208</v>
      </c>
      <c r="D249" s="55">
        <v>2</v>
      </c>
      <c r="E249" s="56">
        <v>1.06530307873E-4</v>
      </c>
    </row>
    <row r="250" spans="2:5" ht="15" customHeight="1">
      <c r="B250" s="90"/>
      <c r="C250" s="54" t="s">
        <v>232</v>
      </c>
      <c r="D250" s="55">
        <v>1</v>
      </c>
      <c r="E250" s="56">
        <v>5.3265153936E-5</v>
      </c>
    </row>
    <row r="251" spans="2:5" ht="15" customHeight="1">
      <c r="B251" s="90"/>
      <c r="C251" s="54" t="s">
        <v>228</v>
      </c>
      <c r="D251" s="55">
        <v>1</v>
      </c>
      <c r="E251" s="56">
        <v>5.3265153936E-5</v>
      </c>
    </row>
    <row r="252" spans="2:5" ht="15" customHeight="1">
      <c r="B252" s="90"/>
      <c r="C252" s="54" t="s">
        <v>225</v>
      </c>
      <c r="D252" s="55">
        <v>1</v>
      </c>
      <c r="E252" s="56">
        <v>5.3265153936E-5</v>
      </c>
    </row>
    <row r="253" spans="2:5" ht="15" customHeight="1">
      <c r="B253" s="90"/>
      <c r="C253" s="54" t="s">
        <v>235</v>
      </c>
      <c r="D253" s="55">
        <v>1</v>
      </c>
      <c r="E253" s="56">
        <v>5.3265153936E-5</v>
      </c>
    </row>
    <row r="254" spans="2:5" ht="15" customHeight="1">
      <c r="B254" s="90"/>
      <c r="C254" s="54" t="s">
        <v>241</v>
      </c>
      <c r="D254" s="55">
        <v>1</v>
      </c>
      <c r="E254" s="56">
        <v>5.3265153936E-5</v>
      </c>
    </row>
    <row r="255" spans="2:5" ht="15" customHeight="1">
      <c r="B255" s="90"/>
      <c r="C255" s="54" t="s">
        <v>220</v>
      </c>
      <c r="D255" s="55">
        <v>1</v>
      </c>
      <c r="E255" s="56">
        <v>5.3265153936E-5</v>
      </c>
    </row>
    <row r="256" spans="2:5" ht="15" customHeight="1">
      <c r="B256" s="90"/>
      <c r="C256" s="54" t="s">
        <v>237</v>
      </c>
      <c r="D256" s="55">
        <v>1</v>
      </c>
      <c r="E256" s="56">
        <v>5.3265153936E-5</v>
      </c>
    </row>
    <row r="257" spans="2:5" ht="15" customHeight="1">
      <c r="B257" s="90"/>
      <c r="C257" s="54" t="s">
        <v>239</v>
      </c>
      <c r="D257" s="55">
        <v>1</v>
      </c>
      <c r="E257" s="56">
        <v>5.3265153936E-5</v>
      </c>
    </row>
    <row r="258" spans="2:5" ht="15" customHeight="1">
      <c r="B258" s="91"/>
      <c r="C258" s="65" t="s">
        <v>321</v>
      </c>
      <c r="D258" s="64">
        <v>1495</v>
      </c>
      <c r="E258" s="66">
        <v>7.9631405134760996E-2</v>
      </c>
    </row>
    <row r="259" spans="2:5" ht="15" customHeight="1">
      <c r="B259" s="89" t="s">
        <v>135</v>
      </c>
      <c r="C259" s="54" t="s">
        <v>181</v>
      </c>
      <c r="D259" s="55">
        <v>361</v>
      </c>
      <c r="E259" s="56">
        <v>1.9228720571002E-2</v>
      </c>
    </row>
    <row r="260" spans="2:5" ht="15" customHeight="1">
      <c r="B260" s="90"/>
      <c r="C260" s="54" t="s">
        <v>182</v>
      </c>
      <c r="D260" s="55">
        <v>238</v>
      </c>
      <c r="E260" s="56">
        <v>1.2677106636837999E-2</v>
      </c>
    </row>
    <row r="261" spans="2:5" ht="15" customHeight="1">
      <c r="B261" s="90"/>
      <c r="C261" s="54" t="s">
        <v>183</v>
      </c>
      <c r="D261" s="55">
        <v>74</v>
      </c>
      <c r="E261" s="56">
        <v>3.9416213912860003E-3</v>
      </c>
    </row>
    <row r="262" spans="2:5" ht="15" customHeight="1">
      <c r="B262" s="90"/>
      <c r="C262" s="54" t="s">
        <v>185</v>
      </c>
      <c r="D262" s="55">
        <v>67</v>
      </c>
      <c r="E262" s="56">
        <v>3.5687653137319998E-3</v>
      </c>
    </row>
    <row r="263" spans="2:5" ht="15" customHeight="1">
      <c r="B263" s="90"/>
      <c r="C263" s="54" t="s">
        <v>207</v>
      </c>
      <c r="D263" s="55">
        <v>51</v>
      </c>
      <c r="E263" s="56">
        <v>2.7165228507509999E-3</v>
      </c>
    </row>
    <row r="264" spans="2:5" ht="15" customHeight="1">
      <c r="B264" s="90"/>
      <c r="C264" s="54" t="s">
        <v>184</v>
      </c>
      <c r="D264" s="55">
        <v>35</v>
      </c>
      <c r="E264" s="56">
        <v>1.86428038777E-3</v>
      </c>
    </row>
    <row r="265" spans="2:5" ht="15" customHeight="1">
      <c r="B265" s="90"/>
      <c r="C265" s="54" t="s">
        <v>190</v>
      </c>
      <c r="D265" s="55">
        <v>22</v>
      </c>
      <c r="E265" s="56">
        <v>1.1718333865980001E-3</v>
      </c>
    </row>
    <row r="266" spans="2:5" ht="15" customHeight="1">
      <c r="B266" s="90"/>
      <c r="C266" s="54" t="s">
        <v>187</v>
      </c>
      <c r="D266" s="55">
        <v>22</v>
      </c>
      <c r="E266" s="56">
        <v>1.1718333865980001E-3</v>
      </c>
    </row>
    <row r="267" spans="2:5" ht="15" customHeight="1">
      <c r="B267" s="90"/>
      <c r="C267" s="54" t="s">
        <v>202</v>
      </c>
      <c r="D267" s="55">
        <v>18</v>
      </c>
      <c r="E267" s="56">
        <v>9.5877277085300002E-4</v>
      </c>
    </row>
    <row r="268" spans="2:5" ht="15" customHeight="1">
      <c r="B268" s="90"/>
      <c r="C268" s="54" t="s">
        <v>196</v>
      </c>
      <c r="D268" s="55">
        <v>17</v>
      </c>
      <c r="E268" s="56">
        <v>9.0550761691699996E-4</v>
      </c>
    </row>
    <row r="269" spans="2:5" ht="15" customHeight="1">
      <c r="B269" s="90"/>
      <c r="C269" s="54" t="s">
        <v>188</v>
      </c>
      <c r="D269" s="55">
        <v>17</v>
      </c>
      <c r="E269" s="56">
        <v>9.0550761691699996E-4</v>
      </c>
    </row>
    <row r="270" spans="2:5" ht="15" customHeight="1">
      <c r="B270" s="90"/>
      <c r="C270" s="54" t="s">
        <v>214</v>
      </c>
      <c r="D270" s="55">
        <v>16</v>
      </c>
      <c r="E270" s="56">
        <v>8.5224246298100002E-4</v>
      </c>
    </row>
    <row r="271" spans="2:5" ht="15" customHeight="1">
      <c r="B271" s="90"/>
      <c r="C271" s="54" t="s">
        <v>200</v>
      </c>
      <c r="D271" s="55">
        <v>14</v>
      </c>
      <c r="E271" s="56">
        <v>7.4571215510799995E-4</v>
      </c>
    </row>
    <row r="272" spans="2:5" ht="15" customHeight="1">
      <c r="B272" s="90"/>
      <c r="C272" s="54" t="s">
        <v>201</v>
      </c>
      <c r="D272" s="55">
        <v>13</v>
      </c>
      <c r="E272" s="56">
        <v>6.92447001172E-4</v>
      </c>
    </row>
    <row r="273" spans="2:5" ht="15" customHeight="1">
      <c r="B273" s="90"/>
      <c r="C273" s="54" t="s">
        <v>236</v>
      </c>
      <c r="D273" s="55">
        <v>13</v>
      </c>
      <c r="E273" s="56">
        <v>6.92447001172E-4</v>
      </c>
    </row>
    <row r="274" spans="2:5" ht="15" customHeight="1">
      <c r="B274" s="90"/>
      <c r="C274" s="54" t="s">
        <v>192</v>
      </c>
      <c r="D274" s="55">
        <v>13</v>
      </c>
      <c r="E274" s="56">
        <v>6.92447001172E-4</v>
      </c>
    </row>
    <row r="275" spans="2:5" ht="15" customHeight="1">
      <c r="B275" s="90"/>
      <c r="C275" s="54" t="s">
        <v>191</v>
      </c>
      <c r="D275" s="55">
        <v>13</v>
      </c>
      <c r="E275" s="56">
        <v>6.92447001172E-4</v>
      </c>
    </row>
    <row r="276" spans="2:5" ht="15" customHeight="1">
      <c r="B276" s="90"/>
      <c r="C276" s="54" t="s">
        <v>189</v>
      </c>
      <c r="D276" s="55">
        <v>12</v>
      </c>
      <c r="E276" s="56">
        <v>6.3918184723599995E-4</v>
      </c>
    </row>
    <row r="277" spans="2:5" ht="15" customHeight="1">
      <c r="B277" s="90"/>
      <c r="C277" s="54" t="s">
        <v>194</v>
      </c>
      <c r="D277" s="55">
        <v>12</v>
      </c>
      <c r="E277" s="56">
        <v>6.3918184723599995E-4</v>
      </c>
    </row>
    <row r="278" spans="2:5" ht="15" customHeight="1">
      <c r="B278" s="90"/>
      <c r="C278" s="54" t="s">
        <v>208</v>
      </c>
      <c r="D278" s="55">
        <v>12</v>
      </c>
      <c r="E278" s="56">
        <v>6.3918184723599995E-4</v>
      </c>
    </row>
    <row r="279" spans="2:5" ht="15" customHeight="1">
      <c r="B279" s="90"/>
      <c r="C279" s="54" t="s">
        <v>242</v>
      </c>
      <c r="D279" s="55">
        <v>10</v>
      </c>
      <c r="E279" s="56">
        <v>5.3265153936299999E-4</v>
      </c>
    </row>
    <row r="280" spans="2:5" ht="15" customHeight="1">
      <c r="B280" s="90"/>
      <c r="C280" s="54" t="s">
        <v>247</v>
      </c>
      <c r="D280" s="55">
        <v>9</v>
      </c>
      <c r="E280" s="56">
        <v>4.7938638542699999E-4</v>
      </c>
    </row>
    <row r="281" spans="2:5" ht="15" customHeight="1">
      <c r="B281" s="90"/>
      <c r="C281" s="54" t="s">
        <v>198</v>
      </c>
      <c r="D281" s="55">
        <v>8</v>
      </c>
      <c r="E281" s="56">
        <v>4.2612123148999997E-4</v>
      </c>
    </row>
    <row r="282" spans="2:5" ht="15" customHeight="1">
      <c r="B282" s="90"/>
      <c r="C282" s="54" t="s">
        <v>199</v>
      </c>
      <c r="D282" s="55">
        <v>8</v>
      </c>
      <c r="E282" s="56">
        <v>4.2612123148999997E-4</v>
      </c>
    </row>
    <row r="283" spans="2:5" ht="15" customHeight="1">
      <c r="B283" s="90"/>
      <c r="C283" s="54" t="s">
        <v>240</v>
      </c>
      <c r="D283" s="55">
        <v>7</v>
      </c>
      <c r="E283" s="56">
        <v>3.7285607755399997E-4</v>
      </c>
    </row>
    <row r="284" spans="2:5" ht="15" customHeight="1">
      <c r="B284" s="90"/>
      <c r="C284" s="54" t="s">
        <v>206</v>
      </c>
      <c r="D284" s="55">
        <v>6</v>
      </c>
      <c r="E284" s="56">
        <v>3.1959092361799997E-4</v>
      </c>
    </row>
    <row r="285" spans="2:5" ht="15" customHeight="1">
      <c r="B285" s="90"/>
      <c r="C285" s="54" t="s">
        <v>219</v>
      </c>
      <c r="D285" s="55">
        <v>6</v>
      </c>
      <c r="E285" s="56">
        <v>3.1959092361799997E-4</v>
      </c>
    </row>
    <row r="286" spans="2:5" ht="15" customHeight="1">
      <c r="B286" s="90"/>
      <c r="C286" s="54" t="s">
        <v>243</v>
      </c>
      <c r="D286" s="55">
        <v>5</v>
      </c>
      <c r="E286" s="56">
        <v>2.6632576968100001E-4</v>
      </c>
    </row>
    <row r="287" spans="2:5" ht="15" customHeight="1">
      <c r="B287" s="90"/>
      <c r="C287" s="54" t="s">
        <v>225</v>
      </c>
      <c r="D287" s="55">
        <v>5</v>
      </c>
      <c r="E287" s="56">
        <v>2.6632576968100001E-4</v>
      </c>
    </row>
    <row r="288" spans="2:5" ht="15" customHeight="1">
      <c r="B288" s="90"/>
      <c r="C288" s="54" t="s">
        <v>197</v>
      </c>
      <c r="D288" s="55">
        <v>5</v>
      </c>
      <c r="E288" s="56">
        <v>2.6632576968100001E-4</v>
      </c>
    </row>
    <row r="289" spans="2:5" ht="15" customHeight="1">
      <c r="B289" s="90"/>
      <c r="C289" s="54" t="s">
        <v>193</v>
      </c>
      <c r="D289" s="55">
        <v>5</v>
      </c>
      <c r="E289" s="56">
        <v>2.6632576968100001E-4</v>
      </c>
    </row>
    <row r="290" spans="2:5" ht="15" customHeight="1">
      <c r="B290" s="90"/>
      <c r="C290" s="54" t="s">
        <v>244</v>
      </c>
      <c r="D290" s="55">
        <v>5</v>
      </c>
      <c r="E290" s="56">
        <v>2.6632576968100001E-4</v>
      </c>
    </row>
    <row r="291" spans="2:5" ht="15" customHeight="1">
      <c r="B291" s="90"/>
      <c r="C291" s="54" t="s">
        <v>213</v>
      </c>
      <c r="D291" s="55">
        <v>5</v>
      </c>
      <c r="E291" s="56">
        <v>2.6632576968100001E-4</v>
      </c>
    </row>
    <row r="292" spans="2:5" ht="15" customHeight="1">
      <c r="B292" s="90"/>
      <c r="C292" s="54" t="s">
        <v>245</v>
      </c>
      <c r="D292" s="55">
        <v>5</v>
      </c>
      <c r="E292" s="56">
        <v>2.6632576968100001E-4</v>
      </c>
    </row>
    <row r="293" spans="2:5" ht="15" customHeight="1">
      <c r="B293" s="90"/>
      <c r="C293" s="54" t="s">
        <v>221</v>
      </c>
      <c r="D293" s="55">
        <v>5</v>
      </c>
      <c r="E293" s="56">
        <v>2.6632576968100001E-4</v>
      </c>
    </row>
    <row r="294" spans="2:5" ht="15" customHeight="1">
      <c r="B294" s="90"/>
      <c r="C294" s="54" t="s">
        <v>195</v>
      </c>
      <c r="D294" s="55">
        <v>4</v>
      </c>
      <c r="E294" s="56">
        <v>2.1306061574499999E-4</v>
      </c>
    </row>
    <row r="295" spans="2:5" ht="15" customHeight="1">
      <c r="B295" s="90"/>
      <c r="C295" s="54" t="s">
        <v>216</v>
      </c>
      <c r="D295" s="55">
        <v>4</v>
      </c>
      <c r="E295" s="56">
        <v>2.1306061574499999E-4</v>
      </c>
    </row>
    <row r="296" spans="2:5" ht="15" customHeight="1">
      <c r="B296" s="90"/>
      <c r="C296" s="54" t="s">
        <v>222</v>
      </c>
      <c r="D296" s="55">
        <v>4</v>
      </c>
      <c r="E296" s="56">
        <v>2.1306061574499999E-4</v>
      </c>
    </row>
    <row r="297" spans="2:5" ht="15" customHeight="1">
      <c r="B297" s="90"/>
      <c r="C297" s="54" t="s">
        <v>217</v>
      </c>
      <c r="D297" s="55">
        <v>4</v>
      </c>
      <c r="E297" s="56">
        <v>2.1306061574499999E-4</v>
      </c>
    </row>
    <row r="298" spans="2:5" ht="15" customHeight="1">
      <c r="B298" s="90"/>
      <c r="C298" s="54" t="s">
        <v>209</v>
      </c>
      <c r="D298" s="55">
        <v>4</v>
      </c>
      <c r="E298" s="56">
        <v>2.1306061574499999E-4</v>
      </c>
    </row>
    <row r="299" spans="2:5" ht="15" customHeight="1">
      <c r="B299" s="90"/>
      <c r="C299" s="54" t="s">
        <v>237</v>
      </c>
      <c r="D299" s="55">
        <v>4</v>
      </c>
      <c r="E299" s="56">
        <v>2.1306061574499999E-4</v>
      </c>
    </row>
    <row r="300" spans="2:5" ht="15" customHeight="1">
      <c r="B300" s="90"/>
      <c r="C300" s="54" t="s">
        <v>232</v>
      </c>
      <c r="D300" s="55">
        <v>3</v>
      </c>
      <c r="E300" s="56">
        <v>1.5979546180899999E-4</v>
      </c>
    </row>
    <row r="301" spans="2:5" ht="15" customHeight="1">
      <c r="B301" s="90"/>
      <c r="C301" s="54" t="s">
        <v>218</v>
      </c>
      <c r="D301" s="55">
        <v>3</v>
      </c>
      <c r="E301" s="56">
        <v>1.5979546180899999E-4</v>
      </c>
    </row>
    <row r="302" spans="2:5" ht="15" customHeight="1">
      <c r="B302" s="90"/>
      <c r="C302" s="54" t="s">
        <v>234</v>
      </c>
      <c r="D302" s="55">
        <v>3</v>
      </c>
      <c r="E302" s="56">
        <v>1.5979546180899999E-4</v>
      </c>
    </row>
    <row r="303" spans="2:5" ht="15" customHeight="1">
      <c r="B303" s="90"/>
      <c r="C303" s="54" t="s">
        <v>203</v>
      </c>
      <c r="D303" s="55">
        <v>3</v>
      </c>
      <c r="E303" s="56">
        <v>1.5979546180899999E-4</v>
      </c>
    </row>
    <row r="304" spans="2:5" ht="15" customHeight="1">
      <c r="B304" s="90"/>
      <c r="C304" s="54" t="s">
        <v>231</v>
      </c>
      <c r="D304" s="55">
        <v>3</v>
      </c>
      <c r="E304" s="56">
        <v>1.5979546180899999E-4</v>
      </c>
    </row>
    <row r="305" spans="2:5" ht="15" customHeight="1">
      <c r="B305" s="90"/>
      <c r="C305" s="54" t="s">
        <v>205</v>
      </c>
      <c r="D305" s="55">
        <v>2</v>
      </c>
      <c r="E305" s="56">
        <v>1.06530307873E-4</v>
      </c>
    </row>
    <row r="306" spans="2:5" ht="15" customHeight="1">
      <c r="B306" s="90"/>
      <c r="C306" s="54" t="s">
        <v>211</v>
      </c>
      <c r="D306" s="55">
        <v>2</v>
      </c>
      <c r="E306" s="56">
        <v>1.06530307873E-4</v>
      </c>
    </row>
    <row r="307" spans="2:5" ht="15" customHeight="1">
      <c r="B307" s="90"/>
      <c r="C307" s="54" t="s">
        <v>212</v>
      </c>
      <c r="D307" s="55">
        <v>2</v>
      </c>
      <c r="E307" s="56">
        <v>1.06530307873E-4</v>
      </c>
    </row>
    <row r="308" spans="2:5" ht="15" customHeight="1">
      <c r="B308" s="90"/>
      <c r="C308" s="54" t="s">
        <v>235</v>
      </c>
      <c r="D308" s="55">
        <v>2</v>
      </c>
      <c r="E308" s="56">
        <v>1.06530307873E-4</v>
      </c>
    </row>
    <row r="309" spans="2:5" ht="15" customHeight="1">
      <c r="B309" s="90"/>
      <c r="C309" s="54" t="s">
        <v>210</v>
      </c>
      <c r="D309" s="55">
        <v>2</v>
      </c>
      <c r="E309" s="56">
        <v>1.06530307873E-4</v>
      </c>
    </row>
    <row r="310" spans="2:5" ht="15" customHeight="1">
      <c r="B310" s="90"/>
      <c r="C310" s="54" t="s">
        <v>229</v>
      </c>
      <c r="D310" s="55">
        <v>2</v>
      </c>
      <c r="E310" s="56">
        <v>1.06530307873E-4</v>
      </c>
    </row>
    <row r="311" spans="2:5" ht="15" customHeight="1">
      <c r="B311" s="90"/>
      <c r="C311" s="54" t="s">
        <v>224</v>
      </c>
      <c r="D311" s="55">
        <v>2</v>
      </c>
      <c r="E311" s="56">
        <v>1.06530307873E-4</v>
      </c>
    </row>
    <row r="312" spans="2:5" ht="15" customHeight="1">
      <c r="B312" s="90"/>
      <c r="C312" s="54" t="s">
        <v>239</v>
      </c>
      <c r="D312" s="55">
        <v>2</v>
      </c>
      <c r="E312" s="56">
        <v>1.06530307873E-4</v>
      </c>
    </row>
    <row r="313" spans="2:5" ht="15" customHeight="1">
      <c r="B313" s="90"/>
      <c r="C313" s="54" t="s">
        <v>228</v>
      </c>
      <c r="D313" s="55">
        <v>1</v>
      </c>
      <c r="E313" s="56">
        <v>5.3265153936E-5</v>
      </c>
    </row>
    <row r="314" spans="2:5" ht="15" customHeight="1">
      <c r="B314" s="90"/>
      <c r="C314" s="54" t="s">
        <v>233</v>
      </c>
      <c r="D314" s="55">
        <v>1</v>
      </c>
      <c r="E314" s="56">
        <v>5.3265153936E-5</v>
      </c>
    </row>
    <row r="315" spans="2:5" ht="15" customHeight="1">
      <c r="B315" s="90"/>
      <c r="C315" s="54" t="s">
        <v>215</v>
      </c>
      <c r="D315" s="55">
        <v>1</v>
      </c>
      <c r="E315" s="56">
        <v>5.3265153936E-5</v>
      </c>
    </row>
    <row r="316" spans="2:5" ht="15" customHeight="1">
      <c r="B316" s="90"/>
      <c r="C316" s="54" t="s">
        <v>238</v>
      </c>
      <c r="D316" s="55">
        <v>1</v>
      </c>
      <c r="E316" s="56">
        <v>5.3265153936E-5</v>
      </c>
    </row>
    <row r="317" spans="2:5" ht="15" customHeight="1">
      <c r="B317" s="90"/>
      <c r="C317" s="54" t="s">
        <v>226</v>
      </c>
      <c r="D317" s="55">
        <v>1</v>
      </c>
      <c r="E317" s="56">
        <v>5.3265153936E-5</v>
      </c>
    </row>
    <row r="318" spans="2:5" ht="15" customHeight="1">
      <c r="B318" s="90"/>
      <c r="C318" s="54" t="s">
        <v>186</v>
      </c>
      <c r="D318" s="55">
        <v>1</v>
      </c>
      <c r="E318" s="56">
        <v>5.3265153936E-5</v>
      </c>
    </row>
    <row r="319" spans="2:5" ht="15" customHeight="1">
      <c r="B319" s="90"/>
      <c r="C319" s="54" t="s">
        <v>220</v>
      </c>
      <c r="D319" s="55">
        <v>1</v>
      </c>
      <c r="E319" s="56">
        <v>5.3265153936E-5</v>
      </c>
    </row>
    <row r="320" spans="2:5" ht="15" customHeight="1">
      <c r="B320" s="90"/>
      <c r="C320" s="54" t="s">
        <v>227</v>
      </c>
      <c r="D320" s="55">
        <v>1</v>
      </c>
      <c r="E320" s="56">
        <v>5.3265153936E-5</v>
      </c>
    </row>
    <row r="321" spans="2:5" ht="15" customHeight="1">
      <c r="B321" s="91"/>
      <c r="C321" s="65" t="s">
        <v>321</v>
      </c>
      <c r="D321" s="64">
        <v>1197</v>
      </c>
      <c r="E321" s="66">
        <v>6.3758389261744999E-2</v>
      </c>
    </row>
    <row r="322" spans="2:5" ht="15" customHeight="1">
      <c r="B322" s="89" t="s">
        <v>136</v>
      </c>
      <c r="C322" s="54" t="s">
        <v>187</v>
      </c>
      <c r="D322" s="55">
        <v>144</v>
      </c>
      <c r="E322" s="56">
        <v>7.6701821668260003E-3</v>
      </c>
    </row>
    <row r="323" spans="2:5" ht="15" customHeight="1">
      <c r="B323" s="90"/>
      <c r="C323" s="54" t="s">
        <v>181</v>
      </c>
      <c r="D323" s="55">
        <v>132</v>
      </c>
      <c r="E323" s="56">
        <v>7.0310003195910003E-3</v>
      </c>
    </row>
    <row r="324" spans="2:5" ht="15" customHeight="1">
      <c r="B324" s="90"/>
      <c r="C324" s="54" t="s">
        <v>182</v>
      </c>
      <c r="D324" s="55">
        <v>129</v>
      </c>
      <c r="E324" s="56">
        <v>6.8712048577819996E-3</v>
      </c>
    </row>
    <row r="325" spans="2:5" ht="15" customHeight="1">
      <c r="B325" s="90"/>
      <c r="C325" s="54" t="s">
        <v>184</v>
      </c>
      <c r="D325" s="55">
        <v>82</v>
      </c>
      <c r="E325" s="56">
        <v>4.367742622776E-3</v>
      </c>
    </row>
    <row r="326" spans="2:5" ht="15" customHeight="1">
      <c r="B326" s="90"/>
      <c r="C326" s="54" t="s">
        <v>185</v>
      </c>
      <c r="D326" s="55">
        <v>77</v>
      </c>
      <c r="E326" s="56">
        <v>4.1014168530950001E-3</v>
      </c>
    </row>
    <row r="327" spans="2:5" ht="15" customHeight="1">
      <c r="B327" s="90"/>
      <c r="C327" s="54" t="s">
        <v>183</v>
      </c>
      <c r="D327" s="55">
        <v>59</v>
      </c>
      <c r="E327" s="56">
        <v>3.142644082241E-3</v>
      </c>
    </row>
    <row r="328" spans="2:5" ht="15" customHeight="1">
      <c r="B328" s="90"/>
      <c r="C328" s="54" t="s">
        <v>194</v>
      </c>
      <c r="D328" s="55">
        <v>58</v>
      </c>
      <c r="E328" s="56">
        <v>3.089378928305E-3</v>
      </c>
    </row>
    <row r="329" spans="2:5" ht="15" customHeight="1">
      <c r="B329" s="90"/>
      <c r="C329" s="54" t="s">
        <v>192</v>
      </c>
      <c r="D329" s="55">
        <v>50</v>
      </c>
      <c r="E329" s="56">
        <v>2.6632576968149998E-3</v>
      </c>
    </row>
    <row r="330" spans="2:5" ht="15" customHeight="1">
      <c r="B330" s="90"/>
      <c r="C330" s="54" t="s">
        <v>216</v>
      </c>
      <c r="D330" s="55">
        <v>32</v>
      </c>
      <c r="E330" s="56">
        <v>1.704484925961E-3</v>
      </c>
    </row>
    <row r="331" spans="2:5" ht="15" customHeight="1">
      <c r="B331" s="90"/>
      <c r="C331" s="54" t="s">
        <v>217</v>
      </c>
      <c r="D331" s="55">
        <v>23</v>
      </c>
      <c r="E331" s="56">
        <v>1.225098540535E-3</v>
      </c>
    </row>
    <row r="332" spans="2:5" ht="15" customHeight="1">
      <c r="B332" s="90"/>
      <c r="C332" s="54" t="s">
        <v>189</v>
      </c>
      <c r="D332" s="55">
        <v>20</v>
      </c>
      <c r="E332" s="56">
        <v>1.065303078726E-3</v>
      </c>
    </row>
    <row r="333" spans="2:5" ht="15" customHeight="1">
      <c r="B333" s="90"/>
      <c r="C333" s="54" t="s">
        <v>207</v>
      </c>
      <c r="D333" s="55">
        <v>19</v>
      </c>
      <c r="E333" s="56">
        <v>1.0120379247899999E-3</v>
      </c>
    </row>
    <row r="334" spans="2:5" ht="15" customHeight="1">
      <c r="B334" s="90"/>
      <c r="C334" s="54" t="s">
        <v>213</v>
      </c>
      <c r="D334" s="55">
        <v>19</v>
      </c>
      <c r="E334" s="56">
        <v>1.0120379247899999E-3</v>
      </c>
    </row>
    <row r="335" spans="2:5" ht="15" customHeight="1">
      <c r="B335" s="90"/>
      <c r="C335" s="54" t="s">
        <v>202</v>
      </c>
      <c r="D335" s="55">
        <v>18</v>
      </c>
      <c r="E335" s="56">
        <v>9.5877277085300002E-4</v>
      </c>
    </row>
    <row r="336" spans="2:5" ht="15" customHeight="1">
      <c r="B336" s="90"/>
      <c r="C336" s="54" t="s">
        <v>191</v>
      </c>
      <c r="D336" s="55">
        <v>14</v>
      </c>
      <c r="E336" s="56">
        <v>7.4571215510799995E-4</v>
      </c>
    </row>
    <row r="337" spans="2:5" ht="15" customHeight="1">
      <c r="B337" s="90"/>
      <c r="C337" s="54" t="s">
        <v>215</v>
      </c>
      <c r="D337" s="55">
        <v>13</v>
      </c>
      <c r="E337" s="56">
        <v>6.92447001172E-4</v>
      </c>
    </row>
    <row r="338" spans="2:5" ht="15" customHeight="1">
      <c r="B338" s="90"/>
      <c r="C338" s="54" t="s">
        <v>242</v>
      </c>
      <c r="D338" s="55">
        <v>13</v>
      </c>
      <c r="E338" s="56">
        <v>6.92447001172E-4</v>
      </c>
    </row>
    <row r="339" spans="2:5" ht="15" customHeight="1">
      <c r="B339" s="90"/>
      <c r="C339" s="54" t="s">
        <v>188</v>
      </c>
      <c r="D339" s="55">
        <v>12</v>
      </c>
      <c r="E339" s="56">
        <v>6.3918184723599995E-4</v>
      </c>
    </row>
    <row r="340" spans="2:5" ht="15" customHeight="1">
      <c r="B340" s="90"/>
      <c r="C340" s="54" t="s">
        <v>219</v>
      </c>
      <c r="D340" s="55">
        <v>11</v>
      </c>
      <c r="E340" s="56">
        <v>5.8591669329900004E-4</v>
      </c>
    </row>
    <row r="341" spans="2:5" ht="15" customHeight="1">
      <c r="B341" s="90"/>
      <c r="C341" s="54" t="s">
        <v>231</v>
      </c>
      <c r="D341" s="55">
        <v>11</v>
      </c>
      <c r="E341" s="56">
        <v>5.8591669329900004E-4</v>
      </c>
    </row>
    <row r="342" spans="2:5" ht="15" customHeight="1">
      <c r="B342" s="90"/>
      <c r="C342" s="54" t="s">
        <v>201</v>
      </c>
      <c r="D342" s="55">
        <v>10</v>
      </c>
      <c r="E342" s="56">
        <v>5.3265153936299999E-4</v>
      </c>
    </row>
    <row r="343" spans="2:5" ht="15" customHeight="1">
      <c r="B343" s="90"/>
      <c r="C343" s="54" t="s">
        <v>190</v>
      </c>
      <c r="D343" s="55">
        <v>10</v>
      </c>
      <c r="E343" s="56">
        <v>5.3265153936299999E-4</v>
      </c>
    </row>
    <row r="344" spans="2:5" ht="15" customHeight="1">
      <c r="B344" s="90"/>
      <c r="C344" s="54" t="s">
        <v>229</v>
      </c>
      <c r="D344" s="55">
        <v>10</v>
      </c>
      <c r="E344" s="56">
        <v>5.3265153936299999E-4</v>
      </c>
    </row>
    <row r="345" spans="2:5" ht="15" customHeight="1">
      <c r="B345" s="90"/>
      <c r="C345" s="54" t="s">
        <v>222</v>
      </c>
      <c r="D345" s="55">
        <v>9</v>
      </c>
      <c r="E345" s="56">
        <v>4.7938638542699999E-4</v>
      </c>
    </row>
    <row r="346" spans="2:5" ht="15" customHeight="1">
      <c r="B346" s="90"/>
      <c r="C346" s="54" t="s">
        <v>198</v>
      </c>
      <c r="D346" s="55">
        <v>8</v>
      </c>
      <c r="E346" s="56">
        <v>4.2612123148999997E-4</v>
      </c>
    </row>
    <row r="347" spans="2:5" ht="15" customHeight="1">
      <c r="B347" s="90"/>
      <c r="C347" s="54" t="s">
        <v>196</v>
      </c>
      <c r="D347" s="55">
        <v>7</v>
      </c>
      <c r="E347" s="56">
        <v>3.7285607755399997E-4</v>
      </c>
    </row>
    <row r="348" spans="2:5" ht="15" customHeight="1">
      <c r="B348" s="90"/>
      <c r="C348" s="54" t="s">
        <v>193</v>
      </c>
      <c r="D348" s="55">
        <v>7</v>
      </c>
      <c r="E348" s="56">
        <v>3.7285607755399997E-4</v>
      </c>
    </row>
    <row r="349" spans="2:5" ht="15" customHeight="1">
      <c r="B349" s="90"/>
      <c r="C349" s="54" t="s">
        <v>247</v>
      </c>
      <c r="D349" s="55">
        <v>7</v>
      </c>
      <c r="E349" s="56">
        <v>3.7285607755399997E-4</v>
      </c>
    </row>
    <row r="350" spans="2:5" ht="15" customHeight="1">
      <c r="B350" s="90"/>
      <c r="C350" s="54" t="s">
        <v>240</v>
      </c>
      <c r="D350" s="55">
        <v>7</v>
      </c>
      <c r="E350" s="56">
        <v>3.7285607755399997E-4</v>
      </c>
    </row>
    <row r="351" spans="2:5" ht="15" customHeight="1">
      <c r="B351" s="90"/>
      <c r="C351" s="54" t="s">
        <v>208</v>
      </c>
      <c r="D351" s="55">
        <v>7</v>
      </c>
      <c r="E351" s="56">
        <v>3.7285607755399997E-4</v>
      </c>
    </row>
    <row r="352" spans="2:5" ht="15" customHeight="1">
      <c r="B352" s="90"/>
      <c r="C352" s="54" t="s">
        <v>243</v>
      </c>
      <c r="D352" s="55">
        <v>6</v>
      </c>
      <c r="E352" s="56">
        <v>3.1959092361799997E-4</v>
      </c>
    </row>
    <row r="353" spans="2:5" ht="15" customHeight="1">
      <c r="B353" s="90"/>
      <c r="C353" s="54" t="s">
        <v>206</v>
      </c>
      <c r="D353" s="55">
        <v>6</v>
      </c>
      <c r="E353" s="56">
        <v>3.1959092361799997E-4</v>
      </c>
    </row>
    <row r="354" spans="2:5" ht="15" customHeight="1">
      <c r="B354" s="90"/>
      <c r="C354" s="54" t="s">
        <v>214</v>
      </c>
      <c r="D354" s="55">
        <v>6</v>
      </c>
      <c r="E354" s="56">
        <v>3.1959092361799997E-4</v>
      </c>
    </row>
    <row r="355" spans="2:5" ht="15" customHeight="1">
      <c r="B355" s="90"/>
      <c r="C355" s="54" t="s">
        <v>245</v>
      </c>
      <c r="D355" s="55">
        <v>6</v>
      </c>
      <c r="E355" s="56">
        <v>3.1959092361799997E-4</v>
      </c>
    </row>
    <row r="356" spans="2:5" ht="15" customHeight="1">
      <c r="B356" s="90"/>
      <c r="C356" s="54" t="s">
        <v>200</v>
      </c>
      <c r="D356" s="55">
        <v>6</v>
      </c>
      <c r="E356" s="56">
        <v>3.1959092361799997E-4</v>
      </c>
    </row>
    <row r="357" spans="2:5" ht="15" customHeight="1">
      <c r="B357" s="90"/>
      <c r="C357" s="54" t="s">
        <v>211</v>
      </c>
      <c r="D357" s="55">
        <v>5</v>
      </c>
      <c r="E357" s="56">
        <v>2.6632576968100001E-4</v>
      </c>
    </row>
    <row r="358" spans="2:5" ht="15" customHeight="1">
      <c r="B358" s="90"/>
      <c r="C358" s="54" t="s">
        <v>228</v>
      </c>
      <c r="D358" s="55">
        <v>5</v>
      </c>
      <c r="E358" s="56">
        <v>2.6632576968100001E-4</v>
      </c>
    </row>
    <row r="359" spans="2:5" ht="15" customHeight="1">
      <c r="B359" s="90"/>
      <c r="C359" s="54" t="s">
        <v>186</v>
      </c>
      <c r="D359" s="55">
        <v>5</v>
      </c>
      <c r="E359" s="56">
        <v>2.6632576968100001E-4</v>
      </c>
    </row>
    <row r="360" spans="2:5" ht="15" customHeight="1">
      <c r="B360" s="90"/>
      <c r="C360" s="54" t="s">
        <v>221</v>
      </c>
      <c r="D360" s="55">
        <v>5</v>
      </c>
      <c r="E360" s="56">
        <v>2.6632576968100001E-4</v>
      </c>
    </row>
    <row r="361" spans="2:5" ht="15" customHeight="1">
      <c r="B361" s="90"/>
      <c r="C361" s="54" t="s">
        <v>197</v>
      </c>
      <c r="D361" s="55">
        <v>3</v>
      </c>
      <c r="E361" s="56">
        <v>1.5979546180899999E-4</v>
      </c>
    </row>
    <row r="362" spans="2:5" ht="15" customHeight="1">
      <c r="B362" s="90"/>
      <c r="C362" s="54" t="s">
        <v>233</v>
      </c>
      <c r="D362" s="55">
        <v>3</v>
      </c>
      <c r="E362" s="56">
        <v>1.5979546180899999E-4</v>
      </c>
    </row>
    <row r="363" spans="2:5" ht="15" customHeight="1">
      <c r="B363" s="90"/>
      <c r="C363" s="54" t="s">
        <v>220</v>
      </c>
      <c r="D363" s="55">
        <v>3</v>
      </c>
      <c r="E363" s="56">
        <v>1.5979546180899999E-4</v>
      </c>
    </row>
    <row r="364" spans="2:5" ht="15" customHeight="1">
      <c r="B364" s="90"/>
      <c r="C364" s="54" t="s">
        <v>225</v>
      </c>
      <c r="D364" s="55">
        <v>2</v>
      </c>
      <c r="E364" s="56">
        <v>1.06530307873E-4</v>
      </c>
    </row>
    <row r="365" spans="2:5" ht="15" customHeight="1">
      <c r="B365" s="90"/>
      <c r="C365" s="54" t="s">
        <v>218</v>
      </c>
      <c r="D365" s="55">
        <v>2</v>
      </c>
      <c r="E365" s="56">
        <v>1.06530307873E-4</v>
      </c>
    </row>
    <row r="366" spans="2:5" ht="15" customHeight="1">
      <c r="B366" s="90"/>
      <c r="C366" s="54" t="s">
        <v>235</v>
      </c>
      <c r="D366" s="55">
        <v>2</v>
      </c>
      <c r="E366" s="56">
        <v>1.06530307873E-4</v>
      </c>
    </row>
    <row r="367" spans="2:5" ht="15" customHeight="1">
      <c r="B367" s="90"/>
      <c r="C367" s="54" t="s">
        <v>239</v>
      </c>
      <c r="D367" s="55">
        <v>2</v>
      </c>
      <c r="E367" s="56">
        <v>1.06530307873E-4</v>
      </c>
    </row>
    <row r="368" spans="2:5" ht="15" customHeight="1">
      <c r="B368" s="90"/>
      <c r="C368" s="54" t="s">
        <v>199</v>
      </c>
      <c r="D368" s="55">
        <v>2</v>
      </c>
      <c r="E368" s="56">
        <v>1.06530307873E-4</v>
      </c>
    </row>
    <row r="369" spans="2:5" ht="15" customHeight="1">
      <c r="B369" s="90"/>
      <c r="C369" s="54" t="s">
        <v>205</v>
      </c>
      <c r="D369" s="55">
        <v>1</v>
      </c>
      <c r="E369" s="56">
        <v>5.3265153936E-5</v>
      </c>
    </row>
    <row r="370" spans="2:5" ht="15" customHeight="1">
      <c r="B370" s="90"/>
      <c r="C370" s="54" t="s">
        <v>195</v>
      </c>
      <c r="D370" s="55">
        <v>1</v>
      </c>
      <c r="E370" s="56">
        <v>5.3265153936E-5</v>
      </c>
    </row>
    <row r="371" spans="2:5" ht="15" customHeight="1">
      <c r="B371" s="90"/>
      <c r="C371" s="54" t="s">
        <v>212</v>
      </c>
      <c r="D371" s="55">
        <v>1</v>
      </c>
      <c r="E371" s="56">
        <v>5.3265153936E-5</v>
      </c>
    </row>
    <row r="372" spans="2:5" ht="15" customHeight="1">
      <c r="B372" s="90"/>
      <c r="C372" s="54" t="s">
        <v>223</v>
      </c>
      <c r="D372" s="55">
        <v>1</v>
      </c>
      <c r="E372" s="56">
        <v>5.3265153936E-5</v>
      </c>
    </row>
    <row r="373" spans="2:5" ht="15" customHeight="1">
      <c r="B373" s="90"/>
      <c r="C373" s="54" t="s">
        <v>209</v>
      </c>
      <c r="D373" s="55">
        <v>1</v>
      </c>
      <c r="E373" s="56">
        <v>5.3265153936E-5</v>
      </c>
    </row>
    <row r="374" spans="2:5" ht="15" customHeight="1">
      <c r="B374" s="90"/>
      <c r="C374" s="54" t="s">
        <v>246</v>
      </c>
      <c r="D374" s="55">
        <v>1</v>
      </c>
      <c r="E374" s="56">
        <v>5.3265153936E-5</v>
      </c>
    </row>
    <row r="375" spans="2:5" ht="15" customHeight="1">
      <c r="B375" s="90"/>
      <c r="C375" s="54" t="s">
        <v>244</v>
      </c>
      <c r="D375" s="55">
        <v>1</v>
      </c>
      <c r="E375" s="56">
        <v>5.3265153936E-5</v>
      </c>
    </row>
    <row r="376" spans="2:5" ht="15" customHeight="1">
      <c r="B376" s="90"/>
      <c r="C376" s="54" t="s">
        <v>248</v>
      </c>
      <c r="D376" s="55">
        <v>1</v>
      </c>
      <c r="E376" s="56">
        <v>5.3265153936E-5</v>
      </c>
    </row>
    <row r="377" spans="2:5" ht="15" customHeight="1">
      <c r="B377" s="90"/>
      <c r="C377" s="54" t="s">
        <v>234</v>
      </c>
      <c r="D377" s="55">
        <v>1</v>
      </c>
      <c r="E377" s="56">
        <v>5.3265153936E-5</v>
      </c>
    </row>
    <row r="378" spans="2:5" ht="15" customHeight="1">
      <c r="B378" s="90"/>
      <c r="C378" s="54" t="s">
        <v>226</v>
      </c>
      <c r="D378" s="55">
        <v>1</v>
      </c>
      <c r="E378" s="56">
        <v>5.3265153936E-5</v>
      </c>
    </row>
    <row r="379" spans="2:5" ht="15" customHeight="1">
      <c r="B379" s="90"/>
      <c r="C379" s="54" t="s">
        <v>203</v>
      </c>
      <c r="D379" s="55">
        <v>1</v>
      </c>
      <c r="E379" s="56">
        <v>5.3265153936E-5</v>
      </c>
    </row>
    <row r="380" spans="2:5" ht="15" customHeight="1">
      <c r="B380" s="90"/>
      <c r="C380" s="54" t="s">
        <v>237</v>
      </c>
      <c r="D380" s="55">
        <v>1</v>
      </c>
      <c r="E380" s="56">
        <v>5.3265153936E-5</v>
      </c>
    </row>
    <row r="381" spans="2:5" ht="15" customHeight="1">
      <c r="B381" s="90"/>
      <c r="C381" s="54" t="s">
        <v>224</v>
      </c>
      <c r="D381" s="55">
        <v>1</v>
      </c>
      <c r="E381" s="56">
        <v>5.3265153936E-5</v>
      </c>
    </row>
    <row r="382" spans="2:5" ht="15" customHeight="1">
      <c r="B382" s="90"/>
      <c r="C382" s="54" t="s">
        <v>230</v>
      </c>
      <c r="D382" s="55">
        <v>1</v>
      </c>
      <c r="E382" s="56">
        <v>5.3265153936E-5</v>
      </c>
    </row>
    <row r="383" spans="2:5" ht="15" customHeight="1">
      <c r="B383" s="90"/>
      <c r="C383" s="54" t="s">
        <v>227</v>
      </c>
      <c r="D383" s="55">
        <v>1</v>
      </c>
      <c r="E383" s="56">
        <v>5.3265153936E-5</v>
      </c>
    </row>
    <row r="384" spans="2:5" ht="15" customHeight="1">
      <c r="B384" s="91"/>
      <c r="C384" s="65" t="s">
        <v>321</v>
      </c>
      <c r="D384" s="64">
        <v>1102</v>
      </c>
      <c r="E384" s="66">
        <v>5.8698199637797002E-2</v>
      </c>
    </row>
    <row r="385" spans="2:5" ht="15" customHeight="1">
      <c r="B385" s="89" t="s">
        <v>137</v>
      </c>
      <c r="C385" s="54" t="s">
        <v>181</v>
      </c>
      <c r="D385" s="55">
        <v>197</v>
      </c>
      <c r="E385" s="56">
        <v>1.049323532545E-2</v>
      </c>
    </row>
    <row r="386" spans="2:5" ht="15" customHeight="1">
      <c r="B386" s="90"/>
      <c r="C386" s="54" t="s">
        <v>182</v>
      </c>
      <c r="D386" s="55">
        <v>176</v>
      </c>
      <c r="E386" s="56">
        <v>9.3746670927879992E-3</v>
      </c>
    </row>
    <row r="387" spans="2:5" ht="15" customHeight="1">
      <c r="B387" s="90"/>
      <c r="C387" s="54" t="s">
        <v>183</v>
      </c>
      <c r="D387" s="55">
        <v>102</v>
      </c>
      <c r="E387" s="56">
        <v>5.4330457015019998E-3</v>
      </c>
    </row>
    <row r="388" spans="2:5" ht="15" customHeight="1">
      <c r="B388" s="90"/>
      <c r="C388" s="54" t="s">
        <v>185</v>
      </c>
      <c r="D388" s="55">
        <v>88</v>
      </c>
      <c r="E388" s="56">
        <v>4.6873335463939996E-3</v>
      </c>
    </row>
    <row r="389" spans="2:5" ht="15" customHeight="1">
      <c r="B389" s="90"/>
      <c r="C389" s="54" t="s">
        <v>184</v>
      </c>
      <c r="D389" s="55">
        <v>86</v>
      </c>
      <c r="E389" s="56">
        <v>4.5808032385210003E-3</v>
      </c>
    </row>
    <row r="390" spans="2:5" ht="15" customHeight="1">
      <c r="B390" s="90"/>
      <c r="C390" s="54" t="s">
        <v>188</v>
      </c>
      <c r="D390" s="55">
        <v>78</v>
      </c>
      <c r="E390" s="56">
        <v>4.1546820070309997E-3</v>
      </c>
    </row>
    <row r="391" spans="2:5" ht="15" customHeight="1">
      <c r="B391" s="90"/>
      <c r="C391" s="54" t="s">
        <v>192</v>
      </c>
      <c r="D391" s="55">
        <v>27</v>
      </c>
      <c r="E391" s="56">
        <v>1.4381591562800001E-3</v>
      </c>
    </row>
    <row r="392" spans="2:5" ht="15" customHeight="1">
      <c r="B392" s="90"/>
      <c r="C392" s="54" t="s">
        <v>200</v>
      </c>
      <c r="D392" s="55">
        <v>26</v>
      </c>
      <c r="E392" s="56">
        <v>1.384894002344E-3</v>
      </c>
    </row>
    <row r="393" spans="2:5" ht="15" customHeight="1">
      <c r="B393" s="90"/>
      <c r="C393" s="54" t="s">
        <v>194</v>
      </c>
      <c r="D393" s="55">
        <v>25</v>
      </c>
      <c r="E393" s="56">
        <v>1.3316288484070001E-3</v>
      </c>
    </row>
    <row r="394" spans="2:5" ht="15" customHeight="1">
      <c r="B394" s="90"/>
      <c r="C394" s="54" t="s">
        <v>206</v>
      </c>
      <c r="D394" s="55">
        <v>21</v>
      </c>
      <c r="E394" s="56">
        <v>1.118568232662E-3</v>
      </c>
    </row>
    <row r="395" spans="2:5" ht="15" customHeight="1">
      <c r="B395" s="90"/>
      <c r="C395" s="54" t="s">
        <v>191</v>
      </c>
      <c r="D395" s="55">
        <v>18</v>
      </c>
      <c r="E395" s="56">
        <v>9.5877277085300002E-4</v>
      </c>
    </row>
    <row r="396" spans="2:5" ht="15" customHeight="1">
      <c r="B396" s="90"/>
      <c r="C396" s="54" t="s">
        <v>187</v>
      </c>
      <c r="D396" s="55">
        <v>13</v>
      </c>
      <c r="E396" s="56">
        <v>6.92447001172E-4</v>
      </c>
    </row>
    <row r="397" spans="2:5" ht="15" customHeight="1">
      <c r="B397" s="90"/>
      <c r="C397" s="54" t="s">
        <v>208</v>
      </c>
      <c r="D397" s="55">
        <v>12</v>
      </c>
      <c r="E397" s="56">
        <v>6.3918184723599995E-4</v>
      </c>
    </row>
    <row r="398" spans="2:5" ht="15" customHeight="1">
      <c r="B398" s="90"/>
      <c r="C398" s="54" t="s">
        <v>202</v>
      </c>
      <c r="D398" s="55">
        <v>12</v>
      </c>
      <c r="E398" s="56">
        <v>6.3918184723599995E-4</v>
      </c>
    </row>
    <row r="399" spans="2:5" ht="15" customHeight="1">
      <c r="B399" s="90"/>
      <c r="C399" s="54" t="s">
        <v>196</v>
      </c>
      <c r="D399" s="55">
        <v>11</v>
      </c>
      <c r="E399" s="56">
        <v>5.8591669329900004E-4</v>
      </c>
    </row>
    <row r="400" spans="2:5" ht="15" customHeight="1">
      <c r="B400" s="90"/>
      <c r="C400" s="54" t="s">
        <v>222</v>
      </c>
      <c r="D400" s="55">
        <v>11</v>
      </c>
      <c r="E400" s="56">
        <v>5.8591669329900004E-4</v>
      </c>
    </row>
    <row r="401" spans="2:5" ht="15" customHeight="1">
      <c r="B401" s="90"/>
      <c r="C401" s="54" t="s">
        <v>189</v>
      </c>
      <c r="D401" s="55">
        <v>11</v>
      </c>
      <c r="E401" s="56">
        <v>5.8591669329900004E-4</v>
      </c>
    </row>
    <row r="402" spans="2:5" ht="15" customHeight="1">
      <c r="B402" s="90"/>
      <c r="C402" s="54" t="s">
        <v>219</v>
      </c>
      <c r="D402" s="55">
        <v>11</v>
      </c>
      <c r="E402" s="56">
        <v>5.8591669329900004E-4</v>
      </c>
    </row>
    <row r="403" spans="2:5" ht="15" customHeight="1">
      <c r="B403" s="90"/>
      <c r="C403" s="54" t="s">
        <v>197</v>
      </c>
      <c r="D403" s="55">
        <v>10</v>
      </c>
      <c r="E403" s="56">
        <v>5.3265153936299999E-4</v>
      </c>
    </row>
    <row r="404" spans="2:5" ht="15" customHeight="1">
      <c r="B404" s="90"/>
      <c r="C404" s="54" t="s">
        <v>186</v>
      </c>
      <c r="D404" s="55">
        <v>10</v>
      </c>
      <c r="E404" s="56">
        <v>5.3265153936299999E-4</v>
      </c>
    </row>
    <row r="405" spans="2:5" ht="15" customHeight="1">
      <c r="B405" s="90"/>
      <c r="C405" s="54" t="s">
        <v>199</v>
      </c>
      <c r="D405" s="55">
        <v>9</v>
      </c>
      <c r="E405" s="56">
        <v>4.7938638542699999E-4</v>
      </c>
    </row>
    <row r="406" spans="2:5" ht="15" customHeight="1">
      <c r="B406" s="90"/>
      <c r="C406" s="54" t="s">
        <v>190</v>
      </c>
      <c r="D406" s="55">
        <v>8</v>
      </c>
      <c r="E406" s="56">
        <v>4.2612123148999997E-4</v>
      </c>
    </row>
    <row r="407" spans="2:5" ht="15" customHeight="1">
      <c r="B407" s="90"/>
      <c r="C407" s="54" t="s">
        <v>207</v>
      </c>
      <c r="D407" s="55">
        <v>7</v>
      </c>
      <c r="E407" s="56">
        <v>3.7285607755399997E-4</v>
      </c>
    </row>
    <row r="408" spans="2:5" ht="15" customHeight="1">
      <c r="B408" s="90"/>
      <c r="C408" s="54" t="s">
        <v>201</v>
      </c>
      <c r="D408" s="55">
        <v>6</v>
      </c>
      <c r="E408" s="56">
        <v>3.1959092361799997E-4</v>
      </c>
    </row>
    <row r="409" spans="2:5" ht="15" customHeight="1">
      <c r="B409" s="90"/>
      <c r="C409" s="54" t="s">
        <v>210</v>
      </c>
      <c r="D409" s="55">
        <v>6</v>
      </c>
      <c r="E409" s="56">
        <v>3.1959092361799997E-4</v>
      </c>
    </row>
    <row r="410" spans="2:5" ht="15" customHeight="1">
      <c r="B410" s="90"/>
      <c r="C410" s="54" t="s">
        <v>204</v>
      </c>
      <c r="D410" s="55">
        <v>6</v>
      </c>
      <c r="E410" s="56">
        <v>3.1959092361799997E-4</v>
      </c>
    </row>
    <row r="411" spans="2:5" ht="15" customHeight="1">
      <c r="B411" s="90"/>
      <c r="C411" s="54" t="s">
        <v>198</v>
      </c>
      <c r="D411" s="55">
        <v>5</v>
      </c>
      <c r="E411" s="56">
        <v>2.6632576968100001E-4</v>
      </c>
    </row>
    <row r="412" spans="2:5" ht="15" customHeight="1">
      <c r="B412" s="90"/>
      <c r="C412" s="54" t="s">
        <v>234</v>
      </c>
      <c r="D412" s="55">
        <v>5</v>
      </c>
      <c r="E412" s="56">
        <v>2.6632576968100001E-4</v>
      </c>
    </row>
    <row r="413" spans="2:5" ht="15" customHeight="1">
      <c r="B413" s="90"/>
      <c r="C413" s="54" t="s">
        <v>221</v>
      </c>
      <c r="D413" s="55">
        <v>5</v>
      </c>
      <c r="E413" s="56">
        <v>2.6632576968100001E-4</v>
      </c>
    </row>
    <row r="414" spans="2:5" ht="15" customHeight="1">
      <c r="B414" s="90"/>
      <c r="C414" s="54" t="s">
        <v>216</v>
      </c>
      <c r="D414" s="55">
        <v>4</v>
      </c>
      <c r="E414" s="56">
        <v>2.1306061574499999E-4</v>
      </c>
    </row>
    <row r="415" spans="2:5" ht="15" customHeight="1">
      <c r="B415" s="90"/>
      <c r="C415" s="54" t="s">
        <v>233</v>
      </c>
      <c r="D415" s="55">
        <v>4</v>
      </c>
      <c r="E415" s="56">
        <v>2.1306061574499999E-4</v>
      </c>
    </row>
    <row r="416" spans="2:5" ht="15" customHeight="1">
      <c r="B416" s="90"/>
      <c r="C416" s="54" t="s">
        <v>220</v>
      </c>
      <c r="D416" s="55">
        <v>4</v>
      </c>
      <c r="E416" s="56">
        <v>2.1306061574499999E-4</v>
      </c>
    </row>
    <row r="417" spans="2:5" ht="15" customHeight="1">
      <c r="B417" s="90"/>
      <c r="C417" s="54" t="s">
        <v>211</v>
      </c>
      <c r="D417" s="55">
        <v>3</v>
      </c>
      <c r="E417" s="56">
        <v>1.5979546180899999E-4</v>
      </c>
    </row>
    <row r="418" spans="2:5" ht="15" customHeight="1">
      <c r="B418" s="90"/>
      <c r="C418" s="54" t="s">
        <v>228</v>
      </c>
      <c r="D418" s="55">
        <v>3</v>
      </c>
      <c r="E418" s="56">
        <v>1.5979546180899999E-4</v>
      </c>
    </row>
    <row r="419" spans="2:5" ht="15" customHeight="1">
      <c r="B419" s="90"/>
      <c r="C419" s="54" t="s">
        <v>217</v>
      </c>
      <c r="D419" s="55">
        <v>3</v>
      </c>
      <c r="E419" s="56">
        <v>1.5979546180899999E-4</v>
      </c>
    </row>
    <row r="420" spans="2:5" ht="15" customHeight="1">
      <c r="B420" s="90"/>
      <c r="C420" s="54" t="s">
        <v>225</v>
      </c>
      <c r="D420" s="55">
        <v>3</v>
      </c>
      <c r="E420" s="56">
        <v>1.5979546180899999E-4</v>
      </c>
    </row>
    <row r="421" spans="2:5" ht="15" customHeight="1">
      <c r="B421" s="90"/>
      <c r="C421" s="54" t="s">
        <v>209</v>
      </c>
      <c r="D421" s="55">
        <v>3</v>
      </c>
      <c r="E421" s="56">
        <v>1.5979546180899999E-4</v>
      </c>
    </row>
    <row r="422" spans="2:5" ht="15" customHeight="1">
      <c r="B422" s="90"/>
      <c r="C422" s="54" t="s">
        <v>213</v>
      </c>
      <c r="D422" s="55">
        <v>3</v>
      </c>
      <c r="E422" s="56">
        <v>1.5979546180899999E-4</v>
      </c>
    </row>
    <row r="423" spans="2:5" ht="15" customHeight="1">
      <c r="B423" s="90"/>
      <c r="C423" s="54" t="s">
        <v>205</v>
      </c>
      <c r="D423" s="55">
        <v>2</v>
      </c>
      <c r="E423" s="56">
        <v>1.06530307873E-4</v>
      </c>
    </row>
    <row r="424" spans="2:5" ht="15" customHeight="1">
      <c r="B424" s="90"/>
      <c r="C424" s="54" t="s">
        <v>218</v>
      </c>
      <c r="D424" s="55">
        <v>2</v>
      </c>
      <c r="E424" s="56">
        <v>1.06530307873E-4</v>
      </c>
    </row>
    <row r="425" spans="2:5" ht="15" customHeight="1">
      <c r="B425" s="90"/>
      <c r="C425" s="54" t="s">
        <v>247</v>
      </c>
      <c r="D425" s="55">
        <v>2</v>
      </c>
      <c r="E425" s="56">
        <v>1.06530307873E-4</v>
      </c>
    </row>
    <row r="426" spans="2:5" ht="15" customHeight="1">
      <c r="B426" s="90"/>
      <c r="C426" s="54" t="s">
        <v>215</v>
      </c>
      <c r="D426" s="55">
        <v>2</v>
      </c>
      <c r="E426" s="56">
        <v>1.06530307873E-4</v>
      </c>
    </row>
    <row r="427" spans="2:5" ht="15" customHeight="1">
      <c r="B427" s="90"/>
      <c r="C427" s="54" t="s">
        <v>229</v>
      </c>
      <c r="D427" s="55">
        <v>2</v>
      </c>
      <c r="E427" s="56">
        <v>1.06530307873E-4</v>
      </c>
    </row>
    <row r="428" spans="2:5" ht="15" customHeight="1">
      <c r="B428" s="90"/>
      <c r="C428" s="54" t="s">
        <v>241</v>
      </c>
      <c r="D428" s="55">
        <v>2</v>
      </c>
      <c r="E428" s="56">
        <v>1.06530307873E-4</v>
      </c>
    </row>
    <row r="429" spans="2:5" ht="15" customHeight="1">
      <c r="B429" s="90"/>
      <c r="C429" s="54" t="s">
        <v>203</v>
      </c>
      <c r="D429" s="55">
        <v>2</v>
      </c>
      <c r="E429" s="56">
        <v>1.06530307873E-4</v>
      </c>
    </row>
    <row r="430" spans="2:5" ht="15" customHeight="1">
      <c r="B430" s="90"/>
      <c r="C430" s="54" t="s">
        <v>230</v>
      </c>
      <c r="D430" s="55">
        <v>2</v>
      </c>
      <c r="E430" s="56">
        <v>1.06530307873E-4</v>
      </c>
    </row>
    <row r="431" spans="2:5" ht="15" customHeight="1">
      <c r="B431" s="90"/>
      <c r="C431" s="54" t="s">
        <v>195</v>
      </c>
      <c r="D431" s="55">
        <v>1</v>
      </c>
      <c r="E431" s="56">
        <v>5.3265153936E-5</v>
      </c>
    </row>
    <row r="432" spans="2:5" ht="15" customHeight="1">
      <c r="B432" s="90"/>
      <c r="C432" s="54" t="s">
        <v>212</v>
      </c>
      <c r="D432" s="55">
        <v>1</v>
      </c>
      <c r="E432" s="56">
        <v>5.3265153936E-5</v>
      </c>
    </row>
    <row r="433" spans="2:5" ht="15" customHeight="1">
      <c r="B433" s="90"/>
      <c r="C433" s="54" t="s">
        <v>243</v>
      </c>
      <c r="D433" s="55">
        <v>1</v>
      </c>
      <c r="E433" s="56">
        <v>5.3265153936E-5</v>
      </c>
    </row>
    <row r="434" spans="2:5" ht="15" customHeight="1">
      <c r="B434" s="90"/>
      <c r="C434" s="54" t="s">
        <v>223</v>
      </c>
      <c r="D434" s="55">
        <v>1</v>
      </c>
      <c r="E434" s="56">
        <v>5.3265153936E-5</v>
      </c>
    </row>
    <row r="435" spans="2:5" ht="15" customHeight="1">
      <c r="B435" s="90"/>
      <c r="C435" s="54" t="s">
        <v>246</v>
      </c>
      <c r="D435" s="55">
        <v>1</v>
      </c>
      <c r="E435" s="56">
        <v>5.3265153936E-5</v>
      </c>
    </row>
    <row r="436" spans="2:5" ht="15" customHeight="1">
      <c r="B436" s="90"/>
      <c r="C436" s="54" t="s">
        <v>214</v>
      </c>
      <c r="D436" s="55">
        <v>1</v>
      </c>
      <c r="E436" s="56">
        <v>5.3265153936E-5</v>
      </c>
    </row>
    <row r="437" spans="2:5" ht="15" customHeight="1">
      <c r="B437" s="90"/>
      <c r="C437" s="54" t="s">
        <v>244</v>
      </c>
      <c r="D437" s="55">
        <v>1</v>
      </c>
      <c r="E437" s="56">
        <v>5.3265153936E-5</v>
      </c>
    </row>
    <row r="438" spans="2:5" ht="15" customHeight="1">
      <c r="B438" s="90"/>
      <c r="C438" s="54" t="s">
        <v>235</v>
      </c>
      <c r="D438" s="55">
        <v>1</v>
      </c>
      <c r="E438" s="56">
        <v>5.3265153936E-5</v>
      </c>
    </row>
    <row r="439" spans="2:5" ht="15" customHeight="1">
      <c r="B439" s="90"/>
      <c r="C439" s="54" t="s">
        <v>237</v>
      </c>
      <c r="D439" s="55">
        <v>1</v>
      </c>
      <c r="E439" s="56">
        <v>5.3265153936E-5</v>
      </c>
    </row>
    <row r="440" spans="2:5" ht="15" customHeight="1">
      <c r="B440" s="90"/>
      <c r="C440" s="54" t="s">
        <v>231</v>
      </c>
      <c r="D440" s="55">
        <v>1</v>
      </c>
      <c r="E440" s="56">
        <v>5.3265153936E-5</v>
      </c>
    </row>
    <row r="441" spans="2:5" ht="15" customHeight="1">
      <c r="B441" s="90"/>
      <c r="C441" s="54" t="s">
        <v>242</v>
      </c>
      <c r="D441" s="55">
        <v>1</v>
      </c>
      <c r="E441" s="56">
        <v>5.3265153936E-5</v>
      </c>
    </row>
    <row r="442" spans="2:5" ht="15" customHeight="1">
      <c r="B442" s="91"/>
      <c r="C442" s="65" t="s">
        <v>321</v>
      </c>
      <c r="D442" s="64">
        <v>1059</v>
      </c>
      <c r="E442" s="66">
        <v>5.6407798018536001E-2</v>
      </c>
    </row>
    <row r="443" spans="2:5" ht="15" customHeight="1">
      <c r="B443" s="89" t="s">
        <v>138</v>
      </c>
      <c r="C443" s="54" t="s">
        <v>181</v>
      </c>
      <c r="D443" s="55">
        <v>191</v>
      </c>
      <c r="E443" s="56">
        <v>1.0173644401832001E-2</v>
      </c>
    </row>
    <row r="444" spans="2:5" ht="15" customHeight="1">
      <c r="B444" s="90"/>
      <c r="C444" s="54" t="s">
        <v>182</v>
      </c>
      <c r="D444" s="55">
        <v>65</v>
      </c>
      <c r="E444" s="56">
        <v>3.4622350058590001E-3</v>
      </c>
    </row>
    <row r="445" spans="2:5" ht="15" customHeight="1">
      <c r="B445" s="90"/>
      <c r="C445" s="54" t="s">
        <v>183</v>
      </c>
      <c r="D445" s="55">
        <v>38</v>
      </c>
      <c r="E445" s="56">
        <v>2.0240758495790002E-3</v>
      </c>
    </row>
    <row r="446" spans="2:5" ht="15" customHeight="1">
      <c r="B446" s="90"/>
      <c r="C446" s="54" t="s">
        <v>185</v>
      </c>
      <c r="D446" s="55">
        <v>30</v>
      </c>
      <c r="E446" s="56">
        <v>1.5979546180890001E-3</v>
      </c>
    </row>
    <row r="447" spans="2:5" ht="15" customHeight="1">
      <c r="B447" s="90"/>
      <c r="C447" s="54" t="s">
        <v>184</v>
      </c>
      <c r="D447" s="55">
        <v>18</v>
      </c>
      <c r="E447" s="56">
        <v>9.5877277085300002E-4</v>
      </c>
    </row>
    <row r="448" spans="2:5" ht="15" customHeight="1">
      <c r="B448" s="90"/>
      <c r="C448" s="54" t="s">
        <v>188</v>
      </c>
      <c r="D448" s="55">
        <v>14</v>
      </c>
      <c r="E448" s="56">
        <v>7.4571215510799995E-4</v>
      </c>
    </row>
    <row r="449" spans="2:5" ht="15" customHeight="1">
      <c r="B449" s="90"/>
      <c r="C449" s="54" t="s">
        <v>190</v>
      </c>
      <c r="D449" s="55">
        <v>9</v>
      </c>
      <c r="E449" s="56">
        <v>4.7938638542699999E-4</v>
      </c>
    </row>
    <row r="450" spans="2:5" ht="15" customHeight="1">
      <c r="B450" s="90"/>
      <c r="C450" s="54" t="s">
        <v>187</v>
      </c>
      <c r="D450" s="55">
        <v>9</v>
      </c>
      <c r="E450" s="56">
        <v>4.7938638542699999E-4</v>
      </c>
    </row>
    <row r="451" spans="2:5" ht="15" customHeight="1">
      <c r="B451" s="90"/>
      <c r="C451" s="54" t="s">
        <v>207</v>
      </c>
      <c r="D451" s="55">
        <v>8</v>
      </c>
      <c r="E451" s="56">
        <v>4.2612123148999997E-4</v>
      </c>
    </row>
    <row r="452" spans="2:5" ht="15" customHeight="1">
      <c r="B452" s="90"/>
      <c r="C452" s="54" t="s">
        <v>200</v>
      </c>
      <c r="D452" s="55">
        <v>8</v>
      </c>
      <c r="E452" s="56">
        <v>4.2612123148999997E-4</v>
      </c>
    </row>
    <row r="453" spans="2:5" ht="15" customHeight="1">
      <c r="B453" s="90"/>
      <c r="C453" s="54" t="s">
        <v>196</v>
      </c>
      <c r="D453" s="55">
        <v>7</v>
      </c>
      <c r="E453" s="56">
        <v>3.7285607755399997E-4</v>
      </c>
    </row>
    <row r="454" spans="2:5" ht="15" customHeight="1">
      <c r="B454" s="90"/>
      <c r="C454" s="54" t="s">
        <v>202</v>
      </c>
      <c r="D454" s="55">
        <v>7</v>
      </c>
      <c r="E454" s="56">
        <v>3.7285607755399997E-4</v>
      </c>
    </row>
    <row r="455" spans="2:5" ht="15" customHeight="1">
      <c r="B455" s="90"/>
      <c r="C455" s="54" t="s">
        <v>208</v>
      </c>
      <c r="D455" s="55">
        <v>6</v>
      </c>
      <c r="E455" s="56">
        <v>3.1959092361799997E-4</v>
      </c>
    </row>
    <row r="456" spans="2:5" ht="15" customHeight="1">
      <c r="B456" s="90"/>
      <c r="C456" s="54" t="s">
        <v>191</v>
      </c>
      <c r="D456" s="55">
        <v>5</v>
      </c>
      <c r="E456" s="56">
        <v>2.6632576968100001E-4</v>
      </c>
    </row>
    <row r="457" spans="2:5" ht="15" customHeight="1">
      <c r="B457" s="90"/>
      <c r="C457" s="54" t="s">
        <v>222</v>
      </c>
      <c r="D457" s="55">
        <v>4</v>
      </c>
      <c r="E457" s="56">
        <v>2.1306061574499999E-4</v>
      </c>
    </row>
    <row r="458" spans="2:5" ht="15" customHeight="1">
      <c r="B458" s="90"/>
      <c r="C458" s="54" t="s">
        <v>189</v>
      </c>
      <c r="D458" s="55">
        <v>4</v>
      </c>
      <c r="E458" s="56">
        <v>2.1306061574499999E-4</v>
      </c>
    </row>
    <row r="459" spans="2:5" ht="15" customHeight="1">
      <c r="B459" s="90"/>
      <c r="C459" s="54" t="s">
        <v>194</v>
      </c>
      <c r="D459" s="55">
        <v>4</v>
      </c>
      <c r="E459" s="56">
        <v>2.1306061574499999E-4</v>
      </c>
    </row>
    <row r="460" spans="2:5" ht="15" customHeight="1">
      <c r="B460" s="90"/>
      <c r="C460" s="54" t="s">
        <v>224</v>
      </c>
      <c r="D460" s="55">
        <v>4</v>
      </c>
      <c r="E460" s="56">
        <v>2.1306061574499999E-4</v>
      </c>
    </row>
    <row r="461" spans="2:5" ht="15" customHeight="1">
      <c r="B461" s="90"/>
      <c r="C461" s="54" t="s">
        <v>205</v>
      </c>
      <c r="D461" s="55">
        <v>3</v>
      </c>
      <c r="E461" s="56">
        <v>1.5979546180899999E-4</v>
      </c>
    </row>
    <row r="462" spans="2:5" ht="15" customHeight="1">
      <c r="B462" s="90"/>
      <c r="C462" s="54" t="s">
        <v>198</v>
      </c>
      <c r="D462" s="55">
        <v>3</v>
      </c>
      <c r="E462" s="56">
        <v>1.5979546180899999E-4</v>
      </c>
    </row>
    <row r="463" spans="2:5" ht="15" customHeight="1">
      <c r="B463" s="90"/>
      <c r="C463" s="54" t="s">
        <v>214</v>
      </c>
      <c r="D463" s="55">
        <v>3</v>
      </c>
      <c r="E463" s="56">
        <v>1.5979546180899999E-4</v>
      </c>
    </row>
    <row r="464" spans="2:5" ht="15" customHeight="1">
      <c r="B464" s="90"/>
      <c r="C464" s="54" t="s">
        <v>243</v>
      </c>
      <c r="D464" s="55">
        <v>2</v>
      </c>
      <c r="E464" s="56">
        <v>1.06530307873E-4</v>
      </c>
    </row>
    <row r="465" spans="2:5" ht="15" customHeight="1">
      <c r="B465" s="90"/>
      <c r="C465" s="54" t="s">
        <v>245</v>
      </c>
      <c r="D465" s="55">
        <v>2</v>
      </c>
      <c r="E465" s="56">
        <v>1.06530307873E-4</v>
      </c>
    </row>
    <row r="466" spans="2:5" ht="15" customHeight="1">
      <c r="B466" s="90"/>
      <c r="C466" s="54" t="s">
        <v>216</v>
      </c>
      <c r="D466" s="55">
        <v>1</v>
      </c>
      <c r="E466" s="56">
        <v>5.3265153936E-5</v>
      </c>
    </row>
    <row r="467" spans="2:5" ht="15" customHeight="1">
      <c r="B467" s="90"/>
      <c r="C467" s="54" t="s">
        <v>228</v>
      </c>
      <c r="D467" s="55">
        <v>1</v>
      </c>
      <c r="E467" s="56">
        <v>5.3265153936E-5</v>
      </c>
    </row>
    <row r="468" spans="2:5" ht="15" customHeight="1">
      <c r="B468" s="90"/>
      <c r="C468" s="54" t="s">
        <v>201</v>
      </c>
      <c r="D468" s="55">
        <v>1</v>
      </c>
      <c r="E468" s="56">
        <v>5.3265153936E-5</v>
      </c>
    </row>
    <row r="469" spans="2:5" ht="15" customHeight="1">
      <c r="B469" s="90"/>
      <c r="C469" s="54" t="s">
        <v>212</v>
      </c>
      <c r="D469" s="55">
        <v>1</v>
      </c>
      <c r="E469" s="56">
        <v>5.3265153936E-5</v>
      </c>
    </row>
    <row r="470" spans="2:5" ht="15" customHeight="1">
      <c r="B470" s="90"/>
      <c r="C470" s="54" t="s">
        <v>197</v>
      </c>
      <c r="D470" s="55">
        <v>1</v>
      </c>
      <c r="E470" s="56">
        <v>5.3265153936E-5</v>
      </c>
    </row>
    <row r="471" spans="2:5" ht="15" customHeight="1">
      <c r="B471" s="90"/>
      <c r="C471" s="54" t="s">
        <v>246</v>
      </c>
      <c r="D471" s="55">
        <v>1</v>
      </c>
      <c r="E471" s="56">
        <v>5.3265153936E-5</v>
      </c>
    </row>
    <row r="472" spans="2:5" ht="15" customHeight="1">
      <c r="B472" s="90"/>
      <c r="C472" s="54" t="s">
        <v>193</v>
      </c>
      <c r="D472" s="55">
        <v>1</v>
      </c>
      <c r="E472" s="56">
        <v>5.3265153936E-5</v>
      </c>
    </row>
    <row r="473" spans="2:5" ht="15" customHeight="1">
      <c r="B473" s="90"/>
      <c r="C473" s="54" t="s">
        <v>247</v>
      </c>
      <c r="D473" s="55">
        <v>1</v>
      </c>
      <c r="E473" s="56">
        <v>5.3265153936E-5</v>
      </c>
    </row>
    <row r="474" spans="2:5" ht="15" customHeight="1">
      <c r="B474" s="90"/>
      <c r="C474" s="54" t="s">
        <v>235</v>
      </c>
      <c r="D474" s="55">
        <v>1</v>
      </c>
      <c r="E474" s="56">
        <v>5.3265153936E-5</v>
      </c>
    </row>
    <row r="475" spans="2:5" ht="15" customHeight="1">
      <c r="B475" s="90"/>
      <c r="C475" s="54" t="s">
        <v>192</v>
      </c>
      <c r="D475" s="55">
        <v>1</v>
      </c>
      <c r="E475" s="56">
        <v>5.3265153936E-5</v>
      </c>
    </row>
    <row r="476" spans="2:5" ht="15" customHeight="1">
      <c r="B476" s="90"/>
      <c r="C476" s="54" t="s">
        <v>234</v>
      </c>
      <c r="D476" s="55">
        <v>1</v>
      </c>
      <c r="E476" s="56">
        <v>5.3265153936E-5</v>
      </c>
    </row>
    <row r="477" spans="2:5" ht="15" customHeight="1">
      <c r="B477" s="90"/>
      <c r="C477" s="54" t="s">
        <v>240</v>
      </c>
      <c r="D477" s="55">
        <v>1</v>
      </c>
      <c r="E477" s="56">
        <v>5.3265153936E-5</v>
      </c>
    </row>
    <row r="478" spans="2:5" ht="15" customHeight="1">
      <c r="B478" s="90"/>
      <c r="C478" s="54" t="s">
        <v>226</v>
      </c>
      <c r="D478" s="55">
        <v>1</v>
      </c>
      <c r="E478" s="56">
        <v>5.3265153936E-5</v>
      </c>
    </row>
    <row r="479" spans="2:5" ht="15" customHeight="1">
      <c r="B479" s="90"/>
      <c r="C479" s="54" t="s">
        <v>203</v>
      </c>
      <c r="D479" s="55">
        <v>1</v>
      </c>
      <c r="E479" s="56">
        <v>5.3265153936E-5</v>
      </c>
    </row>
    <row r="480" spans="2:5" ht="15" customHeight="1">
      <c r="B480" s="90"/>
      <c r="C480" s="54" t="s">
        <v>221</v>
      </c>
      <c r="D480" s="55">
        <v>1</v>
      </c>
      <c r="E480" s="56">
        <v>5.3265153936E-5</v>
      </c>
    </row>
    <row r="481" spans="2:5" ht="15" customHeight="1">
      <c r="B481" s="90"/>
      <c r="C481" s="54" t="s">
        <v>237</v>
      </c>
      <c r="D481" s="55">
        <v>1</v>
      </c>
      <c r="E481" s="56">
        <v>5.3265153936E-5</v>
      </c>
    </row>
    <row r="482" spans="2:5" ht="15" customHeight="1">
      <c r="B482" s="90"/>
      <c r="C482" s="54" t="s">
        <v>204</v>
      </c>
      <c r="D482" s="55">
        <v>1</v>
      </c>
      <c r="E482" s="56">
        <v>5.3265153936E-5</v>
      </c>
    </row>
    <row r="483" spans="2:5" ht="15" customHeight="1">
      <c r="B483" s="91"/>
      <c r="C483" s="65" t="s">
        <v>321</v>
      </c>
      <c r="D483" s="64">
        <v>461</v>
      </c>
      <c r="E483" s="66">
        <v>2.4555235964632001E-2</v>
      </c>
    </row>
    <row r="484" spans="2:5" ht="15" customHeight="1">
      <c r="B484" s="89" t="s">
        <v>139</v>
      </c>
      <c r="C484" s="54" t="s">
        <v>181</v>
      </c>
      <c r="D484" s="55">
        <v>111</v>
      </c>
      <c r="E484" s="56">
        <v>5.912432086929E-3</v>
      </c>
    </row>
    <row r="485" spans="2:5" ht="15" customHeight="1">
      <c r="B485" s="90"/>
      <c r="C485" s="54" t="s">
        <v>182</v>
      </c>
      <c r="D485" s="55">
        <v>70</v>
      </c>
      <c r="E485" s="56">
        <v>3.728560775541E-3</v>
      </c>
    </row>
    <row r="486" spans="2:5" ht="15" customHeight="1">
      <c r="B486" s="90"/>
      <c r="C486" s="54" t="s">
        <v>183</v>
      </c>
      <c r="D486" s="55">
        <v>40</v>
      </c>
      <c r="E486" s="56">
        <v>2.130606157452E-3</v>
      </c>
    </row>
    <row r="487" spans="2:5" ht="15" customHeight="1">
      <c r="B487" s="90"/>
      <c r="C487" s="54" t="s">
        <v>184</v>
      </c>
      <c r="D487" s="55">
        <v>22</v>
      </c>
      <c r="E487" s="56">
        <v>1.1718333865980001E-3</v>
      </c>
    </row>
    <row r="488" spans="2:5" ht="15" customHeight="1">
      <c r="B488" s="90"/>
      <c r="C488" s="54" t="s">
        <v>206</v>
      </c>
      <c r="D488" s="55">
        <v>21</v>
      </c>
      <c r="E488" s="56">
        <v>1.118568232662E-3</v>
      </c>
    </row>
    <row r="489" spans="2:5" ht="15" customHeight="1">
      <c r="B489" s="90"/>
      <c r="C489" s="54" t="s">
        <v>194</v>
      </c>
      <c r="D489" s="55">
        <v>18</v>
      </c>
      <c r="E489" s="56">
        <v>9.5877277085300002E-4</v>
      </c>
    </row>
    <row r="490" spans="2:5" ht="15" customHeight="1">
      <c r="B490" s="90"/>
      <c r="C490" s="54" t="s">
        <v>185</v>
      </c>
      <c r="D490" s="55">
        <v>17</v>
      </c>
      <c r="E490" s="56">
        <v>9.0550761691699996E-4</v>
      </c>
    </row>
    <row r="491" spans="2:5" ht="15" customHeight="1">
      <c r="B491" s="90"/>
      <c r="C491" s="54" t="s">
        <v>187</v>
      </c>
      <c r="D491" s="55">
        <v>16</v>
      </c>
      <c r="E491" s="56">
        <v>8.5224246298100002E-4</v>
      </c>
    </row>
    <row r="492" spans="2:5" ht="15" customHeight="1">
      <c r="B492" s="90"/>
      <c r="C492" s="54" t="s">
        <v>202</v>
      </c>
      <c r="D492" s="55">
        <v>14</v>
      </c>
      <c r="E492" s="56">
        <v>7.4571215510799995E-4</v>
      </c>
    </row>
    <row r="493" spans="2:5" ht="15" customHeight="1">
      <c r="B493" s="90"/>
      <c r="C493" s="54" t="s">
        <v>189</v>
      </c>
      <c r="D493" s="55">
        <v>8</v>
      </c>
      <c r="E493" s="56">
        <v>4.2612123148999997E-4</v>
      </c>
    </row>
    <row r="494" spans="2:5" ht="15" customHeight="1">
      <c r="B494" s="90"/>
      <c r="C494" s="54" t="s">
        <v>215</v>
      </c>
      <c r="D494" s="55">
        <v>8</v>
      </c>
      <c r="E494" s="56">
        <v>4.2612123148999997E-4</v>
      </c>
    </row>
    <row r="495" spans="2:5" ht="15" customHeight="1">
      <c r="B495" s="90"/>
      <c r="C495" s="54" t="s">
        <v>188</v>
      </c>
      <c r="D495" s="55">
        <v>7</v>
      </c>
      <c r="E495" s="56">
        <v>3.7285607755399997E-4</v>
      </c>
    </row>
    <row r="496" spans="2:5" ht="15" customHeight="1">
      <c r="B496" s="90"/>
      <c r="C496" s="54" t="s">
        <v>217</v>
      </c>
      <c r="D496" s="55">
        <v>7</v>
      </c>
      <c r="E496" s="56">
        <v>3.7285607755399997E-4</v>
      </c>
    </row>
    <row r="497" spans="2:5" ht="15" customHeight="1">
      <c r="B497" s="90"/>
      <c r="C497" s="54" t="s">
        <v>196</v>
      </c>
      <c r="D497" s="55">
        <v>6</v>
      </c>
      <c r="E497" s="56">
        <v>3.1959092361799997E-4</v>
      </c>
    </row>
    <row r="498" spans="2:5" ht="15" customHeight="1">
      <c r="B498" s="90"/>
      <c r="C498" s="54" t="s">
        <v>207</v>
      </c>
      <c r="D498" s="55">
        <v>6</v>
      </c>
      <c r="E498" s="56">
        <v>3.1959092361799997E-4</v>
      </c>
    </row>
    <row r="499" spans="2:5" ht="15" customHeight="1">
      <c r="B499" s="90"/>
      <c r="C499" s="54" t="s">
        <v>199</v>
      </c>
      <c r="D499" s="55">
        <v>6</v>
      </c>
      <c r="E499" s="56">
        <v>3.1959092361799997E-4</v>
      </c>
    </row>
    <row r="500" spans="2:5" ht="15" customHeight="1">
      <c r="B500" s="90"/>
      <c r="C500" s="54" t="s">
        <v>192</v>
      </c>
      <c r="D500" s="55">
        <v>5</v>
      </c>
      <c r="E500" s="56">
        <v>2.6632576968100001E-4</v>
      </c>
    </row>
    <row r="501" spans="2:5" ht="15" customHeight="1">
      <c r="B501" s="90"/>
      <c r="C501" s="54" t="s">
        <v>242</v>
      </c>
      <c r="D501" s="55">
        <v>5</v>
      </c>
      <c r="E501" s="56">
        <v>2.6632576968100001E-4</v>
      </c>
    </row>
    <row r="502" spans="2:5" ht="15" customHeight="1">
      <c r="B502" s="90"/>
      <c r="C502" s="54" t="s">
        <v>216</v>
      </c>
      <c r="D502" s="55">
        <v>4</v>
      </c>
      <c r="E502" s="56">
        <v>2.1306061574499999E-4</v>
      </c>
    </row>
    <row r="503" spans="2:5" ht="15" customHeight="1">
      <c r="B503" s="90"/>
      <c r="C503" s="54" t="s">
        <v>219</v>
      </c>
      <c r="D503" s="55">
        <v>4</v>
      </c>
      <c r="E503" s="56">
        <v>2.1306061574499999E-4</v>
      </c>
    </row>
    <row r="504" spans="2:5" ht="15" customHeight="1">
      <c r="B504" s="90"/>
      <c r="C504" s="54" t="s">
        <v>191</v>
      </c>
      <c r="D504" s="55">
        <v>4</v>
      </c>
      <c r="E504" s="56">
        <v>2.1306061574499999E-4</v>
      </c>
    </row>
    <row r="505" spans="2:5" ht="15" customHeight="1">
      <c r="B505" s="90"/>
      <c r="C505" s="54" t="s">
        <v>201</v>
      </c>
      <c r="D505" s="55">
        <v>3</v>
      </c>
      <c r="E505" s="56">
        <v>1.5979546180899999E-4</v>
      </c>
    </row>
    <row r="506" spans="2:5" ht="15" customHeight="1">
      <c r="B506" s="90"/>
      <c r="C506" s="54" t="s">
        <v>229</v>
      </c>
      <c r="D506" s="55">
        <v>3</v>
      </c>
      <c r="E506" s="56">
        <v>1.5979546180899999E-4</v>
      </c>
    </row>
    <row r="507" spans="2:5" ht="15" customHeight="1">
      <c r="B507" s="90"/>
      <c r="C507" s="54" t="s">
        <v>212</v>
      </c>
      <c r="D507" s="55">
        <v>2</v>
      </c>
      <c r="E507" s="56">
        <v>1.06530307873E-4</v>
      </c>
    </row>
    <row r="508" spans="2:5" ht="15" customHeight="1">
      <c r="B508" s="90"/>
      <c r="C508" s="54" t="s">
        <v>243</v>
      </c>
      <c r="D508" s="55">
        <v>2</v>
      </c>
      <c r="E508" s="56">
        <v>1.06530307873E-4</v>
      </c>
    </row>
    <row r="509" spans="2:5" ht="15" customHeight="1">
      <c r="B509" s="90"/>
      <c r="C509" s="54" t="s">
        <v>214</v>
      </c>
      <c r="D509" s="55">
        <v>2</v>
      </c>
      <c r="E509" s="56">
        <v>1.06530307873E-4</v>
      </c>
    </row>
    <row r="510" spans="2:5" ht="15" customHeight="1">
      <c r="B510" s="90"/>
      <c r="C510" s="54" t="s">
        <v>190</v>
      </c>
      <c r="D510" s="55">
        <v>2</v>
      </c>
      <c r="E510" s="56">
        <v>1.06530307873E-4</v>
      </c>
    </row>
    <row r="511" spans="2:5" ht="15" customHeight="1">
      <c r="B511" s="90"/>
      <c r="C511" s="54" t="s">
        <v>200</v>
      </c>
      <c r="D511" s="55">
        <v>2</v>
      </c>
      <c r="E511" s="56">
        <v>1.06530307873E-4</v>
      </c>
    </row>
    <row r="512" spans="2:5" ht="15" customHeight="1">
      <c r="B512" s="90"/>
      <c r="C512" s="54" t="s">
        <v>195</v>
      </c>
      <c r="D512" s="55">
        <v>1</v>
      </c>
      <c r="E512" s="56">
        <v>5.3265153936E-5</v>
      </c>
    </row>
    <row r="513" spans="2:5" ht="15" customHeight="1">
      <c r="B513" s="90"/>
      <c r="C513" s="54" t="s">
        <v>232</v>
      </c>
      <c r="D513" s="55">
        <v>1</v>
      </c>
      <c r="E513" s="56">
        <v>5.3265153936E-5</v>
      </c>
    </row>
    <row r="514" spans="2:5" ht="15" customHeight="1">
      <c r="B514" s="90"/>
      <c r="C514" s="54" t="s">
        <v>197</v>
      </c>
      <c r="D514" s="55">
        <v>1</v>
      </c>
      <c r="E514" s="56">
        <v>5.3265153936E-5</v>
      </c>
    </row>
    <row r="515" spans="2:5" ht="15" customHeight="1">
      <c r="B515" s="90"/>
      <c r="C515" s="54" t="s">
        <v>233</v>
      </c>
      <c r="D515" s="55">
        <v>1</v>
      </c>
      <c r="E515" s="56">
        <v>5.3265153936E-5</v>
      </c>
    </row>
    <row r="516" spans="2:5" ht="15" customHeight="1">
      <c r="B516" s="90"/>
      <c r="C516" s="54" t="s">
        <v>218</v>
      </c>
      <c r="D516" s="55">
        <v>1</v>
      </c>
      <c r="E516" s="56">
        <v>5.3265153936E-5</v>
      </c>
    </row>
    <row r="517" spans="2:5" ht="15" customHeight="1">
      <c r="B517" s="90"/>
      <c r="C517" s="54" t="s">
        <v>213</v>
      </c>
      <c r="D517" s="55">
        <v>1</v>
      </c>
      <c r="E517" s="56">
        <v>5.3265153936E-5</v>
      </c>
    </row>
    <row r="518" spans="2:5" ht="15" customHeight="1">
      <c r="B518" s="90"/>
      <c r="C518" s="54" t="s">
        <v>236</v>
      </c>
      <c r="D518" s="55">
        <v>1</v>
      </c>
      <c r="E518" s="56">
        <v>5.3265153936E-5</v>
      </c>
    </row>
    <row r="519" spans="2:5" ht="15" customHeight="1">
      <c r="B519" s="90"/>
      <c r="C519" s="54" t="s">
        <v>226</v>
      </c>
      <c r="D519" s="55">
        <v>1</v>
      </c>
      <c r="E519" s="56">
        <v>5.3265153936E-5</v>
      </c>
    </row>
    <row r="520" spans="2:5" ht="15" customHeight="1">
      <c r="B520" s="90"/>
      <c r="C520" s="54" t="s">
        <v>186</v>
      </c>
      <c r="D520" s="55">
        <v>1</v>
      </c>
      <c r="E520" s="56">
        <v>5.3265153936E-5</v>
      </c>
    </row>
    <row r="521" spans="2:5" ht="15" customHeight="1">
      <c r="B521" s="90"/>
      <c r="C521" s="54" t="s">
        <v>220</v>
      </c>
      <c r="D521" s="55">
        <v>1</v>
      </c>
      <c r="E521" s="56">
        <v>5.3265153936E-5</v>
      </c>
    </row>
    <row r="522" spans="2:5" ht="15" customHeight="1">
      <c r="B522" s="90"/>
      <c r="C522" s="54" t="s">
        <v>221</v>
      </c>
      <c r="D522" s="55">
        <v>1</v>
      </c>
      <c r="E522" s="56">
        <v>5.3265153936E-5</v>
      </c>
    </row>
    <row r="523" spans="2:5" ht="15" customHeight="1">
      <c r="B523" s="90"/>
      <c r="C523" s="54" t="s">
        <v>224</v>
      </c>
      <c r="D523" s="55">
        <v>1</v>
      </c>
      <c r="E523" s="56">
        <v>5.3265153936E-5</v>
      </c>
    </row>
    <row r="524" spans="2:5" ht="15" customHeight="1">
      <c r="B524" s="90"/>
      <c r="C524" s="54" t="s">
        <v>208</v>
      </c>
      <c r="D524" s="55">
        <v>1</v>
      </c>
      <c r="E524" s="56">
        <v>5.3265153936E-5</v>
      </c>
    </row>
    <row r="525" spans="2:5" ht="15" customHeight="1">
      <c r="B525" s="90"/>
      <c r="C525" s="54" t="s">
        <v>227</v>
      </c>
      <c r="D525" s="55">
        <v>1</v>
      </c>
      <c r="E525" s="56">
        <v>5.3265153936E-5</v>
      </c>
    </row>
    <row r="526" spans="2:5" ht="15" customHeight="1">
      <c r="B526" s="90"/>
      <c r="C526" s="54" t="s">
        <v>231</v>
      </c>
      <c r="D526" s="55">
        <v>1</v>
      </c>
      <c r="E526" s="56">
        <v>5.3265153936E-5</v>
      </c>
    </row>
    <row r="527" spans="2:5" ht="15" customHeight="1">
      <c r="B527" s="90"/>
      <c r="C527" s="54" t="s">
        <v>239</v>
      </c>
      <c r="D527" s="55">
        <v>1</v>
      </c>
      <c r="E527" s="56">
        <v>5.3265153936E-5</v>
      </c>
    </row>
    <row r="528" spans="2:5" ht="15" customHeight="1">
      <c r="B528" s="91"/>
      <c r="C528" s="65" t="s">
        <v>321</v>
      </c>
      <c r="D528" s="64">
        <v>431</v>
      </c>
      <c r="E528" s="66">
        <v>2.2957281346542999E-2</v>
      </c>
    </row>
    <row r="529" spans="2:5" ht="15" customHeight="1">
      <c r="B529" s="89" t="s">
        <v>140</v>
      </c>
      <c r="C529" s="54" t="s">
        <v>181</v>
      </c>
      <c r="D529" s="55">
        <v>79</v>
      </c>
      <c r="E529" s="56">
        <v>4.2079471609670002E-3</v>
      </c>
    </row>
    <row r="530" spans="2:5" ht="15" customHeight="1">
      <c r="B530" s="90"/>
      <c r="C530" s="54" t="s">
        <v>182</v>
      </c>
      <c r="D530" s="55">
        <v>65</v>
      </c>
      <c r="E530" s="56">
        <v>3.4622350058590001E-3</v>
      </c>
    </row>
    <row r="531" spans="2:5" ht="15" customHeight="1">
      <c r="B531" s="90"/>
      <c r="C531" s="54" t="s">
        <v>188</v>
      </c>
      <c r="D531" s="55">
        <v>38</v>
      </c>
      <c r="E531" s="56">
        <v>2.0240758495790002E-3</v>
      </c>
    </row>
    <row r="532" spans="2:5" ht="15" customHeight="1">
      <c r="B532" s="90"/>
      <c r="C532" s="54" t="s">
        <v>185</v>
      </c>
      <c r="D532" s="55">
        <v>37</v>
      </c>
      <c r="E532" s="56">
        <v>1.9708106956430002E-3</v>
      </c>
    </row>
    <row r="533" spans="2:5" ht="15" customHeight="1">
      <c r="B533" s="90"/>
      <c r="C533" s="54" t="s">
        <v>183</v>
      </c>
      <c r="D533" s="55">
        <v>20</v>
      </c>
      <c r="E533" s="56">
        <v>1.065303078726E-3</v>
      </c>
    </row>
    <row r="534" spans="2:5" ht="15" customHeight="1">
      <c r="B534" s="90"/>
      <c r="C534" s="54" t="s">
        <v>184</v>
      </c>
      <c r="D534" s="55">
        <v>19</v>
      </c>
      <c r="E534" s="56">
        <v>1.0120379247899999E-3</v>
      </c>
    </row>
    <row r="535" spans="2:5" ht="15" customHeight="1">
      <c r="B535" s="90"/>
      <c r="C535" s="54" t="s">
        <v>200</v>
      </c>
      <c r="D535" s="55">
        <v>11</v>
      </c>
      <c r="E535" s="56">
        <v>5.8591669329900004E-4</v>
      </c>
    </row>
    <row r="536" spans="2:5" ht="15" customHeight="1">
      <c r="B536" s="90"/>
      <c r="C536" s="54" t="s">
        <v>191</v>
      </c>
      <c r="D536" s="55">
        <v>9</v>
      </c>
      <c r="E536" s="56">
        <v>4.7938638542699999E-4</v>
      </c>
    </row>
    <row r="537" spans="2:5" ht="15" customHeight="1">
      <c r="B537" s="90"/>
      <c r="C537" s="54" t="s">
        <v>189</v>
      </c>
      <c r="D537" s="55">
        <v>7</v>
      </c>
      <c r="E537" s="56">
        <v>3.7285607755399997E-4</v>
      </c>
    </row>
    <row r="538" spans="2:5" ht="15" customHeight="1">
      <c r="B538" s="90"/>
      <c r="C538" s="54" t="s">
        <v>196</v>
      </c>
      <c r="D538" s="55">
        <v>6</v>
      </c>
      <c r="E538" s="56">
        <v>3.1959092361799997E-4</v>
      </c>
    </row>
    <row r="539" spans="2:5" ht="15" customHeight="1">
      <c r="B539" s="90"/>
      <c r="C539" s="54" t="s">
        <v>190</v>
      </c>
      <c r="D539" s="55">
        <v>4</v>
      </c>
      <c r="E539" s="56">
        <v>2.1306061574499999E-4</v>
      </c>
    </row>
    <row r="540" spans="2:5" ht="15" customHeight="1">
      <c r="B540" s="90"/>
      <c r="C540" s="54" t="s">
        <v>187</v>
      </c>
      <c r="D540" s="55">
        <v>4</v>
      </c>
      <c r="E540" s="56">
        <v>2.1306061574499999E-4</v>
      </c>
    </row>
    <row r="541" spans="2:5" ht="15" customHeight="1">
      <c r="B541" s="90"/>
      <c r="C541" s="54" t="s">
        <v>198</v>
      </c>
      <c r="D541" s="55">
        <v>3</v>
      </c>
      <c r="E541" s="56">
        <v>1.5979546180899999E-4</v>
      </c>
    </row>
    <row r="542" spans="2:5" ht="15" customHeight="1">
      <c r="B542" s="90"/>
      <c r="C542" s="54" t="s">
        <v>207</v>
      </c>
      <c r="D542" s="55">
        <v>3</v>
      </c>
      <c r="E542" s="56">
        <v>1.5979546180899999E-4</v>
      </c>
    </row>
    <row r="543" spans="2:5" ht="15" customHeight="1">
      <c r="B543" s="90"/>
      <c r="C543" s="54" t="s">
        <v>192</v>
      </c>
      <c r="D543" s="55">
        <v>3</v>
      </c>
      <c r="E543" s="56">
        <v>1.5979546180899999E-4</v>
      </c>
    </row>
    <row r="544" spans="2:5" ht="15" customHeight="1">
      <c r="B544" s="90"/>
      <c r="C544" s="54" t="s">
        <v>186</v>
      </c>
      <c r="D544" s="55">
        <v>3</v>
      </c>
      <c r="E544" s="56">
        <v>1.5979546180899999E-4</v>
      </c>
    </row>
    <row r="545" spans="2:5" ht="15" customHeight="1">
      <c r="B545" s="90"/>
      <c r="C545" s="54" t="s">
        <v>205</v>
      </c>
      <c r="D545" s="55">
        <v>2</v>
      </c>
      <c r="E545" s="56">
        <v>1.06530307873E-4</v>
      </c>
    </row>
    <row r="546" spans="2:5" ht="15" customHeight="1">
      <c r="B546" s="90"/>
      <c r="C546" s="54" t="s">
        <v>197</v>
      </c>
      <c r="D546" s="55">
        <v>2</v>
      </c>
      <c r="E546" s="56">
        <v>1.06530307873E-4</v>
      </c>
    </row>
    <row r="547" spans="2:5" ht="15" customHeight="1">
      <c r="B547" s="90"/>
      <c r="C547" s="54" t="s">
        <v>237</v>
      </c>
      <c r="D547" s="55">
        <v>2</v>
      </c>
      <c r="E547" s="56">
        <v>1.06530307873E-4</v>
      </c>
    </row>
    <row r="548" spans="2:5" ht="15" customHeight="1">
      <c r="B548" s="90"/>
      <c r="C548" s="54" t="s">
        <v>204</v>
      </c>
      <c r="D548" s="55">
        <v>2</v>
      </c>
      <c r="E548" s="56">
        <v>1.06530307873E-4</v>
      </c>
    </row>
    <row r="549" spans="2:5" ht="15" customHeight="1">
      <c r="B549" s="90"/>
      <c r="C549" s="54" t="s">
        <v>242</v>
      </c>
      <c r="D549" s="55">
        <v>2</v>
      </c>
      <c r="E549" s="56">
        <v>1.06530307873E-4</v>
      </c>
    </row>
    <row r="550" spans="2:5" ht="15" customHeight="1">
      <c r="B550" s="90"/>
      <c r="C550" s="54" t="s">
        <v>211</v>
      </c>
      <c r="D550" s="55">
        <v>1</v>
      </c>
      <c r="E550" s="56">
        <v>5.3265153936E-5</v>
      </c>
    </row>
    <row r="551" spans="2:5" ht="15" customHeight="1">
      <c r="B551" s="90"/>
      <c r="C551" s="54" t="s">
        <v>222</v>
      </c>
      <c r="D551" s="55">
        <v>1</v>
      </c>
      <c r="E551" s="56">
        <v>5.3265153936E-5</v>
      </c>
    </row>
    <row r="552" spans="2:5" ht="15" customHeight="1">
      <c r="B552" s="90"/>
      <c r="C552" s="54" t="s">
        <v>217</v>
      </c>
      <c r="D552" s="55">
        <v>1</v>
      </c>
      <c r="E552" s="56">
        <v>5.3265153936E-5</v>
      </c>
    </row>
    <row r="553" spans="2:5" ht="15" customHeight="1">
      <c r="B553" s="90"/>
      <c r="C553" s="54" t="s">
        <v>243</v>
      </c>
      <c r="D553" s="55">
        <v>1</v>
      </c>
      <c r="E553" s="56">
        <v>5.3265153936E-5</v>
      </c>
    </row>
    <row r="554" spans="2:5" ht="15" customHeight="1">
      <c r="B554" s="90"/>
      <c r="C554" s="54" t="s">
        <v>225</v>
      </c>
      <c r="D554" s="55">
        <v>1</v>
      </c>
      <c r="E554" s="56">
        <v>5.3265153936E-5</v>
      </c>
    </row>
    <row r="555" spans="2:5" ht="15" customHeight="1">
      <c r="B555" s="90"/>
      <c r="C555" s="54" t="s">
        <v>209</v>
      </c>
      <c r="D555" s="55">
        <v>1</v>
      </c>
      <c r="E555" s="56">
        <v>5.3265153936E-5</v>
      </c>
    </row>
    <row r="556" spans="2:5" ht="15" customHeight="1">
      <c r="B556" s="90"/>
      <c r="C556" s="54" t="s">
        <v>206</v>
      </c>
      <c r="D556" s="55">
        <v>1</v>
      </c>
      <c r="E556" s="56">
        <v>5.3265153936E-5</v>
      </c>
    </row>
    <row r="557" spans="2:5" ht="15" customHeight="1">
      <c r="B557" s="90"/>
      <c r="C557" s="54" t="s">
        <v>215</v>
      </c>
      <c r="D557" s="55">
        <v>1</v>
      </c>
      <c r="E557" s="56">
        <v>5.3265153936E-5</v>
      </c>
    </row>
    <row r="558" spans="2:5" ht="15" customHeight="1">
      <c r="B558" s="90"/>
      <c r="C558" s="54" t="s">
        <v>238</v>
      </c>
      <c r="D558" s="55">
        <v>1</v>
      </c>
      <c r="E558" s="56">
        <v>5.3265153936E-5</v>
      </c>
    </row>
    <row r="559" spans="2:5" ht="15" customHeight="1">
      <c r="B559" s="90"/>
      <c r="C559" s="54" t="s">
        <v>234</v>
      </c>
      <c r="D559" s="55">
        <v>1</v>
      </c>
      <c r="E559" s="56">
        <v>5.3265153936E-5</v>
      </c>
    </row>
    <row r="560" spans="2:5" ht="15" customHeight="1">
      <c r="B560" s="90"/>
      <c r="C560" s="54" t="s">
        <v>240</v>
      </c>
      <c r="D560" s="55">
        <v>1</v>
      </c>
      <c r="E560" s="56">
        <v>5.3265153936E-5</v>
      </c>
    </row>
    <row r="561" spans="2:5" ht="15" customHeight="1">
      <c r="B561" s="90"/>
      <c r="C561" s="54" t="s">
        <v>194</v>
      </c>
      <c r="D561" s="55">
        <v>1</v>
      </c>
      <c r="E561" s="56">
        <v>5.3265153936E-5</v>
      </c>
    </row>
    <row r="562" spans="2:5" ht="15" customHeight="1">
      <c r="B562" s="90"/>
      <c r="C562" s="54" t="s">
        <v>241</v>
      </c>
      <c r="D562" s="55">
        <v>1</v>
      </c>
      <c r="E562" s="56">
        <v>5.3265153936E-5</v>
      </c>
    </row>
    <row r="563" spans="2:5" ht="15" customHeight="1">
      <c r="B563" s="90"/>
      <c r="C563" s="54" t="s">
        <v>221</v>
      </c>
      <c r="D563" s="55">
        <v>1</v>
      </c>
      <c r="E563" s="56">
        <v>5.3265153936E-5</v>
      </c>
    </row>
    <row r="564" spans="2:5" ht="15" customHeight="1">
      <c r="B564" s="90"/>
      <c r="C564" s="54" t="s">
        <v>208</v>
      </c>
      <c r="D564" s="55">
        <v>1</v>
      </c>
      <c r="E564" s="56">
        <v>5.3265153936E-5</v>
      </c>
    </row>
    <row r="565" spans="2:5" ht="15" customHeight="1">
      <c r="B565" s="90"/>
      <c r="C565" s="54" t="s">
        <v>202</v>
      </c>
      <c r="D565" s="55">
        <v>1</v>
      </c>
      <c r="E565" s="56">
        <v>5.3265153936E-5</v>
      </c>
    </row>
    <row r="566" spans="2:5" ht="15" customHeight="1">
      <c r="B566" s="91"/>
      <c r="C566" s="65" t="s">
        <v>321</v>
      </c>
      <c r="D566" s="64">
        <v>337</v>
      </c>
      <c r="E566" s="66">
        <v>1.7950356876531001E-2</v>
      </c>
    </row>
    <row r="567" spans="2:5" ht="15" customHeight="1">
      <c r="B567" s="89" t="s">
        <v>141</v>
      </c>
      <c r="C567" s="54" t="s">
        <v>182</v>
      </c>
      <c r="D567" s="55">
        <v>45</v>
      </c>
      <c r="E567" s="56">
        <v>2.3969319271329999E-3</v>
      </c>
    </row>
    <row r="568" spans="2:5" ht="15" customHeight="1">
      <c r="B568" s="90"/>
      <c r="C568" s="54" t="s">
        <v>187</v>
      </c>
      <c r="D568" s="55">
        <v>38</v>
      </c>
      <c r="E568" s="56">
        <v>2.0240758495790002E-3</v>
      </c>
    </row>
    <row r="569" spans="2:5" ht="15" customHeight="1">
      <c r="B569" s="90"/>
      <c r="C569" s="54" t="s">
        <v>181</v>
      </c>
      <c r="D569" s="55">
        <v>26</v>
      </c>
      <c r="E569" s="56">
        <v>1.384894002344E-3</v>
      </c>
    </row>
    <row r="570" spans="2:5" ht="15" customHeight="1">
      <c r="B570" s="90"/>
      <c r="C570" s="54" t="s">
        <v>184</v>
      </c>
      <c r="D570" s="55">
        <v>19</v>
      </c>
      <c r="E570" s="56">
        <v>1.0120379247899999E-3</v>
      </c>
    </row>
    <row r="571" spans="2:5" ht="15" customHeight="1">
      <c r="B571" s="90"/>
      <c r="C571" s="54" t="s">
        <v>192</v>
      </c>
      <c r="D571" s="55">
        <v>17</v>
      </c>
      <c r="E571" s="56">
        <v>9.0550761691699996E-4</v>
      </c>
    </row>
    <row r="572" spans="2:5" ht="15" customHeight="1">
      <c r="B572" s="90"/>
      <c r="C572" s="54" t="s">
        <v>217</v>
      </c>
      <c r="D572" s="55">
        <v>14</v>
      </c>
      <c r="E572" s="56">
        <v>7.4571215510799995E-4</v>
      </c>
    </row>
    <row r="573" spans="2:5" ht="15" customHeight="1">
      <c r="B573" s="90"/>
      <c r="C573" s="54" t="s">
        <v>183</v>
      </c>
      <c r="D573" s="55">
        <v>14</v>
      </c>
      <c r="E573" s="56">
        <v>7.4571215510799995E-4</v>
      </c>
    </row>
    <row r="574" spans="2:5" ht="15" customHeight="1">
      <c r="B574" s="90"/>
      <c r="C574" s="54" t="s">
        <v>185</v>
      </c>
      <c r="D574" s="55">
        <v>13</v>
      </c>
      <c r="E574" s="56">
        <v>6.92447001172E-4</v>
      </c>
    </row>
    <row r="575" spans="2:5" ht="15" customHeight="1">
      <c r="B575" s="90"/>
      <c r="C575" s="54" t="s">
        <v>194</v>
      </c>
      <c r="D575" s="55">
        <v>7</v>
      </c>
      <c r="E575" s="56">
        <v>3.7285607755399997E-4</v>
      </c>
    </row>
    <row r="576" spans="2:5" ht="15" customHeight="1">
      <c r="B576" s="90"/>
      <c r="C576" s="54" t="s">
        <v>201</v>
      </c>
      <c r="D576" s="55">
        <v>6</v>
      </c>
      <c r="E576" s="56">
        <v>3.1959092361799997E-4</v>
      </c>
    </row>
    <row r="577" spans="2:5" ht="15" customHeight="1">
      <c r="B577" s="90"/>
      <c r="C577" s="54" t="s">
        <v>198</v>
      </c>
      <c r="D577" s="55">
        <v>5</v>
      </c>
      <c r="E577" s="56">
        <v>2.6632576968100001E-4</v>
      </c>
    </row>
    <row r="578" spans="2:5" ht="15" customHeight="1">
      <c r="B578" s="90"/>
      <c r="C578" s="54" t="s">
        <v>200</v>
      </c>
      <c r="D578" s="55">
        <v>5</v>
      </c>
      <c r="E578" s="56">
        <v>2.6632576968100001E-4</v>
      </c>
    </row>
    <row r="579" spans="2:5" ht="15" customHeight="1">
      <c r="B579" s="90"/>
      <c r="C579" s="54" t="s">
        <v>207</v>
      </c>
      <c r="D579" s="55">
        <v>4</v>
      </c>
      <c r="E579" s="56">
        <v>2.1306061574499999E-4</v>
      </c>
    </row>
    <row r="580" spans="2:5" ht="15" customHeight="1">
      <c r="B580" s="90"/>
      <c r="C580" s="54" t="s">
        <v>219</v>
      </c>
      <c r="D580" s="55">
        <v>4</v>
      </c>
      <c r="E580" s="56">
        <v>2.1306061574499999E-4</v>
      </c>
    </row>
    <row r="581" spans="2:5" ht="15" customHeight="1">
      <c r="B581" s="90"/>
      <c r="C581" s="54" t="s">
        <v>215</v>
      </c>
      <c r="D581" s="55">
        <v>4</v>
      </c>
      <c r="E581" s="56">
        <v>2.1306061574499999E-4</v>
      </c>
    </row>
    <row r="582" spans="2:5" ht="15" customHeight="1">
      <c r="B582" s="90"/>
      <c r="C582" s="54" t="s">
        <v>188</v>
      </c>
      <c r="D582" s="55">
        <v>3</v>
      </c>
      <c r="E582" s="56">
        <v>1.5979546180899999E-4</v>
      </c>
    </row>
    <row r="583" spans="2:5" ht="15" customHeight="1">
      <c r="B583" s="90"/>
      <c r="C583" s="54" t="s">
        <v>233</v>
      </c>
      <c r="D583" s="55">
        <v>3</v>
      </c>
      <c r="E583" s="56">
        <v>1.5979546180899999E-4</v>
      </c>
    </row>
    <row r="584" spans="2:5" ht="15" customHeight="1">
      <c r="B584" s="90"/>
      <c r="C584" s="54" t="s">
        <v>189</v>
      </c>
      <c r="D584" s="55">
        <v>3</v>
      </c>
      <c r="E584" s="56">
        <v>1.5979546180899999E-4</v>
      </c>
    </row>
    <row r="585" spans="2:5" ht="15" customHeight="1">
      <c r="B585" s="90"/>
      <c r="C585" s="54" t="s">
        <v>213</v>
      </c>
      <c r="D585" s="55">
        <v>3</v>
      </c>
      <c r="E585" s="56">
        <v>1.5979546180899999E-4</v>
      </c>
    </row>
    <row r="586" spans="2:5" ht="15" customHeight="1">
      <c r="B586" s="90"/>
      <c r="C586" s="54" t="s">
        <v>229</v>
      </c>
      <c r="D586" s="55">
        <v>3</v>
      </c>
      <c r="E586" s="56">
        <v>1.5979546180899999E-4</v>
      </c>
    </row>
    <row r="587" spans="2:5" ht="15" customHeight="1">
      <c r="B587" s="90"/>
      <c r="C587" s="54" t="s">
        <v>195</v>
      </c>
      <c r="D587" s="55">
        <v>2</v>
      </c>
      <c r="E587" s="56">
        <v>1.06530307873E-4</v>
      </c>
    </row>
    <row r="588" spans="2:5" ht="15" customHeight="1">
      <c r="B588" s="90"/>
      <c r="C588" s="54" t="s">
        <v>247</v>
      </c>
      <c r="D588" s="55">
        <v>2</v>
      </c>
      <c r="E588" s="56">
        <v>1.06530307873E-4</v>
      </c>
    </row>
    <row r="589" spans="2:5" ht="15" customHeight="1">
      <c r="B589" s="90"/>
      <c r="C589" s="54" t="s">
        <v>191</v>
      </c>
      <c r="D589" s="55">
        <v>2</v>
      </c>
      <c r="E589" s="56">
        <v>1.06530307873E-4</v>
      </c>
    </row>
    <row r="590" spans="2:5" ht="15" customHeight="1">
      <c r="B590" s="90"/>
      <c r="C590" s="54" t="s">
        <v>226</v>
      </c>
      <c r="D590" s="55">
        <v>2</v>
      </c>
      <c r="E590" s="56">
        <v>1.06530307873E-4</v>
      </c>
    </row>
    <row r="591" spans="2:5" ht="15" customHeight="1">
      <c r="B591" s="90"/>
      <c r="C591" s="54" t="s">
        <v>208</v>
      </c>
      <c r="D591" s="55">
        <v>2</v>
      </c>
      <c r="E591" s="56">
        <v>1.06530307873E-4</v>
      </c>
    </row>
    <row r="592" spans="2:5" ht="15" customHeight="1">
      <c r="B592" s="90"/>
      <c r="C592" s="54" t="s">
        <v>222</v>
      </c>
      <c r="D592" s="55">
        <v>1</v>
      </c>
      <c r="E592" s="56">
        <v>5.3265153936E-5</v>
      </c>
    </row>
    <row r="593" spans="2:5" ht="15" customHeight="1">
      <c r="B593" s="90"/>
      <c r="C593" s="54" t="s">
        <v>243</v>
      </c>
      <c r="D593" s="55">
        <v>1</v>
      </c>
      <c r="E593" s="56">
        <v>5.3265153936E-5</v>
      </c>
    </row>
    <row r="594" spans="2:5" ht="15" customHeight="1">
      <c r="B594" s="90"/>
      <c r="C594" s="54" t="s">
        <v>209</v>
      </c>
      <c r="D594" s="55">
        <v>1</v>
      </c>
      <c r="E594" s="56">
        <v>5.3265153936E-5</v>
      </c>
    </row>
    <row r="595" spans="2:5" ht="15" customHeight="1">
      <c r="B595" s="90"/>
      <c r="C595" s="54" t="s">
        <v>214</v>
      </c>
      <c r="D595" s="55">
        <v>1</v>
      </c>
      <c r="E595" s="56">
        <v>5.3265153936E-5</v>
      </c>
    </row>
    <row r="596" spans="2:5" ht="15" customHeight="1">
      <c r="B596" s="90"/>
      <c r="C596" s="54" t="s">
        <v>244</v>
      </c>
      <c r="D596" s="55">
        <v>1</v>
      </c>
      <c r="E596" s="56">
        <v>5.3265153936E-5</v>
      </c>
    </row>
    <row r="597" spans="2:5" ht="15" customHeight="1">
      <c r="B597" s="90"/>
      <c r="C597" s="54" t="s">
        <v>248</v>
      </c>
      <c r="D597" s="55">
        <v>1</v>
      </c>
      <c r="E597" s="56">
        <v>5.3265153936E-5</v>
      </c>
    </row>
    <row r="598" spans="2:5" ht="15" customHeight="1">
      <c r="B598" s="90"/>
      <c r="C598" s="54" t="s">
        <v>234</v>
      </c>
      <c r="D598" s="55">
        <v>1</v>
      </c>
      <c r="E598" s="56">
        <v>5.3265153936E-5</v>
      </c>
    </row>
    <row r="599" spans="2:5" ht="15" customHeight="1">
      <c r="B599" s="90"/>
      <c r="C599" s="54" t="s">
        <v>237</v>
      </c>
      <c r="D599" s="55">
        <v>1</v>
      </c>
      <c r="E599" s="56">
        <v>5.3265153936E-5</v>
      </c>
    </row>
    <row r="600" spans="2:5" ht="15" customHeight="1">
      <c r="B600" s="90"/>
      <c r="C600" s="54" t="s">
        <v>204</v>
      </c>
      <c r="D600" s="55">
        <v>1</v>
      </c>
      <c r="E600" s="56">
        <v>5.3265153936E-5</v>
      </c>
    </row>
    <row r="601" spans="2:5" ht="15" customHeight="1">
      <c r="B601" s="90"/>
      <c r="C601" s="54" t="s">
        <v>202</v>
      </c>
      <c r="D601" s="55">
        <v>1</v>
      </c>
      <c r="E601" s="56">
        <v>5.3265153936E-5</v>
      </c>
    </row>
    <row r="602" spans="2:5" ht="15" customHeight="1">
      <c r="B602" s="90"/>
      <c r="C602" s="54" t="s">
        <v>231</v>
      </c>
      <c r="D602" s="55">
        <v>1</v>
      </c>
      <c r="E602" s="56">
        <v>5.3265153936E-5</v>
      </c>
    </row>
    <row r="603" spans="2:5" ht="15" customHeight="1">
      <c r="B603" s="90"/>
      <c r="C603" s="54" t="s">
        <v>199</v>
      </c>
      <c r="D603" s="55">
        <v>1</v>
      </c>
      <c r="E603" s="56">
        <v>5.3265153936E-5</v>
      </c>
    </row>
    <row r="604" spans="2:5" ht="15" customHeight="1">
      <c r="B604" s="91"/>
      <c r="C604" s="65" t="s">
        <v>321</v>
      </c>
      <c r="D604" s="64">
        <v>258</v>
      </c>
      <c r="E604" s="66">
        <v>1.3742409715563999E-2</v>
      </c>
    </row>
    <row r="605" spans="2:5" ht="15" customHeight="1">
      <c r="B605" s="89" t="s">
        <v>142</v>
      </c>
      <c r="C605" s="54" t="s">
        <v>181</v>
      </c>
      <c r="D605" s="55">
        <v>44</v>
      </c>
      <c r="E605" s="56">
        <v>2.3436667731969998E-3</v>
      </c>
    </row>
    <row r="606" spans="2:5" ht="15" customHeight="1">
      <c r="B606" s="90"/>
      <c r="C606" s="54" t="s">
        <v>182</v>
      </c>
      <c r="D606" s="55">
        <v>42</v>
      </c>
      <c r="E606" s="56">
        <v>2.2371364653240001E-3</v>
      </c>
    </row>
    <row r="607" spans="2:5" ht="15" customHeight="1">
      <c r="B607" s="90"/>
      <c r="C607" s="54" t="s">
        <v>184</v>
      </c>
      <c r="D607" s="55">
        <v>22</v>
      </c>
      <c r="E607" s="56">
        <v>1.1718333865980001E-3</v>
      </c>
    </row>
    <row r="608" spans="2:5" ht="15" customHeight="1">
      <c r="B608" s="90"/>
      <c r="C608" s="54" t="s">
        <v>183</v>
      </c>
      <c r="D608" s="55">
        <v>22</v>
      </c>
      <c r="E608" s="56">
        <v>1.1718333865980001E-3</v>
      </c>
    </row>
    <row r="609" spans="2:5" ht="15" customHeight="1">
      <c r="B609" s="90"/>
      <c r="C609" s="54" t="s">
        <v>192</v>
      </c>
      <c r="D609" s="55">
        <v>10</v>
      </c>
      <c r="E609" s="56">
        <v>5.3265153936299999E-4</v>
      </c>
    </row>
    <row r="610" spans="2:5" ht="15" customHeight="1">
      <c r="B610" s="90"/>
      <c r="C610" s="54" t="s">
        <v>213</v>
      </c>
      <c r="D610" s="55">
        <v>8</v>
      </c>
      <c r="E610" s="56">
        <v>4.2612123148999997E-4</v>
      </c>
    </row>
    <row r="611" spans="2:5" ht="15" customHeight="1">
      <c r="B611" s="90"/>
      <c r="C611" s="54" t="s">
        <v>185</v>
      </c>
      <c r="D611" s="55">
        <v>7</v>
      </c>
      <c r="E611" s="56">
        <v>3.7285607755399997E-4</v>
      </c>
    </row>
    <row r="612" spans="2:5" ht="15" customHeight="1">
      <c r="B612" s="90"/>
      <c r="C612" s="54" t="s">
        <v>187</v>
      </c>
      <c r="D612" s="55">
        <v>7</v>
      </c>
      <c r="E612" s="56">
        <v>3.7285607755399997E-4</v>
      </c>
    </row>
    <row r="613" spans="2:5" ht="15" customHeight="1">
      <c r="B613" s="90"/>
      <c r="C613" s="54" t="s">
        <v>189</v>
      </c>
      <c r="D613" s="55">
        <v>6</v>
      </c>
      <c r="E613" s="56">
        <v>3.1959092361799997E-4</v>
      </c>
    </row>
    <row r="614" spans="2:5" ht="15" customHeight="1">
      <c r="B614" s="90"/>
      <c r="C614" s="54" t="s">
        <v>188</v>
      </c>
      <c r="D614" s="55">
        <v>5</v>
      </c>
      <c r="E614" s="56">
        <v>2.6632576968100001E-4</v>
      </c>
    </row>
    <row r="615" spans="2:5" ht="15" customHeight="1">
      <c r="B615" s="90"/>
      <c r="C615" s="54" t="s">
        <v>194</v>
      </c>
      <c r="D615" s="55">
        <v>5</v>
      </c>
      <c r="E615" s="56">
        <v>2.6632576968100001E-4</v>
      </c>
    </row>
    <row r="616" spans="2:5" ht="15" customHeight="1">
      <c r="B616" s="90"/>
      <c r="C616" s="54" t="s">
        <v>198</v>
      </c>
      <c r="D616" s="55">
        <v>4</v>
      </c>
      <c r="E616" s="56">
        <v>2.1306061574499999E-4</v>
      </c>
    </row>
    <row r="617" spans="2:5" ht="15" customHeight="1">
      <c r="B617" s="90"/>
      <c r="C617" s="54" t="s">
        <v>195</v>
      </c>
      <c r="D617" s="55">
        <v>3</v>
      </c>
      <c r="E617" s="56">
        <v>1.5979546180899999E-4</v>
      </c>
    </row>
    <row r="618" spans="2:5" ht="15" customHeight="1">
      <c r="B618" s="90"/>
      <c r="C618" s="54" t="s">
        <v>201</v>
      </c>
      <c r="D618" s="55">
        <v>3</v>
      </c>
      <c r="E618" s="56">
        <v>1.5979546180899999E-4</v>
      </c>
    </row>
    <row r="619" spans="2:5" ht="15" customHeight="1">
      <c r="B619" s="90"/>
      <c r="C619" s="54" t="s">
        <v>190</v>
      </c>
      <c r="D619" s="55">
        <v>3</v>
      </c>
      <c r="E619" s="56">
        <v>1.5979546180899999E-4</v>
      </c>
    </row>
    <row r="620" spans="2:5" ht="15" customHeight="1">
      <c r="B620" s="90"/>
      <c r="C620" s="54" t="s">
        <v>186</v>
      </c>
      <c r="D620" s="55">
        <v>3</v>
      </c>
      <c r="E620" s="56">
        <v>1.5979546180899999E-4</v>
      </c>
    </row>
    <row r="621" spans="2:5" ht="15" customHeight="1">
      <c r="B621" s="90"/>
      <c r="C621" s="54" t="s">
        <v>222</v>
      </c>
      <c r="D621" s="55">
        <v>2</v>
      </c>
      <c r="E621" s="56">
        <v>1.06530307873E-4</v>
      </c>
    </row>
    <row r="622" spans="2:5" ht="15" customHeight="1">
      <c r="B622" s="90"/>
      <c r="C622" s="54" t="s">
        <v>218</v>
      </c>
      <c r="D622" s="55">
        <v>2</v>
      </c>
      <c r="E622" s="56">
        <v>1.06530307873E-4</v>
      </c>
    </row>
    <row r="623" spans="2:5" ht="15" customHeight="1">
      <c r="B623" s="90"/>
      <c r="C623" s="54" t="s">
        <v>207</v>
      </c>
      <c r="D623" s="55">
        <v>2</v>
      </c>
      <c r="E623" s="56">
        <v>1.06530307873E-4</v>
      </c>
    </row>
    <row r="624" spans="2:5" ht="15" customHeight="1">
      <c r="B624" s="90"/>
      <c r="C624" s="54" t="s">
        <v>219</v>
      </c>
      <c r="D624" s="55">
        <v>2</v>
      </c>
      <c r="E624" s="56">
        <v>1.06530307873E-4</v>
      </c>
    </row>
    <row r="625" spans="2:5" ht="15" customHeight="1">
      <c r="B625" s="90"/>
      <c r="C625" s="54" t="s">
        <v>191</v>
      </c>
      <c r="D625" s="55">
        <v>2</v>
      </c>
      <c r="E625" s="56">
        <v>1.06530307873E-4</v>
      </c>
    </row>
    <row r="626" spans="2:5" ht="15" customHeight="1">
      <c r="B626" s="90"/>
      <c r="C626" s="54" t="s">
        <v>204</v>
      </c>
      <c r="D626" s="55">
        <v>2</v>
      </c>
      <c r="E626" s="56">
        <v>1.06530307873E-4</v>
      </c>
    </row>
    <row r="627" spans="2:5" ht="15" customHeight="1">
      <c r="B627" s="90"/>
      <c r="C627" s="54" t="s">
        <v>216</v>
      </c>
      <c r="D627" s="55">
        <v>1</v>
      </c>
      <c r="E627" s="56">
        <v>5.3265153936E-5</v>
      </c>
    </row>
    <row r="628" spans="2:5" ht="15" customHeight="1">
      <c r="B628" s="90"/>
      <c r="C628" s="54" t="s">
        <v>211</v>
      </c>
      <c r="D628" s="55">
        <v>1</v>
      </c>
      <c r="E628" s="56">
        <v>5.3265153936E-5</v>
      </c>
    </row>
    <row r="629" spans="2:5" ht="15" customHeight="1">
      <c r="B629" s="90"/>
      <c r="C629" s="54" t="s">
        <v>217</v>
      </c>
      <c r="D629" s="55">
        <v>1</v>
      </c>
      <c r="E629" s="56">
        <v>5.3265153936E-5</v>
      </c>
    </row>
    <row r="630" spans="2:5" ht="15" customHeight="1">
      <c r="B630" s="90"/>
      <c r="C630" s="54" t="s">
        <v>206</v>
      </c>
      <c r="D630" s="55">
        <v>1</v>
      </c>
      <c r="E630" s="56">
        <v>5.3265153936E-5</v>
      </c>
    </row>
    <row r="631" spans="2:5" ht="15" customHeight="1">
      <c r="B631" s="90"/>
      <c r="C631" s="54" t="s">
        <v>246</v>
      </c>
      <c r="D631" s="55">
        <v>1</v>
      </c>
      <c r="E631" s="56">
        <v>5.3265153936E-5</v>
      </c>
    </row>
    <row r="632" spans="2:5" ht="15" customHeight="1">
      <c r="B632" s="90"/>
      <c r="C632" s="54" t="s">
        <v>214</v>
      </c>
      <c r="D632" s="55">
        <v>1</v>
      </c>
      <c r="E632" s="56">
        <v>5.3265153936E-5</v>
      </c>
    </row>
    <row r="633" spans="2:5" ht="15" customHeight="1">
      <c r="B633" s="90"/>
      <c r="C633" s="54" t="s">
        <v>215</v>
      </c>
      <c r="D633" s="55">
        <v>1</v>
      </c>
      <c r="E633" s="56">
        <v>5.3265153936E-5</v>
      </c>
    </row>
    <row r="634" spans="2:5" ht="15" customHeight="1">
      <c r="B634" s="90"/>
      <c r="C634" s="54" t="s">
        <v>229</v>
      </c>
      <c r="D634" s="55">
        <v>1</v>
      </c>
      <c r="E634" s="56">
        <v>5.3265153936E-5</v>
      </c>
    </row>
    <row r="635" spans="2:5" ht="15" customHeight="1">
      <c r="B635" s="90"/>
      <c r="C635" s="54" t="s">
        <v>224</v>
      </c>
      <c r="D635" s="55">
        <v>1</v>
      </c>
      <c r="E635" s="56">
        <v>5.3265153936E-5</v>
      </c>
    </row>
    <row r="636" spans="2:5" ht="15" customHeight="1">
      <c r="B636" s="90"/>
      <c r="C636" s="54" t="s">
        <v>202</v>
      </c>
      <c r="D636" s="55">
        <v>1</v>
      </c>
      <c r="E636" s="56">
        <v>5.3265153936E-5</v>
      </c>
    </row>
    <row r="637" spans="2:5" ht="15" customHeight="1">
      <c r="B637" s="91"/>
      <c r="C637" s="65" t="s">
        <v>321</v>
      </c>
      <c r="D637" s="64">
        <v>216</v>
      </c>
      <c r="E637" s="66">
        <v>1.150527325024E-2</v>
      </c>
    </row>
    <row r="638" spans="2:5" ht="15" customHeight="1">
      <c r="B638" s="89" t="s">
        <v>143</v>
      </c>
      <c r="C638" s="54" t="s">
        <v>181</v>
      </c>
      <c r="D638" s="55">
        <v>28</v>
      </c>
      <c r="E638" s="56">
        <v>1.4914243102159999E-3</v>
      </c>
    </row>
    <row r="639" spans="2:5" ht="15" customHeight="1">
      <c r="B639" s="90"/>
      <c r="C639" s="54" t="s">
        <v>182</v>
      </c>
      <c r="D639" s="55">
        <v>22</v>
      </c>
      <c r="E639" s="56">
        <v>1.1718333865980001E-3</v>
      </c>
    </row>
    <row r="640" spans="2:5" ht="15" customHeight="1">
      <c r="B640" s="90"/>
      <c r="C640" s="54" t="s">
        <v>187</v>
      </c>
      <c r="D640" s="55">
        <v>22</v>
      </c>
      <c r="E640" s="56">
        <v>1.1718333865980001E-3</v>
      </c>
    </row>
    <row r="641" spans="2:5" ht="15" customHeight="1">
      <c r="B641" s="90"/>
      <c r="C641" s="54" t="s">
        <v>183</v>
      </c>
      <c r="D641" s="55">
        <v>20</v>
      </c>
      <c r="E641" s="56">
        <v>1.065303078726E-3</v>
      </c>
    </row>
    <row r="642" spans="2:5" ht="15" customHeight="1">
      <c r="B642" s="90"/>
      <c r="C642" s="54" t="s">
        <v>201</v>
      </c>
      <c r="D642" s="55">
        <v>9</v>
      </c>
      <c r="E642" s="56">
        <v>4.7938638542699999E-4</v>
      </c>
    </row>
    <row r="643" spans="2:5" ht="15" customHeight="1">
      <c r="B643" s="90"/>
      <c r="C643" s="54" t="s">
        <v>233</v>
      </c>
      <c r="D643" s="55">
        <v>6</v>
      </c>
      <c r="E643" s="56">
        <v>3.1959092361799997E-4</v>
      </c>
    </row>
    <row r="644" spans="2:5" ht="15" customHeight="1">
      <c r="B644" s="90"/>
      <c r="C644" s="54" t="s">
        <v>188</v>
      </c>
      <c r="D644" s="55">
        <v>5</v>
      </c>
      <c r="E644" s="56">
        <v>2.6632576968100001E-4</v>
      </c>
    </row>
    <row r="645" spans="2:5" ht="15" customHeight="1">
      <c r="B645" s="90"/>
      <c r="C645" s="54" t="s">
        <v>184</v>
      </c>
      <c r="D645" s="55">
        <v>5</v>
      </c>
      <c r="E645" s="56">
        <v>2.6632576968100001E-4</v>
      </c>
    </row>
    <row r="646" spans="2:5" ht="15" customHeight="1">
      <c r="B646" s="90"/>
      <c r="C646" s="54" t="s">
        <v>190</v>
      </c>
      <c r="D646" s="55">
        <v>5</v>
      </c>
      <c r="E646" s="56">
        <v>2.6632576968100001E-4</v>
      </c>
    </row>
    <row r="647" spans="2:5" ht="15" customHeight="1">
      <c r="B647" s="90"/>
      <c r="C647" s="54" t="s">
        <v>185</v>
      </c>
      <c r="D647" s="55">
        <v>4</v>
      </c>
      <c r="E647" s="56">
        <v>2.1306061574499999E-4</v>
      </c>
    </row>
    <row r="648" spans="2:5" ht="15" customHeight="1">
      <c r="B648" s="90"/>
      <c r="C648" s="54" t="s">
        <v>198</v>
      </c>
      <c r="D648" s="55">
        <v>3</v>
      </c>
      <c r="E648" s="56">
        <v>1.5979546180899999E-4</v>
      </c>
    </row>
    <row r="649" spans="2:5" ht="15" customHeight="1">
      <c r="B649" s="90"/>
      <c r="C649" s="54" t="s">
        <v>212</v>
      </c>
      <c r="D649" s="55">
        <v>3</v>
      </c>
      <c r="E649" s="56">
        <v>1.5979546180899999E-4</v>
      </c>
    </row>
    <row r="650" spans="2:5" ht="15" customHeight="1">
      <c r="B650" s="90"/>
      <c r="C650" s="54" t="s">
        <v>189</v>
      </c>
      <c r="D650" s="55">
        <v>3</v>
      </c>
      <c r="E650" s="56">
        <v>1.5979546180899999E-4</v>
      </c>
    </row>
    <row r="651" spans="2:5" ht="15" customHeight="1">
      <c r="B651" s="90"/>
      <c r="C651" s="54" t="s">
        <v>186</v>
      </c>
      <c r="D651" s="55">
        <v>3</v>
      </c>
      <c r="E651" s="56">
        <v>1.5979546180899999E-4</v>
      </c>
    </row>
    <row r="652" spans="2:5" ht="15" customHeight="1">
      <c r="B652" s="90"/>
      <c r="C652" s="54" t="s">
        <v>202</v>
      </c>
      <c r="D652" s="55">
        <v>3</v>
      </c>
      <c r="E652" s="56">
        <v>1.5979546180899999E-4</v>
      </c>
    </row>
    <row r="653" spans="2:5" ht="15" customHeight="1">
      <c r="B653" s="90"/>
      <c r="C653" s="54" t="s">
        <v>211</v>
      </c>
      <c r="D653" s="55">
        <v>2</v>
      </c>
      <c r="E653" s="56">
        <v>1.06530307873E-4</v>
      </c>
    </row>
    <row r="654" spans="2:5" ht="15" customHeight="1">
      <c r="B654" s="90"/>
      <c r="C654" s="54" t="s">
        <v>197</v>
      </c>
      <c r="D654" s="55">
        <v>2</v>
      </c>
      <c r="E654" s="56">
        <v>1.06530307873E-4</v>
      </c>
    </row>
    <row r="655" spans="2:5" ht="15" customHeight="1">
      <c r="B655" s="90"/>
      <c r="C655" s="54" t="s">
        <v>214</v>
      </c>
      <c r="D655" s="55">
        <v>2</v>
      </c>
      <c r="E655" s="56">
        <v>1.06530307873E-4</v>
      </c>
    </row>
    <row r="656" spans="2:5" ht="15" customHeight="1">
      <c r="B656" s="90"/>
      <c r="C656" s="54" t="s">
        <v>247</v>
      </c>
      <c r="D656" s="55">
        <v>2</v>
      </c>
      <c r="E656" s="56">
        <v>1.06530307873E-4</v>
      </c>
    </row>
    <row r="657" spans="2:5" ht="15" customHeight="1">
      <c r="B657" s="90"/>
      <c r="C657" s="54" t="s">
        <v>213</v>
      </c>
      <c r="D657" s="55">
        <v>2</v>
      </c>
      <c r="E657" s="56">
        <v>1.06530307873E-4</v>
      </c>
    </row>
    <row r="658" spans="2:5" ht="15" customHeight="1">
      <c r="B658" s="90"/>
      <c r="C658" s="54" t="s">
        <v>192</v>
      </c>
      <c r="D658" s="55">
        <v>2</v>
      </c>
      <c r="E658" s="56">
        <v>1.06530307873E-4</v>
      </c>
    </row>
    <row r="659" spans="2:5" ht="15" customHeight="1">
      <c r="B659" s="90"/>
      <c r="C659" s="54" t="s">
        <v>191</v>
      </c>
      <c r="D659" s="55">
        <v>2</v>
      </c>
      <c r="E659" s="56">
        <v>1.06530307873E-4</v>
      </c>
    </row>
    <row r="660" spans="2:5" ht="15" customHeight="1">
      <c r="B660" s="90"/>
      <c r="C660" s="54" t="s">
        <v>237</v>
      </c>
      <c r="D660" s="55">
        <v>2</v>
      </c>
      <c r="E660" s="56">
        <v>1.06530307873E-4</v>
      </c>
    </row>
    <row r="661" spans="2:5" ht="15" customHeight="1">
      <c r="B661" s="90"/>
      <c r="C661" s="54" t="s">
        <v>208</v>
      </c>
      <c r="D661" s="55">
        <v>2</v>
      </c>
      <c r="E661" s="56">
        <v>1.06530307873E-4</v>
      </c>
    </row>
    <row r="662" spans="2:5" ht="15" customHeight="1">
      <c r="B662" s="90"/>
      <c r="C662" s="54" t="s">
        <v>217</v>
      </c>
      <c r="D662" s="55">
        <v>1</v>
      </c>
      <c r="E662" s="56">
        <v>5.3265153936E-5</v>
      </c>
    </row>
    <row r="663" spans="2:5" ht="15" customHeight="1">
      <c r="B663" s="90"/>
      <c r="C663" s="54" t="s">
        <v>246</v>
      </c>
      <c r="D663" s="55">
        <v>1</v>
      </c>
      <c r="E663" s="56">
        <v>5.3265153936E-5</v>
      </c>
    </row>
    <row r="664" spans="2:5" ht="15" customHeight="1">
      <c r="B664" s="90"/>
      <c r="C664" s="54" t="s">
        <v>219</v>
      </c>
      <c r="D664" s="55">
        <v>1</v>
      </c>
      <c r="E664" s="56">
        <v>5.3265153936E-5</v>
      </c>
    </row>
    <row r="665" spans="2:5" ht="15" customHeight="1">
      <c r="B665" s="90"/>
      <c r="C665" s="54" t="s">
        <v>234</v>
      </c>
      <c r="D665" s="55">
        <v>1</v>
      </c>
      <c r="E665" s="56">
        <v>5.3265153936E-5</v>
      </c>
    </row>
    <row r="666" spans="2:5" ht="15" customHeight="1">
      <c r="B666" s="90"/>
      <c r="C666" s="54" t="s">
        <v>194</v>
      </c>
      <c r="D666" s="55">
        <v>1</v>
      </c>
      <c r="E666" s="56">
        <v>5.3265153936E-5</v>
      </c>
    </row>
    <row r="667" spans="2:5" ht="15" customHeight="1">
      <c r="B667" s="90"/>
      <c r="C667" s="54" t="s">
        <v>220</v>
      </c>
      <c r="D667" s="55">
        <v>1</v>
      </c>
      <c r="E667" s="56">
        <v>5.3265153936E-5</v>
      </c>
    </row>
    <row r="668" spans="2:5" ht="15" customHeight="1">
      <c r="B668" s="90"/>
      <c r="C668" s="54" t="s">
        <v>200</v>
      </c>
      <c r="D668" s="55">
        <v>1</v>
      </c>
      <c r="E668" s="56">
        <v>5.3265153936E-5</v>
      </c>
    </row>
    <row r="669" spans="2:5" ht="15" customHeight="1">
      <c r="B669" s="90"/>
      <c r="C669" s="54" t="s">
        <v>204</v>
      </c>
      <c r="D669" s="55">
        <v>1</v>
      </c>
      <c r="E669" s="56">
        <v>5.3265153936E-5</v>
      </c>
    </row>
    <row r="670" spans="2:5" ht="15" customHeight="1">
      <c r="B670" s="91"/>
      <c r="C670" s="65" t="s">
        <v>321</v>
      </c>
      <c r="D670" s="64">
        <v>167</v>
      </c>
      <c r="E670" s="66">
        <v>8.8952807073609998E-3</v>
      </c>
    </row>
    <row r="671" spans="2:5" ht="15" customHeight="1">
      <c r="B671" s="89" t="s">
        <v>144</v>
      </c>
      <c r="C671" s="54" t="s">
        <v>181</v>
      </c>
      <c r="D671" s="55">
        <v>46</v>
      </c>
      <c r="E671" s="56">
        <v>2.45019708107E-3</v>
      </c>
    </row>
    <row r="672" spans="2:5" ht="15" customHeight="1">
      <c r="B672" s="90"/>
      <c r="C672" s="54" t="s">
        <v>182</v>
      </c>
      <c r="D672" s="55">
        <v>41</v>
      </c>
      <c r="E672" s="56">
        <v>2.183871311388E-3</v>
      </c>
    </row>
    <row r="673" spans="2:5" ht="15" customHeight="1">
      <c r="B673" s="90"/>
      <c r="C673" s="54" t="s">
        <v>185</v>
      </c>
      <c r="D673" s="55">
        <v>14</v>
      </c>
      <c r="E673" s="56">
        <v>7.4571215510799995E-4</v>
      </c>
    </row>
    <row r="674" spans="2:5" ht="15" customHeight="1">
      <c r="B674" s="90"/>
      <c r="C674" s="54" t="s">
        <v>183</v>
      </c>
      <c r="D674" s="55">
        <v>11</v>
      </c>
      <c r="E674" s="56">
        <v>5.8591669329900004E-4</v>
      </c>
    </row>
    <row r="675" spans="2:5" ht="15" customHeight="1">
      <c r="B675" s="90"/>
      <c r="C675" s="54" t="s">
        <v>195</v>
      </c>
      <c r="D675" s="55">
        <v>7</v>
      </c>
      <c r="E675" s="56">
        <v>3.7285607755399997E-4</v>
      </c>
    </row>
    <row r="676" spans="2:5" ht="15" customHeight="1">
      <c r="B676" s="90"/>
      <c r="C676" s="54" t="s">
        <v>184</v>
      </c>
      <c r="D676" s="55">
        <v>5</v>
      </c>
      <c r="E676" s="56">
        <v>2.6632576968100001E-4</v>
      </c>
    </row>
    <row r="677" spans="2:5" ht="15" customHeight="1">
      <c r="B677" s="90"/>
      <c r="C677" s="54" t="s">
        <v>189</v>
      </c>
      <c r="D677" s="55">
        <v>5</v>
      </c>
      <c r="E677" s="56">
        <v>2.6632576968100001E-4</v>
      </c>
    </row>
    <row r="678" spans="2:5" ht="15" customHeight="1">
      <c r="B678" s="90"/>
      <c r="C678" s="54" t="s">
        <v>192</v>
      </c>
      <c r="D678" s="55">
        <v>5</v>
      </c>
      <c r="E678" s="56">
        <v>2.6632576968100001E-4</v>
      </c>
    </row>
    <row r="679" spans="2:5" ht="15" customHeight="1">
      <c r="B679" s="90"/>
      <c r="C679" s="54" t="s">
        <v>187</v>
      </c>
      <c r="D679" s="55">
        <v>5</v>
      </c>
      <c r="E679" s="56">
        <v>2.6632576968100001E-4</v>
      </c>
    </row>
    <row r="680" spans="2:5" ht="15" customHeight="1">
      <c r="B680" s="90"/>
      <c r="C680" s="54" t="s">
        <v>186</v>
      </c>
      <c r="D680" s="55">
        <v>5</v>
      </c>
      <c r="E680" s="56">
        <v>2.6632576968100001E-4</v>
      </c>
    </row>
    <row r="681" spans="2:5" ht="15" customHeight="1">
      <c r="B681" s="90"/>
      <c r="C681" s="54" t="s">
        <v>214</v>
      </c>
      <c r="D681" s="55">
        <v>2</v>
      </c>
      <c r="E681" s="56">
        <v>1.06530307873E-4</v>
      </c>
    </row>
    <row r="682" spans="2:5" ht="15" customHeight="1">
      <c r="B682" s="90"/>
      <c r="C682" s="54" t="s">
        <v>191</v>
      </c>
      <c r="D682" s="55">
        <v>2</v>
      </c>
      <c r="E682" s="56">
        <v>1.06530307873E-4</v>
      </c>
    </row>
    <row r="683" spans="2:5" ht="15" customHeight="1">
      <c r="B683" s="90"/>
      <c r="C683" s="54" t="s">
        <v>194</v>
      </c>
      <c r="D683" s="55">
        <v>2</v>
      </c>
      <c r="E683" s="56">
        <v>1.06530307873E-4</v>
      </c>
    </row>
    <row r="684" spans="2:5" ht="15" customHeight="1">
      <c r="B684" s="90"/>
      <c r="C684" s="54" t="s">
        <v>222</v>
      </c>
      <c r="D684" s="55">
        <v>1</v>
      </c>
      <c r="E684" s="56">
        <v>5.3265153936E-5</v>
      </c>
    </row>
    <row r="685" spans="2:5" ht="15" customHeight="1">
      <c r="B685" s="90"/>
      <c r="C685" s="54" t="s">
        <v>198</v>
      </c>
      <c r="D685" s="55">
        <v>1</v>
      </c>
      <c r="E685" s="56">
        <v>5.3265153936E-5</v>
      </c>
    </row>
    <row r="686" spans="2:5" ht="15" customHeight="1">
      <c r="B686" s="90"/>
      <c r="C686" s="54" t="s">
        <v>201</v>
      </c>
      <c r="D686" s="55">
        <v>1</v>
      </c>
      <c r="E686" s="56">
        <v>5.3265153936E-5</v>
      </c>
    </row>
    <row r="687" spans="2:5" ht="15" customHeight="1">
      <c r="B687" s="90"/>
      <c r="C687" s="54" t="s">
        <v>188</v>
      </c>
      <c r="D687" s="55">
        <v>1</v>
      </c>
      <c r="E687" s="56">
        <v>5.3265153936E-5</v>
      </c>
    </row>
    <row r="688" spans="2:5" ht="15" customHeight="1">
      <c r="B688" s="90"/>
      <c r="C688" s="54" t="s">
        <v>223</v>
      </c>
      <c r="D688" s="55">
        <v>1</v>
      </c>
      <c r="E688" s="56">
        <v>5.3265153936E-5</v>
      </c>
    </row>
    <row r="689" spans="2:5" ht="15" customHeight="1">
      <c r="B689" s="90"/>
      <c r="C689" s="54" t="s">
        <v>246</v>
      </c>
      <c r="D689" s="55">
        <v>1</v>
      </c>
      <c r="E689" s="56">
        <v>5.3265153936E-5</v>
      </c>
    </row>
    <row r="690" spans="2:5" ht="15" customHeight="1">
      <c r="B690" s="90"/>
      <c r="C690" s="54" t="s">
        <v>193</v>
      </c>
      <c r="D690" s="55">
        <v>1</v>
      </c>
      <c r="E690" s="56">
        <v>5.3265153936E-5</v>
      </c>
    </row>
    <row r="691" spans="2:5" ht="15" customHeight="1">
      <c r="B691" s="90"/>
      <c r="C691" s="54" t="s">
        <v>215</v>
      </c>
      <c r="D691" s="55">
        <v>1</v>
      </c>
      <c r="E691" s="56">
        <v>5.3265153936E-5</v>
      </c>
    </row>
    <row r="692" spans="2:5" ht="15" customHeight="1">
      <c r="B692" s="90"/>
      <c r="C692" s="54" t="s">
        <v>236</v>
      </c>
      <c r="D692" s="55">
        <v>1</v>
      </c>
      <c r="E692" s="56">
        <v>5.3265153936E-5</v>
      </c>
    </row>
    <row r="693" spans="2:5" ht="15" customHeight="1">
      <c r="B693" s="90"/>
      <c r="C693" s="54" t="s">
        <v>248</v>
      </c>
      <c r="D693" s="55">
        <v>1</v>
      </c>
      <c r="E693" s="56">
        <v>5.3265153936E-5</v>
      </c>
    </row>
    <row r="694" spans="2:5" ht="15" customHeight="1">
      <c r="B694" s="90"/>
      <c r="C694" s="54" t="s">
        <v>203</v>
      </c>
      <c r="D694" s="55">
        <v>1</v>
      </c>
      <c r="E694" s="56">
        <v>5.3265153936E-5</v>
      </c>
    </row>
    <row r="695" spans="2:5" ht="15" customHeight="1">
      <c r="B695" s="90"/>
      <c r="C695" s="54" t="s">
        <v>200</v>
      </c>
      <c r="D695" s="55">
        <v>1</v>
      </c>
      <c r="E695" s="56">
        <v>5.3265153936E-5</v>
      </c>
    </row>
    <row r="696" spans="2:5" ht="15" customHeight="1">
      <c r="B696" s="91"/>
      <c r="C696" s="65" t="s">
        <v>321</v>
      </c>
      <c r="D696" s="64">
        <v>162</v>
      </c>
      <c r="E696" s="66">
        <v>8.6289549376800008E-3</v>
      </c>
    </row>
    <row r="697" spans="2:5" ht="15" customHeight="1">
      <c r="B697" s="89" t="s">
        <v>145</v>
      </c>
      <c r="C697" s="54" t="s">
        <v>181</v>
      </c>
      <c r="D697" s="55">
        <v>31</v>
      </c>
      <c r="E697" s="56">
        <v>1.6512197720249999E-3</v>
      </c>
    </row>
    <row r="698" spans="2:5" ht="15" customHeight="1">
      <c r="B698" s="90"/>
      <c r="C698" s="54" t="s">
        <v>183</v>
      </c>
      <c r="D698" s="55">
        <v>25</v>
      </c>
      <c r="E698" s="56">
        <v>1.3316288484070001E-3</v>
      </c>
    </row>
    <row r="699" spans="2:5" ht="15" customHeight="1">
      <c r="B699" s="90"/>
      <c r="C699" s="54" t="s">
        <v>182</v>
      </c>
      <c r="D699" s="55">
        <v>21</v>
      </c>
      <c r="E699" s="56">
        <v>1.118568232662E-3</v>
      </c>
    </row>
    <row r="700" spans="2:5" ht="15" customHeight="1">
      <c r="B700" s="90"/>
      <c r="C700" s="54" t="s">
        <v>184</v>
      </c>
      <c r="D700" s="55">
        <v>21</v>
      </c>
      <c r="E700" s="56">
        <v>1.118568232662E-3</v>
      </c>
    </row>
    <row r="701" spans="2:5" ht="15" customHeight="1">
      <c r="B701" s="90"/>
      <c r="C701" s="54" t="s">
        <v>190</v>
      </c>
      <c r="D701" s="55">
        <v>8</v>
      </c>
      <c r="E701" s="56">
        <v>4.2612123148999997E-4</v>
      </c>
    </row>
    <row r="702" spans="2:5" ht="15" customHeight="1">
      <c r="B702" s="90"/>
      <c r="C702" s="54" t="s">
        <v>191</v>
      </c>
      <c r="D702" s="55">
        <v>7</v>
      </c>
      <c r="E702" s="56">
        <v>3.7285607755399997E-4</v>
      </c>
    </row>
    <row r="703" spans="2:5" ht="15" customHeight="1">
      <c r="B703" s="90"/>
      <c r="C703" s="54" t="s">
        <v>188</v>
      </c>
      <c r="D703" s="55">
        <v>5</v>
      </c>
      <c r="E703" s="56">
        <v>2.6632576968100001E-4</v>
      </c>
    </row>
    <row r="704" spans="2:5" ht="15" customHeight="1">
      <c r="B704" s="90"/>
      <c r="C704" s="54" t="s">
        <v>212</v>
      </c>
      <c r="D704" s="55">
        <v>5</v>
      </c>
      <c r="E704" s="56">
        <v>2.6632576968100001E-4</v>
      </c>
    </row>
    <row r="705" spans="2:5" ht="15" customHeight="1">
      <c r="B705" s="90"/>
      <c r="C705" s="54" t="s">
        <v>192</v>
      </c>
      <c r="D705" s="55">
        <v>3</v>
      </c>
      <c r="E705" s="56">
        <v>1.5979546180899999E-4</v>
      </c>
    </row>
    <row r="706" spans="2:5" ht="15" customHeight="1">
      <c r="B706" s="90"/>
      <c r="C706" s="54" t="s">
        <v>207</v>
      </c>
      <c r="D706" s="55">
        <v>2</v>
      </c>
      <c r="E706" s="56">
        <v>1.06530307873E-4</v>
      </c>
    </row>
    <row r="707" spans="2:5" ht="15" customHeight="1">
      <c r="B707" s="90"/>
      <c r="C707" s="54" t="s">
        <v>189</v>
      </c>
      <c r="D707" s="55">
        <v>2</v>
      </c>
      <c r="E707" s="56">
        <v>1.06530307873E-4</v>
      </c>
    </row>
    <row r="708" spans="2:5" ht="15" customHeight="1">
      <c r="B708" s="90"/>
      <c r="C708" s="54" t="s">
        <v>185</v>
      </c>
      <c r="D708" s="55">
        <v>2</v>
      </c>
      <c r="E708" s="56">
        <v>1.06530307873E-4</v>
      </c>
    </row>
    <row r="709" spans="2:5" ht="15" customHeight="1">
      <c r="B709" s="90"/>
      <c r="C709" s="54" t="s">
        <v>187</v>
      </c>
      <c r="D709" s="55">
        <v>2</v>
      </c>
      <c r="E709" s="56">
        <v>1.06530307873E-4</v>
      </c>
    </row>
    <row r="710" spans="2:5" ht="15" customHeight="1">
      <c r="B710" s="90"/>
      <c r="C710" s="54" t="s">
        <v>196</v>
      </c>
      <c r="D710" s="55">
        <v>1</v>
      </c>
      <c r="E710" s="56">
        <v>5.3265153936E-5</v>
      </c>
    </row>
    <row r="711" spans="2:5" ht="15" customHeight="1">
      <c r="B711" s="90"/>
      <c r="C711" s="54" t="s">
        <v>211</v>
      </c>
      <c r="D711" s="55">
        <v>1</v>
      </c>
      <c r="E711" s="56">
        <v>5.3265153936E-5</v>
      </c>
    </row>
    <row r="712" spans="2:5" ht="15" customHeight="1">
      <c r="B712" s="90"/>
      <c r="C712" s="54" t="s">
        <v>201</v>
      </c>
      <c r="D712" s="55">
        <v>1</v>
      </c>
      <c r="E712" s="56">
        <v>5.3265153936E-5</v>
      </c>
    </row>
    <row r="713" spans="2:5" ht="15" customHeight="1">
      <c r="B713" s="90"/>
      <c r="C713" s="54" t="s">
        <v>206</v>
      </c>
      <c r="D713" s="55">
        <v>1</v>
      </c>
      <c r="E713" s="56">
        <v>5.3265153936E-5</v>
      </c>
    </row>
    <row r="714" spans="2:5" ht="15" customHeight="1">
      <c r="B714" s="90"/>
      <c r="C714" s="54" t="s">
        <v>197</v>
      </c>
      <c r="D714" s="55">
        <v>1</v>
      </c>
      <c r="E714" s="56">
        <v>5.3265153936E-5</v>
      </c>
    </row>
    <row r="715" spans="2:5" ht="15" customHeight="1">
      <c r="B715" s="90"/>
      <c r="C715" s="54" t="s">
        <v>219</v>
      </c>
      <c r="D715" s="55">
        <v>1</v>
      </c>
      <c r="E715" s="56">
        <v>5.3265153936E-5</v>
      </c>
    </row>
    <row r="716" spans="2:5" ht="15" customHeight="1">
      <c r="B716" s="90"/>
      <c r="C716" s="54" t="s">
        <v>213</v>
      </c>
      <c r="D716" s="55">
        <v>1</v>
      </c>
      <c r="E716" s="56">
        <v>5.3265153936E-5</v>
      </c>
    </row>
    <row r="717" spans="2:5" ht="15" customHeight="1">
      <c r="B717" s="90"/>
      <c r="C717" s="54" t="s">
        <v>240</v>
      </c>
      <c r="D717" s="55">
        <v>1</v>
      </c>
      <c r="E717" s="56">
        <v>5.3265153936E-5</v>
      </c>
    </row>
    <row r="718" spans="2:5" ht="15" customHeight="1">
      <c r="B718" s="90"/>
      <c r="C718" s="54" t="s">
        <v>194</v>
      </c>
      <c r="D718" s="55">
        <v>1</v>
      </c>
      <c r="E718" s="56">
        <v>5.3265153936E-5</v>
      </c>
    </row>
    <row r="719" spans="2:5" ht="15" customHeight="1">
      <c r="B719" s="90"/>
      <c r="C719" s="54" t="s">
        <v>186</v>
      </c>
      <c r="D719" s="55">
        <v>1</v>
      </c>
      <c r="E719" s="56">
        <v>5.3265153936E-5</v>
      </c>
    </row>
    <row r="720" spans="2:5" ht="15" customHeight="1">
      <c r="B720" s="90"/>
      <c r="C720" s="54" t="s">
        <v>203</v>
      </c>
      <c r="D720" s="55">
        <v>1</v>
      </c>
      <c r="E720" s="56">
        <v>5.3265153936E-5</v>
      </c>
    </row>
    <row r="721" spans="2:5" ht="15" customHeight="1">
      <c r="B721" s="90"/>
      <c r="C721" s="54" t="s">
        <v>221</v>
      </c>
      <c r="D721" s="55">
        <v>1</v>
      </c>
      <c r="E721" s="56">
        <v>5.3265153936E-5</v>
      </c>
    </row>
    <row r="722" spans="2:5" ht="15" customHeight="1">
      <c r="B722" s="90"/>
      <c r="C722" s="54" t="s">
        <v>208</v>
      </c>
      <c r="D722" s="55">
        <v>1</v>
      </c>
      <c r="E722" s="56">
        <v>5.3265153936E-5</v>
      </c>
    </row>
    <row r="723" spans="2:5" ht="15" customHeight="1">
      <c r="B723" s="90"/>
      <c r="C723" s="54" t="s">
        <v>200</v>
      </c>
      <c r="D723" s="55">
        <v>1</v>
      </c>
      <c r="E723" s="56">
        <v>5.3265153936E-5</v>
      </c>
    </row>
    <row r="724" spans="2:5" ht="15" customHeight="1">
      <c r="B724" s="90"/>
      <c r="C724" s="54" t="s">
        <v>199</v>
      </c>
      <c r="D724" s="55">
        <v>1</v>
      </c>
      <c r="E724" s="56">
        <v>5.3265153936E-5</v>
      </c>
    </row>
    <row r="725" spans="2:5" ht="15" customHeight="1">
      <c r="B725" s="91"/>
      <c r="C725" s="65" t="s">
        <v>321</v>
      </c>
      <c r="D725" s="64">
        <v>149</v>
      </c>
      <c r="E725" s="66">
        <v>7.9365079365080003E-3</v>
      </c>
    </row>
    <row r="726" spans="2:5" ht="15" customHeight="1">
      <c r="B726" s="89" t="s">
        <v>146</v>
      </c>
      <c r="C726" s="54" t="s">
        <v>181</v>
      </c>
      <c r="D726" s="55">
        <v>37</v>
      </c>
      <c r="E726" s="56">
        <v>1.9708106956430002E-3</v>
      </c>
    </row>
    <row r="727" spans="2:5" ht="15" customHeight="1">
      <c r="B727" s="90"/>
      <c r="C727" s="54" t="s">
        <v>183</v>
      </c>
      <c r="D727" s="55">
        <v>27</v>
      </c>
      <c r="E727" s="56">
        <v>1.4381591562800001E-3</v>
      </c>
    </row>
    <row r="728" spans="2:5" ht="15" customHeight="1">
      <c r="B728" s="90"/>
      <c r="C728" s="54" t="s">
        <v>182</v>
      </c>
      <c r="D728" s="55">
        <v>23</v>
      </c>
      <c r="E728" s="56">
        <v>1.225098540535E-3</v>
      </c>
    </row>
    <row r="729" spans="2:5" ht="15" customHeight="1">
      <c r="B729" s="90"/>
      <c r="C729" s="54" t="s">
        <v>188</v>
      </c>
      <c r="D729" s="55">
        <v>8</v>
      </c>
      <c r="E729" s="56">
        <v>4.2612123148999997E-4</v>
      </c>
    </row>
    <row r="730" spans="2:5" ht="15" customHeight="1">
      <c r="B730" s="90"/>
      <c r="C730" s="54" t="s">
        <v>185</v>
      </c>
      <c r="D730" s="55">
        <v>6</v>
      </c>
      <c r="E730" s="56">
        <v>3.1959092361799997E-4</v>
      </c>
    </row>
    <row r="731" spans="2:5" ht="15" customHeight="1">
      <c r="B731" s="90"/>
      <c r="C731" s="54" t="s">
        <v>241</v>
      </c>
      <c r="D731" s="55">
        <v>5</v>
      </c>
      <c r="E731" s="56">
        <v>2.6632576968100001E-4</v>
      </c>
    </row>
    <row r="732" spans="2:5" ht="15" customHeight="1">
      <c r="B732" s="90"/>
      <c r="C732" s="54" t="s">
        <v>184</v>
      </c>
      <c r="D732" s="55">
        <v>4</v>
      </c>
      <c r="E732" s="56">
        <v>2.1306061574499999E-4</v>
      </c>
    </row>
    <row r="733" spans="2:5" ht="15" customHeight="1">
      <c r="B733" s="90"/>
      <c r="C733" s="54" t="s">
        <v>198</v>
      </c>
      <c r="D733" s="55">
        <v>2</v>
      </c>
      <c r="E733" s="56">
        <v>1.06530307873E-4</v>
      </c>
    </row>
    <row r="734" spans="2:5" ht="15" customHeight="1">
      <c r="B734" s="90"/>
      <c r="C734" s="54" t="s">
        <v>186</v>
      </c>
      <c r="D734" s="55">
        <v>2</v>
      </c>
      <c r="E734" s="56">
        <v>1.06530307873E-4</v>
      </c>
    </row>
    <row r="735" spans="2:5" ht="15" customHeight="1">
      <c r="B735" s="90"/>
      <c r="C735" s="54" t="s">
        <v>209</v>
      </c>
      <c r="D735" s="55">
        <v>1</v>
      </c>
      <c r="E735" s="56">
        <v>5.3265153936E-5</v>
      </c>
    </row>
    <row r="736" spans="2:5" ht="15" customHeight="1">
      <c r="B736" s="90"/>
      <c r="C736" s="54" t="s">
        <v>206</v>
      </c>
      <c r="D736" s="55">
        <v>1</v>
      </c>
      <c r="E736" s="56">
        <v>5.3265153936E-5</v>
      </c>
    </row>
    <row r="737" spans="2:5" ht="15" customHeight="1">
      <c r="B737" s="90"/>
      <c r="C737" s="54" t="s">
        <v>197</v>
      </c>
      <c r="D737" s="55">
        <v>1</v>
      </c>
      <c r="E737" s="56">
        <v>5.3265153936E-5</v>
      </c>
    </row>
    <row r="738" spans="2:5" ht="15" customHeight="1">
      <c r="B738" s="90"/>
      <c r="C738" s="54" t="s">
        <v>246</v>
      </c>
      <c r="D738" s="55">
        <v>1</v>
      </c>
      <c r="E738" s="56">
        <v>5.3265153936E-5</v>
      </c>
    </row>
    <row r="739" spans="2:5" ht="15" customHeight="1">
      <c r="B739" s="90"/>
      <c r="C739" s="54" t="s">
        <v>207</v>
      </c>
      <c r="D739" s="55">
        <v>1</v>
      </c>
      <c r="E739" s="56">
        <v>5.3265153936E-5</v>
      </c>
    </row>
    <row r="740" spans="2:5" ht="15" customHeight="1">
      <c r="B740" s="90"/>
      <c r="C740" s="54" t="s">
        <v>189</v>
      </c>
      <c r="D740" s="55">
        <v>1</v>
      </c>
      <c r="E740" s="56">
        <v>5.3265153936E-5</v>
      </c>
    </row>
    <row r="741" spans="2:5" ht="15" customHeight="1">
      <c r="B741" s="90"/>
      <c r="C741" s="54" t="s">
        <v>219</v>
      </c>
      <c r="D741" s="55">
        <v>1</v>
      </c>
      <c r="E741" s="56">
        <v>5.3265153936E-5</v>
      </c>
    </row>
    <row r="742" spans="2:5" ht="15" customHeight="1">
      <c r="B742" s="90"/>
      <c r="C742" s="54" t="s">
        <v>190</v>
      </c>
      <c r="D742" s="55">
        <v>1</v>
      </c>
      <c r="E742" s="56">
        <v>5.3265153936E-5</v>
      </c>
    </row>
    <row r="743" spans="2:5" ht="15" customHeight="1">
      <c r="B743" s="90"/>
      <c r="C743" s="54" t="s">
        <v>192</v>
      </c>
      <c r="D743" s="55">
        <v>1</v>
      </c>
      <c r="E743" s="56">
        <v>5.3265153936E-5</v>
      </c>
    </row>
    <row r="744" spans="2:5" ht="15" customHeight="1">
      <c r="B744" s="90"/>
      <c r="C744" s="54" t="s">
        <v>191</v>
      </c>
      <c r="D744" s="55">
        <v>1</v>
      </c>
      <c r="E744" s="56">
        <v>5.3265153936E-5</v>
      </c>
    </row>
    <row r="745" spans="2:5" ht="15" customHeight="1">
      <c r="B745" s="90"/>
      <c r="C745" s="54" t="s">
        <v>245</v>
      </c>
      <c r="D745" s="55">
        <v>1</v>
      </c>
      <c r="E745" s="56">
        <v>5.3265153936E-5</v>
      </c>
    </row>
    <row r="746" spans="2:5" ht="15" customHeight="1">
      <c r="B746" s="90"/>
      <c r="C746" s="54" t="s">
        <v>208</v>
      </c>
      <c r="D746" s="55">
        <v>1</v>
      </c>
      <c r="E746" s="56">
        <v>5.3265153936E-5</v>
      </c>
    </row>
    <row r="747" spans="2:5" ht="15" customHeight="1">
      <c r="B747" s="90"/>
      <c r="C747" s="54" t="s">
        <v>200</v>
      </c>
      <c r="D747" s="55">
        <v>1</v>
      </c>
      <c r="E747" s="56">
        <v>5.3265153936E-5</v>
      </c>
    </row>
    <row r="748" spans="2:5" ht="15" customHeight="1">
      <c r="B748" s="90"/>
      <c r="C748" s="54" t="s">
        <v>202</v>
      </c>
      <c r="D748" s="55">
        <v>1</v>
      </c>
      <c r="E748" s="56">
        <v>5.3265153936E-5</v>
      </c>
    </row>
    <row r="749" spans="2:5" ht="15" customHeight="1">
      <c r="B749" s="91"/>
      <c r="C749" s="65" t="s">
        <v>321</v>
      </c>
      <c r="D749" s="64">
        <v>128</v>
      </c>
      <c r="E749" s="66">
        <v>6.817939703846E-3</v>
      </c>
    </row>
    <row r="750" spans="2:5" ht="15" customHeight="1">
      <c r="B750" s="89" t="s">
        <v>147</v>
      </c>
      <c r="C750" s="54" t="s">
        <v>181</v>
      </c>
      <c r="D750" s="55">
        <v>49</v>
      </c>
      <c r="E750" s="56">
        <v>2.6099925428780001E-3</v>
      </c>
    </row>
    <row r="751" spans="2:5" ht="15" customHeight="1">
      <c r="B751" s="90"/>
      <c r="C751" s="54" t="s">
        <v>182</v>
      </c>
      <c r="D751" s="55">
        <v>15</v>
      </c>
      <c r="E751" s="56">
        <v>7.98977309044E-4</v>
      </c>
    </row>
    <row r="752" spans="2:5" ht="15" customHeight="1">
      <c r="B752" s="90"/>
      <c r="C752" s="54" t="s">
        <v>183</v>
      </c>
      <c r="D752" s="55">
        <v>13</v>
      </c>
      <c r="E752" s="56">
        <v>6.92447001172E-4</v>
      </c>
    </row>
    <row r="753" spans="2:5" ht="15" customHeight="1">
      <c r="B753" s="90"/>
      <c r="C753" s="54" t="s">
        <v>184</v>
      </c>
      <c r="D753" s="55">
        <v>5</v>
      </c>
      <c r="E753" s="56">
        <v>2.6632576968100001E-4</v>
      </c>
    </row>
    <row r="754" spans="2:5" ht="15" customHeight="1">
      <c r="B754" s="90"/>
      <c r="C754" s="54" t="s">
        <v>188</v>
      </c>
      <c r="D754" s="55">
        <v>4</v>
      </c>
      <c r="E754" s="56">
        <v>2.1306061574499999E-4</v>
      </c>
    </row>
    <row r="755" spans="2:5" ht="15" customHeight="1">
      <c r="B755" s="90"/>
      <c r="C755" s="54" t="s">
        <v>185</v>
      </c>
      <c r="D755" s="55">
        <v>4</v>
      </c>
      <c r="E755" s="56">
        <v>2.1306061574499999E-4</v>
      </c>
    </row>
    <row r="756" spans="2:5" ht="15" customHeight="1">
      <c r="B756" s="90"/>
      <c r="C756" s="54" t="s">
        <v>190</v>
      </c>
      <c r="D756" s="55">
        <v>3</v>
      </c>
      <c r="E756" s="56">
        <v>1.5979546180899999E-4</v>
      </c>
    </row>
    <row r="757" spans="2:5" ht="15" customHeight="1">
      <c r="B757" s="90"/>
      <c r="C757" s="54" t="s">
        <v>200</v>
      </c>
      <c r="D757" s="55">
        <v>3</v>
      </c>
      <c r="E757" s="56">
        <v>1.5979546180899999E-4</v>
      </c>
    </row>
    <row r="758" spans="2:5" ht="15" customHeight="1">
      <c r="B758" s="90"/>
      <c r="C758" s="54" t="s">
        <v>201</v>
      </c>
      <c r="D758" s="55">
        <v>2</v>
      </c>
      <c r="E758" s="56">
        <v>1.06530307873E-4</v>
      </c>
    </row>
    <row r="759" spans="2:5" ht="15" customHeight="1">
      <c r="B759" s="90"/>
      <c r="C759" s="54" t="s">
        <v>191</v>
      </c>
      <c r="D759" s="55">
        <v>2</v>
      </c>
      <c r="E759" s="56">
        <v>1.06530307873E-4</v>
      </c>
    </row>
    <row r="760" spans="2:5" ht="15" customHeight="1">
      <c r="B760" s="90"/>
      <c r="C760" s="54" t="s">
        <v>196</v>
      </c>
      <c r="D760" s="55">
        <v>1</v>
      </c>
      <c r="E760" s="56">
        <v>5.3265153936E-5</v>
      </c>
    </row>
    <row r="761" spans="2:5" ht="15" customHeight="1">
      <c r="B761" s="90"/>
      <c r="C761" s="54" t="s">
        <v>228</v>
      </c>
      <c r="D761" s="55">
        <v>1</v>
      </c>
      <c r="E761" s="56">
        <v>5.3265153936E-5</v>
      </c>
    </row>
    <row r="762" spans="2:5" ht="15" customHeight="1">
      <c r="B762" s="90"/>
      <c r="C762" s="54" t="s">
        <v>198</v>
      </c>
      <c r="D762" s="55">
        <v>1</v>
      </c>
      <c r="E762" s="56">
        <v>5.3265153936E-5</v>
      </c>
    </row>
    <row r="763" spans="2:5" ht="15" customHeight="1">
      <c r="B763" s="90"/>
      <c r="C763" s="54" t="s">
        <v>212</v>
      </c>
      <c r="D763" s="55">
        <v>1</v>
      </c>
      <c r="E763" s="56">
        <v>5.3265153936E-5</v>
      </c>
    </row>
    <row r="764" spans="2:5" ht="15" customHeight="1">
      <c r="B764" s="90"/>
      <c r="C764" s="54" t="s">
        <v>206</v>
      </c>
      <c r="D764" s="55">
        <v>1</v>
      </c>
      <c r="E764" s="56">
        <v>5.3265153936E-5</v>
      </c>
    </row>
    <row r="765" spans="2:5" ht="15" customHeight="1">
      <c r="B765" s="90"/>
      <c r="C765" s="54" t="s">
        <v>246</v>
      </c>
      <c r="D765" s="55">
        <v>1</v>
      </c>
      <c r="E765" s="56">
        <v>5.3265153936E-5</v>
      </c>
    </row>
    <row r="766" spans="2:5" ht="15" customHeight="1">
      <c r="B766" s="90"/>
      <c r="C766" s="54" t="s">
        <v>233</v>
      </c>
      <c r="D766" s="55">
        <v>1</v>
      </c>
      <c r="E766" s="56">
        <v>5.3265153936E-5</v>
      </c>
    </row>
    <row r="767" spans="2:5" ht="15" customHeight="1">
      <c r="B767" s="90"/>
      <c r="C767" s="54" t="s">
        <v>207</v>
      </c>
      <c r="D767" s="55">
        <v>1</v>
      </c>
      <c r="E767" s="56">
        <v>5.3265153936E-5</v>
      </c>
    </row>
    <row r="768" spans="2:5" ht="15" customHeight="1">
      <c r="B768" s="90"/>
      <c r="C768" s="54" t="s">
        <v>219</v>
      </c>
      <c r="D768" s="55">
        <v>1</v>
      </c>
      <c r="E768" s="56">
        <v>5.3265153936E-5</v>
      </c>
    </row>
    <row r="769" spans="2:5" ht="15" customHeight="1">
      <c r="B769" s="90"/>
      <c r="C769" s="54" t="s">
        <v>229</v>
      </c>
      <c r="D769" s="55">
        <v>1</v>
      </c>
      <c r="E769" s="56">
        <v>5.3265153936E-5</v>
      </c>
    </row>
    <row r="770" spans="2:5" ht="15" customHeight="1">
      <c r="B770" s="90"/>
      <c r="C770" s="54" t="s">
        <v>187</v>
      </c>
      <c r="D770" s="55">
        <v>1</v>
      </c>
      <c r="E770" s="56">
        <v>5.3265153936E-5</v>
      </c>
    </row>
    <row r="771" spans="2:5" ht="15" customHeight="1">
      <c r="B771" s="90"/>
      <c r="C771" s="54" t="s">
        <v>231</v>
      </c>
      <c r="D771" s="55">
        <v>1</v>
      </c>
      <c r="E771" s="56">
        <v>5.3265153936E-5</v>
      </c>
    </row>
    <row r="772" spans="2:5" ht="15" customHeight="1">
      <c r="B772" s="90"/>
      <c r="C772" s="54" t="s">
        <v>199</v>
      </c>
      <c r="D772" s="55">
        <v>1</v>
      </c>
      <c r="E772" s="56">
        <v>5.3265153936E-5</v>
      </c>
    </row>
    <row r="773" spans="2:5" ht="15" customHeight="1">
      <c r="B773" s="91"/>
      <c r="C773" s="65" t="s">
        <v>321</v>
      </c>
      <c r="D773" s="64">
        <v>113</v>
      </c>
      <c r="E773" s="66">
        <v>6.0189623948010001E-3</v>
      </c>
    </row>
    <row r="774" spans="2:5" ht="15" customHeight="1">
      <c r="B774" s="89" t="s">
        <v>148</v>
      </c>
      <c r="C774" s="54" t="s">
        <v>182</v>
      </c>
      <c r="D774" s="55">
        <v>13</v>
      </c>
      <c r="E774" s="56">
        <v>6.92447001172E-4</v>
      </c>
    </row>
    <row r="775" spans="2:5" ht="15" customHeight="1">
      <c r="B775" s="90"/>
      <c r="C775" s="54" t="s">
        <v>184</v>
      </c>
      <c r="D775" s="55">
        <v>10</v>
      </c>
      <c r="E775" s="56">
        <v>5.3265153936299999E-4</v>
      </c>
    </row>
    <row r="776" spans="2:5" ht="15" customHeight="1">
      <c r="B776" s="90"/>
      <c r="C776" s="54" t="s">
        <v>181</v>
      </c>
      <c r="D776" s="55">
        <v>9</v>
      </c>
      <c r="E776" s="56">
        <v>4.7938638542699999E-4</v>
      </c>
    </row>
    <row r="777" spans="2:5" ht="15" customHeight="1">
      <c r="B777" s="90"/>
      <c r="C777" s="54" t="s">
        <v>183</v>
      </c>
      <c r="D777" s="55">
        <v>7</v>
      </c>
      <c r="E777" s="56">
        <v>3.7285607755399997E-4</v>
      </c>
    </row>
    <row r="778" spans="2:5" ht="15" customHeight="1">
      <c r="B778" s="90"/>
      <c r="C778" s="54" t="s">
        <v>206</v>
      </c>
      <c r="D778" s="55">
        <v>7</v>
      </c>
      <c r="E778" s="56">
        <v>3.7285607755399997E-4</v>
      </c>
    </row>
    <row r="779" spans="2:5" ht="15" customHeight="1">
      <c r="B779" s="90"/>
      <c r="C779" s="54" t="s">
        <v>213</v>
      </c>
      <c r="D779" s="55">
        <v>7</v>
      </c>
      <c r="E779" s="56">
        <v>3.7285607755399997E-4</v>
      </c>
    </row>
    <row r="780" spans="2:5" ht="15" customHeight="1">
      <c r="B780" s="90"/>
      <c r="C780" s="54" t="s">
        <v>192</v>
      </c>
      <c r="D780" s="55">
        <v>7</v>
      </c>
      <c r="E780" s="56">
        <v>3.7285607755399997E-4</v>
      </c>
    </row>
    <row r="781" spans="2:5" ht="15" customHeight="1">
      <c r="B781" s="90"/>
      <c r="C781" s="54" t="s">
        <v>187</v>
      </c>
      <c r="D781" s="55">
        <v>7</v>
      </c>
      <c r="E781" s="56">
        <v>3.7285607755399997E-4</v>
      </c>
    </row>
    <row r="782" spans="2:5" ht="15" customHeight="1">
      <c r="B782" s="90"/>
      <c r="C782" s="54" t="s">
        <v>189</v>
      </c>
      <c r="D782" s="55">
        <v>6</v>
      </c>
      <c r="E782" s="56">
        <v>3.1959092361799997E-4</v>
      </c>
    </row>
    <row r="783" spans="2:5" ht="15" customHeight="1">
      <c r="B783" s="90"/>
      <c r="C783" s="54" t="s">
        <v>196</v>
      </c>
      <c r="D783" s="55">
        <v>4</v>
      </c>
      <c r="E783" s="56">
        <v>2.1306061574499999E-4</v>
      </c>
    </row>
    <row r="784" spans="2:5" ht="15" customHeight="1">
      <c r="B784" s="90"/>
      <c r="C784" s="54" t="s">
        <v>216</v>
      </c>
      <c r="D784" s="55">
        <v>4</v>
      </c>
      <c r="E784" s="56">
        <v>2.1306061574499999E-4</v>
      </c>
    </row>
    <row r="785" spans="2:5" ht="15" customHeight="1">
      <c r="B785" s="90"/>
      <c r="C785" s="54" t="s">
        <v>185</v>
      </c>
      <c r="D785" s="55">
        <v>4</v>
      </c>
      <c r="E785" s="56">
        <v>2.1306061574499999E-4</v>
      </c>
    </row>
    <row r="786" spans="2:5" ht="15" customHeight="1">
      <c r="B786" s="90"/>
      <c r="C786" s="54" t="s">
        <v>201</v>
      </c>
      <c r="D786" s="55">
        <v>3</v>
      </c>
      <c r="E786" s="56">
        <v>1.5979546180899999E-4</v>
      </c>
    </row>
    <row r="787" spans="2:5" ht="15" customHeight="1">
      <c r="B787" s="90"/>
      <c r="C787" s="54" t="s">
        <v>194</v>
      </c>
      <c r="D787" s="55">
        <v>3</v>
      </c>
      <c r="E787" s="56">
        <v>1.5979546180899999E-4</v>
      </c>
    </row>
    <row r="788" spans="2:5" ht="15" customHeight="1">
      <c r="B788" s="90"/>
      <c r="C788" s="54" t="s">
        <v>217</v>
      </c>
      <c r="D788" s="55">
        <v>2</v>
      </c>
      <c r="E788" s="56">
        <v>1.06530307873E-4</v>
      </c>
    </row>
    <row r="789" spans="2:5" ht="15" customHeight="1">
      <c r="B789" s="90"/>
      <c r="C789" s="54" t="s">
        <v>191</v>
      </c>
      <c r="D789" s="55">
        <v>2</v>
      </c>
      <c r="E789" s="56">
        <v>1.06530307873E-4</v>
      </c>
    </row>
    <row r="790" spans="2:5" ht="15" customHeight="1">
      <c r="B790" s="90"/>
      <c r="C790" s="54" t="s">
        <v>237</v>
      </c>
      <c r="D790" s="55">
        <v>2</v>
      </c>
      <c r="E790" s="56">
        <v>1.06530307873E-4</v>
      </c>
    </row>
    <row r="791" spans="2:5" ht="15" customHeight="1">
      <c r="B791" s="90"/>
      <c r="C791" s="54" t="s">
        <v>198</v>
      </c>
      <c r="D791" s="55">
        <v>1</v>
      </c>
      <c r="E791" s="56">
        <v>5.3265153936E-5</v>
      </c>
    </row>
    <row r="792" spans="2:5" ht="15" customHeight="1">
      <c r="B792" s="90"/>
      <c r="C792" s="54" t="s">
        <v>247</v>
      </c>
      <c r="D792" s="55">
        <v>1</v>
      </c>
      <c r="E792" s="56">
        <v>5.3265153936E-5</v>
      </c>
    </row>
    <row r="793" spans="2:5" ht="15" customHeight="1">
      <c r="B793" s="90"/>
      <c r="C793" s="54" t="s">
        <v>219</v>
      </c>
      <c r="D793" s="55">
        <v>1</v>
      </c>
      <c r="E793" s="56">
        <v>5.3265153936E-5</v>
      </c>
    </row>
    <row r="794" spans="2:5" ht="15" customHeight="1">
      <c r="B794" s="90"/>
      <c r="C794" s="54" t="s">
        <v>241</v>
      </c>
      <c r="D794" s="55">
        <v>1</v>
      </c>
      <c r="E794" s="56">
        <v>5.3265153936E-5</v>
      </c>
    </row>
    <row r="795" spans="2:5" ht="15" customHeight="1">
      <c r="B795" s="90"/>
      <c r="C795" s="54" t="s">
        <v>202</v>
      </c>
      <c r="D795" s="55">
        <v>1</v>
      </c>
      <c r="E795" s="56">
        <v>5.3265153936E-5</v>
      </c>
    </row>
    <row r="796" spans="2:5" ht="15" customHeight="1">
      <c r="B796" s="90"/>
      <c r="C796" s="54" t="s">
        <v>231</v>
      </c>
      <c r="D796" s="55">
        <v>1</v>
      </c>
      <c r="E796" s="56">
        <v>5.3265153936E-5</v>
      </c>
    </row>
    <row r="797" spans="2:5" ht="15" customHeight="1">
      <c r="B797" s="91"/>
      <c r="C797" s="65" t="s">
        <v>321</v>
      </c>
      <c r="D797" s="64">
        <v>103</v>
      </c>
      <c r="E797" s="66">
        <v>5.4863108554380003E-3</v>
      </c>
    </row>
    <row r="798" spans="2:5" ht="15" customHeight="1">
      <c r="B798" s="89" t="s">
        <v>149</v>
      </c>
      <c r="C798" s="54" t="s">
        <v>181</v>
      </c>
      <c r="D798" s="55">
        <v>34</v>
      </c>
      <c r="E798" s="56">
        <v>1.8110152338339999E-3</v>
      </c>
    </row>
    <row r="799" spans="2:5" ht="15" customHeight="1">
      <c r="B799" s="90"/>
      <c r="C799" s="54" t="s">
        <v>182</v>
      </c>
      <c r="D799" s="55">
        <v>13</v>
      </c>
      <c r="E799" s="56">
        <v>6.92447001172E-4</v>
      </c>
    </row>
    <row r="800" spans="2:5" ht="15" customHeight="1">
      <c r="B800" s="90"/>
      <c r="C800" s="54" t="s">
        <v>185</v>
      </c>
      <c r="D800" s="55">
        <v>13</v>
      </c>
      <c r="E800" s="56">
        <v>6.92447001172E-4</v>
      </c>
    </row>
    <row r="801" spans="2:5" ht="15" customHeight="1">
      <c r="B801" s="90"/>
      <c r="C801" s="54" t="s">
        <v>184</v>
      </c>
      <c r="D801" s="55">
        <v>7</v>
      </c>
      <c r="E801" s="56">
        <v>3.7285607755399997E-4</v>
      </c>
    </row>
    <row r="802" spans="2:5" ht="15" customHeight="1">
      <c r="B802" s="90"/>
      <c r="C802" s="54" t="s">
        <v>183</v>
      </c>
      <c r="D802" s="55">
        <v>4</v>
      </c>
      <c r="E802" s="56">
        <v>2.1306061574499999E-4</v>
      </c>
    </row>
    <row r="803" spans="2:5" ht="15" customHeight="1">
      <c r="B803" s="90"/>
      <c r="C803" s="54" t="s">
        <v>187</v>
      </c>
      <c r="D803" s="55">
        <v>4</v>
      </c>
      <c r="E803" s="56">
        <v>2.1306061574499999E-4</v>
      </c>
    </row>
    <row r="804" spans="2:5" ht="15" customHeight="1">
      <c r="B804" s="90"/>
      <c r="C804" s="54" t="s">
        <v>200</v>
      </c>
      <c r="D804" s="55">
        <v>3</v>
      </c>
      <c r="E804" s="56">
        <v>1.5979546180899999E-4</v>
      </c>
    </row>
    <row r="805" spans="2:5" ht="15" customHeight="1">
      <c r="B805" s="90"/>
      <c r="C805" s="54" t="s">
        <v>216</v>
      </c>
      <c r="D805" s="55">
        <v>2</v>
      </c>
      <c r="E805" s="56">
        <v>1.06530307873E-4</v>
      </c>
    </row>
    <row r="806" spans="2:5" ht="15" customHeight="1">
      <c r="B806" s="90"/>
      <c r="C806" s="54" t="s">
        <v>201</v>
      </c>
      <c r="D806" s="55">
        <v>2</v>
      </c>
      <c r="E806" s="56">
        <v>1.06530307873E-4</v>
      </c>
    </row>
    <row r="807" spans="2:5" ht="15" customHeight="1">
      <c r="B807" s="90"/>
      <c r="C807" s="54" t="s">
        <v>189</v>
      </c>
      <c r="D807" s="55">
        <v>2</v>
      </c>
      <c r="E807" s="56">
        <v>1.06530307873E-4</v>
      </c>
    </row>
    <row r="808" spans="2:5" ht="15" customHeight="1">
      <c r="B808" s="90"/>
      <c r="C808" s="54" t="s">
        <v>219</v>
      </c>
      <c r="D808" s="55">
        <v>2</v>
      </c>
      <c r="E808" s="56">
        <v>1.06530307873E-4</v>
      </c>
    </row>
    <row r="809" spans="2:5" ht="15" customHeight="1">
      <c r="B809" s="90"/>
      <c r="C809" s="54" t="s">
        <v>205</v>
      </c>
      <c r="D809" s="55">
        <v>1</v>
      </c>
      <c r="E809" s="56">
        <v>5.3265153936E-5</v>
      </c>
    </row>
    <row r="810" spans="2:5" ht="15" customHeight="1">
      <c r="B810" s="90"/>
      <c r="C810" s="54" t="s">
        <v>196</v>
      </c>
      <c r="D810" s="55">
        <v>1</v>
      </c>
      <c r="E810" s="56">
        <v>5.3265153936E-5</v>
      </c>
    </row>
    <row r="811" spans="2:5" ht="15" customHeight="1">
      <c r="B811" s="90"/>
      <c r="C811" s="54" t="s">
        <v>217</v>
      </c>
      <c r="D811" s="55">
        <v>1</v>
      </c>
      <c r="E811" s="56">
        <v>5.3265153936E-5</v>
      </c>
    </row>
    <row r="812" spans="2:5" ht="15" customHeight="1">
      <c r="B812" s="90"/>
      <c r="C812" s="54" t="s">
        <v>207</v>
      </c>
      <c r="D812" s="55">
        <v>1</v>
      </c>
      <c r="E812" s="56">
        <v>5.3265153936E-5</v>
      </c>
    </row>
    <row r="813" spans="2:5" ht="15" customHeight="1">
      <c r="B813" s="90"/>
      <c r="C813" s="54" t="s">
        <v>213</v>
      </c>
      <c r="D813" s="55">
        <v>1</v>
      </c>
      <c r="E813" s="56">
        <v>5.3265153936E-5</v>
      </c>
    </row>
    <row r="814" spans="2:5" ht="15" customHeight="1">
      <c r="B814" s="90"/>
      <c r="C814" s="54" t="s">
        <v>215</v>
      </c>
      <c r="D814" s="55">
        <v>1</v>
      </c>
      <c r="E814" s="56">
        <v>5.3265153936E-5</v>
      </c>
    </row>
    <row r="815" spans="2:5" ht="15" customHeight="1">
      <c r="B815" s="90"/>
      <c r="C815" s="54" t="s">
        <v>190</v>
      </c>
      <c r="D815" s="55">
        <v>1</v>
      </c>
      <c r="E815" s="56">
        <v>5.3265153936E-5</v>
      </c>
    </row>
    <row r="816" spans="2:5" ht="15" customHeight="1">
      <c r="B816" s="90"/>
      <c r="C816" s="54" t="s">
        <v>194</v>
      </c>
      <c r="D816" s="55">
        <v>1</v>
      </c>
      <c r="E816" s="56">
        <v>5.3265153936E-5</v>
      </c>
    </row>
    <row r="817" spans="2:5" ht="15" customHeight="1">
      <c r="B817" s="90"/>
      <c r="C817" s="54" t="s">
        <v>224</v>
      </c>
      <c r="D817" s="55">
        <v>1</v>
      </c>
      <c r="E817" s="56">
        <v>5.3265153936E-5</v>
      </c>
    </row>
    <row r="818" spans="2:5" ht="15" customHeight="1">
      <c r="B818" s="90"/>
      <c r="C818" s="54" t="s">
        <v>208</v>
      </c>
      <c r="D818" s="55">
        <v>1</v>
      </c>
      <c r="E818" s="56">
        <v>5.3265153936E-5</v>
      </c>
    </row>
    <row r="819" spans="2:5" ht="15" customHeight="1">
      <c r="B819" s="90"/>
      <c r="C819" s="54" t="s">
        <v>204</v>
      </c>
      <c r="D819" s="55">
        <v>1</v>
      </c>
      <c r="E819" s="56">
        <v>5.3265153936E-5</v>
      </c>
    </row>
    <row r="820" spans="2:5" ht="15" customHeight="1">
      <c r="B820" s="90"/>
      <c r="C820" s="54" t="s">
        <v>202</v>
      </c>
      <c r="D820" s="55">
        <v>1</v>
      </c>
      <c r="E820" s="56">
        <v>5.3265153936E-5</v>
      </c>
    </row>
    <row r="821" spans="2:5" ht="15" customHeight="1">
      <c r="B821" s="91"/>
      <c r="C821" s="65" t="s">
        <v>321</v>
      </c>
      <c r="D821" s="64">
        <v>98</v>
      </c>
      <c r="E821" s="66">
        <v>5.2199850857570004E-3</v>
      </c>
    </row>
    <row r="822" spans="2:5" ht="15" customHeight="1">
      <c r="B822" s="89" t="s">
        <v>150</v>
      </c>
      <c r="C822" s="54" t="s">
        <v>181</v>
      </c>
      <c r="D822" s="55">
        <v>35</v>
      </c>
      <c r="E822" s="56">
        <v>1.86428038777E-3</v>
      </c>
    </row>
    <row r="823" spans="2:5" ht="15" customHeight="1">
      <c r="B823" s="90"/>
      <c r="C823" s="54" t="s">
        <v>182</v>
      </c>
      <c r="D823" s="55">
        <v>8</v>
      </c>
      <c r="E823" s="56">
        <v>4.2612123148999997E-4</v>
      </c>
    </row>
    <row r="824" spans="2:5" ht="15" customHeight="1">
      <c r="B824" s="90"/>
      <c r="C824" s="54" t="s">
        <v>183</v>
      </c>
      <c r="D824" s="55">
        <v>6</v>
      </c>
      <c r="E824" s="56">
        <v>3.1959092361799997E-4</v>
      </c>
    </row>
    <row r="825" spans="2:5" ht="15" customHeight="1">
      <c r="B825" s="90"/>
      <c r="C825" s="54" t="s">
        <v>185</v>
      </c>
      <c r="D825" s="55">
        <v>5</v>
      </c>
      <c r="E825" s="56">
        <v>2.6632576968100001E-4</v>
      </c>
    </row>
    <row r="826" spans="2:5" ht="15" customHeight="1">
      <c r="B826" s="90"/>
      <c r="C826" s="54" t="s">
        <v>184</v>
      </c>
      <c r="D826" s="55">
        <v>4</v>
      </c>
      <c r="E826" s="56">
        <v>2.1306061574499999E-4</v>
      </c>
    </row>
    <row r="827" spans="2:5" ht="15" customHeight="1">
      <c r="B827" s="90"/>
      <c r="C827" s="54" t="s">
        <v>207</v>
      </c>
      <c r="D827" s="55">
        <v>4</v>
      </c>
      <c r="E827" s="56">
        <v>2.1306061574499999E-4</v>
      </c>
    </row>
    <row r="828" spans="2:5" ht="15" customHeight="1">
      <c r="B828" s="90"/>
      <c r="C828" s="54" t="s">
        <v>247</v>
      </c>
      <c r="D828" s="55">
        <v>2</v>
      </c>
      <c r="E828" s="56">
        <v>1.06530307873E-4</v>
      </c>
    </row>
    <row r="829" spans="2:5" ht="15" customHeight="1">
      <c r="B829" s="90"/>
      <c r="C829" s="54" t="s">
        <v>189</v>
      </c>
      <c r="D829" s="55">
        <v>2</v>
      </c>
      <c r="E829" s="56">
        <v>1.06530307873E-4</v>
      </c>
    </row>
    <row r="830" spans="2:5" ht="15" customHeight="1">
      <c r="B830" s="90"/>
      <c r="C830" s="54" t="s">
        <v>234</v>
      </c>
      <c r="D830" s="55">
        <v>2</v>
      </c>
      <c r="E830" s="56">
        <v>1.06530307873E-4</v>
      </c>
    </row>
    <row r="831" spans="2:5" ht="15" customHeight="1">
      <c r="B831" s="90"/>
      <c r="C831" s="54" t="s">
        <v>194</v>
      </c>
      <c r="D831" s="55">
        <v>2</v>
      </c>
      <c r="E831" s="56">
        <v>1.06530307873E-4</v>
      </c>
    </row>
    <row r="832" spans="2:5" ht="15" customHeight="1">
      <c r="B832" s="90"/>
      <c r="C832" s="54" t="s">
        <v>187</v>
      </c>
      <c r="D832" s="55">
        <v>2</v>
      </c>
      <c r="E832" s="56">
        <v>1.06530307873E-4</v>
      </c>
    </row>
    <row r="833" spans="2:5" ht="15" customHeight="1">
      <c r="B833" s="90"/>
      <c r="C833" s="54" t="s">
        <v>195</v>
      </c>
      <c r="D833" s="55">
        <v>1</v>
      </c>
      <c r="E833" s="56">
        <v>5.3265153936E-5</v>
      </c>
    </row>
    <row r="834" spans="2:5" ht="15" customHeight="1">
      <c r="B834" s="90"/>
      <c r="C834" s="54" t="s">
        <v>196</v>
      </c>
      <c r="D834" s="55">
        <v>1</v>
      </c>
      <c r="E834" s="56">
        <v>5.3265153936E-5</v>
      </c>
    </row>
    <row r="835" spans="2:5" ht="15" customHeight="1">
      <c r="B835" s="90"/>
      <c r="C835" s="54" t="s">
        <v>217</v>
      </c>
      <c r="D835" s="55">
        <v>1</v>
      </c>
      <c r="E835" s="56">
        <v>5.3265153936E-5</v>
      </c>
    </row>
    <row r="836" spans="2:5" ht="15" customHeight="1">
      <c r="B836" s="90"/>
      <c r="C836" s="54" t="s">
        <v>225</v>
      </c>
      <c r="D836" s="55">
        <v>1</v>
      </c>
      <c r="E836" s="56">
        <v>5.3265153936E-5</v>
      </c>
    </row>
    <row r="837" spans="2:5" ht="15" customHeight="1">
      <c r="B837" s="90"/>
      <c r="C837" s="54" t="s">
        <v>209</v>
      </c>
      <c r="D837" s="55">
        <v>1</v>
      </c>
      <c r="E837" s="56">
        <v>5.3265153936E-5</v>
      </c>
    </row>
    <row r="838" spans="2:5" ht="15" customHeight="1">
      <c r="B838" s="90"/>
      <c r="C838" s="54" t="s">
        <v>218</v>
      </c>
      <c r="D838" s="55">
        <v>1</v>
      </c>
      <c r="E838" s="56">
        <v>5.3265153936E-5</v>
      </c>
    </row>
    <row r="839" spans="2:5" ht="15" customHeight="1">
      <c r="B839" s="90"/>
      <c r="C839" s="54" t="s">
        <v>193</v>
      </c>
      <c r="D839" s="55">
        <v>1</v>
      </c>
      <c r="E839" s="56">
        <v>5.3265153936E-5</v>
      </c>
    </row>
    <row r="840" spans="2:5" ht="15" customHeight="1">
      <c r="B840" s="90"/>
      <c r="C840" s="54" t="s">
        <v>219</v>
      </c>
      <c r="D840" s="55">
        <v>1</v>
      </c>
      <c r="E840" s="56">
        <v>5.3265153936E-5</v>
      </c>
    </row>
    <row r="841" spans="2:5" ht="15" customHeight="1">
      <c r="B841" s="90"/>
      <c r="C841" s="54" t="s">
        <v>190</v>
      </c>
      <c r="D841" s="55">
        <v>1</v>
      </c>
      <c r="E841" s="56">
        <v>5.3265153936E-5</v>
      </c>
    </row>
    <row r="842" spans="2:5" ht="15" customHeight="1">
      <c r="B842" s="90"/>
      <c r="C842" s="54" t="s">
        <v>192</v>
      </c>
      <c r="D842" s="55">
        <v>1</v>
      </c>
      <c r="E842" s="56">
        <v>5.3265153936E-5</v>
      </c>
    </row>
    <row r="843" spans="2:5" ht="15" customHeight="1">
      <c r="B843" s="90"/>
      <c r="C843" s="54" t="s">
        <v>208</v>
      </c>
      <c r="D843" s="55">
        <v>1</v>
      </c>
      <c r="E843" s="56">
        <v>5.3265153936E-5</v>
      </c>
    </row>
    <row r="844" spans="2:5" ht="15" customHeight="1">
      <c r="B844" s="91"/>
      <c r="C844" s="65" t="s">
        <v>321</v>
      </c>
      <c r="D844" s="64">
        <v>83</v>
      </c>
      <c r="E844" s="66">
        <v>4.4210077767119996E-3</v>
      </c>
    </row>
    <row r="845" spans="2:5" ht="15" customHeight="1">
      <c r="B845" s="89" t="s">
        <v>151</v>
      </c>
      <c r="C845" s="54" t="s">
        <v>182</v>
      </c>
      <c r="D845" s="55">
        <v>22</v>
      </c>
      <c r="E845" s="56">
        <v>1.1718333865980001E-3</v>
      </c>
    </row>
    <row r="846" spans="2:5" ht="15" customHeight="1">
      <c r="B846" s="90"/>
      <c r="C846" s="54" t="s">
        <v>181</v>
      </c>
      <c r="D846" s="55">
        <v>21</v>
      </c>
      <c r="E846" s="56">
        <v>1.118568232662E-3</v>
      </c>
    </row>
    <row r="847" spans="2:5" ht="15" customHeight="1">
      <c r="B847" s="90"/>
      <c r="C847" s="54" t="s">
        <v>183</v>
      </c>
      <c r="D847" s="55">
        <v>5</v>
      </c>
      <c r="E847" s="56">
        <v>2.6632576968100001E-4</v>
      </c>
    </row>
    <row r="848" spans="2:5" ht="15" customHeight="1">
      <c r="B848" s="90"/>
      <c r="C848" s="54" t="s">
        <v>185</v>
      </c>
      <c r="D848" s="55">
        <v>5</v>
      </c>
      <c r="E848" s="56">
        <v>2.6632576968100001E-4</v>
      </c>
    </row>
    <row r="849" spans="2:5" ht="15" customHeight="1">
      <c r="B849" s="90"/>
      <c r="C849" s="54" t="s">
        <v>192</v>
      </c>
      <c r="D849" s="55">
        <v>4</v>
      </c>
      <c r="E849" s="56">
        <v>2.1306061574499999E-4</v>
      </c>
    </row>
    <row r="850" spans="2:5" ht="15" customHeight="1">
      <c r="B850" s="90"/>
      <c r="C850" s="54" t="s">
        <v>184</v>
      </c>
      <c r="D850" s="55">
        <v>3</v>
      </c>
      <c r="E850" s="56">
        <v>1.5979546180899999E-4</v>
      </c>
    </row>
    <row r="851" spans="2:5" ht="15" customHeight="1">
      <c r="B851" s="90"/>
      <c r="C851" s="54" t="s">
        <v>233</v>
      </c>
      <c r="D851" s="55">
        <v>3</v>
      </c>
      <c r="E851" s="56">
        <v>1.5979546180899999E-4</v>
      </c>
    </row>
    <row r="852" spans="2:5" ht="15" customHeight="1">
      <c r="B852" s="90"/>
      <c r="C852" s="54" t="s">
        <v>187</v>
      </c>
      <c r="D852" s="55">
        <v>3</v>
      </c>
      <c r="E852" s="56">
        <v>1.5979546180899999E-4</v>
      </c>
    </row>
    <row r="853" spans="2:5" ht="15" customHeight="1">
      <c r="B853" s="90"/>
      <c r="C853" s="54" t="s">
        <v>205</v>
      </c>
      <c r="D853" s="55">
        <v>2</v>
      </c>
      <c r="E853" s="56">
        <v>1.06530307873E-4</v>
      </c>
    </row>
    <row r="854" spans="2:5" ht="15" customHeight="1">
      <c r="B854" s="90"/>
      <c r="C854" s="54" t="s">
        <v>207</v>
      </c>
      <c r="D854" s="55">
        <v>2</v>
      </c>
      <c r="E854" s="56">
        <v>1.06530307873E-4</v>
      </c>
    </row>
    <row r="855" spans="2:5" ht="15" customHeight="1">
      <c r="B855" s="90"/>
      <c r="C855" s="54" t="s">
        <v>194</v>
      </c>
      <c r="D855" s="55">
        <v>2</v>
      </c>
      <c r="E855" s="56">
        <v>1.06530307873E-4</v>
      </c>
    </row>
    <row r="856" spans="2:5" ht="15" customHeight="1">
      <c r="B856" s="90"/>
      <c r="C856" s="54" t="s">
        <v>216</v>
      </c>
      <c r="D856" s="55">
        <v>1</v>
      </c>
      <c r="E856" s="56">
        <v>5.3265153936E-5</v>
      </c>
    </row>
    <row r="857" spans="2:5" ht="15" customHeight="1">
      <c r="B857" s="90"/>
      <c r="C857" s="54" t="s">
        <v>198</v>
      </c>
      <c r="D857" s="55">
        <v>1</v>
      </c>
      <c r="E857" s="56">
        <v>5.3265153936E-5</v>
      </c>
    </row>
    <row r="858" spans="2:5" ht="15" customHeight="1">
      <c r="B858" s="90"/>
      <c r="C858" s="54" t="s">
        <v>217</v>
      </c>
      <c r="D858" s="55">
        <v>1</v>
      </c>
      <c r="E858" s="56">
        <v>5.3265153936E-5</v>
      </c>
    </row>
    <row r="859" spans="2:5" ht="15" customHeight="1">
      <c r="B859" s="90"/>
      <c r="C859" s="54" t="s">
        <v>193</v>
      </c>
      <c r="D859" s="55">
        <v>1</v>
      </c>
      <c r="E859" s="56">
        <v>5.3265153936E-5</v>
      </c>
    </row>
    <row r="860" spans="2:5" ht="15" customHeight="1">
      <c r="B860" s="90"/>
      <c r="C860" s="54" t="s">
        <v>189</v>
      </c>
      <c r="D860" s="55">
        <v>1</v>
      </c>
      <c r="E860" s="56">
        <v>5.3265153936E-5</v>
      </c>
    </row>
    <row r="861" spans="2:5" ht="15" customHeight="1">
      <c r="B861" s="90"/>
      <c r="C861" s="54" t="s">
        <v>208</v>
      </c>
      <c r="D861" s="55">
        <v>1</v>
      </c>
      <c r="E861" s="56">
        <v>5.3265153936E-5</v>
      </c>
    </row>
    <row r="862" spans="2:5" ht="15" customHeight="1">
      <c r="B862" s="91"/>
      <c r="C862" s="65" t="s">
        <v>321</v>
      </c>
      <c r="D862" s="64">
        <v>78</v>
      </c>
      <c r="E862" s="66">
        <v>4.1546820070309997E-3</v>
      </c>
    </row>
    <row r="863" spans="2:5" ht="15" customHeight="1">
      <c r="B863" s="89" t="s">
        <v>152</v>
      </c>
      <c r="C863" s="54" t="s">
        <v>181</v>
      </c>
      <c r="D863" s="55">
        <v>13</v>
      </c>
      <c r="E863" s="56">
        <v>6.92447001172E-4</v>
      </c>
    </row>
    <row r="864" spans="2:5" ht="15" customHeight="1">
      <c r="B864" s="90"/>
      <c r="C864" s="54" t="s">
        <v>182</v>
      </c>
      <c r="D864" s="55">
        <v>10</v>
      </c>
      <c r="E864" s="56">
        <v>5.3265153936299999E-4</v>
      </c>
    </row>
    <row r="865" spans="2:5" ht="15" customHeight="1">
      <c r="B865" s="90"/>
      <c r="C865" s="54" t="s">
        <v>192</v>
      </c>
      <c r="D865" s="55">
        <v>9</v>
      </c>
      <c r="E865" s="56">
        <v>4.7938638542699999E-4</v>
      </c>
    </row>
    <row r="866" spans="2:5" ht="15" customHeight="1">
      <c r="B866" s="90"/>
      <c r="C866" s="54" t="s">
        <v>183</v>
      </c>
      <c r="D866" s="55">
        <v>6</v>
      </c>
      <c r="E866" s="56">
        <v>3.1959092361799997E-4</v>
      </c>
    </row>
    <row r="867" spans="2:5" ht="15" customHeight="1">
      <c r="B867" s="90"/>
      <c r="C867" s="54" t="s">
        <v>184</v>
      </c>
      <c r="D867" s="55">
        <v>4</v>
      </c>
      <c r="E867" s="56">
        <v>2.1306061574499999E-4</v>
      </c>
    </row>
    <row r="868" spans="2:5" ht="15" customHeight="1">
      <c r="B868" s="90"/>
      <c r="C868" s="54" t="s">
        <v>219</v>
      </c>
      <c r="D868" s="55">
        <v>4</v>
      </c>
      <c r="E868" s="56">
        <v>2.1306061574499999E-4</v>
      </c>
    </row>
    <row r="869" spans="2:5" ht="15" customHeight="1">
      <c r="B869" s="90"/>
      <c r="C869" s="54" t="s">
        <v>187</v>
      </c>
      <c r="D869" s="55">
        <v>4</v>
      </c>
      <c r="E869" s="56">
        <v>2.1306061574499999E-4</v>
      </c>
    </row>
    <row r="870" spans="2:5" ht="15" customHeight="1">
      <c r="B870" s="90"/>
      <c r="C870" s="54" t="s">
        <v>189</v>
      </c>
      <c r="D870" s="55">
        <v>3</v>
      </c>
      <c r="E870" s="56">
        <v>1.5979546180899999E-4</v>
      </c>
    </row>
    <row r="871" spans="2:5" ht="15" customHeight="1">
      <c r="B871" s="90"/>
      <c r="C871" s="54" t="s">
        <v>196</v>
      </c>
      <c r="D871" s="55">
        <v>2</v>
      </c>
      <c r="E871" s="56">
        <v>1.06530307873E-4</v>
      </c>
    </row>
    <row r="872" spans="2:5" ht="15" customHeight="1">
      <c r="B872" s="90"/>
      <c r="C872" s="54" t="s">
        <v>201</v>
      </c>
      <c r="D872" s="55">
        <v>2</v>
      </c>
      <c r="E872" s="56">
        <v>1.06530307873E-4</v>
      </c>
    </row>
    <row r="873" spans="2:5" ht="15" customHeight="1">
      <c r="B873" s="90"/>
      <c r="C873" s="54" t="s">
        <v>188</v>
      </c>
      <c r="D873" s="55">
        <v>2</v>
      </c>
      <c r="E873" s="56">
        <v>1.06530307873E-4</v>
      </c>
    </row>
    <row r="874" spans="2:5" ht="15" customHeight="1">
      <c r="B874" s="90"/>
      <c r="C874" s="54" t="s">
        <v>217</v>
      </c>
      <c r="D874" s="55">
        <v>2</v>
      </c>
      <c r="E874" s="56">
        <v>1.06530307873E-4</v>
      </c>
    </row>
    <row r="875" spans="2:5" ht="15" customHeight="1">
      <c r="B875" s="90"/>
      <c r="C875" s="54" t="s">
        <v>194</v>
      </c>
      <c r="D875" s="55">
        <v>2</v>
      </c>
      <c r="E875" s="56">
        <v>1.06530307873E-4</v>
      </c>
    </row>
    <row r="876" spans="2:5" ht="15" customHeight="1">
      <c r="B876" s="90"/>
      <c r="C876" s="54" t="s">
        <v>198</v>
      </c>
      <c r="D876" s="55">
        <v>1</v>
      </c>
      <c r="E876" s="56">
        <v>5.3265153936E-5</v>
      </c>
    </row>
    <row r="877" spans="2:5" ht="15" customHeight="1">
      <c r="B877" s="90"/>
      <c r="C877" s="54" t="s">
        <v>243</v>
      </c>
      <c r="D877" s="55">
        <v>1</v>
      </c>
      <c r="E877" s="56">
        <v>5.3265153936E-5</v>
      </c>
    </row>
    <row r="878" spans="2:5" ht="15" customHeight="1">
      <c r="B878" s="90"/>
      <c r="C878" s="54" t="s">
        <v>185</v>
      </c>
      <c r="D878" s="55">
        <v>1</v>
      </c>
      <c r="E878" s="56">
        <v>5.3265153936E-5</v>
      </c>
    </row>
    <row r="879" spans="2:5" ht="15" customHeight="1">
      <c r="B879" s="90"/>
      <c r="C879" s="54" t="s">
        <v>215</v>
      </c>
      <c r="D879" s="55">
        <v>1</v>
      </c>
      <c r="E879" s="56">
        <v>5.3265153936E-5</v>
      </c>
    </row>
    <row r="880" spans="2:5" ht="15" customHeight="1">
      <c r="B880" s="90"/>
      <c r="C880" s="54" t="s">
        <v>190</v>
      </c>
      <c r="D880" s="55">
        <v>1</v>
      </c>
      <c r="E880" s="56">
        <v>5.3265153936E-5</v>
      </c>
    </row>
    <row r="881" spans="2:5" ht="15" customHeight="1">
      <c r="B881" s="90"/>
      <c r="C881" s="54" t="s">
        <v>237</v>
      </c>
      <c r="D881" s="55">
        <v>1</v>
      </c>
      <c r="E881" s="56">
        <v>5.3265153936E-5</v>
      </c>
    </row>
    <row r="882" spans="2:5" ht="15" customHeight="1">
      <c r="B882" s="90"/>
      <c r="C882" s="54" t="s">
        <v>231</v>
      </c>
      <c r="D882" s="55">
        <v>1</v>
      </c>
      <c r="E882" s="56">
        <v>5.3265153936E-5</v>
      </c>
    </row>
    <row r="883" spans="2:5" ht="15" customHeight="1">
      <c r="B883" s="91"/>
      <c r="C883" s="65" t="s">
        <v>321</v>
      </c>
      <c r="D883" s="64">
        <v>70</v>
      </c>
      <c r="E883" s="66">
        <v>3.728560775541E-3</v>
      </c>
    </row>
    <row r="884" spans="2:5" ht="15" customHeight="1">
      <c r="B884" s="89" t="s">
        <v>153</v>
      </c>
      <c r="C884" s="54" t="s">
        <v>181</v>
      </c>
      <c r="D884" s="55">
        <v>25</v>
      </c>
      <c r="E884" s="56">
        <v>1.3316288484070001E-3</v>
      </c>
    </row>
    <row r="885" spans="2:5" ht="15" customHeight="1">
      <c r="B885" s="90"/>
      <c r="C885" s="54" t="s">
        <v>182</v>
      </c>
      <c r="D885" s="55">
        <v>8</v>
      </c>
      <c r="E885" s="56">
        <v>4.2612123148999997E-4</v>
      </c>
    </row>
    <row r="886" spans="2:5" ht="15" customHeight="1">
      <c r="B886" s="90"/>
      <c r="C886" s="54" t="s">
        <v>185</v>
      </c>
      <c r="D886" s="55">
        <v>7</v>
      </c>
      <c r="E886" s="56">
        <v>3.7285607755399997E-4</v>
      </c>
    </row>
    <row r="887" spans="2:5" ht="15" customHeight="1">
      <c r="B887" s="90"/>
      <c r="C887" s="54" t="s">
        <v>184</v>
      </c>
      <c r="D887" s="55">
        <v>4</v>
      </c>
      <c r="E887" s="56">
        <v>2.1306061574499999E-4</v>
      </c>
    </row>
    <row r="888" spans="2:5" ht="15" customHeight="1">
      <c r="B888" s="90"/>
      <c r="C888" s="54" t="s">
        <v>183</v>
      </c>
      <c r="D888" s="55">
        <v>4</v>
      </c>
      <c r="E888" s="56">
        <v>2.1306061574499999E-4</v>
      </c>
    </row>
    <row r="889" spans="2:5" ht="15" customHeight="1">
      <c r="B889" s="90"/>
      <c r="C889" s="54" t="s">
        <v>187</v>
      </c>
      <c r="D889" s="55">
        <v>3</v>
      </c>
      <c r="E889" s="56">
        <v>1.5979546180899999E-4</v>
      </c>
    </row>
    <row r="890" spans="2:5" ht="15" customHeight="1">
      <c r="B890" s="90"/>
      <c r="C890" s="54" t="s">
        <v>188</v>
      </c>
      <c r="D890" s="55">
        <v>2</v>
      </c>
      <c r="E890" s="56">
        <v>1.06530307873E-4</v>
      </c>
    </row>
    <row r="891" spans="2:5" ht="15" customHeight="1">
      <c r="B891" s="90"/>
      <c r="C891" s="54" t="s">
        <v>189</v>
      </c>
      <c r="D891" s="55">
        <v>2</v>
      </c>
      <c r="E891" s="56">
        <v>1.06530307873E-4</v>
      </c>
    </row>
    <row r="892" spans="2:5" ht="15" customHeight="1">
      <c r="B892" s="90"/>
      <c r="C892" s="54" t="s">
        <v>194</v>
      </c>
      <c r="D892" s="55">
        <v>2</v>
      </c>
      <c r="E892" s="56">
        <v>1.06530307873E-4</v>
      </c>
    </row>
    <row r="893" spans="2:5" ht="15" customHeight="1">
      <c r="B893" s="90"/>
      <c r="C893" s="54" t="s">
        <v>195</v>
      </c>
      <c r="D893" s="55">
        <v>1</v>
      </c>
      <c r="E893" s="56">
        <v>5.3265153936E-5</v>
      </c>
    </row>
    <row r="894" spans="2:5" ht="15" customHeight="1">
      <c r="B894" s="90"/>
      <c r="C894" s="54" t="s">
        <v>216</v>
      </c>
      <c r="D894" s="55">
        <v>1</v>
      </c>
      <c r="E894" s="56">
        <v>5.3265153936E-5</v>
      </c>
    </row>
    <row r="895" spans="2:5" ht="15" customHeight="1">
      <c r="B895" s="90"/>
      <c r="C895" s="54" t="s">
        <v>201</v>
      </c>
      <c r="D895" s="55">
        <v>1</v>
      </c>
      <c r="E895" s="56">
        <v>5.3265153936E-5</v>
      </c>
    </row>
    <row r="896" spans="2:5" ht="15" customHeight="1">
      <c r="B896" s="90"/>
      <c r="C896" s="54" t="s">
        <v>217</v>
      </c>
      <c r="D896" s="55">
        <v>1</v>
      </c>
      <c r="E896" s="56">
        <v>5.3265153936E-5</v>
      </c>
    </row>
    <row r="897" spans="2:5" ht="15" customHeight="1">
      <c r="B897" s="90"/>
      <c r="C897" s="54" t="s">
        <v>206</v>
      </c>
      <c r="D897" s="55">
        <v>1</v>
      </c>
      <c r="E897" s="56">
        <v>5.3265153936E-5</v>
      </c>
    </row>
    <row r="898" spans="2:5" ht="15" customHeight="1">
      <c r="B898" s="90"/>
      <c r="C898" s="54" t="s">
        <v>197</v>
      </c>
      <c r="D898" s="55">
        <v>1</v>
      </c>
      <c r="E898" s="56">
        <v>5.3265153936E-5</v>
      </c>
    </row>
    <row r="899" spans="2:5" ht="15" customHeight="1">
      <c r="B899" s="90"/>
      <c r="C899" s="54" t="s">
        <v>193</v>
      </c>
      <c r="D899" s="55">
        <v>1</v>
      </c>
      <c r="E899" s="56">
        <v>5.3265153936E-5</v>
      </c>
    </row>
    <row r="900" spans="2:5" ht="15" customHeight="1">
      <c r="B900" s="90"/>
      <c r="C900" s="54" t="s">
        <v>207</v>
      </c>
      <c r="D900" s="55">
        <v>1</v>
      </c>
      <c r="E900" s="56">
        <v>5.3265153936E-5</v>
      </c>
    </row>
    <row r="901" spans="2:5" ht="15" customHeight="1">
      <c r="B901" s="90"/>
      <c r="C901" s="54" t="s">
        <v>192</v>
      </c>
      <c r="D901" s="55">
        <v>1</v>
      </c>
      <c r="E901" s="56">
        <v>5.3265153936E-5</v>
      </c>
    </row>
    <row r="902" spans="2:5" ht="15" customHeight="1">
      <c r="B902" s="90"/>
      <c r="C902" s="54" t="s">
        <v>229</v>
      </c>
      <c r="D902" s="55">
        <v>1</v>
      </c>
      <c r="E902" s="56">
        <v>5.3265153936E-5</v>
      </c>
    </row>
    <row r="903" spans="2:5" ht="15" customHeight="1">
      <c r="B903" s="90"/>
      <c r="C903" s="54" t="s">
        <v>200</v>
      </c>
      <c r="D903" s="55">
        <v>1</v>
      </c>
      <c r="E903" s="56">
        <v>5.3265153936E-5</v>
      </c>
    </row>
    <row r="904" spans="2:5" ht="15" customHeight="1">
      <c r="B904" s="91"/>
      <c r="C904" s="65" t="s">
        <v>321</v>
      </c>
      <c r="D904" s="64">
        <v>68</v>
      </c>
      <c r="E904" s="66">
        <v>3.6220304676679999E-3</v>
      </c>
    </row>
    <row r="905" spans="2:5" ht="15" customHeight="1">
      <c r="B905" s="89" t="s">
        <v>154</v>
      </c>
      <c r="C905" s="54" t="s">
        <v>182</v>
      </c>
      <c r="D905" s="55">
        <v>24</v>
      </c>
      <c r="E905" s="56">
        <v>1.278363694471E-3</v>
      </c>
    </row>
    <row r="906" spans="2:5" ht="15" customHeight="1">
      <c r="B906" s="90"/>
      <c r="C906" s="54" t="s">
        <v>184</v>
      </c>
      <c r="D906" s="55">
        <v>11</v>
      </c>
      <c r="E906" s="56">
        <v>5.8591669329900004E-4</v>
      </c>
    </row>
    <row r="907" spans="2:5" ht="15" customHeight="1">
      <c r="B907" s="90"/>
      <c r="C907" s="54" t="s">
        <v>181</v>
      </c>
      <c r="D907" s="55">
        <v>10</v>
      </c>
      <c r="E907" s="56">
        <v>5.3265153936299999E-4</v>
      </c>
    </row>
    <row r="908" spans="2:5" ht="15" customHeight="1">
      <c r="B908" s="90"/>
      <c r="C908" s="54" t="s">
        <v>212</v>
      </c>
      <c r="D908" s="55">
        <v>5</v>
      </c>
      <c r="E908" s="56">
        <v>2.6632576968100001E-4</v>
      </c>
    </row>
    <row r="909" spans="2:5" ht="15" customHeight="1">
      <c r="B909" s="90"/>
      <c r="C909" s="54" t="s">
        <v>185</v>
      </c>
      <c r="D909" s="55">
        <v>3</v>
      </c>
      <c r="E909" s="56">
        <v>1.5979546180899999E-4</v>
      </c>
    </row>
    <row r="910" spans="2:5" ht="15" customHeight="1">
      <c r="B910" s="90"/>
      <c r="C910" s="54" t="s">
        <v>224</v>
      </c>
      <c r="D910" s="55">
        <v>3</v>
      </c>
      <c r="E910" s="56">
        <v>1.5979546180899999E-4</v>
      </c>
    </row>
    <row r="911" spans="2:5" ht="15" customHeight="1">
      <c r="B911" s="90"/>
      <c r="C911" s="54" t="s">
        <v>196</v>
      </c>
      <c r="D911" s="55">
        <v>1</v>
      </c>
      <c r="E911" s="56">
        <v>5.3265153936E-5</v>
      </c>
    </row>
    <row r="912" spans="2:5" ht="15" customHeight="1">
      <c r="B912" s="90"/>
      <c r="C912" s="54" t="s">
        <v>209</v>
      </c>
      <c r="D912" s="55">
        <v>1</v>
      </c>
      <c r="E912" s="56">
        <v>5.3265153936E-5</v>
      </c>
    </row>
    <row r="913" spans="2:5" ht="15" customHeight="1">
      <c r="B913" s="90"/>
      <c r="C913" s="54" t="s">
        <v>183</v>
      </c>
      <c r="D913" s="55">
        <v>1</v>
      </c>
      <c r="E913" s="56">
        <v>5.3265153936E-5</v>
      </c>
    </row>
    <row r="914" spans="2:5" ht="15" customHeight="1">
      <c r="B914" s="90"/>
      <c r="C914" s="54" t="s">
        <v>206</v>
      </c>
      <c r="D914" s="55">
        <v>1</v>
      </c>
      <c r="E914" s="56">
        <v>5.3265153936E-5</v>
      </c>
    </row>
    <row r="915" spans="2:5" ht="15" customHeight="1">
      <c r="B915" s="90"/>
      <c r="C915" s="54" t="s">
        <v>189</v>
      </c>
      <c r="D915" s="55">
        <v>1</v>
      </c>
      <c r="E915" s="56">
        <v>5.3265153936E-5</v>
      </c>
    </row>
    <row r="916" spans="2:5" ht="15" customHeight="1">
      <c r="B916" s="90"/>
      <c r="C916" s="54" t="s">
        <v>229</v>
      </c>
      <c r="D916" s="55">
        <v>1</v>
      </c>
      <c r="E916" s="56">
        <v>5.3265153936E-5</v>
      </c>
    </row>
    <row r="917" spans="2:5" ht="15" customHeight="1">
      <c r="B917" s="90"/>
      <c r="C917" s="54" t="s">
        <v>194</v>
      </c>
      <c r="D917" s="55">
        <v>1</v>
      </c>
      <c r="E917" s="56">
        <v>5.3265153936E-5</v>
      </c>
    </row>
    <row r="918" spans="2:5" ht="15" customHeight="1">
      <c r="B918" s="90"/>
      <c r="C918" s="54" t="s">
        <v>242</v>
      </c>
      <c r="D918" s="55">
        <v>1</v>
      </c>
      <c r="E918" s="56">
        <v>5.3265153936E-5</v>
      </c>
    </row>
    <row r="919" spans="2:5" ht="15" customHeight="1">
      <c r="B919" s="91"/>
      <c r="C919" s="65" t="s">
        <v>321</v>
      </c>
      <c r="D919" s="64">
        <v>64</v>
      </c>
      <c r="E919" s="66">
        <v>3.408969851923E-3</v>
      </c>
    </row>
    <row r="920" spans="2:5" ht="15" customHeight="1">
      <c r="B920" s="89" t="s">
        <v>155</v>
      </c>
      <c r="C920" s="54" t="s">
        <v>181</v>
      </c>
      <c r="D920" s="55">
        <v>17</v>
      </c>
      <c r="E920" s="56">
        <v>9.0550761691699996E-4</v>
      </c>
    </row>
    <row r="921" spans="2:5" ht="15" customHeight="1">
      <c r="B921" s="90"/>
      <c r="C921" s="54" t="s">
        <v>182</v>
      </c>
      <c r="D921" s="55">
        <v>16</v>
      </c>
      <c r="E921" s="56">
        <v>8.5224246298100002E-4</v>
      </c>
    </row>
    <row r="922" spans="2:5" ht="15" customHeight="1">
      <c r="B922" s="90"/>
      <c r="C922" s="54" t="s">
        <v>184</v>
      </c>
      <c r="D922" s="55">
        <v>5</v>
      </c>
      <c r="E922" s="56">
        <v>2.6632576968100001E-4</v>
      </c>
    </row>
    <row r="923" spans="2:5" ht="15" customHeight="1">
      <c r="B923" s="90"/>
      <c r="C923" s="54" t="s">
        <v>185</v>
      </c>
      <c r="D923" s="55">
        <v>4</v>
      </c>
      <c r="E923" s="56">
        <v>2.1306061574499999E-4</v>
      </c>
    </row>
    <row r="924" spans="2:5" ht="15" customHeight="1">
      <c r="B924" s="90"/>
      <c r="C924" s="54" t="s">
        <v>195</v>
      </c>
      <c r="D924" s="55">
        <v>3</v>
      </c>
      <c r="E924" s="56">
        <v>1.5979546180899999E-4</v>
      </c>
    </row>
    <row r="925" spans="2:5" ht="15" customHeight="1">
      <c r="B925" s="90"/>
      <c r="C925" s="54" t="s">
        <v>183</v>
      </c>
      <c r="D925" s="55">
        <v>3</v>
      </c>
      <c r="E925" s="56">
        <v>1.5979546180899999E-4</v>
      </c>
    </row>
    <row r="926" spans="2:5" ht="15" customHeight="1">
      <c r="B926" s="90"/>
      <c r="C926" s="54" t="s">
        <v>233</v>
      </c>
      <c r="D926" s="55">
        <v>2</v>
      </c>
      <c r="E926" s="56">
        <v>1.06530307873E-4</v>
      </c>
    </row>
    <row r="927" spans="2:5" ht="15" customHeight="1">
      <c r="B927" s="90"/>
      <c r="C927" s="54" t="s">
        <v>192</v>
      </c>
      <c r="D927" s="55">
        <v>2</v>
      </c>
      <c r="E927" s="56">
        <v>1.06530307873E-4</v>
      </c>
    </row>
    <row r="928" spans="2:5" ht="15" customHeight="1">
      <c r="B928" s="90"/>
      <c r="C928" s="54" t="s">
        <v>196</v>
      </c>
      <c r="D928" s="55">
        <v>1</v>
      </c>
      <c r="E928" s="56">
        <v>5.3265153936E-5</v>
      </c>
    </row>
    <row r="929" spans="2:5" ht="15" customHeight="1">
      <c r="B929" s="90"/>
      <c r="C929" s="54" t="s">
        <v>222</v>
      </c>
      <c r="D929" s="55">
        <v>1</v>
      </c>
      <c r="E929" s="56">
        <v>5.3265153936E-5</v>
      </c>
    </row>
    <row r="930" spans="2:5" ht="15" customHeight="1">
      <c r="B930" s="90"/>
      <c r="C930" s="54" t="s">
        <v>201</v>
      </c>
      <c r="D930" s="55">
        <v>1</v>
      </c>
      <c r="E930" s="56">
        <v>5.3265153936E-5</v>
      </c>
    </row>
    <row r="931" spans="2:5" ht="15" customHeight="1">
      <c r="B931" s="90"/>
      <c r="C931" s="54" t="s">
        <v>197</v>
      </c>
      <c r="D931" s="55">
        <v>1</v>
      </c>
      <c r="E931" s="56">
        <v>5.3265153936E-5</v>
      </c>
    </row>
    <row r="932" spans="2:5" ht="15" customHeight="1">
      <c r="B932" s="90"/>
      <c r="C932" s="54" t="s">
        <v>190</v>
      </c>
      <c r="D932" s="55">
        <v>1</v>
      </c>
      <c r="E932" s="56">
        <v>5.3265153936E-5</v>
      </c>
    </row>
    <row r="933" spans="2:5" ht="15" customHeight="1">
      <c r="B933" s="90"/>
      <c r="C933" s="54" t="s">
        <v>187</v>
      </c>
      <c r="D933" s="55">
        <v>1</v>
      </c>
      <c r="E933" s="56">
        <v>5.3265153936E-5</v>
      </c>
    </row>
    <row r="934" spans="2:5" ht="15" customHeight="1">
      <c r="B934" s="90"/>
      <c r="C934" s="54" t="s">
        <v>186</v>
      </c>
      <c r="D934" s="55">
        <v>1</v>
      </c>
      <c r="E934" s="56">
        <v>5.3265153936E-5</v>
      </c>
    </row>
    <row r="935" spans="2:5" ht="15" customHeight="1">
      <c r="B935" s="90"/>
      <c r="C935" s="54" t="s">
        <v>239</v>
      </c>
      <c r="D935" s="55">
        <v>1</v>
      </c>
      <c r="E935" s="56">
        <v>5.3265153936E-5</v>
      </c>
    </row>
    <row r="936" spans="2:5" ht="15" customHeight="1">
      <c r="B936" s="91"/>
      <c r="C936" s="65" t="s">
        <v>321</v>
      </c>
      <c r="D936" s="64">
        <v>60</v>
      </c>
      <c r="E936" s="66">
        <v>3.1959092361780001E-3</v>
      </c>
    </row>
    <row r="937" spans="2:5" ht="15" customHeight="1">
      <c r="B937" s="89" t="s">
        <v>156</v>
      </c>
      <c r="C937" s="54" t="s">
        <v>181</v>
      </c>
      <c r="D937" s="55">
        <v>17</v>
      </c>
      <c r="E937" s="56">
        <v>9.0550761691699996E-4</v>
      </c>
    </row>
    <row r="938" spans="2:5" ht="15" customHeight="1">
      <c r="B938" s="90"/>
      <c r="C938" s="54" t="s">
        <v>182</v>
      </c>
      <c r="D938" s="55">
        <v>12</v>
      </c>
      <c r="E938" s="56">
        <v>6.3918184723599995E-4</v>
      </c>
    </row>
    <row r="939" spans="2:5" ht="15" customHeight="1">
      <c r="B939" s="90"/>
      <c r="C939" s="54" t="s">
        <v>183</v>
      </c>
      <c r="D939" s="55">
        <v>6</v>
      </c>
      <c r="E939" s="56">
        <v>3.1959092361799997E-4</v>
      </c>
    </row>
    <row r="940" spans="2:5" ht="15" customHeight="1">
      <c r="B940" s="90"/>
      <c r="C940" s="54" t="s">
        <v>185</v>
      </c>
      <c r="D940" s="55">
        <v>5</v>
      </c>
      <c r="E940" s="56">
        <v>2.6632576968100001E-4</v>
      </c>
    </row>
    <row r="941" spans="2:5" ht="15" customHeight="1">
      <c r="B941" s="90"/>
      <c r="C941" s="54" t="s">
        <v>206</v>
      </c>
      <c r="D941" s="55">
        <v>3</v>
      </c>
      <c r="E941" s="56">
        <v>1.5979546180899999E-4</v>
      </c>
    </row>
    <row r="942" spans="2:5" ht="15" customHeight="1">
      <c r="B942" s="90"/>
      <c r="C942" s="54" t="s">
        <v>190</v>
      </c>
      <c r="D942" s="55">
        <v>3</v>
      </c>
      <c r="E942" s="56">
        <v>1.5979546180899999E-4</v>
      </c>
    </row>
    <row r="943" spans="2:5" ht="15" customHeight="1">
      <c r="B943" s="90"/>
      <c r="C943" s="54" t="s">
        <v>207</v>
      </c>
      <c r="D943" s="55">
        <v>2</v>
      </c>
      <c r="E943" s="56">
        <v>1.06530307873E-4</v>
      </c>
    </row>
    <row r="944" spans="2:5" ht="15" customHeight="1">
      <c r="B944" s="90"/>
      <c r="C944" s="54" t="s">
        <v>187</v>
      </c>
      <c r="D944" s="55">
        <v>2</v>
      </c>
      <c r="E944" s="56">
        <v>1.06530307873E-4</v>
      </c>
    </row>
    <row r="945" spans="2:5" ht="15" customHeight="1">
      <c r="B945" s="90"/>
      <c r="C945" s="54" t="s">
        <v>195</v>
      </c>
      <c r="D945" s="55">
        <v>1</v>
      </c>
      <c r="E945" s="56">
        <v>5.3265153936E-5</v>
      </c>
    </row>
    <row r="946" spans="2:5" ht="15" customHeight="1">
      <c r="B946" s="90"/>
      <c r="C946" s="54" t="s">
        <v>196</v>
      </c>
      <c r="D946" s="55">
        <v>1</v>
      </c>
      <c r="E946" s="56">
        <v>5.3265153936E-5</v>
      </c>
    </row>
    <row r="947" spans="2:5" ht="15" customHeight="1">
      <c r="B947" s="90"/>
      <c r="C947" s="54" t="s">
        <v>211</v>
      </c>
      <c r="D947" s="55">
        <v>1</v>
      </c>
      <c r="E947" s="56">
        <v>5.3265153936E-5</v>
      </c>
    </row>
    <row r="948" spans="2:5" ht="15" customHeight="1">
      <c r="B948" s="90"/>
      <c r="C948" s="54" t="s">
        <v>201</v>
      </c>
      <c r="D948" s="55">
        <v>1</v>
      </c>
      <c r="E948" s="56">
        <v>5.3265153936E-5</v>
      </c>
    </row>
    <row r="949" spans="2:5" ht="15" customHeight="1">
      <c r="B949" s="90"/>
      <c r="C949" s="54" t="s">
        <v>197</v>
      </c>
      <c r="D949" s="55">
        <v>1</v>
      </c>
      <c r="E949" s="56">
        <v>5.3265153936E-5</v>
      </c>
    </row>
    <row r="950" spans="2:5" ht="15" customHeight="1">
      <c r="B950" s="90"/>
      <c r="C950" s="54" t="s">
        <v>246</v>
      </c>
      <c r="D950" s="55">
        <v>1</v>
      </c>
      <c r="E950" s="56">
        <v>5.3265153936E-5</v>
      </c>
    </row>
    <row r="951" spans="2:5" ht="15" customHeight="1">
      <c r="B951" s="90"/>
      <c r="C951" s="54" t="s">
        <v>193</v>
      </c>
      <c r="D951" s="55">
        <v>1</v>
      </c>
      <c r="E951" s="56">
        <v>5.3265153936E-5</v>
      </c>
    </row>
    <row r="952" spans="2:5" ht="15" customHeight="1">
      <c r="B952" s="90"/>
      <c r="C952" s="54" t="s">
        <v>208</v>
      </c>
      <c r="D952" s="55">
        <v>1</v>
      </c>
      <c r="E952" s="56">
        <v>5.3265153936E-5</v>
      </c>
    </row>
    <row r="953" spans="2:5" ht="15" customHeight="1">
      <c r="B953" s="90"/>
      <c r="C953" s="54" t="s">
        <v>204</v>
      </c>
      <c r="D953" s="55">
        <v>1</v>
      </c>
      <c r="E953" s="56">
        <v>5.3265153936E-5</v>
      </c>
    </row>
    <row r="954" spans="2:5" ht="15" customHeight="1">
      <c r="B954" s="90"/>
      <c r="C954" s="54" t="s">
        <v>202</v>
      </c>
      <c r="D954" s="55">
        <v>1</v>
      </c>
      <c r="E954" s="56">
        <v>5.3265153936E-5</v>
      </c>
    </row>
    <row r="955" spans="2:5" ht="15" customHeight="1">
      <c r="B955" s="91"/>
      <c r="C955" s="65" t="s">
        <v>321</v>
      </c>
      <c r="D955" s="64">
        <v>60</v>
      </c>
      <c r="E955" s="66">
        <v>3.1959092361780001E-3</v>
      </c>
    </row>
    <row r="956" spans="2:5" ht="15" customHeight="1">
      <c r="B956" s="89" t="s">
        <v>157</v>
      </c>
      <c r="C956" s="54" t="s">
        <v>181</v>
      </c>
      <c r="D956" s="55">
        <v>26</v>
      </c>
      <c r="E956" s="56">
        <v>1.384894002344E-3</v>
      </c>
    </row>
    <row r="957" spans="2:5" ht="15" customHeight="1">
      <c r="B957" s="90"/>
      <c r="C957" s="54" t="s">
        <v>188</v>
      </c>
      <c r="D957" s="55">
        <v>9</v>
      </c>
      <c r="E957" s="56">
        <v>4.7938638542699999E-4</v>
      </c>
    </row>
    <row r="958" spans="2:5" ht="15" customHeight="1">
      <c r="B958" s="90"/>
      <c r="C958" s="54" t="s">
        <v>182</v>
      </c>
      <c r="D958" s="55">
        <v>5</v>
      </c>
      <c r="E958" s="56">
        <v>2.6632576968100001E-4</v>
      </c>
    </row>
    <row r="959" spans="2:5" ht="15" customHeight="1">
      <c r="B959" s="90"/>
      <c r="C959" s="54" t="s">
        <v>183</v>
      </c>
      <c r="D959" s="55">
        <v>4</v>
      </c>
      <c r="E959" s="56">
        <v>2.1306061574499999E-4</v>
      </c>
    </row>
    <row r="960" spans="2:5" ht="15" customHeight="1">
      <c r="B960" s="90"/>
      <c r="C960" s="54" t="s">
        <v>190</v>
      </c>
      <c r="D960" s="55">
        <v>3</v>
      </c>
      <c r="E960" s="56">
        <v>1.5979546180899999E-4</v>
      </c>
    </row>
    <row r="961" spans="2:5" ht="15" customHeight="1">
      <c r="B961" s="90"/>
      <c r="C961" s="54" t="s">
        <v>185</v>
      </c>
      <c r="D961" s="55">
        <v>2</v>
      </c>
      <c r="E961" s="56">
        <v>1.06530307873E-4</v>
      </c>
    </row>
    <row r="962" spans="2:5" ht="15" customHeight="1">
      <c r="B962" s="90"/>
      <c r="C962" s="54" t="s">
        <v>194</v>
      </c>
      <c r="D962" s="55">
        <v>2</v>
      </c>
      <c r="E962" s="56">
        <v>1.06530307873E-4</v>
      </c>
    </row>
    <row r="963" spans="2:5" ht="15" customHeight="1">
      <c r="B963" s="90"/>
      <c r="C963" s="54" t="s">
        <v>198</v>
      </c>
      <c r="D963" s="55">
        <v>1</v>
      </c>
      <c r="E963" s="56">
        <v>5.3265153936E-5</v>
      </c>
    </row>
    <row r="964" spans="2:5" ht="15" customHeight="1">
      <c r="B964" s="90"/>
      <c r="C964" s="54" t="s">
        <v>201</v>
      </c>
      <c r="D964" s="55">
        <v>1</v>
      </c>
      <c r="E964" s="56">
        <v>5.3265153936E-5</v>
      </c>
    </row>
    <row r="965" spans="2:5" ht="15" customHeight="1">
      <c r="B965" s="90"/>
      <c r="C965" s="54" t="s">
        <v>189</v>
      </c>
      <c r="D965" s="55">
        <v>1</v>
      </c>
      <c r="E965" s="56">
        <v>5.3265153936E-5</v>
      </c>
    </row>
    <row r="966" spans="2:5" ht="15" customHeight="1">
      <c r="B966" s="90"/>
      <c r="C966" s="54" t="s">
        <v>192</v>
      </c>
      <c r="D966" s="55">
        <v>1</v>
      </c>
      <c r="E966" s="56">
        <v>5.3265153936E-5</v>
      </c>
    </row>
    <row r="967" spans="2:5" ht="15" customHeight="1">
      <c r="B967" s="90"/>
      <c r="C967" s="54" t="s">
        <v>187</v>
      </c>
      <c r="D967" s="55">
        <v>1</v>
      </c>
      <c r="E967" s="56">
        <v>5.3265153936E-5</v>
      </c>
    </row>
    <row r="968" spans="2:5" ht="15" customHeight="1">
      <c r="B968" s="90"/>
      <c r="C968" s="54" t="s">
        <v>186</v>
      </c>
      <c r="D968" s="55">
        <v>1</v>
      </c>
      <c r="E968" s="56">
        <v>5.3265153936E-5</v>
      </c>
    </row>
    <row r="969" spans="2:5" ht="15" customHeight="1">
      <c r="B969" s="90"/>
      <c r="C969" s="54" t="s">
        <v>237</v>
      </c>
      <c r="D969" s="55">
        <v>1</v>
      </c>
      <c r="E969" s="56">
        <v>5.3265153936E-5</v>
      </c>
    </row>
    <row r="970" spans="2:5" ht="15" customHeight="1">
      <c r="B970" s="90"/>
      <c r="C970" s="54" t="s">
        <v>200</v>
      </c>
      <c r="D970" s="55">
        <v>1</v>
      </c>
      <c r="E970" s="56">
        <v>5.3265153936E-5</v>
      </c>
    </row>
    <row r="971" spans="2:5" ht="15" customHeight="1">
      <c r="B971" s="91"/>
      <c r="C971" s="65" t="s">
        <v>321</v>
      </c>
      <c r="D971" s="64">
        <v>59</v>
      </c>
      <c r="E971" s="66">
        <v>3.142644082241E-3</v>
      </c>
    </row>
    <row r="972" spans="2:5" ht="15" customHeight="1">
      <c r="B972" s="89" t="s">
        <v>158</v>
      </c>
      <c r="C972" s="54" t="s">
        <v>181</v>
      </c>
      <c r="D972" s="55">
        <v>15</v>
      </c>
      <c r="E972" s="56">
        <v>7.98977309044E-4</v>
      </c>
    </row>
    <row r="973" spans="2:5" ht="15" customHeight="1">
      <c r="B973" s="90"/>
      <c r="C973" s="54" t="s">
        <v>182</v>
      </c>
      <c r="D973" s="55">
        <v>12</v>
      </c>
      <c r="E973" s="56">
        <v>6.3918184723599995E-4</v>
      </c>
    </row>
    <row r="974" spans="2:5" ht="15" customHeight="1">
      <c r="B974" s="90"/>
      <c r="C974" s="54" t="s">
        <v>185</v>
      </c>
      <c r="D974" s="55">
        <v>6</v>
      </c>
      <c r="E974" s="56">
        <v>3.1959092361799997E-4</v>
      </c>
    </row>
    <row r="975" spans="2:5" ht="15" customHeight="1">
      <c r="B975" s="90"/>
      <c r="C975" s="54" t="s">
        <v>184</v>
      </c>
      <c r="D975" s="55">
        <v>3</v>
      </c>
      <c r="E975" s="56">
        <v>1.5979546180899999E-4</v>
      </c>
    </row>
    <row r="976" spans="2:5" ht="15" customHeight="1">
      <c r="B976" s="90"/>
      <c r="C976" s="54" t="s">
        <v>183</v>
      </c>
      <c r="D976" s="55">
        <v>3</v>
      </c>
      <c r="E976" s="56">
        <v>1.5979546180899999E-4</v>
      </c>
    </row>
    <row r="977" spans="2:5" ht="15" customHeight="1">
      <c r="B977" s="90"/>
      <c r="C977" s="54" t="s">
        <v>196</v>
      </c>
      <c r="D977" s="55">
        <v>2</v>
      </c>
      <c r="E977" s="56">
        <v>1.06530307873E-4</v>
      </c>
    </row>
    <row r="978" spans="2:5" ht="15" customHeight="1">
      <c r="B978" s="90"/>
      <c r="C978" s="54" t="s">
        <v>187</v>
      </c>
      <c r="D978" s="55">
        <v>2</v>
      </c>
      <c r="E978" s="56">
        <v>1.06530307873E-4</v>
      </c>
    </row>
    <row r="979" spans="2:5" ht="15" customHeight="1">
      <c r="B979" s="90"/>
      <c r="C979" s="54" t="s">
        <v>228</v>
      </c>
      <c r="D979" s="55">
        <v>1</v>
      </c>
      <c r="E979" s="56">
        <v>5.3265153936E-5</v>
      </c>
    </row>
    <row r="980" spans="2:5" ht="15" customHeight="1">
      <c r="B980" s="90"/>
      <c r="C980" s="54" t="s">
        <v>217</v>
      </c>
      <c r="D980" s="55">
        <v>1</v>
      </c>
      <c r="E980" s="56">
        <v>5.3265153936E-5</v>
      </c>
    </row>
    <row r="981" spans="2:5" ht="15" customHeight="1">
      <c r="B981" s="90"/>
      <c r="C981" s="54" t="s">
        <v>190</v>
      </c>
      <c r="D981" s="55">
        <v>1</v>
      </c>
      <c r="E981" s="56">
        <v>5.3265153936E-5</v>
      </c>
    </row>
    <row r="982" spans="2:5" ht="15" customHeight="1">
      <c r="B982" s="90"/>
      <c r="C982" s="54" t="s">
        <v>192</v>
      </c>
      <c r="D982" s="55">
        <v>1</v>
      </c>
      <c r="E982" s="56">
        <v>5.3265153936E-5</v>
      </c>
    </row>
    <row r="983" spans="2:5" ht="15" customHeight="1">
      <c r="B983" s="90"/>
      <c r="C983" s="54" t="s">
        <v>191</v>
      </c>
      <c r="D983" s="55">
        <v>1</v>
      </c>
      <c r="E983" s="56">
        <v>5.3265153936E-5</v>
      </c>
    </row>
    <row r="984" spans="2:5" ht="15" customHeight="1">
      <c r="B984" s="90"/>
      <c r="C984" s="54" t="s">
        <v>186</v>
      </c>
      <c r="D984" s="55">
        <v>1</v>
      </c>
      <c r="E984" s="56">
        <v>5.3265153936E-5</v>
      </c>
    </row>
    <row r="985" spans="2:5" ht="15" customHeight="1">
      <c r="B985" s="90"/>
      <c r="C985" s="54" t="s">
        <v>200</v>
      </c>
      <c r="D985" s="55">
        <v>1</v>
      </c>
      <c r="E985" s="56">
        <v>5.3265153936E-5</v>
      </c>
    </row>
    <row r="986" spans="2:5" ht="15" customHeight="1">
      <c r="B986" s="91"/>
      <c r="C986" s="65" t="s">
        <v>321</v>
      </c>
      <c r="D986" s="64">
        <v>50</v>
      </c>
      <c r="E986" s="66">
        <v>2.6632576968149998E-3</v>
      </c>
    </row>
    <row r="987" spans="2:5" ht="15" customHeight="1">
      <c r="B987" s="89" t="s">
        <v>159</v>
      </c>
      <c r="C987" s="54" t="s">
        <v>181</v>
      </c>
      <c r="D987" s="55">
        <v>11</v>
      </c>
      <c r="E987" s="56">
        <v>5.8591669329900004E-4</v>
      </c>
    </row>
    <row r="988" spans="2:5" ht="15" customHeight="1">
      <c r="B988" s="90"/>
      <c r="C988" s="54" t="s">
        <v>182</v>
      </c>
      <c r="D988" s="55">
        <v>7</v>
      </c>
      <c r="E988" s="56">
        <v>3.7285607755399997E-4</v>
      </c>
    </row>
    <row r="989" spans="2:5" ht="15" customHeight="1">
      <c r="B989" s="90"/>
      <c r="C989" s="54" t="s">
        <v>184</v>
      </c>
      <c r="D989" s="55">
        <v>2</v>
      </c>
      <c r="E989" s="56">
        <v>1.06530307873E-4</v>
      </c>
    </row>
    <row r="990" spans="2:5" ht="15" customHeight="1">
      <c r="B990" s="90"/>
      <c r="C990" s="54" t="s">
        <v>183</v>
      </c>
      <c r="D990" s="55">
        <v>2</v>
      </c>
      <c r="E990" s="56">
        <v>1.06530307873E-4</v>
      </c>
    </row>
    <row r="991" spans="2:5" ht="15" customHeight="1">
      <c r="B991" s="90"/>
      <c r="C991" s="54" t="s">
        <v>207</v>
      </c>
      <c r="D991" s="55">
        <v>2</v>
      </c>
      <c r="E991" s="56">
        <v>1.06530307873E-4</v>
      </c>
    </row>
    <row r="992" spans="2:5" ht="15" customHeight="1">
      <c r="B992" s="90"/>
      <c r="C992" s="54" t="s">
        <v>202</v>
      </c>
      <c r="D992" s="55">
        <v>2</v>
      </c>
      <c r="E992" s="56">
        <v>1.06530307873E-4</v>
      </c>
    </row>
    <row r="993" spans="2:5" ht="15" customHeight="1">
      <c r="B993" s="90"/>
      <c r="C993" s="54" t="s">
        <v>196</v>
      </c>
      <c r="D993" s="55">
        <v>1</v>
      </c>
      <c r="E993" s="56">
        <v>5.3265153936E-5</v>
      </c>
    </row>
    <row r="994" spans="2:5" ht="15" customHeight="1">
      <c r="B994" s="90"/>
      <c r="C994" s="54" t="s">
        <v>222</v>
      </c>
      <c r="D994" s="55">
        <v>1</v>
      </c>
      <c r="E994" s="56">
        <v>5.3265153936E-5</v>
      </c>
    </row>
    <row r="995" spans="2:5" ht="15" customHeight="1">
      <c r="B995" s="90"/>
      <c r="C995" s="54" t="s">
        <v>214</v>
      </c>
      <c r="D995" s="55">
        <v>1</v>
      </c>
      <c r="E995" s="56">
        <v>5.3265153936E-5</v>
      </c>
    </row>
    <row r="996" spans="2:5" ht="15" customHeight="1">
      <c r="B996" s="90"/>
      <c r="C996" s="54" t="s">
        <v>185</v>
      </c>
      <c r="D996" s="55">
        <v>1</v>
      </c>
      <c r="E996" s="56">
        <v>5.3265153936E-5</v>
      </c>
    </row>
    <row r="997" spans="2:5" ht="15" customHeight="1">
      <c r="B997" s="90"/>
      <c r="C997" s="54" t="s">
        <v>192</v>
      </c>
      <c r="D997" s="55">
        <v>1</v>
      </c>
      <c r="E997" s="56">
        <v>5.3265153936E-5</v>
      </c>
    </row>
    <row r="998" spans="2:5" ht="15" customHeight="1">
      <c r="B998" s="90"/>
      <c r="C998" s="54" t="s">
        <v>231</v>
      </c>
      <c r="D998" s="55">
        <v>1</v>
      </c>
      <c r="E998" s="56">
        <v>5.3265153936E-5</v>
      </c>
    </row>
    <row r="999" spans="2:5" ht="15" customHeight="1">
      <c r="B999" s="90"/>
      <c r="C999" s="54" t="s">
        <v>242</v>
      </c>
      <c r="D999" s="55">
        <v>1</v>
      </c>
      <c r="E999" s="56">
        <v>5.3265153936E-5</v>
      </c>
    </row>
    <row r="1000" spans="2:5" ht="15" customHeight="1">
      <c r="B1000" s="91"/>
      <c r="C1000" s="65" t="s">
        <v>321</v>
      </c>
      <c r="D1000" s="64">
        <v>33</v>
      </c>
      <c r="E1000" s="66">
        <v>1.7577500798980001E-3</v>
      </c>
    </row>
    <row r="1001" spans="2:5" ht="15" customHeight="1">
      <c r="B1001" s="89" t="s">
        <v>160</v>
      </c>
      <c r="C1001" s="54" t="s">
        <v>181</v>
      </c>
      <c r="D1001" s="55">
        <v>11</v>
      </c>
      <c r="E1001" s="56">
        <v>5.8591669329900004E-4</v>
      </c>
    </row>
    <row r="1002" spans="2:5" ht="15" customHeight="1">
      <c r="B1002" s="90"/>
      <c r="C1002" s="54" t="s">
        <v>182</v>
      </c>
      <c r="D1002" s="55">
        <v>10</v>
      </c>
      <c r="E1002" s="56">
        <v>5.3265153936299999E-4</v>
      </c>
    </row>
    <row r="1003" spans="2:5" ht="15" customHeight="1">
      <c r="B1003" s="90"/>
      <c r="C1003" s="54" t="s">
        <v>242</v>
      </c>
      <c r="D1003" s="55">
        <v>4</v>
      </c>
      <c r="E1003" s="56">
        <v>2.1306061574499999E-4</v>
      </c>
    </row>
    <row r="1004" spans="2:5" ht="15" customHeight="1">
      <c r="B1004" s="90"/>
      <c r="C1004" s="54" t="s">
        <v>196</v>
      </c>
      <c r="D1004" s="55">
        <v>2</v>
      </c>
      <c r="E1004" s="56">
        <v>1.06530307873E-4</v>
      </c>
    </row>
    <row r="1005" spans="2:5" ht="15" customHeight="1">
      <c r="B1005" s="90"/>
      <c r="C1005" s="54" t="s">
        <v>183</v>
      </c>
      <c r="D1005" s="55">
        <v>2</v>
      </c>
      <c r="E1005" s="56">
        <v>1.06530307873E-4</v>
      </c>
    </row>
    <row r="1006" spans="2:5" ht="15" customHeight="1">
      <c r="B1006" s="90"/>
      <c r="C1006" s="54" t="s">
        <v>185</v>
      </c>
      <c r="D1006" s="55">
        <v>2</v>
      </c>
      <c r="E1006" s="56">
        <v>1.06530307873E-4</v>
      </c>
    </row>
    <row r="1007" spans="2:5" ht="15" customHeight="1">
      <c r="B1007" s="90"/>
      <c r="C1007" s="54" t="s">
        <v>187</v>
      </c>
      <c r="D1007" s="55">
        <v>2</v>
      </c>
      <c r="E1007" s="56">
        <v>1.06530307873E-4</v>
      </c>
    </row>
    <row r="1008" spans="2:5" ht="15" customHeight="1">
      <c r="B1008" s="91"/>
      <c r="C1008" s="65" t="s">
        <v>321</v>
      </c>
      <c r="D1008" s="64">
        <v>33</v>
      </c>
      <c r="E1008" s="66">
        <v>1.7577500798980001E-3</v>
      </c>
    </row>
    <row r="1009" spans="2:5" ht="15" customHeight="1">
      <c r="B1009" s="89" t="s">
        <v>161</v>
      </c>
      <c r="C1009" s="54" t="s">
        <v>182</v>
      </c>
      <c r="D1009" s="55">
        <v>9</v>
      </c>
      <c r="E1009" s="56">
        <v>4.7938638542699999E-4</v>
      </c>
    </row>
    <row r="1010" spans="2:5" ht="15" customHeight="1">
      <c r="B1010" s="90"/>
      <c r="C1010" s="54" t="s">
        <v>181</v>
      </c>
      <c r="D1010" s="55">
        <v>6</v>
      </c>
      <c r="E1010" s="56">
        <v>3.1959092361799997E-4</v>
      </c>
    </row>
    <row r="1011" spans="2:5" ht="15" customHeight="1">
      <c r="B1011" s="90"/>
      <c r="C1011" s="54" t="s">
        <v>183</v>
      </c>
      <c r="D1011" s="55">
        <v>4</v>
      </c>
      <c r="E1011" s="56">
        <v>2.1306061574499999E-4</v>
      </c>
    </row>
    <row r="1012" spans="2:5" ht="15" customHeight="1">
      <c r="B1012" s="90"/>
      <c r="C1012" s="54" t="s">
        <v>184</v>
      </c>
      <c r="D1012" s="55">
        <v>3</v>
      </c>
      <c r="E1012" s="56">
        <v>1.5979546180899999E-4</v>
      </c>
    </row>
    <row r="1013" spans="2:5" ht="15" customHeight="1">
      <c r="B1013" s="90"/>
      <c r="C1013" s="54" t="s">
        <v>185</v>
      </c>
      <c r="D1013" s="55">
        <v>2</v>
      </c>
      <c r="E1013" s="56">
        <v>1.06530307873E-4</v>
      </c>
    </row>
    <row r="1014" spans="2:5" ht="15" customHeight="1">
      <c r="B1014" s="90"/>
      <c r="C1014" s="54" t="s">
        <v>187</v>
      </c>
      <c r="D1014" s="55">
        <v>2</v>
      </c>
      <c r="E1014" s="56">
        <v>1.06530307873E-4</v>
      </c>
    </row>
    <row r="1015" spans="2:5" ht="15" customHeight="1">
      <c r="B1015" s="90"/>
      <c r="C1015" s="54" t="s">
        <v>211</v>
      </c>
      <c r="D1015" s="55">
        <v>1</v>
      </c>
      <c r="E1015" s="56">
        <v>5.3265153936E-5</v>
      </c>
    </row>
    <row r="1016" spans="2:5" ht="15" customHeight="1">
      <c r="B1016" s="90"/>
      <c r="C1016" s="54" t="s">
        <v>217</v>
      </c>
      <c r="D1016" s="55">
        <v>1</v>
      </c>
      <c r="E1016" s="56">
        <v>5.3265153936E-5</v>
      </c>
    </row>
    <row r="1017" spans="2:5" ht="15" customHeight="1">
      <c r="B1017" s="90"/>
      <c r="C1017" s="54" t="s">
        <v>219</v>
      </c>
      <c r="D1017" s="55">
        <v>1</v>
      </c>
      <c r="E1017" s="56">
        <v>5.3265153936E-5</v>
      </c>
    </row>
    <row r="1018" spans="2:5" ht="15" customHeight="1">
      <c r="B1018" s="90"/>
      <c r="C1018" s="54" t="s">
        <v>190</v>
      </c>
      <c r="D1018" s="55">
        <v>1</v>
      </c>
      <c r="E1018" s="56">
        <v>5.3265153936E-5</v>
      </c>
    </row>
    <row r="1019" spans="2:5" ht="15" customHeight="1">
      <c r="B1019" s="90"/>
      <c r="C1019" s="54" t="s">
        <v>204</v>
      </c>
      <c r="D1019" s="55">
        <v>1</v>
      </c>
      <c r="E1019" s="56">
        <v>5.3265153936E-5</v>
      </c>
    </row>
    <row r="1020" spans="2:5" ht="15" customHeight="1">
      <c r="B1020" s="91"/>
      <c r="C1020" s="65" t="s">
        <v>321</v>
      </c>
      <c r="D1020" s="64">
        <v>31</v>
      </c>
      <c r="E1020" s="66">
        <v>1.6512197720249999E-3</v>
      </c>
    </row>
    <row r="1021" spans="2:5" ht="15" customHeight="1">
      <c r="B1021" s="89" t="s">
        <v>162</v>
      </c>
      <c r="C1021" s="54" t="s">
        <v>181</v>
      </c>
      <c r="D1021" s="55">
        <v>9</v>
      </c>
      <c r="E1021" s="56">
        <v>4.7938638542699999E-4</v>
      </c>
    </row>
    <row r="1022" spans="2:5" ht="15" customHeight="1">
      <c r="B1022" s="90"/>
      <c r="C1022" s="54" t="s">
        <v>182</v>
      </c>
      <c r="D1022" s="55">
        <v>4</v>
      </c>
      <c r="E1022" s="56">
        <v>2.1306061574499999E-4</v>
      </c>
    </row>
    <row r="1023" spans="2:5" ht="15" customHeight="1">
      <c r="B1023" s="90"/>
      <c r="C1023" s="54" t="s">
        <v>185</v>
      </c>
      <c r="D1023" s="55">
        <v>4</v>
      </c>
      <c r="E1023" s="56">
        <v>2.1306061574499999E-4</v>
      </c>
    </row>
    <row r="1024" spans="2:5" ht="15" customHeight="1">
      <c r="B1024" s="90"/>
      <c r="C1024" s="54" t="s">
        <v>237</v>
      </c>
      <c r="D1024" s="55">
        <v>3</v>
      </c>
      <c r="E1024" s="56">
        <v>1.5979546180899999E-4</v>
      </c>
    </row>
    <row r="1025" spans="2:5" ht="15" customHeight="1">
      <c r="B1025" s="90"/>
      <c r="C1025" s="54" t="s">
        <v>188</v>
      </c>
      <c r="D1025" s="55">
        <v>2</v>
      </c>
      <c r="E1025" s="56">
        <v>1.06530307873E-4</v>
      </c>
    </row>
    <row r="1026" spans="2:5" ht="15" customHeight="1">
      <c r="B1026" s="90"/>
      <c r="C1026" s="54" t="s">
        <v>184</v>
      </c>
      <c r="D1026" s="55">
        <v>2</v>
      </c>
      <c r="E1026" s="56">
        <v>1.06530307873E-4</v>
      </c>
    </row>
    <row r="1027" spans="2:5" ht="15" customHeight="1">
      <c r="B1027" s="90"/>
      <c r="C1027" s="54" t="s">
        <v>195</v>
      </c>
      <c r="D1027" s="55">
        <v>1</v>
      </c>
      <c r="E1027" s="56">
        <v>5.3265153936E-5</v>
      </c>
    </row>
    <row r="1028" spans="2:5" ht="15" customHeight="1">
      <c r="B1028" s="90"/>
      <c r="C1028" s="54" t="s">
        <v>214</v>
      </c>
      <c r="D1028" s="55">
        <v>1</v>
      </c>
      <c r="E1028" s="56">
        <v>5.3265153936E-5</v>
      </c>
    </row>
    <row r="1029" spans="2:5" ht="15" customHeight="1">
      <c r="B1029" s="90"/>
      <c r="C1029" s="54" t="s">
        <v>190</v>
      </c>
      <c r="D1029" s="55">
        <v>1</v>
      </c>
      <c r="E1029" s="56">
        <v>5.3265153936E-5</v>
      </c>
    </row>
    <row r="1030" spans="2:5" ht="15" customHeight="1">
      <c r="B1030" s="90"/>
      <c r="C1030" s="54" t="s">
        <v>194</v>
      </c>
      <c r="D1030" s="55">
        <v>1</v>
      </c>
      <c r="E1030" s="56">
        <v>5.3265153936E-5</v>
      </c>
    </row>
    <row r="1031" spans="2:5" ht="15" customHeight="1">
      <c r="B1031" s="90"/>
      <c r="C1031" s="54" t="s">
        <v>187</v>
      </c>
      <c r="D1031" s="55">
        <v>1</v>
      </c>
      <c r="E1031" s="56">
        <v>5.3265153936E-5</v>
      </c>
    </row>
    <row r="1032" spans="2:5" ht="15" customHeight="1">
      <c r="B1032" s="91"/>
      <c r="C1032" s="65" t="s">
        <v>321</v>
      </c>
      <c r="D1032" s="64">
        <v>29</v>
      </c>
      <c r="E1032" s="66">
        <v>1.544689464153E-3</v>
      </c>
    </row>
    <row r="1033" spans="2:5" ht="15" customHeight="1">
      <c r="B1033" s="89" t="s">
        <v>163</v>
      </c>
      <c r="C1033" s="54" t="s">
        <v>181</v>
      </c>
      <c r="D1033" s="55">
        <v>10</v>
      </c>
      <c r="E1033" s="56">
        <v>5.3265153936299999E-4</v>
      </c>
    </row>
    <row r="1034" spans="2:5" ht="15" customHeight="1">
      <c r="B1034" s="90"/>
      <c r="C1034" s="54" t="s">
        <v>182</v>
      </c>
      <c r="D1034" s="55">
        <v>4</v>
      </c>
      <c r="E1034" s="56">
        <v>2.1306061574499999E-4</v>
      </c>
    </row>
    <row r="1035" spans="2:5" ht="15" customHeight="1">
      <c r="B1035" s="90"/>
      <c r="C1035" s="54" t="s">
        <v>192</v>
      </c>
      <c r="D1035" s="55">
        <v>3</v>
      </c>
      <c r="E1035" s="56">
        <v>1.5979546180899999E-4</v>
      </c>
    </row>
    <row r="1036" spans="2:5" ht="15" customHeight="1">
      <c r="B1036" s="90"/>
      <c r="C1036" s="54" t="s">
        <v>183</v>
      </c>
      <c r="D1036" s="55">
        <v>2</v>
      </c>
      <c r="E1036" s="56">
        <v>1.06530307873E-4</v>
      </c>
    </row>
    <row r="1037" spans="2:5" ht="15" customHeight="1">
      <c r="B1037" s="90"/>
      <c r="C1037" s="54" t="s">
        <v>216</v>
      </c>
      <c r="D1037" s="55">
        <v>1</v>
      </c>
      <c r="E1037" s="56">
        <v>5.3265153936E-5</v>
      </c>
    </row>
    <row r="1038" spans="2:5" ht="15" customHeight="1">
      <c r="B1038" s="90"/>
      <c r="C1038" s="54" t="s">
        <v>217</v>
      </c>
      <c r="D1038" s="55">
        <v>1</v>
      </c>
      <c r="E1038" s="56">
        <v>5.3265153936E-5</v>
      </c>
    </row>
    <row r="1039" spans="2:5" ht="15" customHeight="1">
      <c r="B1039" s="90"/>
      <c r="C1039" s="54" t="s">
        <v>184</v>
      </c>
      <c r="D1039" s="55">
        <v>1</v>
      </c>
      <c r="E1039" s="56">
        <v>5.3265153936E-5</v>
      </c>
    </row>
    <row r="1040" spans="2:5" ht="15" customHeight="1">
      <c r="B1040" s="90"/>
      <c r="C1040" s="54" t="s">
        <v>206</v>
      </c>
      <c r="D1040" s="55">
        <v>1</v>
      </c>
      <c r="E1040" s="56">
        <v>5.3265153936E-5</v>
      </c>
    </row>
    <row r="1041" spans="2:5" ht="15" customHeight="1">
      <c r="B1041" s="90"/>
      <c r="C1041" s="54" t="s">
        <v>233</v>
      </c>
      <c r="D1041" s="55">
        <v>1</v>
      </c>
      <c r="E1041" s="56">
        <v>5.3265153936E-5</v>
      </c>
    </row>
    <row r="1042" spans="2:5" ht="15" customHeight="1">
      <c r="B1042" s="90"/>
      <c r="C1042" s="54" t="s">
        <v>185</v>
      </c>
      <c r="D1042" s="55">
        <v>1</v>
      </c>
      <c r="E1042" s="56">
        <v>5.3265153936E-5</v>
      </c>
    </row>
    <row r="1043" spans="2:5" ht="15" customHeight="1">
      <c r="B1043" s="90"/>
      <c r="C1043" s="54" t="s">
        <v>213</v>
      </c>
      <c r="D1043" s="55">
        <v>1</v>
      </c>
      <c r="E1043" s="56">
        <v>5.3265153936E-5</v>
      </c>
    </row>
    <row r="1044" spans="2:5" ht="15" customHeight="1">
      <c r="B1044" s="90"/>
      <c r="C1044" s="54" t="s">
        <v>242</v>
      </c>
      <c r="D1044" s="55">
        <v>1</v>
      </c>
      <c r="E1044" s="56">
        <v>5.3265153936E-5</v>
      </c>
    </row>
    <row r="1045" spans="2:5" ht="15" customHeight="1">
      <c r="B1045" s="91"/>
      <c r="C1045" s="65" t="s">
        <v>321</v>
      </c>
      <c r="D1045" s="64">
        <v>27</v>
      </c>
      <c r="E1045" s="66">
        <v>1.4381591562800001E-3</v>
      </c>
    </row>
    <row r="1046" spans="2:5" ht="15" customHeight="1">
      <c r="B1046" s="89" t="s">
        <v>164</v>
      </c>
      <c r="C1046" s="54" t="s">
        <v>181</v>
      </c>
      <c r="D1046" s="55">
        <v>6</v>
      </c>
      <c r="E1046" s="56">
        <v>3.1959092361799997E-4</v>
      </c>
    </row>
    <row r="1047" spans="2:5" ht="15" customHeight="1">
      <c r="B1047" s="90"/>
      <c r="C1047" s="54" t="s">
        <v>188</v>
      </c>
      <c r="D1047" s="55">
        <v>3</v>
      </c>
      <c r="E1047" s="56">
        <v>1.5979546180899999E-4</v>
      </c>
    </row>
    <row r="1048" spans="2:5" ht="15" customHeight="1">
      <c r="B1048" s="90"/>
      <c r="C1048" s="54" t="s">
        <v>182</v>
      </c>
      <c r="D1048" s="55">
        <v>3</v>
      </c>
      <c r="E1048" s="56">
        <v>1.5979546180899999E-4</v>
      </c>
    </row>
    <row r="1049" spans="2:5" ht="15" customHeight="1">
      <c r="B1049" s="90"/>
      <c r="C1049" s="54" t="s">
        <v>187</v>
      </c>
      <c r="D1049" s="55">
        <v>2</v>
      </c>
      <c r="E1049" s="56">
        <v>1.06530307873E-4</v>
      </c>
    </row>
    <row r="1050" spans="2:5" ht="15" customHeight="1">
      <c r="B1050" s="90"/>
      <c r="C1050" s="54" t="s">
        <v>211</v>
      </c>
      <c r="D1050" s="55">
        <v>1</v>
      </c>
      <c r="E1050" s="56">
        <v>5.3265153936E-5</v>
      </c>
    </row>
    <row r="1051" spans="2:5" ht="15" customHeight="1">
      <c r="B1051" s="90"/>
      <c r="C1051" s="54" t="s">
        <v>183</v>
      </c>
      <c r="D1051" s="55">
        <v>1</v>
      </c>
      <c r="E1051" s="56">
        <v>5.3265153936E-5</v>
      </c>
    </row>
    <row r="1052" spans="2:5" ht="15" customHeight="1">
      <c r="B1052" s="90"/>
      <c r="C1052" s="54" t="s">
        <v>185</v>
      </c>
      <c r="D1052" s="55">
        <v>1</v>
      </c>
      <c r="E1052" s="56">
        <v>5.3265153936E-5</v>
      </c>
    </row>
    <row r="1053" spans="2:5" ht="15" customHeight="1">
      <c r="B1053" s="90"/>
      <c r="C1053" s="54" t="s">
        <v>213</v>
      </c>
      <c r="D1053" s="55">
        <v>1</v>
      </c>
      <c r="E1053" s="56">
        <v>5.3265153936E-5</v>
      </c>
    </row>
    <row r="1054" spans="2:5" ht="15" customHeight="1">
      <c r="B1054" s="90"/>
      <c r="C1054" s="54" t="s">
        <v>192</v>
      </c>
      <c r="D1054" s="55">
        <v>1</v>
      </c>
      <c r="E1054" s="56">
        <v>5.3265153936E-5</v>
      </c>
    </row>
    <row r="1055" spans="2:5" ht="15" customHeight="1">
      <c r="B1055" s="90"/>
      <c r="C1055" s="54" t="s">
        <v>208</v>
      </c>
      <c r="D1055" s="55">
        <v>1</v>
      </c>
      <c r="E1055" s="56">
        <v>5.3265153936E-5</v>
      </c>
    </row>
    <row r="1056" spans="2:5" ht="15" customHeight="1">
      <c r="B1056" s="90"/>
      <c r="C1056" s="54" t="s">
        <v>242</v>
      </c>
      <c r="D1056" s="55">
        <v>1</v>
      </c>
      <c r="E1056" s="56">
        <v>5.3265153936E-5</v>
      </c>
    </row>
    <row r="1057" spans="2:5" ht="15" customHeight="1">
      <c r="B1057" s="91"/>
      <c r="C1057" s="65" t="s">
        <v>321</v>
      </c>
      <c r="D1057" s="64">
        <v>21</v>
      </c>
      <c r="E1057" s="66">
        <v>1.118568232662E-3</v>
      </c>
    </row>
    <row r="1058" spans="2:5" ht="15" customHeight="1">
      <c r="B1058" s="89" t="s">
        <v>165</v>
      </c>
      <c r="C1058" s="54" t="s">
        <v>187</v>
      </c>
      <c r="D1058" s="55">
        <v>6</v>
      </c>
      <c r="E1058" s="56">
        <v>3.1959092361799997E-4</v>
      </c>
    </row>
    <row r="1059" spans="2:5" ht="15" customHeight="1">
      <c r="B1059" s="90"/>
      <c r="C1059" s="54" t="s">
        <v>181</v>
      </c>
      <c r="D1059" s="55">
        <v>3</v>
      </c>
      <c r="E1059" s="56">
        <v>1.5979546180899999E-4</v>
      </c>
    </row>
    <row r="1060" spans="2:5" ht="15" customHeight="1">
      <c r="B1060" s="90"/>
      <c r="C1060" s="54" t="s">
        <v>184</v>
      </c>
      <c r="D1060" s="55">
        <v>2</v>
      </c>
      <c r="E1060" s="56">
        <v>1.06530307873E-4</v>
      </c>
    </row>
    <row r="1061" spans="2:5" ht="15" customHeight="1">
      <c r="B1061" s="90"/>
      <c r="C1061" s="54" t="s">
        <v>201</v>
      </c>
      <c r="D1061" s="55">
        <v>1</v>
      </c>
      <c r="E1061" s="56">
        <v>5.3265153936E-5</v>
      </c>
    </row>
    <row r="1062" spans="2:5" ht="15" customHeight="1">
      <c r="B1062" s="90"/>
      <c r="C1062" s="54" t="s">
        <v>217</v>
      </c>
      <c r="D1062" s="55">
        <v>1</v>
      </c>
      <c r="E1062" s="56">
        <v>5.3265153936E-5</v>
      </c>
    </row>
    <row r="1063" spans="2:5" ht="15" customHeight="1">
      <c r="B1063" s="90"/>
      <c r="C1063" s="54" t="s">
        <v>182</v>
      </c>
      <c r="D1063" s="55">
        <v>1</v>
      </c>
      <c r="E1063" s="56">
        <v>5.3265153936E-5</v>
      </c>
    </row>
    <row r="1064" spans="2:5" ht="15" customHeight="1">
      <c r="B1064" s="90"/>
      <c r="C1064" s="54" t="s">
        <v>233</v>
      </c>
      <c r="D1064" s="55">
        <v>1</v>
      </c>
      <c r="E1064" s="56">
        <v>5.3265153936E-5</v>
      </c>
    </row>
    <row r="1065" spans="2:5" ht="15" customHeight="1">
      <c r="B1065" s="91"/>
      <c r="C1065" s="65" t="s">
        <v>321</v>
      </c>
      <c r="D1065" s="64">
        <v>15</v>
      </c>
      <c r="E1065" s="66">
        <v>7.98977309044E-4</v>
      </c>
    </row>
    <row r="1066" spans="2:5" ht="15" customHeight="1">
      <c r="B1066" s="89" t="s">
        <v>166</v>
      </c>
      <c r="C1066" s="54" t="s">
        <v>201</v>
      </c>
      <c r="D1066" s="55">
        <v>4</v>
      </c>
      <c r="E1066" s="56">
        <v>2.1306061574499999E-4</v>
      </c>
    </row>
    <row r="1067" spans="2:5" ht="15" customHeight="1">
      <c r="B1067" s="90"/>
      <c r="C1067" s="54" t="s">
        <v>182</v>
      </c>
      <c r="D1067" s="55">
        <v>3</v>
      </c>
      <c r="E1067" s="56">
        <v>1.5979546180899999E-4</v>
      </c>
    </row>
    <row r="1068" spans="2:5" ht="15" customHeight="1">
      <c r="B1068" s="90"/>
      <c r="C1068" s="54" t="s">
        <v>184</v>
      </c>
      <c r="D1068" s="55">
        <v>2</v>
      </c>
      <c r="E1068" s="56">
        <v>1.06530307873E-4</v>
      </c>
    </row>
    <row r="1069" spans="2:5" ht="15" customHeight="1">
      <c r="B1069" s="90"/>
      <c r="C1069" s="54" t="s">
        <v>181</v>
      </c>
      <c r="D1069" s="55">
        <v>2</v>
      </c>
      <c r="E1069" s="56">
        <v>1.06530307873E-4</v>
      </c>
    </row>
    <row r="1070" spans="2:5" ht="15" customHeight="1">
      <c r="B1070" s="90"/>
      <c r="C1070" s="54" t="s">
        <v>243</v>
      </c>
      <c r="D1070" s="55">
        <v>1</v>
      </c>
      <c r="E1070" s="56">
        <v>5.3265153936E-5</v>
      </c>
    </row>
    <row r="1071" spans="2:5" ht="15" customHeight="1">
      <c r="B1071" s="90"/>
      <c r="C1071" s="54" t="s">
        <v>192</v>
      </c>
      <c r="D1071" s="55">
        <v>1</v>
      </c>
      <c r="E1071" s="56">
        <v>5.3265153936E-5</v>
      </c>
    </row>
    <row r="1072" spans="2:5" ht="15" customHeight="1">
      <c r="B1072" s="90"/>
      <c r="C1072" s="54" t="s">
        <v>187</v>
      </c>
      <c r="D1072" s="55">
        <v>1</v>
      </c>
      <c r="E1072" s="56">
        <v>5.3265153936E-5</v>
      </c>
    </row>
    <row r="1073" spans="2:5" ht="15" customHeight="1">
      <c r="B1073" s="91"/>
      <c r="C1073" s="65" t="s">
        <v>321</v>
      </c>
      <c r="D1073" s="64">
        <v>14</v>
      </c>
      <c r="E1073" s="66">
        <v>7.4571215510799995E-4</v>
      </c>
    </row>
    <row r="1074" spans="2:5" ht="15" customHeight="1">
      <c r="B1074" s="89" t="s">
        <v>167</v>
      </c>
      <c r="C1074" s="54" t="s">
        <v>182</v>
      </c>
      <c r="D1074" s="55">
        <v>6</v>
      </c>
      <c r="E1074" s="56">
        <v>3.1959092361799997E-4</v>
      </c>
    </row>
    <row r="1075" spans="2:5" ht="15" customHeight="1">
      <c r="B1075" s="90"/>
      <c r="C1075" s="54" t="s">
        <v>183</v>
      </c>
      <c r="D1075" s="55">
        <v>2</v>
      </c>
      <c r="E1075" s="56">
        <v>1.06530307873E-4</v>
      </c>
    </row>
    <row r="1076" spans="2:5" ht="15" customHeight="1">
      <c r="B1076" s="90"/>
      <c r="C1076" s="54" t="s">
        <v>181</v>
      </c>
      <c r="D1076" s="55">
        <v>2</v>
      </c>
      <c r="E1076" s="56">
        <v>1.06530307873E-4</v>
      </c>
    </row>
    <row r="1077" spans="2:5" ht="15" customHeight="1">
      <c r="B1077" s="90"/>
      <c r="C1077" s="54" t="s">
        <v>190</v>
      </c>
      <c r="D1077" s="55">
        <v>1</v>
      </c>
      <c r="E1077" s="56">
        <v>5.3265153936E-5</v>
      </c>
    </row>
    <row r="1078" spans="2:5" ht="15" customHeight="1">
      <c r="B1078" s="91"/>
      <c r="C1078" s="65" t="s">
        <v>321</v>
      </c>
      <c r="D1078" s="64">
        <v>11</v>
      </c>
      <c r="E1078" s="66">
        <v>5.8591669329900004E-4</v>
      </c>
    </row>
    <row r="1079" spans="2:5" ht="15" customHeight="1">
      <c r="B1079" s="89" t="s">
        <v>168</v>
      </c>
      <c r="C1079" s="54" t="s">
        <v>182</v>
      </c>
      <c r="D1079" s="55">
        <v>5</v>
      </c>
      <c r="E1079" s="56">
        <v>2.6632576968100001E-4</v>
      </c>
    </row>
    <row r="1080" spans="2:5" ht="15" customHeight="1">
      <c r="B1080" s="90"/>
      <c r="C1080" s="54" t="s">
        <v>181</v>
      </c>
      <c r="D1080" s="55">
        <v>3</v>
      </c>
      <c r="E1080" s="56">
        <v>1.5979546180899999E-4</v>
      </c>
    </row>
    <row r="1081" spans="2:5" ht="15" customHeight="1">
      <c r="B1081" s="90"/>
      <c r="C1081" s="54" t="s">
        <v>217</v>
      </c>
      <c r="D1081" s="55">
        <v>1</v>
      </c>
      <c r="E1081" s="56">
        <v>5.3265153936E-5</v>
      </c>
    </row>
    <row r="1082" spans="2:5" ht="15" customHeight="1">
      <c r="B1082" s="90"/>
      <c r="C1082" s="54" t="s">
        <v>214</v>
      </c>
      <c r="D1082" s="55">
        <v>1</v>
      </c>
      <c r="E1082" s="56">
        <v>5.3265153936E-5</v>
      </c>
    </row>
    <row r="1083" spans="2:5" ht="15" customHeight="1">
      <c r="B1083" s="90"/>
      <c r="C1083" s="54" t="s">
        <v>185</v>
      </c>
      <c r="D1083" s="55">
        <v>1</v>
      </c>
      <c r="E1083" s="56">
        <v>5.3265153936E-5</v>
      </c>
    </row>
    <row r="1084" spans="2:5" ht="15" customHeight="1">
      <c r="B1084" s="91"/>
      <c r="C1084" s="65" t="s">
        <v>321</v>
      </c>
      <c r="D1084" s="64">
        <v>11</v>
      </c>
      <c r="E1084" s="66">
        <v>5.8591669329900004E-4</v>
      </c>
    </row>
    <row r="1085" spans="2:5" ht="15" customHeight="1">
      <c r="B1085" s="89" t="s">
        <v>169</v>
      </c>
      <c r="C1085" s="54" t="s">
        <v>181</v>
      </c>
      <c r="D1085" s="55">
        <v>4</v>
      </c>
      <c r="E1085" s="56">
        <v>2.1306061574499999E-4</v>
      </c>
    </row>
    <row r="1086" spans="2:5" ht="15" customHeight="1">
      <c r="B1086" s="90"/>
      <c r="C1086" s="54" t="s">
        <v>183</v>
      </c>
      <c r="D1086" s="55">
        <v>2</v>
      </c>
      <c r="E1086" s="56">
        <v>1.06530307873E-4</v>
      </c>
    </row>
    <row r="1087" spans="2:5" ht="15" customHeight="1">
      <c r="B1087" s="90"/>
      <c r="C1087" s="54" t="s">
        <v>182</v>
      </c>
      <c r="D1087" s="55">
        <v>1</v>
      </c>
      <c r="E1087" s="56">
        <v>5.3265153936E-5</v>
      </c>
    </row>
    <row r="1088" spans="2:5" ht="15" customHeight="1">
      <c r="B1088" s="90"/>
      <c r="C1088" s="54" t="s">
        <v>190</v>
      </c>
      <c r="D1088" s="55">
        <v>1</v>
      </c>
      <c r="E1088" s="56">
        <v>5.3265153936E-5</v>
      </c>
    </row>
    <row r="1089" spans="2:5" ht="15" customHeight="1">
      <c r="B1089" s="91"/>
      <c r="C1089" s="65" t="s">
        <v>321</v>
      </c>
      <c r="D1089" s="64">
        <v>8</v>
      </c>
      <c r="E1089" s="66">
        <v>4.2612123148999997E-4</v>
      </c>
    </row>
    <row r="1090" spans="2:5" ht="15" customHeight="1">
      <c r="B1090" s="89" t="s">
        <v>170</v>
      </c>
      <c r="C1090" s="54" t="s">
        <v>187</v>
      </c>
      <c r="D1090" s="55">
        <v>2</v>
      </c>
      <c r="E1090" s="56">
        <v>1.06530307873E-4</v>
      </c>
    </row>
    <row r="1091" spans="2:5" ht="15" customHeight="1">
      <c r="B1091" s="90"/>
      <c r="C1091" s="54" t="s">
        <v>201</v>
      </c>
      <c r="D1091" s="55">
        <v>1</v>
      </c>
      <c r="E1091" s="56">
        <v>5.3265153936E-5</v>
      </c>
    </row>
    <row r="1092" spans="2:5" ht="15" customHeight="1">
      <c r="B1092" s="90"/>
      <c r="C1092" s="54" t="s">
        <v>182</v>
      </c>
      <c r="D1092" s="55">
        <v>1</v>
      </c>
      <c r="E1092" s="56">
        <v>5.3265153936E-5</v>
      </c>
    </row>
    <row r="1093" spans="2:5" ht="15" customHeight="1">
      <c r="B1093" s="90"/>
      <c r="C1093" s="54" t="s">
        <v>184</v>
      </c>
      <c r="D1093" s="55">
        <v>1</v>
      </c>
      <c r="E1093" s="56">
        <v>5.3265153936E-5</v>
      </c>
    </row>
    <row r="1094" spans="2:5" ht="15" customHeight="1">
      <c r="B1094" s="90"/>
      <c r="C1094" s="54" t="s">
        <v>206</v>
      </c>
      <c r="D1094" s="55">
        <v>1</v>
      </c>
      <c r="E1094" s="56">
        <v>5.3265153936E-5</v>
      </c>
    </row>
    <row r="1095" spans="2:5" ht="15" customHeight="1">
      <c r="B1095" s="90"/>
      <c r="C1095" s="54" t="s">
        <v>215</v>
      </c>
      <c r="D1095" s="55">
        <v>1</v>
      </c>
      <c r="E1095" s="56">
        <v>5.3265153936E-5</v>
      </c>
    </row>
    <row r="1096" spans="2:5" ht="15" customHeight="1">
      <c r="B1096" s="90"/>
      <c r="C1096" s="54" t="s">
        <v>181</v>
      </c>
      <c r="D1096" s="55">
        <v>1</v>
      </c>
      <c r="E1096" s="56">
        <v>5.3265153936E-5</v>
      </c>
    </row>
    <row r="1097" spans="2:5" ht="15" customHeight="1">
      <c r="B1097" s="91"/>
      <c r="C1097" s="65" t="s">
        <v>321</v>
      </c>
      <c r="D1097" s="64">
        <v>8</v>
      </c>
      <c r="E1097" s="66">
        <v>4.2612123148999997E-4</v>
      </c>
    </row>
    <row r="1098" spans="2:5" ht="15" customHeight="1">
      <c r="B1098" s="89" t="s">
        <v>171</v>
      </c>
      <c r="C1098" s="54" t="s">
        <v>181</v>
      </c>
      <c r="D1098" s="55">
        <v>2</v>
      </c>
      <c r="E1098" s="56">
        <v>1.06530307873E-4</v>
      </c>
    </row>
    <row r="1099" spans="2:5" ht="15" customHeight="1">
      <c r="B1099" s="90"/>
      <c r="C1099" s="54" t="s">
        <v>194</v>
      </c>
      <c r="D1099" s="55">
        <v>2</v>
      </c>
      <c r="E1099" s="56">
        <v>1.06530307873E-4</v>
      </c>
    </row>
    <row r="1100" spans="2:5" ht="15" customHeight="1">
      <c r="B1100" s="90"/>
      <c r="C1100" s="54" t="s">
        <v>216</v>
      </c>
      <c r="D1100" s="55">
        <v>1</v>
      </c>
      <c r="E1100" s="56">
        <v>5.3265153936E-5</v>
      </c>
    </row>
    <row r="1101" spans="2:5" ht="15" customHeight="1">
      <c r="B1101" s="90"/>
      <c r="C1101" s="54" t="s">
        <v>182</v>
      </c>
      <c r="D1101" s="55">
        <v>1</v>
      </c>
      <c r="E1101" s="56">
        <v>5.3265153936E-5</v>
      </c>
    </row>
    <row r="1102" spans="2:5" ht="15" customHeight="1">
      <c r="B1102" s="90"/>
      <c r="C1102" s="54" t="s">
        <v>192</v>
      </c>
      <c r="D1102" s="55">
        <v>1</v>
      </c>
      <c r="E1102" s="56">
        <v>5.3265153936E-5</v>
      </c>
    </row>
    <row r="1103" spans="2:5" ht="15" customHeight="1">
      <c r="B1103" s="90"/>
      <c r="C1103" s="54" t="s">
        <v>242</v>
      </c>
      <c r="D1103" s="55">
        <v>1</v>
      </c>
      <c r="E1103" s="56">
        <v>5.3265153936E-5</v>
      </c>
    </row>
    <row r="1104" spans="2:5" ht="15" customHeight="1">
      <c r="B1104" s="91"/>
      <c r="C1104" s="65" t="s">
        <v>321</v>
      </c>
      <c r="D1104" s="64">
        <v>8</v>
      </c>
      <c r="E1104" s="66">
        <v>4.2612123148999997E-4</v>
      </c>
    </row>
    <row r="1105" spans="2:5" ht="15" customHeight="1">
      <c r="B1105" s="89" t="s">
        <v>172</v>
      </c>
      <c r="C1105" s="54" t="s">
        <v>188</v>
      </c>
      <c r="D1105" s="55">
        <v>1</v>
      </c>
      <c r="E1105" s="56">
        <v>5.3265153936E-5</v>
      </c>
    </row>
    <row r="1106" spans="2:5" ht="15" customHeight="1">
      <c r="B1106" s="90"/>
      <c r="C1106" s="54" t="s">
        <v>182</v>
      </c>
      <c r="D1106" s="55">
        <v>1</v>
      </c>
      <c r="E1106" s="56">
        <v>5.3265153936E-5</v>
      </c>
    </row>
    <row r="1107" spans="2:5" ht="15" customHeight="1">
      <c r="B1107" s="90"/>
      <c r="C1107" s="54" t="s">
        <v>184</v>
      </c>
      <c r="D1107" s="55">
        <v>1</v>
      </c>
      <c r="E1107" s="56">
        <v>5.3265153936E-5</v>
      </c>
    </row>
    <row r="1108" spans="2:5" ht="15" customHeight="1">
      <c r="B1108" s="90"/>
      <c r="C1108" s="54" t="s">
        <v>181</v>
      </c>
      <c r="D1108" s="55">
        <v>1</v>
      </c>
      <c r="E1108" s="56">
        <v>5.3265153936E-5</v>
      </c>
    </row>
    <row r="1109" spans="2:5" ht="15" customHeight="1">
      <c r="B1109" s="90"/>
      <c r="C1109" s="54" t="s">
        <v>221</v>
      </c>
      <c r="D1109" s="55">
        <v>1</v>
      </c>
      <c r="E1109" s="56">
        <v>5.3265153936E-5</v>
      </c>
    </row>
    <row r="1110" spans="2:5" ht="15" customHeight="1">
      <c r="B1110" s="91"/>
      <c r="C1110" s="65" t="s">
        <v>321</v>
      </c>
      <c r="D1110" s="64">
        <v>5</v>
      </c>
      <c r="E1110" s="66">
        <v>2.6632576968100001E-4</v>
      </c>
    </row>
    <row r="1111" spans="2:5" ht="15" customHeight="1">
      <c r="B1111" s="89" t="s">
        <v>173</v>
      </c>
      <c r="C1111" s="54" t="s">
        <v>181</v>
      </c>
      <c r="D1111" s="55">
        <v>2</v>
      </c>
      <c r="E1111" s="56">
        <v>1.06530307873E-4</v>
      </c>
    </row>
    <row r="1112" spans="2:5" ht="15" customHeight="1">
      <c r="B1112" s="90"/>
      <c r="C1112" s="54" t="s">
        <v>182</v>
      </c>
      <c r="D1112" s="55">
        <v>1</v>
      </c>
      <c r="E1112" s="56">
        <v>5.3265153936E-5</v>
      </c>
    </row>
    <row r="1113" spans="2:5" ht="15" customHeight="1">
      <c r="B1113" s="91"/>
      <c r="C1113" s="65" t="s">
        <v>321</v>
      </c>
      <c r="D1113" s="64">
        <v>3</v>
      </c>
      <c r="E1113" s="66">
        <v>1.5979546180899999E-4</v>
      </c>
    </row>
    <row r="1114" spans="2:5" ht="15" customHeight="1">
      <c r="B1114" s="89" t="s">
        <v>174</v>
      </c>
      <c r="C1114" s="54" t="s">
        <v>182</v>
      </c>
      <c r="D1114" s="55">
        <v>1</v>
      </c>
      <c r="E1114" s="56">
        <v>5.3265153936E-5</v>
      </c>
    </row>
    <row r="1115" spans="2:5" ht="15" customHeight="1">
      <c r="B1115" s="90"/>
      <c r="C1115" s="54" t="s">
        <v>233</v>
      </c>
      <c r="D1115" s="55">
        <v>1</v>
      </c>
      <c r="E1115" s="56">
        <v>5.3265153936E-5</v>
      </c>
    </row>
    <row r="1116" spans="2:5" ht="15" customHeight="1">
      <c r="B1116" s="91"/>
      <c r="C1116" s="65" t="s">
        <v>321</v>
      </c>
      <c r="D1116" s="64">
        <v>2</v>
      </c>
      <c r="E1116" s="66">
        <v>1.06530307873E-4</v>
      </c>
    </row>
    <row r="1117" spans="2:5" ht="15" customHeight="1">
      <c r="B1117" s="89" t="s">
        <v>175</v>
      </c>
      <c r="C1117" s="54" t="s">
        <v>181</v>
      </c>
      <c r="D1117" s="55">
        <v>1</v>
      </c>
      <c r="E1117" s="56">
        <v>5.3265153936E-5</v>
      </c>
    </row>
    <row r="1118" spans="2:5" ht="15" customHeight="1">
      <c r="B1118" s="90"/>
      <c r="C1118" s="54" t="s">
        <v>200</v>
      </c>
      <c r="D1118" s="55">
        <v>1</v>
      </c>
      <c r="E1118" s="56">
        <v>5.3265153936E-5</v>
      </c>
    </row>
    <row r="1119" spans="2:5" ht="15" customHeight="1">
      <c r="B1119" s="91"/>
      <c r="C1119" s="65" t="s">
        <v>321</v>
      </c>
      <c r="D1119" s="64">
        <v>2</v>
      </c>
      <c r="E1119" s="66">
        <v>1.06530307873E-4</v>
      </c>
    </row>
    <row r="1120" spans="2:5" ht="15" customHeight="1">
      <c r="B1120" s="89" t="s">
        <v>176</v>
      </c>
      <c r="C1120" s="54" t="s">
        <v>182</v>
      </c>
      <c r="D1120" s="55">
        <v>1</v>
      </c>
      <c r="E1120" s="56">
        <v>5.3265153936E-5</v>
      </c>
    </row>
    <row r="1121" spans="2:5" ht="15" customHeight="1">
      <c r="B1121" s="90"/>
      <c r="C1121" s="54" t="s">
        <v>203</v>
      </c>
      <c r="D1121" s="55">
        <v>1</v>
      </c>
      <c r="E1121" s="56">
        <v>5.3265153936E-5</v>
      </c>
    </row>
    <row r="1122" spans="2:5" ht="15" customHeight="1">
      <c r="B1122" s="91"/>
      <c r="C1122" s="65" t="s">
        <v>321</v>
      </c>
      <c r="D1122" s="64">
        <v>2</v>
      </c>
      <c r="E1122" s="66">
        <v>1.06530307873E-4</v>
      </c>
    </row>
    <row r="1123" spans="2:5" ht="15" customHeight="1">
      <c r="B1123" s="87" t="s">
        <v>321</v>
      </c>
      <c r="C1123" s="88"/>
      <c r="D1123" s="52">
        <v>18774</v>
      </c>
      <c r="E1123" s="53">
        <v>1</v>
      </c>
    </row>
    <row r="1125" spans="2:5" ht="15" customHeight="1">
      <c r="B1125" s="37" t="s">
        <v>130</v>
      </c>
      <c r="C1125" s="38"/>
      <c r="D1125" s="45"/>
    </row>
    <row r="1126" spans="2:5" ht="15" customHeight="1">
      <c r="B1126" s="39" t="s">
        <v>17</v>
      </c>
      <c r="C1126" s="38"/>
      <c r="D1126" s="45"/>
    </row>
    <row r="1127" spans="2:5" ht="15" customHeight="1">
      <c r="B1127" s="40" t="s">
        <v>44</v>
      </c>
      <c r="C1127" s="38"/>
      <c r="D1127" s="46"/>
    </row>
    <row r="1128" spans="2:5" ht="15" customHeight="1">
      <c r="B1128" s="37" t="s">
        <v>16</v>
      </c>
      <c r="C1128" s="38"/>
      <c r="D1128" s="46"/>
    </row>
    <row r="1129" spans="2:5" ht="15" customHeight="1">
      <c r="B1129" s="37" t="s">
        <v>320</v>
      </c>
      <c r="C1129" s="38"/>
      <c r="D1129" s="46"/>
    </row>
  </sheetData>
  <mergeCells count="48">
    <mergeCell ref="B7:E8"/>
    <mergeCell ref="B10:B77"/>
    <mergeCell ref="B78:B143"/>
    <mergeCell ref="B144:B203"/>
    <mergeCell ref="B204:B258"/>
    <mergeCell ref="B259:B321"/>
    <mergeCell ref="B322:B384"/>
    <mergeCell ref="B385:B442"/>
    <mergeCell ref="B443:B483"/>
    <mergeCell ref="B484:B528"/>
    <mergeCell ref="B529:B566"/>
    <mergeCell ref="B567:B604"/>
    <mergeCell ref="B605:B637"/>
    <mergeCell ref="B638:B670"/>
    <mergeCell ref="B671:B696"/>
    <mergeCell ref="B697:B725"/>
    <mergeCell ref="B726:B749"/>
    <mergeCell ref="B750:B773"/>
    <mergeCell ref="B774:B797"/>
    <mergeCell ref="B798:B821"/>
    <mergeCell ref="B822:B844"/>
    <mergeCell ref="B845:B862"/>
    <mergeCell ref="B863:B883"/>
    <mergeCell ref="B884:B904"/>
    <mergeCell ref="B905:B919"/>
    <mergeCell ref="B920:B936"/>
    <mergeCell ref="B937:B955"/>
    <mergeCell ref="B956:B971"/>
    <mergeCell ref="B972:B986"/>
    <mergeCell ref="B987:B1000"/>
    <mergeCell ref="B1001:B1008"/>
    <mergeCell ref="B1009:B1020"/>
    <mergeCell ref="B1021:B1032"/>
    <mergeCell ref="B1033:B1045"/>
    <mergeCell ref="B1046:B1057"/>
    <mergeCell ref="B1058:B1065"/>
    <mergeCell ref="B1066:B1073"/>
    <mergeCell ref="B1074:B1078"/>
    <mergeCell ref="B1079:B1084"/>
    <mergeCell ref="B1085:B1089"/>
    <mergeCell ref="B1123:C1123"/>
    <mergeCell ref="B1117:B1119"/>
    <mergeCell ref="B1120:B1122"/>
    <mergeCell ref="B1090:B1097"/>
    <mergeCell ref="B1098:B1104"/>
    <mergeCell ref="B1105:B1110"/>
    <mergeCell ref="B1111:B1113"/>
    <mergeCell ref="B1114:B111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433"/>
  <sheetViews>
    <sheetView showGridLines="0" view="pageBreakPreview" topLeftCell="A1419" zoomScale="85" zoomScaleNormal="115" zoomScaleSheetLayoutView="85" workbookViewId="0">
      <selection activeCell="B1427" sqref="B1427:C1427"/>
    </sheetView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4.8164062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92"/>
      <c r="C7" s="92"/>
      <c r="D7" s="92"/>
      <c r="E7" s="92"/>
    </row>
    <row r="8" spans="1:5" s="24" customFormat="1" ht="33" customHeight="1">
      <c r="A8" s="25"/>
      <c r="B8" s="92"/>
      <c r="C8" s="92"/>
      <c r="D8" s="92"/>
      <c r="E8" s="92"/>
    </row>
    <row r="9" spans="1:5" s="17" customFormat="1" ht="40.5" customHeight="1">
      <c r="B9" s="68" t="s">
        <v>21</v>
      </c>
      <c r="C9" s="69" t="s">
        <v>23</v>
      </c>
      <c r="D9" s="70" t="s">
        <v>19</v>
      </c>
      <c r="E9" s="68" t="s">
        <v>18</v>
      </c>
    </row>
    <row r="10" spans="1:5" ht="15" customHeight="1">
      <c r="B10" s="89" t="s">
        <v>48</v>
      </c>
      <c r="C10" s="54" t="s">
        <v>205</v>
      </c>
      <c r="D10" s="55">
        <v>6</v>
      </c>
      <c r="E10" s="56">
        <v>3.1959092361799997E-4</v>
      </c>
    </row>
    <row r="11" spans="1:5" ht="15" customHeight="1">
      <c r="B11" s="90"/>
      <c r="C11" s="54" t="s">
        <v>195</v>
      </c>
      <c r="D11" s="55">
        <v>3</v>
      </c>
      <c r="E11" s="56">
        <v>1.5979546180899999E-4</v>
      </c>
    </row>
    <row r="12" spans="1:5" ht="15" customHeight="1">
      <c r="B12" s="90"/>
      <c r="C12" s="54" t="s">
        <v>196</v>
      </c>
      <c r="D12" s="55">
        <v>12</v>
      </c>
      <c r="E12" s="56">
        <v>6.3918184723599995E-4</v>
      </c>
    </row>
    <row r="13" spans="1:5" ht="15" customHeight="1">
      <c r="B13" s="90"/>
      <c r="C13" s="54" t="s">
        <v>232</v>
      </c>
      <c r="D13" s="55">
        <v>1</v>
      </c>
      <c r="E13" s="56">
        <v>5.3265153936E-5</v>
      </c>
    </row>
    <row r="14" spans="1:5" ht="15" customHeight="1">
      <c r="B14" s="90"/>
      <c r="C14" s="54" t="s">
        <v>216</v>
      </c>
      <c r="D14" s="55">
        <v>16</v>
      </c>
      <c r="E14" s="56">
        <v>8.5224246298100002E-4</v>
      </c>
    </row>
    <row r="15" spans="1:5" ht="15" customHeight="1">
      <c r="B15" s="90"/>
      <c r="C15" s="54" t="s">
        <v>211</v>
      </c>
      <c r="D15" s="55">
        <v>19</v>
      </c>
      <c r="E15" s="56">
        <v>1.0120379247899999E-3</v>
      </c>
    </row>
    <row r="16" spans="1:5" ht="15" customHeight="1">
      <c r="B16" s="90"/>
      <c r="C16" s="54" t="s">
        <v>222</v>
      </c>
      <c r="D16" s="55">
        <v>7</v>
      </c>
      <c r="E16" s="56">
        <v>3.7285607755399997E-4</v>
      </c>
    </row>
    <row r="17" spans="2:5" ht="15" customHeight="1">
      <c r="B17" s="90"/>
      <c r="C17" s="54" t="s">
        <v>198</v>
      </c>
      <c r="D17" s="55">
        <v>29</v>
      </c>
      <c r="E17" s="56">
        <v>1.544689464153E-3</v>
      </c>
    </row>
    <row r="18" spans="2:5" ht="15" customHeight="1">
      <c r="B18" s="90"/>
      <c r="C18" s="54" t="s">
        <v>201</v>
      </c>
      <c r="D18" s="55">
        <v>15</v>
      </c>
      <c r="E18" s="56">
        <v>7.98977309044E-4</v>
      </c>
    </row>
    <row r="19" spans="2:5" ht="15" customHeight="1">
      <c r="B19" s="90"/>
      <c r="C19" s="54" t="s">
        <v>188</v>
      </c>
      <c r="D19" s="55">
        <v>26</v>
      </c>
      <c r="E19" s="56">
        <v>1.384894002344E-3</v>
      </c>
    </row>
    <row r="20" spans="2:5" ht="15" customHeight="1">
      <c r="B20" s="90"/>
      <c r="C20" s="54" t="s">
        <v>212</v>
      </c>
      <c r="D20" s="55">
        <v>5</v>
      </c>
      <c r="E20" s="56">
        <v>2.6632576968100001E-4</v>
      </c>
    </row>
    <row r="21" spans="2:5" ht="15" customHeight="1">
      <c r="B21" s="90"/>
      <c r="C21" s="54" t="s">
        <v>217</v>
      </c>
      <c r="D21" s="55">
        <v>23</v>
      </c>
      <c r="E21" s="56">
        <v>1.225098540535E-3</v>
      </c>
    </row>
    <row r="22" spans="2:5" ht="15" customHeight="1">
      <c r="B22" s="90"/>
      <c r="C22" s="54" t="s">
        <v>182</v>
      </c>
      <c r="D22" s="55">
        <v>328</v>
      </c>
      <c r="E22" s="56">
        <v>1.7470970491104999E-2</v>
      </c>
    </row>
    <row r="23" spans="2:5" ht="15" customHeight="1">
      <c r="B23" s="90"/>
      <c r="C23" s="54" t="s">
        <v>225</v>
      </c>
      <c r="D23" s="55">
        <v>1</v>
      </c>
      <c r="E23" s="56">
        <v>5.3265153936E-5</v>
      </c>
    </row>
    <row r="24" spans="2:5" ht="15" customHeight="1">
      <c r="B24" s="90"/>
      <c r="C24" s="54" t="s">
        <v>223</v>
      </c>
      <c r="D24" s="55">
        <v>1</v>
      </c>
      <c r="E24" s="56">
        <v>5.3265153936E-5</v>
      </c>
    </row>
    <row r="25" spans="2:5" ht="15" customHeight="1">
      <c r="B25" s="90"/>
      <c r="C25" s="54" t="s">
        <v>184</v>
      </c>
      <c r="D25" s="55">
        <v>197</v>
      </c>
      <c r="E25" s="56">
        <v>1.049323532545E-2</v>
      </c>
    </row>
    <row r="26" spans="2:5" ht="15" customHeight="1">
      <c r="B26" s="90"/>
      <c r="C26" s="54" t="s">
        <v>209</v>
      </c>
      <c r="D26" s="55">
        <v>8</v>
      </c>
      <c r="E26" s="56">
        <v>4.2612123148999997E-4</v>
      </c>
    </row>
    <row r="27" spans="2:5" ht="15" customHeight="1">
      <c r="B27" s="90"/>
      <c r="C27" s="54" t="s">
        <v>183</v>
      </c>
      <c r="D27" s="55">
        <v>174</v>
      </c>
      <c r="E27" s="56">
        <v>9.2681367849150008E-3</v>
      </c>
    </row>
    <row r="28" spans="2:5" ht="15" customHeight="1">
      <c r="B28" s="90"/>
      <c r="C28" s="54" t="s">
        <v>197</v>
      </c>
      <c r="D28" s="55">
        <v>1</v>
      </c>
      <c r="E28" s="56">
        <v>5.3265153936E-5</v>
      </c>
    </row>
    <row r="29" spans="2:5" ht="15" customHeight="1">
      <c r="B29" s="90"/>
      <c r="C29" s="54" t="s">
        <v>246</v>
      </c>
      <c r="D29" s="55">
        <v>2</v>
      </c>
      <c r="E29" s="56">
        <v>1.06530307873E-4</v>
      </c>
    </row>
    <row r="30" spans="2:5" ht="15" customHeight="1">
      <c r="B30" s="90"/>
      <c r="C30" s="54" t="s">
        <v>233</v>
      </c>
      <c r="D30" s="55">
        <v>3</v>
      </c>
      <c r="E30" s="56">
        <v>1.5979546180899999E-4</v>
      </c>
    </row>
    <row r="31" spans="2:5" ht="15" customHeight="1">
      <c r="B31" s="90"/>
      <c r="C31" s="54" t="s">
        <v>218</v>
      </c>
      <c r="D31" s="55">
        <v>23</v>
      </c>
      <c r="E31" s="56">
        <v>1.225098540535E-3</v>
      </c>
    </row>
    <row r="32" spans="2:5" ht="15" customHeight="1">
      <c r="B32" s="90"/>
      <c r="C32" s="54" t="s">
        <v>214</v>
      </c>
      <c r="D32" s="55">
        <v>10</v>
      </c>
      <c r="E32" s="56">
        <v>5.3265153936299999E-4</v>
      </c>
    </row>
    <row r="33" spans="2:5" ht="15" customHeight="1">
      <c r="B33" s="90"/>
      <c r="C33" s="54" t="s">
        <v>193</v>
      </c>
      <c r="D33" s="55">
        <v>7</v>
      </c>
      <c r="E33" s="56">
        <v>3.7285607755399997E-4</v>
      </c>
    </row>
    <row r="34" spans="2:5" ht="15" customHeight="1">
      <c r="B34" s="90"/>
      <c r="C34" s="54" t="s">
        <v>207</v>
      </c>
      <c r="D34" s="55">
        <v>14</v>
      </c>
      <c r="E34" s="56">
        <v>7.4571215510799995E-4</v>
      </c>
    </row>
    <row r="35" spans="2:5" ht="15" customHeight="1">
      <c r="B35" s="90"/>
      <c r="C35" s="54" t="s">
        <v>247</v>
      </c>
      <c r="D35" s="55">
        <v>1</v>
      </c>
      <c r="E35" s="56">
        <v>5.3265153936E-5</v>
      </c>
    </row>
    <row r="36" spans="2:5" ht="15" customHeight="1">
      <c r="B36" s="90"/>
      <c r="C36" s="54" t="s">
        <v>189</v>
      </c>
      <c r="D36" s="55">
        <v>86</v>
      </c>
      <c r="E36" s="56">
        <v>4.5808032385210003E-3</v>
      </c>
    </row>
    <row r="37" spans="2:5" ht="15" customHeight="1">
      <c r="B37" s="90"/>
      <c r="C37" s="54" t="s">
        <v>219</v>
      </c>
      <c r="D37" s="55">
        <v>25</v>
      </c>
      <c r="E37" s="56">
        <v>1.3316288484070001E-3</v>
      </c>
    </row>
    <row r="38" spans="2:5" ht="15" customHeight="1">
      <c r="B38" s="90"/>
      <c r="C38" s="54" t="s">
        <v>185</v>
      </c>
      <c r="D38" s="55">
        <v>60</v>
      </c>
      <c r="E38" s="56">
        <v>3.1959092361780001E-3</v>
      </c>
    </row>
    <row r="39" spans="2:5" ht="15" customHeight="1">
      <c r="B39" s="90"/>
      <c r="C39" s="54" t="s">
        <v>213</v>
      </c>
      <c r="D39" s="55">
        <v>26</v>
      </c>
      <c r="E39" s="56">
        <v>1.384894002344E-3</v>
      </c>
    </row>
    <row r="40" spans="2:5" ht="15" customHeight="1">
      <c r="B40" s="90"/>
      <c r="C40" s="54" t="s">
        <v>215</v>
      </c>
      <c r="D40" s="55">
        <v>11</v>
      </c>
      <c r="E40" s="56">
        <v>5.8591669329900004E-4</v>
      </c>
    </row>
    <row r="41" spans="2:5" ht="15" customHeight="1">
      <c r="B41" s="90"/>
      <c r="C41" s="54" t="s">
        <v>190</v>
      </c>
      <c r="D41" s="55">
        <v>16</v>
      </c>
      <c r="E41" s="56">
        <v>8.5224246298100002E-4</v>
      </c>
    </row>
    <row r="42" spans="2:5" ht="15" customHeight="1">
      <c r="B42" s="90"/>
      <c r="C42" s="54" t="s">
        <v>238</v>
      </c>
      <c r="D42" s="55">
        <v>2</v>
      </c>
      <c r="E42" s="56">
        <v>1.06530307873E-4</v>
      </c>
    </row>
    <row r="43" spans="2:5" ht="15" customHeight="1">
      <c r="B43" s="90"/>
      <c r="C43" s="54" t="s">
        <v>181</v>
      </c>
      <c r="D43" s="55">
        <v>346</v>
      </c>
      <c r="E43" s="56">
        <v>1.8429743261957999E-2</v>
      </c>
    </row>
    <row r="44" spans="2:5" ht="15" customHeight="1">
      <c r="B44" s="90"/>
      <c r="C44" s="54" t="s">
        <v>235</v>
      </c>
      <c r="D44" s="55">
        <v>1</v>
      </c>
      <c r="E44" s="56">
        <v>5.3265153936E-5</v>
      </c>
    </row>
    <row r="45" spans="2:5" ht="15" customHeight="1">
      <c r="B45" s="90"/>
      <c r="C45" s="54" t="s">
        <v>236</v>
      </c>
      <c r="D45" s="55">
        <v>2</v>
      </c>
      <c r="E45" s="56">
        <v>1.06530307873E-4</v>
      </c>
    </row>
    <row r="46" spans="2:5" ht="15" customHeight="1">
      <c r="B46" s="90"/>
      <c r="C46" s="54" t="s">
        <v>192</v>
      </c>
      <c r="D46" s="55">
        <v>93</v>
      </c>
      <c r="E46" s="56">
        <v>4.9536593160750004E-3</v>
      </c>
    </row>
    <row r="47" spans="2:5" ht="15" customHeight="1">
      <c r="B47" s="90"/>
      <c r="C47" s="54" t="s">
        <v>210</v>
      </c>
      <c r="D47" s="55">
        <v>4</v>
      </c>
      <c r="E47" s="56">
        <v>2.1306061574499999E-4</v>
      </c>
    </row>
    <row r="48" spans="2:5" ht="15" customHeight="1">
      <c r="B48" s="90"/>
      <c r="C48" s="54" t="s">
        <v>229</v>
      </c>
      <c r="D48" s="55">
        <v>14</v>
      </c>
      <c r="E48" s="56">
        <v>7.4571215510799995E-4</v>
      </c>
    </row>
    <row r="49" spans="2:5" ht="15" customHeight="1">
      <c r="B49" s="90"/>
      <c r="C49" s="54" t="s">
        <v>234</v>
      </c>
      <c r="D49" s="55">
        <v>3</v>
      </c>
      <c r="E49" s="56">
        <v>1.5979546180899999E-4</v>
      </c>
    </row>
    <row r="50" spans="2:5" ht="15" customHeight="1">
      <c r="B50" s="90"/>
      <c r="C50" s="54" t="s">
        <v>191</v>
      </c>
      <c r="D50" s="55">
        <v>22</v>
      </c>
      <c r="E50" s="56">
        <v>1.1718333865980001E-3</v>
      </c>
    </row>
    <row r="51" spans="2:5" ht="15" customHeight="1">
      <c r="B51" s="90"/>
      <c r="C51" s="54" t="s">
        <v>240</v>
      </c>
      <c r="D51" s="55">
        <v>2</v>
      </c>
      <c r="E51" s="56">
        <v>1.06530307873E-4</v>
      </c>
    </row>
    <row r="52" spans="2:5" ht="15" customHeight="1">
      <c r="B52" s="90"/>
      <c r="C52" s="54" t="s">
        <v>245</v>
      </c>
      <c r="D52" s="55">
        <v>2</v>
      </c>
      <c r="E52" s="56">
        <v>1.06530307873E-4</v>
      </c>
    </row>
    <row r="53" spans="2:5" ht="15" customHeight="1">
      <c r="B53" s="90"/>
      <c r="C53" s="54" t="s">
        <v>194</v>
      </c>
      <c r="D53" s="55">
        <v>85</v>
      </c>
      <c r="E53" s="56">
        <v>4.5275380845849998E-3</v>
      </c>
    </row>
    <row r="54" spans="2:5" ht="15" customHeight="1">
      <c r="B54" s="90"/>
      <c r="C54" s="54" t="s">
        <v>226</v>
      </c>
      <c r="D54" s="55">
        <v>6</v>
      </c>
      <c r="E54" s="56">
        <v>3.1959092361799997E-4</v>
      </c>
    </row>
    <row r="55" spans="2:5" ht="15" customHeight="1">
      <c r="B55" s="90"/>
      <c r="C55" s="54" t="s">
        <v>187</v>
      </c>
      <c r="D55" s="55">
        <v>78</v>
      </c>
      <c r="E55" s="56">
        <v>4.1546820070309997E-3</v>
      </c>
    </row>
    <row r="56" spans="2:5" ht="15" customHeight="1">
      <c r="B56" s="90"/>
      <c r="C56" s="54" t="s">
        <v>241</v>
      </c>
      <c r="D56" s="55">
        <v>5</v>
      </c>
      <c r="E56" s="56">
        <v>2.6632576968100001E-4</v>
      </c>
    </row>
    <row r="57" spans="2:5" ht="15" customHeight="1">
      <c r="B57" s="90"/>
      <c r="C57" s="54" t="s">
        <v>186</v>
      </c>
      <c r="D57" s="55">
        <v>10</v>
      </c>
      <c r="E57" s="56">
        <v>5.3265153936299999E-4</v>
      </c>
    </row>
    <row r="58" spans="2:5" ht="15" customHeight="1">
      <c r="B58" s="90"/>
      <c r="C58" s="54" t="s">
        <v>203</v>
      </c>
      <c r="D58" s="55">
        <v>6</v>
      </c>
      <c r="E58" s="56">
        <v>3.1959092361799997E-4</v>
      </c>
    </row>
    <row r="59" spans="2:5" ht="15" customHeight="1">
      <c r="B59" s="90"/>
      <c r="C59" s="54" t="s">
        <v>220</v>
      </c>
      <c r="D59" s="55">
        <v>6</v>
      </c>
      <c r="E59" s="56">
        <v>3.1959092361799997E-4</v>
      </c>
    </row>
    <row r="60" spans="2:5" ht="15" customHeight="1">
      <c r="B60" s="90"/>
      <c r="C60" s="54" t="s">
        <v>221</v>
      </c>
      <c r="D60" s="55">
        <v>3</v>
      </c>
      <c r="E60" s="56">
        <v>1.5979546180899999E-4</v>
      </c>
    </row>
    <row r="61" spans="2:5" ht="15" customHeight="1">
      <c r="B61" s="90"/>
      <c r="C61" s="54" t="s">
        <v>237</v>
      </c>
      <c r="D61" s="55">
        <v>1</v>
      </c>
      <c r="E61" s="56">
        <v>5.3265153936E-5</v>
      </c>
    </row>
    <row r="62" spans="2:5" ht="15" customHeight="1">
      <c r="B62" s="90"/>
      <c r="C62" s="54" t="s">
        <v>224</v>
      </c>
      <c r="D62" s="55">
        <v>2</v>
      </c>
      <c r="E62" s="56">
        <v>1.06530307873E-4</v>
      </c>
    </row>
    <row r="63" spans="2:5" ht="15" customHeight="1">
      <c r="B63" s="90"/>
      <c r="C63" s="54" t="s">
        <v>230</v>
      </c>
      <c r="D63" s="55">
        <v>2</v>
      </c>
      <c r="E63" s="56">
        <v>1.06530307873E-4</v>
      </c>
    </row>
    <row r="64" spans="2:5" ht="15" customHeight="1">
      <c r="B64" s="90"/>
      <c r="C64" s="54" t="s">
        <v>208</v>
      </c>
      <c r="D64" s="55">
        <v>9</v>
      </c>
      <c r="E64" s="56">
        <v>4.7938638542699999E-4</v>
      </c>
    </row>
    <row r="65" spans="2:5" ht="15" customHeight="1">
      <c r="B65" s="90"/>
      <c r="C65" s="54" t="s">
        <v>200</v>
      </c>
      <c r="D65" s="55">
        <v>6</v>
      </c>
      <c r="E65" s="56">
        <v>3.1959092361799997E-4</v>
      </c>
    </row>
    <row r="66" spans="2:5" ht="15" customHeight="1">
      <c r="B66" s="90"/>
      <c r="C66" s="54" t="s">
        <v>227</v>
      </c>
      <c r="D66" s="55">
        <v>8</v>
      </c>
      <c r="E66" s="56">
        <v>4.2612123148999997E-4</v>
      </c>
    </row>
    <row r="67" spans="2:5" ht="15" customHeight="1">
      <c r="B67" s="90"/>
      <c r="C67" s="54" t="s">
        <v>204</v>
      </c>
      <c r="D67" s="55">
        <v>11</v>
      </c>
      <c r="E67" s="56">
        <v>5.8591669329900004E-4</v>
      </c>
    </row>
    <row r="68" spans="2:5" ht="15" customHeight="1">
      <c r="B68" s="90"/>
      <c r="C68" s="54" t="s">
        <v>202</v>
      </c>
      <c r="D68" s="55">
        <v>7</v>
      </c>
      <c r="E68" s="56">
        <v>3.7285607755399997E-4</v>
      </c>
    </row>
    <row r="69" spans="2:5" ht="15" customHeight="1">
      <c r="B69" s="90"/>
      <c r="C69" s="54" t="s">
        <v>231</v>
      </c>
      <c r="D69" s="55">
        <v>17</v>
      </c>
      <c r="E69" s="56">
        <v>9.0550761691699996E-4</v>
      </c>
    </row>
    <row r="70" spans="2:5" ht="15" customHeight="1">
      <c r="B70" s="90"/>
      <c r="C70" s="54" t="s">
        <v>242</v>
      </c>
      <c r="D70" s="55">
        <v>7</v>
      </c>
      <c r="E70" s="56">
        <v>3.7285607755399997E-4</v>
      </c>
    </row>
    <row r="71" spans="2:5" ht="15" customHeight="1">
      <c r="B71" s="90"/>
      <c r="C71" s="54" t="s">
        <v>239</v>
      </c>
      <c r="D71" s="55">
        <v>3</v>
      </c>
      <c r="E71" s="56">
        <v>1.5979546180899999E-4</v>
      </c>
    </row>
    <row r="72" spans="2:5" ht="15" customHeight="1">
      <c r="B72" s="90"/>
      <c r="C72" s="54" t="s">
        <v>199</v>
      </c>
      <c r="D72" s="55">
        <v>40</v>
      </c>
      <c r="E72" s="56">
        <v>2.130606157452E-3</v>
      </c>
    </row>
    <row r="73" spans="2:5" ht="15" customHeight="1">
      <c r="B73" s="91"/>
      <c r="C73" s="65" t="s">
        <v>321</v>
      </c>
      <c r="D73" s="64">
        <v>1959</v>
      </c>
      <c r="E73" s="66">
        <v>0.104346436561202</v>
      </c>
    </row>
    <row r="74" spans="2:5" ht="15" customHeight="1">
      <c r="B74" s="89" t="s">
        <v>61</v>
      </c>
      <c r="C74" s="54" t="s">
        <v>205</v>
      </c>
      <c r="D74" s="55">
        <v>1</v>
      </c>
      <c r="E74" s="56">
        <v>5.3265153936E-5</v>
      </c>
    </row>
    <row r="75" spans="2:5" ht="15" customHeight="1">
      <c r="B75" s="90"/>
      <c r="C75" s="54" t="s">
        <v>195</v>
      </c>
      <c r="D75" s="55">
        <v>1</v>
      </c>
      <c r="E75" s="56">
        <v>5.3265153936E-5</v>
      </c>
    </row>
    <row r="76" spans="2:5" ht="15" customHeight="1">
      <c r="B76" s="90"/>
      <c r="C76" s="54" t="s">
        <v>196</v>
      </c>
      <c r="D76" s="55">
        <v>2</v>
      </c>
      <c r="E76" s="56">
        <v>1.06530307873E-4</v>
      </c>
    </row>
    <row r="77" spans="2:5" ht="15" customHeight="1">
      <c r="B77" s="90"/>
      <c r="C77" s="54" t="s">
        <v>216</v>
      </c>
      <c r="D77" s="55">
        <v>1</v>
      </c>
      <c r="E77" s="56">
        <v>5.3265153936E-5</v>
      </c>
    </row>
    <row r="78" spans="2:5" ht="15" customHeight="1">
      <c r="B78" s="90"/>
      <c r="C78" s="54" t="s">
        <v>201</v>
      </c>
      <c r="D78" s="55">
        <v>1</v>
      </c>
      <c r="E78" s="56">
        <v>5.3265153936E-5</v>
      </c>
    </row>
    <row r="79" spans="2:5" ht="15" customHeight="1">
      <c r="B79" s="90"/>
      <c r="C79" s="54" t="s">
        <v>188</v>
      </c>
      <c r="D79" s="55">
        <v>1</v>
      </c>
      <c r="E79" s="56">
        <v>5.3265153936E-5</v>
      </c>
    </row>
    <row r="80" spans="2:5" ht="15" customHeight="1">
      <c r="B80" s="90"/>
      <c r="C80" s="54" t="s">
        <v>217</v>
      </c>
      <c r="D80" s="55">
        <v>2</v>
      </c>
      <c r="E80" s="56">
        <v>1.06530307873E-4</v>
      </c>
    </row>
    <row r="81" spans="2:5" ht="15" customHeight="1">
      <c r="B81" s="90"/>
      <c r="C81" s="54" t="s">
        <v>182</v>
      </c>
      <c r="D81" s="55">
        <v>15</v>
      </c>
      <c r="E81" s="56">
        <v>7.98977309044E-4</v>
      </c>
    </row>
    <row r="82" spans="2:5" ht="15" customHeight="1">
      <c r="B82" s="90"/>
      <c r="C82" s="54" t="s">
        <v>184</v>
      </c>
      <c r="D82" s="55">
        <v>17</v>
      </c>
      <c r="E82" s="56">
        <v>9.0550761691699996E-4</v>
      </c>
    </row>
    <row r="83" spans="2:5" ht="15" customHeight="1">
      <c r="B83" s="90"/>
      <c r="C83" s="54" t="s">
        <v>183</v>
      </c>
      <c r="D83" s="55">
        <v>14</v>
      </c>
      <c r="E83" s="56">
        <v>7.4571215510799995E-4</v>
      </c>
    </row>
    <row r="84" spans="2:5" ht="15" customHeight="1">
      <c r="B84" s="90"/>
      <c r="C84" s="54" t="s">
        <v>206</v>
      </c>
      <c r="D84" s="55">
        <v>2</v>
      </c>
      <c r="E84" s="56">
        <v>1.06530307873E-4</v>
      </c>
    </row>
    <row r="85" spans="2:5" ht="15" customHeight="1">
      <c r="B85" s="90"/>
      <c r="C85" s="54" t="s">
        <v>193</v>
      </c>
      <c r="D85" s="55">
        <v>1</v>
      </c>
      <c r="E85" s="56">
        <v>5.3265153936E-5</v>
      </c>
    </row>
    <row r="86" spans="2:5" ht="15" customHeight="1">
      <c r="B86" s="90"/>
      <c r="C86" s="54" t="s">
        <v>207</v>
      </c>
      <c r="D86" s="55">
        <v>1</v>
      </c>
      <c r="E86" s="56">
        <v>5.3265153936E-5</v>
      </c>
    </row>
    <row r="87" spans="2:5" ht="15" customHeight="1">
      <c r="B87" s="90"/>
      <c r="C87" s="54" t="s">
        <v>189</v>
      </c>
      <c r="D87" s="55">
        <v>4</v>
      </c>
      <c r="E87" s="56">
        <v>2.1306061574499999E-4</v>
      </c>
    </row>
    <row r="88" spans="2:5" ht="15" customHeight="1">
      <c r="B88" s="90"/>
      <c r="C88" s="54" t="s">
        <v>219</v>
      </c>
      <c r="D88" s="55">
        <v>1</v>
      </c>
      <c r="E88" s="56">
        <v>5.3265153936E-5</v>
      </c>
    </row>
    <row r="89" spans="2:5" ht="15" customHeight="1">
      <c r="B89" s="90"/>
      <c r="C89" s="54" t="s">
        <v>185</v>
      </c>
      <c r="D89" s="55">
        <v>14</v>
      </c>
      <c r="E89" s="56">
        <v>7.4571215510799995E-4</v>
      </c>
    </row>
    <row r="90" spans="2:5" ht="15" customHeight="1">
      <c r="B90" s="90"/>
      <c r="C90" s="54" t="s">
        <v>190</v>
      </c>
      <c r="D90" s="55">
        <v>4</v>
      </c>
      <c r="E90" s="56">
        <v>2.1306061574499999E-4</v>
      </c>
    </row>
    <row r="91" spans="2:5" ht="15" customHeight="1">
      <c r="B91" s="90"/>
      <c r="C91" s="54" t="s">
        <v>181</v>
      </c>
      <c r="D91" s="55">
        <v>42</v>
      </c>
      <c r="E91" s="56">
        <v>2.2371364653240001E-3</v>
      </c>
    </row>
    <row r="92" spans="2:5" ht="15" customHeight="1">
      <c r="B92" s="90"/>
      <c r="C92" s="54" t="s">
        <v>192</v>
      </c>
      <c r="D92" s="55">
        <v>1</v>
      </c>
      <c r="E92" s="56">
        <v>5.3265153936E-5</v>
      </c>
    </row>
    <row r="93" spans="2:5" ht="15" customHeight="1">
      <c r="B93" s="90"/>
      <c r="C93" s="54" t="s">
        <v>191</v>
      </c>
      <c r="D93" s="55">
        <v>2</v>
      </c>
      <c r="E93" s="56">
        <v>1.06530307873E-4</v>
      </c>
    </row>
    <row r="94" spans="2:5" ht="15" customHeight="1">
      <c r="B94" s="90"/>
      <c r="C94" s="54" t="s">
        <v>194</v>
      </c>
      <c r="D94" s="55">
        <v>3</v>
      </c>
      <c r="E94" s="56">
        <v>1.5979546180899999E-4</v>
      </c>
    </row>
    <row r="95" spans="2:5" ht="15" customHeight="1">
      <c r="B95" s="90"/>
      <c r="C95" s="54" t="s">
        <v>187</v>
      </c>
      <c r="D95" s="55">
        <v>5</v>
      </c>
      <c r="E95" s="56">
        <v>2.6632576968100001E-4</v>
      </c>
    </row>
    <row r="96" spans="2:5" ht="15" customHeight="1">
      <c r="B96" s="90"/>
      <c r="C96" s="54" t="s">
        <v>186</v>
      </c>
      <c r="D96" s="55">
        <v>1</v>
      </c>
      <c r="E96" s="56">
        <v>5.3265153936E-5</v>
      </c>
    </row>
    <row r="97" spans="2:5" ht="15" customHeight="1">
      <c r="B97" s="90"/>
      <c r="C97" s="54" t="s">
        <v>208</v>
      </c>
      <c r="D97" s="55">
        <v>1</v>
      </c>
      <c r="E97" s="56">
        <v>5.3265153936E-5</v>
      </c>
    </row>
    <row r="98" spans="2:5" ht="15" customHeight="1">
      <c r="B98" s="90"/>
      <c r="C98" s="54" t="s">
        <v>200</v>
      </c>
      <c r="D98" s="55">
        <v>2</v>
      </c>
      <c r="E98" s="56">
        <v>1.06530307873E-4</v>
      </c>
    </row>
    <row r="99" spans="2:5" ht="15" customHeight="1">
      <c r="B99" s="91"/>
      <c r="C99" s="65" t="s">
        <v>321</v>
      </c>
      <c r="D99" s="64">
        <v>139</v>
      </c>
      <c r="E99" s="66">
        <v>7.4038563971450004E-3</v>
      </c>
    </row>
    <row r="100" spans="2:5" ht="15" customHeight="1">
      <c r="B100" s="89" t="s">
        <v>63</v>
      </c>
      <c r="C100" s="54" t="s">
        <v>205</v>
      </c>
      <c r="D100" s="55">
        <v>3</v>
      </c>
      <c r="E100" s="56">
        <v>1.5979546180899999E-4</v>
      </c>
    </row>
    <row r="101" spans="2:5" ht="15" customHeight="1">
      <c r="B101" s="90"/>
      <c r="C101" s="54" t="s">
        <v>222</v>
      </c>
      <c r="D101" s="55">
        <v>2</v>
      </c>
      <c r="E101" s="56">
        <v>1.06530307873E-4</v>
      </c>
    </row>
    <row r="102" spans="2:5" ht="15" customHeight="1">
      <c r="B102" s="90"/>
      <c r="C102" s="54" t="s">
        <v>228</v>
      </c>
      <c r="D102" s="55">
        <v>1</v>
      </c>
      <c r="E102" s="56">
        <v>5.3265153936E-5</v>
      </c>
    </row>
    <row r="103" spans="2:5" ht="15" customHeight="1">
      <c r="B103" s="90"/>
      <c r="C103" s="54" t="s">
        <v>201</v>
      </c>
      <c r="D103" s="55">
        <v>1</v>
      </c>
      <c r="E103" s="56">
        <v>5.3265153936E-5</v>
      </c>
    </row>
    <row r="104" spans="2:5" ht="15" customHeight="1">
      <c r="B104" s="90"/>
      <c r="C104" s="54" t="s">
        <v>188</v>
      </c>
      <c r="D104" s="55">
        <v>4</v>
      </c>
      <c r="E104" s="56">
        <v>2.1306061574499999E-4</v>
      </c>
    </row>
    <row r="105" spans="2:5" ht="15" customHeight="1">
      <c r="B105" s="90"/>
      <c r="C105" s="54" t="s">
        <v>217</v>
      </c>
      <c r="D105" s="55">
        <v>1</v>
      </c>
      <c r="E105" s="56">
        <v>5.3265153936E-5</v>
      </c>
    </row>
    <row r="106" spans="2:5" ht="15" customHeight="1">
      <c r="B106" s="90"/>
      <c r="C106" s="54" t="s">
        <v>182</v>
      </c>
      <c r="D106" s="55">
        <v>16</v>
      </c>
      <c r="E106" s="56">
        <v>8.5224246298100002E-4</v>
      </c>
    </row>
    <row r="107" spans="2:5" ht="15" customHeight="1">
      <c r="B107" s="90"/>
      <c r="C107" s="54" t="s">
        <v>184</v>
      </c>
      <c r="D107" s="55">
        <v>4</v>
      </c>
      <c r="E107" s="56">
        <v>2.1306061574499999E-4</v>
      </c>
    </row>
    <row r="108" spans="2:5" ht="15" customHeight="1">
      <c r="B108" s="90"/>
      <c r="C108" s="54" t="s">
        <v>183</v>
      </c>
      <c r="D108" s="55">
        <v>5</v>
      </c>
      <c r="E108" s="56">
        <v>2.6632576968100001E-4</v>
      </c>
    </row>
    <row r="109" spans="2:5" ht="15" customHeight="1">
      <c r="B109" s="90"/>
      <c r="C109" s="54" t="s">
        <v>206</v>
      </c>
      <c r="D109" s="55">
        <v>3</v>
      </c>
      <c r="E109" s="56">
        <v>1.5979546180899999E-4</v>
      </c>
    </row>
    <row r="110" spans="2:5" ht="15" customHeight="1">
      <c r="B110" s="90"/>
      <c r="C110" s="54" t="s">
        <v>214</v>
      </c>
      <c r="D110" s="55">
        <v>1</v>
      </c>
      <c r="E110" s="56">
        <v>5.3265153936E-5</v>
      </c>
    </row>
    <row r="111" spans="2:5" ht="15" customHeight="1">
      <c r="B111" s="90"/>
      <c r="C111" s="54" t="s">
        <v>193</v>
      </c>
      <c r="D111" s="55">
        <v>1</v>
      </c>
      <c r="E111" s="56">
        <v>5.3265153936E-5</v>
      </c>
    </row>
    <row r="112" spans="2:5" ht="15" customHeight="1">
      <c r="B112" s="90"/>
      <c r="C112" s="54" t="s">
        <v>207</v>
      </c>
      <c r="D112" s="55">
        <v>1</v>
      </c>
      <c r="E112" s="56">
        <v>5.3265153936E-5</v>
      </c>
    </row>
    <row r="113" spans="2:5" ht="15" customHeight="1">
      <c r="B113" s="90"/>
      <c r="C113" s="54" t="s">
        <v>219</v>
      </c>
      <c r="D113" s="55">
        <v>1</v>
      </c>
      <c r="E113" s="56">
        <v>5.3265153936E-5</v>
      </c>
    </row>
    <row r="114" spans="2:5" ht="15" customHeight="1">
      <c r="B114" s="90"/>
      <c r="C114" s="54" t="s">
        <v>185</v>
      </c>
      <c r="D114" s="55">
        <v>2</v>
      </c>
      <c r="E114" s="56">
        <v>1.06530307873E-4</v>
      </c>
    </row>
    <row r="115" spans="2:5" ht="15" customHeight="1">
      <c r="B115" s="90"/>
      <c r="C115" s="54" t="s">
        <v>190</v>
      </c>
      <c r="D115" s="55">
        <v>1</v>
      </c>
      <c r="E115" s="56">
        <v>5.3265153936E-5</v>
      </c>
    </row>
    <row r="116" spans="2:5" ht="15" customHeight="1">
      <c r="B116" s="90"/>
      <c r="C116" s="54" t="s">
        <v>181</v>
      </c>
      <c r="D116" s="55">
        <v>59</v>
      </c>
      <c r="E116" s="56">
        <v>3.142644082241E-3</v>
      </c>
    </row>
    <row r="117" spans="2:5" ht="15" customHeight="1">
      <c r="B117" s="90"/>
      <c r="C117" s="54" t="s">
        <v>192</v>
      </c>
      <c r="D117" s="55">
        <v>7</v>
      </c>
      <c r="E117" s="56">
        <v>3.7285607755399997E-4</v>
      </c>
    </row>
    <row r="118" spans="2:5" ht="15" customHeight="1">
      <c r="B118" s="90"/>
      <c r="C118" s="54" t="s">
        <v>191</v>
      </c>
      <c r="D118" s="55">
        <v>3</v>
      </c>
      <c r="E118" s="56">
        <v>1.5979546180899999E-4</v>
      </c>
    </row>
    <row r="119" spans="2:5" ht="15" customHeight="1">
      <c r="B119" s="90"/>
      <c r="C119" s="54" t="s">
        <v>187</v>
      </c>
      <c r="D119" s="55">
        <v>1</v>
      </c>
      <c r="E119" s="56">
        <v>5.3265153936E-5</v>
      </c>
    </row>
    <row r="120" spans="2:5" ht="15" customHeight="1">
      <c r="B120" s="90"/>
      <c r="C120" s="54" t="s">
        <v>186</v>
      </c>
      <c r="D120" s="55">
        <v>2</v>
      </c>
      <c r="E120" s="56">
        <v>1.06530307873E-4</v>
      </c>
    </row>
    <row r="121" spans="2:5" ht="15" customHeight="1">
      <c r="B121" s="90"/>
      <c r="C121" s="54" t="s">
        <v>230</v>
      </c>
      <c r="D121" s="55">
        <v>1</v>
      </c>
      <c r="E121" s="56">
        <v>5.3265153936E-5</v>
      </c>
    </row>
    <row r="122" spans="2:5" ht="15" customHeight="1">
      <c r="B122" s="90"/>
      <c r="C122" s="54" t="s">
        <v>200</v>
      </c>
      <c r="D122" s="55">
        <v>1</v>
      </c>
      <c r="E122" s="56">
        <v>5.3265153936E-5</v>
      </c>
    </row>
    <row r="123" spans="2:5" ht="15" customHeight="1">
      <c r="B123" s="91"/>
      <c r="C123" s="65" t="s">
        <v>321</v>
      </c>
      <c r="D123" s="64">
        <v>121</v>
      </c>
      <c r="E123" s="66">
        <v>6.4450836262919999E-3</v>
      </c>
    </row>
    <row r="124" spans="2:5" ht="15" customHeight="1">
      <c r="B124" s="89" t="s">
        <v>67</v>
      </c>
      <c r="C124" s="54" t="s">
        <v>196</v>
      </c>
      <c r="D124" s="55">
        <v>2</v>
      </c>
      <c r="E124" s="56">
        <v>1.06530307873E-4</v>
      </c>
    </row>
    <row r="125" spans="2:5" ht="15" customHeight="1">
      <c r="B125" s="90"/>
      <c r="C125" s="54" t="s">
        <v>198</v>
      </c>
      <c r="D125" s="55">
        <v>1</v>
      </c>
      <c r="E125" s="56">
        <v>5.3265153936E-5</v>
      </c>
    </row>
    <row r="126" spans="2:5" ht="15" customHeight="1">
      <c r="B126" s="90"/>
      <c r="C126" s="54" t="s">
        <v>201</v>
      </c>
      <c r="D126" s="55">
        <v>2</v>
      </c>
      <c r="E126" s="56">
        <v>1.06530307873E-4</v>
      </c>
    </row>
    <row r="127" spans="2:5" ht="15" customHeight="1">
      <c r="B127" s="90"/>
      <c r="C127" s="54" t="s">
        <v>188</v>
      </c>
      <c r="D127" s="55">
        <v>2</v>
      </c>
      <c r="E127" s="56">
        <v>1.06530307873E-4</v>
      </c>
    </row>
    <row r="128" spans="2:5" ht="15" customHeight="1">
      <c r="B128" s="90"/>
      <c r="C128" s="54" t="s">
        <v>217</v>
      </c>
      <c r="D128" s="55">
        <v>2</v>
      </c>
      <c r="E128" s="56">
        <v>1.06530307873E-4</v>
      </c>
    </row>
    <row r="129" spans="2:5" ht="15" customHeight="1">
      <c r="B129" s="90"/>
      <c r="C129" s="54" t="s">
        <v>182</v>
      </c>
      <c r="D129" s="55">
        <v>14</v>
      </c>
      <c r="E129" s="56">
        <v>7.4571215510799995E-4</v>
      </c>
    </row>
    <row r="130" spans="2:5" ht="15" customHeight="1">
      <c r="B130" s="90"/>
      <c r="C130" s="54" t="s">
        <v>243</v>
      </c>
      <c r="D130" s="55">
        <v>1</v>
      </c>
      <c r="E130" s="56">
        <v>5.3265153936E-5</v>
      </c>
    </row>
    <row r="131" spans="2:5" ht="15" customHeight="1">
      <c r="B131" s="90"/>
      <c r="C131" s="54" t="s">
        <v>184</v>
      </c>
      <c r="D131" s="55">
        <v>5</v>
      </c>
      <c r="E131" s="56">
        <v>2.6632576968100001E-4</v>
      </c>
    </row>
    <row r="132" spans="2:5" ht="15" customHeight="1">
      <c r="B132" s="90"/>
      <c r="C132" s="54" t="s">
        <v>183</v>
      </c>
      <c r="D132" s="55">
        <v>6</v>
      </c>
      <c r="E132" s="56">
        <v>3.1959092361799997E-4</v>
      </c>
    </row>
    <row r="133" spans="2:5" ht="15" customHeight="1">
      <c r="B133" s="90"/>
      <c r="C133" s="54" t="s">
        <v>247</v>
      </c>
      <c r="D133" s="55">
        <v>2</v>
      </c>
      <c r="E133" s="56">
        <v>1.06530307873E-4</v>
      </c>
    </row>
    <row r="134" spans="2:5" ht="15" customHeight="1">
      <c r="B134" s="90"/>
      <c r="C134" s="54" t="s">
        <v>189</v>
      </c>
      <c r="D134" s="55">
        <v>3</v>
      </c>
      <c r="E134" s="56">
        <v>1.5979546180899999E-4</v>
      </c>
    </row>
    <row r="135" spans="2:5" ht="15" customHeight="1">
      <c r="B135" s="90"/>
      <c r="C135" s="54" t="s">
        <v>219</v>
      </c>
      <c r="D135" s="55">
        <v>5</v>
      </c>
      <c r="E135" s="56">
        <v>2.6632576968100001E-4</v>
      </c>
    </row>
    <row r="136" spans="2:5" ht="15" customHeight="1">
      <c r="B136" s="90"/>
      <c r="C136" s="54" t="s">
        <v>185</v>
      </c>
      <c r="D136" s="55">
        <v>1</v>
      </c>
      <c r="E136" s="56">
        <v>5.3265153936E-5</v>
      </c>
    </row>
    <row r="137" spans="2:5" ht="15" customHeight="1">
      <c r="B137" s="90"/>
      <c r="C137" s="54" t="s">
        <v>215</v>
      </c>
      <c r="D137" s="55">
        <v>1</v>
      </c>
      <c r="E137" s="56">
        <v>5.3265153936E-5</v>
      </c>
    </row>
    <row r="138" spans="2:5" ht="15" customHeight="1">
      <c r="B138" s="90"/>
      <c r="C138" s="54" t="s">
        <v>190</v>
      </c>
      <c r="D138" s="55">
        <v>1</v>
      </c>
      <c r="E138" s="56">
        <v>5.3265153936E-5</v>
      </c>
    </row>
    <row r="139" spans="2:5" ht="15" customHeight="1">
      <c r="B139" s="90"/>
      <c r="C139" s="54" t="s">
        <v>181</v>
      </c>
      <c r="D139" s="55">
        <v>16</v>
      </c>
      <c r="E139" s="56">
        <v>8.5224246298100002E-4</v>
      </c>
    </row>
    <row r="140" spans="2:5" ht="15" customHeight="1">
      <c r="B140" s="90"/>
      <c r="C140" s="54" t="s">
        <v>192</v>
      </c>
      <c r="D140" s="55">
        <v>11</v>
      </c>
      <c r="E140" s="56">
        <v>5.8591669329900004E-4</v>
      </c>
    </row>
    <row r="141" spans="2:5" ht="15" customHeight="1">
      <c r="B141" s="90"/>
      <c r="C141" s="54" t="s">
        <v>234</v>
      </c>
      <c r="D141" s="55">
        <v>1</v>
      </c>
      <c r="E141" s="56">
        <v>5.3265153936E-5</v>
      </c>
    </row>
    <row r="142" spans="2:5" ht="15" customHeight="1">
      <c r="B142" s="90"/>
      <c r="C142" s="54" t="s">
        <v>194</v>
      </c>
      <c r="D142" s="55">
        <v>3</v>
      </c>
      <c r="E142" s="56">
        <v>1.5979546180899999E-4</v>
      </c>
    </row>
    <row r="143" spans="2:5" ht="15" customHeight="1">
      <c r="B143" s="90"/>
      <c r="C143" s="54" t="s">
        <v>187</v>
      </c>
      <c r="D143" s="55">
        <v>5</v>
      </c>
      <c r="E143" s="56">
        <v>2.6632576968100001E-4</v>
      </c>
    </row>
    <row r="144" spans="2:5" ht="15" customHeight="1">
      <c r="B144" s="90"/>
      <c r="C144" s="54" t="s">
        <v>237</v>
      </c>
      <c r="D144" s="55">
        <v>1</v>
      </c>
      <c r="E144" s="56">
        <v>5.3265153936E-5</v>
      </c>
    </row>
    <row r="145" spans="2:5" ht="15" customHeight="1">
      <c r="B145" s="90"/>
      <c r="C145" s="54" t="s">
        <v>202</v>
      </c>
      <c r="D145" s="55">
        <v>1</v>
      </c>
      <c r="E145" s="56">
        <v>5.3265153936E-5</v>
      </c>
    </row>
    <row r="146" spans="2:5" ht="15" customHeight="1">
      <c r="B146" s="90"/>
      <c r="C146" s="54" t="s">
        <v>231</v>
      </c>
      <c r="D146" s="55">
        <v>1</v>
      </c>
      <c r="E146" s="56">
        <v>5.3265153936E-5</v>
      </c>
    </row>
    <row r="147" spans="2:5" ht="15" customHeight="1">
      <c r="B147" s="90"/>
      <c r="C147" s="54" t="s">
        <v>199</v>
      </c>
      <c r="D147" s="55">
        <v>1</v>
      </c>
      <c r="E147" s="56">
        <v>5.3265153936E-5</v>
      </c>
    </row>
    <row r="148" spans="2:5" ht="15" customHeight="1">
      <c r="B148" s="91"/>
      <c r="C148" s="65" t="s">
        <v>321</v>
      </c>
      <c r="D148" s="64">
        <v>88</v>
      </c>
      <c r="E148" s="66">
        <v>4.6873335463939996E-3</v>
      </c>
    </row>
    <row r="149" spans="2:5" ht="15" customHeight="1">
      <c r="B149" s="89" t="s">
        <v>91</v>
      </c>
      <c r="C149" s="54" t="s">
        <v>182</v>
      </c>
      <c r="D149" s="55">
        <v>2</v>
      </c>
      <c r="E149" s="56">
        <v>1.06530307873E-4</v>
      </c>
    </row>
    <row r="150" spans="2:5" ht="15" customHeight="1">
      <c r="B150" s="90"/>
      <c r="C150" s="54" t="s">
        <v>185</v>
      </c>
      <c r="D150" s="55">
        <v>1</v>
      </c>
      <c r="E150" s="56">
        <v>5.3265153936E-5</v>
      </c>
    </row>
    <row r="151" spans="2:5" ht="15" customHeight="1">
      <c r="B151" s="90"/>
      <c r="C151" s="54" t="s">
        <v>190</v>
      </c>
      <c r="D151" s="55">
        <v>1</v>
      </c>
      <c r="E151" s="56">
        <v>5.3265153936E-5</v>
      </c>
    </row>
    <row r="152" spans="2:5" ht="15" customHeight="1">
      <c r="B152" s="90"/>
      <c r="C152" s="54" t="s">
        <v>181</v>
      </c>
      <c r="D152" s="55">
        <v>3</v>
      </c>
      <c r="E152" s="56">
        <v>1.5979546180899999E-4</v>
      </c>
    </row>
    <row r="153" spans="2:5" ht="15" customHeight="1">
      <c r="B153" s="90"/>
      <c r="C153" s="54" t="s">
        <v>203</v>
      </c>
      <c r="D153" s="55">
        <v>1</v>
      </c>
      <c r="E153" s="56">
        <v>5.3265153936E-5</v>
      </c>
    </row>
    <row r="154" spans="2:5" ht="15" customHeight="1">
      <c r="B154" s="91"/>
      <c r="C154" s="65" t="s">
        <v>321</v>
      </c>
      <c r="D154" s="64">
        <v>8</v>
      </c>
      <c r="E154" s="66">
        <v>4.2612123148999997E-4</v>
      </c>
    </row>
    <row r="155" spans="2:5" ht="15" customHeight="1">
      <c r="B155" s="89" t="s">
        <v>87</v>
      </c>
      <c r="C155" s="54" t="s">
        <v>195</v>
      </c>
      <c r="D155" s="55">
        <v>1</v>
      </c>
      <c r="E155" s="56">
        <v>5.3265153936E-5</v>
      </c>
    </row>
    <row r="156" spans="2:5" ht="15" customHeight="1">
      <c r="B156" s="90"/>
      <c r="C156" s="54" t="s">
        <v>188</v>
      </c>
      <c r="D156" s="55">
        <v>1</v>
      </c>
      <c r="E156" s="56">
        <v>5.3265153936E-5</v>
      </c>
    </row>
    <row r="157" spans="2:5" ht="15" customHeight="1">
      <c r="B157" s="90"/>
      <c r="C157" s="54" t="s">
        <v>182</v>
      </c>
      <c r="D157" s="55">
        <v>6</v>
      </c>
      <c r="E157" s="56">
        <v>3.1959092361799997E-4</v>
      </c>
    </row>
    <row r="158" spans="2:5" ht="15" customHeight="1">
      <c r="B158" s="90"/>
      <c r="C158" s="54" t="s">
        <v>183</v>
      </c>
      <c r="D158" s="55">
        <v>2</v>
      </c>
      <c r="E158" s="56">
        <v>1.06530307873E-4</v>
      </c>
    </row>
    <row r="159" spans="2:5" ht="15" customHeight="1">
      <c r="B159" s="90"/>
      <c r="C159" s="54" t="s">
        <v>207</v>
      </c>
      <c r="D159" s="55">
        <v>1</v>
      </c>
      <c r="E159" s="56">
        <v>5.3265153936E-5</v>
      </c>
    </row>
    <row r="160" spans="2:5" ht="15" customHeight="1">
      <c r="B160" s="90"/>
      <c r="C160" s="54" t="s">
        <v>189</v>
      </c>
      <c r="D160" s="55">
        <v>1</v>
      </c>
      <c r="E160" s="56">
        <v>5.3265153936E-5</v>
      </c>
    </row>
    <row r="161" spans="2:5" ht="15" customHeight="1">
      <c r="B161" s="90"/>
      <c r="C161" s="54" t="s">
        <v>181</v>
      </c>
      <c r="D161" s="55">
        <v>4</v>
      </c>
      <c r="E161" s="56">
        <v>2.1306061574499999E-4</v>
      </c>
    </row>
    <row r="162" spans="2:5" ht="15" customHeight="1">
      <c r="B162" s="90"/>
      <c r="C162" s="54" t="s">
        <v>191</v>
      </c>
      <c r="D162" s="55">
        <v>1</v>
      </c>
      <c r="E162" s="56">
        <v>5.3265153936E-5</v>
      </c>
    </row>
    <row r="163" spans="2:5" ht="15" customHeight="1">
      <c r="B163" s="90"/>
      <c r="C163" s="54" t="s">
        <v>200</v>
      </c>
      <c r="D163" s="55">
        <v>1</v>
      </c>
      <c r="E163" s="56">
        <v>5.3265153936E-5</v>
      </c>
    </row>
    <row r="164" spans="2:5" ht="15" customHeight="1">
      <c r="B164" s="91"/>
      <c r="C164" s="65" t="s">
        <v>321</v>
      </c>
      <c r="D164" s="64">
        <v>18</v>
      </c>
      <c r="E164" s="66">
        <v>9.5877277085300002E-4</v>
      </c>
    </row>
    <row r="165" spans="2:5" ht="15" customHeight="1">
      <c r="B165" s="89" t="s">
        <v>90</v>
      </c>
      <c r="C165" s="54" t="s">
        <v>184</v>
      </c>
      <c r="D165" s="55">
        <v>1</v>
      </c>
      <c r="E165" s="56">
        <v>5.3265153936E-5</v>
      </c>
    </row>
    <row r="166" spans="2:5" ht="15" customHeight="1">
      <c r="B166" s="90"/>
      <c r="C166" s="54" t="s">
        <v>181</v>
      </c>
      <c r="D166" s="55">
        <v>3</v>
      </c>
      <c r="E166" s="56">
        <v>1.5979546180899999E-4</v>
      </c>
    </row>
    <row r="167" spans="2:5" ht="15" customHeight="1">
      <c r="B167" s="90"/>
      <c r="C167" s="54" t="s">
        <v>192</v>
      </c>
      <c r="D167" s="55">
        <v>1</v>
      </c>
      <c r="E167" s="56">
        <v>5.3265153936E-5</v>
      </c>
    </row>
    <row r="168" spans="2:5" ht="15" customHeight="1">
      <c r="B168" s="91"/>
      <c r="C168" s="65" t="s">
        <v>321</v>
      </c>
      <c r="D168" s="64">
        <v>5</v>
      </c>
      <c r="E168" s="66">
        <v>2.6632576968100001E-4</v>
      </c>
    </row>
    <row r="169" spans="2:5" ht="15" customHeight="1">
      <c r="B169" s="89" t="s">
        <v>52</v>
      </c>
      <c r="C169" s="54" t="s">
        <v>205</v>
      </c>
      <c r="D169" s="55">
        <v>3</v>
      </c>
      <c r="E169" s="56">
        <v>1.5979546180899999E-4</v>
      </c>
    </row>
    <row r="170" spans="2:5" ht="15" customHeight="1">
      <c r="B170" s="90"/>
      <c r="C170" s="54" t="s">
        <v>196</v>
      </c>
      <c r="D170" s="55">
        <v>7</v>
      </c>
      <c r="E170" s="56">
        <v>3.7285607755399997E-4</v>
      </c>
    </row>
    <row r="171" spans="2:5" ht="15" customHeight="1">
      <c r="B171" s="90"/>
      <c r="C171" s="54" t="s">
        <v>216</v>
      </c>
      <c r="D171" s="55">
        <v>1</v>
      </c>
      <c r="E171" s="56">
        <v>5.3265153936E-5</v>
      </c>
    </row>
    <row r="172" spans="2:5" ht="15" customHeight="1">
      <c r="B172" s="90"/>
      <c r="C172" s="54" t="s">
        <v>222</v>
      </c>
      <c r="D172" s="55">
        <v>5</v>
      </c>
      <c r="E172" s="56">
        <v>2.6632576968100001E-4</v>
      </c>
    </row>
    <row r="173" spans="2:5" ht="15" customHeight="1">
      <c r="B173" s="90"/>
      <c r="C173" s="54" t="s">
        <v>228</v>
      </c>
      <c r="D173" s="55">
        <v>1</v>
      </c>
      <c r="E173" s="56">
        <v>5.3265153936E-5</v>
      </c>
    </row>
    <row r="174" spans="2:5" ht="15" customHeight="1">
      <c r="B174" s="90"/>
      <c r="C174" s="54" t="s">
        <v>198</v>
      </c>
      <c r="D174" s="55">
        <v>4</v>
      </c>
      <c r="E174" s="56">
        <v>2.1306061574499999E-4</v>
      </c>
    </row>
    <row r="175" spans="2:5" ht="15" customHeight="1">
      <c r="B175" s="90"/>
      <c r="C175" s="54" t="s">
        <v>201</v>
      </c>
      <c r="D175" s="55">
        <v>3</v>
      </c>
      <c r="E175" s="56">
        <v>1.5979546180899999E-4</v>
      </c>
    </row>
    <row r="176" spans="2:5" ht="15" customHeight="1">
      <c r="B176" s="90"/>
      <c r="C176" s="54" t="s">
        <v>188</v>
      </c>
      <c r="D176" s="55">
        <v>19</v>
      </c>
      <c r="E176" s="56">
        <v>1.0120379247899999E-3</v>
      </c>
    </row>
    <row r="177" spans="2:5" ht="15" customHeight="1">
      <c r="B177" s="90"/>
      <c r="C177" s="54" t="s">
        <v>212</v>
      </c>
      <c r="D177" s="55">
        <v>1</v>
      </c>
      <c r="E177" s="56">
        <v>5.3265153936E-5</v>
      </c>
    </row>
    <row r="178" spans="2:5" ht="15" customHeight="1">
      <c r="B178" s="90"/>
      <c r="C178" s="54" t="s">
        <v>182</v>
      </c>
      <c r="D178" s="55">
        <v>89</v>
      </c>
      <c r="E178" s="56">
        <v>4.7405987003300001E-3</v>
      </c>
    </row>
    <row r="179" spans="2:5" ht="15" customHeight="1">
      <c r="B179" s="90"/>
      <c r="C179" s="54" t="s">
        <v>243</v>
      </c>
      <c r="D179" s="55">
        <v>2</v>
      </c>
      <c r="E179" s="56">
        <v>1.06530307873E-4</v>
      </c>
    </row>
    <row r="180" spans="2:5" ht="15" customHeight="1">
      <c r="B180" s="90"/>
      <c r="C180" s="54" t="s">
        <v>184</v>
      </c>
      <c r="D180" s="55">
        <v>25</v>
      </c>
      <c r="E180" s="56">
        <v>1.3316288484070001E-3</v>
      </c>
    </row>
    <row r="181" spans="2:5" ht="15" customHeight="1">
      <c r="B181" s="90"/>
      <c r="C181" s="54" t="s">
        <v>183</v>
      </c>
      <c r="D181" s="55">
        <v>51</v>
      </c>
      <c r="E181" s="56">
        <v>2.7165228507509999E-3</v>
      </c>
    </row>
    <row r="182" spans="2:5" ht="15" customHeight="1">
      <c r="B182" s="90"/>
      <c r="C182" s="54" t="s">
        <v>197</v>
      </c>
      <c r="D182" s="55">
        <v>2</v>
      </c>
      <c r="E182" s="56">
        <v>1.06530307873E-4</v>
      </c>
    </row>
    <row r="183" spans="2:5" ht="15" customHeight="1">
      <c r="B183" s="90"/>
      <c r="C183" s="54" t="s">
        <v>246</v>
      </c>
      <c r="D183" s="55">
        <v>2</v>
      </c>
      <c r="E183" s="56">
        <v>1.06530307873E-4</v>
      </c>
    </row>
    <row r="184" spans="2:5" ht="15" customHeight="1">
      <c r="B184" s="90"/>
      <c r="C184" s="54" t="s">
        <v>233</v>
      </c>
      <c r="D184" s="55">
        <v>2</v>
      </c>
      <c r="E184" s="56">
        <v>1.06530307873E-4</v>
      </c>
    </row>
    <row r="185" spans="2:5" ht="15" customHeight="1">
      <c r="B185" s="90"/>
      <c r="C185" s="54" t="s">
        <v>218</v>
      </c>
      <c r="D185" s="55">
        <v>1</v>
      </c>
      <c r="E185" s="56">
        <v>5.3265153936E-5</v>
      </c>
    </row>
    <row r="186" spans="2:5" ht="15" customHeight="1">
      <c r="B186" s="90"/>
      <c r="C186" s="54" t="s">
        <v>214</v>
      </c>
      <c r="D186" s="55">
        <v>4</v>
      </c>
      <c r="E186" s="56">
        <v>2.1306061574499999E-4</v>
      </c>
    </row>
    <row r="187" spans="2:5" ht="15" customHeight="1">
      <c r="B187" s="90"/>
      <c r="C187" s="54" t="s">
        <v>193</v>
      </c>
      <c r="D187" s="55">
        <v>1</v>
      </c>
      <c r="E187" s="56">
        <v>5.3265153936E-5</v>
      </c>
    </row>
    <row r="188" spans="2:5" ht="15" customHeight="1">
      <c r="B188" s="90"/>
      <c r="C188" s="54" t="s">
        <v>207</v>
      </c>
      <c r="D188" s="55">
        <v>9</v>
      </c>
      <c r="E188" s="56">
        <v>4.7938638542699999E-4</v>
      </c>
    </row>
    <row r="189" spans="2:5" ht="15" customHeight="1">
      <c r="B189" s="90"/>
      <c r="C189" s="54" t="s">
        <v>247</v>
      </c>
      <c r="D189" s="55">
        <v>1</v>
      </c>
      <c r="E189" s="56">
        <v>5.3265153936E-5</v>
      </c>
    </row>
    <row r="190" spans="2:5" ht="15" customHeight="1">
      <c r="B190" s="90"/>
      <c r="C190" s="54" t="s">
        <v>189</v>
      </c>
      <c r="D190" s="55">
        <v>4</v>
      </c>
      <c r="E190" s="56">
        <v>2.1306061574499999E-4</v>
      </c>
    </row>
    <row r="191" spans="2:5" ht="15" customHeight="1">
      <c r="B191" s="90"/>
      <c r="C191" s="54" t="s">
        <v>219</v>
      </c>
      <c r="D191" s="55">
        <v>1</v>
      </c>
      <c r="E191" s="56">
        <v>5.3265153936E-5</v>
      </c>
    </row>
    <row r="192" spans="2:5" ht="15" customHeight="1">
      <c r="B192" s="90"/>
      <c r="C192" s="54" t="s">
        <v>185</v>
      </c>
      <c r="D192" s="55">
        <v>35</v>
      </c>
      <c r="E192" s="56">
        <v>1.86428038777E-3</v>
      </c>
    </row>
    <row r="193" spans="2:5" ht="15" customHeight="1">
      <c r="B193" s="90"/>
      <c r="C193" s="54" t="s">
        <v>190</v>
      </c>
      <c r="D193" s="55">
        <v>14</v>
      </c>
      <c r="E193" s="56">
        <v>7.4571215510799995E-4</v>
      </c>
    </row>
    <row r="194" spans="2:5" ht="15" customHeight="1">
      <c r="B194" s="90"/>
      <c r="C194" s="54" t="s">
        <v>181</v>
      </c>
      <c r="D194" s="55">
        <v>230</v>
      </c>
      <c r="E194" s="56">
        <v>1.2250985405348001E-2</v>
      </c>
    </row>
    <row r="195" spans="2:5" ht="15" customHeight="1">
      <c r="B195" s="90"/>
      <c r="C195" s="54" t="s">
        <v>235</v>
      </c>
      <c r="D195" s="55">
        <v>1</v>
      </c>
      <c r="E195" s="56">
        <v>5.3265153936E-5</v>
      </c>
    </row>
    <row r="196" spans="2:5" ht="15" customHeight="1">
      <c r="B196" s="90"/>
      <c r="C196" s="54" t="s">
        <v>192</v>
      </c>
      <c r="D196" s="55">
        <v>4</v>
      </c>
      <c r="E196" s="56">
        <v>2.1306061574499999E-4</v>
      </c>
    </row>
    <row r="197" spans="2:5" ht="15" customHeight="1">
      <c r="B197" s="90"/>
      <c r="C197" s="54" t="s">
        <v>234</v>
      </c>
      <c r="D197" s="55">
        <v>1</v>
      </c>
      <c r="E197" s="56">
        <v>5.3265153936E-5</v>
      </c>
    </row>
    <row r="198" spans="2:5" ht="15" customHeight="1">
      <c r="B198" s="90"/>
      <c r="C198" s="54" t="s">
        <v>191</v>
      </c>
      <c r="D198" s="55">
        <v>6</v>
      </c>
      <c r="E198" s="56">
        <v>3.1959092361799997E-4</v>
      </c>
    </row>
    <row r="199" spans="2:5" ht="15" customHeight="1">
      <c r="B199" s="90"/>
      <c r="C199" s="54" t="s">
        <v>240</v>
      </c>
      <c r="D199" s="55">
        <v>1</v>
      </c>
      <c r="E199" s="56">
        <v>5.3265153936E-5</v>
      </c>
    </row>
    <row r="200" spans="2:5" ht="15" customHeight="1">
      <c r="B200" s="90"/>
      <c r="C200" s="54" t="s">
        <v>245</v>
      </c>
      <c r="D200" s="55">
        <v>3</v>
      </c>
      <c r="E200" s="56">
        <v>1.5979546180899999E-4</v>
      </c>
    </row>
    <row r="201" spans="2:5" ht="15" customHeight="1">
      <c r="B201" s="90"/>
      <c r="C201" s="54" t="s">
        <v>194</v>
      </c>
      <c r="D201" s="55">
        <v>6</v>
      </c>
      <c r="E201" s="56">
        <v>3.1959092361799997E-4</v>
      </c>
    </row>
    <row r="202" spans="2:5" ht="15" customHeight="1">
      <c r="B202" s="90"/>
      <c r="C202" s="54" t="s">
        <v>226</v>
      </c>
      <c r="D202" s="55">
        <v>1</v>
      </c>
      <c r="E202" s="56">
        <v>5.3265153936E-5</v>
      </c>
    </row>
    <row r="203" spans="2:5" ht="15" customHeight="1">
      <c r="B203" s="90"/>
      <c r="C203" s="54" t="s">
        <v>187</v>
      </c>
      <c r="D203" s="55">
        <v>11</v>
      </c>
      <c r="E203" s="56">
        <v>5.8591669329900004E-4</v>
      </c>
    </row>
    <row r="204" spans="2:5" ht="15" customHeight="1">
      <c r="B204" s="90"/>
      <c r="C204" s="54" t="s">
        <v>241</v>
      </c>
      <c r="D204" s="55">
        <v>6</v>
      </c>
      <c r="E204" s="56">
        <v>3.1959092361799997E-4</v>
      </c>
    </row>
    <row r="205" spans="2:5" ht="15" customHeight="1">
      <c r="B205" s="90"/>
      <c r="C205" s="54" t="s">
        <v>186</v>
      </c>
      <c r="D205" s="55">
        <v>2</v>
      </c>
      <c r="E205" s="56">
        <v>1.06530307873E-4</v>
      </c>
    </row>
    <row r="206" spans="2:5" ht="15" customHeight="1">
      <c r="B206" s="90"/>
      <c r="C206" s="54" t="s">
        <v>203</v>
      </c>
      <c r="D206" s="55">
        <v>2</v>
      </c>
      <c r="E206" s="56">
        <v>1.06530307873E-4</v>
      </c>
    </row>
    <row r="207" spans="2:5" ht="15" customHeight="1">
      <c r="B207" s="90"/>
      <c r="C207" s="54" t="s">
        <v>221</v>
      </c>
      <c r="D207" s="55">
        <v>1</v>
      </c>
      <c r="E207" s="56">
        <v>5.3265153936E-5</v>
      </c>
    </row>
    <row r="208" spans="2:5" ht="15" customHeight="1">
      <c r="B208" s="90"/>
      <c r="C208" s="54" t="s">
        <v>237</v>
      </c>
      <c r="D208" s="55">
        <v>1</v>
      </c>
      <c r="E208" s="56">
        <v>5.3265153936E-5</v>
      </c>
    </row>
    <row r="209" spans="2:5" ht="15" customHeight="1">
      <c r="B209" s="90"/>
      <c r="C209" s="54" t="s">
        <v>224</v>
      </c>
      <c r="D209" s="55">
        <v>4</v>
      </c>
      <c r="E209" s="56">
        <v>2.1306061574499999E-4</v>
      </c>
    </row>
    <row r="210" spans="2:5" ht="15" customHeight="1">
      <c r="B210" s="90"/>
      <c r="C210" s="54" t="s">
        <v>208</v>
      </c>
      <c r="D210" s="55">
        <v>7</v>
      </c>
      <c r="E210" s="56">
        <v>3.7285607755399997E-4</v>
      </c>
    </row>
    <row r="211" spans="2:5" ht="15" customHeight="1">
      <c r="B211" s="90"/>
      <c r="C211" s="54" t="s">
        <v>200</v>
      </c>
      <c r="D211" s="55">
        <v>9</v>
      </c>
      <c r="E211" s="56">
        <v>4.7938638542699999E-4</v>
      </c>
    </row>
    <row r="212" spans="2:5" ht="15" customHeight="1">
      <c r="B212" s="90"/>
      <c r="C212" s="54" t="s">
        <v>204</v>
      </c>
      <c r="D212" s="55">
        <v>1</v>
      </c>
      <c r="E212" s="56">
        <v>5.3265153936E-5</v>
      </c>
    </row>
    <row r="213" spans="2:5" ht="15" customHeight="1">
      <c r="B213" s="90"/>
      <c r="C213" s="54" t="s">
        <v>202</v>
      </c>
      <c r="D213" s="55">
        <v>8</v>
      </c>
      <c r="E213" s="56">
        <v>4.2612123148999997E-4</v>
      </c>
    </row>
    <row r="214" spans="2:5" ht="15" customHeight="1">
      <c r="B214" s="90"/>
      <c r="C214" s="54" t="s">
        <v>242</v>
      </c>
      <c r="D214" s="55">
        <v>1</v>
      </c>
      <c r="E214" s="56">
        <v>5.3265153936E-5</v>
      </c>
    </row>
    <row r="215" spans="2:5" ht="15" customHeight="1">
      <c r="B215" s="90"/>
      <c r="C215" s="54" t="s">
        <v>199</v>
      </c>
      <c r="D215" s="55">
        <v>1</v>
      </c>
      <c r="E215" s="56">
        <v>5.3265153936E-5</v>
      </c>
    </row>
    <row r="216" spans="2:5" ht="15" customHeight="1">
      <c r="B216" s="91"/>
      <c r="C216" s="65" t="s">
        <v>321</v>
      </c>
      <c r="D216" s="64">
        <v>594</v>
      </c>
      <c r="E216" s="66">
        <v>3.1639501438159003E-2</v>
      </c>
    </row>
    <row r="217" spans="2:5" ht="15" customHeight="1">
      <c r="B217" s="89" t="s">
        <v>47</v>
      </c>
      <c r="C217" s="54" t="s">
        <v>205</v>
      </c>
      <c r="D217" s="55">
        <v>6</v>
      </c>
      <c r="E217" s="56">
        <v>3.1959092361799997E-4</v>
      </c>
    </row>
    <row r="218" spans="2:5" ht="15" customHeight="1">
      <c r="B218" s="90"/>
      <c r="C218" s="54" t="s">
        <v>195</v>
      </c>
      <c r="D218" s="55">
        <v>9</v>
      </c>
      <c r="E218" s="56">
        <v>4.7938638542699999E-4</v>
      </c>
    </row>
    <row r="219" spans="2:5" ht="15" customHeight="1">
      <c r="B219" s="90"/>
      <c r="C219" s="54" t="s">
        <v>196</v>
      </c>
      <c r="D219" s="55">
        <v>19</v>
      </c>
      <c r="E219" s="56">
        <v>1.0120379247899999E-3</v>
      </c>
    </row>
    <row r="220" spans="2:5" ht="15" customHeight="1">
      <c r="B220" s="90"/>
      <c r="C220" s="54" t="s">
        <v>232</v>
      </c>
      <c r="D220" s="55">
        <v>1</v>
      </c>
      <c r="E220" s="56">
        <v>5.3265153936E-5</v>
      </c>
    </row>
    <row r="221" spans="2:5" ht="15" customHeight="1">
      <c r="B221" s="90"/>
      <c r="C221" s="54" t="s">
        <v>216</v>
      </c>
      <c r="D221" s="55">
        <v>7</v>
      </c>
      <c r="E221" s="56">
        <v>3.7285607755399997E-4</v>
      </c>
    </row>
    <row r="222" spans="2:5" ht="15" customHeight="1">
      <c r="B222" s="90"/>
      <c r="C222" s="54" t="s">
        <v>211</v>
      </c>
      <c r="D222" s="55">
        <v>11</v>
      </c>
      <c r="E222" s="56">
        <v>5.8591669329900004E-4</v>
      </c>
    </row>
    <row r="223" spans="2:5" ht="15" customHeight="1">
      <c r="B223" s="90"/>
      <c r="C223" s="54" t="s">
        <v>222</v>
      </c>
      <c r="D223" s="55">
        <v>3</v>
      </c>
      <c r="E223" s="56">
        <v>1.5979546180899999E-4</v>
      </c>
    </row>
    <row r="224" spans="2:5" ht="15" customHeight="1">
      <c r="B224" s="90"/>
      <c r="C224" s="54" t="s">
        <v>228</v>
      </c>
      <c r="D224" s="55">
        <v>5</v>
      </c>
      <c r="E224" s="56">
        <v>2.6632576968100001E-4</v>
      </c>
    </row>
    <row r="225" spans="2:5" ht="15" customHeight="1">
      <c r="B225" s="90"/>
      <c r="C225" s="54" t="s">
        <v>198</v>
      </c>
      <c r="D225" s="55">
        <v>19</v>
      </c>
      <c r="E225" s="56">
        <v>1.0120379247899999E-3</v>
      </c>
    </row>
    <row r="226" spans="2:5" ht="15" customHeight="1">
      <c r="B226" s="90"/>
      <c r="C226" s="54" t="s">
        <v>201</v>
      </c>
      <c r="D226" s="55">
        <v>11</v>
      </c>
      <c r="E226" s="56">
        <v>5.8591669329900004E-4</v>
      </c>
    </row>
    <row r="227" spans="2:5" ht="15" customHeight="1">
      <c r="B227" s="90"/>
      <c r="C227" s="54" t="s">
        <v>188</v>
      </c>
      <c r="D227" s="55">
        <v>25</v>
      </c>
      <c r="E227" s="56">
        <v>1.3316288484070001E-3</v>
      </c>
    </row>
    <row r="228" spans="2:5" ht="15" customHeight="1">
      <c r="B228" s="90"/>
      <c r="C228" s="54" t="s">
        <v>212</v>
      </c>
      <c r="D228" s="55">
        <v>13</v>
      </c>
      <c r="E228" s="56">
        <v>6.92447001172E-4</v>
      </c>
    </row>
    <row r="229" spans="2:5" ht="15" customHeight="1">
      <c r="B229" s="90"/>
      <c r="C229" s="54" t="s">
        <v>217</v>
      </c>
      <c r="D229" s="55">
        <v>7</v>
      </c>
      <c r="E229" s="56">
        <v>3.7285607755399997E-4</v>
      </c>
    </row>
    <row r="230" spans="2:5" ht="15" customHeight="1">
      <c r="B230" s="90"/>
      <c r="C230" s="54" t="s">
        <v>182</v>
      </c>
      <c r="D230" s="55">
        <v>359</v>
      </c>
      <c r="E230" s="56">
        <v>1.9122190263130001E-2</v>
      </c>
    </row>
    <row r="231" spans="2:5" ht="15" customHeight="1">
      <c r="B231" s="90"/>
      <c r="C231" s="54" t="s">
        <v>243</v>
      </c>
      <c r="D231" s="55">
        <v>1</v>
      </c>
      <c r="E231" s="56">
        <v>5.3265153936E-5</v>
      </c>
    </row>
    <row r="232" spans="2:5" ht="15" customHeight="1">
      <c r="B232" s="90"/>
      <c r="C232" s="54" t="s">
        <v>225</v>
      </c>
      <c r="D232" s="55">
        <v>5</v>
      </c>
      <c r="E232" s="56">
        <v>2.6632576968100001E-4</v>
      </c>
    </row>
    <row r="233" spans="2:5" ht="15" customHeight="1">
      <c r="B233" s="90"/>
      <c r="C233" s="54" t="s">
        <v>223</v>
      </c>
      <c r="D233" s="55">
        <v>3</v>
      </c>
      <c r="E233" s="56">
        <v>1.5979546180899999E-4</v>
      </c>
    </row>
    <row r="234" spans="2:5" ht="15" customHeight="1">
      <c r="B234" s="90"/>
      <c r="C234" s="54" t="s">
        <v>184</v>
      </c>
      <c r="D234" s="55">
        <v>159</v>
      </c>
      <c r="E234" s="56">
        <v>8.4691594758709993E-3</v>
      </c>
    </row>
    <row r="235" spans="2:5" ht="15" customHeight="1">
      <c r="B235" s="90"/>
      <c r="C235" s="54" t="s">
        <v>209</v>
      </c>
      <c r="D235" s="55">
        <v>15</v>
      </c>
      <c r="E235" s="56">
        <v>7.98977309044E-4</v>
      </c>
    </row>
    <row r="236" spans="2:5" ht="15" customHeight="1">
      <c r="B236" s="90"/>
      <c r="C236" s="54" t="s">
        <v>183</v>
      </c>
      <c r="D236" s="55">
        <v>192</v>
      </c>
      <c r="E236" s="56">
        <v>1.0226909555769E-2</v>
      </c>
    </row>
    <row r="237" spans="2:5" ht="15" customHeight="1">
      <c r="B237" s="90"/>
      <c r="C237" s="54" t="s">
        <v>197</v>
      </c>
      <c r="D237" s="55">
        <v>30</v>
      </c>
      <c r="E237" s="56">
        <v>1.5979546180890001E-3</v>
      </c>
    </row>
    <row r="238" spans="2:5" ht="15" customHeight="1">
      <c r="B238" s="90"/>
      <c r="C238" s="54" t="s">
        <v>246</v>
      </c>
      <c r="D238" s="55">
        <v>1</v>
      </c>
      <c r="E238" s="56">
        <v>5.3265153936E-5</v>
      </c>
    </row>
    <row r="239" spans="2:5" ht="15" customHeight="1">
      <c r="B239" s="90"/>
      <c r="C239" s="54" t="s">
        <v>218</v>
      </c>
      <c r="D239" s="55">
        <v>8</v>
      </c>
      <c r="E239" s="56">
        <v>4.2612123148999997E-4</v>
      </c>
    </row>
    <row r="240" spans="2:5" ht="15" customHeight="1">
      <c r="B240" s="90"/>
      <c r="C240" s="54" t="s">
        <v>214</v>
      </c>
      <c r="D240" s="55">
        <v>7</v>
      </c>
      <c r="E240" s="56">
        <v>3.7285607755399997E-4</v>
      </c>
    </row>
    <row r="241" spans="2:5" ht="15" customHeight="1">
      <c r="B241" s="90"/>
      <c r="C241" s="54" t="s">
        <v>193</v>
      </c>
      <c r="D241" s="55">
        <v>11</v>
      </c>
      <c r="E241" s="56">
        <v>5.8591669329900004E-4</v>
      </c>
    </row>
    <row r="242" spans="2:5" ht="15" customHeight="1">
      <c r="B242" s="90"/>
      <c r="C242" s="54" t="s">
        <v>207</v>
      </c>
      <c r="D242" s="55">
        <v>4</v>
      </c>
      <c r="E242" s="56">
        <v>2.1306061574499999E-4</v>
      </c>
    </row>
    <row r="243" spans="2:5" ht="15" customHeight="1">
      <c r="B243" s="90"/>
      <c r="C243" s="54" t="s">
        <v>247</v>
      </c>
      <c r="D243" s="55">
        <v>1</v>
      </c>
      <c r="E243" s="56">
        <v>5.3265153936E-5</v>
      </c>
    </row>
    <row r="244" spans="2:5" ht="15" customHeight="1">
      <c r="B244" s="90"/>
      <c r="C244" s="54" t="s">
        <v>189</v>
      </c>
      <c r="D244" s="55">
        <v>67</v>
      </c>
      <c r="E244" s="56">
        <v>3.5687653137319998E-3</v>
      </c>
    </row>
    <row r="245" spans="2:5" ht="15" customHeight="1">
      <c r="B245" s="90"/>
      <c r="C245" s="54" t="s">
        <v>219</v>
      </c>
      <c r="D245" s="55">
        <v>6</v>
      </c>
      <c r="E245" s="56">
        <v>3.1959092361799997E-4</v>
      </c>
    </row>
    <row r="246" spans="2:5" ht="15" customHeight="1">
      <c r="B246" s="90"/>
      <c r="C246" s="54" t="s">
        <v>185</v>
      </c>
      <c r="D246" s="55">
        <v>54</v>
      </c>
      <c r="E246" s="56">
        <v>2.8763183125600001E-3</v>
      </c>
    </row>
    <row r="247" spans="2:5" ht="15" customHeight="1">
      <c r="B247" s="90"/>
      <c r="C247" s="54" t="s">
        <v>213</v>
      </c>
      <c r="D247" s="55">
        <v>8</v>
      </c>
      <c r="E247" s="56">
        <v>4.2612123148999997E-4</v>
      </c>
    </row>
    <row r="248" spans="2:5" ht="15" customHeight="1">
      <c r="B248" s="90"/>
      <c r="C248" s="54" t="s">
        <v>215</v>
      </c>
      <c r="D248" s="55">
        <v>1</v>
      </c>
      <c r="E248" s="56">
        <v>5.3265153936E-5</v>
      </c>
    </row>
    <row r="249" spans="2:5" ht="15" customHeight="1">
      <c r="B249" s="90"/>
      <c r="C249" s="54" t="s">
        <v>190</v>
      </c>
      <c r="D249" s="55">
        <v>28</v>
      </c>
      <c r="E249" s="56">
        <v>1.4914243102159999E-3</v>
      </c>
    </row>
    <row r="250" spans="2:5" ht="15" customHeight="1">
      <c r="B250" s="90"/>
      <c r="C250" s="54" t="s">
        <v>238</v>
      </c>
      <c r="D250" s="55">
        <v>4</v>
      </c>
      <c r="E250" s="56">
        <v>2.1306061574499999E-4</v>
      </c>
    </row>
    <row r="251" spans="2:5" ht="15" customHeight="1">
      <c r="B251" s="90"/>
      <c r="C251" s="54" t="s">
        <v>181</v>
      </c>
      <c r="D251" s="55">
        <v>596</v>
      </c>
      <c r="E251" s="56">
        <v>3.1746031746032001E-2</v>
      </c>
    </row>
    <row r="252" spans="2:5" ht="15" customHeight="1">
      <c r="B252" s="90"/>
      <c r="C252" s="54" t="s">
        <v>235</v>
      </c>
      <c r="D252" s="55">
        <v>1</v>
      </c>
      <c r="E252" s="56">
        <v>5.3265153936E-5</v>
      </c>
    </row>
    <row r="253" spans="2:5" ht="15" customHeight="1">
      <c r="B253" s="90"/>
      <c r="C253" s="54" t="s">
        <v>236</v>
      </c>
      <c r="D253" s="55">
        <v>3</v>
      </c>
      <c r="E253" s="56">
        <v>1.5979546180899999E-4</v>
      </c>
    </row>
    <row r="254" spans="2:5" ht="15" customHeight="1">
      <c r="B254" s="90"/>
      <c r="C254" s="54" t="s">
        <v>192</v>
      </c>
      <c r="D254" s="55">
        <v>11</v>
      </c>
      <c r="E254" s="56">
        <v>5.8591669329900004E-4</v>
      </c>
    </row>
    <row r="255" spans="2:5" ht="15" customHeight="1">
      <c r="B255" s="90"/>
      <c r="C255" s="54" t="s">
        <v>210</v>
      </c>
      <c r="D255" s="55">
        <v>3</v>
      </c>
      <c r="E255" s="56">
        <v>1.5979546180899999E-4</v>
      </c>
    </row>
    <row r="256" spans="2:5" ht="15" customHeight="1">
      <c r="B256" s="90"/>
      <c r="C256" s="54" t="s">
        <v>234</v>
      </c>
      <c r="D256" s="55">
        <v>1</v>
      </c>
      <c r="E256" s="56">
        <v>5.3265153936E-5</v>
      </c>
    </row>
    <row r="257" spans="2:5" ht="15" customHeight="1">
      <c r="B257" s="90"/>
      <c r="C257" s="54" t="s">
        <v>191</v>
      </c>
      <c r="D257" s="55">
        <v>20</v>
      </c>
      <c r="E257" s="56">
        <v>1.065303078726E-3</v>
      </c>
    </row>
    <row r="258" spans="2:5" ht="15" customHeight="1">
      <c r="B258" s="90"/>
      <c r="C258" s="54" t="s">
        <v>240</v>
      </c>
      <c r="D258" s="55">
        <v>1</v>
      </c>
      <c r="E258" s="56">
        <v>5.3265153936E-5</v>
      </c>
    </row>
    <row r="259" spans="2:5" ht="15" customHeight="1">
      <c r="B259" s="90"/>
      <c r="C259" s="54" t="s">
        <v>194</v>
      </c>
      <c r="D259" s="55">
        <v>23</v>
      </c>
      <c r="E259" s="56">
        <v>1.225098540535E-3</v>
      </c>
    </row>
    <row r="260" spans="2:5" ht="15" customHeight="1">
      <c r="B260" s="90"/>
      <c r="C260" s="54" t="s">
        <v>226</v>
      </c>
      <c r="D260" s="55">
        <v>3</v>
      </c>
      <c r="E260" s="56">
        <v>1.5979546180899999E-4</v>
      </c>
    </row>
    <row r="261" spans="2:5" ht="15" customHeight="1">
      <c r="B261" s="90"/>
      <c r="C261" s="54" t="s">
        <v>187</v>
      </c>
      <c r="D261" s="55">
        <v>24</v>
      </c>
      <c r="E261" s="56">
        <v>1.278363694471E-3</v>
      </c>
    </row>
    <row r="262" spans="2:5" ht="15" customHeight="1">
      <c r="B262" s="90"/>
      <c r="C262" s="54" t="s">
        <v>241</v>
      </c>
      <c r="D262" s="55">
        <v>2</v>
      </c>
      <c r="E262" s="56">
        <v>1.06530307873E-4</v>
      </c>
    </row>
    <row r="263" spans="2:5" ht="15" customHeight="1">
      <c r="B263" s="90"/>
      <c r="C263" s="54" t="s">
        <v>186</v>
      </c>
      <c r="D263" s="55">
        <v>23</v>
      </c>
      <c r="E263" s="56">
        <v>1.225098540535E-3</v>
      </c>
    </row>
    <row r="264" spans="2:5" ht="15" customHeight="1">
      <c r="B264" s="90"/>
      <c r="C264" s="54" t="s">
        <v>203</v>
      </c>
      <c r="D264" s="55">
        <v>3</v>
      </c>
      <c r="E264" s="56">
        <v>1.5979546180899999E-4</v>
      </c>
    </row>
    <row r="265" spans="2:5" ht="15" customHeight="1">
      <c r="B265" s="90"/>
      <c r="C265" s="54" t="s">
        <v>220</v>
      </c>
      <c r="D265" s="55">
        <v>9</v>
      </c>
      <c r="E265" s="56">
        <v>4.7938638542699999E-4</v>
      </c>
    </row>
    <row r="266" spans="2:5" ht="15" customHeight="1">
      <c r="B266" s="90"/>
      <c r="C266" s="54" t="s">
        <v>221</v>
      </c>
      <c r="D266" s="55">
        <v>4</v>
      </c>
      <c r="E266" s="56">
        <v>2.1306061574499999E-4</v>
      </c>
    </row>
    <row r="267" spans="2:5" ht="15" customHeight="1">
      <c r="B267" s="90"/>
      <c r="C267" s="54" t="s">
        <v>237</v>
      </c>
      <c r="D267" s="55">
        <v>3</v>
      </c>
      <c r="E267" s="56">
        <v>1.5979546180899999E-4</v>
      </c>
    </row>
    <row r="268" spans="2:5" ht="15" customHeight="1">
      <c r="B268" s="90"/>
      <c r="C268" s="54" t="s">
        <v>224</v>
      </c>
      <c r="D268" s="55">
        <v>7</v>
      </c>
      <c r="E268" s="56">
        <v>3.7285607755399997E-4</v>
      </c>
    </row>
    <row r="269" spans="2:5" ht="15" customHeight="1">
      <c r="B269" s="90"/>
      <c r="C269" s="54" t="s">
        <v>230</v>
      </c>
      <c r="D269" s="55">
        <v>2</v>
      </c>
      <c r="E269" s="56">
        <v>1.06530307873E-4</v>
      </c>
    </row>
    <row r="270" spans="2:5" ht="15" customHeight="1">
      <c r="B270" s="90"/>
      <c r="C270" s="54" t="s">
        <v>208</v>
      </c>
      <c r="D270" s="55">
        <v>10</v>
      </c>
      <c r="E270" s="56">
        <v>5.3265153936299999E-4</v>
      </c>
    </row>
    <row r="271" spans="2:5" ht="15" customHeight="1">
      <c r="B271" s="90"/>
      <c r="C271" s="54" t="s">
        <v>200</v>
      </c>
      <c r="D271" s="55">
        <v>12</v>
      </c>
      <c r="E271" s="56">
        <v>6.3918184723599995E-4</v>
      </c>
    </row>
    <row r="272" spans="2:5" ht="15" customHeight="1">
      <c r="B272" s="90"/>
      <c r="C272" s="54" t="s">
        <v>227</v>
      </c>
      <c r="D272" s="55">
        <v>5</v>
      </c>
      <c r="E272" s="56">
        <v>2.6632576968100001E-4</v>
      </c>
    </row>
    <row r="273" spans="2:5" ht="15" customHeight="1">
      <c r="B273" s="90"/>
      <c r="C273" s="54" t="s">
        <v>204</v>
      </c>
      <c r="D273" s="55">
        <v>14</v>
      </c>
      <c r="E273" s="56">
        <v>7.4571215510799995E-4</v>
      </c>
    </row>
    <row r="274" spans="2:5" ht="15" customHeight="1">
      <c r="B274" s="90"/>
      <c r="C274" s="54" t="s">
        <v>202</v>
      </c>
      <c r="D274" s="55">
        <v>8</v>
      </c>
      <c r="E274" s="56">
        <v>4.2612123148999997E-4</v>
      </c>
    </row>
    <row r="275" spans="2:5" ht="15" customHeight="1">
      <c r="B275" s="90"/>
      <c r="C275" s="54" t="s">
        <v>242</v>
      </c>
      <c r="D275" s="55">
        <v>1</v>
      </c>
      <c r="E275" s="56">
        <v>5.3265153936E-5</v>
      </c>
    </row>
    <row r="276" spans="2:5" ht="15" customHeight="1">
      <c r="B276" s="90"/>
      <c r="C276" s="54" t="s">
        <v>239</v>
      </c>
      <c r="D276" s="55">
        <v>2</v>
      </c>
      <c r="E276" s="56">
        <v>1.06530307873E-4</v>
      </c>
    </row>
    <row r="277" spans="2:5" ht="15" customHeight="1">
      <c r="B277" s="90"/>
      <c r="C277" s="54" t="s">
        <v>199</v>
      </c>
      <c r="D277" s="55">
        <v>8</v>
      </c>
      <c r="E277" s="56">
        <v>4.2612123148999997E-4</v>
      </c>
    </row>
    <row r="278" spans="2:5" ht="15" customHeight="1">
      <c r="B278" s="91"/>
      <c r="C278" s="65" t="s">
        <v>321</v>
      </c>
      <c r="D278" s="64">
        <v>1899</v>
      </c>
      <c r="E278" s="66">
        <v>0.101150527325024</v>
      </c>
    </row>
    <row r="279" spans="2:5" ht="15" customHeight="1">
      <c r="B279" s="89" t="s">
        <v>80</v>
      </c>
      <c r="C279" s="54" t="s">
        <v>196</v>
      </c>
      <c r="D279" s="55">
        <v>1</v>
      </c>
      <c r="E279" s="56">
        <v>5.3265153936E-5</v>
      </c>
    </row>
    <row r="280" spans="2:5" ht="15" customHeight="1">
      <c r="B280" s="90"/>
      <c r="C280" s="54" t="s">
        <v>217</v>
      </c>
      <c r="D280" s="55">
        <v>1</v>
      </c>
      <c r="E280" s="56">
        <v>5.3265153936E-5</v>
      </c>
    </row>
    <row r="281" spans="2:5" ht="15" customHeight="1">
      <c r="B281" s="90"/>
      <c r="C281" s="54" t="s">
        <v>182</v>
      </c>
      <c r="D281" s="55">
        <v>6</v>
      </c>
      <c r="E281" s="56">
        <v>3.1959092361799997E-4</v>
      </c>
    </row>
    <row r="282" spans="2:5" ht="15" customHeight="1">
      <c r="B282" s="90"/>
      <c r="C282" s="54" t="s">
        <v>184</v>
      </c>
      <c r="D282" s="55">
        <v>10</v>
      </c>
      <c r="E282" s="56">
        <v>5.3265153936299999E-4</v>
      </c>
    </row>
    <row r="283" spans="2:5" ht="15" customHeight="1">
      <c r="B283" s="90"/>
      <c r="C283" s="54" t="s">
        <v>209</v>
      </c>
      <c r="D283" s="55">
        <v>1</v>
      </c>
      <c r="E283" s="56">
        <v>5.3265153936E-5</v>
      </c>
    </row>
    <row r="284" spans="2:5" ht="15" customHeight="1">
      <c r="B284" s="90"/>
      <c r="C284" s="54" t="s">
        <v>183</v>
      </c>
      <c r="D284" s="55">
        <v>1</v>
      </c>
      <c r="E284" s="56">
        <v>5.3265153936E-5</v>
      </c>
    </row>
    <row r="285" spans="2:5" ht="15" customHeight="1">
      <c r="B285" s="90"/>
      <c r="C285" s="54" t="s">
        <v>233</v>
      </c>
      <c r="D285" s="55">
        <v>1</v>
      </c>
      <c r="E285" s="56">
        <v>5.3265153936E-5</v>
      </c>
    </row>
    <row r="286" spans="2:5" ht="15" customHeight="1">
      <c r="B286" s="90"/>
      <c r="C286" s="54" t="s">
        <v>185</v>
      </c>
      <c r="D286" s="55">
        <v>1</v>
      </c>
      <c r="E286" s="56">
        <v>5.3265153936E-5</v>
      </c>
    </row>
    <row r="287" spans="2:5" ht="15" customHeight="1">
      <c r="B287" s="90"/>
      <c r="C287" s="54" t="s">
        <v>215</v>
      </c>
      <c r="D287" s="55">
        <v>2</v>
      </c>
      <c r="E287" s="56">
        <v>1.06530307873E-4</v>
      </c>
    </row>
    <row r="288" spans="2:5" ht="15" customHeight="1">
      <c r="B288" s="90"/>
      <c r="C288" s="54" t="s">
        <v>181</v>
      </c>
      <c r="D288" s="55">
        <v>4</v>
      </c>
      <c r="E288" s="56">
        <v>2.1306061574499999E-4</v>
      </c>
    </row>
    <row r="289" spans="2:5" ht="15" customHeight="1">
      <c r="B289" s="90"/>
      <c r="C289" s="54" t="s">
        <v>194</v>
      </c>
      <c r="D289" s="55">
        <v>1</v>
      </c>
      <c r="E289" s="56">
        <v>5.3265153936E-5</v>
      </c>
    </row>
    <row r="290" spans="2:5" ht="15" customHeight="1">
      <c r="B290" s="90"/>
      <c r="C290" s="54" t="s">
        <v>187</v>
      </c>
      <c r="D290" s="55">
        <v>8</v>
      </c>
      <c r="E290" s="56">
        <v>4.2612123148999997E-4</v>
      </c>
    </row>
    <row r="291" spans="2:5" ht="15" customHeight="1">
      <c r="B291" s="90"/>
      <c r="C291" s="54" t="s">
        <v>186</v>
      </c>
      <c r="D291" s="55">
        <v>3</v>
      </c>
      <c r="E291" s="56">
        <v>1.5979546180899999E-4</v>
      </c>
    </row>
    <row r="292" spans="2:5" ht="15" customHeight="1">
      <c r="B292" s="91"/>
      <c r="C292" s="65" t="s">
        <v>321</v>
      </c>
      <c r="D292" s="64">
        <v>40</v>
      </c>
      <c r="E292" s="66">
        <v>2.130606157452E-3</v>
      </c>
    </row>
    <row r="293" spans="2:5" ht="15" customHeight="1">
      <c r="B293" s="89" t="s">
        <v>46</v>
      </c>
      <c r="C293" s="54" t="s">
        <v>205</v>
      </c>
      <c r="D293" s="55">
        <v>7</v>
      </c>
      <c r="E293" s="56">
        <v>3.7285607755399997E-4</v>
      </c>
    </row>
    <row r="294" spans="2:5" ht="15" customHeight="1">
      <c r="B294" s="90"/>
      <c r="C294" s="54" t="s">
        <v>195</v>
      </c>
      <c r="D294" s="55">
        <v>10</v>
      </c>
      <c r="E294" s="56">
        <v>5.3265153936299999E-4</v>
      </c>
    </row>
    <row r="295" spans="2:5" ht="15" customHeight="1">
      <c r="B295" s="90"/>
      <c r="C295" s="54" t="s">
        <v>196</v>
      </c>
      <c r="D295" s="55">
        <v>28</v>
      </c>
      <c r="E295" s="56">
        <v>1.4914243102159999E-3</v>
      </c>
    </row>
    <row r="296" spans="2:5" ht="15" customHeight="1">
      <c r="B296" s="90"/>
      <c r="C296" s="54" t="s">
        <v>232</v>
      </c>
      <c r="D296" s="55">
        <v>4</v>
      </c>
      <c r="E296" s="56">
        <v>2.1306061574499999E-4</v>
      </c>
    </row>
    <row r="297" spans="2:5" ht="15" customHeight="1">
      <c r="B297" s="90"/>
      <c r="C297" s="54" t="s">
        <v>216</v>
      </c>
      <c r="D297" s="55">
        <v>6</v>
      </c>
      <c r="E297" s="56">
        <v>3.1959092361799997E-4</v>
      </c>
    </row>
    <row r="298" spans="2:5" ht="15" customHeight="1">
      <c r="B298" s="90"/>
      <c r="C298" s="54" t="s">
        <v>211</v>
      </c>
      <c r="D298" s="55">
        <v>7</v>
      </c>
      <c r="E298" s="56">
        <v>3.7285607755399997E-4</v>
      </c>
    </row>
    <row r="299" spans="2:5" ht="15" customHeight="1">
      <c r="B299" s="90"/>
      <c r="C299" s="54" t="s">
        <v>222</v>
      </c>
      <c r="D299" s="55">
        <v>42</v>
      </c>
      <c r="E299" s="56">
        <v>2.2371364653240001E-3</v>
      </c>
    </row>
    <row r="300" spans="2:5" ht="15" customHeight="1">
      <c r="B300" s="90"/>
      <c r="C300" s="54" t="s">
        <v>228</v>
      </c>
      <c r="D300" s="55">
        <v>10</v>
      </c>
      <c r="E300" s="56">
        <v>5.3265153936299999E-4</v>
      </c>
    </row>
    <row r="301" spans="2:5" ht="15" customHeight="1">
      <c r="B301" s="90"/>
      <c r="C301" s="54" t="s">
        <v>198</v>
      </c>
      <c r="D301" s="55">
        <v>34</v>
      </c>
      <c r="E301" s="56">
        <v>1.8110152338339999E-3</v>
      </c>
    </row>
    <row r="302" spans="2:5" ht="15" customHeight="1">
      <c r="B302" s="90"/>
      <c r="C302" s="54" t="s">
        <v>201</v>
      </c>
      <c r="D302" s="55">
        <v>30</v>
      </c>
      <c r="E302" s="56">
        <v>1.5979546180890001E-3</v>
      </c>
    </row>
    <row r="303" spans="2:5" ht="15" customHeight="1">
      <c r="B303" s="90"/>
      <c r="C303" s="54" t="s">
        <v>188</v>
      </c>
      <c r="D303" s="55">
        <v>29</v>
      </c>
      <c r="E303" s="56">
        <v>1.544689464153E-3</v>
      </c>
    </row>
    <row r="304" spans="2:5" ht="15" customHeight="1">
      <c r="B304" s="90"/>
      <c r="C304" s="54" t="s">
        <v>212</v>
      </c>
      <c r="D304" s="55">
        <v>7</v>
      </c>
      <c r="E304" s="56">
        <v>3.7285607755399997E-4</v>
      </c>
    </row>
    <row r="305" spans="2:5" ht="15" customHeight="1">
      <c r="B305" s="90"/>
      <c r="C305" s="54" t="s">
        <v>217</v>
      </c>
      <c r="D305" s="55">
        <v>11</v>
      </c>
      <c r="E305" s="56">
        <v>5.8591669329900004E-4</v>
      </c>
    </row>
    <row r="306" spans="2:5" ht="15" customHeight="1">
      <c r="B306" s="90"/>
      <c r="C306" s="54" t="s">
        <v>182</v>
      </c>
      <c r="D306" s="55">
        <v>400</v>
      </c>
      <c r="E306" s="56">
        <v>2.1306061574518E-2</v>
      </c>
    </row>
    <row r="307" spans="2:5" ht="15" customHeight="1">
      <c r="B307" s="90"/>
      <c r="C307" s="54" t="s">
        <v>225</v>
      </c>
      <c r="D307" s="55">
        <v>1</v>
      </c>
      <c r="E307" s="56">
        <v>5.3265153936E-5</v>
      </c>
    </row>
    <row r="308" spans="2:5" ht="15" customHeight="1">
      <c r="B308" s="90"/>
      <c r="C308" s="54" t="s">
        <v>223</v>
      </c>
      <c r="D308" s="55">
        <v>2</v>
      </c>
      <c r="E308" s="56">
        <v>1.06530307873E-4</v>
      </c>
    </row>
    <row r="309" spans="2:5" ht="15" customHeight="1">
      <c r="B309" s="90"/>
      <c r="C309" s="54" t="s">
        <v>184</v>
      </c>
      <c r="D309" s="55">
        <v>268</v>
      </c>
      <c r="E309" s="56">
        <v>1.4275061254927E-2</v>
      </c>
    </row>
    <row r="310" spans="2:5" ht="15" customHeight="1">
      <c r="B310" s="90"/>
      <c r="C310" s="54" t="s">
        <v>209</v>
      </c>
      <c r="D310" s="55">
        <v>9</v>
      </c>
      <c r="E310" s="56">
        <v>4.7938638542699999E-4</v>
      </c>
    </row>
    <row r="311" spans="2:5" ht="15" customHeight="1">
      <c r="B311" s="90"/>
      <c r="C311" s="54" t="s">
        <v>183</v>
      </c>
      <c r="D311" s="55">
        <v>101</v>
      </c>
      <c r="E311" s="56">
        <v>5.3797805475660002E-3</v>
      </c>
    </row>
    <row r="312" spans="2:5" ht="15" customHeight="1">
      <c r="B312" s="90"/>
      <c r="C312" s="54" t="s">
        <v>206</v>
      </c>
      <c r="D312" s="55">
        <v>85</v>
      </c>
      <c r="E312" s="56">
        <v>4.5275380845849998E-3</v>
      </c>
    </row>
    <row r="313" spans="2:5" ht="15" customHeight="1">
      <c r="B313" s="90"/>
      <c r="C313" s="54" t="s">
        <v>197</v>
      </c>
      <c r="D313" s="55">
        <v>8</v>
      </c>
      <c r="E313" s="56">
        <v>4.2612123148999997E-4</v>
      </c>
    </row>
    <row r="314" spans="2:5" ht="15" customHeight="1">
      <c r="B314" s="90"/>
      <c r="C314" s="54" t="s">
        <v>246</v>
      </c>
      <c r="D314" s="55">
        <v>1</v>
      </c>
      <c r="E314" s="56">
        <v>5.3265153936E-5</v>
      </c>
    </row>
    <row r="315" spans="2:5" ht="15" customHeight="1">
      <c r="B315" s="90"/>
      <c r="C315" s="54" t="s">
        <v>233</v>
      </c>
      <c r="D315" s="55">
        <v>3</v>
      </c>
      <c r="E315" s="56">
        <v>1.5979546180899999E-4</v>
      </c>
    </row>
    <row r="316" spans="2:5" ht="15" customHeight="1">
      <c r="B316" s="90"/>
      <c r="C316" s="54" t="s">
        <v>218</v>
      </c>
      <c r="D316" s="55">
        <v>7</v>
      </c>
      <c r="E316" s="56">
        <v>3.7285607755399997E-4</v>
      </c>
    </row>
    <row r="317" spans="2:5" ht="15" customHeight="1">
      <c r="B317" s="90"/>
      <c r="C317" s="54" t="s">
        <v>214</v>
      </c>
      <c r="D317" s="55">
        <v>8</v>
      </c>
      <c r="E317" s="56">
        <v>4.2612123148999997E-4</v>
      </c>
    </row>
    <row r="318" spans="2:5" ht="15" customHeight="1">
      <c r="B318" s="90"/>
      <c r="C318" s="54" t="s">
        <v>193</v>
      </c>
      <c r="D318" s="55">
        <v>3</v>
      </c>
      <c r="E318" s="56">
        <v>1.5979546180899999E-4</v>
      </c>
    </row>
    <row r="319" spans="2:5" ht="15" customHeight="1">
      <c r="B319" s="90"/>
      <c r="C319" s="54" t="s">
        <v>207</v>
      </c>
      <c r="D319" s="55">
        <v>32</v>
      </c>
      <c r="E319" s="56">
        <v>1.704484925961E-3</v>
      </c>
    </row>
    <row r="320" spans="2:5" ht="15" customHeight="1">
      <c r="B320" s="90"/>
      <c r="C320" s="54" t="s">
        <v>247</v>
      </c>
      <c r="D320" s="55">
        <v>2</v>
      </c>
      <c r="E320" s="56">
        <v>1.06530307873E-4</v>
      </c>
    </row>
    <row r="321" spans="2:5" ht="15" customHeight="1">
      <c r="B321" s="90"/>
      <c r="C321" s="54" t="s">
        <v>189</v>
      </c>
      <c r="D321" s="55">
        <v>51</v>
      </c>
      <c r="E321" s="56">
        <v>2.7165228507509999E-3</v>
      </c>
    </row>
    <row r="322" spans="2:5" ht="15" customHeight="1">
      <c r="B322" s="90"/>
      <c r="C322" s="54" t="s">
        <v>219</v>
      </c>
      <c r="D322" s="55">
        <v>65</v>
      </c>
      <c r="E322" s="56">
        <v>3.4622350058590001E-3</v>
      </c>
    </row>
    <row r="323" spans="2:5" ht="15" customHeight="1">
      <c r="B323" s="90"/>
      <c r="C323" s="54" t="s">
        <v>185</v>
      </c>
      <c r="D323" s="55">
        <v>146</v>
      </c>
      <c r="E323" s="56">
        <v>7.7767124746989996E-3</v>
      </c>
    </row>
    <row r="324" spans="2:5" ht="15" customHeight="1">
      <c r="B324" s="90"/>
      <c r="C324" s="54" t="s">
        <v>244</v>
      </c>
      <c r="D324" s="55">
        <v>3</v>
      </c>
      <c r="E324" s="56">
        <v>1.5979546180899999E-4</v>
      </c>
    </row>
    <row r="325" spans="2:5" ht="15" customHeight="1">
      <c r="B325" s="90"/>
      <c r="C325" s="54" t="s">
        <v>213</v>
      </c>
      <c r="D325" s="55">
        <v>69</v>
      </c>
      <c r="E325" s="56">
        <v>3.6752956216039999E-3</v>
      </c>
    </row>
    <row r="326" spans="2:5" ht="15" customHeight="1">
      <c r="B326" s="90"/>
      <c r="C326" s="54" t="s">
        <v>215</v>
      </c>
      <c r="D326" s="55">
        <v>13</v>
      </c>
      <c r="E326" s="56">
        <v>6.92447001172E-4</v>
      </c>
    </row>
    <row r="327" spans="2:5" ht="15" customHeight="1">
      <c r="B327" s="90"/>
      <c r="C327" s="54" t="s">
        <v>190</v>
      </c>
      <c r="D327" s="55">
        <v>25</v>
      </c>
      <c r="E327" s="56">
        <v>1.3316288484070001E-3</v>
      </c>
    </row>
    <row r="328" spans="2:5" ht="15" customHeight="1">
      <c r="B328" s="90"/>
      <c r="C328" s="54" t="s">
        <v>181</v>
      </c>
      <c r="D328" s="55">
        <v>453</v>
      </c>
      <c r="E328" s="56">
        <v>2.4129114733141999E-2</v>
      </c>
    </row>
    <row r="329" spans="2:5" ht="15" customHeight="1">
      <c r="B329" s="90"/>
      <c r="C329" s="54" t="s">
        <v>235</v>
      </c>
      <c r="D329" s="55">
        <v>3</v>
      </c>
      <c r="E329" s="56">
        <v>1.5979546180899999E-4</v>
      </c>
    </row>
    <row r="330" spans="2:5" ht="15" customHeight="1">
      <c r="B330" s="90"/>
      <c r="C330" s="54" t="s">
        <v>236</v>
      </c>
      <c r="D330" s="55">
        <v>2</v>
      </c>
      <c r="E330" s="56">
        <v>1.06530307873E-4</v>
      </c>
    </row>
    <row r="331" spans="2:5" ht="15" customHeight="1">
      <c r="B331" s="90"/>
      <c r="C331" s="54" t="s">
        <v>192</v>
      </c>
      <c r="D331" s="55">
        <v>104</v>
      </c>
      <c r="E331" s="56">
        <v>5.539576009375E-3</v>
      </c>
    </row>
    <row r="332" spans="2:5" ht="15" customHeight="1">
      <c r="B332" s="90"/>
      <c r="C332" s="54" t="s">
        <v>229</v>
      </c>
      <c r="D332" s="55">
        <v>12</v>
      </c>
      <c r="E332" s="56">
        <v>6.3918184723599995E-4</v>
      </c>
    </row>
    <row r="333" spans="2:5" ht="15" customHeight="1">
      <c r="B333" s="90"/>
      <c r="C333" s="54" t="s">
        <v>234</v>
      </c>
      <c r="D333" s="55">
        <v>2</v>
      </c>
      <c r="E333" s="56">
        <v>1.06530307873E-4</v>
      </c>
    </row>
    <row r="334" spans="2:5" ht="15" customHeight="1">
      <c r="B334" s="90"/>
      <c r="C334" s="54" t="s">
        <v>191</v>
      </c>
      <c r="D334" s="55">
        <v>13</v>
      </c>
      <c r="E334" s="56">
        <v>6.92447001172E-4</v>
      </c>
    </row>
    <row r="335" spans="2:5" ht="15" customHeight="1">
      <c r="B335" s="90"/>
      <c r="C335" s="54" t="s">
        <v>240</v>
      </c>
      <c r="D335" s="55">
        <v>2</v>
      </c>
      <c r="E335" s="56">
        <v>1.06530307873E-4</v>
      </c>
    </row>
    <row r="336" spans="2:5" ht="15" customHeight="1">
      <c r="B336" s="90"/>
      <c r="C336" s="54" t="s">
        <v>245</v>
      </c>
      <c r="D336" s="55">
        <v>3</v>
      </c>
      <c r="E336" s="56">
        <v>1.5979546180899999E-4</v>
      </c>
    </row>
    <row r="337" spans="2:5" ht="15" customHeight="1">
      <c r="B337" s="90"/>
      <c r="C337" s="54" t="s">
        <v>194</v>
      </c>
      <c r="D337" s="55">
        <v>57</v>
      </c>
      <c r="E337" s="56">
        <v>3.0361137743689999E-3</v>
      </c>
    </row>
    <row r="338" spans="2:5" ht="15" customHeight="1">
      <c r="B338" s="90"/>
      <c r="C338" s="54" t="s">
        <v>226</v>
      </c>
      <c r="D338" s="55">
        <v>2</v>
      </c>
      <c r="E338" s="56">
        <v>1.06530307873E-4</v>
      </c>
    </row>
    <row r="339" spans="2:5" ht="15" customHeight="1">
      <c r="B339" s="90"/>
      <c r="C339" s="54" t="s">
        <v>187</v>
      </c>
      <c r="D339" s="55">
        <v>84</v>
      </c>
      <c r="E339" s="56">
        <v>4.4742729306490002E-3</v>
      </c>
    </row>
    <row r="340" spans="2:5" ht="15" customHeight="1">
      <c r="B340" s="90"/>
      <c r="C340" s="54" t="s">
        <v>241</v>
      </c>
      <c r="D340" s="55">
        <v>2</v>
      </c>
      <c r="E340" s="56">
        <v>1.06530307873E-4</v>
      </c>
    </row>
    <row r="341" spans="2:5" ht="15" customHeight="1">
      <c r="B341" s="90"/>
      <c r="C341" s="54" t="s">
        <v>186</v>
      </c>
      <c r="D341" s="55">
        <v>1</v>
      </c>
      <c r="E341" s="56">
        <v>5.3265153936E-5</v>
      </c>
    </row>
    <row r="342" spans="2:5" ht="15" customHeight="1">
      <c r="B342" s="90"/>
      <c r="C342" s="54" t="s">
        <v>203</v>
      </c>
      <c r="D342" s="55">
        <v>2</v>
      </c>
      <c r="E342" s="56">
        <v>1.06530307873E-4</v>
      </c>
    </row>
    <row r="343" spans="2:5" ht="15" customHeight="1">
      <c r="B343" s="90"/>
      <c r="C343" s="54" t="s">
        <v>220</v>
      </c>
      <c r="D343" s="55">
        <v>11</v>
      </c>
      <c r="E343" s="56">
        <v>5.8591669329900004E-4</v>
      </c>
    </row>
    <row r="344" spans="2:5" ht="15" customHeight="1">
      <c r="B344" s="90"/>
      <c r="C344" s="54" t="s">
        <v>221</v>
      </c>
      <c r="D344" s="55">
        <v>2</v>
      </c>
      <c r="E344" s="56">
        <v>1.06530307873E-4</v>
      </c>
    </row>
    <row r="345" spans="2:5" ht="15" customHeight="1">
      <c r="B345" s="90"/>
      <c r="C345" s="54" t="s">
        <v>237</v>
      </c>
      <c r="D345" s="55">
        <v>11</v>
      </c>
      <c r="E345" s="56">
        <v>5.8591669329900004E-4</v>
      </c>
    </row>
    <row r="346" spans="2:5" ht="15" customHeight="1">
      <c r="B346" s="90"/>
      <c r="C346" s="54" t="s">
        <v>224</v>
      </c>
      <c r="D346" s="55">
        <v>7</v>
      </c>
      <c r="E346" s="56">
        <v>3.7285607755399997E-4</v>
      </c>
    </row>
    <row r="347" spans="2:5" ht="15" customHeight="1">
      <c r="B347" s="90"/>
      <c r="C347" s="54" t="s">
        <v>230</v>
      </c>
      <c r="D347" s="55">
        <v>2</v>
      </c>
      <c r="E347" s="56">
        <v>1.06530307873E-4</v>
      </c>
    </row>
    <row r="348" spans="2:5" ht="15" customHeight="1">
      <c r="B348" s="90"/>
      <c r="C348" s="54" t="s">
        <v>208</v>
      </c>
      <c r="D348" s="55">
        <v>9</v>
      </c>
      <c r="E348" s="56">
        <v>4.7938638542699999E-4</v>
      </c>
    </row>
    <row r="349" spans="2:5" ht="15" customHeight="1">
      <c r="B349" s="90"/>
      <c r="C349" s="54" t="s">
        <v>200</v>
      </c>
      <c r="D349" s="55">
        <v>9</v>
      </c>
      <c r="E349" s="56">
        <v>4.7938638542699999E-4</v>
      </c>
    </row>
    <row r="350" spans="2:5" ht="15" customHeight="1">
      <c r="B350" s="90"/>
      <c r="C350" s="54" t="s">
        <v>227</v>
      </c>
      <c r="D350" s="55">
        <v>7</v>
      </c>
      <c r="E350" s="56">
        <v>3.7285607755399997E-4</v>
      </c>
    </row>
    <row r="351" spans="2:5" ht="15" customHeight="1">
      <c r="B351" s="90"/>
      <c r="C351" s="54" t="s">
        <v>204</v>
      </c>
      <c r="D351" s="55">
        <v>5</v>
      </c>
      <c r="E351" s="56">
        <v>2.6632576968100001E-4</v>
      </c>
    </row>
    <row r="352" spans="2:5" ht="15" customHeight="1">
      <c r="B352" s="90"/>
      <c r="C352" s="54" t="s">
        <v>202</v>
      </c>
      <c r="D352" s="55">
        <v>13</v>
      </c>
      <c r="E352" s="56">
        <v>6.92447001172E-4</v>
      </c>
    </row>
    <row r="353" spans="2:5" ht="15" customHeight="1">
      <c r="B353" s="90"/>
      <c r="C353" s="54" t="s">
        <v>231</v>
      </c>
      <c r="D353" s="55">
        <v>20</v>
      </c>
      <c r="E353" s="56">
        <v>1.065303078726E-3</v>
      </c>
    </row>
    <row r="354" spans="2:5" ht="15" customHeight="1">
      <c r="B354" s="90"/>
      <c r="C354" s="54" t="s">
        <v>242</v>
      </c>
      <c r="D354" s="55">
        <v>4</v>
      </c>
      <c r="E354" s="56">
        <v>2.1306061574499999E-4</v>
      </c>
    </row>
    <row r="355" spans="2:5" ht="15" customHeight="1">
      <c r="B355" s="90"/>
      <c r="C355" s="54" t="s">
        <v>239</v>
      </c>
      <c r="D355" s="55">
        <v>12</v>
      </c>
      <c r="E355" s="56">
        <v>6.3918184723599995E-4</v>
      </c>
    </row>
    <row r="356" spans="2:5" ht="15" customHeight="1">
      <c r="B356" s="90"/>
      <c r="C356" s="54" t="s">
        <v>199</v>
      </c>
      <c r="D356" s="55">
        <v>4</v>
      </c>
      <c r="E356" s="56">
        <v>2.1306061574499999E-4</v>
      </c>
    </row>
    <row r="357" spans="2:5" ht="15" customHeight="1">
      <c r="B357" s="91"/>
      <c r="C357" s="65" t="s">
        <v>321</v>
      </c>
      <c r="D357" s="64">
        <v>2385</v>
      </c>
      <c r="E357" s="66">
        <v>0.127037392138063</v>
      </c>
    </row>
    <row r="358" spans="2:5" ht="15" customHeight="1">
      <c r="B358" s="89" t="s">
        <v>75</v>
      </c>
      <c r="C358" s="54" t="s">
        <v>195</v>
      </c>
      <c r="D358" s="55">
        <v>1</v>
      </c>
      <c r="E358" s="56">
        <v>5.3265153936E-5</v>
      </c>
    </row>
    <row r="359" spans="2:5" ht="15" customHeight="1">
      <c r="B359" s="90"/>
      <c r="C359" s="54" t="s">
        <v>196</v>
      </c>
      <c r="D359" s="55">
        <v>2</v>
      </c>
      <c r="E359" s="56">
        <v>1.06530307873E-4</v>
      </c>
    </row>
    <row r="360" spans="2:5" ht="15" customHeight="1">
      <c r="B360" s="90"/>
      <c r="C360" s="54" t="s">
        <v>211</v>
      </c>
      <c r="D360" s="55">
        <v>1</v>
      </c>
      <c r="E360" s="56">
        <v>5.3265153936E-5</v>
      </c>
    </row>
    <row r="361" spans="2:5" ht="15" customHeight="1">
      <c r="B361" s="90"/>
      <c r="C361" s="54" t="s">
        <v>201</v>
      </c>
      <c r="D361" s="55">
        <v>1</v>
      </c>
      <c r="E361" s="56">
        <v>5.3265153936E-5</v>
      </c>
    </row>
    <row r="362" spans="2:5" ht="15" customHeight="1">
      <c r="B362" s="90"/>
      <c r="C362" s="54" t="s">
        <v>188</v>
      </c>
      <c r="D362" s="55">
        <v>2</v>
      </c>
      <c r="E362" s="56">
        <v>1.06530307873E-4</v>
      </c>
    </row>
    <row r="363" spans="2:5" ht="15" customHeight="1">
      <c r="B363" s="90"/>
      <c r="C363" s="54" t="s">
        <v>182</v>
      </c>
      <c r="D363" s="55">
        <v>22</v>
      </c>
      <c r="E363" s="56">
        <v>1.1718333865980001E-3</v>
      </c>
    </row>
    <row r="364" spans="2:5" ht="15" customHeight="1">
      <c r="B364" s="90"/>
      <c r="C364" s="54" t="s">
        <v>184</v>
      </c>
      <c r="D364" s="55">
        <v>2</v>
      </c>
      <c r="E364" s="56">
        <v>1.06530307873E-4</v>
      </c>
    </row>
    <row r="365" spans="2:5" ht="15" customHeight="1">
      <c r="B365" s="90"/>
      <c r="C365" s="54" t="s">
        <v>183</v>
      </c>
      <c r="D365" s="55">
        <v>9</v>
      </c>
      <c r="E365" s="56">
        <v>4.7938638542699999E-4</v>
      </c>
    </row>
    <row r="366" spans="2:5" ht="15" customHeight="1">
      <c r="B366" s="90"/>
      <c r="C366" s="54" t="s">
        <v>206</v>
      </c>
      <c r="D366" s="55">
        <v>3</v>
      </c>
      <c r="E366" s="56">
        <v>1.5979546180899999E-4</v>
      </c>
    </row>
    <row r="367" spans="2:5" ht="15" customHeight="1">
      <c r="B367" s="90"/>
      <c r="C367" s="54" t="s">
        <v>197</v>
      </c>
      <c r="D367" s="55">
        <v>1</v>
      </c>
      <c r="E367" s="56">
        <v>5.3265153936E-5</v>
      </c>
    </row>
    <row r="368" spans="2:5" ht="15" customHeight="1">
      <c r="B368" s="90"/>
      <c r="C368" s="54" t="s">
        <v>246</v>
      </c>
      <c r="D368" s="55">
        <v>1</v>
      </c>
      <c r="E368" s="56">
        <v>5.3265153936E-5</v>
      </c>
    </row>
    <row r="369" spans="2:5" ht="15" customHeight="1">
      <c r="B369" s="90"/>
      <c r="C369" s="54" t="s">
        <v>193</v>
      </c>
      <c r="D369" s="55">
        <v>1</v>
      </c>
      <c r="E369" s="56">
        <v>5.3265153936E-5</v>
      </c>
    </row>
    <row r="370" spans="2:5" ht="15" customHeight="1">
      <c r="B370" s="90"/>
      <c r="C370" s="54" t="s">
        <v>207</v>
      </c>
      <c r="D370" s="55">
        <v>4</v>
      </c>
      <c r="E370" s="56">
        <v>2.1306061574499999E-4</v>
      </c>
    </row>
    <row r="371" spans="2:5" ht="15" customHeight="1">
      <c r="B371" s="90"/>
      <c r="C371" s="54" t="s">
        <v>185</v>
      </c>
      <c r="D371" s="55">
        <v>5</v>
      </c>
      <c r="E371" s="56">
        <v>2.6632576968100001E-4</v>
      </c>
    </row>
    <row r="372" spans="2:5" ht="15" customHeight="1">
      <c r="B372" s="90"/>
      <c r="C372" s="54" t="s">
        <v>190</v>
      </c>
      <c r="D372" s="55">
        <v>3</v>
      </c>
      <c r="E372" s="56">
        <v>1.5979546180899999E-4</v>
      </c>
    </row>
    <row r="373" spans="2:5" ht="15" customHeight="1">
      <c r="B373" s="90"/>
      <c r="C373" s="54" t="s">
        <v>181</v>
      </c>
      <c r="D373" s="55">
        <v>25</v>
      </c>
      <c r="E373" s="56">
        <v>1.3316288484070001E-3</v>
      </c>
    </row>
    <row r="374" spans="2:5" ht="15" customHeight="1">
      <c r="B374" s="90"/>
      <c r="C374" s="54" t="s">
        <v>187</v>
      </c>
      <c r="D374" s="55">
        <v>2</v>
      </c>
      <c r="E374" s="56">
        <v>1.06530307873E-4</v>
      </c>
    </row>
    <row r="375" spans="2:5" ht="15" customHeight="1">
      <c r="B375" s="90"/>
      <c r="C375" s="54" t="s">
        <v>208</v>
      </c>
      <c r="D375" s="55">
        <v>1</v>
      </c>
      <c r="E375" s="56">
        <v>5.3265153936E-5</v>
      </c>
    </row>
    <row r="376" spans="2:5" ht="15" customHeight="1">
      <c r="B376" s="90"/>
      <c r="C376" s="54" t="s">
        <v>204</v>
      </c>
      <c r="D376" s="55">
        <v>1</v>
      </c>
      <c r="E376" s="56">
        <v>5.3265153936E-5</v>
      </c>
    </row>
    <row r="377" spans="2:5" ht="15" customHeight="1">
      <c r="B377" s="90"/>
      <c r="C377" s="54" t="s">
        <v>202</v>
      </c>
      <c r="D377" s="55">
        <v>3</v>
      </c>
      <c r="E377" s="56">
        <v>1.5979546180899999E-4</v>
      </c>
    </row>
    <row r="378" spans="2:5" ht="15" customHeight="1">
      <c r="B378" s="90"/>
      <c r="C378" s="54" t="s">
        <v>231</v>
      </c>
      <c r="D378" s="55">
        <v>1</v>
      </c>
      <c r="E378" s="56">
        <v>5.3265153936E-5</v>
      </c>
    </row>
    <row r="379" spans="2:5" ht="15" customHeight="1">
      <c r="B379" s="91"/>
      <c r="C379" s="65" t="s">
        <v>321</v>
      </c>
      <c r="D379" s="64">
        <v>91</v>
      </c>
      <c r="E379" s="66">
        <v>4.8471290082030003E-3</v>
      </c>
    </row>
    <row r="380" spans="2:5" ht="15" customHeight="1">
      <c r="B380" s="89" t="s">
        <v>94</v>
      </c>
      <c r="C380" s="54" t="s">
        <v>185</v>
      </c>
      <c r="D380" s="55">
        <v>1</v>
      </c>
      <c r="E380" s="56">
        <v>5.3265153936E-5</v>
      </c>
    </row>
    <row r="381" spans="2:5" ht="15" customHeight="1">
      <c r="B381" s="90"/>
      <c r="C381" s="54" t="s">
        <v>181</v>
      </c>
      <c r="D381" s="55">
        <v>1</v>
      </c>
      <c r="E381" s="56">
        <v>5.3265153936E-5</v>
      </c>
    </row>
    <row r="382" spans="2:5" ht="15" customHeight="1">
      <c r="B382" s="90"/>
      <c r="C382" s="54" t="s">
        <v>192</v>
      </c>
      <c r="D382" s="55">
        <v>1</v>
      </c>
      <c r="E382" s="56">
        <v>5.3265153936E-5</v>
      </c>
    </row>
    <row r="383" spans="2:5" ht="15" customHeight="1">
      <c r="B383" s="90"/>
      <c r="C383" s="54" t="s">
        <v>187</v>
      </c>
      <c r="D383" s="55">
        <v>1</v>
      </c>
      <c r="E383" s="56">
        <v>5.3265153936E-5</v>
      </c>
    </row>
    <row r="384" spans="2:5" ht="15" customHeight="1">
      <c r="B384" s="91"/>
      <c r="C384" s="65" t="s">
        <v>321</v>
      </c>
      <c r="D384" s="64">
        <v>4</v>
      </c>
      <c r="E384" s="66">
        <v>2.1306061574499999E-4</v>
      </c>
    </row>
    <row r="385" spans="2:5" ht="15" customHeight="1">
      <c r="B385" s="89" t="s">
        <v>96</v>
      </c>
      <c r="C385" s="54" t="s">
        <v>181</v>
      </c>
      <c r="D385" s="55">
        <v>1</v>
      </c>
      <c r="E385" s="56">
        <v>5.3265153936E-5</v>
      </c>
    </row>
    <row r="386" spans="2:5" ht="15" customHeight="1">
      <c r="B386" s="91"/>
      <c r="C386" s="65" t="s">
        <v>321</v>
      </c>
      <c r="D386" s="64">
        <v>1</v>
      </c>
      <c r="E386" s="66">
        <v>5.3265153936E-5</v>
      </c>
    </row>
    <row r="387" spans="2:5" ht="15" customHeight="1">
      <c r="B387" s="89" t="s">
        <v>45</v>
      </c>
      <c r="C387" s="54" t="s">
        <v>205</v>
      </c>
      <c r="D387" s="55">
        <v>16</v>
      </c>
      <c r="E387" s="56">
        <v>8.5224246298100002E-4</v>
      </c>
    </row>
    <row r="388" spans="2:5" ht="15" customHeight="1">
      <c r="B388" s="90"/>
      <c r="C388" s="54" t="s">
        <v>195</v>
      </c>
      <c r="D388" s="55">
        <v>10</v>
      </c>
      <c r="E388" s="56">
        <v>5.3265153936299999E-4</v>
      </c>
    </row>
    <row r="389" spans="2:5" ht="15" customHeight="1">
      <c r="B389" s="90"/>
      <c r="C389" s="54" t="s">
        <v>196</v>
      </c>
      <c r="D389" s="55">
        <v>12</v>
      </c>
      <c r="E389" s="56">
        <v>6.3918184723599995E-4</v>
      </c>
    </row>
    <row r="390" spans="2:5" ht="15" customHeight="1">
      <c r="B390" s="90"/>
      <c r="C390" s="54" t="s">
        <v>232</v>
      </c>
      <c r="D390" s="55">
        <v>2</v>
      </c>
      <c r="E390" s="56">
        <v>1.06530307873E-4</v>
      </c>
    </row>
    <row r="391" spans="2:5" ht="15" customHeight="1">
      <c r="B391" s="90"/>
      <c r="C391" s="54" t="s">
        <v>216</v>
      </c>
      <c r="D391" s="55">
        <v>8</v>
      </c>
      <c r="E391" s="56">
        <v>4.2612123148999997E-4</v>
      </c>
    </row>
    <row r="392" spans="2:5" ht="15" customHeight="1">
      <c r="B392" s="90"/>
      <c r="C392" s="54" t="s">
        <v>211</v>
      </c>
      <c r="D392" s="55">
        <v>7</v>
      </c>
      <c r="E392" s="56">
        <v>3.7285607755399997E-4</v>
      </c>
    </row>
    <row r="393" spans="2:5" ht="15" customHeight="1">
      <c r="B393" s="90"/>
      <c r="C393" s="54" t="s">
        <v>222</v>
      </c>
      <c r="D393" s="55">
        <v>4</v>
      </c>
      <c r="E393" s="56">
        <v>2.1306061574499999E-4</v>
      </c>
    </row>
    <row r="394" spans="2:5" ht="15" customHeight="1">
      <c r="B394" s="90"/>
      <c r="C394" s="54" t="s">
        <v>198</v>
      </c>
      <c r="D394" s="55">
        <v>5</v>
      </c>
      <c r="E394" s="56">
        <v>2.6632576968100001E-4</v>
      </c>
    </row>
    <row r="395" spans="2:5" ht="15" customHeight="1">
      <c r="B395" s="90"/>
      <c r="C395" s="54" t="s">
        <v>201</v>
      </c>
      <c r="D395" s="55">
        <v>17</v>
      </c>
      <c r="E395" s="56">
        <v>9.0550761691699996E-4</v>
      </c>
    </row>
    <row r="396" spans="2:5" ht="15" customHeight="1">
      <c r="B396" s="90"/>
      <c r="C396" s="54" t="s">
        <v>188</v>
      </c>
      <c r="D396" s="55">
        <v>35</v>
      </c>
      <c r="E396" s="56">
        <v>1.86428038777E-3</v>
      </c>
    </row>
    <row r="397" spans="2:5" ht="15" customHeight="1">
      <c r="B397" s="90"/>
      <c r="C397" s="54" t="s">
        <v>212</v>
      </c>
      <c r="D397" s="55">
        <v>1</v>
      </c>
      <c r="E397" s="56">
        <v>5.3265153936E-5</v>
      </c>
    </row>
    <row r="398" spans="2:5" ht="15" customHeight="1">
      <c r="B398" s="90"/>
      <c r="C398" s="54" t="s">
        <v>217</v>
      </c>
      <c r="D398" s="55">
        <v>6</v>
      </c>
      <c r="E398" s="56">
        <v>3.1959092361799997E-4</v>
      </c>
    </row>
    <row r="399" spans="2:5" ht="15" customHeight="1">
      <c r="B399" s="90"/>
      <c r="C399" s="54" t="s">
        <v>182</v>
      </c>
      <c r="D399" s="55">
        <v>277</v>
      </c>
      <c r="E399" s="56">
        <v>1.4754447640353999E-2</v>
      </c>
    </row>
    <row r="400" spans="2:5" ht="15" customHeight="1">
      <c r="B400" s="90"/>
      <c r="C400" s="54" t="s">
        <v>225</v>
      </c>
      <c r="D400" s="55">
        <v>4</v>
      </c>
      <c r="E400" s="56">
        <v>2.1306061574499999E-4</v>
      </c>
    </row>
    <row r="401" spans="2:5" ht="15" customHeight="1">
      <c r="B401" s="90"/>
      <c r="C401" s="54" t="s">
        <v>223</v>
      </c>
      <c r="D401" s="55">
        <v>2</v>
      </c>
      <c r="E401" s="56">
        <v>1.06530307873E-4</v>
      </c>
    </row>
    <row r="402" spans="2:5" ht="15" customHeight="1">
      <c r="B402" s="90"/>
      <c r="C402" s="54" t="s">
        <v>184</v>
      </c>
      <c r="D402" s="55">
        <v>74</v>
      </c>
      <c r="E402" s="56">
        <v>3.9416213912860003E-3</v>
      </c>
    </row>
    <row r="403" spans="2:5" ht="15" customHeight="1">
      <c r="B403" s="90"/>
      <c r="C403" s="54" t="s">
        <v>209</v>
      </c>
      <c r="D403" s="55">
        <v>1</v>
      </c>
      <c r="E403" s="56">
        <v>5.3265153936E-5</v>
      </c>
    </row>
    <row r="404" spans="2:5" ht="15" customHeight="1">
      <c r="B404" s="90"/>
      <c r="C404" s="54" t="s">
        <v>183</v>
      </c>
      <c r="D404" s="55">
        <v>128</v>
      </c>
      <c r="E404" s="56">
        <v>6.817939703846E-3</v>
      </c>
    </row>
    <row r="405" spans="2:5" ht="15" customHeight="1">
      <c r="B405" s="90"/>
      <c r="C405" s="54" t="s">
        <v>206</v>
      </c>
      <c r="D405" s="55">
        <v>1</v>
      </c>
      <c r="E405" s="56">
        <v>5.3265153936E-5</v>
      </c>
    </row>
    <row r="406" spans="2:5" ht="15" customHeight="1">
      <c r="B406" s="90"/>
      <c r="C406" s="54" t="s">
        <v>197</v>
      </c>
      <c r="D406" s="55">
        <v>1</v>
      </c>
      <c r="E406" s="56">
        <v>5.3265153936E-5</v>
      </c>
    </row>
    <row r="407" spans="2:5" ht="15" customHeight="1">
      <c r="B407" s="90"/>
      <c r="C407" s="54" t="s">
        <v>233</v>
      </c>
      <c r="D407" s="55">
        <v>4</v>
      </c>
      <c r="E407" s="56">
        <v>2.1306061574499999E-4</v>
      </c>
    </row>
    <row r="408" spans="2:5" ht="15" customHeight="1">
      <c r="B408" s="90"/>
      <c r="C408" s="54" t="s">
        <v>218</v>
      </c>
      <c r="D408" s="55">
        <v>1</v>
      </c>
      <c r="E408" s="56">
        <v>5.3265153936E-5</v>
      </c>
    </row>
    <row r="409" spans="2:5" ht="15" customHeight="1">
      <c r="B409" s="90"/>
      <c r="C409" s="54" t="s">
        <v>214</v>
      </c>
      <c r="D409" s="55">
        <v>4</v>
      </c>
      <c r="E409" s="56">
        <v>2.1306061574499999E-4</v>
      </c>
    </row>
    <row r="410" spans="2:5" ht="15" customHeight="1">
      <c r="B410" s="90"/>
      <c r="C410" s="54" t="s">
        <v>193</v>
      </c>
      <c r="D410" s="55">
        <v>40</v>
      </c>
      <c r="E410" s="56">
        <v>2.130606157452E-3</v>
      </c>
    </row>
    <row r="411" spans="2:5" ht="15" customHeight="1">
      <c r="B411" s="90"/>
      <c r="C411" s="54" t="s">
        <v>207</v>
      </c>
      <c r="D411" s="55">
        <v>4</v>
      </c>
      <c r="E411" s="56">
        <v>2.1306061574499999E-4</v>
      </c>
    </row>
    <row r="412" spans="2:5" ht="15" customHeight="1">
      <c r="B412" s="90"/>
      <c r="C412" s="54" t="s">
        <v>189</v>
      </c>
      <c r="D412" s="55">
        <v>16</v>
      </c>
      <c r="E412" s="56">
        <v>8.5224246298100002E-4</v>
      </c>
    </row>
    <row r="413" spans="2:5" ht="15" customHeight="1">
      <c r="B413" s="90"/>
      <c r="C413" s="54" t="s">
        <v>219</v>
      </c>
      <c r="D413" s="55">
        <v>4</v>
      </c>
      <c r="E413" s="56">
        <v>2.1306061574499999E-4</v>
      </c>
    </row>
    <row r="414" spans="2:5" ht="15" customHeight="1">
      <c r="B414" s="90"/>
      <c r="C414" s="54" t="s">
        <v>185</v>
      </c>
      <c r="D414" s="55">
        <v>72</v>
      </c>
      <c r="E414" s="56">
        <v>3.8350910834130001E-3</v>
      </c>
    </row>
    <row r="415" spans="2:5" ht="15" customHeight="1">
      <c r="B415" s="90"/>
      <c r="C415" s="54" t="s">
        <v>244</v>
      </c>
      <c r="D415" s="55">
        <v>1</v>
      </c>
      <c r="E415" s="56">
        <v>5.3265153936E-5</v>
      </c>
    </row>
    <row r="416" spans="2:5" ht="15" customHeight="1">
      <c r="B416" s="90"/>
      <c r="C416" s="54" t="s">
        <v>213</v>
      </c>
      <c r="D416" s="55">
        <v>4</v>
      </c>
      <c r="E416" s="56">
        <v>2.1306061574499999E-4</v>
      </c>
    </row>
    <row r="417" spans="2:5" ht="15" customHeight="1">
      <c r="B417" s="90"/>
      <c r="C417" s="54" t="s">
        <v>215</v>
      </c>
      <c r="D417" s="55">
        <v>15</v>
      </c>
      <c r="E417" s="56">
        <v>7.98977309044E-4</v>
      </c>
    </row>
    <row r="418" spans="2:5" ht="15" customHeight="1">
      <c r="B418" s="90"/>
      <c r="C418" s="54" t="s">
        <v>190</v>
      </c>
      <c r="D418" s="55">
        <v>21</v>
      </c>
      <c r="E418" s="56">
        <v>1.118568232662E-3</v>
      </c>
    </row>
    <row r="419" spans="2:5" ht="15" customHeight="1">
      <c r="B419" s="90"/>
      <c r="C419" s="54" t="s">
        <v>238</v>
      </c>
      <c r="D419" s="55">
        <v>6</v>
      </c>
      <c r="E419" s="56">
        <v>3.1959092361799997E-4</v>
      </c>
    </row>
    <row r="420" spans="2:5" ht="15" customHeight="1">
      <c r="B420" s="90"/>
      <c r="C420" s="54" t="s">
        <v>181</v>
      </c>
      <c r="D420" s="55">
        <v>1552</v>
      </c>
      <c r="E420" s="56">
        <v>8.2667518909130003E-2</v>
      </c>
    </row>
    <row r="421" spans="2:5" ht="15" customHeight="1">
      <c r="B421" s="90"/>
      <c r="C421" s="54" t="s">
        <v>235</v>
      </c>
      <c r="D421" s="55">
        <v>5</v>
      </c>
      <c r="E421" s="56">
        <v>2.6632576968100001E-4</v>
      </c>
    </row>
    <row r="422" spans="2:5" ht="15" customHeight="1">
      <c r="B422" s="90"/>
      <c r="C422" s="54" t="s">
        <v>236</v>
      </c>
      <c r="D422" s="55">
        <v>4</v>
      </c>
      <c r="E422" s="56">
        <v>2.1306061574499999E-4</v>
      </c>
    </row>
    <row r="423" spans="2:5" ht="15" customHeight="1">
      <c r="B423" s="90"/>
      <c r="C423" s="54" t="s">
        <v>192</v>
      </c>
      <c r="D423" s="55">
        <v>23</v>
      </c>
      <c r="E423" s="56">
        <v>1.225098540535E-3</v>
      </c>
    </row>
    <row r="424" spans="2:5" ht="15" customHeight="1">
      <c r="B424" s="90"/>
      <c r="C424" s="54" t="s">
        <v>210</v>
      </c>
      <c r="D424" s="55">
        <v>2</v>
      </c>
      <c r="E424" s="56">
        <v>1.06530307873E-4</v>
      </c>
    </row>
    <row r="425" spans="2:5" ht="15" customHeight="1">
      <c r="B425" s="90"/>
      <c r="C425" s="54" t="s">
        <v>229</v>
      </c>
      <c r="D425" s="55">
        <v>6</v>
      </c>
      <c r="E425" s="56">
        <v>3.1959092361799997E-4</v>
      </c>
    </row>
    <row r="426" spans="2:5" ht="15" customHeight="1">
      <c r="B426" s="90"/>
      <c r="C426" s="54" t="s">
        <v>234</v>
      </c>
      <c r="D426" s="55">
        <v>4</v>
      </c>
      <c r="E426" s="56">
        <v>2.1306061574499999E-4</v>
      </c>
    </row>
    <row r="427" spans="2:5" ht="15" customHeight="1">
      <c r="B427" s="90"/>
      <c r="C427" s="54" t="s">
        <v>191</v>
      </c>
      <c r="D427" s="55">
        <v>20</v>
      </c>
      <c r="E427" s="56">
        <v>1.065303078726E-3</v>
      </c>
    </row>
    <row r="428" spans="2:5" ht="15" customHeight="1">
      <c r="B428" s="90"/>
      <c r="C428" s="54" t="s">
        <v>194</v>
      </c>
      <c r="D428" s="55">
        <v>15</v>
      </c>
      <c r="E428" s="56">
        <v>7.98977309044E-4</v>
      </c>
    </row>
    <row r="429" spans="2:5" ht="15" customHeight="1">
      <c r="B429" s="90"/>
      <c r="C429" s="54" t="s">
        <v>226</v>
      </c>
      <c r="D429" s="55">
        <v>2</v>
      </c>
      <c r="E429" s="56">
        <v>1.06530307873E-4</v>
      </c>
    </row>
    <row r="430" spans="2:5" ht="15" customHeight="1">
      <c r="B430" s="90"/>
      <c r="C430" s="54" t="s">
        <v>187</v>
      </c>
      <c r="D430" s="55">
        <v>56</v>
      </c>
      <c r="E430" s="56">
        <v>2.9828486204329999E-3</v>
      </c>
    </row>
    <row r="431" spans="2:5" ht="15" customHeight="1">
      <c r="B431" s="90"/>
      <c r="C431" s="54" t="s">
        <v>241</v>
      </c>
      <c r="D431" s="55">
        <v>2</v>
      </c>
      <c r="E431" s="56">
        <v>1.06530307873E-4</v>
      </c>
    </row>
    <row r="432" spans="2:5" ht="15" customHeight="1">
      <c r="B432" s="90"/>
      <c r="C432" s="54" t="s">
        <v>186</v>
      </c>
      <c r="D432" s="55">
        <v>10</v>
      </c>
      <c r="E432" s="56">
        <v>5.3265153936299999E-4</v>
      </c>
    </row>
    <row r="433" spans="2:5" ht="15" customHeight="1">
      <c r="B433" s="90"/>
      <c r="C433" s="54" t="s">
        <v>203</v>
      </c>
      <c r="D433" s="55">
        <v>11</v>
      </c>
      <c r="E433" s="56">
        <v>5.8591669329900004E-4</v>
      </c>
    </row>
    <row r="434" spans="2:5" ht="15" customHeight="1">
      <c r="B434" s="90"/>
      <c r="C434" s="54" t="s">
        <v>220</v>
      </c>
      <c r="D434" s="55">
        <v>2</v>
      </c>
      <c r="E434" s="56">
        <v>1.06530307873E-4</v>
      </c>
    </row>
    <row r="435" spans="2:5" ht="15" customHeight="1">
      <c r="B435" s="90"/>
      <c r="C435" s="54" t="s">
        <v>221</v>
      </c>
      <c r="D435" s="55">
        <v>4</v>
      </c>
      <c r="E435" s="56">
        <v>2.1306061574499999E-4</v>
      </c>
    </row>
    <row r="436" spans="2:5" ht="15" customHeight="1">
      <c r="B436" s="90"/>
      <c r="C436" s="54" t="s">
        <v>237</v>
      </c>
      <c r="D436" s="55">
        <v>2</v>
      </c>
      <c r="E436" s="56">
        <v>1.06530307873E-4</v>
      </c>
    </row>
    <row r="437" spans="2:5" ht="15" customHeight="1">
      <c r="B437" s="90"/>
      <c r="C437" s="54" t="s">
        <v>224</v>
      </c>
      <c r="D437" s="55">
        <v>2</v>
      </c>
      <c r="E437" s="56">
        <v>1.06530307873E-4</v>
      </c>
    </row>
    <row r="438" spans="2:5" ht="15" customHeight="1">
      <c r="B438" s="90"/>
      <c r="C438" s="54" t="s">
        <v>230</v>
      </c>
      <c r="D438" s="55">
        <v>4</v>
      </c>
      <c r="E438" s="56">
        <v>2.1306061574499999E-4</v>
      </c>
    </row>
    <row r="439" spans="2:5" ht="15" customHeight="1">
      <c r="B439" s="90"/>
      <c r="C439" s="54" t="s">
        <v>208</v>
      </c>
      <c r="D439" s="55">
        <v>6</v>
      </c>
      <c r="E439" s="56">
        <v>3.1959092361799997E-4</v>
      </c>
    </row>
    <row r="440" spans="2:5" ht="15" customHeight="1">
      <c r="B440" s="90"/>
      <c r="C440" s="54" t="s">
        <v>200</v>
      </c>
      <c r="D440" s="55">
        <v>19</v>
      </c>
      <c r="E440" s="56">
        <v>1.0120379247899999E-3</v>
      </c>
    </row>
    <row r="441" spans="2:5" ht="15" customHeight="1">
      <c r="B441" s="90"/>
      <c r="C441" s="54" t="s">
        <v>227</v>
      </c>
      <c r="D441" s="55">
        <v>3</v>
      </c>
      <c r="E441" s="56">
        <v>1.5979546180899999E-4</v>
      </c>
    </row>
    <row r="442" spans="2:5" ht="15" customHeight="1">
      <c r="B442" s="90"/>
      <c r="C442" s="54" t="s">
        <v>204</v>
      </c>
      <c r="D442" s="55">
        <v>7</v>
      </c>
      <c r="E442" s="56">
        <v>3.7285607755399997E-4</v>
      </c>
    </row>
    <row r="443" spans="2:5" ht="15" customHeight="1">
      <c r="B443" s="90"/>
      <c r="C443" s="54" t="s">
        <v>202</v>
      </c>
      <c r="D443" s="55">
        <v>15</v>
      </c>
      <c r="E443" s="56">
        <v>7.98977309044E-4</v>
      </c>
    </row>
    <row r="444" spans="2:5" ht="15" customHeight="1">
      <c r="B444" s="90"/>
      <c r="C444" s="54" t="s">
        <v>231</v>
      </c>
      <c r="D444" s="55">
        <v>6</v>
      </c>
      <c r="E444" s="56">
        <v>3.1959092361799997E-4</v>
      </c>
    </row>
    <row r="445" spans="2:5" ht="15" customHeight="1">
      <c r="B445" s="90"/>
      <c r="C445" s="54" t="s">
        <v>239</v>
      </c>
      <c r="D445" s="55">
        <v>1</v>
      </c>
      <c r="E445" s="56">
        <v>5.3265153936E-5</v>
      </c>
    </row>
    <row r="446" spans="2:5" ht="15" customHeight="1">
      <c r="B446" s="90"/>
      <c r="C446" s="54" t="s">
        <v>199</v>
      </c>
      <c r="D446" s="55">
        <v>5</v>
      </c>
      <c r="E446" s="56">
        <v>2.6632576968100001E-4</v>
      </c>
    </row>
    <row r="447" spans="2:5" ht="15" customHeight="1">
      <c r="B447" s="91"/>
      <c r="C447" s="65" t="s">
        <v>321</v>
      </c>
      <c r="D447" s="64">
        <v>2591</v>
      </c>
      <c r="E447" s="66">
        <v>0.13801001384893999</v>
      </c>
    </row>
    <row r="448" spans="2:5" ht="15" customHeight="1">
      <c r="B448" s="89" t="s">
        <v>83</v>
      </c>
      <c r="C448" s="54" t="s">
        <v>211</v>
      </c>
      <c r="D448" s="55">
        <v>1</v>
      </c>
      <c r="E448" s="56">
        <v>5.3265153936E-5</v>
      </c>
    </row>
    <row r="449" spans="2:5" ht="15" customHeight="1">
      <c r="B449" s="90"/>
      <c r="C449" s="54" t="s">
        <v>188</v>
      </c>
      <c r="D449" s="55">
        <v>3</v>
      </c>
      <c r="E449" s="56">
        <v>1.5979546180899999E-4</v>
      </c>
    </row>
    <row r="450" spans="2:5" ht="15" customHeight="1">
      <c r="B450" s="90"/>
      <c r="C450" s="54" t="s">
        <v>182</v>
      </c>
      <c r="D450" s="55">
        <v>8</v>
      </c>
      <c r="E450" s="56">
        <v>4.2612123148999997E-4</v>
      </c>
    </row>
    <row r="451" spans="2:5" ht="15" customHeight="1">
      <c r="B451" s="90"/>
      <c r="C451" s="54" t="s">
        <v>184</v>
      </c>
      <c r="D451" s="55">
        <v>1</v>
      </c>
      <c r="E451" s="56">
        <v>5.3265153936E-5</v>
      </c>
    </row>
    <row r="452" spans="2:5" ht="15" customHeight="1">
      <c r="B452" s="90"/>
      <c r="C452" s="54" t="s">
        <v>183</v>
      </c>
      <c r="D452" s="55">
        <v>3</v>
      </c>
      <c r="E452" s="56">
        <v>1.5979546180899999E-4</v>
      </c>
    </row>
    <row r="453" spans="2:5" ht="15" customHeight="1">
      <c r="B453" s="90"/>
      <c r="C453" s="54" t="s">
        <v>185</v>
      </c>
      <c r="D453" s="55">
        <v>1</v>
      </c>
      <c r="E453" s="56">
        <v>5.3265153936E-5</v>
      </c>
    </row>
    <row r="454" spans="2:5" ht="15" customHeight="1">
      <c r="B454" s="90"/>
      <c r="C454" s="54" t="s">
        <v>213</v>
      </c>
      <c r="D454" s="55">
        <v>1</v>
      </c>
      <c r="E454" s="56">
        <v>5.3265153936E-5</v>
      </c>
    </row>
    <row r="455" spans="2:5" ht="15" customHeight="1">
      <c r="B455" s="90"/>
      <c r="C455" s="54" t="s">
        <v>190</v>
      </c>
      <c r="D455" s="55">
        <v>1</v>
      </c>
      <c r="E455" s="56">
        <v>5.3265153936E-5</v>
      </c>
    </row>
    <row r="456" spans="2:5" ht="15" customHeight="1">
      <c r="B456" s="90"/>
      <c r="C456" s="54" t="s">
        <v>181</v>
      </c>
      <c r="D456" s="55">
        <v>7</v>
      </c>
      <c r="E456" s="56">
        <v>3.7285607755399997E-4</v>
      </c>
    </row>
    <row r="457" spans="2:5" ht="15" customHeight="1">
      <c r="B457" s="90"/>
      <c r="C457" s="54" t="s">
        <v>192</v>
      </c>
      <c r="D457" s="55">
        <v>2</v>
      </c>
      <c r="E457" s="56">
        <v>1.06530307873E-4</v>
      </c>
    </row>
    <row r="458" spans="2:5" ht="15" customHeight="1">
      <c r="B458" s="90"/>
      <c r="C458" s="54" t="s">
        <v>187</v>
      </c>
      <c r="D458" s="55">
        <v>2</v>
      </c>
      <c r="E458" s="56">
        <v>1.06530307873E-4</v>
      </c>
    </row>
    <row r="459" spans="2:5" ht="15" customHeight="1">
      <c r="B459" s="90"/>
      <c r="C459" s="54" t="s">
        <v>208</v>
      </c>
      <c r="D459" s="55">
        <v>1</v>
      </c>
      <c r="E459" s="56">
        <v>5.3265153936E-5</v>
      </c>
    </row>
    <row r="460" spans="2:5" ht="15" customHeight="1">
      <c r="B460" s="90"/>
      <c r="C460" s="54" t="s">
        <v>242</v>
      </c>
      <c r="D460" s="55">
        <v>2</v>
      </c>
      <c r="E460" s="56">
        <v>1.06530307873E-4</v>
      </c>
    </row>
    <row r="461" spans="2:5" ht="15" customHeight="1">
      <c r="B461" s="91"/>
      <c r="C461" s="65" t="s">
        <v>321</v>
      </c>
      <c r="D461" s="64">
        <v>33</v>
      </c>
      <c r="E461" s="66">
        <v>1.7577500798980001E-3</v>
      </c>
    </row>
    <row r="462" spans="2:5" ht="15" customHeight="1">
      <c r="B462" s="89" t="s">
        <v>66</v>
      </c>
      <c r="C462" s="54" t="s">
        <v>196</v>
      </c>
      <c r="D462" s="55">
        <v>3</v>
      </c>
      <c r="E462" s="56">
        <v>1.5979546180899999E-4</v>
      </c>
    </row>
    <row r="463" spans="2:5" ht="15" customHeight="1">
      <c r="B463" s="90"/>
      <c r="C463" s="54" t="s">
        <v>188</v>
      </c>
      <c r="D463" s="55">
        <v>5</v>
      </c>
      <c r="E463" s="56">
        <v>2.6632576968100001E-4</v>
      </c>
    </row>
    <row r="464" spans="2:5" ht="15" customHeight="1">
      <c r="B464" s="90"/>
      <c r="C464" s="54" t="s">
        <v>182</v>
      </c>
      <c r="D464" s="55">
        <v>25</v>
      </c>
      <c r="E464" s="56">
        <v>1.3316288484070001E-3</v>
      </c>
    </row>
    <row r="465" spans="2:5" ht="15" customHeight="1">
      <c r="B465" s="90"/>
      <c r="C465" s="54" t="s">
        <v>184</v>
      </c>
      <c r="D465" s="55">
        <v>2</v>
      </c>
      <c r="E465" s="56">
        <v>1.06530307873E-4</v>
      </c>
    </row>
    <row r="466" spans="2:5" ht="15" customHeight="1">
      <c r="B466" s="90"/>
      <c r="C466" s="54" t="s">
        <v>183</v>
      </c>
      <c r="D466" s="55">
        <v>4</v>
      </c>
      <c r="E466" s="56">
        <v>2.1306061574499999E-4</v>
      </c>
    </row>
    <row r="467" spans="2:5" ht="15" customHeight="1">
      <c r="B467" s="90"/>
      <c r="C467" s="54" t="s">
        <v>214</v>
      </c>
      <c r="D467" s="55">
        <v>5</v>
      </c>
      <c r="E467" s="56">
        <v>2.6632576968100001E-4</v>
      </c>
    </row>
    <row r="468" spans="2:5" ht="15" customHeight="1">
      <c r="B468" s="90"/>
      <c r="C468" s="54" t="s">
        <v>207</v>
      </c>
      <c r="D468" s="55">
        <v>10</v>
      </c>
      <c r="E468" s="56">
        <v>5.3265153936299999E-4</v>
      </c>
    </row>
    <row r="469" spans="2:5" ht="15" customHeight="1">
      <c r="B469" s="90"/>
      <c r="C469" s="54" t="s">
        <v>247</v>
      </c>
      <c r="D469" s="55">
        <v>4</v>
      </c>
      <c r="E469" s="56">
        <v>2.1306061574499999E-4</v>
      </c>
    </row>
    <row r="470" spans="2:5" ht="15" customHeight="1">
      <c r="B470" s="90"/>
      <c r="C470" s="54" t="s">
        <v>189</v>
      </c>
      <c r="D470" s="55">
        <v>2</v>
      </c>
      <c r="E470" s="56">
        <v>1.06530307873E-4</v>
      </c>
    </row>
    <row r="471" spans="2:5" ht="15" customHeight="1">
      <c r="B471" s="90"/>
      <c r="C471" s="54" t="s">
        <v>219</v>
      </c>
      <c r="D471" s="55">
        <v>1</v>
      </c>
      <c r="E471" s="56">
        <v>5.3265153936E-5</v>
      </c>
    </row>
    <row r="472" spans="2:5" ht="15" customHeight="1">
      <c r="B472" s="90"/>
      <c r="C472" s="54" t="s">
        <v>185</v>
      </c>
      <c r="D472" s="55">
        <v>5</v>
      </c>
      <c r="E472" s="56">
        <v>2.6632576968100001E-4</v>
      </c>
    </row>
    <row r="473" spans="2:5" ht="15" customHeight="1">
      <c r="B473" s="90"/>
      <c r="C473" s="54" t="s">
        <v>213</v>
      </c>
      <c r="D473" s="55">
        <v>1</v>
      </c>
      <c r="E473" s="56">
        <v>5.3265153936E-5</v>
      </c>
    </row>
    <row r="474" spans="2:5" ht="15" customHeight="1">
      <c r="B474" s="90"/>
      <c r="C474" s="54" t="s">
        <v>215</v>
      </c>
      <c r="D474" s="55">
        <v>1</v>
      </c>
      <c r="E474" s="56">
        <v>5.3265153936E-5</v>
      </c>
    </row>
    <row r="475" spans="2:5" ht="15" customHeight="1">
      <c r="B475" s="90"/>
      <c r="C475" s="54" t="s">
        <v>190</v>
      </c>
      <c r="D475" s="55">
        <v>2</v>
      </c>
      <c r="E475" s="56">
        <v>1.06530307873E-4</v>
      </c>
    </row>
    <row r="476" spans="2:5" ht="15" customHeight="1">
      <c r="B476" s="90"/>
      <c r="C476" s="54" t="s">
        <v>181</v>
      </c>
      <c r="D476" s="55">
        <v>39</v>
      </c>
      <c r="E476" s="56">
        <v>2.0773410035159999E-3</v>
      </c>
    </row>
    <row r="477" spans="2:5" ht="15" customHeight="1">
      <c r="B477" s="90"/>
      <c r="C477" s="54" t="s">
        <v>192</v>
      </c>
      <c r="D477" s="55">
        <v>2</v>
      </c>
      <c r="E477" s="56">
        <v>1.06530307873E-4</v>
      </c>
    </row>
    <row r="478" spans="2:5" ht="15" customHeight="1">
      <c r="B478" s="90"/>
      <c r="C478" s="54" t="s">
        <v>229</v>
      </c>
      <c r="D478" s="55">
        <v>1</v>
      </c>
      <c r="E478" s="56">
        <v>5.3265153936E-5</v>
      </c>
    </row>
    <row r="479" spans="2:5" ht="15" customHeight="1">
      <c r="B479" s="90"/>
      <c r="C479" s="54" t="s">
        <v>234</v>
      </c>
      <c r="D479" s="55">
        <v>1</v>
      </c>
      <c r="E479" s="56">
        <v>5.3265153936E-5</v>
      </c>
    </row>
    <row r="480" spans="2:5" ht="15" customHeight="1">
      <c r="B480" s="90"/>
      <c r="C480" s="54" t="s">
        <v>191</v>
      </c>
      <c r="D480" s="55">
        <v>1</v>
      </c>
      <c r="E480" s="56">
        <v>5.3265153936E-5</v>
      </c>
    </row>
    <row r="481" spans="2:5" ht="15" customHeight="1">
      <c r="B481" s="90"/>
      <c r="C481" s="54" t="s">
        <v>240</v>
      </c>
      <c r="D481" s="55">
        <v>1</v>
      </c>
      <c r="E481" s="56">
        <v>5.3265153936E-5</v>
      </c>
    </row>
    <row r="482" spans="2:5" ht="15" customHeight="1">
      <c r="B482" s="90"/>
      <c r="C482" s="54" t="s">
        <v>194</v>
      </c>
      <c r="D482" s="55">
        <v>1</v>
      </c>
      <c r="E482" s="56">
        <v>5.3265153936E-5</v>
      </c>
    </row>
    <row r="483" spans="2:5" ht="15" customHeight="1">
      <c r="B483" s="90"/>
      <c r="C483" s="54" t="s">
        <v>187</v>
      </c>
      <c r="D483" s="55">
        <v>3</v>
      </c>
      <c r="E483" s="56">
        <v>1.5979546180899999E-4</v>
      </c>
    </row>
    <row r="484" spans="2:5" ht="15" customHeight="1">
      <c r="B484" s="90"/>
      <c r="C484" s="54" t="s">
        <v>186</v>
      </c>
      <c r="D484" s="55">
        <v>1</v>
      </c>
      <c r="E484" s="56">
        <v>5.3265153936E-5</v>
      </c>
    </row>
    <row r="485" spans="2:5" ht="15" customHeight="1">
      <c r="B485" s="90"/>
      <c r="C485" s="54" t="s">
        <v>221</v>
      </c>
      <c r="D485" s="55">
        <v>1</v>
      </c>
      <c r="E485" s="56">
        <v>5.3265153936E-5</v>
      </c>
    </row>
    <row r="486" spans="2:5" ht="15" customHeight="1">
      <c r="B486" s="90"/>
      <c r="C486" s="54" t="s">
        <v>202</v>
      </c>
      <c r="D486" s="55">
        <v>2</v>
      </c>
      <c r="E486" s="56">
        <v>1.06530307873E-4</v>
      </c>
    </row>
    <row r="487" spans="2:5" ht="15" customHeight="1">
      <c r="B487" s="90"/>
      <c r="C487" s="54" t="s">
        <v>242</v>
      </c>
      <c r="D487" s="55">
        <v>2</v>
      </c>
      <c r="E487" s="56">
        <v>1.06530307873E-4</v>
      </c>
    </row>
    <row r="488" spans="2:5" ht="15" customHeight="1">
      <c r="B488" s="90"/>
      <c r="C488" s="54" t="s">
        <v>199</v>
      </c>
      <c r="D488" s="55">
        <v>1</v>
      </c>
      <c r="E488" s="56">
        <v>5.3265153936E-5</v>
      </c>
    </row>
    <row r="489" spans="2:5" ht="15" customHeight="1">
      <c r="B489" s="91"/>
      <c r="C489" s="65" t="s">
        <v>321</v>
      </c>
      <c r="D489" s="64">
        <v>126</v>
      </c>
      <c r="E489" s="66">
        <v>6.7114093959729998E-3</v>
      </c>
    </row>
    <row r="490" spans="2:5" ht="15" customHeight="1">
      <c r="B490" s="89" t="s">
        <v>54</v>
      </c>
      <c r="C490" s="54" t="s">
        <v>205</v>
      </c>
      <c r="D490" s="55">
        <v>2</v>
      </c>
      <c r="E490" s="56">
        <v>1.06530307873E-4</v>
      </c>
    </row>
    <row r="491" spans="2:5" ht="15" customHeight="1">
      <c r="B491" s="90"/>
      <c r="C491" s="54" t="s">
        <v>195</v>
      </c>
      <c r="D491" s="55">
        <v>6</v>
      </c>
      <c r="E491" s="56">
        <v>3.1959092361799997E-4</v>
      </c>
    </row>
    <row r="492" spans="2:5" ht="15" customHeight="1">
      <c r="B492" s="90"/>
      <c r="C492" s="54" t="s">
        <v>196</v>
      </c>
      <c r="D492" s="55">
        <v>7</v>
      </c>
      <c r="E492" s="56">
        <v>3.7285607755399997E-4</v>
      </c>
    </row>
    <row r="493" spans="2:5" ht="15" customHeight="1">
      <c r="B493" s="90"/>
      <c r="C493" s="54" t="s">
        <v>216</v>
      </c>
      <c r="D493" s="55">
        <v>2</v>
      </c>
      <c r="E493" s="56">
        <v>1.06530307873E-4</v>
      </c>
    </row>
    <row r="494" spans="2:5" ht="15" customHeight="1">
      <c r="B494" s="90"/>
      <c r="C494" s="54" t="s">
        <v>211</v>
      </c>
      <c r="D494" s="55">
        <v>1</v>
      </c>
      <c r="E494" s="56">
        <v>5.3265153936E-5</v>
      </c>
    </row>
    <row r="495" spans="2:5" ht="15" customHeight="1">
      <c r="B495" s="90"/>
      <c r="C495" s="54" t="s">
        <v>222</v>
      </c>
      <c r="D495" s="55">
        <v>1</v>
      </c>
      <c r="E495" s="56">
        <v>5.3265153936E-5</v>
      </c>
    </row>
    <row r="496" spans="2:5" ht="15" customHeight="1">
      <c r="B496" s="90"/>
      <c r="C496" s="54" t="s">
        <v>188</v>
      </c>
      <c r="D496" s="55">
        <v>13</v>
      </c>
      <c r="E496" s="56">
        <v>6.92447001172E-4</v>
      </c>
    </row>
    <row r="497" spans="2:5" ht="15" customHeight="1">
      <c r="B497" s="90"/>
      <c r="C497" s="54" t="s">
        <v>212</v>
      </c>
      <c r="D497" s="55">
        <v>1</v>
      </c>
      <c r="E497" s="56">
        <v>5.3265153936E-5</v>
      </c>
    </row>
    <row r="498" spans="2:5" ht="15" customHeight="1">
      <c r="B498" s="90"/>
      <c r="C498" s="54" t="s">
        <v>217</v>
      </c>
      <c r="D498" s="55">
        <v>1</v>
      </c>
      <c r="E498" s="56">
        <v>5.3265153936E-5</v>
      </c>
    </row>
    <row r="499" spans="2:5" ht="15" customHeight="1">
      <c r="B499" s="90"/>
      <c r="C499" s="54" t="s">
        <v>182</v>
      </c>
      <c r="D499" s="55">
        <v>124</v>
      </c>
      <c r="E499" s="56">
        <v>6.6048790881009997E-3</v>
      </c>
    </row>
    <row r="500" spans="2:5" ht="15" customHeight="1">
      <c r="B500" s="90"/>
      <c r="C500" s="54" t="s">
        <v>225</v>
      </c>
      <c r="D500" s="55">
        <v>1</v>
      </c>
      <c r="E500" s="56">
        <v>5.3265153936E-5</v>
      </c>
    </row>
    <row r="501" spans="2:5" ht="15" customHeight="1">
      <c r="B501" s="90"/>
      <c r="C501" s="54" t="s">
        <v>223</v>
      </c>
      <c r="D501" s="55">
        <v>2</v>
      </c>
      <c r="E501" s="56">
        <v>1.06530307873E-4</v>
      </c>
    </row>
    <row r="502" spans="2:5" ht="15" customHeight="1">
      <c r="B502" s="90"/>
      <c r="C502" s="54" t="s">
        <v>184</v>
      </c>
      <c r="D502" s="55">
        <v>22</v>
      </c>
      <c r="E502" s="56">
        <v>1.1718333865980001E-3</v>
      </c>
    </row>
    <row r="503" spans="2:5" ht="15" customHeight="1">
      <c r="B503" s="90"/>
      <c r="C503" s="54" t="s">
        <v>209</v>
      </c>
      <c r="D503" s="55">
        <v>1</v>
      </c>
      <c r="E503" s="56">
        <v>5.3265153936E-5</v>
      </c>
    </row>
    <row r="504" spans="2:5" ht="15" customHeight="1">
      <c r="B504" s="90"/>
      <c r="C504" s="54" t="s">
        <v>183</v>
      </c>
      <c r="D504" s="55">
        <v>50</v>
      </c>
      <c r="E504" s="56">
        <v>2.6632576968149998E-3</v>
      </c>
    </row>
    <row r="505" spans="2:5" ht="15" customHeight="1">
      <c r="B505" s="90"/>
      <c r="C505" s="54" t="s">
        <v>206</v>
      </c>
      <c r="D505" s="55">
        <v>1</v>
      </c>
      <c r="E505" s="56">
        <v>5.3265153936E-5</v>
      </c>
    </row>
    <row r="506" spans="2:5" ht="15" customHeight="1">
      <c r="B506" s="90"/>
      <c r="C506" s="54" t="s">
        <v>197</v>
      </c>
      <c r="D506" s="55">
        <v>8</v>
      </c>
      <c r="E506" s="56">
        <v>4.2612123148999997E-4</v>
      </c>
    </row>
    <row r="507" spans="2:5" ht="15" customHeight="1">
      <c r="B507" s="90"/>
      <c r="C507" s="54" t="s">
        <v>218</v>
      </c>
      <c r="D507" s="55">
        <v>1</v>
      </c>
      <c r="E507" s="56">
        <v>5.3265153936E-5</v>
      </c>
    </row>
    <row r="508" spans="2:5" ht="15" customHeight="1">
      <c r="B508" s="90"/>
      <c r="C508" s="54" t="s">
        <v>214</v>
      </c>
      <c r="D508" s="55">
        <v>1</v>
      </c>
      <c r="E508" s="56">
        <v>5.3265153936E-5</v>
      </c>
    </row>
    <row r="509" spans="2:5" ht="15" customHeight="1">
      <c r="B509" s="90"/>
      <c r="C509" s="54" t="s">
        <v>193</v>
      </c>
      <c r="D509" s="55">
        <v>1</v>
      </c>
      <c r="E509" s="56">
        <v>5.3265153936E-5</v>
      </c>
    </row>
    <row r="510" spans="2:5" ht="15" customHeight="1">
      <c r="B510" s="90"/>
      <c r="C510" s="54" t="s">
        <v>207</v>
      </c>
      <c r="D510" s="55">
        <v>2</v>
      </c>
      <c r="E510" s="56">
        <v>1.06530307873E-4</v>
      </c>
    </row>
    <row r="511" spans="2:5" ht="15" customHeight="1">
      <c r="B511" s="90"/>
      <c r="C511" s="54" t="s">
        <v>189</v>
      </c>
      <c r="D511" s="55">
        <v>3</v>
      </c>
      <c r="E511" s="56">
        <v>1.5979546180899999E-4</v>
      </c>
    </row>
    <row r="512" spans="2:5" ht="15" customHeight="1">
      <c r="B512" s="90"/>
      <c r="C512" s="54" t="s">
        <v>219</v>
      </c>
      <c r="D512" s="55">
        <v>1</v>
      </c>
      <c r="E512" s="56">
        <v>5.3265153936E-5</v>
      </c>
    </row>
    <row r="513" spans="2:5" ht="15" customHeight="1">
      <c r="B513" s="90"/>
      <c r="C513" s="54" t="s">
        <v>185</v>
      </c>
      <c r="D513" s="55">
        <v>32</v>
      </c>
      <c r="E513" s="56">
        <v>1.704484925961E-3</v>
      </c>
    </row>
    <row r="514" spans="2:5" ht="15" customHeight="1">
      <c r="B514" s="90"/>
      <c r="C514" s="54" t="s">
        <v>244</v>
      </c>
      <c r="D514" s="55">
        <v>1</v>
      </c>
      <c r="E514" s="56">
        <v>5.3265153936E-5</v>
      </c>
    </row>
    <row r="515" spans="2:5" ht="15" customHeight="1">
      <c r="B515" s="90"/>
      <c r="C515" s="54" t="s">
        <v>215</v>
      </c>
      <c r="D515" s="55">
        <v>1</v>
      </c>
      <c r="E515" s="56">
        <v>5.3265153936E-5</v>
      </c>
    </row>
    <row r="516" spans="2:5" ht="15" customHeight="1">
      <c r="B516" s="90"/>
      <c r="C516" s="54" t="s">
        <v>190</v>
      </c>
      <c r="D516" s="55">
        <v>9</v>
      </c>
      <c r="E516" s="56">
        <v>4.7938638542699999E-4</v>
      </c>
    </row>
    <row r="517" spans="2:5" ht="15" customHeight="1">
      <c r="B517" s="90"/>
      <c r="C517" s="54" t="s">
        <v>181</v>
      </c>
      <c r="D517" s="55">
        <v>197</v>
      </c>
      <c r="E517" s="56">
        <v>1.049323532545E-2</v>
      </c>
    </row>
    <row r="518" spans="2:5" ht="15" customHeight="1">
      <c r="B518" s="90"/>
      <c r="C518" s="54" t="s">
        <v>192</v>
      </c>
      <c r="D518" s="55">
        <v>10</v>
      </c>
      <c r="E518" s="56">
        <v>5.3265153936299999E-4</v>
      </c>
    </row>
    <row r="519" spans="2:5" ht="15" customHeight="1">
      <c r="B519" s="90"/>
      <c r="C519" s="54" t="s">
        <v>210</v>
      </c>
      <c r="D519" s="55">
        <v>1</v>
      </c>
      <c r="E519" s="56">
        <v>5.3265153936E-5</v>
      </c>
    </row>
    <row r="520" spans="2:5" ht="15" customHeight="1">
      <c r="B520" s="90"/>
      <c r="C520" s="54" t="s">
        <v>229</v>
      </c>
      <c r="D520" s="55">
        <v>2</v>
      </c>
      <c r="E520" s="56">
        <v>1.06530307873E-4</v>
      </c>
    </row>
    <row r="521" spans="2:5" ht="15" customHeight="1">
      <c r="B521" s="90"/>
      <c r="C521" s="54" t="s">
        <v>191</v>
      </c>
      <c r="D521" s="55">
        <v>17</v>
      </c>
      <c r="E521" s="56">
        <v>9.0550761691699996E-4</v>
      </c>
    </row>
    <row r="522" spans="2:5" ht="15" customHeight="1">
      <c r="B522" s="90"/>
      <c r="C522" s="54" t="s">
        <v>240</v>
      </c>
      <c r="D522" s="55">
        <v>1</v>
      </c>
      <c r="E522" s="56">
        <v>5.3265153936E-5</v>
      </c>
    </row>
    <row r="523" spans="2:5" ht="15" customHeight="1">
      <c r="B523" s="90"/>
      <c r="C523" s="54" t="s">
        <v>194</v>
      </c>
      <c r="D523" s="55">
        <v>4</v>
      </c>
      <c r="E523" s="56">
        <v>2.1306061574499999E-4</v>
      </c>
    </row>
    <row r="524" spans="2:5" ht="15" customHeight="1">
      <c r="B524" s="90"/>
      <c r="C524" s="54" t="s">
        <v>187</v>
      </c>
      <c r="D524" s="55">
        <v>5</v>
      </c>
      <c r="E524" s="56">
        <v>2.6632576968100001E-4</v>
      </c>
    </row>
    <row r="525" spans="2:5" ht="15" customHeight="1">
      <c r="B525" s="90"/>
      <c r="C525" s="54" t="s">
        <v>186</v>
      </c>
      <c r="D525" s="55">
        <v>8</v>
      </c>
      <c r="E525" s="56">
        <v>4.2612123148999997E-4</v>
      </c>
    </row>
    <row r="526" spans="2:5" ht="15" customHeight="1">
      <c r="B526" s="90"/>
      <c r="C526" s="54" t="s">
        <v>203</v>
      </c>
      <c r="D526" s="55">
        <v>1</v>
      </c>
      <c r="E526" s="56">
        <v>5.3265153936E-5</v>
      </c>
    </row>
    <row r="527" spans="2:5" ht="15" customHeight="1">
      <c r="B527" s="90"/>
      <c r="C527" s="54" t="s">
        <v>221</v>
      </c>
      <c r="D527" s="55">
        <v>1</v>
      </c>
      <c r="E527" s="56">
        <v>5.3265153936E-5</v>
      </c>
    </row>
    <row r="528" spans="2:5" ht="15" customHeight="1">
      <c r="B528" s="90"/>
      <c r="C528" s="54" t="s">
        <v>224</v>
      </c>
      <c r="D528" s="55">
        <v>1</v>
      </c>
      <c r="E528" s="56">
        <v>5.3265153936E-5</v>
      </c>
    </row>
    <row r="529" spans="2:5" ht="15" customHeight="1">
      <c r="B529" s="90"/>
      <c r="C529" s="54" t="s">
        <v>230</v>
      </c>
      <c r="D529" s="55">
        <v>1</v>
      </c>
      <c r="E529" s="56">
        <v>5.3265153936E-5</v>
      </c>
    </row>
    <row r="530" spans="2:5" ht="15" customHeight="1">
      <c r="B530" s="90"/>
      <c r="C530" s="54" t="s">
        <v>208</v>
      </c>
      <c r="D530" s="55">
        <v>3</v>
      </c>
      <c r="E530" s="56">
        <v>1.5979546180899999E-4</v>
      </c>
    </row>
    <row r="531" spans="2:5" ht="15" customHeight="1">
      <c r="B531" s="90"/>
      <c r="C531" s="54" t="s">
        <v>200</v>
      </c>
      <c r="D531" s="55">
        <v>1</v>
      </c>
      <c r="E531" s="56">
        <v>5.3265153936E-5</v>
      </c>
    </row>
    <row r="532" spans="2:5" ht="15" customHeight="1">
      <c r="B532" s="90"/>
      <c r="C532" s="54" t="s">
        <v>202</v>
      </c>
      <c r="D532" s="55">
        <v>8</v>
      </c>
      <c r="E532" s="56">
        <v>4.2612123148999997E-4</v>
      </c>
    </row>
    <row r="533" spans="2:5" ht="15" customHeight="1">
      <c r="B533" s="90"/>
      <c r="C533" s="54" t="s">
        <v>231</v>
      </c>
      <c r="D533" s="55">
        <v>1</v>
      </c>
      <c r="E533" s="56">
        <v>5.3265153936E-5</v>
      </c>
    </row>
    <row r="534" spans="2:5" ht="15" customHeight="1">
      <c r="B534" s="90"/>
      <c r="C534" s="54" t="s">
        <v>199</v>
      </c>
      <c r="D534" s="55">
        <v>2</v>
      </c>
      <c r="E534" s="56">
        <v>1.06530307873E-4</v>
      </c>
    </row>
    <row r="535" spans="2:5" ht="15" customHeight="1">
      <c r="B535" s="91"/>
      <c r="C535" s="65" t="s">
        <v>321</v>
      </c>
      <c r="D535" s="64">
        <v>559</v>
      </c>
      <c r="E535" s="66">
        <v>2.9775221050389E-2</v>
      </c>
    </row>
    <row r="536" spans="2:5" ht="15" customHeight="1">
      <c r="B536" s="89" t="s">
        <v>65</v>
      </c>
      <c r="C536" s="54" t="s">
        <v>198</v>
      </c>
      <c r="D536" s="55">
        <v>2</v>
      </c>
      <c r="E536" s="56">
        <v>1.06530307873E-4</v>
      </c>
    </row>
    <row r="537" spans="2:5" ht="15" customHeight="1">
      <c r="B537" s="90"/>
      <c r="C537" s="54" t="s">
        <v>188</v>
      </c>
      <c r="D537" s="55">
        <v>10</v>
      </c>
      <c r="E537" s="56">
        <v>5.3265153936299999E-4</v>
      </c>
    </row>
    <row r="538" spans="2:5" ht="15" customHeight="1">
      <c r="B538" s="90"/>
      <c r="C538" s="54" t="s">
        <v>182</v>
      </c>
      <c r="D538" s="55">
        <v>9</v>
      </c>
      <c r="E538" s="56">
        <v>4.7938638542699999E-4</v>
      </c>
    </row>
    <row r="539" spans="2:5" ht="15" customHeight="1">
      <c r="B539" s="90"/>
      <c r="C539" s="54" t="s">
        <v>184</v>
      </c>
      <c r="D539" s="55">
        <v>1</v>
      </c>
      <c r="E539" s="56">
        <v>5.3265153936E-5</v>
      </c>
    </row>
    <row r="540" spans="2:5" ht="15" customHeight="1">
      <c r="B540" s="90"/>
      <c r="C540" s="54" t="s">
        <v>209</v>
      </c>
      <c r="D540" s="55">
        <v>1</v>
      </c>
      <c r="E540" s="56">
        <v>5.3265153936E-5</v>
      </c>
    </row>
    <row r="541" spans="2:5" ht="15" customHeight="1">
      <c r="B541" s="90"/>
      <c r="C541" s="54" t="s">
        <v>183</v>
      </c>
      <c r="D541" s="55">
        <v>21</v>
      </c>
      <c r="E541" s="56">
        <v>1.118568232662E-3</v>
      </c>
    </row>
    <row r="542" spans="2:5" ht="15" customHeight="1">
      <c r="B542" s="90"/>
      <c r="C542" s="54" t="s">
        <v>206</v>
      </c>
      <c r="D542" s="55">
        <v>1</v>
      </c>
      <c r="E542" s="56">
        <v>5.3265153936E-5</v>
      </c>
    </row>
    <row r="543" spans="2:5" ht="15" customHeight="1">
      <c r="B543" s="90"/>
      <c r="C543" s="54" t="s">
        <v>214</v>
      </c>
      <c r="D543" s="55">
        <v>1</v>
      </c>
      <c r="E543" s="56">
        <v>5.3265153936E-5</v>
      </c>
    </row>
    <row r="544" spans="2:5" ht="15" customHeight="1">
      <c r="B544" s="90"/>
      <c r="C544" s="54" t="s">
        <v>207</v>
      </c>
      <c r="D544" s="55">
        <v>1</v>
      </c>
      <c r="E544" s="56">
        <v>5.3265153936E-5</v>
      </c>
    </row>
    <row r="545" spans="2:5" ht="15" customHeight="1">
      <c r="B545" s="90"/>
      <c r="C545" s="54" t="s">
        <v>189</v>
      </c>
      <c r="D545" s="55">
        <v>2</v>
      </c>
      <c r="E545" s="56">
        <v>1.06530307873E-4</v>
      </c>
    </row>
    <row r="546" spans="2:5" ht="15" customHeight="1">
      <c r="B546" s="90"/>
      <c r="C546" s="54" t="s">
        <v>219</v>
      </c>
      <c r="D546" s="55">
        <v>1</v>
      </c>
      <c r="E546" s="56">
        <v>5.3265153936E-5</v>
      </c>
    </row>
    <row r="547" spans="2:5" ht="15" customHeight="1">
      <c r="B547" s="90"/>
      <c r="C547" s="54" t="s">
        <v>185</v>
      </c>
      <c r="D547" s="55">
        <v>4</v>
      </c>
      <c r="E547" s="56">
        <v>2.1306061574499999E-4</v>
      </c>
    </row>
    <row r="548" spans="2:5" ht="15" customHeight="1">
      <c r="B548" s="90"/>
      <c r="C548" s="54" t="s">
        <v>181</v>
      </c>
      <c r="D548" s="55">
        <v>35</v>
      </c>
      <c r="E548" s="56">
        <v>1.86428038777E-3</v>
      </c>
    </row>
    <row r="549" spans="2:5" ht="15" customHeight="1">
      <c r="B549" s="90"/>
      <c r="C549" s="54" t="s">
        <v>192</v>
      </c>
      <c r="D549" s="55">
        <v>2</v>
      </c>
      <c r="E549" s="56">
        <v>1.06530307873E-4</v>
      </c>
    </row>
    <row r="550" spans="2:5" ht="15" customHeight="1">
      <c r="B550" s="90"/>
      <c r="C550" s="54" t="s">
        <v>186</v>
      </c>
      <c r="D550" s="55">
        <v>2</v>
      </c>
      <c r="E550" s="56">
        <v>1.06530307873E-4</v>
      </c>
    </row>
    <row r="551" spans="2:5" ht="15" customHeight="1">
      <c r="B551" s="91"/>
      <c r="C551" s="65" t="s">
        <v>321</v>
      </c>
      <c r="D551" s="64">
        <v>93</v>
      </c>
      <c r="E551" s="66">
        <v>4.9536593160750004E-3</v>
      </c>
    </row>
    <row r="552" spans="2:5" ht="15" customHeight="1">
      <c r="B552" s="89" t="s">
        <v>49</v>
      </c>
      <c r="C552" s="54" t="s">
        <v>205</v>
      </c>
      <c r="D552" s="55">
        <v>4</v>
      </c>
      <c r="E552" s="56">
        <v>2.1306061574499999E-4</v>
      </c>
    </row>
    <row r="553" spans="2:5" ht="15" customHeight="1">
      <c r="B553" s="90"/>
      <c r="C553" s="54" t="s">
        <v>195</v>
      </c>
      <c r="D553" s="55">
        <v>1</v>
      </c>
      <c r="E553" s="56">
        <v>5.3265153936E-5</v>
      </c>
    </row>
    <row r="554" spans="2:5" ht="15" customHeight="1">
      <c r="B554" s="90"/>
      <c r="C554" s="54" t="s">
        <v>196</v>
      </c>
      <c r="D554" s="55">
        <v>16</v>
      </c>
      <c r="E554" s="56">
        <v>8.5224246298100002E-4</v>
      </c>
    </row>
    <row r="555" spans="2:5" ht="15" customHeight="1">
      <c r="B555" s="90"/>
      <c r="C555" s="54" t="s">
        <v>216</v>
      </c>
      <c r="D555" s="55">
        <v>4</v>
      </c>
      <c r="E555" s="56">
        <v>2.1306061574499999E-4</v>
      </c>
    </row>
    <row r="556" spans="2:5" ht="15" customHeight="1">
      <c r="B556" s="90"/>
      <c r="C556" s="54" t="s">
        <v>211</v>
      </c>
      <c r="D556" s="55">
        <v>3</v>
      </c>
      <c r="E556" s="56">
        <v>1.5979546180899999E-4</v>
      </c>
    </row>
    <row r="557" spans="2:5" ht="15" customHeight="1">
      <c r="B557" s="90"/>
      <c r="C557" s="54" t="s">
        <v>222</v>
      </c>
      <c r="D557" s="55">
        <v>11</v>
      </c>
      <c r="E557" s="56">
        <v>5.8591669329900004E-4</v>
      </c>
    </row>
    <row r="558" spans="2:5" ht="15" customHeight="1">
      <c r="B558" s="90"/>
      <c r="C558" s="54" t="s">
        <v>228</v>
      </c>
      <c r="D558" s="55">
        <v>3</v>
      </c>
      <c r="E558" s="56">
        <v>1.5979546180899999E-4</v>
      </c>
    </row>
    <row r="559" spans="2:5" ht="15" customHeight="1">
      <c r="B559" s="90"/>
      <c r="C559" s="54" t="s">
        <v>198</v>
      </c>
      <c r="D559" s="55">
        <v>7</v>
      </c>
      <c r="E559" s="56">
        <v>3.7285607755399997E-4</v>
      </c>
    </row>
    <row r="560" spans="2:5" ht="15" customHeight="1">
      <c r="B560" s="90"/>
      <c r="C560" s="54" t="s">
        <v>201</v>
      </c>
      <c r="D560" s="55">
        <v>5</v>
      </c>
      <c r="E560" s="56">
        <v>2.6632576968100001E-4</v>
      </c>
    </row>
    <row r="561" spans="2:5" ht="15" customHeight="1">
      <c r="B561" s="90"/>
      <c r="C561" s="54" t="s">
        <v>188</v>
      </c>
      <c r="D561" s="55">
        <v>114</v>
      </c>
      <c r="E561" s="56">
        <v>6.0722275487379998E-3</v>
      </c>
    </row>
    <row r="562" spans="2:5" ht="15" customHeight="1">
      <c r="B562" s="90"/>
      <c r="C562" s="54" t="s">
        <v>212</v>
      </c>
      <c r="D562" s="55">
        <v>1</v>
      </c>
      <c r="E562" s="56">
        <v>5.3265153936E-5</v>
      </c>
    </row>
    <row r="563" spans="2:5" ht="15" customHeight="1">
      <c r="B563" s="90"/>
      <c r="C563" s="54" t="s">
        <v>217</v>
      </c>
      <c r="D563" s="55">
        <v>4</v>
      </c>
      <c r="E563" s="56">
        <v>2.1306061574499999E-4</v>
      </c>
    </row>
    <row r="564" spans="2:5" ht="15" customHeight="1">
      <c r="B564" s="90"/>
      <c r="C564" s="54" t="s">
        <v>182</v>
      </c>
      <c r="D564" s="55">
        <v>216</v>
      </c>
      <c r="E564" s="56">
        <v>1.150527325024E-2</v>
      </c>
    </row>
    <row r="565" spans="2:5" ht="15" customHeight="1">
      <c r="B565" s="90"/>
      <c r="C565" s="54" t="s">
        <v>243</v>
      </c>
      <c r="D565" s="55">
        <v>2</v>
      </c>
      <c r="E565" s="56">
        <v>1.06530307873E-4</v>
      </c>
    </row>
    <row r="566" spans="2:5" ht="15" customHeight="1">
      <c r="B566" s="90"/>
      <c r="C566" s="54" t="s">
        <v>225</v>
      </c>
      <c r="D566" s="55">
        <v>4</v>
      </c>
      <c r="E566" s="56">
        <v>2.1306061574499999E-4</v>
      </c>
    </row>
    <row r="567" spans="2:5" ht="15" customHeight="1">
      <c r="B567" s="90"/>
      <c r="C567" s="54" t="s">
        <v>184</v>
      </c>
      <c r="D567" s="55">
        <v>92</v>
      </c>
      <c r="E567" s="56">
        <v>4.9003941621389999E-3</v>
      </c>
    </row>
    <row r="568" spans="2:5" ht="15" customHeight="1">
      <c r="B568" s="90"/>
      <c r="C568" s="54" t="s">
        <v>209</v>
      </c>
      <c r="D568" s="55">
        <v>2</v>
      </c>
      <c r="E568" s="56">
        <v>1.06530307873E-4</v>
      </c>
    </row>
    <row r="569" spans="2:5" ht="15" customHeight="1">
      <c r="B569" s="90"/>
      <c r="C569" s="54" t="s">
        <v>183</v>
      </c>
      <c r="D569" s="55">
        <v>105</v>
      </c>
      <c r="E569" s="56">
        <v>5.5928411633109996E-3</v>
      </c>
    </row>
    <row r="570" spans="2:5" ht="15" customHeight="1">
      <c r="B570" s="90"/>
      <c r="C570" s="54" t="s">
        <v>206</v>
      </c>
      <c r="D570" s="55">
        <v>22</v>
      </c>
      <c r="E570" s="56">
        <v>1.1718333865980001E-3</v>
      </c>
    </row>
    <row r="571" spans="2:5" ht="15" customHeight="1">
      <c r="B571" s="90"/>
      <c r="C571" s="54" t="s">
        <v>197</v>
      </c>
      <c r="D571" s="55">
        <v>11</v>
      </c>
      <c r="E571" s="56">
        <v>5.8591669329900004E-4</v>
      </c>
    </row>
    <row r="572" spans="2:5" ht="15" customHeight="1">
      <c r="B572" s="90"/>
      <c r="C572" s="54" t="s">
        <v>246</v>
      </c>
      <c r="D572" s="55">
        <v>1</v>
      </c>
      <c r="E572" s="56">
        <v>5.3265153936E-5</v>
      </c>
    </row>
    <row r="573" spans="2:5" ht="15" customHeight="1">
      <c r="B573" s="90"/>
      <c r="C573" s="54" t="s">
        <v>233</v>
      </c>
      <c r="D573" s="55">
        <v>4</v>
      </c>
      <c r="E573" s="56">
        <v>2.1306061574499999E-4</v>
      </c>
    </row>
    <row r="574" spans="2:5" ht="15" customHeight="1">
      <c r="B574" s="90"/>
      <c r="C574" s="54" t="s">
        <v>218</v>
      </c>
      <c r="D574" s="55">
        <v>2</v>
      </c>
      <c r="E574" s="56">
        <v>1.06530307873E-4</v>
      </c>
    </row>
    <row r="575" spans="2:5" ht="15" customHeight="1">
      <c r="B575" s="90"/>
      <c r="C575" s="54" t="s">
        <v>214</v>
      </c>
      <c r="D575" s="55">
        <v>1</v>
      </c>
      <c r="E575" s="56">
        <v>5.3265153936E-5</v>
      </c>
    </row>
    <row r="576" spans="2:5" ht="15" customHeight="1">
      <c r="B576" s="90"/>
      <c r="C576" s="54" t="s">
        <v>207</v>
      </c>
      <c r="D576" s="55">
        <v>10</v>
      </c>
      <c r="E576" s="56">
        <v>5.3265153936299999E-4</v>
      </c>
    </row>
    <row r="577" spans="2:5" ht="15" customHeight="1">
      <c r="B577" s="90"/>
      <c r="C577" s="54" t="s">
        <v>247</v>
      </c>
      <c r="D577" s="55">
        <v>2</v>
      </c>
      <c r="E577" s="56">
        <v>1.06530307873E-4</v>
      </c>
    </row>
    <row r="578" spans="2:5" ht="15" customHeight="1">
      <c r="B578" s="90"/>
      <c r="C578" s="54" t="s">
        <v>189</v>
      </c>
      <c r="D578" s="55">
        <v>16</v>
      </c>
      <c r="E578" s="56">
        <v>8.5224246298100002E-4</v>
      </c>
    </row>
    <row r="579" spans="2:5" ht="15" customHeight="1">
      <c r="B579" s="90"/>
      <c r="C579" s="54" t="s">
        <v>219</v>
      </c>
      <c r="D579" s="55">
        <v>10</v>
      </c>
      <c r="E579" s="56">
        <v>5.3265153936299999E-4</v>
      </c>
    </row>
    <row r="580" spans="2:5" ht="15" customHeight="1">
      <c r="B580" s="90"/>
      <c r="C580" s="54" t="s">
        <v>185</v>
      </c>
      <c r="D580" s="55">
        <v>122</v>
      </c>
      <c r="E580" s="56">
        <v>6.4983487802280004E-3</v>
      </c>
    </row>
    <row r="581" spans="2:5" ht="15" customHeight="1">
      <c r="B581" s="90"/>
      <c r="C581" s="54" t="s">
        <v>244</v>
      </c>
      <c r="D581" s="55">
        <v>1</v>
      </c>
      <c r="E581" s="56">
        <v>5.3265153936E-5</v>
      </c>
    </row>
    <row r="582" spans="2:5" ht="15" customHeight="1">
      <c r="B582" s="90"/>
      <c r="C582" s="54" t="s">
        <v>213</v>
      </c>
      <c r="D582" s="55">
        <v>2</v>
      </c>
      <c r="E582" s="56">
        <v>1.06530307873E-4</v>
      </c>
    </row>
    <row r="583" spans="2:5" ht="15" customHeight="1">
      <c r="B583" s="90"/>
      <c r="C583" s="54" t="s">
        <v>215</v>
      </c>
      <c r="D583" s="55">
        <v>3</v>
      </c>
      <c r="E583" s="56">
        <v>1.5979546180899999E-4</v>
      </c>
    </row>
    <row r="584" spans="2:5" ht="15" customHeight="1">
      <c r="B584" s="90"/>
      <c r="C584" s="54" t="s">
        <v>190</v>
      </c>
      <c r="D584" s="55">
        <v>11</v>
      </c>
      <c r="E584" s="56">
        <v>5.8591669329900004E-4</v>
      </c>
    </row>
    <row r="585" spans="2:5" ht="15" customHeight="1">
      <c r="B585" s="90"/>
      <c r="C585" s="54" t="s">
        <v>238</v>
      </c>
      <c r="D585" s="55">
        <v>1</v>
      </c>
      <c r="E585" s="56">
        <v>5.3265153936E-5</v>
      </c>
    </row>
    <row r="586" spans="2:5" ht="15" customHeight="1">
      <c r="B586" s="90"/>
      <c r="C586" s="54" t="s">
        <v>181</v>
      </c>
      <c r="D586" s="55">
        <v>267</v>
      </c>
      <c r="E586" s="56">
        <v>1.4221796100991E-2</v>
      </c>
    </row>
    <row r="587" spans="2:5" ht="15" customHeight="1">
      <c r="B587" s="90"/>
      <c r="C587" s="54" t="s">
        <v>235</v>
      </c>
      <c r="D587" s="55">
        <v>1</v>
      </c>
      <c r="E587" s="56">
        <v>5.3265153936E-5</v>
      </c>
    </row>
    <row r="588" spans="2:5" ht="15" customHeight="1">
      <c r="B588" s="90"/>
      <c r="C588" s="54" t="s">
        <v>192</v>
      </c>
      <c r="D588" s="55">
        <v>25</v>
      </c>
      <c r="E588" s="56">
        <v>1.3316288484070001E-3</v>
      </c>
    </row>
    <row r="589" spans="2:5" ht="15" customHeight="1">
      <c r="B589" s="90"/>
      <c r="C589" s="54" t="s">
        <v>210</v>
      </c>
      <c r="D589" s="55">
        <v>3</v>
      </c>
      <c r="E589" s="56">
        <v>1.5979546180899999E-4</v>
      </c>
    </row>
    <row r="590" spans="2:5" ht="15" customHeight="1">
      <c r="B590" s="90"/>
      <c r="C590" s="54" t="s">
        <v>229</v>
      </c>
      <c r="D590" s="55">
        <v>2</v>
      </c>
      <c r="E590" s="56">
        <v>1.06530307873E-4</v>
      </c>
    </row>
    <row r="591" spans="2:5" ht="15" customHeight="1">
      <c r="B591" s="90"/>
      <c r="C591" s="54" t="s">
        <v>234</v>
      </c>
      <c r="D591" s="55">
        <v>6</v>
      </c>
      <c r="E591" s="56">
        <v>3.1959092361799997E-4</v>
      </c>
    </row>
    <row r="592" spans="2:5" ht="15" customHeight="1">
      <c r="B592" s="90"/>
      <c r="C592" s="54" t="s">
        <v>191</v>
      </c>
      <c r="D592" s="55">
        <v>22</v>
      </c>
      <c r="E592" s="56">
        <v>1.1718333865980001E-3</v>
      </c>
    </row>
    <row r="593" spans="2:5" ht="15" customHeight="1">
      <c r="B593" s="90"/>
      <c r="C593" s="54" t="s">
        <v>240</v>
      </c>
      <c r="D593" s="55">
        <v>1</v>
      </c>
      <c r="E593" s="56">
        <v>5.3265153936E-5</v>
      </c>
    </row>
    <row r="594" spans="2:5" ht="15" customHeight="1">
      <c r="B594" s="90"/>
      <c r="C594" s="54" t="s">
        <v>194</v>
      </c>
      <c r="D594" s="55">
        <v>20</v>
      </c>
      <c r="E594" s="56">
        <v>1.065303078726E-3</v>
      </c>
    </row>
    <row r="595" spans="2:5" ht="15" customHeight="1">
      <c r="B595" s="90"/>
      <c r="C595" s="54" t="s">
        <v>187</v>
      </c>
      <c r="D595" s="55">
        <v>16</v>
      </c>
      <c r="E595" s="56">
        <v>8.5224246298100002E-4</v>
      </c>
    </row>
    <row r="596" spans="2:5" ht="15" customHeight="1">
      <c r="B596" s="90"/>
      <c r="C596" s="54" t="s">
        <v>241</v>
      </c>
      <c r="D596" s="55">
        <v>2</v>
      </c>
      <c r="E596" s="56">
        <v>1.06530307873E-4</v>
      </c>
    </row>
    <row r="597" spans="2:5" ht="15" customHeight="1">
      <c r="B597" s="90"/>
      <c r="C597" s="54" t="s">
        <v>186</v>
      </c>
      <c r="D597" s="55">
        <v>12</v>
      </c>
      <c r="E597" s="56">
        <v>6.3918184723599995E-4</v>
      </c>
    </row>
    <row r="598" spans="2:5" ht="15" customHeight="1">
      <c r="B598" s="90"/>
      <c r="C598" s="54" t="s">
        <v>203</v>
      </c>
      <c r="D598" s="55">
        <v>2</v>
      </c>
      <c r="E598" s="56">
        <v>1.06530307873E-4</v>
      </c>
    </row>
    <row r="599" spans="2:5" ht="15" customHeight="1">
      <c r="B599" s="90"/>
      <c r="C599" s="54" t="s">
        <v>220</v>
      </c>
      <c r="D599" s="55">
        <v>3</v>
      </c>
      <c r="E599" s="56">
        <v>1.5979546180899999E-4</v>
      </c>
    </row>
    <row r="600" spans="2:5" ht="15" customHeight="1">
      <c r="B600" s="90"/>
      <c r="C600" s="54" t="s">
        <v>221</v>
      </c>
      <c r="D600" s="55">
        <v>3</v>
      </c>
      <c r="E600" s="56">
        <v>1.5979546180899999E-4</v>
      </c>
    </row>
    <row r="601" spans="2:5" ht="15" customHeight="1">
      <c r="B601" s="90"/>
      <c r="C601" s="54" t="s">
        <v>237</v>
      </c>
      <c r="D601" s="55">
        <v>3</v>
      </c>
      <c r="E601" s="56">
        <v>1.5979546180899999E-4</v>
      </c>
    </row>
    <row r="602" spans="2:5" ht="15" customHeight="1">
      <c r="B602" s="90"/>
      <c r="C602" s="54" t="s">
        <v>230</v>
      </c>
      <c r="D602" s="55">
        <v>1</v>
      </c>
      <c r="E602" s="56">
        <v>5.3265153936E-5</v>
      </c>
    </row>
    <row r="603" spans="2:5" ht="15" customHeight="1">
      <c r="B603" s="90"/>
      <c r="C603" s="54" t="s">
        <v>208</v>
      </c>
      <c r="D603" s="55">
        <v>12</v>
      </c>
      <c r="E603" s="56">
        <v>6.3918184723599995E-4</v>
      </c>
    </row>
    <row r="604" spans="2:5" ht="15" customHeight="1">
      <c r="B604" s="90"/>
      <c r="C604" s="54" t="s">
        <v>200</v>
      </c>
      <c r="D604" s="55">
        <v>35</v>
      </c>
      <c r="E604" s="56">
        <v>1.86428038777E-3</v>
      </c>
    </row>
    <row r="605" spans="2:5" ht="15" customHeight="1">
      <c r="B605" s="90"/>
      <c r="C605" s="54" t="s">
        <v>204</v>
      </c>
      <c r="D605" s="55">
        <v>6</v>
      </c>
      <c r="E605" s="56">
        <v>3.1959092361799997E-4</v>
      </c>
    </row>
    <row r="606" spans="2:5" ht="15" customHeight="1">
      <c r="B606" s="90"/>
      <c r="C606" s="54" t="s">
        <v>202</v>
      </c>
      <c r="D606" s="55">
        <v>8</v>
      </c>
      <c r="E606" s="56">
        <v>4.2612123148999997E-4</v>
      </c>
    </row>
    <row r="607" spans="2:5" ht="15" customHeight="1">
      <c r="B607" s="90"/>
      <c r="C607" s="54" t="s">
        <v>242</v>
      </c>
      <c r="D607" s="55">
        <v>3</v>
      </c>
      <c r="E607" s="56">
        <v>1.5979546180899999E-4</v>
      </c>
    </row>
    <row r="608" spans="2:5" ht="15" customHeight="1">
      <c r="B608" s="90"/>
      <c r="C608" s="54" t="s">
        <v>199</v>
      </c>
      <c r="D608" s="55">
        <v>8</v>
      </c>
      <c r="E608" s="56">
        <v>4.2612123148999997E-4</v>
      </c>
    </row>
    <row r="609" spans="2:5" ht="15" customHeight="1">
      <c r="B609" s="91"/>
      <c r="C609" s="65" t="s">
        <v>321</v>
      </c>
      <c r="D609" s="64">
        <v>1274</v>
      </c>
      <c r="E609" s="66">
        <v>6.7859806114839993E-2</v>
      </c>
    </row>
    <row r="610" spans="2:5" ht="15" customHeight="1">
      <c r="B610" s="89" t="s">
        <v>89</v>
      </c>
      <c r="C610" s="54" t="s">
        <v>188</v>
      </c>
      <c r="D610" s="55">
        <v>1</v>
      </c>
      <c r="E610" s="56">
        <v>5.3265153936E-5</v>
      </c>
    </row>
    <row r="611" spans="2:5" ht="15" customHeight="1">
      <c r="B611" s="90"/>
      <c r="C611" s="54" t="s">
        <v>182</v>
      </c>
      <c r="D611" s="55">
        <v>3</v>
      </c>
      <c r="E611" s="56">
        <v>1.5979546180899999E-4</v>
      </c>
    </row>
    <row r="612" spans="2:5" ht="15" customHeight="1">
      <c r="B612" s="90"/>
      <c r="C612" s="54" t="s">
        <v>183</v>
      </c>
      <c r="D612" s="55">
        <v>1</v>
      </c>
      <c r="E612" s="56">
        <v>5.3265153936E-5</v>
      </c>
    </row>
    <row r="613" spans="2:5" ht="15" customHeight="1">
      <c r="B613" s="90"/>
      <c r="C613" s="54" t="s">
        <v>185</v>
      </c>
      <c r="D613" s="55">
        <v>1</v>
      </c>
      <c r="E613" s="56">
        <v>5.3265153936E-5</v>
      </c>
    </row>
    <row r="614" spans="2:5" ht="15" customHeight="1">
      <c r="B614" s="90"/>
      <c r="C614" s="54" t="s">
        <v>181</v>
      </c>
      <c r="D614" s="55">
        <v>5</v>
      </c>
      <c r="E614" s="56">
        <v>2.6632576968100001E-4</v>
      </c>
    </row>
    <row r="615" spans="2:5" ht="15" customHeight="1">
      <c r="B615" s="91"/>
      <c r="C615" s="65" t="s">
        <v>321</v>
      </c>
      <c r="D615" s="64">
        <v>11</v>
      </c>
      <c r="E615" s="66">
        <v>5.8591669329900004E-4</v>
      </c>
    </row>
    <row r="616" spans="2:5" ht="15" customHeight="1">
      <c r="B616" s="89" t="s">
        <v>56</v>
      </c>
      <c r="C616" s="54" t="s">
        <v>195</v>
      </c>
      <c r="D616" s="55">
        <v>1</v>
      </c>
      <c r="E616" s="56">
        <v>5.3265153936E-5</v>
      </c>
    </row>
    <row r="617" spans="2:5" ht="15" customHeight="1">
      <c r="B617" s="90"/>
      <c r="C617" s="54" t="s">
        <v>196</v>
      </c>
      <c r="D617" s="55">
        <v>6</v>
      </c>
      <c r="E617" s="56">
        <v>3.1959092361799997E-4</v>
      </c>
    </row>
    <row r="618" spans="2:5" ht="15" customHeight="1">
      <c r="B618" s="90"/>
      <c r="C618" s="54" t="s">
        <v>232</v>
      </c>
      <c r="D618" s="55">
        <v>1</v>
      </c>
      <c r="E618" s="56">
        <v>5.3265153936E-5</v>
      </c>
    </row>
    <row r="619" spans="2:5" ht="15" customHeight="1">
      <c r="B619" s="90"/>
      <c r="C619" s="54" t="s">
        <v>216</v>
      </c>
      <c r="D619" s="55">
        <v>4</v>
      </c>
      <c r="E619" s="56">
        <v>2.1306061574499999E-4</v>
      </c>
    </row>
    <row r="620" spans="2:5" ht="15" customHeight="1">
      <c r="B620" s="90"/>
      <c r="C620" s="54" t="s">
        <v>198</v>
      </c>
      <c r="D620" s="55">
        <v>1</v>
      </c>
      <c r="E620" s="56">
        <v>5.3265153936E-5</v>
      </c>
    </row>
    <row r="621" spans="2:5" ht="15" customHeight="1">
      <c r="B621" s="90"/>
      <c r="C621" s="54" t="s">
        <v>201</v>
      </c>
      <c r="D621" s="55">
        <v>2</v>
      </c>
      <c r="E621" s="56">
        <v>1.06530307873E-4</v>
      </c>
    </row>
    <row r="622" spans="2:5" ht="15" customHeight="1">
      <c r="B622" s="90"/>
      <c r="C622" s="54" t="s">
        <v>188</v>
      </c>
      <c r="D622" s="55">
        <v>6</v>
      </c>
      <c r="E622" s="56">
        <v>3.1959092361799997E-4</v>
      </c>
    </row>
    <row r="623" spans="2:5" ht="15" customHeight="1">
      <c r="B623" s="90"/>
      <c r="C623" s="54" t="s">
        <v>212</v>
      </c>
      <c r="D623" s="55">
        <v>2</v>
      </c>
      <c r="E623" s="56">
        <v>1.06530307873E-4</v>
      </c>
    </row>
    <row r="624" spans="2:5" ht="15" customHeight="1">
      <c r="B624" s="90"/>
      <c r="C624" s="54" t="s">
        <v>217</v>
      </c>
      <c r="D624" s="55">
        <v>7</v>
      </c>
      <c r="E624" s="56">
        <v>3.7285607755399997E-4</v>
      </c>
    </row>
    <row r="625" spans="2:5" ht="15" customHeight="1">
      <c r="B625" s="90"/>
      <c r="C625" s="54" t="s">
        <v>182</v>
      </c>
      <c r="D625" s="55">
        <v>67</v>
      </c>
      <c r="E625" s="56">
        <v>3.5687653137319998E-3</v>
      </c>
    </row>
    <row r="626" spans="2:5" ht="15" customHeight="1">
      <c r="B626" s="90"/>
      <c r="C626" s="54" t="s">
        <v>243</v>
      </c>
      <c r="D626" s="55">
        <v>2</v>
      </c>
      <c r="E626" s="56">
        <v>1.06530307873E-4</v>
      </c>
    </row>
    <row r="627" spans="2:5" ht="15" customHeight="1">
      <c r="B627" s="90"/>
      <c r="C627" s="54" t="s">
        <v>184</v>
      </c>
      <c r="D627" s="55">
        <v>19</v>
      </c>
      <c r="E627" s="56">
        <v>1.0120379247899999E-3</v>
      </c>
    </row>
    <row r="628" spans="2:5" ht="15" customHeight="1">
      <c r="B628" s="90"/>
      <c r="C628" s="54" t="s">
        <v>183</v>
      </c>
      <c r="D628" s="55">
        <v>39</v>
      </c>
      <c r="E628" s="56">
        <v>2.0773410035159999E-3</v>
      </c>
    </row>
    <row r="629" spans="2:5" ht="15" customHeight="1">
      <c r="B629" s="90"/>
      <c r="C629" s="54" t="s">
        <v>206</v>
      </c>
      <c r="D629" s="55">
        <v>21</v>
      </c>
      <c r="E629" s="56">
        <v>1.118568232662E-3</v>
      </c>
    </row>
    <row r="630" spans="2:5" ht="15" customHeight="1">
      <c r="B630" s="90"/>
      <c r="C630" s="54" t="s">
        <v>197</v>
      </c>
      <c r="D630" s="55">
        <v>1</v>
      </c>
      <c r="E630" s="56">
        <v>5.3265153936E-5</v>
      </c>
    </row>
    <row r="631" spans="2:5" ht="15" customHeight="1">
      <c r="B631" s="90"/>
      <c r="C631" s="54" t="s">
        <v>233</v>
      </c>
      <c r="D631" s="55">
        <v>1</v>
      </c>
      <c r="E631" s="56">
        <v>5.3265153936E-5</v>
      </c>
    </row>
    <row r="632" spans="2:5" ht="15" customHeight="1">
      <c r="B632" s="90"/>
      <c r="C632" s="54" t="s">
        <v>218</v>
      </c>
      <c r="D632" s="55">
        <v>1</v>
      </c>
      <c r="E632" s="56">
        <v>5.3265153936E-5</v>
      </c>
    </row>
    <row r="633" spans="2:5" ht="15" customHeight="1">
      <c r="B633" s="90"/>
      <c r="C633" s="54" t="s">
        <v>214</v>
      </c>
      <c r="D633" s="55">
        <v>2</v>
      </c>
      <c r="E633" s="56">
        <v>1.06530307873E-4</v>
      </c>
    </row>
    <row r="634" spans="2:5" ht="15" customHeight="1">
      <c r="B634" s="90"/>
      <c r="C634" s="54" t="s">
        <v>207</v>
      </c>
      <c r="D634" s="55">
        <v>5</v>
      </c>
      <c r="E634" s="56">
        <v>2.6632576968100001E-4</v>
      </c>
    </row>
    <row r="635" spans="2:5" ht="15" customHeight="1">
      <c r="B635" s="90"/>
      <c r="C635" s="54" t="s">
        <v>189</v>
      </c>
      <c r="D635" s="55">
        <v>8</v>
      </c>
      <c r="E635" s="56">
        <v>4.2612123148999997E-4</v>
      </c>
    </row>
    <row r="636" spans="2:5" ht="15" customHeight="1">
      <c r="B636" s="90"/>
      <c r="C636" s="54" t="s">
        <v>219</v>
      </c>
      <c r="D636" s="55">
        <v>3</v>
      </c>
      <c r="E636" s="56">
        <v>1.5979546180899999E-4</v>
      </c>
    </row>
    <row r="637" spans="2:5" ht="15" customHeight="1">
      <c r="B637" s="90"/>
      <c r="C637" s="54" t="s">
        <v>185</v>
      </c>
      <c r="D637" s="55">
        <v>16</v>
      </c>
      <c r="E637" s="56">
        <v>8.5224246298100002E-4</v>
      </c>
    </row>
    <row r="638" spans="2:5" ht="15" customHeight="1">
      <c r="B638" s="90"/>
      <c r="C638" s="54" t="s">
        <v>213</v>
      </c>
      <c r="D638" s="55">
        <v>1</v>
      </c>
      <c r="E638" s="56">
        <v>5.3265153936E-5</v>
      </c>
    </row>
    <row r="639" spans="2:5" ht="15" customHeight="1">
      <c r="B639" s="90"/>
      <c r="C639" s="54" t="s">
        <v>215</v>
      </c>
      <c r="D639" s="55">
        <v>7</v>
      </c>
      <c r="E639" s="56">
        <v>3.7285607755399997E-4</v>
      </c>
    </row>
    <row r="640" spans="2:5" ht="15" customHeight="1">
      <c r="B640" s="90"/>
      <c r="C640" s="54" t="s">
        <v>190</v>
      </c>
      <c r="D640" s="55">
        <v>2</v>
      </c>
      <c r="E640" s="56">
        <v>1.06530307873E-4</v>
      </c>
    </row>
    <row r="641" spans="2:5" ht="15" customHeight="1">
      <c r="B641" s="90"/>
      <c r="C641" s="54" t="s">
        <v>181</v>
      </c>
      <c r="D641" s="55">
        <v>103</v>
      </c>
      <c r="E641" s="56">
        <v>5.4863108554380003E-3</v>
      </c>
    </row>
    <row r="642" spans="2:5" ht="15" customHeight="1">
      <c r="B642" s="90"/>
      <c r="C642" s="54" t="s">
        <v>236</v>
      </c>
      <c r="D642" s="55">
        <v>1</v>
      </c>
      <c r="E642" s="56">
        <v>5.3265153936E-5</v>
      </c>
    </row>
    <row r="643" spans="2:5" ht="15" customHeight="1">
      <c r="B643" s="90"/>
      <c r="C643" s="54" t="s">
        <v>192</v>
      </c>
      <c r="D643" s="55">
        <v>4</v>
      </c>
      <c r="E643" s="56">
        <v>2.1306061574499999E-4</v>
      </c>
    </row>
    <row r="644" spans="2:5" ht="15" customHeight="1">
      <c r="B644" s="90"/>
      <c r="C644" s="54" t="s">
        <v>229</v>
      </c>
      <c r="D644" s="55">
        <v>3</v>
      </c>
      <c r="E644" s="56">
        <v>1.5979546180899999E-4</v>
      </c>
    </row>
    <row r="645" spans="2:5" ht="15" customHeight="1">
      <c r="B645" s="90"/>
      <c r="C645" s="54" t="s">
        <v>191</v>
      </c>
      <c r="D645" s="55">
        <v>4</v>
      </c>
      <c r="E645" s="56">
        <v>2.1306061574499999E-4</v>
      </c>
    </row>
    <row r="646" spans="2:5" ht="15" customHeight="1">
      <c r="B646" s="90"/>
      <c r="C646" s="54" t="s">
        <v>194</v>
      </c>
      <c r="D646" s="55">
        <v>15</v>
      </c>
      <c r="E646" s="56">
        <v>7.98977309044E-4</v>
      </c>
    </row>
    <row r="647" spans="2:5" ht="15" customHeight="1">
      <c r="B647" s="90"/>
      <c r="C647" s="54" t="s">
        <v>226</v>
      </c>
      <c r="D647" s="55">
        <v>1</v>
      </c>
      <c r="E647" s="56">
        <v>5.3265153936E-5</v>
      </c>
    </row>
    <row r="648" spans="2:5" ht="15" customHeight="1">
      <c r="B648" s="90"/>
      <c r="C648" s="54" t="s">
        <v>187</v>
      </c>
      <c r="D648" s="55">
        <v>13</v>
      </c>
      <c r="E648" s="56">
        <v>6.92447001172E-4</v>
      </c>
    </row>
    <row r="649" spans="2:5" ht="15" customHeight="1">
      <c r="B649" s="90"/>
      <c r="C649" s="54" t="s">
        <v>186</v>
      </c>
      <c r="D649" s="55">
        <v>1</v>
      </c>
      <c r="E649" s="56">
        <v>5.3265153936E-5</v>
      </c>
    </row>
    <row r="650" spans="2:5" ht="15" customHeight="1">
      <c r="B650" s="90"/>
      <c r="C650" s="54" t="s">
        <v>220</v>
      </c>
      <c r="D650" s="55">
        <v>1</v>
      </c>
      <c r="E650" s="56">
        <v>5.3265153936E-5</v>
      </c>
    </row>
    <row r="651" spans="2:5" ht="15" customHeight="1">
      <c r="B651" s="90"/>
      <c r="C651" s="54" t="s">
        <v>221</v>
      </c>
      <c r="D651" s="55">
        <v>1</v>
      </c>
      <c r="E651" s="56">
        <v>5.3265153936E-5</v>
      </c>
    </row>
    <row r="652" spans="2:5" ht="15" customHeight="1">
      <c r="B652" s="90"/>
      <c r="C652" s="54" t="s">
        <v>224</v>
      </c>
      <c r="D652" s="55">
        <v>1</v>
      </c>
      <c r="E652" s="56">
        <v>5.3265153936E-5</v>
      </c>
    </row>
    <row r="653" spans="2:5" ht="15" customHeight="1">
      <c r="B653" s="90"/>
      <c r="C653" s="54" t="s">
        <v>208</v>
      </c>
      <c r="D653" s="55">
        <v>1</v>
      </c>
      <c r="E653" s="56">
        <v>5.3265153936E-5</v>
      </c>
    </row>
    <row r="654" spans="2:5" ht="15" customHeight="1">
      <c r="B654" s="90"/>
      <c r="C654" s="54" t="s">
        <v>200</v>
      </c>
      <c r="D654" s="55">
        <v>2</v>
      </c>
      <c r="E654" s="56">
        <v>1.06530307873E-4</v>
      </c>
    </row>
    <row r="655" spans="2:5" ht="15" customHeight="1">
      <c r="B655" s="90"/>
      <c r="C655" s="54" t="s">
        <v>202</v>
      </c>
      <c r="D655" s="55">
        <v>14</v>
      </c>
      <c r="E655" s="56">
        <v>7.4571215510799995E-4</v>
      </c>
    </row>
    <row r="656" spans="2:5" ht="15" customHeight="1">
      <c r="B656" s="90"/>
      <c r="C656" s="54" t="s">
        <v>231</v>
      </c>
      <c r="D656" s="55">
        <v>1</v>
      </c>
      <c r="E656" s="56">
        <v>5.3265153936E-5</v>
      </c>
    </row>
    <row r="657" spans="2:5" ht="15" customHeight="1">
      <c r="B657" s="90"/>
      <c r="C657" s="54" t="s">
        <v>242</v>
      </c>
      <c r="D657" s="55">
        <v>5</v>
      </c>
      <c r="E657" s="56">
        <v>2.6632576968100001E-4</v>
      </c>
    </row>
    <row r="658" spans="2:5" ht="15" customHeight="1">
      <c r="B658" s="90"/>
      <c r="C658" s="54" t="s">
        <v>239</v>
      </c>
      <c r="D658" s="55">
        <v>1</v>
      </c>
      <c r="E658" s="56">
        <v>5.3265153936E-5</v>
      </c>
    </row>
    <row r="659" spans="2:5" ht="15" customHeight="1">
      <c r="B659" s="90"/>
      <c r="C659" s="54" t="s">
        <v>199</v>
      </c>
      <c r="D659" s="55">
        <v>6</v>
      </c>
      <c r="E659" s="56">
        <v>3.1959092361799997E-4</v>
      </c>
    </row>
    <row r="660" spans="2:5" ht="15" customHeight="1">
      <c r="B660" s="91"/>
      <c r="C660" s="65" t="s">
        <v>321</v>
      </c>
      <c r="D660" s="64">
        <v>403</v>
      </c>
      <c r="E660" s="66">
        <v>2.1465857036326998E-2</v>
      </c>
    </row>
    <row r="661" spans="2:5" ht="15" customHeight="1">
      <c r="B661" s="89" t="s">
        <v>57</v>
      </c>
      <c r="C661" s="54" t="s">
        <v>205</v>
      </c>
      <c r="D661" s="55">
        <v>1</v>
      </c>
      <c r="E661" s="56">
        <v>5.3265153936E-5</v>
      </c>
    </row>
    <row r="662" spans="2:5" ht="15" customHeight="1">
      <c r="B662" s="90"/>
      <c r="C662" s="54" t="s">
        <v>195</v>
      </c>
      <c r="D662" s="55">
        <v>10</v>
      </c>
      <c r="E662" s="56">
        <v>5.3265153936299999E-4</v>
      </c>
    </row>
    <row r="663" spans="2:5" ht="15" customHeight="1">
      <c r="B663" s="90"/>
      <c r="C663" s="54" t="s">
        <v>196</v>
      </c>
      <c r="D663" s="55">
        <v>1</v>
      </c>
      <c r="E663" s="56">
        <v>5.3265153936E-5</v>
      </c>
    </row>
    <row r="664" spans="2:5" ht="15" customHeight="1">
      <c r="B664" s="90"/>
      <c r="C664" s="54" t="s">
        <v>216</v>
      </c>
      <c r="D664" s="55">
        <v>1</v>
      </c>
      <c r="E664" s="56">
        <v>5.3265153936E-5</v>
      </c>
    </row>
    <row r="665" spans="2:5" ht="15" customHeight="1">
      <c r="B665" s="90"/>
      <c r="C665" s="54" t="s">
        <v>211</v>
      </c>
      <c r="D665" s="55">
        <v>1</v>
      </c>
      <c r="E665" s="56">
        <v>5.3265153936E-5</v>
      </c>
    </row>
    <row r="666" spans="2:5" ht="15" customHeight="1">
      <c r="B666" s="90"/>
      <c r="C666" s="54" t="s">
        <v>222</v>
      </c>
      <c r="D666" s="55">
        <v>1</v>
      </c>
      <c r="E666" s="56">
        <v>5.3265153936E-5</v>
      </c>
    </row>
    <row r="667" spans="2:5" ht="15" customHeight="1">
      <c r="B667" s="90"/>
      <c r="C667" s="54" t="s">
        <v>198</v>
      </c>
      <c r="D667" s="55">
        <v>1</v>
      </c>
      <c r="E667" s="56">
        <v>5.3265153936E-5</v>
      </c>
    </row>
    <row r="668" spans="2:5" ht="15" customHeight="1">
      <c r="B668" s="90"/>
      <c r="C668" s="54" t="s">
        <v>201</v>
      </c>
      <c r="D668" s="55">
        <v>1</v>
      </c>
      <c r="E668" s="56">
        <v>5.3265153936E-5</v>
      </c>
    </row>
    <row r="669" spans="2:5" ht="15" customHeight="1">
      <c r="B669" s="90"/>
      <c r="C669" s="54" t="s">
        <v>188</v>
      </c>
      <c r="D669" s="55">
        <v>5</v>
      </c>
      <c r="E669" s="56">
        <v>2.6632576968100001E-4</v>
      </c>
    </row>
    <row r="670" spans="2:5" ht="15" customHeight="1">
      <c r="B670" s="90"/>
      <c r="C670" s="54" t="s">
        <v>212</v>
      </c>
      <c r="D670" s="55">
        <v>8</v>
      </c>
      <c r="E670" s="56">
        <v>4.2612123148999997E-4</v>
      </c>
    </row>
    <row r="671" spans="2:5" ht="15" customHeight="1">
      <c r="B671" s="90"/>
      <c r="C671" s="54" t="s">
        <v>182</v>
      </c>
      <c r="D671" s="55">
        <v>76</v>
      </c>
      <c r="E671" s="56">
        <v>4.0481516991580004E-3</v>
      </c>
    </row>
    <row r="672" spans="2:5" ht="15" customHeight="1">
      <c r="B672" s="90"/>
      <c r="C672" s="54" t="s">
        <v>223</v>
      </c>
      <c r="D672" s="55">
        <v>1</v>
      </c>
      <c r="E672" s="56">
        <v>5.3265153936E-5</v>
      </c>
    </row>
    <row r="673" spans="2:5" ht="15" customHeight="1">
      <c r="B673" s="90"/>
      <c r="C673" s="54" t="s">
        <v>184</v>
      </c>
      <c r="D673" s="55">
        <v>17</v>
      </c>
      <c r="E673" s="56">
        <v>9.0550761691699996E-4</v>
      </c>
    </row>
    <row r="674" spans="2:5" ht="15" customHeight="1">
      <c r="B674" s="90"/>
      <c r="C674" s="54" t="s">
        <v>183</v>
      </c>
      <c r="D674" s="55">
        <v>24</v>
      </c>
      <c r="E674" s="56">
        <v>1.278363694471E-3</v>
      </c>
    </row>
    <row r="675" spans="2:5" ht="15" customHeight="1">
      <c r="B675" s="90"/>
      <c r="C675" s="54" t="s">
        <v>197</v>
      </c>
      <c r="D675" s="55">
        <v>2</v>
      </c>
      <c r="E675" s="56">
        <v>1.06530307873E-4</v>
      </c>
    </row>
    <row r="676" spans="2:5" ht="15" customHeight="1">
      <c r="B676" s="90"/>
      <c r="C676" s="54" t="s">
        <v>246</v>
      </c>
      <c r="D676" s="55">
        <v>1</v>
      </c>
      <c r="E676" s="56">
        <v>5.3265153936E-5</v>
      </c>
    </row>
    <row r="677" spans="2:5" ht="15" customHeight="1">
      <c r="B677" s="90"/>
      <c r="C677" s="54" t="s">
        <v>214</v>
      </c>
      <c r="D677" s="55">
        <v>2</v>
      </c>
      <c r="E677" s="56">
        <v>1.06530307873E-4</v>
      </c>
    </row>
    <row r="678" spans="2:5" ht="15" customHeight="1">
      <c r="B678" s="90"/>
      <c r="C678" s="54" t="s">
        <v>193</v>
      </c>
      <c r="D678" s="55">
        <v>1</v>
      </c>
      <c r="E678" s="56">
        <v>5.3265153936E-5</v>
      </c>
    </row>
    <row r="679" spans="2:5" ht="15" customHeight="1">
      <c r="B679" s="90"/>
      <c r="C679" s="54" t="s">
        <v>207</v>
      </c>
      <c r="D679" s="55">
        <v>1</v>
      </c>
      <c r="E679" s="56">
        <v>5.3265153936E-5</v>
      </c>
    </row>
    <row r="680" spans="2:5" ht="15" customHeight="1">
      <c r="B680" s="90"/>
      <c r="C680" s="54" t="s">
        <v>189</v>
      </c>
      <c r="D680" s="55">
        <v>6</v>
      </c>
      <c r="E680" s="56">
        <v>3.1959092361799997E-4</v>
      </c>
    </row>
    <row r="681" spans="2:5" ht="15" customHeight="1">
      <c r="B681" s="90"/>
      <c r="C681" s="54" t="s">
        <v>185</v>
      </c>
      <c r="D681" s="55">
        <v>15</v>
      </c>
      <c r="E681" s="56">
        <v>7.98977309044E-4</v>
      </c>
    </row>
    <row r="682" spans="2:5" ht="15" customHeight="1">
      <c r="B682" s="90"/>
      <c r="C682" s="54" t="s">
        <v>244</v>
      </c>
      <c r="D682" s="55">
        <v>1</v>
      </c>
      <c r="E682" s="56">
        <v>5.3265153936E-5</v>
      </c>
    </row>
    <row r="683" spans="2:5" ht="15" customHeight="1">
      <c r="B683" s="90"/>
      <c r="C683" s="54" t="s">
        <v>213</v>
      </c>
      <c r="D683" s="55">
        <v>1</v>
      </c>
      <c r="E683" s="56">
        <v>5.3265153936E-5</v>
      </c>
    </row>
    <row r="684" spans="2:5" ht="15" customHeight="1">
      <c r="B684" s="90"/>
      <c r="C684" s="54" t="s">
        <v>215</v>
      </c>
      <c r="D684" s="55">
        <v>1</v>
      </c>
      <c r="E684" s="56">
        <v>5.3265153936E-5</v>
      </c>
    </row>
    <row r="685" spans="2:5" ht="15" customHeight="1">
      <c r="B685" s="90"/>
      <c r="C685" s="54" t="s">
        <v>190</v>
      </c>
      <c r="D685" s="55">
        <v>5</v>
      </c>
      <c r="E685" s="56">
        <v>2.6632576968100001E-4</v>
      </c>
    </row>
    <row r="686" spans="2:5" ht="15" customHeight="1">
      <c r="B686" s="90"/>
      <c r="C686" s="54" t="s">
        <v>181</v>
      </c>
      <c r="D686" s="55">
        <v>73</v>
      </c>
      <c r="E686" s="56">
        <v>3.8883562373499998E-3</v>
      </c>
    </row>
    <row r="687" spans="2:5" ht="15" customHeight="1">
      <c r="B687" s="90"/>
      <c r="C687" s="54" t="s">
        <v>236</v>
      </c>
      <c r="D687" s="55">
        <v>2</v>
      </c>
      <c r="E687" s="56">
        <v>1.06530307873E-4</v>
      </c>
    </row>
    <row r="688" spans="2:5" ht="15" customHeight="1">
      <c r="B688" s="90"/>
      <c r="C688" s="54" t="s">
        <v>192</v>
      </c>
      <c r="D688" s="55">
        <v>5</v>
      </c>
      <c r="E688" s="56">
        <v>2.6632576968100001E-4</v>
      </c>
    </row>
    <row r="689" spans="2:5" ht="15" customHeight="1">
      <c r="B689" s="90"/>
      <c r="C689" s="54" t="s">
        <v>248</v>
      </c>
      <c r="D689" s="55">
        <v>1</v>
      </c>
      <c r="E689" s="56">
        <v>5.3265153936E-5</v>
      </c>
    </row>
    <row r="690" spans="2:5" ht="15" customHeight="1">
      <c r="B690" s="90"/>
      <c r="C690" s="54" t="s">
        <v>229</v>
      </c>
      <c r="D690" s="55">
        <v>1</v>
      </c>
      <c r="E690" s="56">
        <v>5.3265153936E-5</v>
      </c>
    </row>
    <row r="691" spans="2:5" ht="15" customHeight="1">
      <c r="B691" s="90"/>
      <c r="C691" s="54" t="s">
        <v>191</v>
      </c>
      <c r="D691" s="55">
        <v>3</v>
      </c>
      <c r="E691" s="56">
        <v>1.5979546180899999E-4</v>
      </c>
    </row>
    <row r="692" spans="2:5" ht="15" customHeight="1">
      <c r="B692" s="90"/>
      <c r="C692" s="54" t="s">
        <v>240</v>
      </c>
      <c r="D692" s="55">
        <v>1</v>
      </c>
      <c r="E692" s="56">
        <v>5.3265153936E-5</v>
      </c>
    </row>
    <row r="693" spans="2:5" ht="15" customHeight="1">
      <c r="B693" s="90"/>
      <c r="C693" s="54" t="s">
        <v>194</v>
      </c>
      <c r="D693" s="55">
        <v>1</v>
      </c>
      <c r="E693" s="56">
        <v>5.3265153936E-5</v>
      </c>
    </row>
    <row r="694" spans="2:5" ht="15" customHeight="1">
      <c r="B694" s="90"/>
      <c r="C694" s="54" t="s">
        <v>187</v>
      </c>
      <c r="D694" s="55">
        <v>7</v>
      </c>
      <c r="E694" s="56">
        <v>3.7285607755399997E-4</v>
      </c>
    </row>
    <row r="695" spans="2:5" ht="15" customHeight="1">
      <c r="B695" s="90"/>
      <c r="C695" s="54" t="s">
        <v>186</v>
      </c>
      <c r="D695" s="55">
        <v>5</v>
      </c>
      <c r="E695" s="56">
        <v>2.6632576968100001E-4</v>
      </c>
    </row>
    <row r="696" spans="2:5" ht="15" customHeight="1">
      <c r="B696" s="90"/>
      <c r="C696" s="54" t="s">
        <v>203</v>
      </c>
      <c r="D696" s="55">
        <v>1</v>
      </c>
      <c r="E696" s="56">
        <v>5.3265153936E-5</v>
      </c>
    </row>
    <row r="697" spans="2:5" ht="15" customHeight="1">
      <c r="B697" s="90"/>
      <c r="C697" s="54" t="s">
        <v>221</v>
      </c>
      <c r="D697" s="55">
        <v>1</v>
      </c>
      <c r="E697" s="56">
        <v>5.3265153936E-5</v>
      </c>
    </row>
    <row r="698" spans="2:5" ht="15" customHeight="1">
      <c r="B698" s="90"/>
      <c r="C698" s="54" t="s">
        <v>224</v>
      </c>
      <c r="D698" s="55">
        <v>3</v>
      </c>
      <c r="E698" s="56">
        <v>1.5979546180899999E-4</v>
      </c>
    </row>
    <row r="699" spans="2:5" ht="15" customHeight="1">
      <c r="B699" s="90"/>
      <c r="C699" s="54" t="s">
        <v>200</v>
      </c>
      <c r="D699" s="55">
        <v>3</v>
      </c>
      <c r="E699" s="56">
        <v>1.5979546180899999E-4</v>
      </c>
    </row>
    <row r="700" spans="2:5" ht="15" customHeight="1">
      <c r="B700" s="90"/>
      <c r="C700" s="54" t="s">
        <v>242</v>
      </c>
      <c r="D700" s="55">
        <v>1</v>
      </c>
      <c r="E700" s="56">
        <v>5.3265153936E-5</v>
      </c>
    </row>
    <row r="701" spans="2:5" ht="15" customHeight="1">
      <c r="B701" s="90"/>
      <c r="C701" s="54" t="s">
        <v>199</v>
      </c>
      <c r="D701" s="55">
        <v>1</v>
      </c>
      <c r="E701" s="56">
        <v>5.3265153936E-5</v>
      </c>
    </row>
    <row r="702" spans="2:5" ht="15" customHeight="1">
      <c r="B702" s="91"/>
      <c r="C702" s="65" t="s">
        <v>321</v>
      </c>
      <c r="D702" s="64">
        <v>293</v>
      </c>
      <c r="E702" s="66">
        <v>1.5606690103334001E-2</v>
      </c>
    </row>
    <row r="703" spans="2:5" ht="15" customHeight="1">
      <c r="B703" s="89" t="s">
        <v>55</v>
      </c>
      <c r="C703" s="54" t="s">
        <v>195</v>
      </c>
      <c r="D703" s="55">
        <v>1</v>
      </c>
      <c r="E703" s="56">
        <v>5.3265153936E-5</v>
      </c>
    </row>
    <row r="704" spans="2:5" ht="15" customHeight="1">
      <c r="B704" s="90"/>
      <c r="C704" s="54" t="s">
        <v>196</v>
      </c>
      <c r="D704" s="55">
        <v>5</v>
      </c>
      <c r="E704" s="56">
        <v>2.6632576968100001E-4</v>
      </c>
    </row>
    <row r="705" spans="2:5" ht="15" customHeight="1">
      <c r="B705" s="90"/>
      <c r="C705" s="54" t="s">
        <v>232</v>
      </c>
      <c r="D705" s="55">
        <v>2</v>
      </c>
      <c r="E705" s="56">
        <v>1.06530307873E-4</v>
      </c>
    </row>
    <row r="706" spans="2:5" ht="15" customHeight="1">
      <c r="B706" s="90"/>
      <c r="C706" s="54" t="s">
        <v>211</v>
      </c>
      <c r="D706" s="55">
        <v>1</v>
      </c>
      <c r="E706" s="56">
        <v>5.3265153936E-5</v>
      </c>
    </row>
    <row r="707" spans="2:5" ht="15" customHeight="1">
      <c r="B707" s="90"/>
      <c r="C707" s="54" t="s">
        <v>222</v>
      </c>
      <c r="D707" s="55">
        <v>1</v>
      </c>
      <c r="E707" s="56">
        <v>5.3265153936E-5</v>
      </c>
    </row>
    <row r="708" spans="2:5" ht="15" customHeight="1">
      <c r="B708" s="90"/>
      <c r="C708" s="54" t="s">
        <v>201</v>
      </c>
      <c r="D708" s="55">
        <v>4</v>
      </c>
      <c r="E708" s="56">
        <v>2.1306061574499999E-4</v>
      </c>
    </row>
    <row r="709" spans="2:5" ht="15" customHeight="1">
      <c r="B709" s="90"/>
      <c r="C709" s="54" t="s">
        <v>188</v>
      </c>
      <c r="D709" s="55">
        <v>2</v>
      </c>
      <c r="E709" s="56">
        <v>1.06530307873E-4</v>
      </c>
    </row>
    <row r="710" spans="2:5" ht="15" customHeight="1">
      <c r="B710" s="90"/>
      <c r="C710" s="54" t="s">
        <v>212</v>
      </c>
      <c r="D710" s="55">
        <v>1</v>
      </c>
      <c r="E710" s="56">
        <v>5.3265153936E-5</v>
      </c>
    </row>
    <row r="711" spans="2:5" ht="15" customHeight="1">
      <c r="B711" s="90"/>
      <c r="C711" s="54" t="s">
        <v>217</v>
      </c>
      <c r="D711" s="55">
        <v>1</v>
      </c>
      <c r="E711" s="56">
        <v>5.3265153936E-5</v>
      </c>
    </row>
    <row r="712" spans="2:5" ht="15" customHeight="1">
      <c r="B712" s="90"/>
      <c r="C712" s="54" t="s">
        <v>182</v>
      </c>
      <c r="D712" s="55">
        <v>110</v>
      </c>
      <c r="E712" s="56">
        <v>5.8591669329920004E-3</v>
      </c>
    </row>
    <row r="713" spans="2:5" ht="15" customHeight="1">
      <c r="B713" s="90"/>
      <c r="C713" s="54" t="s">
        <v>225</v>
      </c>
      <c r="D713" s="55">
        <v>5</v>
      </c>
      <c r="E713" s="56">
        <v>2.6632576968100001E-4</v>
      </c>
    </row>
    <row r="714" spans="2:5" ht="15" customHeight="1">
      <c r="B714" s="90"/>
      <c r="C714" s="54" t="s">
        <v>184</v>
      </c>
      <c r="D714" s="55">
        <v>12</v>
      </c>
      <c r="E714" s="56">
        <v>6.3918184723599995E-4</v>
      </c>
    </row>
    <row r="715" spans="2:5" ht="15" customHeight="1">
      <c r="B715" s="90"/>
      <c r="C715" s="54" t="s">
        <v>209</v>
      </c>
      <c r="D715" s="55">
        <v>3</v>
      </c>
      <c r="E715" s="56">
        <v>1.5979546180899999E-4</v>
      </c>
    </row>
    <row r="716" spans="2:5" ht="15" customHeight="1">
      <c r="B716" s="90"/>
      <c r="C716" s="54" t="s">
        <v>183</v>
      </c>
      <c r="D716" s="55">
        <v>37</v>
      </c>
      <c r="E716" s="56">
        <v>1.9708106956430002E-3</v>
      </c>
    </row>
    <row r="717" spans="2:5" ht="15" customHeight="1">
      <c r="B717" s="90"/>
      <c r="C717" s="54" t="s">
        <v>206</v>
      </c>
      <c r="D717" s="55">
        <v>2</v>
      </c>
      <c r="E717" s="56">
        <v>1.06530307873E-4</v>
      </c>
    </row>
    <row r="718" spans="2:5" ht="15" customHeight="1">
      <c r="B718" s="90"/>
      <c r="C718" s="54" t="s">
        <v>197</v>
      </c>
      <c r="D718" s="55">
        <v>3</v>
      </c>
      <c r="E718" s="56">
        <v>1.5979546180899999E-4</v>
      </c>
    </row>
    <row r="719" spans="2:5" ht="15" customHeight="1">
      <c r="B719" s="90"/>
      <c r="C719" s="54" t="s">
        <v>233</v>
      </c>
      <c r="D719" s="55">
        <v>1</v>
      </c>
      <c r="E719" s="56">
        <v>5.3265153936E-5</v>
      </c>
    </row>
    <row r="720" spans="2:5" ht="15" customHeight="1">
      <c r="B720" s="90"/>
      <c r="C720" s="54" t="s">
        <v>218</v>
      </c>
      <c r="D720" s="55">
        <v>3</v>
      </c>
      <c r="E720" s="56">
        <v>1.5979546180899999E-4</v>
      </c>
    </row>
    <row r="721" spans="2:5" ht="15" customHeight="1">
      <c r="B721" s="90"/>
      <c r="C721" s="54" t="s">
        <v>214</v>
      </c>
      <c r="D721" s="55">
        <v>6</v>
      </c>
      <c r="E721" s="56">
        <v>3.1959092361799997E-4</v>
      </c>
    </row>
    <row r="722" spans="2:5" ht="15" customHeight="1">
      <c r="B722" s="90"/>
      <c r="C722" s="54" t="s">
        <v>193</v>
      </c>
      <c r="D722" s="55">
        <v>1</v>
      </c>
      <c r="E722" s="56">
        <v>5.3265153936E-5</v>
      </c>
    </row>
    <row r="723" spans="2:5" ht="15" customHeight="1">
      <c r="B723" s="90"/>
      <c r="C723" s="54" t="s">
        <v>207</v>
      </c>
      <c r="D723" s="55">
        <v>14</v>
      </c>
      <c r="E723" s="56">
        <v>7.4571215510799995E-4</v>
      </c>
    </row>
    <row r="724" spans="2:5" ht="15" customHeight="1">
      <c r="B724" s="90"/>
      <c r="C724" s="54" t="s">
        <v>247</v>
      </c>
      <c r="D724" s="55">
        <v>1</v>
      </c>
      <c r="E724" s="56">
        <v>5.3265153936E-5</v>
      </c>
    </row>
    <row r="725" spans="2:5" ht="15" customHeight="1">
      <c r="B725" s="90"/>
      <c r="C725" s="54" t="s">
        <v>189</v>
      </c>
      <c r="D725" s="55">
        <v>4</v>
      </c>
      <c r="E725" s="56">
        <v>2.1306061574499999E-4</v>
      </c>
    </row>
    <row r="726" spans="2:5" ht="15" customHeight="1">
      <c r="B726" s="90"/>
      <c r="C726" s="54" t="s">
        <v>185</v>
      </c>
      <c r="D726" s="55">
        <v>26</v>
      </c>
      <c r="E726" s="56">
        <v>1.384894002344E-3</v>
      </c>
    </row>
    <row r="727" spans="2:5" ht="15" customHeight="1">
      <c r="B727" s="90"/>
      <c r="C727" s="54" t="s">
        <v>244</v>
      </c>
      <c r="D727" s="55">
        <v>1</v>
      </c>
      <c r="E727" s="56">
        <v>5.3265153936E-5</v>
      </c>
    </row>
    <row r="728" spans="2:5" ht="15" customHeight="1">
      <c r="B728" s="90"/>
      <c r="C728" s="54" t="s">
        <v>213</v>
      </c>
      <c r="D728" s="55">
        <v>1</v>
      </c>
      <c r="E728" s="56">
        <v>5.3265153936E-5</v>
      </c>
    </row>
    <row r="729" spans="2:5" ht="15" customHeight="1">
      <c r="B729" s="90"/>
      <c r="C729" s="54" t="s">
        <v>190</v>
      </c>
      <c r="D729" s="55">
        <v>15</v>
      </c>
      <c r="E729" s="56">
        <v>7.98977309044E-4</v>
      </c>
    </row>
    <row r="730" spans="2:5" ht="15" customHeight="1">
      <c r="B730" s="90"/>
      <c r="C730" s="54" t="s">
        <v>181</v>
      </c>
      <c r="D730" s="55">
        <v>147</v>
      </c>
      <c r="E730" s="56">
        <v>7.8299776286350001E-3</v>
      </c>
    </row>
    <row r="731" spans="2:5" ht="15" customHeight="1">
      <c r="B731" s="90"/>
      <c r="C731" s="54" t="s">
        <v>236</v>
      </c>
      <c r="D731" s="55">
        <v>9</v>
      </c>
      <c r="E731" s="56">
        <v>4.7938638542699999E-4</v>
      </c>
    </row>
    <row r="732" spans="2:5" ht="15" customHeight="1">
      <c r="B732" s="90"/>
      <c r="C732" s="54" t="s">
        <v>192</v>
      </c>
      <c r="D732" s="55">
        <v>1</v>
      </c>
      <c r="E732" s="56">
        <v>5.3265153936E-5</v>
      </c>
    </row>
    <row r="733" spans="2:5" ht="15" customHeight="1">
      <c r="B733" s="90"/>
      <c r="C733" s="54" t="s">
        <v>210</v>
      </c>
      <c r="D733" s="55">
        <v>1</v>
      </c>
      <c r="E733" s="56">
        <v>5.3265153936E-5</v>
      </c>
    </row>
    <row r="734" spans="2:5" ht="15" customHeight="1">
      <c r="B734" s="90"/>
      <c r="C734" s="54" t="s">
        <v>191</v>
      </c>
      <c r="D734" s="55">
        <v>9</v>
      </c>
      <c r="E734" s="56">
        <v>4.7938638542699999E-4</v>
      </c>
    </row>
    <row r="735" spans="2:5" ht="15" customHeight="1">
      <c r="B735" s="90"/>
      <c r="C735" s="54" t="s">
        <v>240</v>
      </c>
      <c r="D735" s="55">
        <v>3</v>
      </c>
      <c r="E735" s="56">
        <v>1.5979546180899999E-4</v>
      </c>
    </row>
    <row r="736" spans="2:5" ht="15" customHeight="1">
      <c r="B736" s="90"/>
      <c r="C736" s="54" t="s">
        <v>194</v>
      </c>
      <c r="D736" s="55">
        <v>8</v>
      </c>
      <c r="E736" s="56">
        <v>4.2612123148999997E-4</v>
      </c>
    </row>
    <row r="737" spans="2:5" ht="15" customHeight="1">
      <c r="B737" s="90"/>
      <c r="C737" s="54" t="s">
        <v>187</v>
      </c>
      <c r="D737" s="55">
        <v>5</v>
      </c>
      <c r="E737" s="56">
        <v>2.6632576968100001E-4</v>
      </c>
    </row>
    <row r="738" spans="2:5" ht="15" customHeight="1">
      <c r="B738" s="90"/>
      <c r="C738" s="54" t="s">
        <v>221</v>
      </c>
      <c r="D738" s="55">
        <v>1</v>
      </c>
      <c r="E738" s="56">
        <v>5.3265153936E-5</v>
      </c>
    </row>
    <row r="739" spans="2:5" ht="15" customHeight="1">
      <c r="B739" s="90"/>
      <c r="C739" s="54" t="s">
        <v>237</v>
      </c>
      <c r="D739" s="55">
        <v>3</v>
      </c>
      <c r="E739" s="56">
        <v>1.5979546180899999E-4</v>
      </c>
    </row>
    <row r="740" spans="2:5" ht="15" customHeight="1">
      <c r="B740" s="90"/>
      <c r="C740" s="54" t="s">
        <v>208</v>
      </c>
      <c r="D740" s="55">
        <v>8</v>
      </c>
      <c r="E740" s="56">
        <v>4.2612123148999997E-4</v>
      </c>
    </row>
    <row r="741" spans="2:5" ht="15" customHeight="1">
      <c r="B741" s="90"/>
      <c r="C741" s="54" t="s">
        <v>200</v>
      </c>
      <c r="D741" s="55">
        <v>3</v>
      </c>
      <c r="E741" s="56">
        <v>1.5979546180899999E-4</v>
      </c>
    </row>
    <row r="742" spans="2:5" ht="15" customHeight="1">
      <c r="B742" s="90"/>
      <c r="C742" s="54" t="s">
        <v>202</v>
      </c>
      <c r="D742" s="55">
        <v>7</v>
      </c>
      <c r="E742" s="56">
        <v>3.7285607755399997E-4</v>
      </c>
    </row>
    <row r="743" spans="2:5" ht="15" customHeight="1">
      <c r="B743" s="90"/>
      <c r="C743" s="54" t="s">
        <v>231</v>
      </c>
      <c r="D743" s="55">
        <v>2</v>
      </c>
      <c r="E743" s="56">
        <v>1.06530307873E-4</v>
      </c>
    </row>
    <row r="744" spans="2:5" ht="15" customHeight="1">
      <c r="B744" s="90"/>
      <c r="C744" s="54" t="s">
        <v>242</v>
      </c>
      <c r="D744" s="55">
        <v>1</v>
      </c>
      <c r="E744" s="56">
        <v>5.3265153936E-5</v>
      </c>
    </row>
    <row r="745" spans="2:5" ht="15" customHeight="1">
      <c r="B745" s="90"/>
      <c r="C745" s="54" t="s">
        <v>199</v>
      </c>
      <c r="D745" s="55">
        <v>4</v>
      </c>
      <c r="E745" s="56">
        <v>2.1306061574499999E-4</v>
      </c>
    </row>
    <row r="746" spans="2:5" ht="15" customHeight="1">
      <c r="B746" s="91"/>
      <c r="C746" s="65" t="s">
        <v>321</v>
      </c>
      <c r="D746" s="64">
        <v>475</v>
      </c>
      <c r="E746" s="66">
        <v>2.5300948119739999E-2</v>
      </c>
    </row>
    <row r="747" spans="2:5" ht="15" customHeight="1">
      <c r="B747" s="89" t="s">
        <v>79</v>
      </c>
      <c r="C747" s="54" t="s">
        <v>211</v>
      </c>
      <c r="D747" s="55">
        <v>1</v>
      </c>
      <c r="E747" s="56">
        <v>5.3265153936E-5</v>
      </c>
    </row>
    <row r="748" spans="2:5" ht="15" customHeight="1">
      <c r="B748" s="90"/>
      <c r="C748" s="54" t="s">
        <v>188</v>
      </c>
      <c r="D748" s="55">
        <v>1</v>
      </c>
      <c r="E748" s="56">
        <v>5.3265153936E-5</v>
      </c>
    </row>
    <row r="749" spans="2:5" ht="15" customHeight="1">
      <c r="B749" s="90"/>
      <c r="C749" s="54" t="s">
        <v>182</v>
      </c>
      <c r="D749" s="55">
        <v>13</v>
      </c>
      <c r="E749" s="56">
        <v>6.92447001172E-4</v>
      </c>
    </row>
    <row r="750" spans="2:5" ht="15" customHeight="1">
      <c r="B750" s="90"/>
      <c r="C750" s="54" t="s">
        <v>183</v>
      </c>
      <c r="D750" s="55">
        <v>3</v>
      </c>
      <c r="E750" s="56">
        <v>1.5979546180899999E-4</v>
      </c>
    </row>
    <row r="751" spans="2:5" ht="15" customHeight="1">
      <c r="B751" s="90"/>
      <c r="C751" s="54" t="s">
        <v>197</v>
      </c>
      <c r="D751" s="55">
        <v>1</v>
      </c>
      <c r="E751" s="56">
        <v>5.3265153936E-5</v>
      </c>
    </row>
    <row r="752" spans="2:5" ht="15" customHeight="1">
      <c r="B752" s="90"/>
      <c r="C752" s="54" t="s">
        <v>189</v>
      </c>
      <c r="D752" s="55">
        <v>1</v>
      </c>
      <c r="E752" s="56">
        <v>5.3265153936E-5</v>
      </c>
    </row>
    <row r="753" spans="2:5" ht="15" customHeight="1">
      <c r="B753" s="90"/>
      <c r="C753" s="54" t="s">
        <v>185</v>
      </c>
      <c r="D753" s="55">
        <v>2</v>
      </c>
      <c r="E753" s="56">
        <v>1.06530307873E-4</v>
      </c>
    </row>
    <row r="754" spans="2:5" ht="15" customHeight="1">
      <c r="B754" s="90"/>
      <c r="C754" s="54" t="s">
        <v>190</v>
      </c>
      <c r="D754" s="55">
        <v>1</v>
      </c>
      <c r="E754" s="56">
        <v>5.3265153936E-5</v>
      </c>
    </row>
    <row r="755" spans="2:5" ht="15" customHeight="1">
      <c r="B755" s="90"/>
      <c r="C755" s="54" t="s">
        <v>181</v>
      </c>
      <c r="D755" s="55">
        <v>8</v>
      </c>
      <c r="E755" s="56">
        <v>4.2612123148999997E-4</v>
      </c>
    </row>
    <row r="756" spans="2:5" ht="15" customHeight="1">
      <c r="B756" s="90"/>
      <c r="C756" s="54" t="s">
        <v>192</v>
      </c>
      <c r="D756" s="55">
        <v>1</v>
      </c>
      <c r="E756" s="56">
        <v>5.3265153936E-5</v>
      </c>
    </row>
    <row r="757" spans="2:5" ht="15" customHeight="1">
      <c r="B757" s="90"/>
      <c r="C757" s="54" t="s">
        <v>210</v>
      </c>
      <c r="D757" s="55">
        <v>1</v>
      </c>
      <c r="E757" s="56">
        <v>5.3265153936E-5</v>
      </c>
    </row>
    <row r="758" spans="2:5" ht="15" customHeight="1">
      <c r="B758" s="90"/>
      <c r="C758" s="54" t="s">
        <v>186</v>
      </c>
      <c r="D758" s="55">
        <v>1</v>
      </c>
      <c r="E758" s="56">
        <v>5.3265153936E-5</v>
      </c>
    </row>
    <row r="759" spans="2:5" ht="15" customHeight="1">
      <c r="B759" s="90"/>
      <c r="C759" s="54" t="s">
        <v>208</v>
      </c>
      <c r="D759" s="55">
        <v>1</v>
      </c>
      <c r="E759" s="56">
        <v>5.3265153936E-5</v>
      </c>
    </row>
    <row r="760" spans="2:5" ht="15" customHeight="1">
      <c r="B760" s="90"/>
      <c r="C760" s="54" t="s">
        <v>200</v>
      </c>
      <c r="D760" s="55">
        <v>1</v>
      </c>
      <c r="E760" s="56">
        <v>5.3265153936E-5</v>
      </c>
    </row>
    <row r="761" spans="2:5" ht="15" customHeight="1">
      <c r="B761" s="90"/>
      <c r="C761" s="54" t="s">
        <v>231</v>
      </c>
      <c r="D761" s="55">
        <v>1</v>
      </c>
      <c r="E761" s="56">
        <v>5.3265153936E-5</v>
      </c>
    </row>
    <row r="762" spans="2:5" ht="15" customHeight="1">
      <c r="B762" s="91"/>
      <c r="C762" s="65" t="s">
        <v>321</v>
      </c>
      <c r="D762" s="64">
        <v>37</v>
      </c>
      <c r="E762" s="66">
        <v>1.9708106956430002E-3</v>
      </c>
    </row>
    <row r="763" spans="2:5" ht="15" customHeight="1">
      <c r="B763" s="89" t="s">
        <v>78</v>
      </c>
      <c r="C763" s="54" t="s">
        <v>196</v>
      </c>
      <c r="D763" s="55">
        <v>1</v>
      </c>
      <c r="E763" s="56">
        <v>5.3265153936E-5</v>
      </c>
    </row>
    <row r="764" spans="2:5" ht="15" customHeight="1">
      <c r="B764" s="90"/>
      <c r="C764" s="54" t="s">
        <v>216</v>
      </c>
      <c r="D764" s="55">
        <v>1</v>
      </c>
      <c r="E764" s="56">
        <v>5.3265153936E-5</v>
      </c>
    </row>
    <row r="765" spans="2:5" ht="15" customHeight="1">
      <c r="B765" s="90"/>
      <c r="C765" s="54" t="s">
        <v>201</v>
      </c>
      <c r="D765" s="55">
        <v>1</v>
      </c>
      <c r="E765" s="56">
        <v>5.3265153936E-5</v>
      </c>
    </row>
    <row r="766" spans="2:5" ht="15" customHeight="1">
      <c r="B766" s="90"/>
      <c r="C766" s="54" t="s">
        <v>217</v>
      </c>
      <c r="D766" s="55">
        <v>1</v>
      </c>
      <c r="E766" s="56">
        <v>5.3265153936E-5</v>
      </c>
    </row>
    <row r="767" spans="2:5" ht="15" customHeight="1">
      <c r="B767" s="90"/>
      <c r="C767" s="54" t="s">
        <v>182</v>
      </c>
      <c r="D767" s="55">
        <v>5</v>
      </c>
      <c r="E767" s="56">
        <v>2.6632576968100001E-4</v>
      </c>
    </row>
    <row r="768" spans="2:5" ht="15" customHeight="1">
      <c r="B768" s="90"/>
      <c r="C768" s="54" t="s">
        <v>184</v>
      </c>
      <c r="D768" s="55">
        <v>1</v>
      </c>
      <c r="E768" s="56">
        <v>5.3265153936E-5</v>
      </c>
    </row>
    <row r="769" spans="2:5" ht="15" customHeight="1">
      <c r="B769" s="90"/>
      <c r="C769" s="54" t="s">
        <v>183</v>
      </c>
      <c r="D769" s="55">
        <v>1</v>
      </c>
      <c r="E769" s="56">
        <v>5.3265153936E-5</v>
      </c>
    </row>
    <row r="770" spans="2:5" ht="15" customHeight="1">
      <c r="B770" s="90"/>
      <c r="C770" s="54" t="s">
        <v>219</v>
      </c>
      <c r="D770" s="55">
        <v>2</v>
      </c>
      <c r="E770" s="56">
        <v>1.06530307873E-4</v>
      </c>
    </row>
    <row r="771" spans="2:5" ht="15" customHeight="1">
      <c r="B771" s="90"/>
      <c r="C771" s="54" t="s">
        <v>185</v>
      </c>
      <c r="D771" s="55">
        <v>9</v>
      </c>
      <c r="E771" s="56">
        <v>4.7938638542699999E-4</v>
      </c>
    </row>
    <row r="772" spans="2:5" ht="15" customHeight="1">
      <c r="B772" s="90"/>
      <c r="C772" s="54" t="s">
        <v>213</v>
      </c>
      <c r="D772" s="55">
        <v>1</v>
      </c>
      <c r="E772" s="56">
        <v>5.3265153936E-5</v>
      </c>
    </row>
    <row r="773" spans="2:5" ht="15" customHeight="1">
      <c r="B773" s="90"/>
      <c r="C773" s="54" t="s">
        <v>181</v>
      </c>
      <c r="D773" s="55">
        <v>19</v>
      </c>
      <c r="E773" s="56">
        <v>1.0120379247899999E-3</v>
      </c>
    </row>
    <row r="774" spans="2:5" ht="15" customHeight="1">
      <c r="B774" s="90"/>
      <c r="C774" s="54" t="s">
        <v>194</v>
      </c>
      <c r="D774" s="55">
        <v>1</v>
      </c>
      <c r="E774" s="56">
        <v>5.3265153936E-5</v>
      </c>
    </row>
    <row r="775" spans="2:5" ht="15" customHeight="1">
      <c r="B775" s="90"/>
      <c r="C775" s="54" t="s">
        <v>187</v>
      </c>
      <c r="D775" s="55">
        <v>3</v>
      </c>
      <c r="E775" s="56">
        <v>1.5979546180899999E-4</v>
      </c>
    </row>
    <row r="776" spans="2:5" ht="15" customHeight="1">
      <c r="B776" s="90"/>
      <c r="C776" s="54" t="s">
        <v>224</v>
      </c>
      <c r="D776" s="55">
        <v>1</v>
      </c>
      <c r="E776" s="56">
        <v>5.3265153936E-5</v>
      </c>
    </row>
    <row r="777" spans="2:5" ht="15" customHeight="1">
      <c r="B777" s="90"/>
      <c r="C777" s="54" t="s">
        <v>200</v>
      </c>
      <c r="D777" s="55">
        <v>3</v>
      </c>
      <c r="E777" s="56">
        <v>1.5979546180899999E-4</v>
      </c>
    </row>
    <row r="778" spans="2:5" ht="15" customHeight="1">
      <c r="B778" s="91"/>
      <c r="C778" s="65" t="s">
        <v>321</v>
      </c>
      <c r="D778" s="64">
        <v>50</v>
      </c>
      <c r="E778" s="66">
        <v>2.6632576968149998E-3</v>
      </c>
    </row>
    <row r="779" spans="2:5" ht="15" customHeight="1">
      <c r="B779" s="89" t="s">
        <v>71</v>
      </c>
      <c r="C779" s="54" t="s">
        <v>196</v>
      </c>
      <c r="D779" s="55">
        <v>1</v>
      </c>
      <c r="E779" s="56">
        <v>5.3265153936E-5</v>
      </c>
    </row>
    <row r="780" spans="2:5" ht="15" customHeight="1">
      <c r="B780" s="90"/>
      <c r="C780" s="54" t="s">
        <v>228</v>
      </c>
      <c r="D780" s="55">
        <v>1</v>
      </c>
      <c r="E780" s="56">
        <v>5.3265153936E-5</v>
      </c>
    </row>
    <row r="781" spans="2:5" ht="15" customHeight="1">
      <c r="B781" s="90"/>
      <c r="C781" s="54" t="s">
        <v>198</v>
      </c>
      <c r="D781" s="55">
        <v>1</v>
      </c>
      <c r="E781" s="56">
        <v>5.3265153936E-5</v>
      </c>
    </row>
    <row r="782" spans="2:5" ht="15" customHeight="1">
      <c r="B782" s="90"/>
      <c r="C782" s="54" t="s">
        <v>188</v>
      </c>
      <c r="D782" s="55">
        <v>2</v>
      </c>
      <c r="E782" s="56">
        <v>1.06530307873E-4</v>
      </c>
    </row>
    <row r="783" spans="2:5" ht="15" customHeight="1">
      <c r="B783" s="90"/>
      <c r="C783" s="54" t="s">
        <v>212</v>
      </c>
      <c r="D783" s="55">
        <v>1</v>
      </c>
      <c r="E783" s="56">
        <v>5.3265153936E-5</v>
      </c>
    </row>
    <row r="784" spans="2:5" ht="15" customHeight="1">
      <c r="B784" s="90"/>
      <c r="C784" s="54" t="s">
        <v>182</v>
      </c>
      <c r="D784" s="55">
        <v>11</v>
      </c>
      <c r="E784" s="56">
        <v>5.8591669329900004E-4</v>
      </c>
    </row>
    <row r="785" spans="2:5" ht="15" customHeight="1">
      <c r="B785" s="90"/>
      <c r="C785" s="54" t="s">
        <v>184</v>
      </c>
      <c r="D785" s="55">
        <v>2</v>
      </c>
      <c r="E785" s="56">
        <v>1.06530307873E-4</v>
      </c>
    </row>
    <row r="786" spans="2:5" ht="15" customHeight="1">
      <c r="B786" s="90"/>
      <c r="C786" s="54" t="s">
        <v>183</v>
      </c>
      <c r="D786" s="55">
        <v>13</v>
      </c>
      <c r="E786" s="56">
        <v>6.92447001172E-4</v>
      </c>
    </row>
    <row r="787" spans="2:5" ht="15" customHeight="1">
      <c r="B787" s="90"/>
      <c r="C787" s="54" t="s">
        <v>206</v>
      </c>
      <c r="D787" s="55">
        <v>1</v>
      </c>
      <c r="E787" s="56">
        <v>5.3265153936E-5</v>
      </c>
    </row>
    <row r="788" spans="2:5" ht="15" customHeight="1">
      <c r="B788" s="90"/>
      <c r="C788" s="54" t="s">
        <v>246</v>
      </c>
      <c r="D788" s="55">
        <v>1</v>
      </c>
      <c r="E788" s="56">
        <v>5.3265153936E-5</v>
      </c>
    </row>
    <row r="789" spans="2:5" ht="15" customHeight="1">
      <c r="B789" s="90"/>
      <c r="C789" s="54" t="s">
        <v>185</v>
      </c>
      <c r="D789" s="55">
        <v>3</v>
      </c>
      <c r="E789" s="56">
        <v>1.5979546180899999E-4</v>
      </c>
    </row>
    <row r="790" spans="2:5" ht="15" customHeight="1">
      <c r="B790" s="90"/>
      <c r="C790" s="54" t="s">
        <v>190</v>
      </c>
      <c r="D790" s="55">
        <v>3</v>
      </c>
      <c r="E790" s="56">
        <v>1.5979546180899999E-4</v>
      </c>
    </row>
    <row r="791" spans="2:5" ht="15" customHeight="1">
      <c r="B791" s="90"/>
      <c r="C791" s="54" t="s">
        <v>181</v>
      </c>
      <c r="D791" s="55">
        <v>34</v>
      </c>
      <c r="E791" s="56">
        <v>1.8110152338339999E-3</v>
      </c>
    </row>
    <row r="792" spans="2:5" ht="15" customHeight="1">
      <c r="B792" s="90"/>
      <c r="C792" s="54" t="s">
        <v>191</v>
      </c>
      <c r="D792" s="55">
        <v>2</v>
      </c>
      <c r="E792" s="56">
        <v>1.06530307873E-4</v>
      </c>
    </row>
    <row r="793" spans="2:5" ht="15" customHeight="1">
      <c r="B793" s="90"/>
      <c r="C793" s="54" t="s">
        <v>200</v>
      </c>
      <c r="D793" s="55">
        <v>3</v>
      </c>
      <c r="E793" s="56">
        <v>1.5979546180899999E-4</v>
      </c>
    </row>
    <row r="794" spans="2:5" ht="15" customHeight="1">
      <c r="B794" s="90"/>
      <c r="C794" s="54" t="s">
        <v>231</v>
      </c>
      <c r="D794" s="55">
        <v>1</v>
      </c>
      <c r="E794" s="56">
        <v>5.3265153936E-5</v>
      </c>
    </row>
    <row r="795" spans="2:5" ht="15" customHeight="1">
      <c r="B795" s="91"/>
      <c r="C795" s="65" t="s">
        <v>321</v>
      </c>
      <c r="D795" s="64">
        <v>80</v>
      </c>
      <c r="E795" s="66">
        <v>4.2612123149039999E-3</v>
      </c>
    </row>
    <row r="796" spans="2:5" ht="15" customHeight="1">
      <c r="B796" s="89" t="s">
        <v>93</v>
      </c>
      <c r="C796" s="54" t="s">
        <v>182</v>
      </c>
      <c r="D796" s="55">
        <v>1</v>
      </c>
      <c r="E796" s="56">
        <v>5.3265153936E-5</v>
      </c>
    </row>
    <row r="797" spans="2:5" ht="15" customHeight="1">
      <c r="B797" s="90"/>
      <c r="C797" s="54" t="s">
        <v>181</v>
      </c>
      <c r="D797" s="55">
        <v>2</v>
      </c>
      <c r="E797" s="56">
        <v>1.06530307873E-4</v>
      </c>
    </row>
    <row r="798" spans="2:5" ht="15" customHeight="1">
      <c r="B798" s="91"/>
      <c r="C798" s="65" t="s">
        <v>321</v>
      </c>
      <c r="D798" s="64">
        <v>3</v>
      </c>
      <c r="E798" s="66">
        <v>1.5979546180899999E-4</v>
      </c>
    </row>
    <row r="799" spans="2:5" ht="15" customHeight="1">
      <c r="B799" s="89" t="s">
        <v>95</v>
      </c>
      <c r="C799" s="54" t="s">
        <v>182</v>
      </c>
      <c r="D799" s="55">
        <v>1</v>
      </c>
      <c r="E799" s="56">
        <v>5.3265153936E-5</v>
      </c>
    </row>
    <row r="800" spans="2:5" ht="15" customHeight="1">
      <c r="B800" s="90"/>
      <c r="C800" s="54" t="s">
        <v>183</v>
      </c>
      <c r="D800" s="55">
        <v>1</v>
      </c>
      <c r="E800" s="56">
        <v>5.3265153936E-5</v>
      </c>
    </row>
    <row r="801" spans="2:5" ht="15" customHeight="1">
      <c r="B801" s="90"/>
      <c r="C801" s="54" t="s">
        <v>193</v>
      </c>
      <c r="D801" s="55">
        <v>1</v>
      </c>
      <c r="E801" s="56">
        <v>5.3265153936E-5</v>
      </c>
    </row>
    <row r="802" spans="2:5" ht="15" customHeight="1">
      <c r="B802" s="90"/>
      <c r="C802" s="54" t="s">
        <v>189</v>
      </c>
      <c r="D802" s="55">
        <v>1</v>
      </c>
      <c r="E802" s="56">
        <v>5.3265153936E-5</v>
      </c>
    </row>
    <row r="803" spans="2:5" ht="15" customHeight="1">
      <c r="B803" s="90"/>
      <c r="C803" s="54" t="s">
        <v>192</v>
      </c>
      <c r="D803" s="55">
        <v>1</v>
      </c>
      <c r="E803" s="56">
        <v>5.3265153936E-5</v>
      </c>
    </row>
    <row r="804" spans="2:5" ht="15" customHeight="1">
      <c r="B804" s="90"/>
      <c r="C804" s="54" t="s">
        <v>191</v>
      </c>
      <c r="D804" s="55">
        <v>1</v>
      </c>
      <c r="E804" s="56">
        <v>5.3265153936E-5</v>
      </c>
    </row>
    <row r="805" spans="2:5" ht="15" customHeight="1">
      <c r="B805" s="90"/>
      <c r="C805" s="54" t="s">
        <v>239</v>
      </c>
      <c r="D805" s="55">
        <v>1</v>
      </c>
      <c r="E805" s="56">
        <v>5.3265153936E-5</v>
      </c>
    </row>
    <row r="806" spans="2:5" ht="15" customHeight="1">
      <c r="B806" s="91"/>
      <c r="C806" s="65" t="s">
        <v>321</v>
      </c>
      <c r="D806" s="64">
        <v>7</v>
      </c>
      <c r="E806" s="66">
        <v>3.7285607755399997E-4</v>
      </c>
    </row>
    <row r="807" spans="2:5" ht="15" customHeight="1">
      <c r="B807" s="89" t="s">
        <v>70</v>
      </c>
      <c r="C807" s="54" t="s">
        <v>195</v>
      </c>
      <c r="D807" s="55">
        <v>3</v>
      </c>
      <c r="E807" s="56">
        <v>1.5979546180899999E-4</v>
      </c>
    </row>
    <row r="808" spans="2:5" ht="15" customHeight="1">
      <c r="B808" s="90"/>
      <c r="C808" s="54" t="s">
        <v>196</v>
      </c>
      <c r="D808" s="55">
        <v>1</v>
      </c>
      <c r="E808" s="56">
        <v>5.3265153936E-5</v>
      </c>
    </row>
    <row r="809" spans="2:5" ht="15" customHeight="1">
      <c r="B809" s="90"/>
      <c r="C809" s="54" t="s">
        <v>222</v>
      </c>
      <c r="D809" s="55">
        <v>1</v>
      </c>
      <c r="E809" s="56">
        <v>5.3265153936E-5</v>
      </c>
    </row>
    <row r="810" spans="2:5" ht="15" customHeight="1">
      <c r="B810" s="90"/>
      <c r="C810" s="54" t="s">
        <v>228</v>
      </c>
      <c r="D810" s="55">
        <v>1</v>
      </c>
      <c r="E810" s="56">
        <v>5.3265153936E-5</v>
      </c>
    </row>
    <row r="811" spans="2:5" ht="15" customHeight="1">
      <c r="B811" s="90"/>
      <c r="C811" s="54" t="s">
        <v>201</v>
      </c>
      <c r="D811" s="55">
        <v>1</v>
      </c>
      <c r="E811" s="56">
        <v>5.3265153936E-5</v>
      </c>
    </row>
    <row r="812" spans="2:5" ht="15" customHeight="1">
      <c r="B812" s="90"/>
      <c r="C812" s="54" t="s">
        <v>212</v>
      </c>
      <c r="D812" s="55">
        <v>2</v>
      </c>
      <c r="E812" s="56">
        <v>1.06530307873E-4</v>
      </c>
    </row>
    <row r="813" spans="2:5" ht="15" customHeight="1">
      <c r="B813" s="90"/>
      <c r="C813" s="54" t="s">
        <v>182</v>
      </c>
      <c r="D813" s="55">
        <v>24</v>
      </c>
      <c r="E813" s="56">
        <v>1.278363694471E-3</v>
      </c>
    </row>
    <row r="814" spans="2:5" ht="15" customHeight="1">
      <c r="B814" s="90"/>
      <c r="C814" s="54" t="s">
        <v>184</v>
      </c>
      <c r="D814" s="55">
        <v>14</v>
      </c>
      <c r="E814" s="56">
        <v>7.4571215510799995E-4</v>
      </c>
    </row>
    <row r="815" spans="2:5" ht="15" customHeight="1">
      <c r="B815" s="90"/>
      <c r="C815" s="54" t="s">
        <v>209</v>
      </c>
      <c r="D815" s="55">
        <v>1</v>
      </c>
      <c r="E815" s="56">
        <v>5.3265153936E-5</v>
      </c>
    </row>
    <row r="816" spans="2:5" ht="15" customHeight="1">
      <c r="B816" s="90"/>
      <c r="C816" s="54" t="s">
        <v>183</v>
      </c>
      <c r="D816" s="55">
        <v>4</v>
      </c>
      <c r="E816" s="56">
        <v>2.1306061574499999E-4</v>
      </c>
    </row>
    <row r="817" spans="2:5" ht="15" customHeight="1">
      <c r="B817" s="90"/>
      <c r="C817" s="54" t="s">
        <v>206</v>
      </c>
      <c r="D817" s="55">
        <v>1</v>
      </c>
      <c r="E817" s="56">
        <v>5.3265153936E-5</v>
      </c>
    </row>
    <row r="818" spans="2:5" ht="15" customHeight="1">
      <c r="B818" s="90"/>
      <c r="C818" s="54" t="s">
        <v>197</v>
      </c>
      <c r="D818" s="55">
        <v>1</v>
      </c>
      <c r="E818" s="56">
        <v>5.3265153936E-5</v>
      </c>
    </row>
    <row r="819" spans="2:5" ht="15" customHeight="1">
      <c r="B819" s="90"/>
      <c r="C819" s="54" t="s">
        <v>233</v>
      </c>
      <c r="D819" s="55">
        <v>2</v>
      </c>
      <c r="E819" s="56">
        <v>1.06530307873E-4</v>
      </c>
    </row>
    <row r="820" spans="2:5" ht="15" customHeight="1">
      <c r="B820" s="90"/>
      <c r="C820" s="54" t="s">
        <v>189</v>
      </c>
      <c r="D820" s="55">
        <v>1</v>
      </c>
      <c r="E820" s="56">
        <v>5.3265153936E-5</v>
      </c>
    </row>
    <row r="821" spans="2:5" ht="15" customHeight="1">
      <c r="B821" s="90"/>
      <c r="C821" s="54" t="s">
        <v>185</v>
      </c>
      <c r="D821" s="55">
        <v>8</v>
      </c>
      <c r="E821" s="56">
        <v>4.2612123148999997E-4</v>
      </c>
    </row>
    <row r="822" spans="2:5" ht="15" customHeight="1">
      <c r="B822" s="90"/>
      <c r="C822" s="54" t="s">
        <v>181</v>
      </c>
      <c r="D822" s="55">
        <v>25</v>
      </c>
      <c r="E822" s="56">
        <v>1.3316288484070001E-3</v>
      </c>
    </row>
    <row r="823" spans="2:5" ht="15" customHeight="1">
      <c r="B823" s="90"/>
      <c r="C823" s="54" t="s">
        <v>192</v>
      </c>
      <c r="D823" s="55">
        <v>2</v>
      </c>
      <c r="E823" s="56">
        <v>1.06530307873E-4</v>
      </c>
    </row>
    <row r="824" spans="2:5" ht="15" customHeight="1">
      <c r="B824" s="90"/>
      <c r="C824" s="54" t="s">
        <v>194</v>
      </c>
      <c r="D824" s="55">
        <v>1</v>
      </c>
      <c r="E824" s="56">
        <v>5.3265153936E-5</v>
      </c>
    </row>
    <row r="825" spans="2:5" ht="15" customHeight="1">
      <c r="B825" s="90"/>
      <c r="C825" s="54" t="s">
        <v>187</v>
      </c>
      <c r="D825" s="55">
        <v>1</v>
      </c>
      <c r="E825" s="56">
        <v>5.3265153936E-5</v>
      </c>
    </row>
    <row r="826" spans="2:5" ht="15" customHeight="1">
      <c r="B826" s="90"/>
      <c r="C826" s="54" t="s">
        <v>186</v>
      </c>
      <c r="D826" s="55">
        <v>1</v>
      </c>
      <c r="E826" s="56">
        <v>5.3265153936E-5</v>
      </c>
    </row>
    <row r="827" spans="2:5" ht="15" customHeight="1">
      <c r="B827" s="90"/>
      <c r="C827" s="54" t="s">
        <v>239</v>
      </c>
      <c r="D827" s="55">
        <v>1</v>
      </c>
      <c r="E827" s="56">
        <v>5.3265153936E-5</v>
      </c>
    </row>
    <row r="828" spans="2:5" ht="15" customHeight="1">
      <c r="B828" s="91"/>
      <c r="C828" s="65" t="s">
        <v>321</v>
      </c>
      <c r="D828" s="64">
        <v>96</v>
      </c>
      <c r="E828" s="66">
        <v>5.1134547778840002E-3</v>
      </c>
    </row>
    <row r="829" spans="2:5" ht="15" customHeight="1">
      <c r="B829" s="89" t="s">
        <v>85</v>
      </c>
      <c r="C829" s="54" t="s">
        <v>216</v>
      </c>
      <c r="D829" s="55">
        <v>2</v>
      </c>
      <c r="E829" s="56">
        <v>1.06530307873E-4</v>
      </c>
    </row>
    <row r="830" spans="2:5" ht="15" customHeight="1">
      <c r="B830" s="90"/>
      <c r="C830" s="54" t="s">
        <v>217</v>
      </c>
      <c r="D830" s="55">
        <v>1</v>
      </c>
      <c r="E830" s="56">
        <v>5.3265153936E-5</v>
      </c>
    </row>
    <row r="831" spans="2:5" ht="15" customHeight="1">
      <c r="B831" s="90"/>
      <c r="C831" s="54" t="s">
        <v>182</v>
      </c>
      <c r="D831" s="55">
        <v>4</v>
      </c>
      <c r="E831" s="56">
        <v>2.1306061574499999E-4</v>
      </c>
    </row>
    <row r="832" spans="2:5" ht="15" customHeight="1">
      <c r="B832" s="90"/>
      <c r="C832" s="54" t="s">
        <v>184</v>
      </c>
      <c r="D832" s="55">
        <v>1</v>
      </c>
      <c r="E832" s="56">
        <v>5.3265153936E-5</v>
      </c>
    </row>
    <row r="833" spans="2:5" ht="15" customHeight="1">
      <c r="B833" s="90"/>
      <c r="C833" s="54" t="s">
        <v>183</v>
      </c>
      <c r="D833" s="55">
        <v>4</v>
      </c>
      <c r="E833" s="56">
        <v>2.1306061574499999E-4</v>
      </c>
    </row>
    <row r="834" spans="2:5" ht="15" customHeight="1">
      <c r="B834" s="90"/>
      <c r="C834" s="54" t="s">
        <v>206</v>
      </c>
      <c r="D834" s="55">
        <v>1</v>
      </c>
      <c r="E834" s="56">
        <v>5.3265153936E-5</v>
      </c>
    </row>
    <row r="835" spans="2:5" ht="15" customHeight="1">
      <c r="B835" s="90"/>
      <c r="C835" s="54" t="s">
        <v>233</v>
      </c>
      <c r="D835" s="55">
        <v>1</v>
      </c>
      <c r="E835" s="56">
        <v>5.3265153936E-5</v>
      </c>
    </row>
    <row r="836" spans="2:5" ht="15" customHeight="1">
      <c r="B836" s="90"/>
      <c r="C836" s="54" t="s">
        <v>185</v>
      </c>
      <c r="D836" s="55">
        <v>1</v>
      </c>
      <c r="E836" s="56">
        <v>5.3265153936E-5</v>
      </c>
    </row>
    <row r="837" spans="2:5" ht="15" customHeight="1">
      <c r="B837" s="90"/>
      <c r="C837" s="54" t="s">
        <v>213</v>
      </c>
      <c r="D837" s="55">
        <v>1</v>
      </c>
      <c r="E837" s="56">
        <v>5.3265153936E-5</v>
      </c>
    </row>
    <row r="838" spans="2:5" ht="15" customHeight="1">
      <c r="B838" s="90"/>
      <c r="C838" s="54" t="s">
        <v>181</v>
      </c>
      <c r="D838" s="55">
        <v>11</v>
      </c>
      <c r="E838" s="56">
        <v>5.8591669329900004E-4</v>
      </c>
    </row>
    <row r="839" spans="2:5" ht="15" customHeight="1">
      <c r="B839" s="90"/>
      <c r="C839" s="54" t="s">
        <v>192</v>
      </c>
      <c r="D839" s="55">
        <v>3</v>
      </c>
      <c r="E839" s="56">
        <v>1.5979546180899999E-4</v>
      </c>
    </row>
    <row r="840" spans="2:5" ht="15" customHeight="1">
      <c r="B840" s="90"/>
      <c r="C840" s="54" t="s">
        <v>194</v>
      </c>
      <c r="D840" s="55">
        <v>2</v>
      </c>
      <c r="E840" s="56">
        <v>1.06530307873E-4</v>
      </c>
    </row>
    <row r="841" spans="2:5" ht="15" customHeight="1">
      <c r="B841" s="90"/>
      <c r="C841" s="54" t="s">
        <v>242</v>
      </c>
      <c r="D841" s="55">
        <v>1</v>
      </c>
      <c r="E841" s="56">
        <v>5.3265153936E-5</v>
      </c>
    </row>
    <row r="842" spans="2:5" ht="15" customHeight="1">
      <c r="B842" s="91"/>
      <c r="C842" s="65" t="s">
        <v>321</v>
      </c>
      <c r="D842" s="64">
        <v>33</v>
      </c>
      <c r="E842" s="66">
        <v>1.7577500798980001E-3</v>
      </c>
    </row>
    <row r="843" spans="2:5" ht="15" customHeight="1">
      <c r="B843" s="89" t="s">
        <v>50</v>
      </c>
      <c r="C843" s="54" t="s">
        <v>195</v>
      </c>
      <c r="D843" s="55">
        <v>10</v>
      </c>
      <c r="E843" s="56">
        <v>5.3265153936299999E-4</v>
      </c>
    </row>
    <row r="844" spans="2:5" ht="15" customHeight="1">
      <c r="B844" s="90"/>
      <c r="C844" s="54" t="s">
        <v>196</v>
      </c>
      <c r="D844" s="55">
        <v>22</v>
      </c>
      <c r="E844" s="56">
        <v>1.1718333865980001E-3</v>
      </c>
    </row>
    <row r="845" spans="2:5" ht="15" customHeight="1">
      <c r="B845" s="90"/>
      <c r="C845" s="54" t="s">
        <v>232</v>
      </c>
      <c r="D845" s="55">
        <v>1</v>
      </c>
      <c r="E845" s="56">
        <v>5.3265153936E-5</v>
      </c>
    </row>
    <row r="846" spans="2:5" ht="15" customHeight="1">
      <c r="B846" s="90"/>
      <c r="C846" s="54" t="s">
        <v>216</v>
      </c>
      <c r="D846" s="55">
        <v>14</v>
      </c>
      <c r="E846" s="56">
        <v>7.4571215510799995E-4</v>
      </c>
    </row>
    <row r="847" spans="2:5" ht="15" customHeight="1">
      <c r="B847" s="90"/>
      <c r="C847" s="54" t="s">
        <v>211</v>
      </c>
      <c r="D847" s="55">
        <v>2</v>
      </c>
      <c r="E847" s="56">
        <v>1.06530307873E-4</v>
      </c>
    </row>
    <row r="848" spans="2:5" ht="15" customHeight="1">
      <c r="B848" s="90"/>
      <c r="C848" s="54" t="s">
        <v>222</v>
      </c>
      <c r="D848" s="55">
        <v>6</v>
      </c>
      <c r="E848" s="56">
        <v>3.1959092361799997E-4</v>
      </c>
    </row>
    <row r="849" spans="2:5" ht="15" customHeight="1">
      <c r="B849" s="90"/>
      <c r="C849" s="54" t="s">
        <v>228</v>
      </c>
      <c r="D849" s="55">
        <v>2</v>
      </c>
      <c r="E849" s="56">
        <v>1.06530307873E-4</v>
      </c>
    </row>
    <row r="850" spans="2:5" ht="15" customHeight="1">
      <c r="B850" s="90"/>
      <c r="C850" s="54" t="s">
        <v>198</v>
      </c>
      <c r="D850" s="55">
        <v>3</v>
      </c>
      <c r="E850" s="56">
        <v>1.5979546180899999E-4</v>
      </c>
    </row>
    <row r="851" spans="2:5" ht="15" customHeight="1">
      <c r="B851" s="90"/>
      <c r="C851" s="54" t="s">
        <v>201</v>
      </c>
      <c r="D851" s="55">
        <v>9</v>
      </c>
      <c r="E851" s="56">
        <v>4.7938638542699999E-4</v>
      </c>
    </row>
    <row r="852" spans="2:5" ht="15" customHeight="1">
      <c r="B852" s="90"/>
      <c r="C852" s="54" t="s">
        <v>188</v>
      </c>
      <c r="D852" s="55">
        <v>22</v>
      </c>
      <c r="E852" s="56">
        <v>1.1718333865980001E-3</v>
      </c>
    </row>
    <row r="853" spans="2:5" ht="15" customHeight="1">
      <c r="B853" s="90"/>
      <c r="C853" s="54" t="s">
        <v>212</v>
      </c>
      <c r="D853" s="55">
        <v>1</v>
      </c>
      <c r="E853" s="56">
        <v>5.3265153936E-5</v>
      </c>
    </row>
    <row r="854" spans="2:5" ht="15" customHeight="1">
      <c r="B854" s="90"/>
      <c r="C854" s="54" t="s">
        <v>217</v>
      </c>
      <c r="D854" s="55">
        <v>4</v>
      </c>
      <c r="E854" s="56">
        <v>2.1306061574499999E-4</v>
      </c>
    </row>
    <row r="855" spans="2:5" ht="15" customHeight="1">
      <c r="B855" s="90"/>
      <c r="C855" s="54" t="s">
        <v>182</v>
      </c>
      <c r="D855" s="55">
        <v>256</v>
      </c>
      <c r="E855" s="56">
        <v>1.3635879407691001E-2</v>
      </c>
    </row>
    <row r="856" spans="2:5" ht="15" customHeight="1">
      <c r="B856" s="90"/>
      <c r="C856" s="54" t="s">
        <v>225</v>
      </c>
      <c r="D856" s="55">
        <v>1</v>
      </c>
      <c r="E856" s="56">
        <v>5.3265153936E-5</v>
      </c>
    </row>
    <row r="857" spans="2:5" ht="15" customHeight="1">
      <c r="B857" s="90"/>
      <c r="C857" s="54" t="s">
        <v>223</v>
      </c>
      <c r="D857" s="55">
        <v>4</v>
      </c>
      <c r="E857" s="56">
        <v>2.1306061574499999E-4</v>
      </c>
    </row>
    <row r="858" spans="2:5" ht="15" customHeight="1">
      <c r="B858" s="90"/>
      <c r="C858" s="54" t="s">
        <v>184</v>
      </c>
      <c r="D858" s="55">
        <v>93</v>
      </c>
      <c r="E858" s="56">
        <v>4.9536593160750004E-3</v>
      </c>
    </row>
    <row r="859" spans="2:5" ht="15" customHeight="1">
      <c r="B859" s="90"/>
      <c r="C859" s="54" t="s">
        <v>183</v>
      </c>
      <c r="D859" s="55">
        <v>251</v>
      </c>
      <c r="E859" s="56">
        <v>1.336955363801E-2</v>
      </c>
    </row>
    <row r="860" spans="2:5" ht="15" customHeight="1">
      <c r="B860" s="90"/>
      <c r="C860" s="54" t="s">
        <v>197</v>
      </c>
      <c r="D860" s="55">
        <v>3</v>
      </c>
      <c r="E860" s="56">
        <v>1.5979546180899999E-4</v>
      </c>
    </row>
    <row r="861" spans="2:5" ht="15" customHeight="1">
      <c r="B861" s="90"/>
      <c r="C861" s="54" t="s">
        <v>246</v>
      </c>
      <c r="D861" s="55">
        <v>2</v>
      </c>
      <c r="E861" s="56">
        <v>1.06530307873E-4</v>
      </c>
    </row>
    <row r="862" spans="2:5" ht="15" customHeight="1">
      <c r="B862" s="90"/>
      <c r="C862" s="54" t="s">
        <v>218</v>
      </c>
      <c r="D862" s="55">
        <v>13</v>
      </c>
      <c r="E862" s="56">
        <v>6.92447001172E-4</v>
      </c>
    </row>
    <row r="863" spans="2:5" ht="15" customHeight="1">
      <c r="B863" s="90"/>
      <c r="C863" s="54" t="s">
        <v>214</v>
      </c>
      <c r="D863" s="55">
        <v>6</v>
      </c>
      <c r="E863" s="56">
        <v>3.1959092361799997E-4</v>
      </c>
    </row>
    <row r="864" spans="2:5" ht="15" customHeight="1">
      <c r="B864" s="90"/>
      <c r="C864" s="54" t="s">
        <v>193</v>
      </c>
      <c r="D864" s="55">
        <v>59</v>
      </c>
      <c r="E864" s="56">
        <v>3.142644082241E-3</v>
      </c>
    </row>
    <row r="865" spans="2:5" ht="15" customHeight="1">
      <c r="B865" s="90"/>
      <c r="C865" s="54" t="s">
        <v>207</v>
      </c>
      <c r="D865" s="55">
        <v>4</v>
      </c>
      <c r="E865" s="56">
        <v>2.1306061574499999E-4</v>
      </c>
    </row>
    <row r="866" spans="2:5" ht="15" customHeight="1">
      <c r="B866" s="90"/>
      <c r="C866" s="54" t="s">
        <v>189</v>
      </c>
      <c r="D866" s="55">
        <v>15</v>
      </c>
      <c r="E866" s="56">
        <v>7.98977309044E-4</v>
      </c>
    </row>
    <row r="867" spans="2:5" ht="15" customHeight="1">
      <c r="B867" s="90"/>
      <c r="C867" s="54" t="s">
        <v>219</v>
      </c>
      <c r="D867" s="55">
        <v>4</v>
      </c>
      <c r="E867" s="56">
        <v>2.1306061574499999E-4</v>
      </c>
    </row>
    <row r="868" spans="2:5" ht="15" customHeight="1">
      <c r="B868" s="90"/>
      <c r="C868" s="54" t="s">
        <v>185</v>
      </c>
      <c r="D868" s="55">
        <v>44</v>
      </c>
      <c r="E868" s="56">
        <v>2.3436667731969998E-3</v>
      </c>
    </row>
    <row r="869" spans="2:5" ht="15" customHeight="1">
      <c r="B869" s="90"/>
      <c r="C869" s="54" t="s">
        <v>213</v>
      </c>
      <c r="D869" s="55">
        <v>6</v>
      </c>
      <c r="E869" s="56">
        <v>3.1959092361799997E-4</v>
      </c>
    </row>
    <row r="870" spans="2:5" ht="15" customHeight="1">
      <c r="B870" s="90"/>
      <c r="C870" s="54" t="s">
        <v>215</v>
      </c>
      <c r="D870" s="55">
        <v>9</v>
      </c>
      <c r="E870" s="56">
        <v>4.7938638542699999E-4</v>
      </c>
    </row>
    <row r="871" spans="2:5" ht="15" customHeight="1">
      <c r="B871" s="90"/>
      <c r="C871" s="54" t="s">
        <v>190</v>
      </c>
      <c r="D871" s="55">
        <v>47</v>
      </c>
      <c r="E871" s="56">
        <v>2.503462235006E-3</v>
      </c>
    </row>
    <row r="872" spans="2:5" ht="15" customHeight="1">
      <c r="B872" s="90"/>
      <c r="C872" s="54" t="s">
        <v>238</v>
      </c>
      <c r="D872" s="55">
        <v>31</v>
      </c>
      <c r="E872" s="56">
        <v>1.6512197720249999E-3</v>
      </c>
    </row>
    <row r="873" spans="2:5" ht="15" customHeight="1">
      <c r="B873" s="90"/>
      <c r="C873" s="54" t="s">
        <v>181</v>
      </c>
      <c r="D873" s="55">
        <v>443</v>
      </c>
      <c r="E873" s="56">
        <v>2.3596463193779001E-2</v>
      </c>
    </row>
    <row r="874" spans="2:5" ht="15" customHeight="1">
      <c r="B874" s="90"/>
      <c r="C874" s="54" t="s">
        <v>235</v>
      </c>
      <c r="D874" s="55">
        <v>1</v>
      </c>
      <c r="E874" s="56">
        <v>5.3265153936E-5</v>
      </c>
    </row>
    <row r="875" spans="2:5" ht="15" customHeight="1">
      <c r="B875" s="90"/>
      <c r="C875" s="54" t="s">
        <v>236</v>
      </c>
      <c r="D875" s="55">
        <v>8</v>
      </c>
      <c r="E875" s="56">
        <v>4.2612123148999997E-4</v>
      </c>
    </row>
    <row r="876" spans="2:5" ht="15" customHeight="1">
      <c r="B876" s="90"/>
      <c r="C876" s="54" t="s">
        <v>192</v>
      </c>
      <c r="D876" s="55">
        <v>30</v>
      </c>
      <c r="E876" s="56">
        <v>1.5979546180890001E-3</v>
      </c>
    </row>
    <row r="877" spans="2:5" ht="15" customHeight="1">
      <c r="B877" s="90"/>
      <c r="C877" s="54" t="s">
        <v>210</v>
      </c>
      <c r="D877" s="55">
        <v>8</v>
      </c>
      <c r="E877" s="56">
        <v>4.2612123148999997E-4</v>
      </c>
    </row>
    <row r="878" spans="2:5" ht="15" customHeight="1">
      <c r="B878" s="90"/>
      <c r="C878" s="54" t="s">
        <v>229</v>
      </c>
      <c r="D878" s="55">
        <v>2</v>
      </c>
      <c r="E878" s="56">
        <v>1.06530307873E-4</v>
      </c>
    </row>
    <row r="879" spans="2:5" ht="15" customHeight="1">
      <c r="B879" s="90"/>
      <c r="C879" s="54" t="s">
        <v>191</v>
      </c>
      <c r="D879" s="55">
        <v>63</v>
      </c>
      <c r="E879" s="56">
        <v>3.3557046979869999E-3</v>
      </c>
    </row>
    <row r="880" spans="2:5" ht="15" customHeight="1">
      <c r="B880" s="90"/>
      <c r="C880" s="54" t="s">
        <v>194</v>
      </c>
      <c r="D880" s="55">
        <v>19</v>
      </c>
      <c r="E880" s="56">
        <v>1.0120379247899999E-3</v>
      </c>
    </row>
    <row r="881" spans="2:5" ht="15" customHeight="1">
      <c r="B881" s="90"/>
      <c r="C881" s="54" t="s">
        <v>226</v>
      </c>
      <c r="D881" s="55">
        <v>2</v>
      </c>
      <c r="E881" s="56">
        <v>1.06530307873E-4</v>
      </c>
    </row>
    <row r="882" spans="2:5" ht="15" customHeight="1">
      <c r="B882" s="90"/>
      <c r="C882" s="54" t="s">
        <v>187</v>
      </c>
      <c r="D882" s="55">
        <v>58</v>
      </c>
      <c r="E882" s="56">
        <v>3.089378928305E-3</v>
      </c>
    </row>
    <row r="883" spans="2:5" ht="15" customHeight="1">
      <c r="B883" s="90"/>
      <c r="C883" s="54" t="s">
        <v>241</v>
      </c>
      <c r="D883" s="55">
        <v>1</v>
      </c>
      <c r="E883" s="56">
        <v>5.3265153936E-5</v>
      </c>
    </row>
    <row r="884" spans="2:5" ht="15" customHeight="1">
      <c r="B884" s="90"/>
      <c r="C884" s="54" t="s">
        <v>186</v>
      </c>
      <c r="D884" s="55">
        <v>3</v>
      </c>
      <c r="E884" s="56">
        <v>1.5979546180899999E-4</v>
      </c>
    </row>
    <row r="885" spans="2:5" ht="15" customHeight="1">
      <c r="B885" s="90"/>
      <c r="C885" s="54" t="s">
        <v>203</v>
      </c>
      <c r="D885" s="55">
        <v>75</v>
      </c>
      <c r="E885" s="56">
        <v>3.9948865452219999E-3</v>
      </c>
    </row>
    <row r="886" spans="2:5" ht="15" customHeight="1">
      <c r="B886" s="90"/>
      <c r="C886" s="54" t="s">
        <v>220</v>
      </c>
      <c r="D886" s="55">
        <v>1</v>
      </c>
      <c r="E886" s="56">
        <v>5.3265153936E-5</v>
      </c>
    </row>
    <row r="887" spans="2:5" ht="15" customHeight="1">
      <c r="B887" s="90"/>
      <c r="C887" s="54" t="s">
        <v>221</v>
      </c>
      <c r="D887" s="55">
        <v>7</v>
      </c>
      <c r="E887" s="56">
        <v>3.7285607755399997E-4</v>
      </c>
    </row>
    <row r="888" spans="2:5" ht="15" customHeight="1">
      <c r="B888" s="90"/>
      <c r="C888" s="54" t="s">
        <v>237</v>
      </c>
      <c r="D888" s="55">
        <v>1</v>
      </c>
      <c r="E888" s="56">
        <v>5.3265153936E-5</v>
      </c>
    </row>
    <row r="889" spans="2:5" ht="15" customHeight="1">
      <c r="B889" s="90"/>
      <c r="C889" s="54" t="s">
        <v>230</v>
      </c>
      <c r="D889" s="55">
        <v>2</v>
      </c>
      <c r="E889" s="56">
        <v>1.06530307873E-4</v>
      </c>
    </row>
    <row r="890" spans="2:5" ht="15" customHeight="1">
      <c r="B890" s="90"/>
      <c r="C890" s="54" t="s">
        <v>208</v>
      </c>
      <c r="D890" s="55">
        <v>3</v>
      </c>
      <c r="E890" s="56">
        <v>1.5979546180899999E-4</v>
      </c>
    </row>
    <row r="891" spans="2:5" ht="15" customHeight="1">
      <c r="B891" s="90"/>
      <c r="C891" s="54" t="s">
        <v>200</v>
      </c>
      <c r="D891" s="55">
        <v>7</v>
      </c>
      <c r="E891" s="56">
        <v>3.7285607755399997E-4</v>
      </c>
    </row>
    <row r="892" spans="2:5" ht="15" customHeight="1">
      <c r="B892" s="90"/>
      <c r="C892" s="54" t="s">
        <v>227</v>
      </c>
      <c r="D892" s="55">
        <v>11</v>
      </c>
      <c r="E892" s="56">
        <v>5.8591669329900004E-4</v>
      </c>
    </row>
    <row r="893" spans="2:5" ht="15" customHeight="1">
      <c r="B893" s="90"/>
      <c r="C893" s="54" t="s">
        <v>204</v>
      </c>
      <c r="D893" s="55">
        <v>7</v>
      </c>
      <c r="E893" s="56">
        <v>3.7285607755399997E-4</v>
      </c>
    </row>
    <row r="894" spans="2:5" ht="15" customHeight="1">
      <c r="B894" s="90"/>
      <c r="C894" s="54" t="s">
        <v>202</v>
      </c>
      <c r="D894" s="55">
        <v>12</v>
      </c>
      <c r="E894" s="56">
        <v>6.3918184723599995E-4</v>
      </c>
    </row>
    <row r="895" spans="2:5" ht="15" customHeight="1">
      <c r="B895" s="90"/>
      <c r="C895" s="54" t="s">
        <v>231</v>
      </c>
      <c r="D895" s="55">
        <v>7</v>
      </c>
      <c r="E895" s="56">
        <v>3.7285607755399997E-4</v>
      </c>
    </row>
    <row r="896" spans="2:5" ht="15" customHeight="1">
      <c r="B896" s="90"/>
      <c r="C896" s="54" t="s">
        <v>239</v>
      </c>
      <c r="D896" s="55">
        <v>1</v>
      </c>
      <c r="E896" s="56">
        <v>5.3265153936E-5</v>
      </c>
    </row>
    <row r="897" spans="2:5" ht="15" customHeight="1">
      <c r="B897" s="90"/>
      <c r="C897" s="54" t="s">
        <v>199</v>
      </c>
      <c r="D897" s="55">
        <v>6</v>
      </c>
      <c r="E897" s="56">
        <v>3.1959092361799997E-4</v>
      </c>
    </row>
    <row r="898" spans="2:5" ht="15" customHeight="1">
      <c r="B898" s="91"/>
      <c r="C898" s="65" t="s">
        <v>321</v>
      </c>
      <c r="D898" s="64">
        <v>1722</v>
      </c>
      <c r="E898" s="66">
        <v>9.1722595078299995E-2</v>
      </c>
    </row>
    <row r="899" spans="2:5" ht="15" customHeight="1">
      <c r="B899" s="89" t="s">
        <v>62</v>
      </c>
      <c r="C899" s="54" t="s">
        <v>205</v>
      </c>
      <c r="D899" s="55">
        <v>2</v>
      </c>
      <c r="E899" s="56">
        <v>1.06530307873E-4</v>
      </c>
    </row>
    <row r="900" spans="2:5" ht="15" customHeight="1">
      <c r="B900" s="90"/>
      <c r="C900" s="54" t="s">
        <v>195</v>
      </c>
      <c r="D900" s="55">
        <v>2</v>
      </c>
      <c r="E900" s="56">
        <v>1.06530307873E-4</v>
      </c>
    </row>
    <row r="901" spans="2:5" ht="15" customHeight="1">
      <c r="B901" s="90"/>
      <c r="C901" s="54" t="s">
        <v>216</v>
      </c>
      <c r="D901" s="55">
        <v>2</v>
      </c>
      <c r="E901" s="56">
        <v>1.06530307873E-4</v>
      </c>
    </row>
    <row r="902" spans="2:5" ht="15" customHeight="1">
      <c r="B902" s="90"/>
      <c r="C902" s="54" t="s">
        <v>211</v>
      </c>
      <c r="D902" s="55">
        <v>1</v>
      </c>
      <c r="E902" s="56">
        <v>5.3265153936E-5</v>
      </c>
    </row>
    <row r="903" spans="2:5" ht="15" customHeight="1">
      <c r="B903" s="90"/>
      <c r="C903" s="54" t="s">
        <v>222</v>
      </c>
      <c r="D903" s="55">
        <v>2</v>
      </c>
      <c r="E903" s="56">
        <v>1.06530307873E-4</v>
      </c>
    </row>
    <row r="904" spans="2:5" ht="15" customHeight="1">
      <c r="B904" s="90"/>
      <c r="C904" s="54" t="s">
        <v>198</v>
      </c>
      <c r="D904" s="55">
        <v>5</v>
      </c>
      <c r="E904" s="56">
        <v>2.6632576968100001E-4</v>
      </c>
    </row>
    <row r="905" spans="2:5" ht="15" customHeight="1">
      <c r="B905" s="90"/>
      <c r="C905" s="54" t="s">
        <v>201</v>
      </c>
      <c r="D905" s="55">
        <v>4</v>
      </c>
      <c r="E905" s="56">
        <v>2.1306061574499999E-4</v>
      </c>
    </row>
    <row r="906" spans="2:5" ht="15" customHeight="1">
      <c r="B906" s="90"/>
      <c r="C906" s="54" t="s">
        <v>188</v>
      </c>
      <c r="D906" s="55">
        <v>4</v>
      </c>
      <c r="E906" s="56">
        <v>2.1306061574499999E-4</v>
      </c>
    </row>
    <row r="907" spans="2:5" ht="15" customHeight="1">
      <c r="B907" s="90"/>
      <c r="C907" s="54" t="s">
        <v>217</v>
      </c>
      <c r="D907" s="55">
        <v>2</v>
      </c>
      <c r="E907" s="56">
        <v>1.06530307873E-4</v>
      </c>
    </row>
    <row r="908" spans="2:5" ht="15" customHeight="1">
      <c r="B908" s="90"/>
      <c r="C908" s="54" t="s">
        <v>182</v>
      </c>
      <c r="D908" s="55">
        <v>58</v>
      </c>
      <c r="E908" s="56">
        <v>3.089378928305E-3</v>
      </c>
    </row>
    <row r="909" spans="2:5" ht="15" customHeight="1">
      <c r="B909" s="90"/>
      <c r="C909" s="54" t="s">
        <v>184</v>
      </c>
      <c r="D909" s="55">
        <v>24</v>
      </c>
      <c r="E909" s="56">
        <v>1.278363694471E-3</v>
      </c>
    </row>
    <row r="910" spans="2:5" ht="15" customHeight="1">
      <c r="B910" s="90"/>
      <c r="C910" s="54" t="s">
        <v>183</v>
      </c>
      <c r="D910" s="55">
        <v>20</v>
      </c>
      <c r="E910" s="56">
        <v>1.065303078726E-3</v>
      </c>
    </row>
    <row r="911" spans="2:5" ht="15" customHeight="1">
      <c r="B911" s="90"/>
      <c r="C911" s="54" t="s">
        <v>206</v>
      </c>
      <c r="D911" s="55">
        <v>1</v>
      </c>
      <c r="E911" s="56">
        <v>5.3265153936E-5</v>
      </c>
    </row>
    <row r="912" spans="2:5" ht="15" customHeight="1">
      <c r="B912" s="90"/>
      <c r="C912" s="54" t="s">
        <v>246</v>
      </c>
      <c r="D912" s="55">
        <v>1</v>
      </c>
      <c r="E912" s="56">
        <v>5.3265153936E-5</v>
      </c>
    </row>
    <row r="913" spans="2:5" ht="15" customHeight="1">
      <c r="B913" s="90"/>
      <c r="C913" s="54" t="s">
        <v>233</v>
      </c>
      <c r="D913" s="55">
        <v>1</v>
      </c>
      <c r="E913" s="56">
        <v>5.3265153936E-5</v>
      </c>
    </row>
    <row r="914" spans="2:5" ht="15" customHeight="1">
      <c r="B914" s="90"/>
      <c r="C914" s="54" t="s">
        <v>218</v>
      </c>
      <c r="D914" s="55">
        <v>2</v>
      </c>
      <c r="E914" s="56">
        <v>1.06530307873E-4</v>
      </c>
    </row>
    <row r="915" spans="2:5" ht="15" customHeight="1">
      <c r="B915" s="90"/>
      <c r="C915" s="54" t="s">
        <v>214</v>
      </c>
      <c r="D915" s="55">
        <v>1</v>
      </c>
      <c r="E915" s="56">
        <v>5.3265153936E-5</v>
      </c>
    </row>
    <row r="916" spans="2:5" ht="15" customHeight="1">
      <c r="B916" s="90"/>
      <c r="C916" s="54" t="s">
        <v>193</v>
      </c>
      <c r="D916" s="55">
        <v>1</v>
      </c>
      <c r="E916" s="56">
        <v>5.3265153936E-5</v>
      </c>
    </row>
    <row r="917" spans="2:5" ht="15" customHeight="1">
      <c r="B917" s="90"/>
      <c r="C917" s="54" t="s">
        <v>207</v>
      </c>
      <c r="D917" s="55">
        <v>3</v>
      </c>
      <c r="E917" s="56">
        <v>1.5979546180899999E-4</v>
      </c>
    </row>
    <row r="918" spans="2:5" ht="15" customHeight="1">
      <c r="B918" s="90"/>
      <c r="C918" s="54" t="s">
        <v>189</v>
      </c>
      <c r="D918" s="55">
        <v>8</v>
      </c>
      <c r="E918" s="56">
        <v>4.2612123148999997E-4</v>
      </c>
    </row>
    <row r="919" spans="2:5" ht="15" customHeight="1">
      <c r="B919" s="90"/>
      <c r="C919" s="54" t="s">
        <v>219</v>
      </c>
      <c r="D919" s="55">
        <v>2</v>
      </c>
      <c r="E919" s="56">
        <v>1.06530307873E-4</v>
      </c>
    </row>
    <row r="920" spans="2:5" ht="15" customHeight="1">
      <c r="B920" s="90"/>
      <c r="C920" s="54" t="s">
        <v>185</v>
      </c>
      <c r="D920" s="55">
        <v>10</v>
      </c>
      <c r="E920" s="56">
        <v>5.3265153936299999E-4</v>
      </c>
    </row>
    <row r="921" spans="2:5" ht="15" customHeight="1">
      <c r="B921" s="90"/>
      <c r="C921" s="54" t="s">
        <v>213</v>
      </c>
      <c r="D921" s="55">
        <v>8</v>
      </c>
      <c r="E921" s="56">
        <v>4.2612123148999997E-4</v>
      </c>
    </row>
    <row r="922" spans="2:5" ht="15" customHeight="1">
      <c r="B922" s="90"/>
      <c r="C922" s="54" t="s">
        <v>215</v>
      </c>
      <c r="D922" s="55">
        <v>1</v>
      </c>
      <c r="E922" s="56">
        <v>5.3265153936E-5</v>
      </c>
    </row>
    <row r="923" spans="2:5" ht="15" customHeight="1">
      <c r="B923" s="90"/>
      <c r="C923" s="54" t="s">
        <v>190</v>
      </c>
      <c r="D923" s="55">
        <v>3</v>
      </c>
      <c r="E923" s="56">
        <v>1.5979546180899999E-4</v>
      </c>
    </row>
    <row r="924" spans="2:5" ht="15" customHeight="1">
      <c r="B924" s="90"/>
      <c r="C924" s="54" t="s">
        <v>181</v>
      </c>
      <c r="D924" s="55">
        <v>62</v>
      </c>
      <c r="E924" s="56">
        <v>3.3024395440499998E-3</v>
      </c>
    </row>
    <row r="925" spans="2:5" ht="15" customHeight="1">
      <c r="B925" s="90"/>
      <c r="C925" s="54" t="s">
        <v>192</v>
      </c>
      <c r="D925" s="55">
        <v>8</v>
      </c>
      <c r="E925" s="56">
        <v>4.2612123148999997E-4</v>
      </c>
    </row>
    <row r="926" spans="2:5" ht="15" customHeight="1">
      <c r="B926" s="90"/>
      <c r="C926" s="54" t="s">
        <v>229</v>
      </c>
      <c r="D926" s="55">
        <v>1</v>
      </c>
      <c r="E926" s="56">
        <v>5.3265153936E-5</v>
      </c>
    </row>
    <row r="927" spans="2:5" ht="15" customHeight="1">
      <c r="B927" s="90"/>
      <c r="C927" s="54" t="s">
        <v>191</v>
      </c>
      <c r="D927" s="55">
        <v>2</v>
      </c>
      <c r="E927" s="56">
        <v>1.06530307873E-4</v>
      </c>
    </row>
    <row r="928" spans="2:5" ht="15" customHeight="1">
      <c r="B928" s="90"/>
      <c r="C928" s="54" t="s">
        <v>194</v>
      </c>
      <c r="D928" s="55">
        <v>7</v>
      </c>
      <c r="E928" s="56">
        <v>3.7285607755399997E-4</v>
      </c>
    </row>
    <row r="929" spans="2:5" ht="15" customHeight="1">
      <c r="B929" s="90"/>
      <c r="C929" s="54" t="s">
        <v>187</v>
      </c>
      <c r="D929" s="55">
        <v>10</v>
      </c>
      <c r="E929" s="56">
        <v>5.3265153936299999E-4</v>
      </c>
    </row>
    <row r="930" spans="2:5" ht="15" customHeight="1">
      <c r="B930" s="90"/>
      <c r="C930" s="54" t="s">
        <v>186</v>
      </c>
      <c r="D930" s="55">
        <v>3</v>
      </c>
      <c r="E930" s="56">
        <v>1.5979546180899999E-4</v>
      </c>
    </row>
    <row r="931" spans="2:5" ht="15" customHeight="1">
      <c r="B931" s="90"/>
      <c r="C931" s="54" t="s">
        <v>224</v>
      </c>
      <c r="D931" s="55">
        <v>1</v>
      </c>
      <c r="E931" s="56">
        <v>5.3265153936E-5</v>
      </c>
    </row>
    <row r="932" spans="2:5" ht="15" customHeight="1">
      <c r="B932" s="90"/>
      <c r="C932" s="54" t="s">
        <v>208</v>
      </c>
      <c r="D932" s="55">
        <v>1</v>
      </c>
      <c r="E932" s="56">
        <v>5.3265153936E-5</v>
      </c>
    </row>
    <row r="933" spans="2:5" ht="15" customHeight="1">
      <c r="B933" s="90"/>
      <c r="C933" s="54" t="s">
        <v>204</v>
      </c>
      <c r="D933" s="55">
        <v>2</v>
      </c>
      <c r="E933" s="56">
        <v>1.06530307873E-4</v>
      </c>
    </row>
    <row r="934" spans="2:5" ht="15" customHeight="1">
      <c r="B934" s="90"/>
      <c r="C934" s="54" t="s">
        <v>202</v>
      </c>
      <c r="D934" s="55">
        <v>1</v>
      </c>
      <c r="E934" s="56">
        <v>5.3265153936E-5</v>
      </c>
    </row>
    <row r="935" spans="2:5" ht="15" customHeight="1">
      <c r="B935" s="91"/>
      <c r="C935" s="65" t="s">
        <v>321</v>
      </c>
      <c r="D935" s="64">
        <v>266</v>
      </c>
      <c r="E935" s="66">
        <v>1.4168530947054E-2</v>
      </c>
    </row>
    <row r="936" spans="2:5" ht="15" customHeight="1">
      <c r="B936" s="89" t="s">
        <v>74</v>
      </c>
      <c r="C936" s="54" t="s">
        <v>205</v>
      </c>
      <c r="D936" s="55">
        <v>1</v>
      </c>
      <c r="E936" s="56">
        <v>5.3265153936E-5</v>
      </c>
    </row>
    <row r="937" spans="2:5" ht="15" customHeight="1">
      <c r="B937" s="90"/>
      <c r="C937" s="54" t="s">
        <v>216</v>
      </c>
      <c r="D937" s="55">
        <v>1</v>
      </c>
      <c r="E937" s="56">
        <v>5.3265153936E-5</v>
      </c>
    </row>
    <row r="938" spans="2:5" ht="15" customHeight="1">
      <c r="B938" s="90"/>
      <c r="C938" s="54" t="s">
        <v>201</v>
      </c>
      <c r="D938" s="55">
        <v>1</v>
      </c>
      <c r="E938" s="56">
        <v>5.3265153936E-5</v>
      </c>
    </row>
    <row r="939" spans="2:5" ht="15" customHeight="1">
      <c r="B939" s="90"/>
      <c r="C939" s="54" t="s">
        <v>188</v>
      </c>
      <c r="D939" s="55">
        <v>1</v>
      </c>
      <c r="E939" s="56">
        <v>5.3265153936E-5</v>
      </c>
    </row>
    <row r="940" spans="2:5" ht="15" customHeight="1">
      <c r="B940" s="90"/>
      <c r="C940" s="54" t="s">
        <v>182</v>
      </c>
      <c r="D940" s="55">
        <v>8</v>
      </c>
      <c r="E940" s="56">
        <v>4.2612123148999997E-4</v>
      </c>
    </row>
    <row r="941" spans="2:5" ht="15" customHeight="1">
      <c r="B941" s="90"/>
      <c r="C941" s="54" t="s">
        <v>184</v>
      </c>
      <c r="D941" s="55">
        <v>6</v>
      </c>
      <c r="E941" s="56">
        <v>3.1959092361799997E-4</v>
      </c>
    </row>
    <row r="942" spans="2:5" ht="15" customHeight="1">
      <c r="B942" s="90"/>
      <c r="C942" s="54" t="s">
        <v>183</v>
      </c>
      <c r="D942" s="55">
        <v>3</v>
      </c>
      <c r="E942" s="56">
        <v>1.5979546180899999E-4</v>
      </c>
    </row>
    <row r="943" spans="2:5" ht="15" customHeight="1">
      <c r="B943" s="90"/>
      <c r="C943" s="54" t="s">
        <v>207</v>
      </c>
      <c r="D943" s="55">
        <v>1</v>
      </c>
      <c r="E943" s="56">
        <v>5.3265153936E-5</v>
      </c>
    </row>
    <row r="944" spans="2:5" ht="15" customHeight="1">
      <c r="B944" s="90"/>
      <c r="C944" s="54" t="s">
        <v>189</v>
      </c>
      <c r="D944" s="55">
        <v>2</v>
      </c>
      <c r="E944" s="56">
        <v>1.06530307873E-4</v>
      </c>
    </row>
    <row r="945" spans="2:5" ht="15" customHeight="1">
      <c r="B945" s="90"/>
      <c r="C945" s="54" t="s">
        <v>185</v>
      </c>
      <c r="D945" s="55">
        <v>4</v>
      </c>
      <c r="E945" s="56">
        <v>2.1306061574499999E-4</v>
      </c>
    </row>
    <row r="946" spans="2:5" ht="15" customHeight="1">
      <c r="B946" s="90"/>
      <c r="C946" s="54" t="s">
        <v>215</v>
      </c>
      <c r="D946" s="55">
        <v>1</v>
      </c>
      <c r="E946" s="56">
        <v>5.3265153936E-5</v>
      </c>
    </row>
    <row r="947" spans="2:5" ht="15" customHeight="1">
      <c r="B947" s="90"/>
      <c r="C947" s="54" t="s">
        <v>190</v>
      </c>
      <c r="D947" s="55">
        <v>1</v>
      </c>
      <c r="E947" s="56">
        <v>5.3265153936E-5</v>
      </c>
    </row>
    <row r="948" spans="2:5" ht="15" customHeight="1">
      <c r="B948" s="90"/>
      <c r="C948" s="54" t="s">
        <v>181</v>
      </c>
      <c r="D948" s="55">
        <v>17</v>
      </c>
      <c r="E948" s="56">
        <v>9.0550761691699996E-4</v>
      </c>
    </row>
    <row r="949" spans="2:5" ht="15" customHeight="1">
      <c r="B949" s="90"/>
      <c r="C949" s="54" t="s">
        <v>187</v>
      </c>
      <c r="D949" s="55">
        <v>1</v>
      </c>
      <c r="E949" s="56">
        <v>5.3265153936E-5</v>
      </c>
    </row>
    <row r="950" spans="2:5" ht="15" customHeight="1">
      <c r="B950" s="90"/>
      <c r="C950" s="54" t="s">
        <v>208</v>
      </c>
      <c r="D950" s="55">
        <v>1</v>
      </c>
      <c r="E950" s="56">
        <v>5.3265153936E-5</v>
      </c>
    </row>
    <row r="951" spans="2:5" ht="15" customHeight="1">
      <c r="B951" s="90"/>
      <c r="C951" s="54" t="s">
        <v>204</v>
      </c>
      <c r="D951" s="55">
        <v>1</v>
      </c>
      <c r="E951" s="56">
        <v>5.3265153936E-5</v>
      </c>
    </row>
    <row r="952" spans="2:5" ht="15" customHeight="1">
      <c r="B952" s="90"/>
      <c r="C952" s="54" t="s">
        <v>202</v>
      </c>
      <c r="D952" s="55">
        <v>1</v>
      </c>
      <c r="E952" s="56">
        <v>5.3265153936E-5</v>
      </c>
    </row>
    <row r="953" spans="2:5" ht="15" customHeight="1">
      <c r="B953" s="91"/>
      <c r="C953" s="65" t="s">
        <v>321</v>
      </c>
      <c r="D953" s="64">
        <v>51</v>
      </c>
      <c r="E953" s="66">
        <v>2.7165228507509999E-3</v>
      </c>
    </row>
    <row r="954" spans="2:5" ht="15" customHeight="1">
      <c r="B954" s="89" t="s">
        <v>84</v>
      </c>
      <c r="C954" s="54" t="s">
        <v>216</v>
      </c>
      <c r="D954" s="55">
        <v>1</v>
      </c>
      <c r="E954" s="56">
        <v>5.3265153936E-5</v>
      </c>
    </row>
    <row r="955" spans="2:5" ht="15" customHeight="1">
      <c r="B955" s="90"/>
      <c r="C955" s="54" t="s">
        <v>222</v>
      </c>
      <c r="D955" s="55">
        <v>1</v>
      </c>
      <c r="E955" s="56">
        <v>5.3265153936E-5</v>
      </c>
    </row>
    <row r="956" spans="2:5" ht="15" customHeight="1">
      <c r="B956" s="90"/>
      <c r="C956" s="54" t="s">
        <v>198</v>
      </c>
      <c r="D956" s="55">
        <v>1</v>
      </c>
      <c r="E956" s="56">
        <v>5.3265153936E-5</v>
      </c>
    </row>
    <row r="957" spans="2:5" ht="15" customHeight="1">
      <c r="B957" s="90"/>
      <c r="C957" s="54" t="s">
        <v>201</v>
      </c>
      <c r="D957" s="55">
        <v>3</v>
      </c>
      <c r="E957" s="56">
        <v>1.5979546180899999E-4</v>
      </c>
    </row>
    <row r="958" spans="2:5" ht="15" customHeight="1">
      <c r="B958" s="90"/>
      <c r="C958" s="54" t="s">
        <v>217</v>
      </c>
      <c r="D958" s="55">
        <v>2</v>
      </c>
      <c r="E958" s="56">
        <v>1.06530307873E-4</v>
      </c>
    </row>
    <row r="959" spans="2:5" ht="15" customHeight="1">
      <c r="B959" s="90"/>
      <c r="C959" s="54" t="s">
        <v>182</v>
      </c>
      <c r="D959" s="55">
        <v>8</v>
      </c>
      <c r="E959" s="56">
        <v>4.2612123148999997E-4</v>
      </c>
    </row>
    <row r="960" spans="2:5" ht="15" customHeight="1">
      <c r="B960" s="90"/>
      <c r="C960" s="54" t="s">
        <v>184</v>
      </c>
      <c r="D960" s="55">
        <v>2</v>
      </c>
      <c r="E960" s="56">
        <v>1.06530307873E-4</v>
      </c>
    </row>
    <row r="961" spans="2:5" ht="15" customHeight="1">
      <c r="B961" s="90"/>
      <c r="C961" s="54" t="s">
        <v>183</v>
      </c>
      <c r="D961" s="55">
        <v>2</v>
      </c>
      <c r="E961" s="56">
        <v>1.06530307873E-4</v>
      </c>
    </row>
    <row r="962" spans="2:5" ht="15" customHeight="1">
      <c r="B962" s="90"/>
      <c r="C962" s="54" t="s">
        <v>207</v>
      </c>
      <c r="D962" s="55">
        <v>6</v>
      </c>
      <c r="E962" s="56">
        <v>3.1959092361799997E-4</v>
      </c>
    </row>
    <row r="963" spans="2:5" ht="15" customHeight="1">
      <c r="B963" s="90"/>
      <c r="C963" s="54" t="s">
        <v>219</v>
      </c>
      <c r="D963" s="55">
        <v>1</v>
      </c>
      <c r="E963" s="56">
        <v>5.3265153936E-5</v>
      </c>
    </row>
    <row r="964" spans="2:5" ht="15" customHeight="1">
      <c r="B964" s="90"/>
      <c r="C964" s="54" t="s">
        <v>185</v>
      </c>
      <c r="D964" s="55">
        <v>4</v>
      </c>
      <c r="E964" s="56">
        <v>2.1306061574499999E-4</v>
      </c>
    </row>
    <row r="965" spans="2:5" ht="15" customHeight="1">
      <c r="B965" s="90"/>
      <c r="C965" s="54" t="s">
        <v>244</v>
      </c>
      <c r="D965" s="55">
        <v>1</v>
      </c>
      <c r="E965" s="56">
        <v>5.3265153936E-5</v>
      </c>
    </row>
    <row r="966" spans="2:5" ht="15" customHeight="1">
      <c r="B966" s="90"/>
      <c r="C966" s="54" t="s">
        <v>181</v>
      </c>
      <c r="D966" s="55">
        <v>12</v>
      </c>
      <c r="E966" s="56">
        <v>6.3918184723599995E-4</v>
      </c>
    </row>
    <row r="967" spans="2:5" ht="15" customHeight="1">
      <c r="B967" s="90"/>
      <c r="C967" s="54" t="s">
        <v>235</v>
      </c>
      <c r="D967" s="55">
        <v>1</v>
      </c>
      <c r="E967" s="56">
        <v>5.3265153936E-5</v>
      </c>
    </row>
    <row r="968" spans="2:5" ht="15" customHeight="1">
      <c r="B968" s="90"/>
      <c r="C968" s="54" t="s">
        <v>192</v>
      </c>
      <c r="D968" s="55">
        <v>1</v>
      </c>
      <c r="E968" s="56">
        <v>5.3265153936E-5</v>
      </c>
    </row>
    <row r="969" spans="2:5" ht="15" customHeight="1">
      <c r="B969" s="90"/>
      <c r="C969" s="54" t="s">
        <v>229</v>
      </c>
      <c r="D969" s="55">
        <v>1</v>
      </c>
      <c r="E969" s="56">
        <v>5.3265153936E-5</v>
      </c>
    </row>
    <row r="970" spans="2:5" ht="15" customHeight="1">
      <c r="B970" s="90"/>
      <c r="C970" s="54" t="s">
        <v>191</v>
      </c>
      <c r="D970" s="55">
        <v>1</v>
      </c>
      <c r="E970" s="56">
        <v>5.3265153936E-5</v>
      </c>
    </row>
    <row r="971" spans="2:5" ht="15" customHeight="1">
      <c r="B971" s="90"/>
      <c r="C971" s="54" t="s">
        <v>240</v>
      </c>
      <c r="D971" s="55">
        <v>1</v>
      </c>
      <c r="E971" s="56">
        <v>5.3265153936E-5</v>
      </c>
    </row>
    <row r="972" spans="2:5" ht="15" customHeight="1">
      <c r="B972" s="90"/>
      <c r="C972" s="54" t="s">
        <v>245</v>
      </c>
      <c r="D972" s="55">
        <v>1</v>
      </c>
      <c r="E972" s="56">
        <v>5.3265153936E-5</v>
      </c>
    </row>
    <row r="973" spans="2:5" ht="15" customHeight="1">
      <c r="B973" s="90"/>
      <c r="C973" s="54" t="s">
        <v>187</v>
      </c>
      <c r="D973" s="55">
        <v>4</v>
      </c>
      <c r="E973" s="56">
        <v>2.1306061574499999E-4</v>
      </c>
    </row>
    <row r="974" spans="2:5" ht="15" customHeight="1">
      <c r="B974" s="90"/>
      <c r="C974" s="54" t="s">
        <v>208</v>
      </c>
      <c r="D974" s="55">
        <v>1</v>
      </c>
      <c r="E974" s="56">
        <v>5.3265153936E-5</v>
      </c>
    </row>
    <row r="975" spans="2:5" ht="15" customHeight="1">
      <c r="B975" s="91"/>
      <c r="C975" s="65" t="s">
        <v>321</v>
      </c>
      <c r="D975" s="64">
        <v>55</v>
      </c>
      <c r="E975" s="66">
        <v>2.9295834664960002E-3</v>
      </c>
    </row>
    <row r="976" spans="2:5" ht="15" customHeight="1">
      <c r="B976" s="89" t="s">
        <v>51</v>
      </c>
      <c r="C976" s="54" t="s">
        <v>205</v>
      </c>
      <c r="D976" s="55">
        <v>1</v>
      </c>
      <c r="E976" s="56">
        <v>5.3265153936E-5</v>
      </c>
    </row>
    <row r="977" spans="2:5" ht="15" customHeight="1">
      <c r="B977" s="90"/>
      <c r="C977" s="54" t="s">
        <v>195</v>
      </c>
      <c r="D977" s="55">
        <v>2</v>
      </c>
      <c r="E977" s="56">
        <v>1.06530307873E-4</v>
      </c>
    </row>
    <row r="978" spans="2:5" ht="15" customHeight="1">
      <c r="B978" s="90"/>
      <c r="C978" s="54" t="s">
        <v>196</v>
      </c>
      <c r="D978" s="55">
        <v>6</v>
      </c>
      <c r="E978" s="56">
        <v>3.1959092361799997E-4</v>
      </c>
    </row>
    <row r="979" spans="2:5" ht="15" customHeight="1">
      <c r="B979" s="90"/>
      <c r="C979" s="54" t="s">
        <v>216</v>
      </c>
      <c r="D979" s="55">
        <v>32</v>
      </c>
      <c r="E979" s="56">
        <v>1.704484925961E-3</v>
      </c>
    </row>
    <row r="980" spans="2:5" ht="15" customHeight="1">
      <c r="B980" s="90"/>
      <c r="C980" s="54" t="s">
        <v>211</v>
      </c>
      <c r="D980" s="55">
        <v>6</v>
      </c>
      <c r="E980" s="56">
        <v>3.1959092361799997E-4</v>
      </c>
    </row>
    <row r="981" spans="2:5" ht="15" customHeight="1">
      <c r="B981" s="90"/>
      <c r="C981" s="54" t="s">
        <v>222</v>
      </c>
      <c r="D981" s="55">
        <v>9</v>
      </c>
      <c r="E981" s="56">
        <v>4.7938638542699999E-4</v>
      </c>
    </row>
    <row r="982" spans="2:5" ht="15" customHeight="1">
      <c r="B982" s="90"/>
      <c r="C982" s="54" t="s">
        <v>228</v>
      </c>
      <c r="D982" s="55">
        <v>5</v>
      </c>
      <c r="E982" s="56">
        <v>2.6632576968100001E-4</v>
      </c>
    </row>
    <row r="983" spans="2:5" ht="15" customHeight="1">
      <c r="B983" s="90"/>
      <c r="C983" s="54" t="s">
        <v>198</v>
      </c>
      <c r="D983" s="55">
        <v>8</v>
      </c>
      <c r="E983" s="56">
        <v>4.2612123148999997E-4</v>
      </c>
    </row>
    <row r="984" spans="2:5" ht="15" customHeight="1">
      <c r="B984" s="90"/>
      <c r="C984" s="54" t="s">
        <v>201</v>
      </c>
      <c r="D984" s="55">
        <v>8</v>
      </c>
      <c r="E984" s="56">
        <v>4.2612123148999997E-4</v>
      </c>
    </row>
    <row r="985" spans="2:5" ht="15" customHeight="1">
      <c r="B985" s="90"/>
      <c r="C985" s="54" t="s">
        <v>188</v>
      </c>
      <c r="D985" s="55">
        <v>11</v>
      </c>
      <c r="E985" s="56">
        <v>5.8591669329900004E-4</v>
      </c>
    </row>
    <row r="986" spans="2:5" ht="15" customHeight="1">
      <c r="B986" s="90"/>
      <c r="C986" s="54" t="s">
        <v>212</v>
      </c>
      <c r="D986" s="55">
        <v>1</v>
      </c>
      <c r="E986" s="56">
        <v>5.3265153936E-5</v>
      </c>
    </row>
    <row r="987" spans="2:5" ht="15" customHeight="1">
      <c r="B987" s="90"/>
      <c r="C987" s="54" t="s">
        <v>217</v>
      </c>
      <c r="D987" s="55">
        <v>22</v>
      </c>
      <c r="E987" s="56">
        <v>1.1718333865980001E-3</v>
      </c>
    </row>
    <row r="988" spans="2:5" ht="15" customHeight="1">
      <c r="B988" s="90"/>
      <c r="C988" s="54" t="s">
        <v>182</v>
      </c>
      <c r="D988" s="55">
        <v>119</v>
      </c>
      <c r="E988" s="56">
        <v>6.3385533184189997E-3</v>
      </c>
    </row>
    <row r="989" spans="2:5" ht="15" customHeight="1">
      <c r="B989" s="90"/>
      <c r="C989" s="54" t="s">
        <v>243</v>
      </c>
      <c r="D989" s="55">
        <v>4</v>
      </c>
      <c r="E989" s="56">
        <v>2.1306061574499999E-4</v>
      </c>
    </row>
    <row r="990" spans="2:5" ht="15" customHeight="1">
      <c r="B990" s="90"/>
      <c r="C990" s="54" t="s">
        <v>225</v>
      </c>
      <c r="D990" s="55">
        <v>2</v>
      </c>
      <c r="E990" s="56">
        <v>1.06530307873E-4</v>
      </c>
    </row>
    <row r="991" spans="2:5" ht="15" customHeight="1">
      <c r="B991" s="90"/>
      <c r="C991" s="54" t="s">
        <v>223</v>
      </c>
      <c r="D991" s="55">
        <v>1</v>
      </c>
      <c r="E991" s="56">
        <v>5.3265153936E-5</v>
      </c>
    </row>
    <row r="992" spans="2:5" ht="15" customHeight="1">
      <c r="B992" s="90"/>
      <c r="C992" s="54" t="s">
        <v>184</v>
      </c>
      <c r="D992" s="55">
        <v>81</v>
      </c>
      <c r="E992" s="56">
        <v>4.3144774688400004E-3</v>
      </c>
    </row>
    <row r="993" spans="2:5" ht="15" customHeight="1">
      <c r="B993" s="90"/>
      <c r="C993" s="54" t="s">
        <v>209</v>
      </c>
      <c r="D993" s="55">
        <v>2</v>
      </c>
      <c r="E993" s="56">
        <v>1.06530307873E-4</v>
      </c>
    </row>
    <row r="994" spans="2:5" ht="15" customHeight="1">
      <c r="B994" s="90"/>
      <c r="C994" s="54" t="s">
        <v>183</v>
      </c>
      <c r="D994" s="55">
        <v>55</v>
      </c>
      <c r="E994" s="56">
        <v>2.9295834664960002E-3</v>
      </c>
    </row>
    <row r="995" spans="2:5" ht="15" customHeight="1">
      <c r="B995" s="90"/>
      <c r="C995" s="54" t="s">
        <v>206</v>
      </c>
      <c r="D995" s="55">
        <v>6</v>
      </c>
      <c r="E995" s="56">
        <v>3.1959092361799997E-4</v>
      </c>
    </row>
    <row r="996" spans="2:5" ht="15" customHeight="1">
      <c r="B996" s="90"/>
      <c r="C996" s="54" t="s">
        <v>197</v>
      </c>
      <c r="D996" s="55">
        <v>2</v>
      </c>
      <c r="E996" s="56">
        <v>1.06530307873E-4</v>
      </c>
    </row>
    <row r="997" spans="2:5" ht="15" customHeight="1">
      <c r="B997" s="90"/>
      <c r="C997" s="54" t="s">
        <v>233</v>
      </c>
      <c r="D997" s="55">
        <v>4</v>
      </c>
      <c r="E997" s="56">
        <v>2.1306061574499999E-4</v>
      </c>
    </row>
    <row r="998" spans="2:5" ht="15" customHeight="1">
      <c r="B998" s="90"/>
      <c r="C998" s="54" t="s">
        <v>214</v>
      </c>
      <c r="D998" s="55">
        <v>6</v>
      </c>
      <c r="E998" s="56">
        <v>3.1959092361799997E-4</v>
      </c>
    </row>
    <row r="999" spans="2:5" ht="15" customHeight="1">
      <c r="B999" s="90"/>
      <c r="C999" s="54" t="s">
        <v>193</v>
      </c>
      <c r="D999" s="55">
        <v>6</v>
      </c>
      <c r="E999" s="56">
        <v>3.1959092361799997E-4</v>
      </c>
    </row>
    <row r="1000" spans="2:5" ht="15" customHeight="1">
      <c r="B1000" s="90"/>
      <c r="C1000" s="54" t="s">
        <v>207</v>
      </c>
      <c r="D1000" s="55">
        <v>17</v>
      </c>
      <c r="E1000" s="56">
        <v>9.0550761691699996E-4</v>
      </c>
    </row>
    <row r="1001" spans="2:5" ht="15" customHeight="1">
      <c r="B1001" s="90"/>
      <c r="C1001" s="54" t="s">
        <v>247</v>
      </c>
      <c r="D1001" s="55">
        <v>4</v>
      </c>
      <c r="E1001" s="56">
        <v>2.1306061574499999E-4</v>
      </c>
    </row>
    <row r="1002" spans="2:5" ht="15" customHeight="1">
      <c r="B1002" s="90"/>
      <c r="C1002" s="54" t="s">
        <v>189</v>
      </c>
      <c r="D1002" s="55">
        <v>18</v>
      </c>
      <c r="E1002" s="56">
        <v>9.5877277085300002E-4</v>
      </c>
    </row>
    <row r="1003" spans="2:5" ht="15" customHeight="1">
      <c r="B1003" s="90"/>
      <c r="C1003" s="54" t="s">
        <v>219</v>
      </c>
      <c r="D1003" s="55">
        <v>12</v>
      </c>
      <c r="E1003" s="56">
        <v>6.3918184723599995E-4</v>
      </c>
    </row>
    <row r="1004" spans="2:5" ht="15" customHeight="1">
      <c r="B1004" s="90"/>
      <c r="C1004" s="54" t="s">
        <v>185</v>
      </c>
      <c r="D1004" s="55">
        <v>75</v>
      </c>
      <c r="E1004" s="56">
        <v>3.9948865452219999E-3</v>
      </c>
    </row>
    <row r="1005" spans="2:5" ht="15" customHeight="1">
      <c r="B1005" s="90"/>
      <c r="C1005" s="54" t="s">
        <v>244</v>
      </c>
      <c r="D1005" s="55">
        <v>2</v>
      </c>
      <c r="E1005" s="56">
        <v>1.06530307873E-4</v>
      </c>
    </row>
    <row r="1006" spans="2:5" ht="15" customHeight="1">
      <c r="B1006" s="90"/>
      <c r="C1006" s="54" t="s">
        <v>213</v>
      </c>
      <c r="D1006" s="55">
        <v>18</v>
      </c>
      <c r="E1006" s="56">
        <v>9.5877277085300002E-4</v>
      </c>
    </row>
    <row r="1007" spans="2:5" ht="15" customHeight="1">
      <c r="B1007" s="90"/>
      <c r="C1007" s="54" t="s">
        <v>215</v>
      </c>
      <c r="D1007" s="55">
        <v>13</v>
      </c>
      <c r="E1007" s="56">
        <v>6.92447001172E-4</v>
      </c>
    </row>
    <row r="1008" spans="2:5" ht="15" customHeight="1">
      <c r="B1008" s="90"/>
      <c r="C1008" s="54" t="s">
        <v>190</v>
      </c>
      <c r="D1008" s="55">
        <v>8</v>
      </c>
      <c r="E1008" s="56">
        <v>4.2612123148999997E-4</v>
      </c>
    </row>
    <row r="1009" spans="2:5" ht="15" customHeight="1">
      <c r="B1009" s="90"/>
      <c r="C1009" s="54" t="s">
        <v>181</v>
      </c>
      <c r="D1009" s="55">
        <v>118</v>
      </c>
      <c r="E1009" s="56">
        <v>6.2852881644830001E-3</v>
      </c>
    </row>
    <row r="1010" spans="2:5" ht="15" customHeight="1">
      <c r="B1010" s="90"/>
      <c r="C1010" s="54" t="s">
        <v>235</v>
      </c>
      <c r="D1010" s="55">
        <v>1</v>
      </c>
      <c r="E1010" s="56">
        <v>5.3265153936E-5</v>
      </c>
    </row>
    <row r="1011" spans="2:5" ht="15" customHeight="1">
      <c r="B1011" s="90"/>
      <c r="C1011" s="54" t="s">
        <v>192</v>
      </c>
      <c r="D1011" s="55">
        <v>47</v>
      </c>
      <c r="E1011" s="56">
        <v>2.503462235006E-3</v>
      </c>
    </row>
    <row r="1012" spans="2:5" ht="15" customHeight="1">
      <c r="B1012" s="90"/>
      <c r="C1012" s="54" t="s">
        <v>248</v>
      </c>
      <c r="D1012" s="55">
        <v>1</v>
      </c>
      <c r="E1012" s="56">
        <v>5.3265153936E-5</v>
      </c>
    </row>
    <row r="1013" spans="2:5" ht="15" customHeight="1">
      <c r="B1013" s="90"/>
      <c r="C1013" s="54" t="s">
        <v>229</v>
      </c>
      <c r="D1013" s="55">
        <v>10</v>
      </c>
      <c r="E1013" s="56">
        <v>5.3265153936299999E-4</v>
      </c>
    </row>
    <row r="1014" spans="2:5" ht="15" customHeight="1">
      <c r="B1014" s="90"/>
      <c r="C1014" s="54" t="s">
        <v>234</v>
      </c>
      <c r="D1014" s="55">
        <v>1</v>
      </c>
      <c r="E1014" s="56">
        <v>5.3265153936E-5</v>
      </c>
    </row>
    <row r="1015" spans="2:5" ht="15" customHeight="1">
      <c r="B1015" s="90"/>
      <c r="C1015" s="54" t="s">
        <v>191</v>
      </c>
      <c r="D1015" s="55">
        <v>13</v>
      </c>
      <c r="E1015" s="56">
        <v>6.92447001172E-4</v>
      </c>
    </row>
    <row r="1016" spans="2:5" ht="15" customHeight="1">
      <c r="B1016" s="90"/>
      <c r="C1016" s="54" t="s">
        <v>240</v>
      </c>
      <c r="D1016" s="55">
        <v>7</v>
      </c>
      <c r="E1016" s="56">
        <v>3.7285607755399997E-4</v>
      </c>
    </row>
    <row r="1017" spans="2:5" ht="15" customHeight="1">
      <c r="B1017" s="90"/>
      <c r="C1017" s="54" t="s">
        <v>245</v>
      </c>
      <c r="D1017" s="55">
        <v>3</v>
      </c>
      <c r="E1017" s="56">
        <v>1.5979546180899999E-4</v>
      </c>
    </row>
    <row r="1018" spans="2:5" ht="15" customHeight="1">
      <c r="B1018" s="90"/>
      <c r="C1018" s="54" t="s">
        <v>194</v>
      </c>
      <c r="D1018" s="55">
        <v>59</v>
      </c>
      <c r="E1018" s="56">
        <v>3.142644082241E-3</v>
      </c>
    </row>
    <row r="1019" spans="2:5" ht="15" customHeight="1">
      <c r="B1019" s="90"/>
      <c r="C1019" s="54" t="s">
        <v>226</v>
      </c>
      <c r="D1019" s="55">
        <v>1</v>
      </c>
      <c r="E1019" s="56">
        <v>5.3265153936E-5</v>
      </c>
    </row>
    <row r="1020" spans="2:5" ht="15" customHeight="1">
      <c r="B1020" s="90"/>
      <c r="C1020" s="54" t="s">
        <v>187</v>
      </c>
      <c r="D1020" s="55">
        <v>137</v>
      </c>
      <c r="E1020" s="56">
        <v>7.2973260892720002E-3</v>
      </c>
    </row>
    <row r="1021" spans="2:5" ht="15" customHeight="1">
      <c r="B1021" s="90"/>
      <c r="C1021" s="54" t="s">
        <v>186</v>
      </c>
      <c r="D1021" s="55">
        <v>4</v>
      </c>
      <c r="E1021" s="56">
        <v>2.1306061574499999E-4</v>
      </c>
    </row>
    <row r="1022" spans="2:5" ht="15" customHeight="1">
      <c r="B1022" s="90"/>
      <c r="C1022" s="54" t="s">
        <v>203</v>
      </c>
      <c r="D1022" s="55">
        <v>1</v>
      </c>
      <c r="E1022" s="56">
        <v>5.3265153936E-5</v>
      </c>
    </row>
    <row r="1023" spans="2:5" ht="15" customHeight="1">
      <c r="B1023" s="90"/>
      <c r="C1023" s="54" t="s">
        <v>220</v>
      </c>
      <c r="D1023" s="55">
        <v>3</v>
      </c>
      <c r="E1023" s="56">
        <v>1.5979546180899999E-4</v>
      </c>
    </row>
    <row r="1024" spans="2:5" ht="15" customHeight="1">
      <c r="B1024" s="90"/>
      <c r="C1024" s="54" t="s">
        <v>221</v>
      </c>
      <c r="D1024" s="55">
        <v>5</v>
      </c>
      <c r="E1024" s="56">
        <v>2.6632576968100001E-4</v>
      </c>
    </row>
    <row r="1025" spans="2:5" ht="15" customHeight="1">
      <c r="B1025" s="90"/>
      <c r="C1025" s="54" t="s">
        <v>237</v>
      </c>
      <c r="D1025" s="55">
        <v>1</v>
      </c>
      <c r="E1025" s="56">
        <v>5.3265153936E-5</v>
      </c>
    </row>
    <row r="1026" spans="2:5" ht="15" customHeight="1">
      <c r="B1026" s="90"/>
      <c r="C1026" s="54" t="s">
        <v>224</v>
      </c>
      <c r="D1026" s="55">
        <v>1</v>
      </c>
      <c r="E1026" s="56">
        <v>5.3265153936E-5</v>
      </c>
    </row>
    <row r="1027" spans="2:5" ht="15" customHeight="1">
      <c r="B1027" s="90"/>
      <c r="C1027" s="54" t="s">
        <v>208</v>
      </c>
      <c r="D1027" s="55">
        <v>7</v>
      </c>
      <c r="E1027" s="56">
        <v>3.7285607755399997E-4</v>
      </c>
    </row>
    <row r="1028" spans="2:5" ht="15" customHeight="1">
      <c r="B1028" s="90"/>
      <c r="C1028" s="54" t="s">
        <v>200</v>
      </c>
      <c r="D1028" s="55">
        <v>5</v>
      </c>
      <c r="E1028" s="56">
        <v>2.6632576968100001E-4</v>
      </c>
    </row>
    <row r="1029" spans="2:5" ht="15" customHeight="1">
      <c r="B1029" s="90"/>
      <c r="C1029" s="54" t="s">
        <v>227</v>
      </c>
      <c r="D1029" s="55">
        <v>2</v>
      </c>
      <c r="E1029" s="56">
        <v>1.06530307873E-4</v>
      </c>
    </row>
    <row r="1030" spans="2:5" ht="15" customHeight="1">
      <c r="B1030" s="90"/>
      <c r="C1030" s="54" t="s">
        <v>202</v>
      </c>
      <c r="D1030" s="55">
        <v>17</v>
      </c>
      <c r="E1030" s="56">
        <v>9.0550761691699996E-4</v>
      </c>
    </row>
    <row r="1031" spans="2:5" ht="15" customHeight="1">
      <c r="B1031" s="90"/>
      <c r="C1031" s="54" t="s">
        <v>231</v>
      </c>
      <c r="D1031" s="55">
        <v>9</v>
      </c>
      <c r="E1031" s="56">
        <v>4.7938638542699999E-4</v>
      </c>
    </row>
    <row r="1032" spans="2:5" ht="15" customHeight="1">
      <c r="B1032" s="90"/>
      <c r="C1032" s="54" t="s">
        <v>242</v>
      </c>
      <c r="D1032" s="55">
        <v>12</v>
      </c>
      <c r="E1032" s="56">
        <v>6.3918184723599995E-4</v>
      </c>
    </row>
    <row r="1033" spans="2:5" ht="15" customHeight="1">
      <c r="B1033" s="90"/>
      <c r="C1033" s="54" t="s">
        <v>239</v>
      </c>
      <c r="D1033" s="55">
        <v>1</v>
      </c>
      <c r="E1033" s="56">
        <v>5.3265153936E-5</v>
      </c>
    </row>
    <row r="1034" spans="2:5" ht="15" customHeight="1">
      <c r="B1034" s="90"/>
      <c r="C1034" s="54" t="s">
        <v>199</v>
      </c>
      <c r="D1034" s="55">
        <v>2</v>
      </c>
      <c r="E1034" s="56">
        <v>1.06530307873E-4</v>
      </c>
    </row>
    <row r="1035" spans="2:5" ht="15" customHeight="1">
      <c r="B1035" s="91"/>
      <c r="C1035" s="65" t="s">
        <v>321</v>
      </c>
      <c r="D1035" s="64">
        <v>1034</v>
      </c>
      <c r="E1035" s="66">
        <v>5.5076169170129002E-2</v>
      </c>
    </row>
    <row r="1036" spans="2:5" ht="15" customHeight="1">
      <c r="B1036" s="89" t="s">
        <v>88</v>
      </c>
      <c r="C1036" s="54" t="s">
        <v>211</v>
      </c>
      <c r="D1036" s="55">
        <v>1</v>
      </c>
      <c r="E1036" s="56">
        <v>5.3265153936E-5</v>
      </c>
    </row>
    <row r="1037" spans="2:5" ht="15" customHeight="1">
      <c r="B1037" s="90"/>
      <c r="C1037" s="54" t="s">
        <v>217</v>
      </c>
      <c r="D1037" s="55">
        <v>2</v>
      </c>
      <c r="E1037" s="56">
        <v>1.06530307873E-4</v>
      </c>
    </row>
    <row r="1038" spans="2:5" ht="15" customHeight="1">
      <c r="B1038" s="90"/>
      <c r="C1038" s="54" t="s">
        <v>182</v>
      </c>
      <c r="D1038" s="55">
        <v>6</v>
      </c>
      <c r="E1038" s="56">
        <v>3.1959092361799997E-4</v>
      </c>
    </row>
    <row r="1039" spans="2:5" ht="15" customHeight="1">
      <c r="B1039" s="90"/>
      <c r="C1039" s="54" t="s">
        <v>184</v>
      </c>
      <c r="D1039" s="55">
        <v>1</v>
      </c>
      <c r="E1039" s="56">
        <v>5.3265153936E-5</v>
      </c>
    </row>
    <row r="1040" spans="2:5" ht="15" customHeight="1">
      <c r="B1040" s="90"/>
      <c r="C1040" s="54" t="s">
        <v>214</v>
      </c>
      <c r="D1040" s="55">
        <v>1</v>
      </c>
      <c r="E1040" s="56">
        <v>5.3265153936E-5</v>
      </c>
    </row>
    <row r="1041" spans="2:5" ht="15" customHeight="1">
      <c r="B1041" s="90"/>
      <c r="C1041" s="54" t="s">
        <v>185</v>
      </c>
      <c r="D1041" s="55">
        <v>1</v>
      </c>
      <c r="E1041" s="56">
        <v>5.3265153936E-5</v>
      </c>
    </row>
    <row r="1042" spans="2:5" ht="15" customHeight="1">
      <c r="B1042" s="90"/>
      <c r="C1042" s="54" t="s">
        <v>181</v>
      </c>
      <c r="D1042" s="55">
        <v>6</v>
      </c>
      <c r="E1042" s="56">
        <v>3.1959092361799997E-4</v>
      </c>
    </row>
    <row r="1043" spans="2:5" ht="15" customHeight="1">
      <c r="B1043" s="90"/>
      <c r="C1043" s="54" t="s">
        <v>204</v>
      </c>
      <c r="D1043" s="55">
        <v>1</v>
      </c>
      <c r="E1043" s="56">
        <v>5.3265153936E-5</v>
      </c>
    </row>
    <row r="1044" spans="2:5" ht="15" customHeight="1">
      <c r="B1044" s="91"/>
      <c r="C1044" s="65" t="s">
        <v>321</v>
      </c>
      <c r="D1044" s="64">
        <v>19</v>
      </c>
      <c r="E1044" s="66">
        <v>1.0120379247899999E-3</v>
      </c>
    </row>
    <row r="1045" spans="2:5" ht="15" customHeight="1">
      <c r="B1045" s="89" t="s">
        <v>53</v>
      </c>
      <c r="C1045" s="54" t="s">
        <v>205</v>
      </c>
      <c r="D1045" s="55">
        <v>2</v>
      </c>
      <c r="E1045" s="56">
        <v>1.06530307873E-4</v>
      </c>
    </row>
    <row r="1046" spans="2:5" ht="15" customHeight="1">
      <c r="B1046" s="90"/>
      <c r="C1046" s="54" t="s">
        <v>195</v>
      </c>
      <c r="D1046" s="55">
        <v>24</v>
      </c>
      <c r="E1046" s="56">
        <v>1.278363694471E-3</v>
      </c>
    </row>
    <row r="1047" spans="2:5" ht="15" customHeight="1">
      <c r="B1047" s="90"/>
      <c r="C1047" s="54" t="s">
        <v>196</v>
      </c>
      <c r="D1047" s="55">
        <v>1</v>
      </c>
      <c r="E1047" s="56">
        <v>5.3265153936E-5</v>
      </c>
    </row>
    <row r="1048" spans="2:5" ht="15" customHeight="1">
      <c r="B1048" s="90"/>
      <c r="C1048" s="54" t="s">
        <v>228</v>
      </c>
      <c r="D1048" s="55">
        <v>1</v>
      </c>
      <c r="E1048" s="56">
        <v>5.3265153936E-5</v>
      </c>
    </row>
    <row r="1049" spans="2:5" ht="15" customHeight="1">
      <c r="B1049" s="90"/>
      <c r="C1049" s="54" t="s">
        <v>201</v>
      </c>
      <c r="D1049" s="55">
        <v>4</v>
      </c>
      <c r="E1049" s="56">
        <v>2.1306061574499999E-4</v>
      </c>
    </row>
    <row r="1050" spans="2:5" ht="15" customHeight="1">
      <c r="B1050" s="90"/>
      <c r="C1050" s="54" t="s">
        <v>188</v>
      </c>
      <c r="D1050" s="55">
        <v>19</v>
      </c>
      <c r="E1050" s="56">
        <v>1.0120379247899999E-3</v>
      </c>
    </row>
    <row r="1051" spans="2:5" ht="15" customHeight="1">
      <c r="B1051" s="90"/>
      <c r="C1051" s="54" t="s">
        <v>212</v>
      </c>
      <c r="D1051" s="55">
        <v>1</v>
      </c>
      <c r="E1051" s="56">
        <v>5.3265153936E-5</v>
      </c>
    </row>
    <row r="1052" spans="2:5" ht="15" customHeight="1">
      <c r="B1052" s="90"/>
      <c r="C1052" s="54" t="s">
        <v>217</v>
      </c>
      <c r="D1052" s="55">
        <v>2</v>
      </c>
      <c r="E1052" s="56">
        <v>1.06530307873E-4</v>
      </c>
    </row>
    <row r="1053" spans="2:5" ht="15" customHeight="1">
      <c r="B1053" s="90"/>
      <c r="C1053" s="54" t="s">
        <v>182</v>
      </c>
      <c r="D1053" s="55">
        <v>174</v>
      </c>
      <c r="E1053" s="56">
        <v>9.2681367849150008E-3</v>
      </c>
    </row>
    <row r="1054" spans="2:5" ht="15" customHeight="1">
      <c r="B1054" s="90"/>
      <c r="C1054" s="54" t="s">
        <v>243</v>
      </c>
      <c r="D1054" s="55">
        <v>1</v>
      </c>
      <c r="E1054" s="56">
        <v>5.3265153936E-5</v>
      </c>
    </row>
    <row r="1055" spans="2:5" ht="15" customHeight="1">
      <c r="B1055" s="90"/>
      <c r="C1055" s="54" t="s">
        <v>223</v>
      </c>
      <c r="D1055" s="55">
        <v>3</v>
      </c>
      <c r="E1055" s="56">
        <v>1.5979546180899999E-4</v>
      </c>
    </row>
    <row r="1056" spans="2:5" ht="15" customHeight="1">
      <c r="B1056" s="90"/>
      <c r="C1056" s="54" t="s">
        <v>184</v>
      </c>
      <c r="D1056" s="55">
        <v>30</v>
      </c>
      <c r="E1056" s="56">
        <v>1.5979546180890001E-3</v>
      </c>
    </row>
    <row r="1057" spans="2:5" ht="15" customHeight="1">
      <c r="B1057" s="90"/>
      <c r="C1057" s="54" t="s">
        <v>209</v>
      </c>
      <c r="D1057" s="55">
        <v>1</v>
      </c>
      <c r="E1057" s="56">
        <v>5.3265153936E-5</v>
      </c>
    </row>
    <row r="1058" spans="2:5" ht="15" customHeight="1">
      <c r="B1058" s="90"/>
      <c r="C1058" s="54" t="s">
        <v>183</v>
      </c>
      <c r="D1058" s="55">
        <v>57</v>
      </c>
      <c r="E1058" s="56">
        <v>3.0361137743689999E-3</v>
      </c>
    </row>
    <row r="1059" spans="2:5" ht="15" customHeight="1">
      <c r="B1059" s="90"/>
      <c r="C1059" s="54" t="s">
        <v>206</v>
      </c>
      <c r="D1059" s="55">
        <v>21</v>
      </c>
      <c r="E1059" s="56">
        <v>1.118568232662E-3</v>
      </c>
    </row>
    <row r="1060" spans="2:5" ht="15" customHeight="1">
      <c r="B1060" s="90"/>
      <c r="C1060" s="54" t="s">
        <v>214</v>
      </c>
      <c r="D1060" s="55">
        <v>2</v>
      </c>
      <c r="E1060" s="56">
        <v>1.06530307873E-4</v>
      </c>
    </row>
    <row r="1061" spans="2:5" ht="15" customHeight="1">
      <c r="B1061" s="90"/>
      <c r="C1061" s="54" t="s">
        <v>193</v>
      </c>
      <c r="D1061" s="55">
        <v>4</v>
      </c>
      <c r="E1061" s="56">
        <v>2.1306061574499999E-4</v>
      </c>
    </row>
    <row r="1062" spans="2:5" ht="15" customHeight="1">
      <c r="B1062" s="90"/>
      <c r="C1062" s="54" t="s">
        <v>207</v>
      </c>
      <c r="D1062" s="55">
        <v>11</v>
      </c>
      <c r="E1062" s="56">
        <v>5.8591669329900004E-4</v>
      </c>
    </row>
    <row r="1063" spans="2:5" ht="15" customHeight="1">
      <c r="B1063" s="90"/>
      <c r="C1063" s="54" t="s">
        <v>189</v>
      </c>
      <c r="D1063" s="55">
        <v>4</v>
      </c>
      <c r="E1063" s="56">
        <v>2.1306061574499999E-4</v>
      </c>
    </row>
    <row r="1064" spans="2:5" ht="15" customHeight="1">
      <c r="B1064" s="90"/>
      <c r="C1064" s="54" t="s">
        <v>185</v>
      </c>
      <c r="D1064" s="55">
        <v>19</v>
      </c>
      <c r="E1064" s="56">
        <v>1.0120379247899999E-3</v>
      </c>
    </row>
    <row r="1065" spans="2:5" ht="15" customHeight="1">
      <c r="B1065" s="90"/>
      <c r="C1065" s="54" t="s">
        <v>213</v>
      </c>
      <c r="D1065" s="55">
        <v>7</v>
      </c>
      <c r="E1065" s="56">
        <v>3.7285607755399997E-4</v>
      </c>
    </row>
    <row r="1066" spans="2:5" ht="15" customHeight="1">
      <c r="B1066" s="90"/>
      <c r="C1066" s="54" t="s">
        <v>190</v>
      </c>
      <c r="D1066" s="55">
        <v>2</v>
      </c>
      <c r="E1066" s="56">
        <v>1.06530307873E-4</v>
      </c>
    </row>
    <row r="1067" spans="2:5" ht="15" customHeight="1">
      <c r="B1067" s="90"/>
      <c r="C1067" s="54" t="s">
        <v>181</v>
      </c>
      <c r="D1067" s="55">
        <v>57</v>
      </c>
      <c r="E1067" s="56">
        <v>3.0361137743689999E-3</v>
      </c>
    </row>
    <row r="1068" spans="2:5" ht="15" customHeight="1">
      <c r="B1068" s="90"/>
      <c r="C1068" s="54" t="s">
        <v>192</v>
      </c>
      <c r="D1068" s="55">
        <v>4</v>
      </c>
      <c r="E1068" s="56">
        <v>2.1306061574499999E-4</v>
      </c>
    </row>
    <row r="1069" spans="2:5" ht="15" customHeight="1">
      <c r="B1069" s="90"/>
      <c r="C1069" s="54" t="s">
        <v>210</v>
      </c>
      <c r="D1069" s="55">
        <v>13</v>
      </c>
      <c r="E1069" s="56">
        <v>6.92447001172E-4</v>
      </c>
    </row>
    <row r="1070" spans="2:5" ht="15" customHeight="1">
      <c r="B1070" s="90"/>
      <c r="C1070" s="54" t="s">
        <v>229</v>
      </c>
      <c r="D1070" s="55">
        <v>1</v>
      </c>
      <c r="E1070" s="56">
        <v>5.3265153936E-5</v>
      </c>
    </row>
    <row r="1071" spans="2:5" ht="15" customHeight="1">
      <c r="B1071" s="90"/>
      <c r="C1071" s="54" t="s">
        <v>234</v>
      </c>
      <c r="D1071" s="55">
        <v>2</v>
      </c>
      <c r="E1071" s="56">
        <v>1.06530307873E-4</v>
      </c>
    </row>
    <row r="1072" spans="2:5" ht="15" customHeight="1">
      <c r="B1072" s="90"/>
      <c r="C1072" s="54" t="s">
        <v>191</v>
      </c>
      <c r="D1072" s="55">
        <v>8</v>
      </c>
      <c r="E1072" s="56">
        <v>4.2612123148999997E-4</v>
      </c>
    </row>
    <row r="1073" spans="2:5" ht="15" customHeight="1">
      <c r="B1073" s="90"/>
      <c r="C1073" s="54" t="s">
        <v>240</v>
      </c>
      <c r="D1073" s="55">
        <v>1</v>
      </c>
      <c r="E1073" s="56">
        <v>5.3265153936E-5</v>
      </c>
    </row>
    <row r="1074" spans="2:5" ht="15" customHeight="1">
      <c r="B1074" s="90"/>
      <c r="C1074" s="54" t="s">
        <v>194</v>
      </c>
      <c r="D1074" s="55">
        <v>2</v>
      </c>
      <c r="E1074" s="56">
        <v>1.06530307873E-4</v>
      </c>
    </row>
    <row r="1075" spans="2:5" ht="15" customHeight="1">
      <c r="B1075" s="90"/>
      <c r="C1075" s="54" t="s">
        <v>226</v>
      </c>
      <c r="D1075" s="55">
        <v>3</v>
      </c>
      <c r="E1075" s="56">
        <v>1.5979546180899999E-4</v>
      </c>
    </row>
    <row r="1076" spans="2:5" ht="15" customHeight="1">
      <c r="B1076" s="90"/>
      <c r="C1076" s="54" t="s">
        <v>187</v>
      </c>
      <c r="D1076" s="55">
        <v>10</v>
      </c>
      <c r="E1076" s="56">
        <v>5.3265153936299999E-4</v>
      </c>
    </row>
    <row r="1077" spans="2:5" ht="15" customHeight="1">
      <c r="B1077" s="90"/>
      <c r="C1077" s="54" t="s">
        <v>186</v>
      </c>
      <c r="D1077" s="55">
        <v>121</v>
      </c>
      <c r="E1077" s="56">
        <v>6.4450836262919999E-3</v>
      </c>
    </row>
    <row r="1078" spans="2:5" ht="15" customHeight="1">
      <c r="B1078" s="90"/>
      <c r="C1078" s="54" t="s">
        <v>203</v>
      </c>
      <c r="D1078" s="55">
        <v>7</v>
      </c>
      <c r="E1078" s="56">
        <v>3.7285607755399997E-4</v>
      </c>
    </row>
    <row r="1079" spans="2:5" ht="15" customHeight="1">
      <c r="B1079" s="90"/>
      <c r="C1079" s="54" t="s">
        <v>220</v>
      </c>
      <c r="D1079" s="55">
        <v>2</v>
      </c>
      <c r="E1079" s="56">
        <v>1.06530307873E-4</v>
      </c>
    </row>
    <row r="1080" spans="2:5" ht="15" customHeight="1">
      <c r="B1080" s="90"/>
      <c r="C1080" s="54" t="s">
        <v>221</v>
      </c>
      <c r="D1080" s="55">
        <v>1</v>
      </c>
      <c r="E1080" s="56">
        <v>5.3265153936E-5</v>
      </c>
    </row>
    <row r="1081" spans="2:5" ht="15" customHeight="1">
      <c r="B1081" s="90"/>
      <c r="C1081" s="54" t="s">
        <v>208</v>
      </c>
      <c r="D1081" s="55">
        <v>2</v>
      </c>
      <c r="E1081" s="56">
        <v>1.06530307873E-4</v>
      </c>
    </row>
    <row r="1082" spans="2:5" ht="15" customHeight="1">
      <c r="B1082" s="90"/>
      <c r="C1082" s="54" t="s">
        <v>200</v>
      </c>
      <c r="D1082" s="55">
        <v>1</v>
      </c>
      <c r="E1082" s="56">
        <v>5.3265153936E-5</v>
      </c>
    </row>
    <row r="1083" spans="2:5" ht="15" customHeight="1">
      <c r="B1083" s="90"/>
      <c r="C1083" s="54" t="s">
        <v>227</v>
      </c>
      <c r="D1083" s="55">
        <v>2</v>
      </c>
      <c r="E1083" s="56">
        <v>1.06530307873E-4</v>
      </c>
    </row>
    <row r="1084" spans="2:5" ht="15" customHeight="1">
      <c r="B1084" s="90"/>
      <c r="C1084" s="54" t="s">
        <v>204</v>
      </c>
      <c r="D1084" s="55">
        <v>2</v>
      </c>
      <c r="E1084" s="56">
        <v>1.06530307873E-4</v>
      </c>
    </row>
    <row r="1085" spans="2:5" ht="15" customHeight="1">
      <c r="B1085" s="90"/>
      <c r="C1085" s="54" t="s">
        <v>202</v>
      </c>
      <c r="D1085" s="55">
        <v>2</v>
      </c>
      <c r="E1085" s="56">
        <v>1.06530307873E-4</v>
      </c>
    </row>
    <row r="1086" spans="2:5" ht="15" customHeight="1">
      <c r="B1086" s="90"/>
      <c r="C1086" s="54" t="s">
        <v>231</v>
      </c>
      <c r="D1086" s="55">
        <v>1</v>
      </c>
      <c r="E1086" s="56">
        <v>5.3265153936E-5</v>
      </c>
    </row>
    <row r="1087" spans="2:5" ht="15" customHeight="1">
      <c r="B1087" s="90"/>
      <c r="C1087" s="54" t="s">
        <v>239</v>
      </c>
      <c r="D1087" s="55">
        <v>1</v>
      </c>
      <c r="E1087" s="56">
        <v>5.3265153936E-5</v>
      </c>
    </row>
    <row r="1088" spans="2:5" ht="15" customHeight="1">
      <c r="B1088" s="90"/>
      <c r="C1088" s="54" t="s">
        <v>199</v>
      </c>
      <c r="D1088" s="55">
        <v>1</v>
      </c>
      <c r="E1088" s="56">
        <v>5.3265153936E-5</v>
      </c>
    </row>
    <row r="1089" spans="2:5" ht="15" customHeight="1">
      <c r="B1089" s="91"/>
      <c r="C1089" s="65" t="s">
        <v>321</v>
      </c>
      <c r="D1089" s="64">
        <v>634</v>
      </c>
      <c r="E1089" s="66">
        <v>3.3770107595610999E-2</v>
      </c>
    </row>
    <row r="1090" spans="2:5" ht="15" customHeight="1">
      <c r="B1090" s="89" t="s">
        <v>68</v>
      </c>
      <c r="C1090" s="54" t="s">
        <v>195</v>
      </c>
      <c r="D1090" s="55">
        <v>1</v>
      </c>
      <c r="E1090" s="56">
        <v>5.3265153936E-5</v>
      </c>
    </row>
    <row r="1091" spans="2:5" ht="15" customHeight="1">
      <c r="B1091" s="90"/>
      <c r="C1091" s="54" t="s">
        <v>196</v>
      </c>
      <c r="D1091" s="55">
        <v>3</v>
      </c>
      <c r="E1091" s="56">
        <v>1.5979546180899999E-4</v>
      </c>
    </row>
    <row r="1092" spans="2:5" ht="15" customHeight="1">
      <c r="B1092" s="90"/>
      <c r="C1092" s="54" t="s">
        <v>201</v>
      </c>
      <c r="D1092" s="55">
        <v>1</v>
      </c>
      <c r="E1092" s="56">
        <v>5.3265153936E-5</v>
      </c>
    </row>
    <row r="1093" spans="2:5" ht="15" customHeight="1">
      <c r="B1093" s="90"/>
      <c r="C1093" s="54" t="s">
        <v>188</v>
      </c>
      <c r="D1093" s="55">
        <v>1</v>
      </c>
      <c r="E1093" s="56">
        <v>5.3265153936E-5</v>
      </c>
    </row>
    <row r="1094" spans="2:5" ht="15" customHeight="1">
      <c r="B1094" s="90"/>
      <c r="C1094" s="54" t="s">
        <v>217</v>
      </c>
      <c r="D1094" s="55">
        <v>1</v>
      </c>
      <c r="E1094" s="56">
        <v>5.3265153936E-5</v>
      </c>
    </row>
    <row r="1095" spans="2:5" ht="15" customHeight="1">
      <c r="B1095" s="90"/>
      <c r="C1095" s="54" t="s">
        <v>182</v>
      </c>
      <c r="D1095" s="55">
        <v>23</v>
      </c>
      <c r="E1095" s="56">
        <v>1.225098540535E-3</v>
      </c>
    </row>
    <row r="1096" spans="2:5" ht="15" customHeight="1">
      <c r="B1096" s="90"/>
      <c r="C1096" s="54" t="s">
        <v>225</v>
      </c>
      <c r="D1096" s="55">
        <v>1</v>
      </c>
      <c r="E1096" s="56">
        <v>5.3265153936E-5</v>
      </c>
    </row>
    <row r="1097" spans="2:5" ht="15" customHeight="1">
      <c r="B1097" s="90"/>
      <c r="C1097" s="54" t="s">
        <v>184</v>
      </c>
      <c r="D1097" s="55">
        <v>4</v>
      </c>
      <c r="E1097" s="56">
        <v>2.1306061574499999E-4</v>
      </c>
    </row>
    <row r="1098" spans="2:5" ht="15" customHeight="1">
      <c r="B1098" s="90"/>
      <c r="C1098" s="54" t="s">
        <v>209</v>
      </c>
      <c r="D1098" s="55">
        <v>1</v>
      </c>
      <c r="E1098" s="56">
        <v>5.3265153936E-5</v>
      </c>
    </row>
    <row r="1099" spans="2:5" ht="15" customHeight="1">
      <c r="B1099" s="90"/>
      <c r="C1099" s="54" t="s">
        <v>183</v>
      </c>
      <c r="D1099" s="55">
        <v>13</v>
      </c>
      <c r="E1099" s="56">
        <v>6.92447001172E-4</v>
      </c>
    </row>
    <row r="1100" spans="2:5" ht="15" customHeight="1">
      <c r="B1100" s="90"/>
      <c r="C1100" s="54" t="s">
        <v>197</v>
      </c>
      <c r="D1100" s="55">
        <v>1</v>
      </c>
      <c r="E1100" s="56">
        <v>5.3265153936E-5</v>
      </c>
    </row>
    <row r="1101" spans="2:5" ht="15" customHeight="1">
      <c r="B1101" s="90"/>
      <c r="C1101" s="54" t="s">
        <v>218</v>
      </c>
      <c r="D1101" s="55">
        <v>1</v>
      </c>
      <c r="E1101" s="56">
        <v>5.3265153936E-5</v>
      </c>
    </row>
    <row r="1102" spans="2:5" ht="15" customHeight="1">
      <c r="B1102" s="90"/>
      <c r="C1102" s="54" t="s">
        <v>214</v>
      </c>
      <c r="D1102" s="55">
        <v>1</v>
      </c>
      <c r="E1102" s="56">
        <v>5.3265153936E-5</v>
      </c>
    </row>
    <row r="1103" spans="2:5" ht="15" customHeight="1">
      <c r="B1103" s="90"/>
      <c r="C1103" s="54" t="s">
        <v>193</v>
      </c>
      <c r="D1103" s="55">
        <v>1</v>
      </c>
      <c r="E1103" s="56">
        <v>5.3265153936E-5</v>
      </c>
    </row>
    <row r="1104" spans="2:5" ht="15" customHeight="1">
      <c r="B1104" s="90"/>
      <c r="C1104" s="54" t="s">
        <v>207</v>
      </c>
      <c r="D1104" s="55">
        <v>5</v>
      </c>
      <c r="E1104" s="56">
        <v>2.6632576968100001E-4</v>
      </c>
    </row>
    <row r="1105" spans="2:5" ht="15" customHeight="1">
      <c r="B1105" s="90"/>
      <c r="C1105" s="54" t="s">
        <v>247</v>
      </c>
      <c r="D1105" s="55">
        <v>2</v>
      </c>
      <c r="E1105" s="56">
        <v>1.06530307873E-4</v>
      </c>
    </row>
    <row r="1106" spans="2:5" ht="15" customHeight="1">
      <c r="B1106" s="90"/>
      <c r="C1106" s="54" t="s">
        <v>189</v>
      </c>
      <c r="D1106" s="55">
        <v>2</v>
      </c>
      <c r="E1106" s="56">
        <v>1.06530307873E-4</v>
      </c>
    </row>
    <row r="1107" spans="2:5" ht="15" customHeight="1">
      <c r="B1107" s="90"/>
      <c r="C1107" s="54" t="s">
        <v>219</v>
      </c>
      <c r="D1107" s="55">
        <v>2</v>
      </c>
      <c r="E1107" s="56">
        <v>1.06530307873E-4</v>
      </c>
    </row>
    <row r="1108" spans="2:5" ht="15" customHeight="1">
      <c r="B1108" s="90"/>
      <c r="C1108" s="54" t="s">
        <v>185</v>
      </c>
      <c r="D1108" s="55">
        <v>8</v>
      </c>
      <c r="E1108" s="56">
        <v>4.2612123148999997E-4</v>
      </c>
    </row>
    <row r="1109" spans="2:5" ht="15" customHeight="1">
      <c r="B1109" s="90"/>
      <c r="C1109" s="54" t="s">
        <v>190</v>
      </c>
      <c r="D1109" s="55">
        <v>1</v>
      </c>
      <c r="E1109" s="56">
        <v>5.3265153936E-5</v>
      </c>
    </row>
    <row r="1110" spans="2:5" ht="15" customHeight="1">
      <c r="B1110" s="90"/>
      <c r="C1110" s="54" t="s">
        <v>181</v>
      </c>
      <c r="D1110" s="55">
        <v>51</v>
      </c>
      <c r="E1110" s="56">
        <v>2.7165228507509999E-3</v>
      </c>
    </row>
    <row r="1111" spans="2:5" ht="15" customHeight="1">
      <c r="B1111" s="90"/>
      <c r="C1111" s="54" t="s">
        <v>192</v>
      </c>
      <c r="D1111" s="55">
        <v>2</v>
      </c>
      <c r="E1111" s="56">
        <v>1.06530307873E-4</v>
      </c>
    </row>
    <row r="1112" spans="2:5" ht="15" customHeight="1">
      <c r="B1112" s="90"/>
      <c r="C1112" s="54" t="s">
        <v>234</v>
      </c>
      <c r="D1112" s="55">
        <v>2</v>
      </c>
      <c r="E1112" s="56">
        <v>1.06530307873E-4</v>
      </c>
    </row>
    <row r="1113" spans="2:5" ht="15" customHeight="1">
      <c r="B1113" s="90"/>
      <c r="C1113" s="54" t="s">
        <v>191</v>
      </c>
      <c r="D1113" s="55">
        <v>4</v>
      </c>
      <c r="E1113" s="56">
        <v>2.1306061574499999E-4</v>
      </c>
    </row>
    <row r="1114" spans="2:5" ht="15" customHeight="1">
      <c r="B1114" s="90"/>
      <c r="C1114" s="54" t="s">
        <v>194</v>
      </c>
      <c r="D1114" s="55">
        <v>2</v>
      </c>
      <c r="E1114" s="56">
        <v>1.06530307873E-4</v>
      </c>
    </row>
    <row r="1115" spans="2:5" ht="15" customHeight="1">
      <c r="B1115" s="90"/>
      <c r="C1115" s="54" t="s">
        <v>187</v>
      </c>
      <c r="D1115" s="55">
        <v>6</v>
      </c>
      <c r="E1115" s="56">
        <v>3.1959092361799997E-4</v>
      </c>
    </row>
    <row r="1116" spans="2:5" ht="15" customHeight="1">
      <c r="B1116" s="90"/>
      <c r="C1116" s="54" t="s">
        <v>237</v>
      </c>
      <c r="D1116" s="55">
        <v>2</v>
      </c>
      <c r="E1116" s="56">
        <v>1.06530307873E-4</v>
      </c>
    </row>
    <row r="1117" spans="2:5" ht="15" customHeight="1">
      <c r="B1117" s="90"/>
      <c r="C1117" s="54" t="s">
        <v>208</v>
      </c>
      <c r="D1117" s="55">
        <v>1</v>
      </c>
      <c r="E1117" s="56">
        <v>5.3265153936E-5</v>
      </c>
    </row>
    <row r="1118" spans="2:5" ht="15" customHeight="1">
      <c r="B1118" s="90"/>
      <c r="C1118" s="54" t="s">
        <v>242</v>
      </c>
      <c r="D1118" s="55">
        <v>4</v>
      </c>
      <c r="E1118" s="56">
        <v>2.1306061574499999E-4</v>
      </c>
    </row>
    <row r="1119" spans="2:5" ht="15" customHeight="1">
      <c r="B1119" s="91"/>
      <c r="C1119" s="65" t="s">
        <v>321</v>
      </c>
      <c r="D1119" s="64">
        <v>147</v>
      </c>
      <c r="E1119" s="66">
        <v>7.8299776286350001E-3</v>
      </c>
    </row>
    <row r="1120" spans="2:5" ht="15" customHeight="1">
      <c r="B1120" s="89" t="s">
        <v>72</v>
      </c>
      <c r="C1120" s="54" t="s">
        <v>195</v>
      </c>
      <c r="D1120" s="55">
        <v>1</v>
      </c>
      <c r="E1120" s="56">
        <v>5.3265153936E-5</v>
      </c>
    </row>
    <row r="1121" spans="2:5" ht="15" customHeight="1">
      <c r="B1121" s="90"/>
      <c r="C1121" s="54" t="s">
        <v>196</v>
      </c>
      <c r="D1121" s="55">
        <v>1</v>
      </c>
      <c r="E1121" s="56">
        <v>5.3265153936E-5</v>
      </c>
    </row>
    <row r="1122" spans="2:5" ht="15" customHeight="1">
      <c r="B1122" s="90"/>
      <c r="C1122" s="54" t="s">
        <v>222</v>
      </c>
      <c r="D1122" s="55">
        <v>1</v>
      </c>
      <c r="E1122" s="56">
        <v>5.3265153936E-5</v>
      </c>
    </row>
    <row r="1123" spans="2:5" ht="15" customHeight="1">
      <c r="B1123" s="90"/>
      <c r="C1123" s="54" t="s">
        <v>198</v>
      </c>
      <c r="D1123" s="55">
        <v>1</v>
      </c>
      <c r="E1123" s="56">
        <v>5.3265153936E-5</v>
      </c>
    </row>
    <row r="1124" spans="2:5" ht="15" customHeight="1">
      <c r="B1124" s="90"/>
      <c r="C1124" s="54" t="s">
        <v>201</v>
      </c>
      <c r="D1124" s="55">
        <v>2</v>
      </c>
      <c r="E1124" s="56">
        <v>1.06530307873E-4</v>
      </c>
    </row>
    <row r="1125" spans="2:5" ht="15" customHeight="1">
      <c r="B1125" s="90"/>
      <c r="C1125" s="54" t="s">
        <v>182</v>
      </c>
      <c r="D1125" s="55">
        <v>13</v>
      </c>
      <c r="E1125" s="56">
        <v>6.92447001172E-4</v>
      </c>
    </row>
    <row r="1126" spans="2:5" ht="15" customHeight="1">
      <c r="B1126" s="90"/>
      <c r="C1126" s="54" t="s">
        <v>184</v>
      </c>
      <c r="D1126" s="55">
        <v>5</v>
      </c>
      <c r="E1126" s="56">
        <v>2.6632576968100001E-4</v>
      </c>
    </row>
    <row r="1127" spans="2:5" ht="15" customHeight="1">
      <c r="B1127" s="90"/>
      <c r="C1127" s="54" t="s">
        <v>183</v>
      </c>
      <c r="D1127" s="55">
        <v>3</v>
      </c>
      <c r="E1127" s="56">
        <v>1.5979546180899999E-4</v>
      </c>
    </row>
    <row r="1128" spans="2:5" ht="15" customHeight="1">
      <c r="B1128" s="90"/>
      <c r="C1128" s="54" t="s">
        <v>197</v>
      </c>
      <c r="D1128" s="55">
        <v>1</v>
      </c>
      <c r="E1128" s="56">
        <v>5.3265153936E-5</v>
      </c>
    </row>
    <row r="1129" spans="2:5" ht="15" customHeight="1">
      <c r="B1129" s="90"/>
      <c r="C1129" s="54" t="s">
        <v>214</v>
      </c>
      <c r="D1129" s="55">
        <v>1</v>
      </c>
      <c r="E1129" s="56">
        <v>5.3265153936E-5</v>
      </c>
    </row>
    <row r="1130" spans="2:5" ht="15" customHeight="1">
      <c r="B1130" s="90"/>
      <c r="C1130" s="54" t="s">
        <v>207</v>
      </c>
      <c r="D1130" s="55">
        <v>3</v>
      </c>
      <c r="E1130" s="56">
        <v>1.5979546180899999E-4</v>
      </c>
    </row>
    <row r="1131" spans="2:5" ht="15" customHeight="1">
      <c r="B1131" s="90"/>
      <c r="C1131" s="54" t="s">
        <v>247</v>
      </c>
      <c r="D1131" s="55">
        <v>1</v>
      </c>
      <c r="E1131" s="56">
        <v>5.3265153936E-5</v>
      </c>
    </row>
    <row r="1132" spans="2:5" ht="15" customHeight="1">
      <c r="B1132" s="90"/>
      <c r="C1132" s="54" t="s">
        <v>189</v>
      </c>
      <c r="D1132" s="55">
        <v>2</v>
      </c>
      <c r="E1132" s="56">
        <v>1.06530307873E-4</v>
      </c>
    </row>
    <row r="1133" spans="2:5" ht="15" customHeight="1">
      <c r="B1133" s="90"/>
      <c r="C1133" s="54" t="s">
        <v>219</v>
      </c>
      <c r="D1133" s="55">
        <v>1</v>
      </c>
      <c r="E1133" s="56">
        <v>5.3265153936E-5</v>
      </c>
    </row>
    <row r="1134" spans="2:5" ht="15" customHeight="1">
      <c r="B1134" s="90"/>
      <c r="C1134" s="54" t="s">
        <v>181</v>
      </c>
      <c r="D1134" s="55">
        <v>31</v>
      </c>
      <c r="E1134" s="56">
        <v>1.6512197720249999E-3</v>
      </c>
    </row>
    <row r="1135" spans="2:5" ht="15" customHeight="1">
      <c r="B1135" s="90"/>
      <c r="C1135" s="54" t="s">
        <v>192</v>
      </c>
      <c r="D1135" s="55">
        <v>1</v>
      </c>
      <c r="E1135" s="56">
        <v>5.3265153936E-5</v>
      </c>
    </row>
    <row r="1136" spans="2:5" ht="15" customHeight="1">
      <c r="B1136" s="90"/>
      <c r="C1136" s="54" t="s">
        <v>187</v>
      </c>
      <c r="D1136" s="55">
        <v>4</v>
      </c>
      <c r="E1136" s="56">
        <v>2.1306061574499999E-4</v>
      </c>
    </row>
    <row r="1137" spans="2:5" ht="15" customHeight="1">
      <c r="B1137" s="90"/>
      <c r="C1137" s="54" t="s">
        <v>203</v>
      </c>
      <c r="D1137" s="55">
        <v>1</v>
      </c>
      <c r="E1137" s="56">
        <v>5.3265153936E-5</v>
      </c>
    </row>
    <row r="1138" spans="2:5" ht="15" customHeight="1">
      <c r="B1138" s="90"/>
      <c r="C1138" s="54" t="s">
        <v>224</v>
      </c>
      <c r="D1138" s="55">
        <v>1</v>
      </c>
      <c r="E1138" s="56">
        <v>5.3265153936E-5</v>
      </c>
    </row>
    <row r="1139" spans="2:5" ht="15" customHeight="1">
      <c r="B1139" s="90"/>
      <c r="C1139" s="54" t="s">
        <v>200</v>
      </c>
      <c r="D1139" s="55">
        <v>4</v>
      </c>
      <c r="E1139" s="56">
        <v>2.1306061574499999E-4</v>
      </c>
    </row>
    <row r="1140" spans="2:5" ht="15" customHeight="1">
      <c r="B1140" s="90"/>
      <c r="C1140" s="54" t="s">
        <v>202</v>
      </c>
      <c r="D1140" s="55">
        <v>2</v>
      </c>
      <c r="E1140" s="56">
        <v>1.06530307873E-4</v>
      </c>
    </row>
    <row r="1141" spans="2:5" ht="15" customHeight="1">
      <c r="B1141" s="90"/>
      <c r="C1141" s="54" t="s">
        <v>242</v>
      </c>
      <c r="D1141" s="55">
        <v>4</v>
      </c>
      <c r="E1141" s="56">
        <v>2.1306061574499999E-4</v>
      </c>
    </row>
    <row r="1142" spans="2:5" ht="15" customHeight="1">
      <c r="B1142" s="90"/>
      <c r="C1142" s="54" t="s">
        <v>239</v>
      </c>
      <c r="D1142" s="55">
        <v>1</v>
      </c>
      <c r="E1142" s="56">
        <v>5.3265153936E-5</v>
      </c>
    </row>
    <row r="1143" spans="2:5" ht="15" customHeight="1">
      <c r="B1143" s="91"/>
      <c r="C1143" s="65" t="s">
        <v>321</v>
      </c>
      <c r="D1143" s="64">
        <v>85</v>
      </c>
      <c r="E1143" s="66">
        <v>4.5275380845849998E-3</v>
      </c>
    </row>
    <row r="1144" spans="2:5" ht="15" customHeight="1">
      <c r="B1144" s="89" t="s">
        <v>59</v>
      </c>
      <c r="C1144" s="54" t="s">
        <v>211</v>
      </c>
      <c r="D1144" s="55">
        <v>2</v>
      </c>
      <c r="E1144" s="56">
        <v>1.06530307873E-4</v>
      </c>
    </row>
    <row r="1145" spans="2:5" ht="15" customHeight="1">
      <c r="B1145" s="90"/>
      <c r="C1145" s="54" t="s">
        <v>198</v>
      </c>
      <c r="D1145" s="55">
        <v>3</v>
      </c>
      <c r="E1145" s="56">
        <v>1.5979546180899999E-4</v>
      </c>
    </row>
    <row r="1146" spans="2:5" ht="15" customHeight="1">
      <c r="B1146" s="90"/>
      <c r="C1146" s="54" t="s">
        <v>201</v>
      </c>
      <c r="D1146" s="55">
        <v>13</v>
      </c>
      <c r="E1146" s="56">
        <v>6.92447001172E-4</v>
      </c>
    </row>
    <row r="1147" spans="2:5" ht="15" customHeight="1">
      <c r="B1147" s="90"/>
      <c r="C1147" s="54" t="s">
        <v>188</v>
      </c>
      <c r="D1147" s="55">
        <v>7</v>
      </c>
      <c r="E1147" s="56">
        <v>3.7285607755399997E-4</v>
      </c>
    </row>
    <row r="1148" spans="2:5" ht="15" customHeight="1">
      <c r="B1148" s="90"/>
      <c r="C1148" s="54" t="s">
        <v>212</v>
      </c>
      <c r="D1148" s="55">
        <v>3</v>
      </c>
      <c r="E1148" s="56">
        <v>1.5979546180899999E-4</v>
      </c>
    </row>
    <row r="1149" spans="2:5" ht="15" customHeight="1">
      <c r="B1149" s="90"/>
      <c r="C1149" s="54" t="s">
        <v>217</v>
      </c>
      <c r="D1149" s="55">
        <v>1</v>
      </c>
      <c r="E1149" s="56">
        <v>5.3265153936E-5</v>
      </c>
    </row>
    <row r="1150" spans="2:5" ht="15" customHeight="1">
      <c r="B1150" s="90"/>
      <c r="C1150" s="54" t="s">
        <v>182</v>
      </c>
      <c r="D1150" s="55">
        <v>29</v>
      </c>
      <c r="E1150" s="56">
        <v>1.544689464153E-3</v>
      </c>
    </row>
    <row r="1151" spans="2:5" ht="15" customHeight="1">
      <c r="B1151" s="90"/>
      <c r="C1151" s="54" t="s">
        <v>243</v>
      </c>
      <c r="D1151" s="55">
        <v>1</v>
      </c>
      <c r="E1151" s="56">
        <v>5.3265153936E-5</v>
      </c>
    </row>
    <row r="1152" spans="2:5" ht="15" customHeight="1">
      <c r="B1152" s="90"/>
      <c r="C1152" s="54" t="s">
        <v>184</v>
      </c>
      <c r="D1152" s="55">
        <v>7</v>
      </c>
      <c r="E1152" s="56">
        <v>3.7285607755399997E-4</v>
      </c>
    </row>
    <row r="1153" spans="2:5" ht="15" customHeight="1">
      <c r="B1153" s="90"/>
      <c r="C1153" s="54" t="s">
        <v>183</v>
      </c>
      <c r="D1153" s="55">
        <v>20</v>
      </c>
      <c r="E1153" s="56">
        <v>1.065303078726E-3</v>
      </c>
    </row>
    <row r="1154" spans="2:5" ht="15" customHeight="1">
      <c r="B1154" s="90"/>
      <c r="C1154" s="54" t="s">
        <v>197</v>
      </c>
      <c r="D1154" s="55">
        <v>2</v>
      </c>
      <c r="E1154" s="56">
        <v>1.06530307873E-4</v>
      </c>
    </row>
    <row r="1155" spans="2:5" ht="15" customHeight="1">
      <c r="B1155" s="90"/>
      <c r="C1155" s="54" t="s">
        <v>246</v>
      </c>
      <c r="D1155" s="55">
        <v>1</v>
      </c>
      <c r="E1155" s="56">
        <v>5.3265153936E-5</v>
      </c>
    </row>
    <row r="1156" spans="2:5" ht="15" customHeight="1">
      <c r="B1156" s="90"/>
      <c r="C1156" s="54" t="s">
        <v>233</v>
      </c>
      <c r="D1156" s="55">
        <v>8</v>
      </c>
      <c r="E1156" s="56">
        <v>4.2612123148999997E-4</v>
      </c>
    </row>
    <row r="1157" spans="2:5" ht="15" customHeight="1">
      <c r="B1157" s="90"/>
      <c r="C1157" s="54" t="s">
        <v>214</v>
      </c>
      <c r="D1157" s="55">
        <v>2</v>
      </c>
      <c r="E1157" s="56">
        <v>1.06530307873E-4</v>
      </c>
    </row>
    <row r="1158" spans="2:5" ht="15" customHeight="1">
      <c r="B1158" s="90"/>
      <c r="C1158" s="54" t="s">
        <v>247</v>
      </c>
      <c r="D1158" s="55">
        <v>2</v>
      </c>
      <c r="E1158" s="56">
        <v>1.06530307873E-4</v>
      </c>
    </row>
    <row r="1159" spans="2:5" ht="15" customHeight="1">
      <c r="B1159" s="90"/>
      <c r="C1159" s="54" t="s">
        <v>189</v>
      </c>
      <c r="D1159" s="55">
        <v>3</v>
      </c>
      <c r="E1159" s="56">
        <v>1.5979546180899999E-4</v>
      </c>
    </row>
    <row r="1160" spans="2:5" ht="15" customHeight="1">
      <c r="B1160" s="90"/>
      <c r="C1160" s="54" t="s">
        <v>219</v>
      </c>
      <c r="D1160" s="55">
        <v>1</v>
      </c>
      <c r="E1160" s="56">
        <v>5.3265153936E-5</v>
      </c>
    </row>
    <row r="1161" spans="2:5" ht="15" customHeight="1">
      <c r="B1161" s="90"/>
      <c r="C1161" s="54" t="s">
        <v>185</v>
      </c>
      <c r="D1161" s="55">
        <v>6</v>
      </c>
      <c r="E1161" s="56">
        <v>3.1959092361799997E-4</v>
      </c>
    </row>
    <row r="1162" spans="2:5" ht="15" customHeight="1">
      <c r="B1162" s="90"/>
      <c r="C1162" s="54" t="s">
        <v>213</v>
      </c>
      <c r="D1162" s="55">
        <v>2</v>
      </c>
      <c r="E1162" s="56">
        <v>1.06530307873E-4</v>
      </c>
    </row>
    <row r="1163" spans="2:5" ht="15" customHeight="1">
      <c r="B1163" s="90"/>
      <c r="C1163" s="54" t="s">
        <v>190</v>
      </c>
      <c r="D1163" s="55">
        <v>5</v>
      </c>
      <c r="E1163" s="56">
        <v>2.6632576968100001E-4</v>
      </c>
    </row>
    <row r="1164" spans="2:5" ht="15" customHeight="1">
      <c r="B1164" s="90"/>
      <c r="C1164" s="54" t="s">
        <v>181</v>
      </c>
      <c r="D1164" s="55">
        <v>38</v>
      </c>
      <c r="E1164" s="56">
        <v>2.0240758495790002E-3</v>
      </c>
    </row>
    <row r="1165" spans="2:5" ht="15" customHeight="1">
      <c r="B1165" s="90"/>
      <c r="C1165" s="54" t="s">
        <v>192</v>
      </c>
      <c r="D1165" s="55">
        <v>2</v>
      </c>
      <c r="E1165" s="56">
        <v>1.06530307873E-4</v>
      </c>
    </row>
    <row r="1166" spans="2:5" ht="15" customHeight="1">
      <c r="B1166" s="90"/>
      <c r="C1166" s="54" t="s">
        <v>229</v>
      </c>
      <c r="D1166" s="55">
        <v>1</v>
      </c>
      <c r="E1166" s="56">
        <v>5.3265153936E-5</v>
      </c>
    </row>
    <row r="1167" spans="2:5" ht="15" customHeight="1">
      <c r="B1167" s="90"/>
      <c r="C1167" s="54" t="s">
        <v>234</v>
      </c>
      <c r="D1167" s="55">
        <v>1</v>
      </c>
      <c r="E1167" s="56">
        <v>5.3265153936E-5</v>
      </c>
    </row>
    <row r="1168" spans="2:5" ht="15" customHeight="1">
      <c r="B1168" s="90"/>
      <c r="C1168" s="54" t="s">
        <v>191</v>
      </c>
      <c r="D1168" s="55">
        <v>2</v>
      </c>
      <c r="E1168" s="56">
        <v>1.06530307873E-4</v>
      </c>
    </row>
    <row r="1169" spans="2:5" ht="15" customHeight="1">
      <c r="B1169" s="90"/>
      <c r="C1169" s="54" t="s">
        <v>194</v>
      </c>
      <c r="D1169" s="55">
        <v>1</v>
      </c>
      <c r="E1169" s="56">
        <v>5.3265153936E-5</v>
      </c>
    </row>
    <row r="1170" spans="2:5" ht="15" customHeight="1">
      <c r="B1170" s="90"/>
      <c r="C1170" s="54" t="s">
        <v>187</v>
      </c>
      <c r="D1170" s="55">
        <v>28</v>
      </c>
      <c r="E1170" s="56">
        <v>1.4914243102159999E-3</v>
      </c>
    </row>
    <row r="1171" spans="2:5" ht="15" customHeight="1">
      <c r="B1171" s="90"/>
      <c r="C1171" s="54" t="s">
        <v>186</v>
      </c>
      <c r="D1171" s="55">
        <v>3</v>
      </c>
      <c r="E1171" s="56">
        <v>1.5979546180899999E-4</v>
      </c>
    </row>
    <row r="1172" spans="2:5" ht="15" customHeight="1">
      <c r="B1172" s="90"/>
      <c r="C1172" s="54" t="s">
        <v>220</v>
      </c>
      <c r="D1172" s="55">
        <v>1</v>
      </c>
      <c r="E1172" s="56">
        <v>5.3265153936E-5</v>
      </c>
    </row>
    <row r="1173" spans="2:5" ht="15" customHeight="1">
      <c r="B1173" s="90"/>
      <c r="C1173" s="54" t="s">
        <v>237</v>
      </c>
      <c r="D1173" s="55">
        <v>2</v>
      </c>
      <c r="E1173" s="56">
        <v>1.06530307873E-4</v>
      </c>
    </row>
    <row r="1174" spans="2:5" ht="15" customHeight="1">
      <c r="B1174" s="90"/>
      <c r="C1174" s="54" t="s">
        <v>208</v>
      </c>
      <c r="D1174" s="55">
        <v>2</v>
      </c>
      <c r="E1174" s="56">
        <v>1.06530307873E-4</v>
      </c>
    </row>
    <row r="1175" spans="2:5" ht="15" customHeight="1">
      <c r="B1175" s="90"/>
      <c r="C1175" s="54" t="s">
        <v>200</v>
      </c>
      <c r="D1175" s="55">
        <v>1</v>
      </c>
      <c r="E1175" s="56">
        <v>5.3265153936E-5</v>
      </c>
    </row>
    <row r="1176" spans="2:5" ht="15" customHeight="1">
      <c r="B1176" s="90"/>
      <c r="C1176" s="54" t="s">
        <v>204</v>
      </c>
      <c r="D1176" s="55">
        <v>1</v>
      </c>
      <c r="E1176" s="56">
        <v>5.3265153936E-5</v>
      </c>
    </row>
    <row r="1177" spans="2:5" ht="15" customHeight="1">
      <c r="B1177" s="90"/>
      <c r="C1177" s="54" t="s">
        <v>202</v>
      </c>
      <c r="D1177" s="55">
        <v>3</v>
      </c>
      <c r="E1177" s="56">
        <v>1.5979546180899999E-4</v>
      </c>
    </row>
    <row r="1178" spans="2:5" ht="15" customHeight="1">
      <c r="B1178" s="91"/>
      <c r="C1178" s="65" t="s">
        <v>321</v>
      </c>
      <c r="D1178" s="64">
        <v>204</v>
      </c>
      <c r="E1178" s="66">
        <v>1.0866091403004E-2</v>
      </c>
    </row>
    <row r="1179" spans="2:5" ht="15" customHeight="1">
      <c r="B1179" s="89" t="s">
        <v>58</v>
      </c>
      <c r="C1179" s="54" t="s">
        <v>195</v>
      </c>
      <c r="D1179" s="55">
        <v>2</v>
      </c>
      <c r="E1179" s="56">
        <v>1.06530307873E-4</v>
      </c>
    </row>
    <row r="1180" spans="2:5" ht="15" customHeight="1">
      <c r="B1180" s="90"/>
      <c r="C1180" s="54" t="s">
        <v>196</v>
      </c>
      <c r="D1180" s="55">
        <v>3</v>
      </c>
      <c r="E1180" s="56">
        <v>1.5979546180899999E-4</v>
      </c>
    </row>
    <row r="1181" spans="2:5" ht="15" customHeight="1">
      <c r="B1181" s="90"/>
      <c r="C1181" s="54" t="s">
        <v>216</v>
      </c>
      <c r="D1181" s="55">
        <v>3</v>
      </c>
      <c r="E1181" s="56">
        <v>1.5979546180899999E-4</v>
      </c>
    </row>
    <row r="1182" spans="2:5" ht="15" customHeight="1">
      <c r="B1182" s="90"/>
      <c r="C1182" s="54" t="s">
        <v>222</v>
      </c>
      <c r="D1182" s="55">
        <v>2</v>
      </c>
      <c r="E1182" s="56">
        <v>1.06530307873E-4</v>
      </c>
    </row>
    <row r="1183" spans="2:5" ht="15" customHeight="1">
      <c r="B1183" s="90"/>
      <c r="C1183" s="54" t="s">
        <v>198</v>
      </c>
      <c r="D1183" s="55">
        <v>4</v>
      </c>
      <c r="E1183" s="56">
        <v>2.1306061574499999E-4</v>
      </c>
    </row>
    <row r="1184" spans="2:5" ht="15" customHeight="1">
      <c r="B1184" s="90"/>
      <c r="C1184" s="54" t="s">
        <v>201</v>
      </c>
      <c r="D1184" s="55">
        <v>6</v>
      </c>
      <c r="E1184" s="56">
        <v>3.1959092361799997E-4</v>
      </c>
    </row>
    <row r="1185" spans="2:5" ht="15" customHeight="1">
      <c r="B1185" s="90"/>
      <c r="C1185" s="54" t="s">
        <v>188</v>
      </c>
      <c r="D1185" s="55">
        <v>2</v>
      </c>
      <c r="E1185" s="56">
        <v>1.06530307873E-4</v>
      </c>
    </row>
    <row r="1186" spans="2:5" ht="15" customHeight="1">
      <c r="B1186" s="90"/>
      <c r="C1186" s="54" t="s">
        <v>217</v>
      </c>
      <c r="D1186" s="55">
        <v>13</v>
      </c>
      <c r="E1186" s="56">
        <v>6.92447001172E-4</v>
      </c>
    </row>
    <row r="1187" spans="2:5" ht="15" customHeight="1">
      <c r="B1187" s="90"/>
      <c r="C1187" s="54" t="s">
        <v>182</v>
      </c>
      <c r="D1187" s="55">
        <v>49</v>
      </c>
      <c r="E1187" s="56">
        <v>2.6099925428780001E-3</v>
      </c>
    </row>
    <row r="1188" spans="2:5" ht="15" customHeight="1">
      <c r="B1188" s="90"/>
      <c r="C1188" s="54" t="s">
        <v>243</v>
      </c>
      <c r="D1188" s="55">
        <v>1</v>
      </c>
      <c r="E1188" s="56">
        <v>5.3265153936E-5</v>
      </c>
    </row>
    <row r="1189" spans="2:5" ht="15" customHeight="1">
      <c r="B1189" s="90"/>
      <c r="C1189" s="54" t="s">
        <v>184</v>
      </c>
      <c r="D1189" s="55">
        <v>21</v>
      </c>
      <c r="E1189" s="56">
        <v>1.118568232662E-3</v>
      </c>
    </row>
    <row r="1190" spans="2:5" ht="15" customHeight="1">
      <c r="B1190" s="90"/>
      <c r="C1190" s="54" t="s">
        <v>209</v>
      </c>
      <c r="D1190" s="55">
        <v>1</v>
      </c>
      <c r="E1190" s="56">
        <v>5.3265153936E-5</v>
      </c>
    </row>
    <row r="1191" spans="2:5" ht="15" customHeight="1">
      <c r="B1191" s="90"/>
      <c r="C1191" s="54" t="s">
        <v>183</v>
      </c>
      <c r="D1191" s="55">
        <v>20</v>
      </c>
      <c r="E1191" s="56">
        <v>1.065303078726E-3</v>
      </c>
    </row>
    <row r="1192" spans="2:5" ht="15" customHeight="1">
      <c r="B1192" s="90"/>
      <c r="C1192" s="54" t="s">
        <v>197</v>
      </c>
      <c r="D1192" s="55">
        <v>1</v>
      </c>
      <c r="E1192" s="56">
        <v>5.3265153936E-5</v>
      </c>
    </row>
    <row r="1193" spans="2:5" ht="15" customHeight="1">
      <c r="B1193" s="90"/>
      <c r="C1193" s="54" t="s">
        <v>233</v>
      </c>
      <c r="D1193" s="55">
        <v>4</v>
      </c>
      <c r="E1193" s="56">
        <v>2.1306061574499999E-4</v>
      </c>
    </row>
    <row r="1194" spans="2:5" ht="15" customHeight="1">
      <c r="B1194" s="90"/>
      <c r="C1194" s="54" t="s">
        <v>214</v>
      </c>
      <c r="D1194" s="55">
        <v>1</v>
      </c>
      <c r="E1194" s="56">
        <v>5.3265153936E-5</v>
      </c>
    </row>
    <row r="1195" spans="2:5" ht="15" customHeight="1">
      <c r="B1195" s="90"/>
      <c r="C1195" s="54" t="s">
        <v>207</v>
      </c>
      <c r="D1195" s="55">
        <v>5</v>
      </c>
      <c r="E1195" s="56">
        <v>2.6632576968100001E-4</v>
      </c>
    </row>
    <row r="1196" spans="2:5" ht="15" customHeight="1">
      <c r="B1196" s="90"/>
      <c r="C1196" s="54" t="s">
        <v>189</v>
      </c>
      <c r="D1196" s="55">
        <v>3</v>
      </c>
      <c r="E1196" s="56">
        <v>1.5979546180899999E-4</v>
      </c>
    </row>
    <row r="1197" spans="2:5" ht="15" customHeight="1">
      <c r="B1197" s="90"/>
      <c r="C1197" s="54" t="s">
        <v>219</v>
      </c>
      <c r="D1197" s="55">
        <v>4</v>
      </c>
      <c r="E1197" s="56">
        <v>2.1306061574499999E-4</v>
      </c>
    </row>
    <row r="1198" spans="2:5" ht="15" customHeight="1">
      <c r="B1198" s="90"/>
      <c r="C1198" s="54" t="s">
        <v>185</v>
      </c>
      <c r="D1198" s="55">
        <v>14</v>
      </c>
      <c r="E1198" s="56">
        <v>7.4571215510799995E-4</v>
      </c>
    </row>
    <row r="1199" spans="2:5" ht="15" customHeight="1">
      <c r="B1199" s="90"/>
      <c r="C1199" s="54" t="s">
        <v>244</v>
      </c>
      <c r="D1199" s="55">
        <v>1</v>
      </c>
      <c r="E1199" s="56">
        <v>5.3265153936E-5</v>
      </c>
    </row>
    <row r="1200" spans="2:5" ht="15" customHeight="1">
      <c r="B1200" s="90"/>
      <c r="C1200" s="54" t="s">
        <v>213</v>
      </c>
      <c r="D1200" s="55">
        <v>4</v>
      </c>
      <c r="E1200" s="56">
        <v>2.1306061574499999E-4</v>
      </c>
    </row>
    <row r="1201" spans="2:5" ht="15" customHeight="1">
      <c r="B1201" s="90"/>
      <c r="C1201" s="54" t="s">
        <v>215</v>
      </c>
      <c r="D1201" s="55">
        <v>4</v>
      </c>
      <c r="E1201" s="56">
        <v>2.1306061574499999E-4</v>
      </c>
    </row>
    <row r="1202" spans="2:5" ht="15" customHeight="1">
      <c r="B1202" s="90"/>
      <c r="C1202" s="54" t="s">
        <v>181</v>
      </c>
      <c r="D1202" s="55">
        <v>29</v>
      </c>
      <c r="E1202" s="56">
        <v>1.544689464153E-3</v>
      </c>
    </row>
    <row r="1203" spans="2:5" ht="15" customHeight="1">
      <c r="B1203" s="90"/>
      <c r="C1203" s="54" t="s">
        <v>192</v>
      </c>
      <c r="D1203" s="55">
        <v>18</v>
      </c>
      <c r="E1203" s="56">
        <v>9.5877277085300002E-4</v>
      </c>
    </row>
    <row r="1204" spans="2:5" ht="15" customHeight="1">
      <c r="B1204" s="90"/>
      <c r="C1204" s="54" t="s">
        <v>248</v>
      </c>
      <c r="D1204" s="55">
        <v>1</v>
      </c>
      <c r="E1204" s="56">
        <v>5.3265153936E-5</v>
      </c>
    </row>
    <row r="1205" spans="2:5" ht="15" customHeight="1">
      <c r="B1205" s="90"/>
      <c r="C1205" s="54" t="s">
        <v>229</v>
      </c>
      <c r="D1205" s="55">
        <v>3</v>
      </c>
      <c r="E1205" s="56">
        <v>1.5979546180899999E-4</v>
      </c>
    </row>
    <row r="1206" spans="2:5" ht="15" customHeight="1">
      <c r="B1206" s="90"/>
      <c r="C1206" s="54" t="s">
        <v>191</v>
      </c>
      <c r="D1206" s="55">
        <v>4</v>
      </c>
      <c r="E1206" s="56">
        <v>2.1306061574499999E-4</v>
      </c>
    </row>
    <row r="1207" spans="2:5" ht="15" customHeight="1">
      <c r="B1207" s="90"/>
      <c r="C1207" s="54" t="s">
        <v>194</v>
      </c>
      <c r="D1207" s="55">
        <v>7</v>
      </c>
      <c r="E1207" s="56">
        <v>3.7285607755399997E-4</v>
      </c>
    </row>
    <row r="1208" spans="2:5" ht="15" customHeight="1">
      <c r="B1208" s="90"/>
      <c r="C1208" s="54" t="s">
        <v>226</v>
      </c>
      <c r="D1208" s="55">
        <v>2</v>
      </c>
      <c r="E1208" s="56">
        <v>1.06530307873E-4</v>
      </c>
    </row>
    <row r="1209" spans="2:5" ht="15" customHeight="1">
      <c r="B1209" s="90"/>
      <c r="C1209" s="54" t="s">
        <v>187</v>
      </c>
      <c r="D1209" s="55">
        <v>42</v>
      </c>
      <c r="E1209" s="56">
        <v>2.2371364653240001E-3</v>
      </c>
    </row>
    <row r="1210" spans="2:5" ht="15" customHeight="1">
      <c r="B1210" s="90"/>
      <c r="C1210" s="54" t="s">
        <v>237</v>
      </c>
      <c r="D1210" s="55">
        <v>2</v>
      </c>
      <c r="E1210" s="56">
        <v>1.06530307873E-4</v>
      </c>
    </row>
    <row r="1211" spans="2:5" ht="15" customHeight="1">
      <c r="B1211" s="90"/>
      <c r="C1211" s="54" t="s">
        <v>208</v>
      </c>
      <c r="D1211" s="55">
        <v>2</v>
      </c>
      <c r="E1211" s="56">
        <v>1.06530307873E-4</v>
      </c>
    </row>
    <row r="1212" spans="2:5" ht="15" customHeight="1">
      <c r="B1212" s="90"/>
      <c r="C1212" s="54" t="s">
        <v>200</v>
      </c>
      <c r="D1212" s="55">
        <v>5</v>
      </c>
      <c r="E1212" s="56">
        <v>2.6632576968100001E-4</v>
      </c>
    </row>
    <row r="1213" spans="2:5" ht="15" customHeight="1">
      <c r="B1213" s="90"/>
      <c r="C1213" s="54" t="s">
        <v>204</v>
      </c>
      <c r="D1213" s="55">
        <v>1</v>
      </c>
      <c r="E1213" s="56">
        <v>5.3265153936E-5</v>
      </c>
    </row>
    <row r="1214" spans="2:5" ht="15" customHeight="1">
      <c r="B1214" s="90"/>
      <c r="C1214" s="54" t="s">
        <v>231</v>
      </c>
      <c r="D1214" s="55">
        <v>1</v>
      </c>
      <c r="E1214" s="56">
        <v>5.3265153936E-5</v>
      </c>
    </row>
    <row r="1215" spans="2:5" ht="15" customHeight="1">
      <c r="B1215" s="91"/>
      <c r="C1215" s="65" t="s">
        <v>321</v>
      </c>
      <c r="D1215" s="64">
        <v>285</v>
      </c>
      <c r="E1215" s="66">
        <v>1.5180568871844E-2</v>
      </c>
    </row>
    <row r="1216" spans="2:5" ht="15" customHeight="1">
      <c r="B1216" s="89" t="s">
        <v>60</v>
      </c>
      <c r="C1216" s="54" t="s">
        <v>195</v>
      </c>
      <c r="D1216" s="55">
        <v>1</v>
      </c>
      <c r="E1216" s="56">
        <v>5.3265153936E-5</v>
      </c>
    </row>
    <row r="1217" spans="2:5" ht="15" customHeight="1">
      <c r="B1217" s="90"/>
      <c r="C1217" s="54" t="s">
        <v>196</v>
      </c>
      <c r="D1217" s="55">
        <v>1</v>
      </c>
      <c r="E1217" s="56">
        <v>5.3265153936E-5</v>
      </c>
    </row>
    <row r="1218" spans="2:5" ht="15" customHeight="1">
      <c r="B1218" s="90"/>
      <c r="C1218" s="54" t="s">
        <v>232</v>
      </c>
      <c r="D1218" s="55">
        <v>3</v>
      </c>
      <c r="E1218" s="56">
        <v>1.5979546180899999E-4</v>
      </c>
    </row>
    <row r="1219" spans="2:5" ht="15" customHeight="1">
      <c r="B1219" s="90"/>
      <c r="C1219" s="54" t="s">
        <v>198</v>
      </c>
      <c r="D1219" s="55">
        <v>1</v>
      </c>
      <c r="E1219" s="56">
        <v>5.3265153936E-5</v>
      </c>
    </row>
    <row r="1220" spans="2:5" ht="15" customHeight="1">
      <c r="B1220" s="90"/>
      <c r="C1220" s="54" t="s">
        <v>188</v>
      </c>
      <c r="D1220" s="55">
        <v>3</v>
      </c>
      <c r="E1220" s="56">
        <v>1.5979546180899999E-4</v>
      </c>
    </row>
    <row r="1221" spans="2:5" ht="15" customHeight="1">
      <c r="B1221" s="90"/>
      <c r="C1221" s="54" t="s">
        <v>182</v>
      </c>
      <c r="D1221" s="55">
        <v>34</v>
      </c>
      <c r="E1221" s="56">
        <v>1.8110152338339999E-3</v>
      </c>
    </row>
    <row r="1222" spans="2:5" ht="15" customHeight="1">
      <c r="B1222" s="90"/>
      <c r="C1222" s="54" t="s">
        <v>184</v>
      </c>
      <c r="D1222" s="55">
        <v>12</v>
      </c>
      <c r="E1222" s="56">
        <v>6.3918184723599995E-4</v>
      </c>
    </row>
    <row r="1223" spans="2:5" ht="15" customHeight="1">
      <c r="B1223" s="90"/>
      <c r="C1223" s="54" t="s">
        <v>183</v>
      </c>
      <c r="D1223" s="55">
        <v>9</v>
      </c>
      <c r="E1223" s="56">
        <v>4.7938638542699999E-4</v>
      </c>
    </row>
    <row r="1224" spans="2:5" ht="15" customHeight="1">
      <c r="B1224" s="90"/>
      <c r="C1224" s="54" t="s">
        <v>193</v>
      </c>
      <c r="D1224" s="55">
        <v>2</v>
      </c>
      <c r="E1224" s="56">
        <v>1.06530307873E-4</v>
      </c>
    </row>
    <row r="1225" spans="2:5" ht="15" customHeight="1">
      <c r="B1225" s="90"/>
      <c r="C1225" s="54" t="s">
        <v>207</v>
      </c>
      <c r="D1225" s="55">
        <v>1</v>
      </c>
      <c r="E1225" s="56">
        <v>5.3265153936E-5</v>
      </c>
    </row>
    <row r="1226" spans="2:5" ht="15" customHeight="1">
      <c r="B1226" s="90"/>
      <c r="C1226" s="54" t="s">
        <v>189</v>
      </c>
      <c r="D1226" s="55">
        <v>1</v>
      </c>
      <c r="E1226" s="56">
        <v>5.3265153936E-5</v>
      </c>
    </row>
    <row r="1227" spans="2:5" ht="15" customHeight="1">
      <c r="B1227" s="90"/>
      <c r="C1227" s="54" t="s">
        <v>185</v>
      </c>
      <c r="D1227" s="55">
        <v>2</v>
      </c>
      <c r="E1227" s="56">
        <v>1.06530307873E-4</v>
      </c>
    </row>
    <row r="1228" spans="2:5" ht="15" customHeight="1">
      <c r="B1228" s="90"/>
      <c r="C1228" s="54" t="s">
        <v>190</v>
      </c>
      <c r="D1228" s="55">
        <v>4</v>
      </c>
      <c r="E1228" s="56">
        <v>2.1306061574499999E-4</v>
      </c>
    </row>
    <row r="1229" spans="2:5" ht="15" customHeight="1">
      <c r="B1229" s="90"/>
      <c r="C1229" s="54" t="s">
        <v>181</v>
      </c>
      <c r="D1229" s="55">
        <v>66</v>
      </c>
      <c r="E1229" s="56">
        <v>3.5155001597950001E-3</v>
      </c>
    </row>
    <row r="1230" spans="2:5" ht="15" customHeight="1">
      <c r="B1230" s="90"/>
      <c r="C1230" s="54" t="s">
        <v>192</v>
      </c>
      <c r="D1230" s="55">
        <v>1</v>
      </c>
      <c r="E1230" s="56">
        <v>5.3265153936E-5</v>
      </c>
    </row>
    <row r="1231" spans="2:5" ht="15" customHeight="1">
      <c r="B1231" s="90"/>
      <c r="C1231" s="54" t="s">
        <v>210</v>
      </c>
      <c r="D1231" s="55">
        <v>1</v>
      </c>
      <c r="E1231" s="56">
        <v>5.3265153936E-5</v>
      </c>
    </row>
    <row r="1232" spans="2:5" ht="15" customHeight="1">
      <c r="B1232" s="90"/>
      <c r="C1232" s="54" t="s">
        <v>191</v>
      </c>
      <c r="D1232" s="55">
        <v>1</v>
      </c>
      <c r="E1232" s="56">
        <v>5.3265153936E-5</v>
      </c>
    </row>
    <row r="1233" spans="2:5" ht="15" customHeight="1">
      <c r="B1233" s="90"/>
      <c r="C1233" s="54" t="s">
        <v>187</v>
      </c>
      <c r="D1233" s="55">
        <v>2</v>
      </c>
      <c r="E1233" s="56">
        <v>1.06530307873E-4</v>
      </c>
    </row>
    <row r="1234" spans="2:5" ht="15" customHeight="1">
      <c r="B1234" s="90"/>
      <c r="C1234" s="54" t="s">
        <v>186</v>
      </c>
      <c r="D1234" s="55">
        <v>2</v>
      </c>
      <c r="E1234" s="56">
        <v>1.06530307873E-4</v>
      </c>
    </row>
    <row r="1235" spans="2:5" ht="15" customHeight="1">
      <c r="B1235" s="90"/>
      <c r="C1235" s="54" t="s">
        <v>203</v>
      </c>
      <c r="D1235" s="55">
        <v>2</v>
      </c>
      <c r="E1235" s="56">
        <v>1.06530307873E-4</v>
      </c>
    </row>
    <row r="1236" spans="2:5" ht="15" customHeight="1">
      <c r="B1236" s="90"/>
      <c r="C1236" s="54" t="s">
        <v>202</v>
      </c>
      <c r="D1236" s="55">
        <v>2</v>
      </c>
      <c r="E1236" s="56">
        <v>1.06530307873E-4</v>
      </c>
    </row>
    <row r="1237" spans="2:5" ht="15" customHeight="1">
      <c r="B1237" s="90"/>
      <c r="C1237" s="54" t="s">
        <v>242</v>
      </c>
      <c r="D1237" s="55">
        <v>1</v>
      </c>
      <c r="E1237" s="56">
        <v>5.3265153936E-5</v>
      </c>
    </row>
    <row r="1238" spans="2:5" ht="15" customHeight="1">
      <c r="B1238" s="90"/>
      <c r="C1238" s="54" t="s">
        <v>199</v>
      </c>
      <c r="D1238" s="55">
        <v>1</v>
      </c>
      <c r="E1238" s="56">
        <v>5.3265153936E-5</v>
      </c>
    </row>
    <row r="1239" spans="2:5" ht="15" customHeight="1">
      <c r="B1239" s="91"/>
      <c r="C1239" s="65" t="s">
        <v>321</v>
      </c>
      <c r="D1239" s="64">
        <v>153</v>
      </c>
      <c r="E1239" s="66">
        <v>8.1495685522529997E-3</v>
      </c>
    </row>
    <row r="1240" spans="2:5" ht="15" customHeight="1">
      <c r="B1240" s="89" t="s">
        <v>64</v>
      </c>
      <c r="C1240" s="54" t="s">
        <v>205</v>
      </c>
      <c r="D1240" s="55">
        <v>1</v>
      </c>
      <c r="E1240" s="56">
        <v>5.3265153936E-5</v>
      </c>
    </row>
    <row r="1241" spans="2:5" ht="15" customHeight="1">
      <c r="B1241" s="90"/>
      <c r="C1241" s="54" t="s">
        <v>195</v>
      </c>
      <c r="D1241" s="55">
        <v>1</v>
      </c>
      <c r="E1241" s="56">
        <v>5.3265153936E-5</v>
      </c>
    </row>
    <row r="1242" spans="2:5" ht="15" customHeight="1">
      <c r="B1242" s="90"/>
      <c r="C1242" s="54" t="s">
        <v>196</v>
      </c>
      <c r="D1242" s="55">
        <v>5</v>
      </c>
      <c r="E1242" s="56">
        <v>2.6632576968100001E-4</v>
      </c>
    </row>
    <row r="1243" spans="2:5" ht="15" customHeight="1">
      <c r="B1243" s="90"/>
      <c r="C1243" s="54" t="s">
        <v>216</v>
      </c>
      <c r="D1243" s="55">
        <v>1</v>
      </c>
      <c r="E1243" s="56">
        <v>5.3265153936E-5</v>
      </c>
    </row>
    <row r="1244" spans="2:5" ht="15" customHeight="1">
      <c r="B1244" s="90"/>
      <c r="C1244" s="54" t="s">
        <v>222</v>
      </c>
      <c r="D1244" s="55">
        <v>1</v>
      </c>
      <c r="E1244" s="56">
        <v>5.3265153936E-5</v>
      </c>
    </row>
    <row r="1245" spans="2:5" ht="15" customHeight="1">
      <c r="B1245" s="90"/>
      <c r="C1245" s="54" t="s">
        <v>228</v>
      </c>
      <c r="D1245" s="55">
        <v>1</v>
      </c>
      <c r="E1245" s="56">
        <v>5.3265153936E-5</v>
      </c>
    </row>
    <row r="1246" spans="2:5" ht="15" customHeight="1">
      <c r="B1246" s="90"/>
      <c r="C1246" s="54" t="s">
        <v>198</v>
      </c>
      <c r="D1246" s="55">
        <v>1</v>
      </c>
      <c r="E1246" s="56">
        <v>5.3265153936E-5</v>
      </c>
    </row>
    <row r="1247" spans="2:5" ht="15" customHeight="1">
      <c r="B1247" s="90"/>
      <c r="C1247" s="54" t="s">
        <v>201</v>
      </c>
      <c r="D1247" s="55">
        <v>1</v>
      </c>
      <c r="E1247" s="56">
        <v>5.3265153936E-5</v>
      </c>
    </row>
    <row r="1248" spans="2:5" ht="15" customHeight="1">
      <c r="B1248" s="90"/>
      <c r="C1248" s="54" t="s">
        <v>188</v>
      </c>
      <c r="D1248" s="55">
        <v>4</v>
      </c>
      <c r="E1248" s="56">
        <v>2.1306061574499999E-4</v>
      </c>
    </row>
    <row r="1249" spans="2:5" ht="15" customHeight="1">
      <c r="B1249" s="90"/>
      <c r="C1249" s="54" t="s">
        <v>212</v>
      </c>
      <c r="D1249" s="55">
        <v>1</v>
      </c>
      <c r="E1249" s="56">
        <v>5.3265153936E-5</v>
      </c>
    </row>
    <row r="1250" spans="2:5" ht="15" customHeight="1">
      <c r="B1250" s="90"/>
      <c r="C1250" s="54" t="s">
        <v>217</v>
      </c>
      <c r="D1250" s="55">
        <v>1</v>
      </c>
      <c r="E1250" s="56">
        <v>5.3265153936E-5</v>
      </c>
    </row>
    <row r="1251" spans="2:5" ht="15" customHeight="1">
      <c r="B1251" s="90"/>
      <c r="C1251" s="54" t="s">
        <v>182</v>
      </c>
      <c r="D1251" s="55">
        <v>34</v>
      </c>
      <c r="E1251" s="56">
        <v>1.8110152338339999E-3</v>
      </c>
    </row>
    <row r="1252" spans="2:5" ht="15" customHeight="1">
      <c r="B1252" s="90"/>
      <c r="C1252" s="54" t="s">
        <v>243</v>
      </c>
      <c r="D1252" s="55">
        <v>4</v>
      </c>
      <c r="E1252" s="56">
        <v>2.1306061574499999E-4</v>
      </c>
    </row>
    <row r="1253" spans="2:5" ht="15" customHeight="1">
      <c r="B1253" s="90"/>
      <c r="C1253" s="54" t="s">
        <v>184</v>
      </c>
      <c r="D1253" s="55">
        <v>8</v>
      </c>
      <c r="E1253" s="56">
        <v>4.2612123148999997E-4</v>
      </c>
    </row>
    <row r="1254" spans="2:5" ht="15" customHeight="1">
      <c r="B1254" s="90"/>
      <c r="C1254" s="54" t="s">
        <v>183</v>
      </c>
      <c r="D1254" s="55">
        <v>10</v>
      </c>
      <c r="E1254" s="56">
        <v>5.3265153936299999E-4</v>
      </c>
    </row>
    <row r="1255" spans="2:5" ht="15" customHeight="1">
      <c r="B1255" s="90"/>
      <c r="C1255" s="54" t="s">
        <v>206</v>
      </c>
      <c r="D1255" s="55">
        <v>2</v>
      </c>
      <c r="E1255" s="56">
        <v>1.06530307873E-4</v>
      </c>
    </row>
    <row r="1256" spans="2:5" ht="15" customHeight="1">
      <c r="B1256" s="90"/>
      <c r="C1256" s="54" t="s">
        <v>214</v>
      </c>
      <c r="D1256" s="55">
        <v>1</v>
      </c>
      <c r="E1256" s="56">
        <v>5.3265153936E-5</v>
      </c>
    </row>
    <row r="1257" spans="2:5" ht="15" customHeight="1">
      <c r="B1257" s="90"/>
      <c r="C1257" s="54" t="s">
        <v>193</v>
      </c>
      <c r="D1257" s="55">
        <v>3</v>
      </c>
      <c r="E1257" s="56">
        <v>1.5979546180899999E-4</v>
      </c>
    </row>
    <row r="1258" spans="2:5" ht="15" customHeight="1">
      <c r="B1258" s="90"/>
      <c r="C1258" s="54" t="s">
        <v>207</v>
      </c>
      <c r="D1258" s="55">
        <v>8</v>
      </c>
      <c r="E1258" s="56">
        <v>4.2612123148999997E-4</v>
      </c>
    </row>
    <row r="1259" spans="2:5" ht="15" customHeight="1">
      <c r="B1259" s="90"/>
      <c r="C1259" s="54" t="s">
        <v>189</v>
      </c>
      <c r="D1259" s="55">
        <v>1</v>
      </c>
      <c r="E1259" s="56">
        <v>5.3265153936E-5</v>
      </c>
    </row>
    <row r="1260" spans="2:5" ht="15" customHeight="1">
      <c r="B1260" s="90"/>
      <c r="C1260" s="54" t="s">
        <v>219</v>
      </c>
      <c r="D1260" s="55">
        <v>2</v>
      </c>
      <c r="E1260" s="56">
        <v>1.06530307873E-4</v>
      </c>
    </row>
    <row r="1261" spans="2:5" ht="15" customHeight="1">
      <c r="B1261" s="90"/>
      <c r="C1261" s="54" t="s">
        <v>185</v>
      </c>
      <c r="D1261" s="55">
        <v>8</v>
      </c>
      <c r="E1261" s="56">
        <v>4.2612123148999997E-4</v>
      </c>
    </row>
    <row r="1262" spans="2:5" ht="15" customHeight="1">
      <c r="B1262" s="90"/>
      <c r="C1262" s="54" t="s">
        <v>213</v>
      </c>
      <c r="D1262" s="55">
        <v>1</v>
      </c>
      <c r="E1262" s="56">
        <v>5.3265153936E-5</v>
      </c>
    </row>
    <row r="1263" spans="2:5" ht="15" customHeight="1">
      <c r="B1263" s="90"/>
      <c r="C1263" s="54" t="s">
        <v>190</v>
      </c>
      <c r="D1263" s="55">
        <v>2</v>
      </c>
      <c r="E1263" s="56">
        <v>1.06530307873E-4</v>
      </c>
    </row>
    <row r="1264" spans="2:5" ht="15" customHeight="1">
      <c r="B1264" s="90"/>
      <c r="C1264" s="54" t="s">
        <v>238</v>
      </c>
      <c r="D1264" s="55">
        <v>1</v>
      </c>
      <c r="E1264" s="56">
        <v>5.3265153936E-5</v>
      </c>
    </row>
    <row r="1265" spans="2:5" ht="15" customHeight="1">
      <c r="B1265" s="90"/>
      <c r="C1265" s="54" t="s">
        <v>181</v>
      </c>
      <c r="D1265" s="55">
        <v>50</v>
      </c>
      <c r="E1265" s="56">
        <v>2.6632576968149998E-3</v>
      </c>
    </row>
    <row r="1266" spans="2:5" ht="15" customHeight="1">
      <c r="B1266" s="90"/>
      <c r="C1266" s="54" t="s">
        <v>235</v>
      </c>
      <c r="D1266" s="55">
        <v>1</v>
      </c>
      <c r="E1266" s="56">
        <v>5.3265153936E-5</v>
      </c>
    </row>
    <row r="1267" spans="2:5" ht="15" customHeight="1">
      <c r="B1267" s="90"/>
      <c r="C1267" s="54" t="s">
        <v>236</v>
      </c>
      <c r="D1267" s="55">
        <v>3</v>
      </c>
      <c r="E1267" s="56">
        <v>1.5979546180899999E-4</v>
      </c>
    </row>
    <row r="1268" spans="2:5" ht="15" customHeight="1">
      <c r="B1268" s="90"/>
      <c r="C1268" s="54" t="s">
        <v>192</v>
      </c>
      <c r="D1268" s="55">
        <v>6</v>
      </c>
      <c r="E1268" s="56">
        <v>3.1959092361799997E-4</v>
      </c>
    </row>
    <row r="1269" spans="2:5" ht="15" customHeight="1">
      <c r="B1269" s="90"/>
      <c r="C1269" s="54" t="s">
        <v>234</v>
      </c>
      <c r="D1269" s="55">
        <v>2</v>
      </c>
      <c r="E1269" s="56">
        <v>1.06530307873E-4</v>
      </c>
    </row>
    <row r="1270" spans="2:5" ht="15" customHeight="1">
      <c r="B1270" s="90"/>
      <c r="C1270" s="54" t="s">
        <v>245</v>
      </c>
      <c r="D1270" s="55">
        <v>1</v>
      </c>
      <c r="E1270" s="56">
        <v>5.3265153936E-5</v>
      </c>
    </row>
    <row r="1271" spans="2:5" ht="15" customHeight="1">
      <c r="B1271" s="90"/>
      <c r="C1271" s="54" t="s">
        <v>194</v>
      </c>
      <c r="D1271" s="55">
        <v>1</v>
      </c>
      <c r="E1271" s="56">
        <v>5.3265153936E-5</v>
      </c>
    </row>
    <row r="1272" spans="2:5" ht="15" customHeight="1">
      <c r="B1272" s="90"/>
      <c r="C1272" s="54" t="s">
        <v>187</v>
      </c>
      <c r="D1272" s="55">
        <v>2</v>
      </c>
      <c r="E1272" s="56">
        <v>1.06530307873E-4</v>
      </c>
    </row>
    <row r="1273" spans="2:5" ht="15" customHeight="1">
      <c r="B1273" s="90"/>
      <c r="C1273" s="54" t="s">
        <v>203</v>
      </c>
      <c r="D1273" s="55">
        <v>1</v>
      </c>
      <c r="E1273" s="56">
        <v>5.3265153936E-5</v>
      </c>
    </row>
    <row r="1274" spans="2:5" ht="15" customHeight="1">
      <c r="B1274" s="90"/>
      <c r="C1274" s="54" t="s">
        <v>220</v>
      </c>
      <c r="D1274" s="55">
        <v>1</v>
      </c>
      <c r="E1274" s="56">
        <v>5.3265153936E-5</v>
      </c>
    </row>
    <row r="1275" spans="2:5" ht="15" customHeight="1">
      <c r="B1275" s="90"/>
      <c r="C1275" s="54" t="s">
        <v>221</v>
      </c>
      <c r="D1275" s="55">
        <v>2</v>
      </c>
      <c r="E1275" s="56">
        <v>1.06530307873E-4</v>
      </c>
    </row>
    <row r="1276" spans="2:5" ht="15" customHeight="1">
      <c r="B1276" s="90"/>
      <c r="C1276" s="54" t="s">
        <v>208</v>
      </c>
      <c r="D1276" s="55">
        <v>2</v>
      </c>
      <c r="E1276" s="56">
        <v>1.06530307873E-4</v>
      </c>
    </row>
    <row r="1277" spans="2:5" ht="15" customHeight="1">
      <c r="B1277" s="90"/>
      <c r="C1277" s="54" t="s">
        <v>200</v>
      </c>
      <c r="D1277" s="55">
        <v>3</v>
      </c>
      <c r="E1277" s="56">
        <v>1.5979546180899999E-4</v>
      </c>
    </row>
    <row r="1278" spans="2:5" ht="15" customHeight="1">
      <c r="B1278" s="90"/>
      <c r="C1278" s="54" t="s">
        <v>202</v>
      </c>
      <c r="D1278" s="55">
        <v>3</v>
      </c>
      <c r="E1278" s="56">
        <v>1.5979546180899999E-4</v>
      </c>
    </row>
    <row r="1279" spans="2:5" ht="15" customHeight="1">
      <c r="B1279" s="90"/>
      <c r="C1279" s="54" t="s">
        <v>231</v>
      </c>
      <c r="D1279" s="55">
        <v>1</v>
      </c>
      <c r="E1279" s="56">
        <v>5.3265153936E-5</v>
      </c>
    </row>
    <row r="1280" spans="2:5" ht="15" customHeight="1">
      <c r="B1280" s="90"/>
      <c r="C1280" s="54" t="s">
        <v>242</v>
      </c>
      <c r="D1280" s="55">
        <v>1</v>
      </c>
      <c r="E1280" s="56">
        <v>5.3265153936E-5</v>
      </c>
    </row>
    <row r="1281" spans="2:5" ht="15" customHeight="1">
      <c r="B1281" s="90"/>
      <c r="C1281" s="54" t="s">
        <v>239</v>
      </c>
      <c r="D1281" s="55">
        <v>1</v>
      </c>
      <c r="E1281" s="56">
        <v>5.3265153936E-5</v>
      </c>
    </row>
    <row r="1282" spans="2:5" ht="15" customHeight="1">
      <c r="B1282" s="90"/>
      <c r="C1282" s="54" t="s">
        <v>199</v>
      </c>
      <c r="D1282" s="55">
        <v>3</v>
      </c>
      <c r="E1282" s="56">
        <v>1.5979546180899999E-4</v>
      </c>
    </row>
    <row r="1283" spans="2:5" ht="15" customHeight="1">
      <c r="B1283" s="91"/>
      <c r="C1283" s="65" t="s">
        <v>321</v>
      </c>
      <c r="D1283" s="64">
        <v>187</v>
      </c>
      <c r="E1283" s="66">
        <v>9.9605837860869996E-3</v>
      </c>
    </row>
    <row r="1284" spans="2:5" ht="15" customHeight="1">
      <c r="B1284" s="89" t="s">
        <v>81</v>
      </c>
      <c r="C1284" s="54" t="s">
        <v>196</v>
      </c>
      <c r="D1284" s="55">
        <v>1</v>
      </c>
      <c r="E1284" s="56">
        <v>5.3265153936E-5</v>
      </c>
    </row>
    <row r="1285" spans="2:5" ht="15" customHeight="1">
      <c r="B1285" s="90"/>
      <c r="C1285" s="54" t="s">
        <v>232</v>
      </c>
      <c r="D1285" s="55">
        <v>1</v>
      </c>
      <c r="E1285" s="56">
        <v>5.3265153936E-5</v>
      </c>
    </row>
    <row r="1286" spans="2:5" ht="15" customHeight="1">
      <c r="B1286" s="90"/>
      <c r="C1286" s="54" t="s">
        <v>211</v>
      </c>
      <c r="D1286" s="55">
        <v>1</v>
      </c>
      <c r="E1286" s="56">
        <v>5.3265153936E-5</v>
      </c>
    </row>
    <row r="1287" spans="2:5" ht="15" customHeight="1">
      <c r="B1287" s="90"/>
      <c r="C1287" s="54" t="s">
        <v>201</v>
      </c>
      <c r="D1287" s="55">
        <v>1</v>
      </c>
      <c r="E1287" s="56">
        <v>5.3265153936E-5</v>
      </c>
    </row>
    <row r="1288" spans="2:5" ht="15" customHeight="1">
      <c r="B1288" s="90"/>
      <c r="C1288" s="54" t="s">
        <v>188</v>
      </c>
      <c r="D1288" s="55">
        <v>1</v>
      </c>
      <c r="E1288" s="56">
        <v>5.3265153936E-5</v>
      </c>
    </row>
    <row r="1289" spans="2:5" ht="15" customHeight="1">
      <c r="B1289" s="90"/>
      <c r="C1289" s="54" t="s">
        <v>182</v>
      </c>
      <c r="D1289" s="55">
        <v>17</v>
      </c>
      <c r="E1289" s="56">
        <v>9.0550761691699996E-4</v>
      </c>
    </row>
    <row r="1290" spans="2:5" ht="15" customHeight="1">
      <c r="B1290" s="90"/>
      <c r="C1290" s="54" t="s">
        <v>184</v>
      </c>
      <c r="D1290" s="55">
        <v>3</v>
      </c>
      <c r="E1290" s="56">
        <v>1.5979546180899999E-4</v>
      </c>
    </row>
    <row r="1291" spans="2:5" ht="15" customHeight="1">
      <c r="B1291" s="90"/>
      <c r="C1291" s="54" t="s">
        <v>183</v>
      </c>
      <c r="D1291" s="55">
        <v>5</v>
      </c>
      <c r="E1291" s="56">
        <v>2.6632576968100001E-4</v>
      </c>
    </row>
    <row r="1292" spans="2:5" ht="15" customHeight="1">
      <c r="B1292" s="90"/>
      <c r="C1292" s="54" t="s">
        <v>207</v>
      </c>
      <c r="D1292" s="55">
        <v>4</v>
      </c>
      <c r="E1292" s="56">
        <v>2.1306061574499999E-4</v>
      </c>
    </row>
    <row r="1293" spans="2:5" ht="15" customHeight="1">
      <c r="B1293" s="90"/>
      <c r="C1293" s="54" t="s">
        <v>189</v>
      </c>
      <c r="D1293" s="55">
        <v>1</v>
      </c>
      <c r="E1293" s="56">
        <v>5.3265153936E-5</v>
      </c>
    </row>
    <row r="1294" spans="2:5" ht="15" customHeight="1">
      <c r="B1294" s="90"/>
      <c r="C1294" s="54" t="s">
        <v>219</v>
      </c>
      <c r="D1294" s="55">
        <v>1</v>
      </c>
      <c r="E1294" s="56">
        <v>5.3265153936E-5</v>
      </c>
    </row>
    <row r="1295" spans="2:5" ht="15" customHeight="1">
      <c r="B1295" s="90"/>
      <c r="C1295" s="54" t="s">
        <v>185</v>
      </c>
      <c r="D1295" s="55">
        <v>3</v>
      </c>
      <c r="E1295" s="56">
        <v>1.5979546180899999E-4</v>
      </c>
    </row>
    <row r="1296" spans="2:5" ht="15" customHeight="1">
      <c r="B1296" s="90"/>
      <c r="C1296" s="54" t="s">
        <v>190</v>
      </c>
      <c r="D1296" s="55">
        <v>1</v>
      </c>
      <c r="E1296" s="56">
        <v>5.3265153936E-5</v>
      </c>
    </row>
    <row r="1297" spans="2:5" ht="15" customHeight="1">
      <c r="B1297" s="90"/>
      <c r="C1297" s="54" t="s">
        <v>181</v>
      </c>
      <c r="D1297" s="55">
        <v>16</v>
      </c>
      <c r="E1297" s="56">
        <v>8.5224246298100002E-4</v>
      </c>
    </row>
    <row r="1298" spans="2:5" ht="15" customHeight="1">
      <c r="B1298" s="90"/>
      <c r="C1298" s="54" t="s">
        <v>245</v>
      </c>
      <c r="D1298" s="55">
        <v>1</v>
      </c>
      <c r="E1298" s="56">
        <v>5.3265153936E-5</v>
      </c>
    </row>
    <row r="1299" spans="2:5" ht="15" customHeight="1">
      <c r="B1299" s="90"/>
      <c r="C1299" s="54" t="s">
        <v>194</v>
      </c>
      <c r="D1299" s="55">
        <v>1</v>
      </c>
      <c r="E1299" s="56">
        <v>5.3265153936E-5</v>
      </c>
    </row>
    <row r="1300" spans="2:5" ht="15" customHeight="1">
      <c r="B1300" s="90"/>
      <c r="C1300" s="54" t="s">
        <v>226</v>
      </c>
      <c r="D1300" s="55">
        <v>1</v>
      </c>
      <c r="E1300" s="56">
        <v>5.3265153936E-5</v>
      </c>
    </row>
    <row r="1301" spans="2:5" ht="15" customHeight="1">
      <c r="B1301" s="90"/>
      <c r="C1301" s="54" t="s">
        <v>187</v>
      </c>
      <c r="D1301" s="55">
        <v>3</v>
      </c>
      <c r="E1301" s="56">
        <v>1.5979546180899999E-4</v>
      </c>
    </row>
    <row r="1302" spans="2:5" ht="15" customHeight="1">
      <c r="B1302" s="90"/>
      <c r="C1302" s="54" t="s">
        <v>202</v>
      </c>
      <c r="D1302" s="55">
        <v>1</v>
      </c>
      <c r="E1302" s="56">
        <v>5.3265153936E-5</v>
      </c>
    </row>
    <row r="1303" spans="2:5" ht="15" customHeight="1">
      <c r="B1303" s="91"/>
      <c r="C1303" s="65" t="s">
        <v>321</v>
      </c>
      <c r="D1303" s="64">
        <v>63</v>
      </c>
      <c r="E1303" s="66">
        <v>3.3557046979869999E-3</v>
      </c>
    </row>
    <row r="1304" spans="2:5" ht="15" customHeight="1">
      <c r="B1304" s="89" t="s">
        <v>77</v>
      </c>
      <c r="C1304" s="54" t="s">
        <v>198</v>
      </c>
      <c r="D1304" s="55">
        <v>1</v>
      </c>
      <c r="E1304" s="56">
        <v>5.3265153936E-5</v>
      </c>
    </row>
    <row r="1305" spans="2:5" ht="15" customHeight="1">
      <c r="B1305" s="90"/>
      <c r="C1305" s="54" t="s">
        <v>182</v>
      </c>
      <c r="D1305" s="55">
        <v>5</v>
      </c>
      <c r="E1305" s="56">
        <v>2.6632576968100001E-4</v>
      </c>
    </row>
    <row r="1306" spans="2:5" ht="15" customHeight="1">
      <c r="B1306" s="90"/>
      <c r="C1306" s="54" t="s">
        <v>184</v>
      </c>
      <c r="D1306" s="55">
        <v>1</v>
      </c>
      <c r="E1306" s="56">
        <v>5.3265153936E-5</v>
      </c>
    </row>
    <row r="1307" spans="2:5" ht="15" customHeight="1">
      <c r="B1307" s="90"/>
      <c r="C1307" s="54" t="s">
        <v>209</v>
      </c>
      <c r="D1307" s="55">
        <v>1</v>
      </c>
      <c r="E1307" s="56">
        <v>5.3265153936E-5</v>
      </c>
    </row>
    <row r="1308" spans="2:5" ht="15" customHeight="1">
      <c r="B1308" s="90"/>
      <c r="C1308" s="54" t="s">
        <v>183</v>
      </c>
      <c r="D1308" s="55">
        <v>1</v>
      </c>
      <c r="E1308" s="56">
        <v>5.3265153936E-5</v>
      </c>
    </row>
    <row r="1309" spans="2:5" ht="15" customHeight="1">
      <c r="B1309" s="90"/>
      <c r="C1309" s="54" t="s">
        <v>206</v>
      </c>
      <c r="D1309" s="55">
        <v>2</v>
      </c>
      <c r="E1309" s="56">
        <v>1.06530307873E-4</v>
      </c>
    </row>
    <row r="1310" spans="2:5" ht="15" customHeight="1">
      <c r="B1310" s="90"/>
      <c r="C1310" s="54" t="s">
        <v>207</v>
      </c>
      <c r="D1310" s="55">
        <v>2</v>
      </c>
      <c r="E1310" s="56">
        <v>1.06530307873E-4</v>
      </c>
    </row>
    <row r="1311" spans="2:5" ht="15" customHeight="1">
      <c r="B1311" s="90"/>
      <c r="C1311" s="54" t="s">
        <v>185</v>
      </c>
      <c r="D1311" s="55">
        <v>6</v>
      </c>
      <c r="E1311" s="56">
        <v>3.1959092361799997E-4</v>
      </c>
    </row>
    <row r="1312" spans="2:5" ht="15" customHeight="1">
      <c r="B1312" s="90"/>
      <c r="C1312" s="54" t="s">
        <v>213</v>
      </c>
      <c r="D1312" s="55">
        <v>1</v>
      </c>
      <c r="E1312" s="56">
        <v>5.3265153936E-5</v>
      </c>
    </row>
    <row r="1313" spans="2:5" ht="15" customHeight="1">
      <c r="B1313" s="90"/>
      <c r="C1313" s="54" t="s">
        <v>190</v>
      </c>
      <c r="D1313" s="55">
        <v>1</v>
      </c>
      <c r="E1313" s="56">
        <v>5.3265153936E-5</v>
      </c>
    </row>
    <row r="1314" spans="2:5" ht="15" customHeight="1">
      <c r="B1314" s="90"/>
      <c r="C1314" s="54" t="s">
        <v>181</v>
      </c>
      <c r="D1314" s="55">
        <v>20</v>
      </c>
      <c r="E1314" s="56">
        <v>1.065303078726E-3</v>
      </c>
    </row>
    <row r="1315" spans="2:5" ht="15" customHeight="1">
      <c r="B1315" s="90"/>
      <c r="C1315" s="54" t="s">
        <v>187</v>
      </c>
      <c r="D1315" s="55">
        <v>1</v>
      </c>
      <c r="E1315" s="56">
        <v>5.3265153936E-5</v>
      </c>
    </row>
    <row r="1316" spans="2:5" ht="15" customHeight="1">
      <c r="B1316" s="90"/>
      <c r="C1316" s="54" t="s">
        <v>203</v>
      </c>
      <c r="D1316" s="55">
        <v>1</v>
      </c>
      <c r="E1316" s="56">
        <v>5.3265153936E-5</v>
      </c>
    </row>
    <row r="1317" spans="2:5" ht="15" customHeight="1">
      <c r="B1317" s="90"/>
      <c r="C1317" s="54" t="s">
        <v>208</v>
      </c>
      <c r="D1317" s="55">
        <v>1</v>
      </c>
      <c r="E1317" s="56">
        <v>5.3265153936E-5</v>
      </c>
    </row>
    <row r="1318" spans="2:5" ht="15" customHeight="1">
      <c r="B1318" s="90"/>
      <c r="C1318" s="54" t="s">
        <v>200</v>
      </c>
      <c r="D1318" s="55">
        <v>1</v>
      </c>
      <c r="E1318" s="56">
        <v>5.3265153936E-5</v>
      </c>
    </row>
    <row r="1319" spans="2:5" ht="15" customHeight="1">
      <c r="B1319" s="90"/>
      <c r="C1319" s="54" t="s">
        <v>242</v>
      </c>
      <c r="D1319" s="55">
        <v>1</v>
      </c>
      <c r="E1319" s="56">
        <v>5.3265153936E-5</v>
      </c>
    </row>
    <row r="1320" spans="2:5" ht="15" customHeight="1">
      <c r="B1320" s="91"/>
      <c r="C1320" s="65" t="s">
        <v>321</v>
      </c>
      <c r="D1320" s="64">
        <v>46</v>
      </c>
      <c r="E1320" s="66">
        <v>2.45019708107E-3</v>
      </c>
    </row>
    <row r="1321" spans="2:5" ht="15" customHeight="1">
      <c r="B1321" s="89" t="s">
        <v>76</v>
      </c>
      <c r="C1321" s="54" t="s">
        <v>196</v>
      </c>
      <c r="D1321" s="55">
        <v>1</v>
      </c>
      <c r="E1321" s="56">
        <v>5.3265153936E-5</v>
      </c>
    </row>
    <row r="1322" spans="2:5" ht="15" customHeight="1">
      <c r="B1322" s="90"/>
      <c r="C1322" s="54" t="s">
        <v>198</v>
      </c>
      <c r="D1322" s="55">
        <v>3</v>
      </c>
      <c r="E1322" s="56">
        <v>1.5979546180899999E-4</v>
      </c>
    </row>
    <row r="1323" spans="2:5" ht="15" customHeight="1">
      <c r="B1323" s="90"/>
      <c r="C1323" s="54" t="s">
        <v>201</v>
      </c>
      <c r="D1323" s="55">
        <v>1</v>
      </c>
      <c r="E1323" s="56">
        <v>5.3265153936E-5</v>
      </c>
    </row>
    <row r="1324" spans="2:5" ht="15" customHeight="1">
      <c r="B1324" s="90"/>
      <c r="C1324" s="54" t="s">
        <v>188</v>
      </c>
      <c r="D1324" s="55">
        <v>2</v>
      </c>
      <c r="E1324" s="56">
        <v>1.06530307873E-4</v>
      </c>
    </row>
    <row r="1325" spans="2:5" ht="15" customHeight="1">
      <c r="B1325" s="90"/>
      <c r="C1325" s="54" t="s">
        <v>182</v>
      </c>
      <c r="D1325" s="55">
        <v>10</v>
      </c>
      <c r="E1325" s="56">
        <v>5.3265153936299999E-4</v>
      </c>
    </row>
    <row r="1326" spans="2:5" ht="15" customHeight="1">
      <c r="B1326" s="90"/>
      <c r="C1326" s="54" t="s">
        <v>243</v>
      </c>
      <c r="D1326" s="55">
        <v>1</v>
      </c>
      <c r="E1326" s="56">
        <v>5.3265153936E-5</v>
      </c>
    </row>
    <row r="1327" spans="2:5" ht="15" customHeight="1">
      <c r="B1327" s="90"/>
      <c r="C1327" s="54" t="s">
        <v>184</v>
      </c>
      <c r="D1327" s="55">
        <v>1</v>
      </c>
      <c r="E1327" s="56">
        <v>5.3265153936E-5</v>
      </c>
    </row>
    <row r="1328" spans="2:5" ht="15" customHeight="1">
      <c r="B1328" s="90"/>
      <c r="C1328" s="54" t="s">
        <v>183</v>
      </c>
      <c r="D1328" s="55">
        <v>8</v>
      </c>
      <c r="E1328" s="56">
        <v>4.2612123148999997E-4</v>
      </c>
    </row>
    <row r="1329" spans="2:5" ht="15" customHeight="1">
      <c r="B1329" s="90"/>
      <c r="C1329" s="54" t="s">
        <v>197</v>
      </c>
      <c r="D1329" s="55">
        <v>1</v>
      </c>
      <c r="E1329" s="56">
        <v>5.3265153936E-5</v>
      </c>
    </row>
    <row r="1330" spans="2:5" ht="15" customHeight="1">
      <c r="B1330" s="90"/>
      <c r="C1330" s="54" t="s">
        <v>207</v>
      </c>
      <c r="D1330" s="55">
        <v>5</v>
      </c>
      <c r="E1330" s="56">
        <v>2.6632576968100001E-4</v>
      </c>
    </row>
    <row r="1331" spans="2:5" ht="15" customHeight="1">
      <c r="B1331" s="90"/>
      <c r="C1331" s="54" t="s">
        <v>247</v>
      </c>
      <c r="D1331" s="55">
        <v>2</v>
      </c>
      <c r="E1331" s="56">
        <v>1.06530307873E-4</v>
      </c>
    </row>
    <row r="1332" spans="2:5" ht="15" customHeight="1">
      <c r="B1332" s="90"/>
      <c r="C1332" s="54" t="s">
        <v>185</v>
      </c>
      <c r="D1332" s="55">
        <v>7</v>
      </c>
      <c r="E1332" s="56">
        <v>3.7285607755399997E-4</v>
      </c>
    </row>
    <row r="1333" spans="2:5" ht="15" customHeight="1">
      <c r="B1333" s="90"/>
      <c r="C1333" s="54" t="s">
        <v>181</v>
      </c>
      <c r="D1333" s="55">
        <v>22</v>
      </c>
      <c r="E1333" s="56">
        <v>1.1718333865980001E-3</v>
      </c>
    </row>
    <row r="1334" spans="2:5" ht="15" customHeight="1">
      <c r="B1334" s="90"/>
      <c r="C1334" s="54" t="s">
        <v>192</v>
      </c>
      <c r="D1334" s="55">
        <v>1</v>
      </c>
      <c r="E1334" s="56">
        <v>5.3265153936E-5</v>
      </c>
    </row>
    <row r="1335" spans="2:5" ht="15" customHeight="1">
      <c r="B1335" s="90"/>
      <c r="C1335" s="54" t="s">
        <v>191</v>
      </c>
      <c r="D1335" s="55">
        <v>2</v>
      </c>
      <c r="E1335" s="56">
        <v>1.06530307873E-4</v>
      </c>
    </row>
    <row r="1336" spans="2:5" ht="15" customHeight="1">
      <c r="B1336" s="90"/>
      <c r="C1336" s="54" t="s">
        <v>245</v>
      </c>
      <c r="D1336" s="55">
        <v>1</v>
      </c>
      <c r="E1336" s="56">
        <v>5.3265153936E-5</v>
      </c>
    </row>
    <row r="1337" spans="2:5" ht="15" customHeight="1">
      <c r="B1337" s="90"/>
      <c r="C1337" s="54" t="s">
        <v>221</v>
      </c>
      <c r="D1337" s="55">
        <v>1</v>
      </c>
      <c r="E1337" s="56">
        <v>5.3265153936E-5</v>
      </c>
    </row>
    <row r="1338" spans="2:5" ht="15" customHeight="1">
      <c r="B1338" s="90"/>
      <c r="C1338" s="54" t="s">
        <v>224</v>
      </c>
      <c r="D1338" s="55">
        <v>1</v>
      </c>
      <c r="E1338" s="56">
        <v>5.3265153936E-5</v>
      </c>
    </row>
    <row r="1339" spans="2:5" ht="15" customHeight="1">
      <c r="B1339" s="90"/>
      <c r="C1339" s="54" t="s">
        <v>200</v>
      </c>
      <c r="D1339" s="55">
        <v>2</v>
      </c>
      <c r="E1339" s="56">
        <v>1.06530307873E-4</v>
      </c>
    </row>
    <row r="1340" spans="2:5" ht="15" customHeight="1">
      <c r="B1340" s="90"/>
      <c r="C1340" s="54" t="s">
        <v>202</v>
      </c>
      <c r="D1340" s="55">
        <v>2</v>
      </c>
      <c r="E1340" s="56">
        <v>1.06530307873E-4</v>
      </c>
    </row>
    <row r="1341" spans="2:5" ht="15" customHeight="1">
      <c r="B1341" s="90"/>
      <c r="C1341" s="54" t="s">
        <v>242</v>
      </c>
      <c r="D1341" s="55">
        <v>1</v>
      </c>
      <c r="E1341" s="56">
        <v>5.3265153936E-5</v>
      </c>
    </row>
    <row r="1342" spans="2:5" ht="15" customHeight="1">
      <c r="B1342" s="91"/>
      <c r="C1342" s="65" t="s">
        <v>321</v>
      </c>
      <c r="D1342" s="64">
        <v>75</v>
      </c>
      <c r="E1342" s="66">
        <v>3.9948865452219999E-3</v>
      </c>
    </row>
    <row r="1343" spans="2:5" ht="15" customHeight="1">
      <c r="B1343" s="89" t="s">
        <v>69</v>
      </c>
      <c r="C1343" s="54" t="s">
        <v>205</v>
      </c>
      <c r="D1343" s="55">
        <v>1</v>
      </c>
      <c r="E1343" s="56">
        <v>5.3265153936E-5</v>
      </c>
    </row>
    <row r="1344" spans="2:5" ht="15" customHeight="1">
      <c r="B1344" s="90"/>
      <c r="C1344" s="54" t="s">
        <v>195</v>
      </c>
      <c r="D1344" s="55">
        <v>1</v>
      </c>
      <c r="E1344" s="56">
        <v>5.3265153936E-5</v>
      </c>
    </row>
    <row r="1345" spans="2:5" ht="15" customHeight="1">
      <c r="B1345" s="90"/>
      <c r="C1345" s="54" t="s">
        <v>196</v>
      </c>
      <c r="D1345" s="55">
        <v>1</v>
      </c>
      <c r="E1345" s="56">
        <v>5.3265153936E-5</v>
      </c>
    </row>
    <row r="1346" spans="2:5" ht="15" customHeight="1">
      <c r="B1346" s="90"/>
      <c r="C1346" s="54" t="s">
        <v>216</v>
      </c>
      <c r="D1346" s="55">
        <v>2</v>
      </c>
      <c r="E1346" s="56">
        <v>1.06530307873E-4</v>
      </c>
    </row>
    <row r="1347" spans="2:5" ht="15" customHeight="1">
      <c r="B1347" s="90"/>
      <c r="C1347" s="54" t="s">
        <v>201</v>
      </c>
      <c r="D1347" s="55">
        <v>2</v>
      </c>
      <c r="E1347" s="56">
        <v>1.06530307873E-4</v>
      </c>
    </row>
    <row r="1348" spans="2:5" ht="15" customHeight="1">
      <c r="B1348" s="90"/>
      <c r="C1348" s="54" t="s">
        <v>188</v>
      </c>
      <c r="D1348" s="55">
        <v>4</v>
      </c>
      <c r="E1348" s="56">
        <v>2.1306061574499999E-4</v>
      </c>
    </row>
    <row r="1349" spans="2:5" ht="15" customHeight="1">
      <c r="B1349" s="90"/>
      <c r="C1349" s="54" t="s">
        <v>182</v>
      </c>
      <c r="D1349" s="55">
        <v>21</v>
      </c>
      <c r="E1349" s="56">
        <v>1.118568232662E-3</v>
      </c>
    </row>
    <row r="1350" spans="2:5" ht="15" customHeight="1">
      <c r="B1350" s="90"/>
      <c r="C1350" s="54" t="s">
        <v>184</v>
      </c>
      <c r="D1350" s="55">
        <v>2</v>
      </c>
      <c r="E1350" s="56">
        <v>1.06530307873E-4</v>
      </c>
    </row>
    <row r="1351" spans="2:5" ht="15" customHeight="1">
      <c r="B1351" s="90"/>
      <c r="C1351" s="54" t="s">
        <v>183</v>
      </c>
      <c r="D1351" s="55">
        <v>5</v>
      </c>
      <c r="E1351" s="56">
        <v>2.6632576968100001E-4</v>
      </c>
    </row>
    <row r="1352" spans="2:5" ht="15" customHeight="1">
      <c r="B1352" s="90"/>
      <c r="C1352" s="54" t="s">
        <v>214</v>
      </c>
      <c r="D1352" s="55">
        <v>3</v>
      </c>
      <c r="E1352" s="56">
        <v>1.5979546180899999E-4</v>
      </c>
    </row>
    <row r="1353" spans="2:5" ht="15" customHeight="1">
      <c r="B1353" s="90"/>
      <c r="C1353" s="54" t="s">
        <v>193</v>
      </c>
      <c r="D1353" s="55">
        <v>1</v>
      </c>
      <c r="E1353" s="56">
        <v>5.3265153936E-5</v>
      </c>
    </row>
    <row r="1354" spans="2:5" ht="15" customHeight="1">
      <c r="B1354" s="90"/>
      <c r="C1354" s="54" t="s">
        <v>247</v>
      </c>
      <c r="D1354" s="55">
        <v>1</v>
      </c>
      <c r="E1354" s="56">
        <v>5.3265153936E-5</v>
      </c>
    </row>
    <row r="1355" spans="2:5" ht="15" customHeight="1">
      <c r="B1355" s="90"/>
      <c r="C1355" s="54" t="s">
        <v>189</v>
      </c>
      <c r="D1355" s="55">
        <v>2</v>
      </c>
      <c r="E1355" s="56">
        <v>1.06530307873E-4</v>
      </c>
    </row>
    <row r="1356" spans="2:5" ht="15" customHeight="1">
      <c r="B1356" s="90"/>
      <c r="C1356" s="54" t="s">
        <v>185</v>
      </c>
      <c r="D1356" s="55">
        <v>8</v>
      </c>
      <c r="E1356" s="56">
        <v>4.2612123148999997E-4</v>
      </c>
    </row>
    <row r="1357" spans="2:5" ht="15" customHeight="1">
      <c r="B1357" s="90"/>
      <c r="C1357" s="54" t="s">
        <v>244</v>
      </c>
      <c r="D1357" s="55">
        <v>1</v>
      </c>
      <c r="E1357" s="56">
        <v>5.3265153936E-5</v>
      </c>
    </row>
    <row r="1358" spans="2:5" ht="15" customHeight="1">
      <c r="B1358" s="90"/>
      <c r="C1358" s="54" t="s">
        <v>213</v>
      </c>
      <c r="D1358" s="55">
        <v>1</v>
      </c>
      <c r="E1358" s="56">
        <v>5.3265153936E-5</v>
      </c>
    </row>
    <row r="1359" spans="2:5" ht="15" customHeight="1">
      <c r="B1359" s="90"/>
      <c r="C1359" s="54" t="s">
        <v>190</v>
      </c>
      <c r="D1359" s="55">
        <v>1</v>
      </c>
      <c r="E1359" s="56">
        <v>5.3265153936E-5</v>
      </c>
    </row>
    <row r="1360" spans="2:5" ht="15" customHeight="1">
      <c r="B1360" s="90"/>
      <c r="C1360" s="54" t="s">
        <v>181</v>
      </c>
      <c r="D1360" s="55">
        <v>27</v>
      </c>
      <c r="E1360" s="56">
        <v>1.4381591562800001E-3</v>
      </c>
    </row>
    <row r="1361" spans="2:5" ht="15" customHeight="1">
      <c r="B1361" s="90"/>
      <c r="C1361" s="54" t="s">
        <v>236</v>
      </c>
      <c r="D1361" s="55">
        <v>1</v>
      </c>
      <c r="E1361" s="56">
        <v>5.3265153936E-5</v>
      </c>
    </row>
    <row r="1362" spans="2:5" ht="15" customHeight="1">
      <c r="B1362" s="90"/>
      <c r="C1362" s="54" t="s">
        <v>192</v>
      </c>
      <c r="D1362" s="55">
        <v>1</v>
      </c>
      <c r="E1362" s="56">
        <v>5.3265153936E-5</v>
      </c>
    </row>
    <row r="1363" spans="2:5" ht="15" customHeight="1">
      <c r="B1363" s="90"/>
      <c r="C1363" s="54" t="s">
        <v>240</v>
      </c>
      <c r="D1363" s="55">
        <v>2</v>
      </c>
      <c r="E1363" s="56">
        <v>1.06530307873E-4</v>
      </c>
    </row>
    <row r="1364" spans="2:5" ht="15" customHeight="1">
      <c r="B1364" s="90"/>
      <c r="C1364" s="54" t="s">
        <v>245</v>
      </c>
      <c r="D1364" s="55">
        <v>1</v>
      </c>
      <c r="E1364" s="56">
        <v>5.3265153936E-5</v>
      </c>
    </row>
    <row r="1365" spans="2:5" ht="15" customHeight="1">
      <c r="B1365" s="90"/>
      <c r="C1365" s="54" t="s">
        <v>194</v>
      </c>
      <c r="D1365" s="55">
        <v>2</v>
      </c>
      <c r="E1365" s="56">
        <v>1.06530307873E-4</v>
      </c>
    </row>
    <row r="1366" spans="2:5" ht="15" customHeight="1">
      <c r="B1366" s="90"/>
      <c r="C1366" s="54" t="s">
        <v>187</v>
      </c>
      <c r="D1366" s="55">
        <v>2</v>
      </c>
      <c r="E1366" s="56">
        <v>1.06530307873E-4</v>
      </c>
    </row>
    <row r="1367" spans="2:5" ht="15" customHeight="1">
      <c r="B1367" s="90"/>
      <c r="C1367" s="54" t="s">
        <v>237</v>
      </c>
      <c r="D1367" s="55">
        <v>1</v>
      </c>
      <c r="E1367" s="56">
        <v>5.3265153936E-5</v>
      </c>
    </row>
    <row r="1368" spans="2:5" ht="15" customHeight="1">
      <c r="B1368" s="90"/>
      <c r="C1368" s="54" t="s">
        <v>200</v>
      </c>
      <c r="D1368" s="55">
        <v>2</v>
      </c>
      <c r="E1368" s="56">
        <v>1.06530307873E-4</v>
      </c>
    </row>
    <row r="1369" spans="2:5" ht="15" customHeight="1">
      <c r="B1369" s="90"/>
      <c r="C1369" s="54" t="s">
        <v>227</v>
      </c>
      <c r="D1369" s="55">
        <v>1</v>
      </c>
      <c r="E1369" s="56">
        <v>5.3265153936E-5</v>
      </c>
    </row>
    <row r="1370" spans="2:5" ht="15" customHeight="1">
      <c r="B1370" s="90"/>
      <c r="C1370" s="54" t="s">
        <v>202</v>
      </c>
      <c r="D1370" s="55">
        <v>1</v>
      </c>
      <c r="E1370" s="56">
        <v>5.3265153936E-5</v>
      </c>
    </row>
    <row r="1371" spans="2:5" ht="15" customHeight="1">
      <c r="B1371" s="91"/>
      <c r="C1371" s="65" t="s">
        <v>321</v>
      </c>
      <c r="D1371" s="64">
        <v>98</v>
      </c>
      <c r="E1371" s="66">
        <v>5.2199850857570004E-3</v>
      </c>
    </row>
    <row r="1372" spans="2:5" ht="15" customHeight="1">
      <c r="B1372" s="89" t="s">
        <v>86</v>
      </c>
      <c r="C1372" s="54" t="s">
        <v>182</v>
      </c>
      <c r="D1372" s="55">
        <v>9</v>
      </c>
      <c r="E1372" s="56">
        <v>4.7938638542699999E-4</v>
      </c>
    </row>
    <row r="1373" spans="2:5" ht="15" customHeight="1">
      <c r="B1373" s="90"/>
      <c r="C1373" s="54" t="s">
        <v>184</v>
      </c>
      <c r="D1373" s="55">
        <v>2</v>
      </c>
      <c r="E1373" s="56">
        <v>1.06530307873E-4</v>
      </c>
    </row>
    <row r="1374" spans="2:5" ht="15" customHeight="1">
      <c r="B1374" s="90"/>
      <c r="C1374" s="54" t="s">
        <v>183</v>
      </c>
      <c r="D1374" s="55">
        <v>4</v>
      </c>
      <c r="E1374" s="56">
        <v>2.1306061574499999E-4</v>
      </c>
    </row>
    <row r="1375" spans="2:5" ht="15" customHeight="1">
      <c r="B1375" s="90"/>
      <c r="C1375" s="54" t="s">
        <v>185</v>
      </c>
      <c r="D1375" s="55">
        <v>1</v>
      </c>
      <c r="E1375" s="56">
        <v>5.3265153936E-5</v>
      </c>
    </row>
    <row r="1376" spans="2:5" ht="15" customHeight="1">
      <c r="B1376" s="90"/>
      <c r="C1376" s="54" t="s">
        <v>190</v>
      </c>
      <c r="D1376" s="55">
        <v>1</v>
      </c>
      <c r="E1376" s="56">
        <v>5.3265153936E-5</v>
      </c>
    </row>
    <row r="1377" spans="2:5" ht="15" customHeight="1">
      <c r="B1377" s="90"/>
      <c r="C1377" s="54" t="s">
        <v>181</v>
      </c>
      <c r="D1377" s="55">
        <v>1</v>
      </c>
      <c r="E1377" s="56">
        <v>5.3265153936E-5</v>
      </c>
    </row>
    <row r="1378" spans="2:5" ht="15" customHeight="1">
      <c r="B1378" s="90"/>
      <c r="C1378" s="54" t="s">
        <v>187</v>
      </c>
      <c r="D1378" s="55">
        <v>2</v>
      </c>
      <c r="E1378" s="56">
        <v>1.06530307873E-4</v>
      </c>
    </row>
    <row r="1379" spans="2:5" ht="15" customHeight="1">
      <c r="B1379" s="91"/>
      <c r="C1379" s="65" t="s">
        <v>321</v>
      </c>
      <c r="D1379" s="64">
        <v>20</v>
      </c>
      <c r="E1379" s="66">
        <v>1.065303078726E-3</v>
      </c>
    </row>
    <row r="1380" spans="2:5" ht="15" customHeight="1">
      <c r="B1380" s="89" t="s">
        <v>73</v>
      </c>
      <c r="C1380" s="54" t="s">
        <v>196</v>
      </c>
      <c r="D1380" s="55">
        <v>1</v>
      </c>
      <c r="E1380" s="56">
        <v>5.3265153936E-5</v>
      </c>
    </row>
    <row r="1381" spans="2:5" ht="15" customHeight="1">
      <c r="B1381" s="90"/>
      <c r="C1381" s="54" t="s">
        <v>201</v>
      </c>
      <c r="D1381" s="55">
        <v>2</v>
      </c>
      <c r="E1381" s="56">
        <v>1.06530307873E-4</v>
      </c>
    </row>
    <row r="1382" spans="2:5" ht="15" customHeight="1">
      <c r="B1382" s="90"/>
      <c r="C1382" s="54" t="s">
        <v>188</v>
      </c>
      <c r="D1382" s="55">
        <v>1</v>
      </c>
      <c r="E1382" s="56">
        <v>5.3265153936E-5</v>
      </c>
    </row>
    <row r="1383" spans="2:5" ht="15" customHeight="1">
      <c r="B1383" s="90"/>
      <c r="C1383" s="54" t="s">
        <v>217</v>
      </c>
      <c r="D1383" s="55">
        <v>1</v>
      </c>
      <c r="E1383" s="56">
        <v>5.3265153936E-5</v>
      </c>
    </row>
    <row r="1384" spans="2:5" ht="15" customHeight="1">
      <c r="B1384" s="90"/>
      <c r="C1384" s="54" t="s">
        <v>182</v>
      </c>
      <c r="D1384" s="55">
        <v>11</v>
      </c>
      <c r="E1384" s="56">
        <v>5.8591669329900004E-4</v>
      </c>
    </row>
    <row r="1385" spans="2:5" ht="15" customHeight="1">
      <c r="B1385" s="90"/>
      <c r="C1385" s="54" t="s">
        <v>243</v>
      </c>
      <c r="D1385" s="55">
        <v>2</v>
      </c>
      <c r="E1385" s="56">
        <v>1.06530307873E-4</v>
      </c>
    </row>
    <row r="1386" spans="2:5" ht="15" customHeight="1">
      <c r="B1386" s="90"/>
      <c r="C1386" s="54" t="s">
        <v>184</v>
      </c>
      <c r="D1386" s="55">
        <v>3</v>
      </c>
      <c r="E1386" s="56">
        <v>1.5979546180899999E-4</v>
      </c>
    </row>
    <row r="1387" spans="2:5" ht="15" customHeight="1">
      <c r="B1387" s="90"/>
      <c r="C1387" s="54" t="s">
        <v>183</v>
      </c>
      <c r="D1387" s="55">
        <v>4</v>
      </c>
      <c r="E1387" s="56">
        <v>2.1306061574499999E-4</v>
      </c>
    </row>
    <row r="1388" spans="2:5" ht="15" customHeight="1">
      <c r="B1388" s="90"/>
      <c r="C1388" s="54" t="s">
        <v>197</v>
      </c>
      <c r="D1388" s="55">
        <v>1</v>
      </c>
      <c r="E1388" s="56">
        <v>5.3265153936E-5</v>
      </c>
    </row>
    <row r="1389" spans="2:5" ht="15" customHeight="1">
      <c r="B1389" s="90"/>
      <c r="C1389" s="54" t="s">
        <v>246</v>
      </c>
      <c r="D1389" s="55">
        <v>1</v>
      </c>
      <c r="E1389" s="56">
        <v>5.3265153936E-5</v>
      </c>
    </row>
    <row r="1390" spans="2:5" ht="15" customHeight="1">
      <c r="B1390" s="90"/>
      <c r="C1390" s="54" t="s">
        <v>218</v>
      </c>
      <c r="D1390" s="55">
        <v>2</v>
      </c>
      <c r="E1390" s="56">
        <v>1.06530307873E-4</v>
      </c>
    </row>
    <row r="1391" spans="2:5" ht="15" customHeight="1">
      <c r="B1391" s="90"/>
      <c r="C1391" s="54" t="s">
        <v>207</v>
      </c>
      <c r="D1391" s="55">
        <v>2</v>
      </c>
      <c r="E1391" s="56">
        <v>1.06530307873E-4</v>
      </c>
    </row>
    <row r="1392" spans="2:5" ht="15" customHeight="1">
      <c r="B1392" s="90"/>
      <c r="C1392" s="54" t="s">
        <v>247</v>
      </c>
      <c r="D1392" s="55">
        <v>2</v>
      </c>
      <c r="E1392" s="56">
        <v>1.06530307873E-4</v>
      </c>
    </row>
    <row r="1393" spans="2:5" ht="15" customHeight="1">
      <c r="B1393" s="90"/>
      <c r="C1393" s="54" t="s">
        <v>189</v>
      </c>
      <c r="D1393" s="55">
        <v>1</v>
      </c>
      <c r="E1393" s="56">
        <v>5.3265153936E-5</v>
      </c>
    </row>
    <row r="1394" spans="2:5" ht="15" customHeight="1">
      <c r="B1394" s="90"/>
      <c r="C1394" s="54" t="s">
        <v>185</v>
      </c>
      <c r="D1394" s="55">
        <v>2</v>
      </c>
      <c r="E1394" s="56">
        <v>1.06530307873E-4</v>
      </c>
    </row>
    <row r="1395" spans="2:5" ht="15" customHeight="1">
      <c r="B1395" s="90"/>
      <c r="C1395" s="54" t="s">
        <v>213</v>
      </c>
      <c r="D1395" s="55">
        <v>1</v>
      </c>
      <c r="E1395" s="56">
        <v>5.3265153936E-5</v>
      </c>
    </row>
    <row r="1396" spans="2:5" ht="15" customHeight="1">
      <c r="B1396" s="90"/>
      <c r="C1396" s="54" t="s">
        <v>215</v>
      </c>
      <c r="D1396" s="55">
        <v>1</v>
      </c>
      <c r="E1396" s="56">
        <v>5.3265153936E-5</v>
      </c>
    </row>
    <row r="1397" spans="2:5" ht="15" customHeight="1">
      <c r="B1397" s="90"/>
      <c r="C1397" s="54" t="s">
        <v>190</v>
      </c>
      <c r="D1397" s="55">
        <v>2</v>
      </c>
      <c r="E1397" s="56">
        <v>1.06530307873E-4</v>
      </c>
    </row>
    <row r="1398" spans="2:5" ht="15" customHeight="1">
      <c r="B1398" s="90"/>
      <c r="C1398" s="54" t="s">
        <v>181</v>
      </c>
      <c r="D1398" s="55">
        <v>17</v>
      </c>
      <c r="E1398" s="56">
        <v>9.0550761691699996E-4</v>
      </c>
    </row>
    <row r="1399" spans="2:5" ht="15" customHeight="1">
      <c r="B1399" s="90"/>
      <c r="C1399" s="54" t="s">
        <v>235</v>
      </c>
      <c r="D1399" s="55">
        <v>1</v>
      </c>
      <c r="E1399" s="56">
        <v>5.3265153936E-5</v>
      </c>
    </row>
    <row r="1400" spans="2:5" ht="15" customHeight="1">
      <c r="B1400" s="90"/>
      <c r="C1400" s="54" t="s">
        <v>192</v>
      </c>
      <c r="D1400" s="55">
        <v>3</v>
      </c>
      <c r="E1400" s="56">
        <v>1.5979546180899999E-4</v>
      </c>
    </row>
    <row r="1401" spans="2:5" ht="15" customHeight="1">
      <c r="B1401" s="90"/>
      <c r="C1401" s="54" t="s">
        <v>191</v>
      </c>
      <c r="D1401" s="55">
        <v>1</v>
      </c>
      <c r="E1401" s="56">
        <v>5.3265153936E-5</v>
      </c>
    </row>
    <row r="1402" spans="2:5" ht="15" customHeight="1">
      <c r="B1402" s="90"/>
      <c r="C1402" s="54" t="s">
        <v>245</v>
      </c>
      <c r="D1402" s="55">
        <v>3</v>
      </c>
      <c r="E1402" s="56">
        <v>1.5979546180899999E-4</v>
      </c>
    </row>
    <row r="1403" spans="2:5" ht="15" customHeight="1">
      <c r="B1403" s="90"/>
      <c r="C1403" s="54" t="s">
        <v>187</v>
      </c>
      <c r="D1403" s="55">
        <v>7</v>
      </c>
      <c r="E1403" s="56">
        <v>3.7285607755399997E-4</v>
      </c>
    </row>
    <row r="1404" spans="2:5" ht="15" customHeight="1">
      <c r="B1404" s="90"/>
      <c r="C1404" s="54" t="s">
        <v>186</v>
      </c>
      <c r="D1404" s="55">
        <v>1</v>
      </c>
      <c r="E1404" s="56">
        <v>5.3265153936E-5</v>
      </c>
    </row>
    <row r="1405" spans="2:5" ht="15" customHeight="1">
      <c r="B1405" s="90"/>
      <c r="C1405" s="54" t="s">
        <v>230</v>
      </c>
      <c r="D1405" s="55">
        <v>1</v>
      </c>
      <c r="E1405" s="56">
        <v>5.3265153936E-5</v>
      </c>
    </row>
    <row r="1406" spans="2:5" ht="15" customHeight="1">
      <c r="B1406" s="90"/>
      <c r="C1406" s="54" t="s">
        <v>200</v>
      </c>
      <c r="D1406" s="55">
        <v>1</v>
      </c>
      <c r="E1406" s="56">
        <v>5.3265153936E-5</v>
      </c>
    </row>
    <row r="1407" spans="2:5" ht="15" customHeight="1">
      <c r="B1407" s="90"/>
      <c r="C1407" s="54" t="s">
        <v>202</v>
      </c>
      <c r="D1407" s="55">
        <v>1</v>
      </c>
      <c r="E1407" s="56">
        <v>5.3265153936E-5</v>
      </c>
    </row>
    <row r="1408" spans="2:5" ht="15" customHeight="1">
      <c r="B1408" s="90"/>
      <c r="C1408" s="54" t="s">
        <v>231</v>
      </c>
      <c r="D1408" s="55">
        <v>2</v>
      </c>
      <c r="E1408" s="56">
        <v>1.06530307873E-4</v>
      </c>
    </row>
    <row r="1409" spans="2:5" ht="15" customHeight="1">
      <c r="B1409" s="90"/>
      <c r="C1409" s="54" t="s">
        <v>242</v>
      </c>
      <c r="D1409" s="55">
        <v>1</v>
      </c>
      <c r="E1409" s="56">
        <v>5.3265153936E-5</v>
      </c>
    </row>
    <row r="1410" spans="2:5" ht="15" customHeight="1">
      <c r="B1410" s="91"/>
      <c r="C1410" s="65" t="s">
        <v>321</v>
      </c>
      <c r="D1410" s="64">
        <v>79</v>
      </c>
      <c r="E1410" s="66">
        <v>4.2079471609670002E-3</v>
      </c>
    </row>
    <row r="1411" spans="2:5" ht="15" customHeight="1">
      <c r="B1411" s="89" t="s">
        <v>82</v>
      </c>
      <c r="C1411" s="54" t="s">
        <v>195</v>
      </c>
      <c r="D1411" s="55">
        <v>1</v>
      </c>
      <c r="E1411" s="56">
        <v>5.3265153936E-5</v>
      </c>
    </row>
    <row r="1412" spans="2:5" ht="15" customHeight="1">
      <c r="B1412" s="90"/>
      <c r="C1412" s="54" t="s">
        <v>188</v>
      </c>
      <c r="D1412" s="55">
        <v>3</v>
      </c>
      <c r="E1412" s="56">
        <v>1.5979546180899999E-4</v>
      </c>
    </row>
    <row r="1413" spans="2:5" ht="15" customHeight="1">
      <c r="B1413" s="90"/>
      <c r="C1413" s="54" t="s">
        <v>182</v>
      </c>
      <c r="D1413" s="55">
        <v>5</v>
      </c>
      <c r="E1413" s="56">
        <v>2.6632576968100001E-4</v>
      </c>
    </row>
    <row r="1414" spans="2:5" ht="15" customHeight="1">
      <c r="B1414" s="90"/>
      <c r="C1414" s="54" t="s">
        <v>184</v>
      </c>
      <c r="D1414" s="55">
        <v>2</v>
      </c>
      <c r="E1414" s="56">
        <v>1.06530307873E-4</v>
      </c>
    </row>
    <row r="1415" spans="2:5" ht="15" customHeight="1">
      <c r="B1415" s="90"/>
      <c r="C1415" s="54" t="s">
        <v>185</v>
      </c>
      <c r="D1415" s="55">
        <v>3</v>
      </c>
      <c r="E1415" s="56">
        <v>1.5979546180899999E-4</v>
      </c>
    </row>
    <row r="1416" spans="2:5" ht="15" customHeight="1">
      <c r="B1416" s="90"/>
      <c r="C1416" s="54" t="s">
        <v>190</v>
      </c>
      <c r="D1416" s="55">
        <v>1</v>
      </c>
      <c r="E1416" s="56">
        <v>5.3265153936E-5</v>
      </c>
    </row>
    <row r="1417" spans="2:5" ht="15" customHeight="1">
      <c r="B1417" s="90"/>
      <c r="C1417" s="54" t="s">
        <v>181</v>
      </c>
      <c r="D1417" s="55">
        <v>11</v>
      </c>
      <c r="E1417" s="56">
        <v>5.8591669329900004E-4</v>
      </c>
    </row>
    <row r="1418" spans="2:5" ht="15" customHeight="1">
      <c r="B1418" s="90"/>
      <c r="C1418" s="54" t="s">
        <v>194</v>
      </c>
      <c r="D1418" s="55">
        <v>1</v>
      </c>
      <c r="E1418" s="56">
        <v>5.3265153936E-5</v>
      </c>
    </row>
    <row r="1419" spans="2:5" ht="15" customHeight="1">
      <c r="B1419" s="90"/>
      <c r="C1419" s="54" t="s">
        <v>221</v>
      </c>
      <c r="D1419" s="55">
        <v>1</v>
      </c>
      <c r="E1419" s="56">
        <v>5.3265153936E-5</v>
      </c>
    </row>
    <row r="1420" spans="2:5" ht="15" customHeight="1">
      <c r="B1420" s="90"/>
      <c r="C1420" s="54" t="s">
        <v>237</v>
      </c>
      <c r="D1420" s="55">
        <v>2</v>
      </c>
      <c r="E1420" s="56">
        <v>1.06530307873E-4</v>
      </c>
    </row>
    <row r="1421" spans="2:5" ht="15" customHeight="1">
      <c r="B1421" s="91"/>
      <c r="C1421" s="65" t="s">
        <v>321</v>
      </c>
      <c r="D1421" s="64">
        <v>30</v>
      </c>
      <c r="E1421" s="66">
        <v>1.5979546180890001E-3</v>
      </c>
    </row>
    <row r="1422" spans="2:5" ht="15" customHeight="1">
      <c r="B1422" s="89" t="s">
        <v>92</v>
      </c>
      <c r="C1422" s="54" t="s">
        <v>217</v>
      </c>
      <c r="D1422" s="55">
        <v>1</v>
      </c>
      <c r="E1422" s="56">
        <v>5.3265153936E-5</v>
      </c>
    </row>
    <row r="1423" spans="2:5" ht="15" customHeight="1">
      <c r="B1423" s="90"/>
      <c r="C1423" s="54" t="s">
        <v>182</v>
      </c>
      <c r="D1423" s="55">
        <v>2</v>
      </c>
      <c r="E1423" s="56">
        <v>1.06530307873E-4</v>
      </c>
    </row>
    <row r="1424" spans="2:5" ht="15" customHeight="1">
      <c r="B1424" s="90"/>
      <c r="C1424" s="54" t="s">
        <v>247</v>
      </c>
      <c r="D1424" s="55">
        <v>1</v>
      </c>
      <c r="E1424" s="56">
        <v>5.3265153936E-5</v>
      </c>
    </row>
    <row r="1425" spans="2:5" ht="15" customHeight="1">
      <c r="B1425" s="90"/>
      <c r="C1425" s="54" t="s">
        <v>181</v>
      </c>
      <c r="D1425" s="55">
        <v>1</v>
      </c>
      <c r="E1425" s="56">
        <v>5.3265153936E-5</v>
      </c>
    </row>
    <row r="1426" spans="2:5" ht="15" customHeight="1">
      <c r="B1426" s="91"/>
      <c r="C1426" s="65" t="s">
        <v>321</v>
      </c>
      <c r="D1426" s="64">
        <v>5</v>
      </c>
      <c r="E1426" s="66">
        <v>2.6632576968100001E-4</v>
      </c>
    </row>
    <row r="1427" spans="2:5" ht="15" customHeight="1">
      <c r="B1427" s="87" t="s">
        <v>321</v>
      </c>
      <c r="C1427" s="88"/>
      <c r="D1427" s="52">
        <v>18774</v>
      </c>
      <c r="E1427" s="53">
        <v>1</v>
      </c>
    </row>
    <row r="1429" spans="2:5" ht="15" customHeight="1">
      <c r="B1429" s="37" t="s">
        <v>130</v>
      </c>
      <c r="C1429" s="38"/>
      <c r="D1429" s="36"/>
    </row>
    <row r="1430" spans="2:5" ht="15" customHeight="1">
      <c r="B1430" s="39" t="s">
        <v>17</v>
      </c>
      <c r="C1430" s="38"/>
      <c r="D1430" s="36"/>
    </row>
    <row r="1431" spans="2:5" ht="15" customHeight="1">
      <c r="B1431" s="40" t="s">
        <v>44</v>
      </c>
      <c r="C1431" s="38"/>
      <c r="D1431" s="36"/>
    </row>
    <row r="1432" spans="2:5" ht="15" customHeight="1">
      <c r="B1432" s="37" t="s">
        <v>16</v>
      </c>
      <c r="C1432" s="38"/>
      <c r="D1432" s="36"/>
    </row>
    <row r="1433" spans="2:5" ht="15" customHeight="1">
      <c r="B1433" s="37" t="s">
        <v>320</v>
      </c>
      <c r="C1433" s="38"/>
      <c r="D1433" s="36"/>
    </row>
  </sheetData>
  <mergeCells count="54">
    <mergeCell ref="B7:E8"/>
    <mergeCell ref="B10:B73"/>
    <mergeCell ref="B74:B99"/>
    <mergeCell ref="B100:B123"/>
    <mergeCell ref="B124:B148"/>
    <mergeCell ref="B149:B154"/>
    <mergeCell ref="B155:B164"/>
    <mergeCell ref="B165:B168"/>
    <mergeCell ref="B169:B216"/>
    <mergeCell ref="B217:B278"/>
    <mergeCell ref="B279:B292"/>
    <mergeCell ref="B293:B357"/>
    <mergeCell ref="B358:B379"/>
    <mergeCell ref="B380:B384"/>
    <mergeCell ref="B385:B386"/>
    <mergeCell ref="B387:B447"/>
    <mergeCell ref="B448:B461"/>
    <mergeCell ref="B462:B489"/>
    <mergeCell ref="B490:B535"/>
    <mergeCell ref="B536:B551"/>
    <mergeCell ref="B552:B609"/>
    <mergeCell ref="B610:B615"/>
    <mergeCell ref="B616:B660"/>
    <mergeCell ref="B661:B702"/>
    <mergeCell ref="B703:B746"/>
    <mergeCell ref="B747:B762"/>
    <mergeCell ref="B763:B778"/>
    <mergeCell ref="B779:B795"/>
    <mergeCell ref="B796:B798"/>
    <mergeCell ref="B799:B806"/>
    <mergeCell ref="B807:B828"/>
    <mergeCell ref="B829:B842"/>
    <mergeCell ref="B843:B898"/>
    <mergeCell ref="B899:B935"/>
    <mergeCell ref="B936:B953"/>
    <mergeCell ref="B954:B975"/>
    <mergeCell ref="B976:B1035"/>
    <mergeCell ref="B1036:B1044"/>
    <mergeCell ref="B1045:B1089"/>
    <mergeCell ref="B1090:B1119"/>
    <mergeCell ref="B1120:B1143"/>
    <mergeCell ref="B1144:B1178"/>
    <mergeCell ref="B1179:B1215"/>
    <mergeCell ref="B1216:B1239"/>
    <mergeCell ref="B1240:B1283"/>
    <mergeCell ref="B1427:C1427"/>
    <mergeCell ref="B1380:B1410"/>
    <mergeCell ref="B1411:B1421"/>
    <mergeCell ref="B1422:B1426"/>
    <mergeCell ref="B1284:B1303"/>
    <mergeCell ref="B1304:B1320"/>
    <mergeCell ref="B1321:B1342"/>
    <mergeCell ref="B1343:B1371"/>
    <mergeCell ref="B1372:B137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D76"/>
  <sheetViews>
    <sheetView showGridLines="0" view="pageBreakPreview" topLeftCell="A24" zoomScale="90" zoomScaleNormal="115" zoomScaleSheetLayoutView="90" workbookViewId="0">
      <selection activeCell="C34" sqref="C34"/>
    </sheetView>
  </sheetViews>
  <sheetFormatPr baseColWidth="10" defaultColWidth="11.453125" defaultRowHeight="14.5"/>
  <cols>
    <col min="1" max="1" width="9.26953125" style="13" customWidth="1"/>
    <col min="2" max="2" width="31.269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17" customFormat="1" ht="15" customHeight="1">
      <c r="C1" s="20"/>
    </row>
    <row r="2" spans="2:4" s="17" customFormat="1" ht="15" customHeight="1">
      <c r="C2" s="20"/>
    </row>
    <row r="3" spans="2:4" s="17" customFormat="1" ht="15" customHeight="1">
      <c r="C3" s="20"/>
    </row>
    <row r="4" spans="2:4" s="17" customFormat="1" ht="30" customHeight="1">
      <c r="C4" s="20"/>
      <c r="D4" s="19"/>
    </row>
    <row r="5" spans="2:4" s="17" customFormat="1" ht="15" customHeight="1">
      <c r="C5" s="20"/>
      <c r="D5" s="19"/>
    </row>
    <row r="6" spans="2:4" s="17" customFormat="1" ht="15" customHeight="1">
      <c r="C6" s="20"/>
      <c r="D6" s="19"/>
    </row>
    <row r="7" spans="2:4" s="17" customFormat="1" ht="15" customHeight="1">
      <c r="B7" s="86" t="s">
        <v>37</v>
      </c>
      <c r="C7" s="86"/>
      <c r="D7" s="86"/>
    </row>
    <row r="8" spans="2:4" s="17" customFormat="1" ht="15" customHeight="1">
      <c r="B8" s="86"/>
      <c r="C8" s="86"/>
      <c r="D8" s="86"/>
    </row>
    <row r="9" spans="2:4" s="17" customFormat="1" ht="33" customHeight="1">
      <c r="B9" s="86"/>
      <c r="C9" s="86"/>
      <c r="D9" s="86"/>
    </row>
    <row r="10" spans="2:4" s="17" customFormat="1" ht="4.5" customHeight="1">
      <c r="B10" s="18"/>
      <c r="C10" s="18"/>
      <c r="D10" s="18"/>
    </row>
    <row r="11" spans="2:4" s="17" customFormat="1" ht="33" customHeight="1">
      <c r="B11" s="42" t="s">
        <v>26</v>
      </c>
      <c r="C11" s="43" t="s">
        <v>25</v>
      </c>
      <c r="D11" s="44" t="s">
        <v>18</v>
      </c>
    </row>
    <row r="12" spans="2:4">
      <c r="B12" s="54" t="s">
        <v>97</v>
      </c>
      <c r="C12" s="55">
        <v>103</v>
      </c>
      <c r="D12" s="56">
        <v>5.4863108554380003E-3</v>
      </c>
    </row>
    <row r="13" spans="2:4">
      <c r="B13" s="54" t="s">
        <v>121</v>
      </c>
      <c r="C13" s="55">
        <v>2</v>
      </c>
      <c r="D13" s="56">
        <v>1.06530307873E-4</v>
      </c>
    </row>
    <row r="14" spans="2:4">
      <c r="B14" s="54" t="s">
        <v>98</v>
      </c>
      <c r="C14" s="55">
        <v>43</v>
      </c>
      <c r="D14" s="56">
        <v>2.2904016192610002E-3</v>
      </c>
    </row>
    <row r="15" spans="2:4">
      <c r="B15" s="54" t="s">
        <v>99</v>
      </c>
      <c r="C15" s="55">
        <v>51</v>
      </c>
      <c r="D15" s="56">
        <v>2.7165228507509999E-3</v>
      </c>
    </row>
    <row r="16" spans="2:4">
      <c r="B16" s="54" t="s">
        <v>100</v>
      </c>
      <c r="C16" s="55">
        <v>185</v>
      </c>
      <c r="D16" s="56">
        <v>9.8540534782150004E-3</v>
      </c>
    </row>
    <row r="17" spans="2:4">
      <c r="B17" s="54" t="s">
        <v>101</v>
      </c>
      <c r="C17" s="55">
        <v>129</v>
      </c>
      <c r="D17" s="56">
        <v>6.8712048577819996E-3</v>
      </c>
    </row>
    <row r="18" spans="2:4">
      <c r="B18" s="54" t="s">
        <v>102</v>
      </c>
      <c r="C18" s="55">
        <v>228</v>
      </c>
      <c r="D18" s="56">
        <v>1.2144455097475E-2</v>
      </c>
    </row>
    <row r="19" spans="2:4">
      <c r="B19" s="54" t="s">
        <v>103</v>
      </c>
      <c r="C19" s="55">
        <v>1250</v>
      </c>
      <c r="D19" s="56">
        <v>6.6581442420368994E-2</v>
      </c>
    </row>
    <row r="20" spans="2:4">
      <c r="B20" s="54" t="s">
        <v>104</v>
      </c>
      <c r="C20" s="55">
        <v>1989</v>
      </c>
      <c r="D20" s="56">
        <v>0.105944391179291</v>
      </c>
    </row>
    <row r="21" spans="2:4">
      <c r="B21" s="54" t="s">
        <v>105</v>
      </c>
      <c r="C21" s="55">
        <v>166</v>
      </c>
      <c r="D21" s="56">
        <v>8.8420155534250002E-3</v>
      </c>
    </row>
    <row r="22" spans="2:4">
      <c r="B22" s="54" t="s">
        <v>106</v>
      </c>
      <c r="C22" s="55">
        <v>448</v>
      </c>
      <c r="D22" s="56">
        <v>2.3862788963459999E-2</v>
      </c>
    </row>
    <row r="23" spans="2:4">
      <c r="B23" s="54" t="s">
        <v>107</v>
      </c>
      <c r="C23" s="55">
        <v>610</v>
      </c>
      <c r="D23" s="56">
        <v>3.2491743901139999E-2</v>
      </c>
    </row>
    <row r="24" spans="2:4">
      <c r="B24" s="54" t="s">
        <v>108</v>
      </c>
      <c r="C24" s="55">
        <v>5014</v>
      </c>
      <c r="D24" s="56">
        <v>0.26707148183658302</v>
      </c>
    </row>
    <row r="25" spans="2:4">
      <c r="B25" s="54" t="s">
        <v>109</v>
      </c>
      <c r="C25" s="55">
        <v>400</v>
      </c>
      <c r="D25" s="56">
        <v>2.1306061574518E-2</v>
      </c>
    </row>
    <row r="26" spans="2:4">
      <c r="B26" s="54" t="s">
        <v>110</v>
      </c>
      <c r="C26" s="55">
        <v>1445</v>
      </c>
      <c r="D26" s="56">
        <v>7.6968147437946E-2</v>
      </c>
    </row>
    <row r="27" spans="2:4">
      <c r="B27" s="54" t="s">
        <v>111</v>
      </c>
      <c r="C27" s="55">
        <v>4831</v>
      </c>
      <c r="D27" s="56">
        <v>0.25732395866624103</v>
      </c>
    </row>
    <row r="28" spans="2:4">
      <c r="B28" s="54" t="s">
        <v>112</v>
      </c>
      <c r="C28" s="55">
        <v>123</v>
      </c>
      <c r="D28" s="56">
        <v>6.551613934164E-3</v>
      </c>
    </row>
    <row r="29" spans="2:4">
      <c r="B29" s="54" t="s">
        <v>113</v>
      </c>
      <c r="C29" s="55">
        <v>119</v>
      </c>
      <c r="D29" s="56">
        <v>6.3385533184189997E-3</v>
      </c>
    </row>
    <row r="30" spans="2:4">
      <c r="B30" s="54" t="s">
        <v>114</v>
      </c>
      <c r="C30" s="55">
        <v>43</v>
      </c>
      <c r="D30" s="56">
        <v>2.2904016192610002E-3</v>
      </c>
    </row>
    <row r="31" spans="2:4">
      <c r="B31" s="54" t="s">
        <v>115</v>
      </c>
      <c r="C31" s="55">
        <v>40</v>
      </c>
      <c r="D31" s="56">
        <v>2.130606157452E-3</v>
      </c>
    </row>
    <row r="32" spans="2:4">
      <c r="B32" s="54" t="s">
        <v>116</v>
      </c>
      <c r="C32" s="55">
        <v>384</v>
      </c>
      <c r="D32" s="56">
        <v>2.0453819111537E-2</v>
      </c>
    </row>
    <row r="33" spans="2:4">
      <c r="B33" s="54" t="s">
        <v>117</v>
      </c>
      <c r="C33" s="55">
        <v>1079</v>
      </c>
      <c r="D33" s="56">
        <v>5.7473101097262003E-2</v>
      </c>
    </row>
    <row r="34" spans="2:4">
      <c r="B34" s="54" t="s">
        <v>118</v>
      </c>
      <c r="C34" s="55">
        <v>14</v>
      </c>
      <c r="D34" s="56">
        <v>7.4571215510799995E-4</v>
      </c>
    </row>
    <row r="35" spans="2:4">
      <c r="B35" s="54" t="s">
        <v>119</v>
      </c>
      <c r="C35" s="55">
        <v>71</v>
      </c>
      <c r="D35" s="56">
        <v>3.7818259294770001E-3</v>
      </c>
    </row>
    <row r="36" spans="2:4">
      <c r="B36" s="54" t="s">
        <v>120</v>
      </c>
      <c r="C36" s="55">
        <v>7</v>
      </c>
      <c r="D36" s="56">
        <v>3.7285607755399997E-4</v>
      </c>
    </row>
    <row r="37" spans="2:4">
      <c r="B37" s="51" t="s">
        <v>321</v>
      </c>
      <c r="C37" s="52">
        <v>18774</v>
      </c>
      <c r="D37" s="53">
        <v>1</v>
      </c>
    </row>
    <row r="38" spans="2:4">
      <c r="C38" s="13"/>
    </row>
    <row r="39" spans="2:4" ht="16.5">
      <c r="B39" s="37" t="s">
        <v>130</v>
      </c>
      <c r="C39" s="45"/>
      <c r="D39" s="45"/>
    </row>
    <row r="40" spans="2:4" ht="16.5">
      <c r="B40" s="39" t="s">
        <v>17</v>
      </c>
      <c r="C40" s="45"/>
      <c r="D40" s="45"/>
    </row>
    <row r="41" spans="2:4" ht="16.5">
      <c r="B41" s="40" t="s">
        <v>44</v>
      </c>
      <c r="C41" s="46"/>
      <c r="D41" s="45"/>
    </row>
    <row r="42" spans="2:4" ht="16.5">
      <c r="B42" s="37" t="s">
        <v>16</v>
      </c>
      <c r="C42" s="46"/>
      <c r="D42" s="45"/>
    </row>
    <row r="43" spans="2:4" ht="16.5">
      <c r="B43" s="37" t="s">
        <v>320</v>
      </c>
      <c r="C43" s="46"/>
      <c r="D43" s="45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  <row r="75" spans="3:3">
      <c r="C75" s="13"/>
    </row>
    <row r="76" spans="3:3">
      <c r="C76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640"/>
  <sheetViews>
    <sheetView showGridLines="0" view="pageBreakPreview" topLeftCell="A621" zoomScaleNormal="100" zoomScaleSheetLayoutView="100" workbookViewId="0">
      <selection activeCell="E640" sqref="E640"/>
    </sheetView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1.45312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92"/>
      <c r="C7" s="92"/>
      <c r="D7" s="92"/>
      <c r="E7" s="92"/>
    </row>
    <row r="8" spans="1:5" s="24" customFormat="1" ht="33" customHeight="1">
      <c r="A8" s="25"/>
      <c r="B8" s="92"/>
      <c r="C8" s="92"/>
      <c r="D8" s="92"/>
      <c r="E8" s="92"/>
    </row>
    <row r="9" spans="1:5" s="17" customFormat="1" ht="40.5" customHeight="1">
      <c r="B9" s="68" t="s">
        <v>27</v>
      </c>
      <c r="C9" s="69" t="s">
        <v>24</v>
      </c>
      <c r="D9" s="70" t="s">
        <v>19</v>
      </c>
      <c r="E9" s="68" t="s">
        <v>18</v>
      </c>
    </row>
    <row r="10" spans="1:5" ht="15" customHeight="1">
      <c r="B10" s="89" t="s">
        <v>97</v>
      </c>
      <c r="C10" s="54" t="s">
        <v>136</v>
      </c>
      <c r="D10" s="55">
        <v>6</v>
      </c>
      <c r="E10" s="56">
        <v>3.1959092361799997E-4</v>
      </c>
    </row>
    <row r="11" spans="1:5" ht="15" customHeight="1">
      <c r="B11" s="90"/>
      <c r="C11" s="54" t="s">
        <v>135</v>
      </c>
      <c r="D11" s="55">
        <v>16</v>
      </c>
      <c r="E11" s="56">
        <v>8.5224246298100002E-4</v>
      </c>
    </row>
    <row r="12" spans="1:5" ht="15" customHeight="1">
      <c r="B12" s="90"/>
      <c r="C12" s="54" t="s">
        <v>132</v>
      </c>
      <c r="D12" s="55">
        <v>10</v>
      </c>
      <c r="E12" s="56">
        <v>5.3265153936299999E-4</v>
      </c>
    </row>
    <row r="13" spans="1:5" ht="15" customHeight="1">
      <c r="B13" s="90"/>
      <c r="C13" s="54" t="s">
        <v>167</v>
      </c>
      <c r="D13" s="55">
        <v>1</v>
      </c>
      <c r="E13" s="56">
        <v>5.3265153936E-5</v>
      </c>
    </row>
    <row r="14" spans="1:5" ht="15" customHeight="1">
      <c r="B14" s="90"/>
      <c r="C14" s="54" t="s">
        <v>153</v>
      </c>
      <c r="D14" s="55">
        <v>1</v>
      </c>
      <c r="E14" s="56">
        <v>5.3265153936E-5</v>
      </c>
    </row>
    <row r="15" spans="1:5" ht="15" customHeight="1">
      <c r="B15" s="90"/>
      <c r="C15" s="54" t="s">
        <v>152</v>
      </c>
      <c r="D15" s="55">
        <v>3</v>
      </c>
      <c r="E15" s="56">
        <v>1.5979546180899999E-4</v>
      </c>
    </row>
    <row r="16" spans="1:5" ht="15" customHeight="1">
      <c r="B16" s="90"/>
      <c r="C16" s="54" t="s">
        <v>138</v>
      </c>
      <c r="D16" s="55">
        <v>3</v>
      </c>
      <c r="E16" s="56">
        <v>1.5979546180899999E-4</v>
      </c>
    </row>
    <row r="17" spans="2:5" ht="15" customHeight="1">
      <c r="B17" s="90"/>
      <c r="C17" s="54" t="s">
        <v>146</v>
      </c>
      <c r="D17" s="55">
        <v>1</v>
      </c>
      <c r="E17" s="56">
        <v>5.3265153936E-5</v>
      </c>
    </row>
    <row r="18" spans="2:5" ht="15" customHeight="1">
      <c r="B18" s="90"/>
      <c r="C18" s="54" t="s">
        <v>137</v>
      </c>
      <c r="D18" s="55">
        <v>4</v>
      </c>
      <c r="E18" s="56">
        <v>2.1306061574499999E-4</v>
      </c>
    </row>
    <row r="19" spans="2:5" ht="15" customHeight="1">
      <c r="B19" s="90"/>
      <c r="C19" s="54" t="s">
        <v>156</v>
      </c>
      <c r="D19" s="55">
        <v>1</v>
      </c>
      <c r="E19" s="56">
        <v>5.3265153936E-5</v>
      </c>
    </row>
    <row r="20" spans="2:5" ht="15" customHeight="1">
      <c r="B20" s="90"/>
      <c r="C20" s="54" t="s">
        <v>143</v>
      </c>
      <c r="D20" s="55">
        <v>3</v>
      </c>
      <c r="E20" s="56">
        <v>1.5979546180899999E-4</v>
      </c>
    </row>
    <row r="21" spans="2:5" ht="15" customHeight="1">
      <c r="B21" s="90"/>
      <c r="C21" s="54" t="s">
        <v>140</v>
      </c>
      <c r="D21" s="55">
        <v>3</v>
      </c>
      <c r="E21" s="56">
        <v>1.5979546180899999E-4</v>
      </c>
    </row>
    <row r="22" spans="2:5" ht="15" customHeight="1">
      <c r="B22" s="90"/>
      <c r="C22" s="54" t="s">
        <v>170</v>
      </c>
      <c r="D22" s="55">
        <v>1</v>
      </c>
      <c r="E22" s="56">
        <v>5.3265153936E-5</v>
      </c>
    </row>
    <row r="23" spans="2:5" ht="15" customHeight="1">
      <c r="B23" s="90"/>
      <c r="C23" s="54" t="s">
        <v>139</v>
      </c>
      <c r="D23" s="55">
        <v>3</v>
      </c>
      <c r="E23" s="56">
        <v>1.5979546180899999E-4</v>
      </c>
    </row>
    <row r="24" spans="2:5" ht="15" customHeight="1">
      <c r="B24" s="90"/>
      <c r="C24" s="54" t="s">
        <v>171</v>
      </c>
      <c r="D24" s="55">
        <v>1</v>
      </c>
      <c r="E24" s="56">
        <v>5.3265153936E-5</v>
      </c>
    </row>
    <row r="25" spans="2:5" ht="15" customHeight="1">
      <c r="B25" s="90"/>
      <c r="C25" s="54" t="s">
        <v>133</v>
      </c>
      <c r="D25" s="55">
        <v>14</v>
      </c>
      <c r="E25" s="56">
        <v>7.4571215510799995E-4</v>
      </c>
    </row>
    <row r="26" spans="2:5" ht="15" customHeight="1">
      <c r="B26" s="90"/>
      <c r="C26" s="54" t="s">
        <v>150</v>
      </c>
      <c r="D26" s="55">
        <v>1</v>
      </c>
      <c r="E26" s="56">
        <v>5.3265153936E-5</v>
      </c>
    </row>
    <row r="27" spans="2:5" ht="15" customHeight="1">
      <c r="B27" s="90"/>
      <c r="C27" s="54" t="s">
        <v>159</v>
      </c>
      <c r="D27" s="55">
        <v>1</v>
      </c>
      <c r="E27" s="56">
        <v>5.3265153936E-5</v>
      </c>
    </row>
    <row r="28" spans="2:5" ht="15" customHeight="1">
      <c r="B28" s="90"/>
      <c r="C28" s="54" t="s">
        <v>134</v>
      </c>
      <c r="D28" s="55">
        <v>4</v>
      </c>
      <c r="E28" s="56">
        <v>2.1306061574499999E-4</v>
      </c>
    </row>
    <row r="29" spans="2:5" ht="15" customHeight="1">
      <c r="B29" s="90"/>
      <c r="C29" s="54" t="s">
        <v>145</v>
      </c>
      <c r="D29" s="55">
        <v>2</v>
      </c>
      <c r="E29" s="56">
        <v>1.06530307873E-4</v>
      </c>
    </row>
    <row r="30" spans="2:5" ht="15" customHeight="1">
      <c r="B30" s="90"/>
      <c r="C30" s="54" t="s">
        <v>131</v>
      </c>
      <c r="D30" s="55">
        <v>20</v>
      </c>
      <c r="E30" s="56">
        <v>1.065303078726E-3</v>
      </c>
    </row>
    <row r="31" spans="2:5" ht="15" customHeight="1">
      <c r="B31" s="90"/>
      <c r="C31" s="54" t="s">
        <v>141</v>
      </c>
      <c r="D31" s="55">
        <v>2</v>
      </c>
      <c r="E31" s="56">
        <v>1.06530307873E-4</v>
      </c>
    </row>
    <row r="32" spans="2:5" ht="15" customHeight="1">
      <c r="B32" s="90"/>
      <c r="C32" s="54" t="s">
        <v>161</v>
      </c>
      <c r="D32" s="55">
        <v>1</v>
      </c>
      <c r="E32" s="56">
        <v>5.3265153936E-5</v>
      </c>
    </row>
    <row r="33" spans="2:5" ht="15" customHeight="1">
      <c r="B33" s="90"/>
      <c r="C33" s="54" t="s">
        <v>148</v>
      </c>
      <c r="D33" s="55">
        <v>1</v>
      </c>
      <c r="E33" s="56">
        <v>5.3265153936E-5</v>
      </c>
    </row>
    <row r="34" spans="2:5" ht="15" customHeight="1">
      <c r="B34" s="91"/>
      <c r="C34" s="65" t="s">
        <v>321</v>
      </c>
      <c r="D34" s="64">
        <v>103</v>
      </c>
      <c r="E34" s="66">
        <v>5.4863108554380003E-3</v>
      </c>
    </row>
    <row r="35" spans="2:5" ht="15" customHeight="1">
      <c r="B35" s="89" t="s">
        <v>121</v>
      </c>
      <c r="C35" s="54" t="s">
        <v>137</v>
      </c>
      <c r="D35" s="55">
        <v>1</v>
      </c>
      <c r="E35" s="56">
        <v>5.3265153936E-5</v>
      </c>
    </row>
    <row r="36" spans="2:5" ht="15" customHeight="1">
      <c r="B36" s="90"/>
      <c r="C36" s="54" t="s">
        <v>133</v>
      </c>
      <c r="D36" s="55">
        <v>1</v>
      </c>
      <c r="E36" s="56">
        <v>5.3265153936E-5</v>
      </c>
    </row>
    <row r="37" spans="2:5" ht="15" customHeight="1">
      <c r="B37" s="91"/>
      <c r="C37" s="65" t="s">
        <v>321</v>
      </c>
      <c r="D37" s="64">
        <v>2</v>
      </c>
      <c r="E37" s="66">
        <v>1.06530307873E-4</v>
      </c>
    </row>
    <row r="38" spans="2:5" ht="15" customHeight="1">
      <c r="B38" s="89" t="s">
        <v>98</v>
      </c>
      <c r="C38" s="54" t="s">
        <v>136</v>
      </c>
      <c r="D38" s="55">
        <v>6</v>
      </c>
      <c r="E38" s="56">
        <v>3.1959092361799997E-4</v>
      </c>
    </row>
    <row r="39" spans="2:5" ht="15" customHeight="1">
      <c r="B39" s="90"/>
      <c r="C39" s="54" t="s">
        <v>135</v>
      </c>
      <c r="D39" s="55">
        <v>5</v>
      </c>
      <c r="E39" s="56">
        <v>2.6632576968100001E-4</v>
      </c>
    </row>
    <row r="40" spans="2:5" ht="15" customHeight="1">
      <c r="B40" s="90"/>
      <c r="C40" s="54" t="s">
        <v>132</v>
      </c>
      <c r="D40" s="55">
        <v>7</v>
      </c>
      <c r="E40" s="56">
        <v>3.7285607755399997E-4</v>
      </c>
    </row>
    <row r="41" spans="2:5" ht="15" customHeight="1">
      <c r="B41" s="90"/>
      <c r="C41" s="54" t="s">
        <v>149</v>
      </c>
      <c r="D41" s="55">
        <v>1</v>
      </c>
      <c r="E41" s="56">
        <v>5.3265153936E-5</v>
      </c>
    </row>
    <row r="42" spans="2:5" ht="15" customHeight="1">
      <c r="B42" s="90"/>
      <c r="C42" s="54" t="s">
        <v>137</v>
      </c>
      <c r="D42" s="55">
        <v>3</v>
      </c>
      <c r="E42" s="56">
        <v>1.5979546180899999E-4</v>
      </c>
    </row>
    <row r="43" spans="2:5" ht="15" customHeight="1">
      <c r="B43" s="90"/>
      <c r="C43" s="54" t="s">
        <v>140</v>
      </c>
      <c r="D43" s="55">
        <v>1</v>
      </c>
      <c r="E43" s="56">
        <v>5.3265153936E-5</v>
      </c>
    </row>
    <row r="44" spans="2:5" ht="15" customHeight="1">
      <c r="B44" s="90"/>
      <c r="C44" s="54" t="s">
        <v>139</v>
      </c>
      <c r="D44" s="55">
        <v>1</v>
      </c>
      <c r="E44" s="56">
        <v>5.3265153936E-5</v>
      </c>
    </row>
    <row r="45" spans="2:5" ht="15" customHeight="1">
      <c r="B45" s="90"/>
      <c r="C45" s="54" t="s">
        <v>133</v>
      </c>
      <c r="D45" s="55">
        <v>4</v>
      </c>
      <c r="E45" s="56">
        <v>2.1306061574499999E-4</v>
      </c>
    </row>
    <row r="46" spans="2:5" ht="15" customHeight="1">
      <c r="B46" s="90"/>
      <c r="C46" s="54" t="s">
        <v>134</v>
      </c>
      <c r="D46" s="55">
        <v>5</v>
      </c>
      <c r="E46" s="56">
        <v>2.6632576968100001E-4</v>
      </c>
    </row>
    <row r="47" spans="2:5" ht="15" customHeight="1">
      <c r="B47" s="90"/>
      <c r="C47" s="54" t="s">
        <v>160</v>
      </c>
      <c r="D47" s="55">
        <v>1</v>
      </c>
      <c r="E47" s="56">
        <v>5.3265153936E-5</v>
      </c>
    </row>
    <row r="48" spans="2:5" ht="15" customHeight="1">
      <c r="B48" s="90"/>
      <c r="C48" s="54" t="s">
        <v>145</v>
      </c>
      <c r="D48" s="55">
        <v>1</v>
      </c>
      <c r="E48" s="56">
        <v>5.3265153936E-5</v>
      </c>
    </row>
    <row r="49" spans="2:5" ht="15" customHeight="1">
      <c r="B49" s="90"/>
      <c r="C49" s="54" t="s">
        <v>131</v>
      </c>
      <c r="D49" s="55">
        <v>8</v>
      </c>
      <c r="E49" s="56">
        <v>4.2612123148999997E-4</v>
      </c>
    </row>
    <row r="50" spans="2:5" ht="15" customHeight="1">
      <c r="B50" s="91"/>
      <c r="C50" s="65" t="s">
        <v>321</v>
      </c>
      <c r="D50" s="64">
        <v>43</v>
      </c>
      <c r="E50" s="66">
        <v>2.2904016192610002E-3</v>
      </c>
    </row>
    <row r="51" spans="2:5" ht="15" customHeight="1">
      <c r="B51" s="89" t="s">
        <v>99</v>
      </c>
      <c r="C51" s="54" t="s">
        <v>136</v>
      </c>
      <c r="D51" s="55">
        <v>6</v>
      </c>
      <c r="E51" s="56">
        <v>3.1959092361799997E-4</v>
      </c>
    </row>
    <row r="52" spans="2:5" ht="15" customHeight="1">
      <c r="B52" s="90"/>
      <c r="C52" s="54" t="s">
        <v>135</v>
      </c>
      <c r="D52" s="55">
        <v>2</v>
      </c>
      <c r="E52" s="56">
        <v>1.06530307873E-4</v>
      </c>
    </row>
    <row r="53" spans="2:5" ht="15" customHeight="1">
      <c r="B53" s="90"/>
      <c r="C53" s="54" t="s">
        <v>132</v>
      </c>
      <c r="D53" s="55">
        <v>8</v>
      </c>
      <c r="E53" s="56">
        <v>4.2612123148999997E-4</v>
      </c>
    </row>
    <row r="54" spans="2:5" ht="15" customHeight="1">
      <c r="B54" s="90"/>
      <c r="C54" s="54" t="s">
        <v>138</v>
      </c>
      <c r="D54" s="55">
        <v>1</v>
      </c>
      <c r="E54" s="56">
        <v>5.3265153936E-5</v>
      </c>
    </row>
    <row r="55" spans="2:5" ht="15" customHeight="1">
      <c r="B55" s="90"/>
      <c r="C55" s="54" t="s">
        <v>151</v>
      </c>
      <c r="D55" s="55">
        <v>1</v>
      </c>
      <c r="E55" s="56">
        <v>5.3265153936E-5</v>
      </c>
    </row>
    <row r="56" spans="2:5" ht="15" customHeight="1">
      <c r="B56" s="90"/>
      <c r="C56" s="54" t="s">
        <v>143</v>
      </c>
      <c r="D56" s="55">
        <v>2</v>
      </c>
      <c r="E56" s="56">
        <v>1.06530307873E-4</v>
      </c>
    </row>
    <row r="57" spans="2:5" ht="15" customHeight="1">
      <c r="B57" s="90"/>
      <c r="C57" s="54" t="s">
        <v>140</v>
      </c>
      <c r="D57" s="55">
        <v>2</v>
      </c>
      <c r="E57" s="56">
        <v>1.06530307873E-4</v>
      </c>
    </row>
    <row r="58" spans="2:5" ht="15" customHeight="1">
      <c r="B58" s="90"/>
      <c r="C58" s="54" t="s">
        <v>142</v>
      </c>
      <c r="D58" s="55">
        <v>1</v>
      </c>
      <c r="E58" s="56">
        <v>5.3265153936E-5</v>
      </c>
    </row>
    <row r="59" spans="2:5" ht="15" customHeight="1">
      <c r="B59" s="90"/>
      <c r="C59" s="54" t="s">
        <v>139</v>
      </c>
      <c r="D59" s="55">
        <v>1</v>
      </c>
      <c r="E59" s="56">
        <v>5.3265153936E-5</v>
      </c>
    </row>
    <row r="60" spans="2:5" ht="15" customHeight="1">
      <c r="B60" s="90"/>
      <c r="C60" s="54" t="s">
        <v>133</v>
      </c>
      <c r="D60" s="55">
        <v>5</v>
      </c>
      <c r="E60" s="56">
        <v>2.6632576968100001E-4</v>
      </c>
    </row>
    <row r="61" spans="2:5" ht="15" customHeight="1">
      <c r="B61" s="90"/>
      <c r="C61" s="54" t="s">
        <v>134</v>
      </c>
      <c r="D61" s="55">
        <v>9</v>
      </c>
      <c r="E61" s="56">
        <v>4.7938638542699999E-4</v>
      </c>
    </row>
    <row r="62" spans="2:5" ht="15" customHeight="1">
      <c r="B62" s="90"/>
      <c r="C62" s="54" t="s">
        <v>164</v>
      </c>
      <c r="D62" s="55">
        <v>1</v>
      </c>
      <c r="E62" s="56">
        <v>5.3265153936E-5</v>
      </c>
    </row>
    <row r="63" spans="2:5" ht="15" customHeight="1">
      <c r="B63" s="90"/>
      <c r="C63" s="54" t="s">
        <v>145</v>
      </c>
      <c r="D63" s="55">
        <v>1</v>
      </c>
      <c r="E63" s="56">
        <v>5.3265153936E-5</v>
      </c>
    </row>
    <row r="64" spans="2:5" ht="15" customHeight="1">
      <c r="B64" s="90"/>
      <c r="C64" s="54" t="s">
        <v>131</v>
      </c>
      <c r="D64" s="55">
        <v>11</v>
      </c>
      <c r="E64" s="56">
        <v>5.8591669329900004E-4</v>
      </c>
    </row>
    <row r="65" spans="2:5" ht="15" customHeight="1">
      <c r="B65" s="91"/>
      <c r="C65" s="65" t="s">
        <v>321</v>
      </c>
      <c r="D65" s="64">
        <v>51</v>
      </c>
      <c r="E65" s="66">
        <v>2.7165228507509999E-3</v>
      </c>
    </row>
    <row r="66" spans="2:5" ht="15" customHeight="1">
      <c r="B66" s="89" t="s">
        <v>100</v>
      </c>
      <c r="C66" s="54" t="s">
        <v>136</v>
      </c>
      <c r="D66" s="55">
        <v>11</v>
      </c>
      <c r="E66" s="56">
        <v>5.8591669329900004E-4</v>
      </c>
    </row>
    <row r="67" spans="2:5" ht="15" customHeight="1">
      <c r="B67" s="90"/>
      <c r="C67" s="54" t="s">
        <v>135</v>
      </c>
      <c r="D67" s="55">
        <v>20</v>
      </c>
      <c r="E67" s="56">
        <v>1.065303078726E-3</v>
      </c>
    </row>
    <row r="68" spans="2:5" ht="15" customHeight="1">
      <c r="B68" s="90"/>
      <c r="C68" s="54" t="s">
        <v>132</v>
      </c>
      <c r="D68" s="55">
        <v>32</v>
      </c>
      <c r="E68" s="56">
        <v>1.704484925961E-3</v>
      </c>
    </row>
    <row r="69" spans="2:5" ht="15" customHeight="1">
      <c r="B69" s="90"/>
      <c r="C69" s="54" t="s">
        <v>149</v>
      </c>
      <c r="D69" s="55">
        <v>2</v>
      </c>
      <c r="E69" s="56">
        <v>1.06530307873E-4</v>
      </c>
    </row>
    <row r="70" spans="2:5" ht="15" customHeight="1">
      <c r="B70" s="90"/>
      <c r="C70" s="54" t="s">
        <v>153</v>
      </c>
      <c r="D70" s="55">
        <v>2</v>
      </c>
      <c r="E70" s="56">
        <v>1.06530307873E-4</v>
      </c>
    </row>
    <row r="71" spans="2:5" ht="15" customHeight="1">
      <c r="B71" s="90"/>
      <c r="C71" s="54" t="s">
        <v>138</v>
      </c>
      <c r="D71" s="55">
        <v>5</v>
      </c>
      <c r="E71" s="56">
        <v>2.6632576968100001E-4</v>
      </c>
    </row>
    <row r="72" spans="2:5" ht="15" customHeight="1">
      <c r="B72" s="90"/>
      <c r="C72" s="54" t="s">
        <v>137</v>
      </c>
      <c r="D72" s="55">
        <v>11</v>
      </c>
      <c r="E72" s="56">
        <v>5.8591669329900004E-4</v>
      </c>
    </row>
    <row r="73" spans="2:5" ht="15" customHeight="1">
      <c r="B73" s="90"/>
      <c r="C73" s="54" t="s">
        <v>157</v>
      </c>
      <c r="D73" s="55">
        <v>1</v>
      </c>
      <c r="E73" s="56">
        <v>5.3265153936E-5</v>
      </c>
    </row>
    <row r="74" spans="2:5" ht="15" customHeight="1">
      <c r="B74" s="90"/>
      <c r="C74" s="54" t="s">
        <v>143</v>
      </c>
      <c r="D74" s="55">
        <v>1</v>
      </c>
      <c r="E74" s="56">
        <v>5.3265153936E-5</v>
      </c>
    </row>
    <row r="75" spans="2:5" ht="15" customHeight="1">
      <c r="B75" s="90"/>
      <c r="C75" s="54" t="s">
        <v>140</v>
      </c>
      <c r="D75" s="55">
        <v>2</v>
      </c>
      <c r="E75" s="56">
        <v>1.06530307873E-4</v>
      </c>
    </row>
    <row r="76" spans="2:5" ht="15" customHeight="1">
      <c r="B76" s="90"/>
      <c r="C76" s="54" t="s">
        <v>142</v>
      </c>
      <c r="D76" s="55">
        <v>3</v>
      </c>
      <c r="E76" s="56">
        <v>1.5979546180899999E-4</v>
      </c>
    </row>
    <row r="77" spans="2:5" ht="15" customHeight="1">
      <c r="B77" s="90"/>
      <c r="C77" s="54" t="s">
        <v>139</v>
      </c>
      <c r="D77" s="55">
        <v>3</v>
      </c>
      <c r="E77" s="56">
        <v>1.5979546180899999E-4</v>
      </c>
    </row>
    <row r="78" spans="2:5" ht="15" customHeight="1">
      <c r="B78" s="90"/>
      <c r="C78" s="54" t="s">
        <v>133</v>
      </c>
      <c r="D78" s="55">
        <v>29</v>
      </c>
      <c r="E78" s="56">
        <v>1.544689464153E-3</v>
      </c>
    </row>
    <row r="79" spans="2:5" ht="15" customHeight="1">
      <c r="B79" s="90"/>
      <c r="C79" s="54" t="s">
        <v>134</v>
      </c>
      <c r="D79" s="55">
        <v>23</v>
      </c>
      <c r="E79" s="56">
        <v>1.225098540535E-3</v>
      </c>
    </row>
    <row r="80" spans="2:5" ht="15" customHeight="1">
      <c r="B80" s="90"/>
      <c r="C80" s="54" t="s">
        <v>160</v>
      </c>
      <c r="D80" s="55">
        <v>1</v>
      </c>
      <c r="E80" s="56">
        <v>5.3265153936E-5</v>
      </c>
    </row>
    <row r="81" spans="2:5" ht="15" customHeight="1">
      <c r="B81" s="90"/>
      <c r="C81" s="54" t="s">
        <v>145</v>
      </c>
      <c r="D81" s="55">
        <v>1</v>
      </c>
      <c r="E81" s="56">
        <v>5.3265153936E-5</v>
      </c>
    </row>
    <row r="82" spans="2:5" ht="15" customHeight="1">
      <c r="B82" s="90"/>
      <c r="C82" s="54" t="s">
        <v>131</v>
      </c>
      <c r="D82" s="55">
        <v>35</v>
      </c>
      <c r="E82" s="56">
        <v>1.86428038777E-3</v>
      </c>
    </row>
    <row r="83" spans="2:5" ht="15" customHeight="1">
      <c r="B83" s="90"/>
      <c r="C83" s="54" t="s">
        <v>141</v>
      </c>
      <c r="D83" s="55">
        <v>2</v>
      </c>
      <c r="E83" s="56">
        <v>1.06530307873E-4</v>
      </c>
    </row>
    <row r="84" spans="2:5" ht="15" customHeight="1">
      <c r="B84" s="90"/>
      <c r="C84" s="54" t="s">
        <v>147</v>
      </c>
      <c r="D84" s="55">
        <v>1</v>
      </c>
      <c r="E84" s="56">
        <v>5.3265153936E-5</v>
      </c>
    </row>
    <row r="85" spans="2:5" ht="15" customHeight="1">
      <c r="B85" s="91"/>
      <c r="C85" s="65" t="s">
        <v>321</v>
      </c>
      <c r="D85" s="64">
        <v>185</v>
      </c>
      <c r="E85" s="66">
        <v>9.8540534782150004E-3</v>
      </c>
    </row>
    <row r="86" spans="2:5" ht="15" customHeight="1">
      <c r="B86" s="89" t="s">
        <v>101</v>
      </c>
      <c r="C86" s="54" t="s">
        <v>136</v>
      </c>
      <c r="D86" s="55">
        <v>12</v>
      </c>
      <c r="E86" s="56">
        <v>6.3918184723599995E-4</v>
      </c>
    </row>
    <row r="87" spans="2:5" ht="15" customHeight="1">
      <c r="B87" s="90"/>
      <c r="C87" s="54" t="s">
        <v>144</v>
      </c>
      <c r="D87" s="55">
        <v>2</v>
      </c>
      <c r="E87" s="56">
        <v>1.06530307873E-4</v>
      </c>
    </row>
    <row r="88" spans="2:5" ht="15" customHeight="1">
      <c r="B88" s="90"/>
      <c r="C88" s="54" t="s">
        <v>135</v>
      </c>
      <c r="D88" s="55">
        <v>10</v>
      </c>
      <c r="E88" s="56">
        <v>5.3265153936299999E-4</v>
      </c>
    </row>
    <row r="89" spans="2:5" ht="15" customHeight="1">
      <c r="B89" s="90"/>
      <c r="C89" s="54" t="s">
        <v>132</v>
      </c>
      <c r="D89" s="55">
        <v>15</v>
      </c>
      <c r="E89" s="56">
        <v>7.98977309044E-4</v>
      </c>
    </row>
    <row r="90" spans="2:5" ht="15" customHeight="1">
      <c r="B90" s="90"/>
      <c r="C90" s="54" t="s">
        <v>153</v>
      </c>
      <c r="D90" s="55">
        <v>1</v>
      </c>
      <c r="E90" s="56">
        <v>5.3265153936E-5</v>
      </c>
    </row>
    <row r="91" spans="2:5" ht="15" customHeight="1">
      <c r="B91" s="90"/>
      <c r="C91" s="54" t="s">
        <v>138</v>
      </c>
      <c r="D91" s="55">
        <v>3</v>
      </c>
      <c r="E91" s="56">
        <v>1.5979546180899999E-4</v>
      </c>
    </row>
    <row r="92" spans="2:5" ht="15" customHeight="1">
      <c r="B92" s="90"/>
      <c r="C92" s="54" t="s">
        <v>151</v>
      </c>
      <c r="D92" s="55">
        <v>1</v>
      </c>
      <c r="E92" s="56">
        <v>5.3265153936E-5</v>
      </c>
    </row>
    <row r="93" spans="2:5" ht="15" customHeight="1">
      <c r="B93" s="90"/>
      <c r="C93" s="54" t="s">
        <v>137</v>
      </c>
      <c r="D93" s="55">
        <v>12</v>
      </c>
      <c r="E93" s="56">
        <v>6.3918184723599995E-4</v>
      </c>
    </row>
    <row r="94" spans="2:5" ht="15" customHeight="1">
      <c r="B94" s="90"/>
      <c r="C94" s="54" t="s">
        <v>157</v>
      </c>
      <c r="D94" s="55">
        <v>1</v>
      </c>
      <c r="E94" s="56">
        <v>5.3265153936E-5</v>
      </c>
    </row>
    <row r="95" spans="2:5" ht="15" customHeight="1">
      <c r="B95" s="90"/>
      <c r="C95" s="54" t="s">
        <v>143</v>
      </c>
      <c r="D95" s="55">
        <v>1</v>
      </c>
      <c r="E95" s="56">
        <v>5.3265153936E-5</v>
      </c>
    </row>
    <row r="96" spans="2:5" ht="15" customHeight="1">
      <c r="B96" s="90"/>
      <c r="C96" s="54" t="s">
        <v>154</v>
      </c>
      <c r="D96" s="55">
        <v>1</v>
      </c>
      <c r="E96" s="56">
        <v>5.3265153936E-5</v>
      </c>
    </row>
    <row r="97" spans="2:5" ht="15" customHeight="1">
      <c r="B97" s="90"/>
      <c r="C97" s="54" t="s">
        <v>140</v>
      </c>
      <c r="D97" s="55">
        <v>1</v>
      </c>
      <c r="E97" s="56">
        <v>5.3265153936E-5</v>
      </c>
    </row>
    <row r="98" spans="2:5" ht="15" customHeight="1">
      <c r="B98" s="90"/>
      <c r="C98" s="54" t="s">
        <v>142</v>
      </c>
      <c r="D98" s="55">
        <v>2</v>
      </c>
      <c r="E98" s="56">
        <v>1.06530307873E-4</v>
      </c>
    </row>
    <row r="99" spans="2:5" ht="15" customHeight="1">
      <c r="B99" s="90"/>
      <c r="C99" s="54" t="s">
        <v>139</v>
      </c>
      <c r="D99" s="55">
        <v>5</v>
      </c>
      <c r="E99" s="56">
        <v>2.6632576968100001E-4</v>
      </c>
    </row>
    <row r="100" spans="2:5" ht="15" customHeight="1">
      <c r="B100" s="90"/>
      <c r="C100" s="54" t="s">
        <v>133</v>
      </c>
      <c r="D100" s="55">
        <v>9</v>
      </c>
      <c r="E100" s="56">
        <v>4.7938638542699999E-4</v>
      </c>
    </row>
    <row r="101" spans="2:5" ht="15" customHeight="1">
      <c r="B101" s="90"/>
      <c r="C101" s="54" t="s">
        <v>163</v>
      </c>
      <c r="D101" s="55">
        <v>1</v>
      </c>
      <c r="E101" s="56">
        <v>5.3265153936E-5</v>
      </c>
    </row>
    <row r="102" spans="2:5" ht="15" customHeight="1">
      <c r="B102" s="90"/>
      <c r="C102" s="54" t="s">
        <v>150</v>
      </c>
      <c r="D102" s="55">
        <v>2</v>
      </c>
      <c r="E102" s="56">
        <v>1.06530307873E-4</v>
      </c>
    </row>
    <row r="103" spans="2:5" ht="15" customHeight="1">
      <c r="B103" s="90"/>
      <c r="C103" s="54" t="s">
        <v>159</v>
      </c>
      <c r="D103" s="55">
        <v>1</v>
      </c>
      <c r="E103" s="56">
        <v>5.3265153936E-5</v>
      </c>
    </row>
    <row r="104" spans="2:5" ht="15" customHeight="1">
      <c r="B104" s="90"/>
      <c r="C104" s="54" t="s">
        <v>134</v>
      </c>
      <c r="D104" s="55">
        <v>16</v>
      </c>
      <c r="E104" s="56">
        <v>8.5224246298100002E-4</v>
      </c>
    </row>
    <row r="105" spans="2:5" ht="15" customHeight="1">
      <c r="B105" s="90"/>
      <c r="C105" s="54" t="s">
        <v>145</v>
      </c>
      <c r="D105" s="55">
        <v>1</v>
      </c>
      <c r="E105" s="56">
        <v>5.3265153936E-5</v>
      </c>
    </row>
    <row r="106" spans="2:5" ht="15" customHeight="1">
      <c r="B106" s="90"/>
      <c r="C106" s="54" t="s">
        <v>131</v>
      </c>
      <c r="D106" s="55">
        <v>30</v>
      </c>
      <c r="E106" s="56">
        <v>1.5979546180890001E-3</v>
      </c>
    </row>
    <row r="107" spans="2:5" ht="15" customHeight="1">
      <c r="B107" s="90"/>
      <c r="C107" s="54" t="s">
        <v>141</v>
      </c>
      <c r="D107" s="55">
        <v>1</v>
      </c>
      <c r="E107" s="56">
        <v>5.3265153936E-5</v>
      </c>
    </row>
    <row r="108" spans="2:5" ht="15" customHeight="1">
      <c r="B108" s="90"/>
      <c r="C108" s="54" t="s">
        <v>148</v>
      </c>
      <c r="D108" s="55">
        <v>1</v>
      </c>
      <c r="E108" s="56">
        <v>5.3265153936E-5</v>
      </c>
    </row>
    <row r="109" spans="2:5" ht="15" customHeight="1">
      <c r="B109" s="91"/>
      <c r="C109" s="65" t="s">
        <v>321</v>
      </c>
      <c r="D109" s="64">
        <v>129</v>
      </c>
      <c r="E109" s="66">
        <v>6.8712048577819996E-3</v>
      </c>
    </row>
    <row r="110" spans="2:5" ht="15" customHeight="1">
      <c r="B110" s="89" t="s">
        <v>102</v>
      </c>
      <c r="C110" s="54" t="s">
        <v>158</v>
      </c>
      <c r="D110" s="55">
        <v>2</v>
      </c>
      <c r="E110" s="56">
        <v>1.06530307873E-4</v>
      </c>
    </row>
    <row r="111" spans="2:5" ht="15" customHeight="1">
      <c r="B111" s="90"/>
      <c r="C111" s="54" t="s">
        <v>136</v>
      </c>
      <c r="D111" s="55">
        <v>14</v>
      </c>
      <c r="E111" s="56">
        <v>7.4571215510799995E-4</v>
      </c>
    </row>
    <row r="112" spans="2:5" ht="15" customHeight="1">
      <c r="B112" s="90"/>
      <c r="C112" s="54" t="s">
        <v>144</v>
      </c>
      <c r="D112" s="55">
        <v>3</v>
      </c>
      <c r="E112" s="56">
        <v>1.5979546180899999E-4</v>
      </c>
    </row>
    <row r="113" spans="2:5" ht="15" customHeight="1">
      <c r="B113" s="90"/>
      <c r="C113" s="54" t="s">
        <v>135</v>
      </c>
      <c r="D113" s="55">
        <v>14</v>
      </c>
      <c r="E113" s="56">
        <v>7.4571215510799995E-4</v>
      </c>
    </row>
    <row r="114" spans="2:5" ht="15" customHeight="1">
      <c r="B114" s="90"/>
      <c r="C114" s="54" t="s">
        <v>132</v>
      </c>
      <c r="D114" s="55">
        <v>38</v>
      </c>
      <c r="E114" s="56">
        <v>2.0240758495790002E-3</v>
      </c>
    </row>
    <row r="115" spans="2:5" ht="15" customHeight="1">
      <c r="B115" s="90"/>
      <c r="C115" s="54" t="s">
        <v>167</v>
      </c>
      <c r="D115" s="55">
        <v>1</v>
      </c>
      <c r="E115" s="56">
        <v>5.3265153936E-5</v>
      </c>
    </row>
    <row r="116" spans="2:5" ht="15" customHeight="1">
      <c r="B116" s="90"/>
      <c r="C116" s="54" t="s">
        <v>149</v>
      </c>
      <c r="D116" s="55">
        <v>1</v>
      </c>
      <c r="E116" s="56">
        <v>5.3265153936E-5</v>
      </c>
    </row>
    <row r="117" spans="2:5" ht="15" customHeight="1">
      <c r="B117" s="90"/>
      <c r="C117" s="54" t="s">
        <v>152</v>
      </c>
      <c r="D117" s="55">
        <v>1</v>
      </c>
      <c r="E117" s="56">
        <v>5.3265153936E-5</v>
      </c>
    </row>
    <row r="118" spans="2:5" ht="15" customHeight="1">
      <c r="B118" s="90"/>
      <c r="C118" s="54" t="s">
        <v>138</v>
      </c>
      <c r="D118" s="55">
        <v>1</v>
      </c>
      <c r="E118" s="56">
        <v>5.3265153936E-5</v>
      </c>
    </row>
    <row r="119" spans="2:5" ht="15" customHeight="1">
      <c r="B119" s="90"/>
      <c r="C119" s="54" t="s">
        <v>151</v>
      </c>
      <c r="D119" s="55">
        <v>1</v>
      </c>
      <c r="E119" s="56">
        <v>5.3265153936E-5</v>
      </c>
    </row>
    <row r="120" spans="2:5" ht="15" customHeight="1">
      <c r="B120" s="90"/>
      <c r="C120" s="54" t="s">
        <v>137</v>
      </c>
      <c r="D120" s="55">
        <v>15</v>
      </c>
      <c r="E120" s="56">
        <v>7.98977309044E-4</v>
      </c>
    </row>
    <row r="121" spans="2:5" ht="15" customHeight="1">
      <c r="B121" s="90"/>
      <c r="C121" s="54" t="s">
        <v>143</v>
      </c>
      <c r="D121" s="55">
        <v>1</v>
      </c>
      <c r="E121" s="56">
        <v>5.3265153936E-5</v>
      </c>
    </row>
    <row r="122" spans="2:5" ht="15" customHeight="1">
      <c r="B122" s="90"/>
      <c r="C122" s="54" t="s">
        <v>140</v>
      </c>
      <c r="D122" s="55">
        <v>7</v>
      </c>
      <c r="E122" s="56">
        <v>3.7285607755399997E-4</v>
      </c>
    </row>
    <row r="123" spans="2:5" ht="15" customHeight="1">
      <c r="B123" s="90"/>
      <c r="C123" s="54" t="s">
        <v>142</v>
      </c>
      <c r="D123" s="55">
        <v>3</v>
      </c>
      <c r="E123" s="56">
        <v>1.5979546180899999E-4</v>
      </c>
    </row>
    <row r="124" spans="2:5" ht="15" customHeight="1">
      <c r="B124" s="90"/>
      <c r="C124" s="54" t="s">
        <v>139</v>
      </c>
      <c r="D124" s="55">
        <v>5</v>
      </c>
      <c r="E124" s="56">
        <v>2.6632576968100001E-4</v>
      </c>
    </row>
    <row r="125" spans="2:5" ht="15" customHeight="1">
      <c r="B125" s="90"/>
      <c r="C125" s="54" t="s">
        <v>133</v>
      </c>
      <c r="D125" s="55">
        <v>27</v>
      </c>
      <c r="E125" s="56">
        <v>1.4381591562800001E-3</v>
      </c>
    </row>
    <row r="126" spans="2:5" ht="15" customHeight="1">
      <c r="B126" s="90"/>
      <c r="C126" s="54" t="s">
        <v>163</v>
      </c>
      <c r="D126" s="55">
        <v>2</v>
      </c>
      <c r="E126" s="56">
        <v>1.06530307873E-4</v>
      </c>
    </row>
    <row r="127" spans="2:5" ht="15" customHeight="1">
      <c r="B127" s="90"/>
      <c r="C127" s="54" t="s">
        <v>150</v>
      </c>
      <c r="D127" s="55">
        <v>1</v>
      </c>
      <c r="E127" s="56">
        <v>5.3265153936E-5</v>
      </c>
    </row>
    <row r="128" spans="2:5" ht="15" customHeight="1">
      <c r="B128" s="90"/>
      <c r="C128" s="54" t="s">
        <v>159</v>
      </c>
      <c r="D128" s="55">
        <v>2</v>
      </c>
      <c r="E128" s="56">
        <v>1.06530307873E-4</v>
      </c>
    </row>
    <row r="129" spans="2:5" ht="15" customHeight="1">
      <c r="B129" s="90"/>
      <c r="C129" s="54" t="s">
        <v>134</v>
      </c>
      <c r="D129" s="55">
        <v>15</v>
      </c>
      <c r="E129" s="56">
        <v>7.98977309044E-4</v>
      </c>
    </row>
    <row r="130" spans="2:5" ht="15" customHeight="1">
      <c r="B130" s="90"/>
      <c r="C130" s="54" t="s">
        <v>145</v>
      </c>
      <c r="D130" s="55">
        <v>3</v>
      </c>
      <c r="E130" s="56">
        <v>1.5979546180899999E-4</v>
      </c>
    </row>
    <row r="131" spans="2:5" ht="15" customHeight="1">
      <c r="B131" s="90"/>
      <c r="C131" s="54" t="s">
        <v>131</v>
      </c>
      <c r="D131" s="55">
        <v>66</v>
      </c>
      <c r="E131" s="56">
        <v>3.5155001597950001E-3</v>
      </c>
    </row>
    <row r="132" spans="2:5" ht="15" customHeight="1">
      <c r="B132" s="90"/>
      <c r="C132" s="54" t="s">
        <v>141</v>
      </c>
      <c r="D132" s="55">
        <v>2</v>
      </c>
      <c r="E132" s="56">
        <v>1.06530307873E-4</v>
      </c>
    </row>
    <row r="133" spans="2:5" ht="15" customHeight="1">
      <c r="B133" s="90"/>
      <c r="C133" s="54" t="s">
        <v>161</v>
      </c>
      <c r="D133" s="55">
        <v>1</v>
      </c>
      <c r="E133" s="56">
        <v>5.3265153936E-5</v>
      </c>
    </row>
    <row r="134" spans="2:5" ht="15" customHeight="1">
      <c r="B134" s="90"/>
      <c r="C134" s="54" t="s">
        <v>148</v>
      </c>
      <c r="D134" s="55">
        <v>2</v>
      </c>
      <c r="E134" s="56">
        <v>1.06530307873E-4</v>
      </c>
    </row>
    <row r="135" spans="2:5" ht="15" customHeight="1">
      <c r="B135" s="91"/>
      <c r="C135" s="65" t="s">
        <v>321</v>
      </c>
      <c r="D135" s="64">
        <v>228</v>
      </c>
      <c r="E135" s="66">
        <v>1.2144455097475E-2</v>
      </c>
    </row>
    <row r="136" spans="2:5" ht="15" customHeight="1">
      <c r="B136" s="89" t="s">
        <v>103</v>
      </c>
      <c r="C136" s="54" t="s">
        <v>136</v>
      </c>
      <c r="D136" s="55">
        <v>102</v>
      </c>
      <c r="E136" s="56">
        <v>5.4330457015019998E-3</v>
      </c>
    </row>
    <row r="137" spans="2:5" ht="15" customHeight="1">
      <c r="B137" s="90"/>
      <c r="C137" s="54" t="s">
        <v>144</v>
      </c>
      <c r="D137" s="55">
        <v>5</v>
      </c>
      <c r="E137" s="56">
        <v>2.6632576968100001E-4</v>
      </c>
    </row>
    <row r="138" spans="2:5" ht="15" customHeight="1">
      <c r="B138" s="90"/>
      <c r="C138" s="54" t="s">
        <v>135</v>
      </c>
      <c r="D138" s="55">
        <v>98</v>
      </c>
      <c r="E138" s="56">
        <v>5.2199850857570004E-3</v>
      </c>
    </row>
    <row r="139" spans="2:5" ht="15" customHeight="1">
      <c r="B139" s="90"/>
      <c r="C139" s="54" t="s">
        <v>132</v>
      </c>
      <c r="D139" s="55">
        <v>154</v>
      </c>
      <c r="E139" s="56">
        <v>8.2028337061889993E-3</v>
      </c>
    </row>
    <row r="140" spans="2:5" ht="15" customHeight="1">
      <c r="B140" s="90"/>
      <c r="C140" s="54" t="s">
        <v>169</v>
      </c>
      <c r="D140" s="55">
        <v>1</v>
      </c>
      <c r="E140" s="56">
        <v>5.3265153936E-5</v>
      </c>
    </row>
    <row r="141" spans="2:5" ht="15" customHeight="1">
      <c r="B141" s="90"/>
      <c r="C141" s="54" t="s">
        <v>149</v>
      </c>
      <c r="D141" s="55">
        <v>7</v>
      </c>
      <c r="E141" s="56">
        <v>3.7285607755399997E-4</v>
      </c>
    </row>
    <row r="142" spans="2:5" ht="15" customHeight="1">
      <c r="B142" s="90"/>
      <c r="C142" s="54" t="s">
        <v>153</v>
      </c>
      <c r="D142" s="55">
        <v>3</v>
      </c>
      <c r="E142" s="56">
        <v>1.5979546180899999E-4</v>
      </c>
    </row>
    <row r="143" spans="2:5" ht="15" customHeight="1">
      <c r="B143" s="90"/>
      <c r="C143" s="54" t="s">
        <v>152</v>
      </c>
      <c r="D143" s="55">
        <v>5</v>
      </c>
      <c r="E143" s="56">
        <v>2.6632576968100001E-4</v>
      </c>
    </row>
    <row r="144" spans="2:5" ht="15" customHeight="1">
      <c r="B144" s="90"/>
      <c r="C144" s="54" t="s">
        <v>138</v>
      </c>
      <c r="D144" s="55">
        <v>18</v>
      </c>
      <c r="E144" s="56">
        <v>9.5877277085300002E-4</v>
      </c>
    </row>
    <row r="145" spans="2:5" ht="15" customHeight="1">
      <c r="B145" s="90"/>
      <c r="C145" s="54" t="s">
        <v>146</v>
      </c>
      <c r="D145" s="55">
        <v>6</v>
      </c>
      <c r="E145" s="56">
        <v>3.1959092361799997E-4</v>
      </c>
    </row>
    <row r="146" spans="2:5" ht="15" customHeight="1">
      <c r="B146" s="90"/>
      <c r="C146" s="54" t="s">
        <v>151</v>
      </c>
      <c r="D146" s="55">
        <v>2</v>
      </c>
      <c r="E146" s="56">
        <v>1.06530307873E-4</v>
      </c>
    </row>
    <row r="147" spans="2:5" ht="15" customHeight="1">
      <c r="B147" s="90"/>
      <c r="C147" s="54" t="s">
        <v>137</v>
      </c>
      <c r="D147" s="55">
        <v>85</v>
      </c>
      <c r="E147" s="56">
        <v>4.5275380845849998E-3</v>
      </c>
    </row>
    <row r="148" spans="2:5" ht="15" customHeight="1">
      <c r="B148" s="90"/>
      <c r="C148" s="54" t="s">
        <v>157</v>
      </c>
      <c r="D148" s="55">
        <v>3</v>
      </c>
      <c r="E148" s="56">
        <v>1.5979546180899999E-4</v>
      </c>
    </row>
    <row r="149" spans="2:5" ht="15" customHeight="1">
      <c r="B149" s="90"/>
      <c r="C149" s="54" t="s">
        <v>155</v>
      </c>
      <c r="D149" s="55">
        <v>3</v>
      </c>
      <c r="E149" s="56">
        <v>1.5979546180899999E-4</v>
      </c>
    </row>
    <row r="150" spans="2:5" ht="15" customHeight="1">
      <c r="B150" s="90"/>
      <c r="C150" s="54" t="s">
        <v>156</v>
      </c>
      <c r="D150" s="55">
        <v>3</v>
      </c>
      <c r="E150" s="56">
        <v>1.5979546180899999E-4</v>
      </c>
    </row>
    <row r="151" spans="2:5" ht="15" customHeight="1">
      <c r="B151" s="90"/>
      <c r="C151" s="54" t="s">
        <v>143</v>
      </c>
      <c r="D151" s="55">
        <v>2</v>
      </c>
      <c r="E151" s="56">
        <v>1.06530307873E-4</v>
      </c>
    </row>
    <row r="152" spans="2:5" ht="15" customHeight="1">
      <c r="B152" s="90"/>
      <c r="C152" s="54" t="s">
        <v>154</v>
      </c>
      <c r="D152" s="55">
        <v>2</v>
      </c>
      <c r="E152" s="56">
        <v>1.06530307873E-4</v>
      </c>
    </row>
    <row r="153" spans="2:5" ht="15" customHeight="1">
      <c r="B153" s="90"/>
      <c r="C153" s="54" t="s">
        <v>140</v>
      </c>
      <c r="D153" s="55">
        <v>23</v>
      </c>
      <c r="E153" s="56">
        <v>1.225098540535E-3</v>
      </c>
    </row>
    <row r="154" spans="2:5" ht="15" customHeight="1">
      <c r="B154" s="90"/>
      <c r="C154" s="54" t="s">
        <v>142</v>
      </c>
      <c r="D154" s="55">
        <v>13</v>
      </c>
      <c r="E154" s="56">
        <v>6.92447001172E-4</v>
      </c>
    </row>
    <row r="155" spans="2:5" ht="15" customHeight="1">
      <c r="B155" s="90"/>
      <c r="C155" s="54" t="s">
        <v>139</v>
      </c>
      <c r="D155" s="55">
        <v>32</v>
      </c>
      <c r="E155" s="56">
        <v>1.704484925961E-3</v>
      </c>
    </row>
    <row r="156" spans="2:5" ht="15" customHeight="1">
      <c r="B156" s="90"/>
      <c r="C156" s="54" t="s">
        <v>133</v>
      </c>
      <c r="D156" s="55">
        <v>131</v>
      </c>
      <c r="E156" s="56">
        <v>6.9777351656549998E-3</v>
      </c>
    </row>
    <row r="157" spans="2:5" ht="15" customHeight="1">
      <c r="B157" s="90"/>
      <c r="C157" s="54" t="s">
        <v>150</v>
      </c>
      <c r="D157" s="55">
        <v>5</v>
      </c>
      <c r="E157" s="56">
        <v>2.6632576968100001E-4</v>
      </c>
    </row>
    <row r="158" spans="2:5" ht="15" customHeight="1">
      <c r="B158" s="90"/>
      <c r="C158" s="54" t="s">
        <v>159</v>
      </c>
      <c r="D158" s="55">
        <v>1</v>
      </c>
      <c r="E158" s="56">
        <v>5.3265153936E-5</v>
      </c>
    </row>
    <row r="159" spans="2:5" ht="15" customHeight="1">
      <c r="B159" s="90"/>
      <c r="C159" s="54" t="s">
        <v>134</v>
      </c>
      <c r="D159" s="55">
        <v>80</v>
      </c>
      <c r="E159" s="56">
        <v>4.2612123149039999E-3</v>
      </c>
    </row>
    <row r="160" spans="2:5" ht="15" customHeight="1">
      <c r="B160" s="90"/>
      <c r="C160" s="54" t="s">
        <v>168</v>
      </c>
      <c r="D160" s="55">
        <v>1</v>
      </c>
      <c r="E160" s="56">
        <v>5.3265153936E-5</v>
      </c>
    </row>
    <row r="161" spans="2:5" ht="15" customHeight="1">
      <c r="B161" s="90"/>
      <c r="C161" s="54" t="s">
        <v>160</v>
      </c>
      <c r="D161" s="55">
        <v>2</v>
      </c>
      <c r="E161" s="56">
        <v>1.06530307873E-4</v>
      </c>
    </row>
    <row r="162" spans="2:5" ht="15" customHeight="1">
      <c r="B162" s="90"/>
      <c r="C162" s="54" t="s">
        <v>145</v>
      </c>
      <c r="D162" s="55">
        <v>7</v>
      </c>
      <c r="E162" s="56">
        <v>3.7285607755399997E-4</v>
      </c>
    </row>
    <row r="163" spans="2:5" ht="15" customHeight="1">
      <c r="B163" s="90"/>
      <c r="C163" s="54" t="s">
        <v>131</v>
      </c>
      <c r="D163" s="55">
        <v>415</v>
      </c>
      <c r="E163" s="56">
        <v>2.2105038883561998E-2</v>
      </c>
    </row>
    <row r="164" spans="2:5" ht="15" customHeight="1">
      <c r="B164" s="90"/>
      <c r="C164" s="54" t="s">
        <v>141</v>
      </c>
      <c r="D164" s="55">
        <v>21</v>
      </c>
      <c r="E164" s="56">
        <v>1.118568232662E-3</v>
      </c>
    </row>
    <row r="165" spans="2:5" ht="15" customHeight="1">
      <c r="B165" s="90"/>
      <c r="C165" s="54" t="s">
        <v>162</v>
      </c>
      <c r="D165" s="55">
        <v>3</v>
      </c>
      <c r="E165" s="56">
        <v>1.5979546180899999E-4</v>
      </c>
    </row>
    <row r="166" spans="2:5" ht="15" customHeight="1">
      <c r="B166" s="90"/>
      <c r="C166" s="54" t="s">
        <v>161</v>
      </c>
      <c r="D166" s="55">
        <v>5</v>
      </c>
      <c r="E166" s="56">
        <v>2.6632576968100001E-4</v>
      </c>
    </row>
    <row r="167" spans="2:5" ht="15" customHeight="1">
      <c r="B167" s="90"/>
      <c r="C167" s="54" t="s">
        <v>147</v>
      </c>
      <c r="D167" s="55">
        <v>3</v>
      </c>
      <c r="E167" s="56">
        <v>1.5979546180899999E-4</v>
      </c>
    </row>
    <row r="168" spans="2:5" ht="15" customHeight="1">
      <c r="B168" s="90"/>
      <c r="C168" s="54" t="s">
        <v>148</v>
      </c>
      <c r="D168" s="55">
        <v>9</v>
      </c>
      <c r="E168" s="56">
        <v>4.7938638542699999E-4</v>
      </c>
    </row>
    <row r="169" spans="2:5" ht="15" customHeight="1">
      <c r="B169" s="91"/>
      <c r="C169" s="65" t="s">
        <v>321</v>
      </c>
      <c r="D169" s="64">
        <v>1250</v>
      </c>
      <c r="E169" s="66">
        <v>6.6581442420368994E-2</v>
      </c>
    </row>
    <row r="170" spans="2:5" ht="15" customHeight="1">
      <c r="B170" s="89" t="s">
        <v>104</v>
      </c>
      <c r="C170" s="54" t="s">
        <v>158</v>
      </c>
      <c r="D170" s="55">
        <v>4</v>
      </c>
      <c r="E170" s="56">
        <v>2.1306061574499999E-4</v>
      </c>
    </row>
    <row r="171" spans="2:5" ht="15" customHeight="1">
      <c r="B171" s="90"/>
      <c r="C171" s="54" t="s">
        <v>174</v>
      </c>
      <c r="D171" s="55">
        <v>1</v>
      </c>
      <c r="E171" s="56">
        <v>5.3265153936E-5</v>
      </c>
    </row>
    <row r="172" spans="2:5" ht="15" customHeight="1">
      <c r="B172" s="90"/>
      <c r="C172" s="54" t="s">
        <v>136</v>
      </c>
      <c r="D172" s="55">
        <v>148</v>
      </c>
      <c r="E172" s="56">
        <v>7.8832427825720006E-3</v>
      </c>
    </row>
    <row r="173" spans="2:5" ht="15" customHeight="1">
      <c r="B173" s="90"/>
      <c r="C173" s="54" t="s">
        <v>144</v>
      </c>
      <c r="D173" s="55">
        <v>16</v>
      </c>
      <c r="E173" s="56">
        <v>8.5224246298100002E-4</v>
      </c>
    </row>
    <row r="174" spans="2:5" ht="15" customHeight="1">
      <c r="B174" s="90"/>
      <c r="C174" s="54" t="s">
        <v>135</v>
      </c>
      <c r="D174" s="55">
        <v>143</v>
      </c>
      <c r="E174" s="56">
        <v>7.6169170128899998E-3</v>
      </c>
    </row>
    <row r="175" spans="2:5" ht="15" customHeight="1">
      <c r="B175" s="90"/>
      <c r="C175" s="54" t="s">
        <v>132</v>
      </c>
      <c r="D175" s="55">
        <v>302</v>
      </c>
      <c r="E175" s="56">
        <v>1.6086076488761002E-2</v>
      </c>
    </row>
    <row r="176" spans="2:5" ht="15" customHeight="1">
      <c r="B176" s="90"/>
      <c r="C176" s="54" t="s">
        <v>169</v>
      </c>
      <c r="D176" s="55">
        <v>1</v>
      </c>
      <c r="E176" s="56">
        <v>5.3265153936E-5</v>
      </c>
    </row>
    <row r="177" spans="2:5" ht="15" customHeight="1">
      <c r="B177" s="90"/>
      <c r="C177" s="54" t="s">
        <v>149</v>
      </c>
      <c r="D177" s="55">
        <v>11</v>
      </c>
      <c r="E177" s="56">
        <v>5.8591669329900004E-4</v>
      </c>
    </row>
    <row r="178" spans="2:5" ht="15" customHeight="1">
      <c r="B178" s="90"/>
      <c r="C178" s="54" t="s">
        <v>153</v>
      </c>
      <c r="D178" s="55">
        <v>6</v>
      </c>
      <c r="E178" s="56">
        <v>3.1959092361799997E-4</v>
      </c>
    </row>
    <row r="179" spans="2:5" ht="15" customHeight="1">
      <c r="B179" s="90"/>
      <c r="C179" s="54" t="s">
        <v>152</v>
      </c>
      <c r="D179" s="55">
        <v>12</v>
      </c>
      <c r="E179" s="56">
        <v>6.3918184723599995E-4</v>
      </c>
    </row>
    <row r="180" spans="2:5" ht="15" customHeight="1">
      <c r="B180" s="90"/>
      <c r="C180" s="54" t="s">
        <v>138</v>
      </c>
      <c r="D180" s="55">
        <v>72</v>
      </c>
      <c r="E180" s="56">
        <v>3.8350910834130001E-3</v>
      </c>
    </row>
    <row r="181" spans="2:5" ht="15" customHeight="1">
      <c r="B181" s="90"/>
      <c r="C181" s="54" t="s">
        <v>146</v>
      </c>
      <c r="D181" s="55">
        <v>15</v>
      </c>
      <c r="E181" s="56">
        <v>7.98977309044E-4</v>
      </c>
    </row>
    <row r="182" spans="2:5" ht="15" customHeight="1">
      <c r="B182" s="90"/>
      <c r="C182" s="54" t="s">
        <v>151</v>
      </c>
      <c r="D182" s="55">
        <v>6</v>
      </c>
      <c r="E182" s="56">
        <v>3.1959092361799997E-4</v>
      </c>
    </row>
    <row r="183" spans="2:5" ht="15" customHeight="1">
      <c r="B183" s="90"/>
      <c r="C183" s="54" t="s">
        <v>137</v>
      </c>
      <c r="D183" s="55">
        <v>118</v>
      </c>
      <c r="E183" s="56">
        <v>6.2852881644830001E-3</v>
      </c>
    </row>
    <row r="184" spans="2:5" ht="15" customHeight="1">
      <c r="B184" s="90"/>
      <c r="C184" s="54" t="s">
        <v>157</v>
      </c>
      <c r="D184" s="55">
        <v>2</v>
      </c>
      <c r="E184" s="56">
        <v>1.06530307873E-4</v>
      </c>
    </row>
    <row r="185" spans="2:5" ht="15" customHeight="1">
      <c r="B185" s="90"/>
      <c r="C185" s="54" t="s">
        <v>155</v>
      </c>
      <c r="D185" s="55">
        <v>5</v>
      </c>
      <c r="E185" s="56">
        <v>2.6632576968100001E-4</v>
      </c>
    </row>
    <row r="186" spans="2:5" ht="15" customHeight="1">
      <c r="B186" s="90"/>
      <c r="C186" s="54" t="s">
        <v>172</v>
      </c>
      <c r="D186" s="55">
        <v>1</v>
      </c>
      <c r="E186" s="56">
        <v>5.3265153936E-5</v>
      </c>
    </row>
    <row r="187" spans="2:5" ht="15" customHeight="1">
      <c r="B187" s="90"/>
      <c r="C187" s="54" t="s">
        <v>156</v>
      </c>
      <c r="D187" s="55">
        <v>6</v>
      </c>
      <c r="E187" s="56">
        <v>3.1959092361799997E-4</v>
      </c>
    </row>
    <row r="188" spans="2:5" ht="15" customHeight="1">
      <c r="B188" s="90"/>
      <c r="C188" s="54" t="s">
        <v>143</v>
      </c>
      <c r="D188" s="55">
        <v>17</v>
      </c>
      <c r="E188" s="56">
        <v>9.0550761691699996E-4</v>
      </c>
    </row>
    <row r="189" spans="2:5" ht="15" customHeight="1">
      <c r="B189" s="90"/>
      <c r="C189" s="54" t="s">
        <v>154</v>
      </c>
      <c r="D189" s="55">
        <v>11</v>
      </c>
      <c r="E189" s="56">
        <v>5.8591669329900004E-4</v>
      </c>
    </row>
    <row r="190" spans="2:5" ht="15" customHeight="1">
      <c r="B190" s="90"/>
      <c r="C190" s="54" t="s">
        <v>140</v>
      </c>
      <c r="D190" s="55">
        <v>25</v>
      </c>
      <c r="E190" s="56">
        <v>1.3316288484070001E-3</v>
      </c>
    </row>
    <row r="191" spans="2:5" ht="15" customHeight="1">
      <c r="B191" s="90"/>
      <c r="C191" s="54" t="s">
        <v>170</v>
      </c>
      <c r="D191" s="55">
        <v>1</v>
      </c>
      <c r="E191" s="56">
        <v>5.3265153936E-5</v>
      </c>
    </row>
    <row r="192" spans="2:5" ht="15" customHeight="1">
      <c r="B192" s="90"/>
      <c r="C192" s="54" t="s">
        <v>142</v>
      </c>
      <c r="D192" s="55">
        <v>30</v>
      </c>
      <c r="E192" s="56">
        <v>1.5979546180890001E-3</v>
      </c>
    </row>
    <row r="193" spans="2:5" ht="15" customHeight="1">
      <c r="B193" s="90"/>
      <c r="C193" s="54" t="s">
        <v>139</v>
      </c>
      <c r="D193" s="55">
        <v>34</v>
      </c>
      <c r="E193" s="56">
        <v>1.8110152338339999E-3</v>
      </c>
    </row>
    <row r="194" spans="2:5" ht="15" customHeight="1">
      <c r="B194" s="90"/>
      <c r="C194" s="54" t="s">
        <v>133</v>
      </c>
      <c r="D194" s="55">
        <v>281</v>
      </c>
      <c r="E194" s="56">
        <v>1.4967508256099001E-2</v>
      </c>
    </row>
    <row r="195" spans="2:5" ht="15" customHeight="1">
      <c r="B195" s="90"/>
      <c r="C195" s="54" t="s">
        <v>163</v>
      </c>
      <c r="D195" s="55">
        <v>1</v>
      </c>
      <c r="E195" s="56">
        <v>5.3265153936E-5</v>
      </c>
    </row>
    <row r="196" spans="2:5" ht="15" customHeight="1">
      <c r="B196" s="90"/>
      <c r="C196" s="54" t="s">
        <v>150</v>
      </c>
      <c r="D196" s="55">
        <v>13</v>
      </c>
      <c r="E196" s="56">
        <v>6.92447001172E-4</v>
      </c>
    </row>
    <row r="197" spans="2:5" ht="15" customHeight="1">
      <c r="B197" s="90"/>
      <c r="C197" s="54" t="s">
        <v>165</v>
      </c>
      <c r="D197" s="55">
        <v>3</v>
      </c>
      <c r="E197" s="56">
        <v>1.5979546180899999E-4</v>
      </c>
    </row>
    <row r="198" spans="2:5" ht="15" customHeight="1">
      <c r="B198" s="90"/>
      <c r="C198" s="54" t="s">
        <v>159</v>
      </c>
      <c r="D198" s="55">
        <v>2</v>
      </c>
      <c r="E198" s="56">
        <v>1.06530307873E-4</v>
      </c>
    </row>
    <row r="199" spans="2:5" ht="15" customHeight="1">
      <c r="B199" s="90"/>
      <c r="C199" s="54" t="s">
        <v>134</v>
      </c>
      <c r="D199" s="55">
        <v>161</v>
      </c>
      <c r="E199" s="56">
        <v>8.5756897837430002E-3</v>
      </c>
    </row>
    <row r="200" spans="2:5" ht="15" customHeight="1">
      <c r="B200" s="90"/>
      <c r="C200" s="54" t="s">
        <v>168</v>
      </c>
      <c r="D200" s="55">
        <v>1</v>
      </c>
      <c r="E200" s="56">
        <v>5.3265153936E-5</v>
      </c>
    </row>
    <row r="201" spans="2:5" ht="15" customHeight="1">
      <c r="B201" s="90"/>
      <c r="C201" s="54" t="s">
        <v>164</v>
      </c>
      <c r="D201" s="55">
        <v>3</v>
      </c>
      <c r="E201" s="56">
        <v>1.5979546180899999E-4</v>
      </c>
    </row>
    <row r="202" spans="2:5" ht="15" customHeight="1">
      <c r="B202" s="90"/>
      <c r="C202" s="54" t="s">
        <v>160</v>
      </c>
      <c r="D202" s="55">
        <v>3</v>
      </c>
      <c r="E202" s="56">
        <v>1.5979546180899999E-4</v>
      </c>
    </row>
    <row r="203" spans="2:5" ht="15" customHeight="1">
      <c r="B203" s="90"/>
      <c r="C203" s="54" t="s">
        <v>166</v>
      </c>
      <c r="D203" s="55">
        <v>1</v>
      </c>
      <c r="E203" s="56">
        <v>5.3265153936E-5</v>
      </c>
    </row>
    <row r="204" spans="2:5" ht="15" customHeight="1">
      <c r="B204" s="90"/>
      <c r="C204" s="54" t="s">
        <v>145</v>
      </c>
      <c r="D204" s="55">
        <v>15</v>
      </c>
      <c r="E204" s="56">
        <v>7.98977309044E-4</v>
      </c>
    </row>
    <row r="205" spans="2:5" ht="15" customHeight="1">
      <c r="B205" s="90"/>
      <c r="C205" s="54" t="s">
        <v>131</v>
      </c>
      <c r="D205" s="55">
        <v>461</v>
      </c>
      <c r="E205" s="56">
        <v>2.4555235964632001E-2</v>
      </c>
    </row>
    <row r="206" spans="2:5" ht="15" customHeight="1">
      <c r="B206" s="90"/>
      <c r="C206" s="54" t="s">
        <v>141</v>
      </c>
      <c r="D206" s="55">
        <v>31</v>
      </c>
      <c r="E206" s="56">
        <v>1.6512197720249999E-3</v>
      </c>
    </row>
    <row r="207" spans="2:5" ht="15" customHeight="1">
      <c r="B207" s="90"/>
      <c r="C207" s="54" t="s">
        <v>162</v>
      </c>
      <c r="D207" s="55">
        <v>3</v>
      </c>
      <c r="E207" s="56">
        <v>1.5979546180899999E-4</v>
      </c>
    </row>
    <row r="208" spans="2:5" ht="15" customHeight="1">
      <c r="B208" s="90"/>
      <c r="C208" s="54" t="s">
        <v>161</v>
      </c>
      <c r="D208" s="55">
        <v>1</v>
      </c>
      <c r="E208" s="56">
        <v>5.3265153936E-5</v>
      </c>
    </row>
    <row r="209" spans="2:5" ht="15" customHeight="1">
      <c r="B209" s="90"/>
      <c r="C209" s="54" t="s">
        <v>147</v>
      </c>
      <c r="D209" s="55">
        <v>15</v>
      </c>
      <c r="E209" s="56">
        <v>7.98977309044E-4</v>
      </c>
    </row>
    <row r="210" spans="2:5" ht="15" customHeight="1">
      <c r="B210" s="90"/>
      <c r="C210" s="54" t="s">
        <v>148</v>
      </c>
      <c r="D210" s="55">
        <v>7</v>
      </c>
      <c r="E210" s="56">
        <v>3.7285607755399997E-4</v>
      </c>
    </row>
    <row r="211" spans="2:5" ht="15" customHeight="1">
      <c r="B211" s="91"/>
      <c r="C211" s="65" t="s">
        <v>321</v>
      </c>
      <c r="D211" s="64">
        <v>1989</v>
      </c>
      <c r="E211" s="66">
        <v>0.105944391179291</v>
      </c>
    </row>
    <row r="212" spans="2:5" ht="15" customHeight="1">
      <c r="B212" s="89" t="s">
        <v>105</v>
      </c>
      <c r="C212" s="54" t="s">
        <v>158</v>
      </c>
      <c r="D212" s="55">
        <v>1</v>
      </c>
      <c r="E212" s="56">
        <v>5.3265153936E-5</v>
      </c>
    </row>
    <row r="213" spans="2:5" ht="15" customHeight="1">
      <c r="B213" s="90"/>
      <c r="C213" s="54" t="s">
        <v>136</v>
      </c>
      <c r="D213" s="55">
        <v>10</v>
      </c>
      <c r="E213" s="56">
        <v>5.3265153936299999E-4</v>
      </c>
    </row>
    <row r="214" spans="2:5" ht="15" customHeight="1">
      <c r="B214" s="90"/>
      <c r="C214" s="54" t="s">
        <v>135</v>
      </c>
      <c r="D214" s="55">
        <v>11</v>
      </c>
      <c r="E214" s="56">
        <v>5.8591669329900004E-4</v>
      </c>
    </row>
    <row r="215" spans="2:5" ht="15" customHeight="1">
      <c r="B215" s="90"/>
      <c r="C215" s="54" t="s">
        <v>132</v>
      </c>
      <c r="D215" s="55">
        <v>23</v>
      </c>
      <c r="E215" s="56">
        <v>1.225098540535E-3</v>
      </c>
    </row>
    <row r="216" spans="2:5" ht="15" customHeight="1">
      <c r="B216" s="90"/>
      <c r="C216" s="54" t="s">
        <v>167</v>
      </c>
      <c r="D216" s="55">
        <v>1</v>
      </c>
      <c r="E216" s="56">
        <v>5.3265153936E-5</v>
      </c>
    </row>
    <row r="217" spans="2:5" ht="15" customHeight="1">
      <c r="B217" s="90"/>
      <c r="C217" s="54" t="s">
        <v>149</v>
      </c>
      <c r="D217" s="55">
        <v>2</v>
      </c>
      <c r="E217" s="56">
        <v>1.06530307873E-4</v>
      </c>
    </row>
    <row r="218" spans="2:5" ht="15" customHeight="1">
      <c r="B218" s="90"/>
      <c r="C218" s="54" t="s">
        <v>152</v>
      </c>
      <c r="D218" s="55">
        <v>1</v>
      </c>
      <c r="E218" s="56">
        <v>5.3265153936E-5</v>
      </c>
    </row>
    <row r="219" spans="2:5" ht="15" customHeight="1">
      <c r="B219" s="90"/>
      <c r="C219" s="54" t="s">
        <v>138</v>
      </c>
      <c r="D219" s="55">
        <v>3</v>
      </c>
      <c r="E219" s="56">
        <v>1.5979546180899999E-4</v>
      </c>
    </row>
    <row r="220" spans="2:5" ht="15" customHeight="1">
      <c r="B220" s="90"/>
      <c r="C220" s="54" t="s">
        <v>151</v>
      </c>
      <c r="D220" s="55">
        <v>1</v>
      </c>
      <c r="E220" s="56">
        <v>5.3265153936E-5</v>
      </c>
    </row>
    <row r="221" spans="2:5" ht="15" customHeight="1">
      <c r="B221" s="90"/>
      <c r="C221" s="54" t="s">
        <v>137</v>
      </c>
      <c r="D221" s="55">
        <v>12</v>
      </c>
      <c r="E221" s="56">
        <v>6.3918184723599995E-4</v>
      </c>
    </row>
    <row r="222" spans="2:5" ht="15" customHeight="1">
      <c r="B222" s="90"/>
      <c r="C222" s="54" t="s">
        <v>157</v>
      </c>
      <c r="D222" s="55">
        <v>1</v>
      </c>
      <c r="E222" s="56">
        <v>5.3265153936E-5</v>
      </c>
    </row>
    <row r="223" spans="2:5" ht="15" customHeight="1">
      <c r="B223" s="90"/>
      <c r="C223" s="54" t="s">
        <v>155</v>
      </c>
      <c r="D223" s="55">
        <v>1</v>
      </c>
      <c r="E223" s="56">
        <v>5.3265153936E-5</v>
      </c>
    </row>
    <row r="224" spans="2:5" ht="15" customHeight="1">
      <c r="B224" s="90"/>
      <c r="C224" s="54" t="s">
        <v>143</v>
      </c>
      <c r="D224" s="55">
        <v>1</v>
      </c>
      <c r="E224" s="56">
        <v>5.3265153936E-5</v>
      </c>
    </row>
    <row r="225" spans="2:5" ht="15" customHeight="1">
      <c r="B225" s="90"/>
      <c r="C225" s="54" t="s">
        <v>154</v>
      </c>
      <c r="D225" s="55">
        <v>3</v>
      </c>
      <c r="E225" s="56">
        <v>1.5979546180899999E-4</v>
      </c>
    </row>
    <row r="226" spans="2:5" ht="15" customHeight="1">
      <c r="B226" s="90"/>
      <c r="C226" s="54" t="s">
        <v>140</v>
      </c>
      <c r="D226" s="55">
        <v>1</v>
      </c>
      <c r="E226" s="56">
        <v>5.3265153936E-5</v>
      </c>
    </row>
    <row r="227" spans="2:5" ht="15" customHeight="1">
      <c r="B227" s="90"/>
      <c r="C227" s="54" t="s">
        <v>142</v>
      </c>
      <c r="D227" s="55">
        <v>1</v>
      </c>
      <c r="E227" s="56">
        <v>5.3265153936E-5</v>
      </c>
    </row>
    <row r="228" spans="2:5" ht="15" customHeight="1">
      <c r="B228" s="90"/>
      <c r="C228" s="54" t="s">
        <v>139</v>
      </c>
      <c r="D228" s="55">
        <v>3</v>
      </c>
      <c r="E228" s="56">
        <v>1.5979546180899999E-4</v>
      </c>
    </row>
    <row r="229" spans="2:5" ht="15" customHeight="1">
      <c r="B229" s="90"/>
      <c r="C229" s="54" t="s">
        <v>133</v>
      </c>
      <c r="D229" s="55">
        <v>16</v>
      </c>
      <c r="E229" s="56">
        <v>8.5224246298100002E-4</v>
      </c>
    </row>
    <row r="230" spans="2:5" ht="15" customHeight="1">
      <c r="B230" s="90"/>
      <c r="C230" s="54" t="s">
        <v>163</v>
      </c>
      <c r="D230" s="55">
        <v>1</v>
      </c>
      <c r="E230" s="56">
        <v>5.3265153936E-5</v>
      </c>
    </row>
    <row r="231" spans="2:5" ht="15" customHeight="1">
      <c r="B231" s="90"/>
      <c r="C231" s="54" t="s">
        <v>150</v>
      </c>
      <c r="D231" s="55">
        <v>1</v>
      </c>
      <c r="E231" s="56">
        <v>5.3265153936E-5</v>
      </c>
    </row>
    <row r="232" spans="2:5" ht="15" customHeight="1">
      <c r="B232" s="90"/>
      <c r="C232" s="54" t="s">
        <v>134</v>
      </c>
      <c r="D232" s="55">
        <v>15</v>
      </c>
      <c r="E232" s="56">
        <v>7.98977309044E-4</v>
      </c>
    </row>
    <row r="233" spans="2:5" ht="15" customHeight="1">
      <c r="B233" s="90"/>
      <c r="C233" s="54" t="s">
        <v>168</v>
      </c>
      <c r="D233" s="55">
        <v>1</v>
      </c>
      <c r="E233" s="56">
        <v>5.3265153936E-5</v>
      </c>
    </row>
    <row r="234" spans="2:5" ht="15" customHeight="1">
      <c r="B234" s="90"/>
      <c r="C234" s="54" t="s">
        <v>145</v>
      </c>
      <c r="D234" s="55">
        <v>1</v>
      </c>
      <c r="E234" s="56">
        <v>5.3265153936E-5</v>
      </c>
    </row>
    <row r="235" spans="2:5" ht="15" customHeight="1">
      <c r="B235" s="90"/>
      <c r="C235" s="54" t="s">
        <v>131</v>
      </c>
      <c r="D235" s="55">
        <v>50</v>
      </c>
      <c r="E235" s="56">
        <v>2.6632576968149998E-3</v>
      </c>
    </row>
    <row r="236" spans="2:5" ht="15" customHeight="1">
      <c r="B236" s="90"/>
      <c r="C236" s="54" t="s">
        <v>141</v>
      </c>
      <c r="D236" s="55">
        <v>3</v>
      </c>
      <c r="E236" s="56">
        <v>1.5979546180899999E-4</v>
      </c>
    </row>
    <row r="237" spans="2:5" ht="15" customHeight="1">
      <c r="B237" s="90"/>
      <c r="C237" s="54" t="s">
        <v>148</v>
      </c>
      <c r="D237" s="55">
        <v>2</v>
      </c>
      <c r="E237" s="56">
        <v>1.06530307873E-4</v>
      </c>
    </row>
    <row r="238" spans="2:5" ht="15" customHeight="1">
      <c r="B238" s="91"/>
      <c r="C238" s="65" t="s">
        <v>321</v>
      </c>
      <c r="D238" s="64">
        <v>166</v>
      </c>
      <c r="E238" s="66">
        <v>8.8420155534250002E-3</v>
      </c>
    </row>
    <row r="239" spans="2:5" ht="15" customHeight="1">
      <c r="B239" s="89" t="s">
        <v>106</v>
      </c>
      <c r="C239" s="54" t="s">
        <v>158</v>
      </c>
      <c r="D239" s="55">
        <v>3</v>
      </c>
      <c r="E239" s="56">
        <v>1.5979546180899999E-4</v>
      </c>
    </row>
    <row r="240" spans="2:5" ht="15" customHeight="1">
      <c r="B240" s="90"/>
      <c r="C240" s="54" t="s">
        <v>136</v>
      </c>
      <c r="D240" s="55">
        <v>29</v>
      </c>
      <c r="E240" s="56">
        <v>1.544689464153E-3</v>
      </c>
    </row>
    <row r="241" spans="2:5" ht="15" customHeight="1">
      <c r="B241" s="90"/>
      <c r="C241" s="54" t="s">
        <v>144</v>
      </c>
      <c r="D241" s="55">
        <v>7</v>
      </c>
      <c r="E241" s="56">
        <v>3.7285607755399997E-4</v>
      </c>
    </row>
    <row r="242" spans="2:5" ht="15" customHeight="1">
      <c r="B242" s="90"/>
      <c r="C242" s="54" t="s">
        <v>135</v>
      </c>
      <c r="D242" s="55">
        <v>29</v>
      </c>
      <c r="E242" s="56">
        <v>1.544689464153E-3</v>
      </c>
    </row>
    <row r="243" spans="2:5" ht="15" customHeight="1">
      <c r="B243" s="90"/>
      <c r="C243" s="54" t="s">
        <v>132</v>
      </c>
      <c r="D243" s="55">
        <v>75</v>
      </c>
      <c r="E243" s="56">
        <v>3.9948865452219999E-3</v>
      </c>
    </row>
    <row r="244" spans="2:5" ht="15" customHeight="1">
      <c r="B244" s="90"/>
      <c r="C244" s="54" t="s">
        <v>149</v>
      </c>
      <c r="D244" s="55">
        <v>2</v>
      </c>
      <c r="E244" s="56">
        <v>1.06530307873E-4</v>
      </c>
    </row>
    <row r="245" spans="2:5" ht="15" customHeight="1">
      <c r="B245" s="90"/>
      <c r="C245" s="54" t="s">
        <v>153</v>
      </c>
      <c r="D245" s="55">
        <v>1</v>
      </c>
      <c r="E245" s="56">
        <v>5.3265153936E-5</v>
      </c>
    </row>
    <row r="246" spans="2:5" ht="15" customHeight="1">
      <c r="B246" s="90"/>
      <c r="C246" s="54" t="s">
        <v>152</v>
      </c>
      <c r="D246" s="55">
        <v>2</v>
      </c>
      <c r="E246" s="56">
        <v>1.06530307873E-4</v>
      </c>
    </row>
    <row r="247" spans="2:5" ht="15" customHeight="1">
      <c r="B247" s="90"/>
      <c r="C247" s="54" t="s">
        <v>138</v>
      </c>
      <c r="D247" s="55">
        <v>9</v>
      </c>
      <c r="E247" s="56">
        <v>4.7938638542699999E-4</v>
      </c>
    </row>
    <row r="248" spans="2:5" ht="15" customHeight="1">
      <c r="B248" s="90"/>
      <c r="C248" s="54" t="s">
        <v>146</v>
      </c>
      <c r="D248" s="55">
        <v>1</v>
      </c>
      <c r="E248" s="56">
        <v>5.3265153936E-5</v>
      </c>
    </row>
    <row r="249" spans="2:5" ht="15" customHeight="1">
      <c r="B249" s="90"/>
      <c r="C249" s="54" t="s">
        <v>151</v>
      </c>
      <c r="D249" s="55">
        <v>4</v>
      </c>
      <c r="E249" s="56">
        <v>2.1306061574499999E-4</v>
      </c>
    </row>
    <row r="250" spans="2:5" ht="15" customHeight="1">
      <c r="B250" s="90"/>
      <c r="C250" s="54" t="s">
        <v>137</v>
      </c>
      <c r="D250" s="55">
        <v>49</v>
      </c>
      <c r="E250" s="56">
        <v>2.6099925428780001E-3</v>
      </c>
    </row>
    <row r="251" spans="2:5" ht="15" customHeight="1">
      <c r="B251" s="90"/>
      <c r="C251" s="54" t="s">
        <v>157</v>
      </c>
      <c r="D251" s="55">
        <v>2</v>
      </c>
      <c r="E251" s="56">
        <v>1.06530307873E-4</v>
      </c>
    </row>
    <row r="252" spans="2:5" ht="15" customHeight="1">
      <c r="B252" s="90"/>
      <c r="C252" s="54" t="s">
        <v>155</v>
      </c>
      <c r="D252" s="55">
        <v>1</v>
      </c>
      <c r="E252" s="56">
        <v>5.3265153936E-5</v>
      </c>
    </row>
    <row r="253" spans="2:5" ht="15" customHeight="1">
      <c r="B253" s="90"/>
      <c r="C253" s="54" t="s">
        <v>172</v>
      </c>
      <c r="D253" s="55">
        <v>1</v>
      </c>
      <c r="E253" s="56">
        <v>5.3265153936E-5</v>
      </c>
    </row>
    <row r="254" spans="2:5" ht="15" customHeight="1">
      <c r="B254" s="90"/>
      <c r="C254" s="54" t="s">
        <v>156</v>
      </c>
      <c r="D254" s="55">
        <v>1</v>
      </c>
      <c r="E254" s="56">
        <v>5.3265153936E-5</v>
      </c>
    </row>
    <row r="255" spans="2:5" ht="15" customHeight="1">
      <c r="B255" s="90"/>
      <c r="C255" s="54" t="s">
        <v>154</v>
      </c>
      <c r="D255" s="55">
        <v>2</v>
      </c>
      <c r="E255" s="56">
        <v>1.06530307873E-4</v>
      </c>
    </row>
    <row r="256" spans="2:5" ht="15" customHeight="1">
      <c r="B256" s="90"/>
      <c r="C256" s="54" t="s">
        <v>140</v>
      </c>
      <c r="D256" s="55">
        <v>7</v>
      </c>
      <c r="E256" s="56">
        <v>3.7285607755399997E-4</v>
      </c>
    </row>
    <row r="257" spans="2:5" ht="15" customHeight="1">
      <c r="B257" s="90"/>
      <c r="C257" s="54" t="s">
        <v>142</v>
      </c>
      <c r="D257" s="55">
        <v>1</v>
      </c>
      <c r="E257" s="56">
        <v>5.3265153936E-5</v>
      </c>
    </row>
    <row r="258" spans="2:5" ht="15" customHeight="1">
      <c r="B258" s="90"/>
      <c r="C258" s="54" t="s">
        <v>139</v>
      </c>
      <c r="D258" s="55">
        <v>17</v>
      </c>
      <c r="E258" s="56">
        <v>9.0550761691699996E-4</v>
      </c>
    </row>
    <row r="259" spans="2:5" ht="15" customHeight="1">
      <c r="B259" s="90"/>
      <c r="C259" s="54" t="s">
        <v>133</v>
      </c>
      <c r="D259" s="55">
        <v>33</v>
      </c>
      <c r="E259" s="56">
        <v>1.7577500798980001E-3</v>
      </c>
    </row>
    <row r="260" spans="2:5" ht="15" customHeight="1">
      <c r="B260" s="90"/>
      <c r="C260" s="54" t="s">
        <v>150</v>
      </c>
      <c r="D260" s="55">
        <v>2</v>
      </c>
      <c r="E260" s="56">
        <v>1.06530307873E-4</v>
      </c>
    </row>
    <row r="261" spans="2:5" ht="15" customHeight="1">
      <c r="B261" s="90"/>
      <c r="C261" s="54" t="s">
        <v>159</v>
      </c>
      <c r="D261" s="55">
        <v>1</v>
      </c>
      <c r="E261" s="56">
        <v>5.3265153936E-5</v>
      </c>
    </row>
    <row r="262" spans="2:5" ht="15" customHeight="1">
      <c r="B262" s="90"/>
      <c r="C262" s="54" t="s">
        <v>134</v>
      </c>
      <c r="D262" s="55">
        <v>36</v>
      </c>
      <c r="E262" s="56">
        <v>1.9175455417070001E-3</v>
      </c>
    </row>
    <row r="263" spans="2:5" ht="15" customHeight="1">
      <c r="B263" s="90"/>
      <c r="C263" s="54" t="s">
        <v>164</v>
      </c>
      <c r="D263" s="55">
        <v>1</v>
      </c>
      <c r="E263" s="56">
        <v>5.3265153936E-5</v>
      </c>
    </row>
    <row r="264" spans="2:5" ht="15" customHeight="1">
      <c r="B264" s="90"/>
      <c r="C264" s="54" t="s">
        <v>160</v>
      </c>
      <c r="D264" s="55">
        <v>3</v>
      </c>
      <c r="E264" s="56">
        <v>1.5979546180899999E-4</v>
      </c>
    </row>
    <row r="265" spans="2:5" ht="15" customHeight="1">
      <c r="B265" s="90"/>
      <c r="C265" s="54" t="s">
        <v>145</v>
      </c>
      <c r="D265" s="55">
        <v>5</v>
      </c>
      <c r="E265" s="56">
        <v>2.6632576968100001E-4</v>
      </c>
    </row>
    <row r="266" spans="2:5" ht="15" customHeight="1">
      <c r="B266" s="90"/>
      <c r="C266" s="54" t="s">
        <v>131</v>
      </c>
      <c r="D266" s="55">
        <v>112</v>
      </c>
      <c r="E266" s="56">
        <v>5.9656972408649997E-3</v>
      </c>
    </row>
    <row r="267" spans="2:5" ht="15" customHeight="1">
      <c r="B267" s="90"/>
      <c r="C267" s="54" t="s">
        <v>141</v>
      </c>
      <c r="D267" s="55">
        <v>6</v>
      </c>
      <c r="E267" s="56">
        <v>3.1959092361799997E-4</v>
      </c>
    </row>
    <row r="268" spans="2:5" ht="15" customHeight="1">
      <c r="B268" s="90"/>
      <c r="C268" s="54" t="s">
        <v>162</v>
      </c>
      <c r="D268" s="55">
        <v>3</v>
      </c>
      <c r="E268" s="56">
        <v>1.5979546180899999E-4</v>
      </c>
    </row>
    <row r="269" spans="2:5" ht="15" customHeight="1">
      <c r="B269" s="90"/>
      <c r="C269" s="54" t="s">
        <v>161</v>
      </c>
      <c r="D269" s="55">
        <v>3</v>
      </c>
      <c r="E269" s="56">
        <v>1.5979546180899999E-4</v>
      </c>
    </row>
    <row r="270" spans="2:5" ht="15" customHeight="1">
      <c r="B270" s="91"/>
      <c r="C270" s="65" t="s">
        <v>321</v>
      </c>
      <c r="D270" s="64">
        <v>448</v>
      </c>
      <c r="E270" s="66">
        <v>2.3862788963459999E-2</v>
      </c>
    </row>
    <row r="271" spans="2:5" ht="15" customHeight="1">
      <c r="B271" s="89" t="s">
        <v>107</v>
      </c>
      <c r="C271" s="54" t="s">
        <v>158</v>
      </c>
      <c r="D271" s="55">
        <v>3</v>
      </c>
      <c r="E271" s="56">
        <v>1.5979546180899999E-4</v>
      </c>
    </row>
    <row r="272" spans="2:5" ht="15" customHeight="1">
      <c r="B272" s="90"/>
      <c r="C272" s="54" t="s">
        <v>136</v>
      </c>
      <c r="D272" s="55">
        <v>43</v>
      </c>
      <c r="E272" s="56">
        <v>2.2904016192610002E-3</v>
      </c>
    </row>
    <row r="273" spans="2:5" ht="15" customHeight="1">
      <c r="B273" s="90"/>
      <c r="C273" s="54" t="s">
        <v>144</v>
      </c>
      <c r="D273" s="55">
        <v>3</v>
      </c>
      <c r="E273" s="56">
        <v>1.5979546180899999E-4</v>
      </c>
    </row>
    <row r="274" spans="2:5" ht="15" customHeight="1">
      <c r="B274" s="90"/>
      <c r="C274" s="54" t="s">
        <v>135</v>
      </c>
      <c r="D274" s="55">
        <v>48</v>
      </c>
      <c r="E274" s="56">
        <v>2.5567273889420001E-3</v>
      </c>
    </row>
    <row r="275" spans="2:5" ht="15" customHeight="1">
      <c r="B275" s="90"/>
      <c r="C275" s="54" t="s">
        <v>132</v>
      </c>
      <c r="D275" s="55">
        <v>140</v>
      </c>
      <c r="E275" s="56">
        <v>7.457121551081E-3</v>
      </c>
    </row>
    <row r="276" spans="2:5" ht="15" customHeight="1">
      <c r="B276" s="90"/>
      <c r="C276" s="54" t="s">
        <v>149</v>
      </c>
      <c r="D276" s="55">
        <v>4</v>
      </c>
      <c r="E276" s="56">
        <v>2.1306061574499999E-4</v>
      </c>
    </row>
    <row r="277" spans="2:5" ht="15" customHeight="1">
      <c r="B277" s="90"/>
      <c r="C277" s="54" t="s">
        <v>152</v>
      </c>
      <c r="D277" s="55">
        <v>4</v>
      </c>
      <c r="E277" s="56">
        <v>2.1306061574499999E-4</v>
      </c>
    </row>
    <row r="278" spans="2:5" ht="15" customHeight="1">
      <c r="B278" s="90"/>
      <c r="C278" s="54" t="s">
        <v>138</v>
      </c>
      <c r="D278" s="55">
        <v>10</v>
      </c>
      <c r="E278" s="56">
        <v>5.3265153936299999E-4</v>
      </c>
    </row>
    <row r="279" spans="2:5" ht="15" customHeight="1">
      <c r="B279" s="90"/>
      <c r="C279" s="54" t="s">
        <v>146</v>
      </c>
      <c r="D279" s="55">
        <v>4</v>
      </c>
      <c r="E279" s="56">
        <v>2.1306061574499999E-4</v>
      </c>
    </row>
    <row r="280" spans="2:5" ht="15" customHeight="1">
      <c r="B280" s="90"/>
      <c r="C280" s="54" t="s">
        <v>151</v>
      </c>
      <c r="D280" s="55">
        <v>2</v>
      </c>
      <c r="E280" s="56">
        <v>1.06530307873E-4</v>
      </c>
    </row>
    <row r="281" spans="2:5" ht="15" customHeight="1">
      <c r="B281" s="90"/>
      <c r="C281" s="54" t="s">
        <v>137</v>
      </c>
      <c r="D281" s="55">
        <v>37</v>
      </c>
      <c r="E281" s="56">
        <v>1.9708106956430002E-3</v>
      </c>
    </row>
    <row r="282" spans="2:5" ht="15" customHeight="1">
      <c r="B282" s="90"/>
      <c r="C282" s="54" t="s">
        <v>157</v>
      </c>
      <c r="D282" s="55">
        <v>3</v>
      </c>
      <c r="E282" s="56">
        <v>1.5979546180899999E-4</v>
      </c>
    </row>
    <row r="283" spans="2:5" ht="15" customHeight="1">
      <c r="B283" s="90"/>
      <c r="C283" s="54" t="s">
        <v>155</v>
      </c>
      <c r="D283" s="55">
        <v>3</v>
      </c>
      <c r="E283" s="56">
        <v>1.5979546180899999E-4</v>
      </c>
    </row>
    <row r="284" spans="2:5" ht="15" customHeight="1">
      <c r="B284" s="90"/>
      <c r="C284" s="54" t="s">
        <v>156</v>
      </c>
      <c r="D284" s="55">
        <v>1</v>
      </c>
      <c r="E284" s="56">
        <v>5.3265153936E-5</v>
      </c>
    </row>
    <row r="285" spans="2:5" ht="15" customHeight="1">
      <c r="B285" s="90"/>
      <c r="C285" s="54" t="s">
        <v>143</v>
      </c>
      <c r="D285" s="55">
        <v>3</v>
      </c>
      <c r="E285" s="56">
        <v>1.5979546180899999E-4</v>
      </c>
    </row>
    <row r="286" spans="2:5" ht="15" customHeight="1">
      <c r="B286" s="90"/>
      <c r="C286" s="54" t="s">
        <v>154</v>
      </c>
      <c r="D286" s="55">
        <v>1</v>
      </c>
      <c r="E286" s="56">
        <v>5.3265153936E-5</v>
      </c>
    </row>
    <row r="287" spans="2:5" ht="15" customHeight="1">
      <c r="B287" s="90"/>
      <c r="C287" s="54" t="s">
        <v>140</v>
      </c>
      <c r="D287" s="55">
        <v>9</v>
      </c>
      <c r="E287" s="56">
        <v>4.7938638542699999E-4</v>
      </c>
    </row>
    <row r="288" spans="2:5" ht="15" customHeight="1">
      <c r="B288" s="90"/>
      <c r="C288" s="54" t="s">
        <v>142</v>
      </c>
      <c r="D288" s="55">
        <v>8</v>
      </c>
      <c r="E288" s="56">
        <v>4.2612123148999997E-4</v>
      </c>
    </row>
    <row r="289" spans="2:5" ht="15" customHeight="1">
      <c r="B289" s="90"/>
      <c r="C289" s="54" t="s">
        <v>139</v>
      </c>
      <c r="D289" s="55">
        <v>16</v>
      </c>
      <c r="E289" s="56">
        <v>8.5224246298100002E-4</v>
      </c>
    </row>
    <row r="290" spans="2:5" ht="15" customHeight="1">
      <c r="B290" s="90"/>
      <c r="C290" s="54" t="s">
        <v>171</v>
      </c>
      <c r="D290" s="55">
        <v>2</v>
      </c>
      <c r="E290" s="56">
        <v>1.06530307873E-4</v>
      </c>
    </row>
    <row r="291" spans="2:5" ht="15" customHeight="1">
      <c r="B291" s="90"/>
      <c r="C291" s="54" t="s">
        <v>133</v>
      </c>
      <c r="D291" s="55">
        <v>30</v>
      </c>
      <c r="E291" s="56">
        <v>1.5979546180890001E-3</v>
      </c>
    </row>
    <row r="292" spans="2:5" ht="15" customHeight="1">
      <c r="B292" s="90"/>
      <c r="C292" s="54" t="s">
        <v>150</v>
      </c>
      <c r="D292" s="55">
        <v>3</v>
      </c>
      <c r="E292" s="56">
        <v>1.5979546180899999E-4</v>
      </c>
    </row>
    <row r="293" spans="2:5" ht="15" customHeight="1">
      <c r="B293" s="90"/>
      <c r="C293" s="54" t="s">
        <v>165</v>
      </c>
      <c r="D293" s="55">
        <v>1</v>
      </c>
      <c r="E293" s="56">
        <v>5.3265153936E-5</v>
      </c>
    </row>
    <row r="294" spans="2:5" ht="15" customHeight="1">
      <c r="B294" s="90"/>
      <c r="C294" s="54" t="s">
        <v>159</v>
      </c>
      <c r="D294" s="55">
        <v>1</v>
      </c>
      <c r="E294" s="56">
        <v>5.3265153936E-5</v>
      </c>
    </row>
    <row r="295" spans="2:5" ht="15" customHeight="1">
      <c r="B295" s="90"/>
      <c r="C295" s="54" t="s">
        <v>134</v>
      </c>
      <c r="D295" s="55">
        <v>34</v>
      </c>
      <c r="E295" s="56">
        <v>1.8110152338339999E-3</v>
      </c>
    </row>
    <row r="296" spans="2:5" ht="15" customHeight="1">
      <c r="B296" s="90"/>
      <c r="C296" s="54" t="s">
        <v>160</v>
      </c>
      <c r="D296" s="55">
        <v>1</v>
      </c>
      <c r="E296" s="56">
        <v>5.3265153936E-5</v>
      </c>
    </row>
    <row r="297" spans="2:5" ht="15" customHeight="1">
      <c r="B297" s="90"/>
      <c r="C297" s="54" t="s">
        <v>145</v>
      </c>
      <c r="D297" s="55">
        <v>2</v>
      </c>
      <c r="E297" s="56">
        <v>1.06530307873E-4</v>
      </c>
    </row>
    <row r="298" spans="2:5" ht="15" customHeight="1">
      <c r="B298" s="90"/>
      <c r="C298" s="54" t="s">
        <v>131</v>
      </c>
      <c r="D298" s="55">
        <v>172</v>
      </c>
      <c r="E298" s="56">
        <v>9.1616064770429998E-3</v>
      </c>
    </row>
    <row r="299" spans="2:5" ht="15" customHeight="1">
      <c r="B299" s="90"/>
      <c r="C299" s="54" t="s">
        <v>141</v>
      </c>
      <c r="D299" s="55">
        <v>8</v>
      </c>
      <c r="E299" s="56">
        <v>4.2612123148999997E-4</v>
      </c>
    </row>
    <row r="300" spans="2:5" ht="15" customHeight="1">
      <c r="B300" s="90"/>
      <c r="C300" s="54" t="s">
        <v>162</v>
      </c>
      <c r="D300" s="55">
        <v>1</v>
      </c>
      <c r="E300" s="56">
        <v>5.3265153936E-5</v>
      </c>
    </row>
    <row r="301" spans="2:5" ht="15" customHeight="1">
      <c r="B301" s="90"/>
      <c r="C301" s="54" t="s">
        <v>161</v>
      </c>
      <c r="D301" s="55">
        <v>1</v>
      </c>
      <c r="E301" s="56">
        <v>5.3265153936E-5</v>
      </c>
    </row>
    <row r="302" spans="2:5" ht="15" customHeight="1">
      <c r="B302" s="90"/>
      <c r="C302" s="54" t="s">
        <v>147</v>
      </c>
      <c r="D302" s="55">
        <v>1</v>
      </c>
      <c r="E302" s="56">
        <v>5.3265153936E-5</v>
      </c>
    </row>
    <row r="303" spans="2:5" ht="15" customHeight="1">
      <c r="B303" s="90"/>
      <c r="C303" s="54" t="s">
        <v>148</v>
      </c>
      <c r="D303" s="55">
        <v>11</v>
      </c>
      <c r="E303" s="56">
        <v>5.8591669329900004E-4</v>
      </c>
    </row>
    <row r="304" spans="2:5" ht="15" customHeight="1">
      <c r="B304" s="91"/>
      <c r="C304" s="65" t="s">
        <v>321</v>
      </c>
      <c r="D304" s="64">
        <v>610</v>
      </c>
      <c r="E304" s="66">
        <v>3.2491743901139999E-2</v>
      </c>
    </row>
    <row r="305" spans="2:5" ht="15" customHeight="1">
      <c r="B305" s="89" t="s">
        <v>108</v>
      </c>
      <c r="C305" s="54" t="s">
        <v>158</v>
      </c>
      <c r="D305" s="55">
        <v>20</v>
      </c>
      <c r="E305" s="56">
        <v>1.065303078726E-3</v>
      </c>
    </row>
    <row r="306" spans="2:5" ht="15" customHeight="1">
      <c r="B306" s="90"/>
      <c r="C306" s="54" t="s">
        <v>136</v>
      </c>
      <c r="D306" s="55">
        <v>256</v>
      </c>
      <c r="E306" s="56">
        <v>1.3635879407691001E-2</v>
      </c>
    </row>
    <row r="307" spans="2:5" ht="15" customHeight="1">
      <c r="B307" s="90"/>
      <c r="C307" s="54" t="s">
        <v>144</v>
      </c>
      <c r="D307" s="55">
        <v>48</v>
      </c>
      <c r="E307" s="56">
        <v>2.5567273889420001E-3</v>
      </c>
    </row>
    <row r="308" spans="2:5" ht="15" customHeight="1">
      <c r="B308" s="90"/>
      <c r="C308" s="54" t="s">
        <v>135</v>
      </c>
      <c r="D308" s="55">
        <v>269</v>
      </c>
      <c r="E308" s="56">
        <v>1.4328326408863E-2</v>
      </c>
    </row>
    <row r="309" spans="2:5" ht="15" customHeight="1">
      <c r="B309" s="90"/>
      <c r="C309" s="54" t="s">
        <v>132</v>
      </c>
      <c r="D309" s="55">
        <v>683</v>
      </c>
      <c r="E309" s="56">
        <v>3.6380100138488997E-2</v>
      </c>
    </row>
    <row r="310" spans="2:5" ht="15" customHeight="1">
      <c r="B310" s="90"/>
      <c r="C310" s="54" t="s">
        <v>169</v>
      </c>
      <c r="D310" s="55">
        <v>1</v>
      </c>
      <c r="E310" s="56">
        <v>5.3265153936E-5</v>
      </c>
    </row>
    <row r="311" spans="2:5" ht="15" customHeight="1">
      <c r="B311" s="90"/>
      <c r="C311" s="54" t="s">
        <v>167</v>
      </c>
      <c r="D311" s="55">
        <v>2</v>
      </c>
      <c r="E311" s="56">
        <v>1.06530307873E-4</v>
      </c>
    </row>
    <row r="312" spans="2:5" ht="15" customHeight="1">
      <c r="B312" s="90"/>
      <c r="C312" s="54" t="s">
        <v>149</v>
      </c>
      <c r="D312" s="55">
        <v>19</v>
      </c>
      <c r="E312" s="56">
        <v>1.0120379247899999E-3</v>
      </c>
    </row>
    <row r="313" spans="2:5" ht="15" customHeight="1">
      <c r="B313" s="90"/>
      <c r="C313" s="54" t="s">
        <v>153</v>
      </c>
      <c r="D313" s="55">
        <v>24</v>
      </c>
      <c r="E313" s="56">
        <v>1.278363694471E-3</v>
      </c>
    </row>
    <row r="314" spans="2:5" ht="15" customHeight="1">
      <c r="B314" s="90"/>
      <c r="C314" s="54" t="s">
        <v>152</v>
      </c>
      <c r="D314" s="55">
        <v>13</v>
      </c>
      <c r="E314" s="56">
        <v>6.92447001172E-4</v>
      </c>
    </row>
    <row r="315" spans="2:5" ht="15" customHeight="1">
      <c r="B315" s="90"/>
      <c r="C315" s="54" t="s">
        <v>138</v>
      </c>
      <c r="D315" s="55">
        <v>145</v>
      </c>
      <c r="E315" s="56">
        <v>7.723447320763E-3</v>
      </c>
    </row>
    <row r="316" spans="2:5" ht="15" customHeight="1">
      <c r="B316" s="90"/>
      <c r="C316" s="54" t="s">
        <v>146</v>
      </c>
      <c r="D316" s="55">
        <v>38</v>
      </c>
      <c r="E316" s="56">
        <v>2.0240758495790002E-3</v>
      </c>
    </row>
    <row r="317" spans="2:5" ht="15" customHeight="1">
      <c r="B317" s="90"/>
      <c r="C317" s="54" t="s">
        <v>151</v>
      </c>
      <c r="D317" s="55">
        <v>19</v>
      </c>
      <c r="E317" s="56">
        <v>1.0120379247899999E-3</v>
      </c>
    </row>
    <row r="318" spans="2:5" ht="15" customHeight="1">
      <c r="B318" s="90"/>
      <c r="C318" s="54" t="s">
        <v>137</v>
      </c>
      <c r="D318" s="55">
        <v>234</v>
      </c>
      <c r="E318" s="56">
        <v>1.2464046021093E-2</v>
      </c>
    </row>
    <row r="319" spans="2:5" ht="15" customHeight="1">
      <c r="B319" s="90"/>
      <c r="C319" s="54" t="s">
        <v>157</v>
      </c>
      <c r="D319" s="55">
        <v>17</v>
      </c>
      <c r="E319" s="56">
        <v>9.0550761691699996E-4</v>
      </c>
    </row>
    <row r="320" spans="2:5" ht="15" customHeight="1">
      <c r="B320" s="90"/>
      <c r="C320" s="54" t="s">
        <v>155</v>
      </c>
      <c r="D320" s="55">
        <v>15</v>
      </c>
      <c r="E320" s="56">
        <v>7.98977309044E-4</v>
      </c>
    </row>
    <row r="321" spans="2:5" ht="15" customHeight="1">
      <c r="B321" s="90"/>
      <c r="C321" s="54" t="s">
        <v>172</v>
      </c>
      <c r="D321" s="55">
        <v>1</v>
      </c>
      <c r="E321" s="56">
        <v>5.3265153936E-5</v>
      </c>
    </row>
    <row r="322" spans="2:5" ht="15" customHeight="1">
      <c r="B322" s="90"/>
      <c r="C322" s="54" t="s">
        <v>156</v>
      </c>
      <c r="D322" s="55">
        <v>19</v>
      </c>
      <c r="E322" s="56">
        <v>1.0120379247899999E-3</v>
      </c>
    </row>
    <row r="323" spans="2:5" ht="15" customHeight="1">
      <c r="B323" s="90"/>
      <c r="C323" s="54" t="s">
        <v>143</v>
      </c>
      <c r="D323" s="55">
        <v>60</v>
      </c>
      <c r="E323" s="56">
        <v>3.1959092361780001E-3</v>
      </c>
    </row>
    <row r="324" spans="2:5" ht="15" customHeight="1">
      <c r="B324" s="90"/>
      <c r="C324" s="54" t="s">
        <v>154</v>
      </c>
      <c r="D324" s="55">
        <v>18</v>
      </c>
      <c r="E324" s="56">
        <v>9.5877277085300002E-4</v>
      </c>
    </row>
    <row r="325" spans="2:5" ht="15" customHeight="1">
      <c r="B325" s="90"/>
      <c r="C325" s="54" t="s">
        <v>140</v>
      </c>
      <c r="D325" s="55">
        <v>89</v>
      </c>
      <c r="E325" s="56">
        <v>4.7405987003300001E-3</v>
      </c>
    </row>
    <row r="326" spans="2:5" ht="15" customHeight="1">
      <c r="B326" s="90"/>
      <c r="C326" s="54" t="s">
        <v>170</v>
      </c>
      <c r="D326" s="55">
        <v>3</v>
      </c>
      <c r="E326" s="56">
        <v>1.5979546180899999E-4</v>
      </c>
    </row>
    <row r="327" spans="2:5" ht="15" customHeight="1">
      <c r="B327" s="90"/>
      <c r="C327" s="54" t="s">
        <v>142</v>
      </c>
      <c r="D327" s="55">
        <v>67</v>
      </c>
      <c r="E327" s="56">
        <v>3.5687653137319998E-3</v>
      </c>
    </row>
    <row r="328" spans="2:5" ht="15" customHeight="1">
      <c r="B328" s="90"/>
      <c r="C328" s="54" t="s">
        <v>139</v>
      </c>
      <c r="D328" s="55">
        <v>93</v>
      </c>
      <c r="E328" s="56">
        <v>4.9536593160750004E-3</v>
      </c>
    </row>
    <row r="329" spans="2:5" ht="15" customHeight="1">
      <c r="B329" s="90"/>
      <c r="C329" s="54" t="s">
        <v>171</v>
      </c>
      <c r="D329" s="55">
        <v>1</v>
      </c>
      <c r="E329" s="56">
        <v>5.3265153936E-5</v>
      </c>
    </row>
    <row r="330" spans="2:5" ht="15" customHeight="1">
      <c r="B330" s="90"/>
      <c r="C330" s="54" t="s">
        <v>133</v>
      </c>
      <c r="D330" s="55">
        <v>581</v>
      </c>
      <c r="E330" s="56">
        <v>3.0947054436987E-2</v>
      </c>
    </row>
    <row r="331" spans="2:5" ht="15" customHeight="1">
      <c r="B331" s="90"/>
      <c r="C331" s="54" t="s">
        <v>163</v>
      </c>
      <c r="D331" s="55">
        <v>3</v>
      </c>
      <c r="E331" s="56">
        <v>1.5979546180899999E-4</v>
      </c>
    </row>
    <row r="332" spans="2:5" ht="15" customHeight="1">
      <c r="B332" s="90"/>
      <c r="C332" s="54" t="s">
        <v>150</v>
      </c>
      <c r="D332" s="55">
        <v>17</v>
      </c>
      <c r="E332" s="56">
        <v>9.0550761691699996E-4</v>
      </c>
    </row>
    <row r="333" spans="2:5" ht="15" customHeight="1">
      <c r="B333" s="90"/>
      <c r="C333" s="54" t="s">
        <v>165</v>
      </c>
      <c r="D333" s="55">
        <v>6</v>
      </c>
      <c r="E333" s="56">
        <v>3.1959092361799997E-4</v>
      </c>
    </row>
    <row r="334" spans="2:5" ht="15" customHeight="1">
      <c r="B334" s="90"/>
      <c r="C334" s="54" t="s">
        <v>159</v>
      </c>
      <c r="D334" s="55">
        <v>9</v>
      </c>
      <c r="E334" s="56">
        <v>4.7938638542699999E-4</v>
      </c>
    </row>
    <row r="335" spans="2:5" ht="15" customHeight="1">
      <c r="B335" s="90"/>
      <c r="C335" s="54" t="s">
        <v>134</v>
      </c>
      <c r="D335" s="55">
        <v>416</v>
      </c>
      <c r="E335" s="56">
        <v>2.2158304037499001E-2</v>
      </c>
    </row>
    <row r="336" spans="2:5" ht="15" customHeight="1">
      <c r="B336" s="90"/>
      <c r="C336" s="54" t="s">
        <v>168</v>
      </c>
      <c r="D336" s="55">
        <v>2</v>
      </c>
      <c r="E336" s="56">
        <v>1.06530307873E-4</v>
      </c>
    </row>
    <row r="337" spans="2:5" ht="15" customHeight="1">
      <c r="B337" s="90"/>
      <c r="C337" s="54" t="s">
        <v>164</v>
      </c>
      <c r="D337" s="55">
        <v>6</v>
      </c>
      <c r="E337" s="56">
        <v>3.1959092361799997E-4</v>
      </c>
    </row>
    <row r="338" spans="2:5" ht="15" customHeight="1">
      <c r="B338" s="90"/>
      <c r="C338" s="54" t="s">
        <v>160</v>
      </c>
      <c r="D338" s="55">
        <v>13</v>
      </c>
      <c r="E338" s="56">
        <v>6.92447001172E-4</v>
      </c>
    </row>
    <row r="339" spans="2:5" ht="15" customHeight="1">
      <c r="B339" s="90"/>
      <c r="C339" s="54" t="s">
        <v>166</v>
      </c>
      <c r="D339" s="55">
        <v>2</v>
      </c>
      <c r="E339" s="56">
        <v>1.06530307873E-4</v>
      </c>
    </row>
    <row r="340" spans="2:5" ht="15" customHeight="1">
      <c r="B340" s="90"/>
      <c r="C340" s="54" t="s">
        <v>145</v>
      </c>
      <c r="D340" s="55">
        <v>43</v>
      </c>
      <c r="E340" s="56">
        <v>2.2904016192610002E-3</v>
      </c>
    </row>
    <row r="341" spans="2:5" ht="15" customHeight="1">
      <c r="B341" s="90"/>
      <c r="C341" s="54" t="s">
        <v>131</v>
      </c>
      <c r="D341" s="55">
        <v>1604</v>
      </c>
      <c r="E341" s="56">
        <v>8.5437306913816999E-2</v>
      </c>
    </row>
    <row r="342" spans="2:5" ht="15" customHeight="1">
      <c r="B342" s="90"/>
      <c r="C342" s="54" t="s">
        <v>141</v>
      </c>
      <c r="D342" s="55">
        <v>78</v>
      </c>
      <c r="E342" s="56">
        <v>4.1546820070309997E-3</v>
      </c>
    </row>
    <row r="343" spans="2:5" ht="15" customHeight="1">
      <c r="B343" s="90"/>
      <c r="C343" s="54" t="s">
        <v>162</v>
      </c>
      <c r="D343" s="55">
        <v>7</v>
      </c>
      <c r="E343" s="56">
        <v>3.7285607755399997E-4</v>
      </c>
    </row>
    <row r="344" spans="2:5" ht="15" customHeight="1">
      <c r="B344" s="90"/>
      <c r="C344" s="54" t="s">
        <v>161</v>
      </c>
      <c r="D344" s="55">
        <v>6</v>
      </c>
      <c r="E344" s="56">
        <v>3.1959092361799997E-4</v>
      </c>
    </row>
    <row r="345" spans="2:5" ht="15" customHeight="1">
      <c r="B345" s="90"/>
      <c r="C345" s="54" t="s">
        <v>173</v>
      </c>
      <c r="D345" s="55">
        <v>3</v>
      </c>
      <c r="E345" s="56">
        <v>1.5979546180899999E-4</v>
      </c>
    </row>
    <row r="346" spans="2:5" ht="15" customHeight="1">
      <c r="B346" s="90"/>
      <c r="C346" s="54" t="s">
        <v>147</v>
      </c>
      <c r="D346" s="55">
        <v>34</v>
      </c>
      <c r="E346" s="56">
        <v>1.8110152338339999E-3</v>
      </c>
    </row>
    <row r="347" spans="2:5" ht="15" customHeight="1">
      <c r="B347" s="90"/>
      <c r="C347" s="54" t="s">
        <v>148</v>
      </c>
      <c r="D347" s="55">
        <v>30</v>
      </c>
      <c r="E347" s="56">
        <v>1.5979546180890001E-3</v>
      </c>
    </row>
    <row r="348" spans="2:5" ht="15" customHeight="1">
      <c r="B348" s="91"/>
      <c r="C348" s="65" t="s">
        <v>321</v>
      </c>
      <c r="D348" s="64">
        <v>5014</v>
      </c>
      <c r="E348" s="66">
        <v>0.26707148183658302</v>
      </c>
    </row>
    <row r="349" spans="2:5" ht="15" customHeight="1">
      <c r="B349" s="89" t="s">
        <v>109</v>
      </c>
      <c r="C349" s="54" t="s">
        <v>136</v>
      </c>
      <c r="D349" s="55">
        <v>21</v>
      </c>
      <c r="E349" s="56">
        <v>1.118568232662E-3</v>
      </c>
    </row>
    <row r="350" spans="2:5" ht="15" customHeight="1">
      <c r="B350" s="90"/>
      <c r="C350" s="54" t="s">
        <v>144</v>
      </c>
      <c r="D350" s="55">
        <v>3</v>
      </c>
      <c r="E350" s="56">
        <v>1.5979546180899999E-4</v>
      </c>
    </row>
    <row r="351" spans="2:5" ht="15" customHeight="1">
      <c r="B351" s="90"/>
      <c r="C351" s="54" t="s">
        <v>135</v>
      </c>
      <c r="D351" s="55">
        <v>30</v>
      </c>
      <c r="E351" s="56">
        <v>1.5979546180890001E-3</v>
      </c>
    </row>
    <row r="352" spans="2:5" ht="15" customHeight="1">
      <c r="B352" s="90"/>
      <c r="C352" s="54" t="s">
        <v>132</v>
      </c>
      <c r="D352" s="55">
        <v>33</v>
      </c>
      <c r="E352" s="56">
        <v>1.7577500798980001E-3</v>
      </c>
    </row>
    <row r="353" spans="2:5" ht="15" customHeight="1">
      <c r="B353" s="90"/>
      <c r="C353" s="54" t="s">
        <v>167</v>
      </c>
      <c r="D353" s="55">
        <v>1</v>
      </c>
      <c r="E353" s="56">
        <v>5.3265153936E-5</v>
      </c>
    </row>
    <row r="354" spans="2:5" ht="15" customHeight="1">
      <c r="B354" s="90"/>
      <c r="C354" s="54" t="s">
        <v>149</v>
      </c>
      <c r="D354" s="55">
        <v>3</v>
      </c>
      <c r="E354" s="56">
        <v>1.5979546180899999E-4</v>
      </c>
    </row>
    <row r="355" spans="2:5" ht="15" customHeight="1">
      <c r="B355" s="90"/>
      <c r="C355" s="54" t="s">
        <v>153</v>
      </c>
      <c r="D355" s="55">
        <v>3</v>
      </c>
      <c r="E355" s="56">
        <v>1.5979546180899999E-4</v>
      </c>
    </row>
    <row r="356" spans="2:5" ht="15" customHeight="1">
      <c r="B356" s="90"/>
      <c r="C356" s="54" t="s">
        <v>138</v>
      </c>
      <c r="D356" s="55">
        <v>11</v>
      </c>
      <c r="E356" s="56">
        <v>5.8591669329900004E-4</v>
      </c>
    </row>
    <row r="357" spans="2:5" ht="15" customHeight="1">
      <c r="B357" s="90"/>
      <c r="C357" s="54" t="s">
        <v>146</v>
      </c>
      <c r="D357" s="55">
        <v>1</v>
      </c>
      <c r="E357" s="56">
        <v>5.3265153936E-5</v>
      </c>
    </row>
    <row r="358" spans="2:5" ht="15" customHeight="1">
      <c r="B358" s="90"/>
      <c r="C358" s="54" t="s">
        <v>137</v>
      </c>
      <c r="D358" s="55">
        <v>29</v>
      </c>
      <c r="E358" s="56">
        <v>1.544689464153E-3</v>
      </c>
    </row>
    <row r="359" spans="2:5" ht="15" customHeight="1">
      <c r="B359" s="90"/>
      <c r="C359" s="54" t="s">
        <v>157</v>
      </c>
      <c r="D359" s="55">
        <v>2</v>
      </c>
      <c r="E359" s="56">
        <v>1.06530307873E-4</v>
      </c>
    </row>
    <row r="360" spans="2:5" ht="15" customHeight="1">
      <c r="B360" s="90"/>
      <c r="C360" s="54" t="s">
        <v>155</v>
      </c>
      <c r="D360" s="55">
        <v>1</v>
      </c>
      <c r="E360" s="56">
        <v>5.3265153936E-5</v>
      </c>
    </row>
    <row r="361" spans="2:5" ht="15" customHeight="1">
      <c r="B361" s="90"/>
      <c r="C361" s="54" t="s">
        <v>143</v>
      </c>
      <c r="D361" s="55">
        <v>3</v>
      </c>
      <c r="E361" s="56">
        <v>1.5979546180899999E-4</v>
      </c>
    </row>
    <row r="362" spans="2:5" ht="15" customHeight="1">
      <c r="B362" s="90"/>
      <c r="C362" s="54" t="s">
        <v>154</v>
      </c>
      <c r="D362" s="55">
        <v>1</v>
      </c>
      <c r="E362" s="56">
        <v>5.3265153936E-5</v>
      </c>
    </row>
    <row r="363" spans="2:5" ht="15" customHeight="1">
      <c r="B363" s="90"/>
      <c r="C363" s="54" t="s">
        <v>140</v>
      </c>
      <c r="D363" s="55">
        <v>8</v>
      </c>
      <c r="E363" s="56">
        <v>4.2612123148999997E-4</v>
      </c>
    </row>
    <row r="364" spans="2:5" ht="15" customHeight="1">
      <c r="B364" s="90"/>
      <c r="C364" s="54" t="s">
        <v>142</v>
      </c>
      <c r="D364" s="55">
        <v>5</v>
      </c>
      <c r="E364" s="56">
        <v>2.6632576968100001E-4</v>
      </c>
    </row>
    <row r="365" spans="2:5" ht="15" customHeight="1">
      <c r="B365" s="90"/>
      <c r="C365" s="54" t="s">
        <v>139</v>
      </c>
      <c r="D365" s="55">
        <v>15</v>
      </c>
      <c r="E365" s="56">
        <v>7.98977309044E-4</v>
      </c>
    </row>
    <row r="366" spans="2:5" ht="15" customHeight="1">
      <c r="B366" s="90"/>
      <c r="C366" s="54" t="s">
        <v>133</v>
      </c>
      <c r="D366" s="55">
        <v>37</v>
      </c>
      <c r="E366" s="56">
        <v>1.9708106956430002E-3</v>
      </c>
    </row>
    <row r="367" spans="2:5" ht="15" customHeight="1">
      <c r="B367" s="90"/>
      <c r="C367" s="54" t="s">
        <v>159</v>
      </c>
      <c r="D367" s="55">
        <v>1</v>
      </c>
      <c r="E367" s="56">
        <v>5.3265153936E-5</v>
      </c>
    </row>
    <row r="368" spans="2:5" ht="15" customHeight="1">
      <c r="B368" s="90"/>
      <c r="C368" s="54" t="s">
        <v>134</v>
      </c>
      <c r="D368" s="55">
        <v>26</v>
      </c>
      <c r="E368" s="56">
        <v>1.384894002344E-3</v>
      </c>
    </row>
    <row r="369" spans="2:5" ht="15" customHeight="1">
      <c r="B369" s="90"/>
      <c r="C369" s="54" t="s">
        <v>160</v>
      </c>
      <c r="D369" s="55">
        <v>1</v>
      </c>
      <c r="E369" s="56">
        <v>5.3265153936E-5</v>
      </c>
    </row>
    <row r="370" spans="2:5" ht="15" customHeight="1">
      <c r="B370" s="90"/>
      <c r="C370" s="54" t="s">
        <v>166</v>
      </c>
      <c r="D370" s="55">
        <v>1</v>
      </c>
      <c r="E370" s="56">
        <v>5.3265153936E-5</v>
      </c>
    </row>
    <row r="371" spans="2:5" ht="15" customHeight="1">
      <c r="B371" s="90"/>
      <c r="C371" s="54" t="s">
        <v>145</v>
      </c>
      <c r="D371" s="55">
        <v>1</v>
      </c>
      <c r="E371" s="56">
        <v>5.3265153936E-5</v>
      </c>
    </row>
    <row r="372" spans="2:5" ht="15" customHeight="1">
      <c r="B372" s="90"/>
      <c r="C372" s="54" t="s">
        <v>131</v>
      </c>
      <c r="D372" s="55">
        <v>149</v>
      </c>
      <c r="E372" s="56">
        <v>7.9365079365080003E-3</v>
      </c>
    </row>
    <row r="373" spans="2:5" ht="15" customHeight="1">
      <c r="B373" s="90"/>
      <c r="C373" s="54" t="s">
        <v>141</v>
      </c>
      <c r="D373" s="55">
        <v>2</v>
      </c>
      <c r="E373" s="56">
        <v>1.06530307873E-4</v>
      </c>
    </row>
    <row r="374" spans="2:5" ht="15" customHeight="1">
      <c r="B374" s="90"/>
      <c r="C374" s="54" t="s">
        <v>162</v>
      </c>
      <c r="D374" s="55">
        <v>1</v>
      </c>
      <c r="E374" s="56">
        <v>5.3265153936E-5</v>
      </c>
    </row>
    <row r="375" spans="2:5" ht="15" customHeight="1">
      <c r="B375" s="90"/>
      <c r="C375" s="54" t="s">
        <v>161</v>
      </c>
      <c r="D375" s="55">
        <v>2</v>
      </c>
      <c r="E375" s="56">
        <v>1.06530307873E-4</v>
      </c>
    </row>
    <row r="376" spans="2:5" ht="15" customHeight="1">
      <c r="B376" s="90"/>
      <c r="C376" s="54" t="s">
        <v>147</v>
      </c>
      <c r="D376" s="55">
        <v>7</v>
      </c>
      <c r="E376" s="56">
        <v>3.7285607755399997E-4</v>
      </c>
    </row>
    <row r="377" spans="2:5" ht="15" customHeight="1">
      <c r="B377" s="90"/>
      <c r="C377" s="54" t="s">
        <v>148</v>
      </c>
      <c r="D377" s="55">
        <v>2</v>
      </c>
      <c r="E377" s="56">
        <v>1.06530307873E-4</v>
      </c>
    </row>
    <row r="378" spans="2:5" ht="15" customHeight="1">
      <c r="B378" s="91"/>
      <c r="C378" s="65" t="s">
        <v>321</v>
      </c>
      <c r="D378" s="64">
        <v>400</v>
      </c>
      <c r="E378" s="66">
        <v>2.1306061574518E-2</v>
      </c>
    </row>
    <row r="379" spans="2:5" ht="15" customHeight="1">
      <c r="B379" s="89" t="s">
        <v>110</v>
      </c>
      <c r="C379" s="54" t="s">
        <v>158</v>
      </c>
      <c r="D379" s="55">
        <v>3</v>
      </c>
      <c r="E379" s="56">
        <v>1.5979546180899999E-4</v>
      </c>
    </row>
    <row r="380" spans="2:5" ht="15" customHeight="1">
      <c r="B380" s="90"/>
      <c r="C380" s="54" t="s">
        <v>136</v>
      </c>
      <c r="D380" s="55">
        <v>74</v>
      </c>
      <c r="E380" s="56">
        <v>3.9416213912860003E-3</v>
      </c>
    </row>
    <row r="381" spans="2:5" ht="15" customHeight="1">
      <c r="B381" s="90"/>
      <c r="C381" s="54" t="s">
        <v>144</v>
      </c>
      <c r="D381" s="55">
        <v>12</v>
      </c>
      <c r="E381" s="56">
        <v>6.3918184723599995E-4</v>
      </c>
    </row>
    <row r="382" spans="2:5" ht="15" customHeight="1">
      <c r="B382" s="90"/>
      <c r="C382" s="54" t="s">
        <v>135</v>
      </c>
      <c r="D382" s="55">
        <v>70</v>
      </c>
      <c r="E382" s="56">
        <v>3.728560775541E-3</v>
      </c>
    </row>
    <row r="383" spans="2:5" ht="15" customHeight="1">
      <c r="B383" s="90"/>
      <c r="C383" s="54" t="s">
        <v>132</v>
      </c>
      <c r="D383" s="55">
        <v>183</v>
      </c>
      <c r="E383" s="56">
        <v>9.7475231703420002E-3</v>
      </c>
    </row>
    <row r="384" spans="2:5" ht="15" customHeight="1">
      <c r="B384" s="90"/>
      <c r="C384" s="54" t="s">
        <v>167</v>
      </c>
      <c r="D384" s="55">
        <v>1</v>
      </c>
      <c r="E384" s="56">
        <v>5.3265153936E-5</v>
      </c>
    </row>
    <row r="385" spans="2:5" ht="15" customHeight="1">
      <c r="B385" s="90"/>
      <c r="C385" s="54" t="s">
        <v>149</v>
      </c>
      <c r="D385" s="55">
        <v>7</v>
      </c>
      <c r="E385" s="56">
        <v>3.7285607755399997E-4</v>
      </c>
    </row>
    <row r="386" spans="2:5" ht="15" customHeight="1">
      <c r="B386" s="90"/>
      <c r="C386" s="54" t="s">
        <v>153</v>
      </c>
      <c r="D386" s="55">
        <v>5</v>
      </c>
      <c r="E386" s="56">
        <v>2.6632576968100001E-4</v>
      </c>
    </row>
    <row r="387" spans="2:5" ht="15" customHeight="1">
      <c r="B387" s="90"/>
      <c r="C387" s="54" t="s">
        <v>152</v>
      </c>
      <c r="D387" s="55">
        <v>9</v>
      </c>
      <c r="E387" s="56">
        <v>4.7938638542699999E-4</v>
      </c>
    </row>
    <row r="388" spans="2:5" ht="15" customHeight="1">
      <c r="B388" s="90"/>
      <c r="C388" s="54" t="s">
        <v>138</v>
      </c>
      <c r="D388" s="55">
        <v>14</v>
      </c>
      <c r="E388" s="56">
        <v>7.4571215510799995E-4</v>
      </c>
    </row>
    <row r="389" spans="2:5" ht="15" customHeight="1">
      <c r="B389" s="90"/>
      <c r="C389" s="54" t="s">
        <v>146</v>
      </c>
      <c r="D389" s="55">
        <v>5</v>
      </c>
      <c r="E389" s="56">
        <v>2.6632576968100001E-4</v>
      </c>
    </row>
    <row r="390" spans="2:5" ht="15" customHeight="1">
      <c r="B390" s="90"/>
      <c r="C390" s="54" t="s">
        <v>151</v>
      </c>
      <c r="D390" s="55">
        <v>9</v>
      </c>
      <c r="E390" s="56">
        <v>4.7938638542699999E-4</v>
      </c>
    </row>
    <row r="391" spans="2:5" ht="15" customHeight="1">
      <c r="B391" s="90"/>
      <c r="C391" s="54" t="s">
        <v>137</v>
      </c>
      <c r="D391" s="55">
        <v>110</v>
      </c>
      <c r="E391" s="56">
        <v>5.8591669329920004E-3</v>
      </c>
    </row>
    <row r="392" spans="2:5" ht="15" customHeight="1">
      <c r="B392" s="90"/>
      <c r="C392" s="54" t="s">
        <v>157</v>
      </c>
      <c r="D392" s="55">
        <v>11</v>
      </c>
      <c r="E392" s="56">
        <v>5.8591669329900004E-4</v>
      </c>
    </row>
    <row r="393" spans="2:5" ht="15" customHeight="1">
      <c r="B393" s="90"/>
      <c r="C393" s="54" t="s">
        <v>155</v>
      </c>
      <c r="D393" s="55">
        <v>6</v>
      </c>
      <c r="E393" s="56">
        <v>3.1959092361799997E-4</v>
      </c>
    </row>
    <row r="394" spans="2:5" ht="15" customHeight="1">
      <c r="B394" s="90"/>
      <c r="C394" s="54" t="s">
        <v>156</v>
      </c>
      <c r="D394" s="55">
        <v>1</v>
      </c>
      <c r="E394" s="56">
        <v>5.3265153936E-5</v>
      </c>
    </row>
    <row r="395" spans="2:5" ht="15" customHeight="1">
      <c r="B395" s="90"/>
      <c r="C395" s="54" t="s">
        <v>143</v>
      </c>
      <c r="D395" s="55">
        <v>12</v>
      </c>
      <c r="E395" s="56">
        <v>6.3918184723599995E-4</v>
      </c>
    </row>
    <row r="396" spans="2:5" ht="15" customHeight="1">
      <c r="B396" s="90"/>
      <c r="C396" s="54" t="s">
        <v>154</v>
      </c>
      <c r="D396" s="55">
        <v>5</v>
      </c>
      <c r="E396" s="56">
        <v>2.6632576968100001E-4</v>
      </c>
    </row>
    <row r="397" spans="2:5" ht="15" customHeight="1">
      <c r="B397" s="90"/>
      <c r="C397" s="54" t="s">
        <v>140</v>
      </c>
      <c r="D397" s="55">
        <v>33</v>
      </c>
      <c r="E397" s="56">
        <v>1.7577500798980001E-3</v>
      </c>
    </row>
    <row r="398" spans="2:5" ht="15" customHeight="1">
      <c r="B398" s="90"/>
      <c r="C398" s="54" t="s">
        <v>142</v>
      </c>
      <c r="D398" s="55">
        <v>13</v>
      </c>
      <c r="E398" s="56">
        <v>6.92447001172E-4</v>
      </c>
    </row>
    <row r="399" spans="2:5" ht="15" customHeight="1">
      <c r="B399" s="90"/>
      <c r="C399" s="54" t="s">
        <v>139</v>
      </c>
      <c r="D399" s="55">
        <v>49</v>
      </c>
      <c r="E399" s="56">
        <v>2.6099925428780001E-3</v>
      </c>
    </row>
    <row r="400" spans="2:5" ht="15" customHeight="1">
      <c r="B400" s="90"/>
      <c r="C400" s="54" t="s">
        <v>171</v>
      </c>
      <c r="D400" s="55">
        <v>1</v>
      </c>
      <c r="E400" s="56">
        <v>5.3265153936E-5</v>
      </c>
    </row>
    <row r="401" spans="2:5" ht="15" customHeight="1">
      <c r="B401" s="90"/>
      <c r="C401" s="54" t="s">
        <v>133</v>
      </c>
      <c r="D401" s="55">
        <v>122</v>
      </c>
      <c r="E401" s="56">
        <v>6.4983487802280004E-3</v>
      </c>
    </row>
    <row r="402" spans="2:5" ht="15" customHeight="1">
      <c r="B402" s="90"/>
      <c r="C402" s="54" t="s">
        <v>163</v>
      </c>
      <c r="D402" s="55">
        <v>1</v>
      </c>
      <c r="E402" s="56">
        <v>5.3265153936E-5</v>
      </c>
    </row>
    <row r="403" spans="2:5" ht="15" customHeight="1">
      <c r="B403" s="90"/>
      <c r="C403" s="54" t="s">
        <v>150</v>
      </c>
      <c r="D403" s="55">
        <v>10</v>
      </c>
      <c r="E403" s="56">
        <v>5.3265153936299999E-4</v>
      </c>
    </row>
    <row r="404" spans="2:5" ht="15" customHeight="1">
      <c r="B404" s="90"/>
      <c r="C404" s="54" t="s">
        <v>165</v>
      </c>
      <c r="D404" s="55">
        <v>2</v>
      </c>
      <c r="E404" s="56">
        <v>1.06530307873E-4</v>
      </c>
    </row>
    <row r="405" spans="2:5" ht="15" customHeight="1">
      <c r="B405" s="90"/>
      <c r="C405" s="54" t="s">
        <v>159</v>
      </c>
      <c r="D405" s="55">
        <v>1</v>
      </c>
      <c r="E405" s="56">
        <v>5.3265153936E-5</v>
      </c>
    </row>
    <row r="406" spans="2:5" ht="15" customHeight="1">
      <c r="B406" s="90"/>
      <c r="C406" s="54" t="s">
        <v>134</v>
      </c>
      <c r="D406" s="55">
        <v>126</v>
      </c>
      <c r="E406" s="56">
        <v>6.7114093959729998E-3</v>
      </c>
    </row>
    <row r="407" spans="2:5" ht="15" customHeight="1">
      <c r="B407" s="90"/>
      <c r="C407" s="54" t="s">
        <v>168</v>
      </c>
      <c r="D407" s="55">
        <v>1</v>
      </c>
      <c r="E407" s="56">
        <v>5.3265153936E-5</v>
      </c>
    </row>
    <row r="408" spans="2:5" ht="15" customHeight="1">
      <c r="B408" s="90"/>
      <c r="C408" s="54" t="s">
        <v>164</v>
      </c>
      <c r="D408" s="55">
        <v>2</v>
      </c>
      <c r="E408" s="56">
        <v>1.06530307873E-4</v>
      </c>
    </row>
    <row r="409" spans="2:5" ht="15" customHeight="1">
      <c r="B409" s="90"/>
      <c r="C409" s="54" t="s">
        <v>166</v>
      </c>
      <c r="D409" s="55">
        <v>2</v>
      </c>
      <c r="E409" s="56">
        <v>1.06530307873E-4</v>
      </c>
    </row>
    <row r="410" spans="2:5" ht="15" customHeight="1">
      <c r="B410" s="90"/>
      <c r="C410" s="54" t="s">
        <v>145</v>
      </c>
      <c r="D410" s="55">
        <v>11</v>
      </c>
      <c r="E410" s="56">
        <v>5.8591669329900004E-4</v>
      </c>
    </row>
    <row r="411" spans="2:5" ht="15" customHeight="1">
      <c r="B411" s="90"/>
      <c r="C411" s="54" t="s">
        <v>131</v>
      </c>
      <c r="D411" s="55">
        <v>505</v>
      </c>
      <c r="E411" s="56">
        <v>2.6898902737829002E-2</v>
      </c>
    </row>
    <row r="412" spans="2:5" ht="15" customHeight="1">
      <c r="B412" s="90"/>
      <c r="C412" s="54" t="s">
        <v>141</v>
      </c>
      <c r="D412" s="55">
        <v>9</v>
      </c>
      <c r="E412" s="56">
        <v>4.7938638542699999E-4</v>
      </c>
    </row>
    <row r="413" spans="2:5" ht="15" customHeight="1">
      <c r="B413" s="90"/>
      <c r="C413" s="54" t="s">
        <v>162</v>
      </c>
      <c r="D413" s="55">
        <v>2</v>
      </c>
      <c r="E413" s="56">
        <v>1.06530307873E-4</v>
      </c>
    </row>
    <row r="414" spans="2:5" ht="15" customHeight="1">
      <c r="B414" s="90"/>
      <c r="C414" s="54" t="s">
        <v>147</v>
      </c>
      <c r="D414" s="55">
        <v>9</v>
      </c>
      <c r="E414" s="56">
        <v>4.7938638542699999E-4</v>
      </c>
    </row>
    <row r="415" spans="2:5" ht="15" customHeight="1">
      <c r="B415" s="90"/>
      <c r="C415" s="54" t="s">
        <v>148</v>
      </c>
      <c r="D415" s="55">
        <v>9</v>
      </c>
      <c r="E415" s="56">
        <v>4.7938638542699999E-4</v>
      </c>
    </row>
    <row r="416" spans="2:5" ht="15" customHeight="1">
      <c r="B416" s="91"/>
      <c r="C416" s="65" t="s">
        <v>321</v>
      </c>
      <c r="D416" s="64">
        <v>1445</v>
      </c>
      <c r="E416" s="66">
        <v>7.6968147437946E-2</v>
      </c>
    </row>
    <row r="417" spans="2:5" ht="15" customHeight="1">
      <c r="B417" s="89" t="s">
        <v>111</v>
      </c>
      <c r="C417" s="54" t="s">
        <v>158</v>
      </c>
      <c r="D417" s="55">
        <v>12</v>
      </c>
      <c r="E417" s="56">
        <v>6.3918184723599995E-4</v>
      </c>
    </row>
    <row r="418" spans="2:5" ht="15" customHeight="1">
      <c r="B418" s="90"/>
      <c r="C418" s="54" t="s">
        <v>136</v>
      </c>
      <c r="D418" s="55">
        <v>266</v>
      </c>
      <c r="E418" s="56">
        <v>1.4168530947054E-2</v>
      </c>
    </row>
    <row r="419" spans="2:5" ht="15" customHeight="1">
      <c r="B419" s="90"/>
      <c r="C419" s="54" t="s">
        <v>144</v>
      </c>
      <c r="D419" s="55">
        <v>50</v>
      </c>
      <c r="E419" s="56">
        <v>2.6632576968149998E-3</v>
      </c>
    </row>
    <row r="420" spans="2:5" ht="15" customHeight="1">
      <c r="B420" s="90"/>
      <c r="C420" s="54" t="s">
        <v>135</v>
      </c>
      <c r="D420" s="55">
        <v>294</v>
      </c>
      <c r="E420" s="56">
        <v>1.5659955257270999E-2</v>
      </c>
    </row>
    <row r="421" spans="2:5" ht="15" customHeight="1">
      <c r="B421" s="90"/>
      <c r="C421" s="54" t="s">
        <v>132</v>
      </c>
      <c r="D421" s="55">
        <v>549</v>
      </c>
      <c r="E421" s="56">
        <v>2.9242569511025999E-2</v>
      </c>
    </row>
    <row r="422" spans="2:5" ht="15" customHeight="1">
      <c r="B422" s="90"/>
      <c r="C422" s="54" t="s">
        <v>169</v>
      </c>
      <c r="D422" s="55">
        <v>4</v>
      </c>
      <c r="E422" s="56">
        <v>2.1306061574499999E-4</v>
      </c>
    </row>
    <row r="423" spans="2:5" ht="15" customHeight="1">
      <c r="B423" s="90"/>
      <c r="C423" s="54" t="s">
        <v>167</v>
      </c>
      <c r="D423" s="55">
        <v>3</v>
      </c>
      <c r="E423" s="56">
        <v>1.5979546180899999E-4</v>
      </c>
    </row>
    <row r="424" spans="2:5" ht="15" customHeight="1">
      <c r="B424" s="90"/>
      <c r="C424" s="54" t="s">
        <v>149</v>
      </c>
      <c r="D424" s="55">
        <v>23</v>
      </c>
      <c r="E424" s="56">
        <v>1.225098540535E-3</v>
      </c>
    </row>
    <row r="425" spans="2:5" ht="15" customHeight="1">
      <c r="B425" s="90"/>
      <c r="C425" s="54" t="s">
        <v>153</v>
      </c>
      <c r="D425" s="55">
        <v>15</v>
      </c>
      <c r="E425" s="56">
        <v>7.98977309044E-4</v>
      </c>
    </row>
    <row r="426" spans="2:5" ht="15" customHeight="1">
      <c r="B426" s="90"/>
      <c r="C426" s="54" t="s">
        <v>152</v>
      </c>
      <c r="D426" s="55">
        <v>15</v>
      </c>
      <c r="E426" s="56">
        <v>7.98977309044E-4</v>
      </c>
    </row>
    <row r="427" spans="2:5" ht="15" customHeight="1">
      <c r="B427" s="90"/>
      <c r="C427" s="54" t="s">
        <v>138</v>
      </c>
      <c r="D427" s="55">
        <v>114</v>
      </c>
      <c r="E427" s="56">
        <v>6.0722275487379998E-3</v>
      </c>
    </row>
    <row r="428" spans="2:5" ht="15" customHeight="1">
      <c r="B428" s="90"/>
      <c r="C428" s="54" t="s">
        <v>146</v>
      </c>
      <c r="D428" s="55">
        <v>41</v>
      </c>
      <c r="E428" s="56">
        <v>2.183871311388E-3</v>
      </c>
    </row>
    <row r="429" spans="2:5" ht="15" customHeight="1">
      <c r="B429" s="90"/>
      <c r="C429" s="54" t="s">
        <v>151</v>
      </c>
      <c r="D429" s="55">
        <v>21</v>
      </c>
      <c r="E429" s="56">
        <v>1.118568232662E-3</v>
      </c>
    </row>
    <row r="430" spans="2:5" ht="15" customHeight="1">
      <c r="B430" s="90"/>
      <c r="C430" s="54" t="s">
        <v>137</v>
      </c>
      <c r="D430" s="55">
        <v>257</v>
      </c>
      <c r="E430" s="56">
        <v>1.3689144561628E-2</v>
      </c>
    </row>
    <row r="431" spans="2:5" ht="15" customHeight="1">
      <c r="B431" s="90"/>
      <c r="C431" s="54" t="s">
        <v>157</v>
      </c>
      <c r="D431" s="55">
        <v>13</v>
      </c>
      <c r="E431" s="56">
        <v>6.92447001172E-4</v>
      </c>
    </row>
    <row r="432" spans="2:5" ht="15" customHeight="1">
      <c r="B432" s="90"/>
      <c r="C432" s="54" t="s">
        <v>155</v>
      </c>
      <c r="D432" s="55">
        <v>20</v>
      </c>
      <c r="E432" s="56">
        <v>1.065303078726E-3</v>
      </c>
    </row>
    <row r="433" spans="2:5" ht="15" customHeight="1">
      <c r="B433" s="90"/>
      <c r="C433" s="54" t="s">
        <v>172</v>
      </c>
      <c r="D433" s="55">
        <v>2</v>
      </c>
      <c r="E433" s="56">
        <v>1.06530307873E-4</v>
      </c>
    </row>
    <row r="434" spans="2:5" ht="15" customHeight="1">
      <c r="B434" s="90"/>
      <c r="C434" s="54" t="s">
        <v>176</v>
      </c>
      <c r="D434" s="55">
        <v>1</v>
      </c>
      <c r="E434" s="56">
        <v>5.3265153936E-5</v>
      </c>
    </row>
    <row r="435" spans="2:5" ht="15" customHeight="1">
      <c r="B435" s="90"/>
      <c r="C435" s="54" t="s">
        <v>156</v>
      </c>
      <c r="D435" s="55">
        <v>17</v>
      </c>
      <c r="E435" s="56">
        <v>9.0550761691699996E-4</v>
      </c>
    </row>
    <row r="436" spans="2:5" ht="15" customHeight="1">
      <c r="B436" s="90"/>
      <c r="C436" s="54" t="s">
        <v>143</v>
      </c>
      <c r="D436" s="55">
        <v>46</v>
      </c>
      <c r="E436" s="56">
        <v>2.45019708107E-3</v>
      </c>
    </row>
    <row r="437" spans="2:5" ht="15" customHeight="1">
      <c r="B437" s="90"/>
      <c r="C437" s="54" t="s">
        <v>154</v>
      </c>
      <c r="D437" s="55">
        <v>19</v>
      </c>
      <c r="E437" s="56">
        <v>1.0120379247899999E-3</v>
      </c>
    </row>
    <row r="438" spans="2:5" ht="15" customHeight="1">
      <c r="B438" s="90"/>
      <c r="C438" s="54" t="s">
        <v>140</v>
      </c>
      <c r="D438" s="55">
        <v>89</v>
      </c>
      <c r="E438" s="56">
        <v>4.7405987003300001E-3</v>
      </c>
    </row>
    <row r="439" spans="2:5" ht="15" customHeight="1">
      <c r="B439" s="90"/>
      <c r="C439" s="54" t="s">
        <v>170</v>
      </c>
      <c r="D439" s="55">
        <v>3</v>
      </c>
      <c r="E439" s="56">
        <v>1.5979546180899999E-4</v>
      </c>
    </row>
    <row r="440" spans="2:5" ht="15" customHeight="1">
      <c r="B440" s="90"/>
      <c r="C440" s="54" t="s">
        <v>142</v>
      </c>
      <c r="D440" s="55">
        <v>55</v>
      </c>
      <c r="E440" s="56">
        <v>2.9295834664960002E-3</v>
      </c>
    </row>
    <row r="441" spans="2:5" ht="15" customHeight="1">
      <c r="B441" s="90"/>
      <c r="C441" s="54" t="s">
        <v>139</v>
      </c>
      <c r="D441" s="55">
        <v>113</v>
      </c>
      <c r="E441" s="56">
        <v>6.0189623948010001E-3</v>
      </c>
    </row>
    <row r="442" spans="2:5" ht="15" customHeight="1">
      <c r="B442" s="90"/>
      <c r="C442" s="54" t="s">
        <v>171</v>
      </c>
      <c r="D442" s="55">
        <v>2</v>
      </c>
      <c r="E442" s="56">
        <v>1.06530307873E-4</v>
      </c>
    </row>
    <row r="443" spans="2:5" ht="15" customHeight="1">
      <c r="B443" s="90"/>
      <c r="C443" s="54" t="s">
        <v>133</v>
      </c>
      <c r="D443" s="55">
        <v>434</v>
      </c>
      <c r="E443" s="56">
        <v>2.3117076808352E-2</v>
      </c>
    </row>
    <row r="444" spans="2:5" ht="15" customHeight="1">
      <c r="B444" s="90"/>
      <c r="C444" s="54" t="s">
        <v>163</v>
      </c>
      <c r="D444" s="55">
        <v>6</v>
      </c>
      <c r="E444" s="56">
        <v>3.1959092361799997E-4</v>
      </c>
    </row>
    <row r="445" spans="2:5" ht="15" customHeight="1">
      <c r="B445" s="90"/>
      <c r="C445" s="54" t="s">
        <v>150</v>
      </c>
      <c r="D445" s="55">
        <v>24</v>
      </c>
      <c r="E445" s="56">
        <v>1.278363694471E-3</v>
      </c>
    </row>
    <row r="446" spans="2:5" ht="15" customHeight="1">
      <c r="B446" s="90"/>
      <c r="C446" s="54" t="s">
        <v>165</v>
      </c>
      <c r="D446" s="55">
        <v>1</v>
      </c>
      <c r="E446" s="56">
        <v>5.3265153936E-5</v>
      </c>
    </row>
    <row r="447" spans="2:5" ht="15" customHeight="1">
      <c r="B447" s="90"/>
      <c r="C447" s="54" t="s">
        <v>159</v>
      </c>
      <c r="D447" s="55">
        <v>8</v>
      </c>
      <c r="E447" s="56">
        <v>4.2612123148999997E-4</v>
      </c>
    </row>
    <row r="448" spans="2:5" ht="15" customHeight="1">
      <c r="B448" s="90"/>
      <c r="C448" s="54" t="s">
        <v>134</v>
      </c>
      <c r="D448" s="55">
        <v>419</v>
      </c>
      <c r="E448" s="56">
        <v>2.2318099499307999E-2</v>
      </c>
    </row>
    <row r="449" spans="2:5" ht="15" customHeight="1">
      <c r="B449" s="90"/>
      <c r="C449" s="54" t="s">
        <v>168</v>
      </c>
      <c r="D449" s="55">
        <v>3</v>
      </c>
      <c r="E449" s="56">
        <v>1.5979546180899999E-4</v>
      </c>
    </row>
    <row r="450" spans="2:5" ht="15" customHeight="1">
      <c r="B450" s="90"/>
      <c r="C450" s="54" t="s">
        <v>164</v>
      </c>
      <c r="D450" s="55">
        <v>3</v>
      </c>
      <c r="E450" s="56">
        <v>1.5979546180899999E-4</v>
      </c>
    </row>
    <row r="451" spans="2:5" ht="15" customHeight="1">
      <c r="B451" s="90"/>
      <c r="C451" s="54" t="s">
        <v>160</v>
      </c>
      <c r="D451" s="55">
        <v>6</v>
      </c>
      <c r="E451" s="56">
        <v>3.1959092361799997E-4</v>
      </c>
    </row>
    <row r="452" spans="2:5" ht="15" customHeight="1">
      <c r="B452" s="90"/>
      <c r="C452" s="54" t="s">
        <v>166</v>
      </c>
      <c r="D452" s="55">
        <v>5</v>
      </c>
      <c r="E452" s="56">
        <v>2.6632576968100001E-4</v>
      </c>
    </row>
    <row r="453" spans="2:5" ht="15" customHeight="1">
      <c r="B453" s="90"/>
      <c r="C453" s="54" t="s">
        <v>145</v>
      </c>
      <c r="D453" s="55">
        <v>37</v>
      </c>
      <c r="E453" s="56">
        <v>1.9708106956430002E-3</v>
      </c>
    </row>
    <row r="454" spans="2:5" ht="15" customHeight="1">
      <c r="B454" s="90"/>
      <c r="C454" s="54" t="s">
        <v>131</v>
      </c>
      <c r="D454" s="55">
        <v>1710</v>
      </c>
      <c r="E454" s="56">
        <v>9.1083413231064003E-2</v>
      </c>
    </row>
    <row r="455" spans="2:5" ht="15" customHeight="1">
      <c r="B455" s="90"/>
      <c r="C455" s="54" t="s">
        <v>141</v>
      </c>
      <c r="D455" s="55">
        <v>70</v>
      </c>
      <c r="E455" s="56">
        <v>3.728560775541E-3</v>
      </c>
    </row>
    <row r="456" spans="2:5" ht="15" customHeight="1">
      <c r="B456" s="90"/>
      <c r="C456" s="54" t="s">
        <v>162</v>
      </c>
      <c r="D456" s="55">
        <v>3</v>
      </c>
      <c r="E456" s="56">
        <v>1.5979546180899999E-4</v>
      </c>
    </row>
    <row r="457" spans="2:5" ht="15" customHeight="1">
      <c r="B457" s="90"/>
      <c r="C457" s="54" t="s">
        <v>161</v>
      </c>
      <c r="D457" s="55">
        <v>6</v>
      </c>
      <c r="E457" s="56">
        <v>3.1959092361799997E-4</v>
      </c>
    </row>
    <row r="458" spans="2:5" ht="15" customHeight="1">
      <c r="B458" s="90"/>
      <c r="C458" s="54" t="s">
        <v>147</v>
      </c>
      <c r="D458" s="55">
        <v>31</v>
      </c>
      <c r="E458" s="56">
        <v>1.6512197720249999E-3</v>
      </c>
    </row>
    <row r="459" spans="2:5" ht="15" customHeight="1">
      <c r="B459" s="90"/>
      <c r="C459" s="54" t="s">
        <v>148</v>
      </c>
      <c r="D459" s="55">
        <v>21</v>
      </c>
      <c r="E459" s="56">
        <v>1.118568232662E-3</v>
      </c>
    </row>
    <row r="460" spans="2:5" ht="15" customHeight="1">
      <c r="B460" s="91"/>
      <c r="C460" s="65" t="s">
        <v>321</v>
      </c>
      <c r="D460" s="64">
        <v>4831</v>
      </c>
      <c r="E460" s="66">
        <v>0.25732395866624103</v>
      </c>
    </row>
    <row r="461" spans="2:5" ht="15" customHeight="1">
      <c r="B461" s="89" t="s">
        <v>112</v>
      </c>
      <c r="C461" s="54" t="s">
        <v>136</v>
      </c>
      <c r="D461" s="55">
        <v>7</v>
      </c>
      <c r="E461" s="56">
        <v>3.7285607755399997E-4</v>
      </c>
    </row>
    <row r="462" spans="2:5" ht="15" customHeight="1">
      <c r="B462" s="90"/>
      <c r="C462" s="54" t="s">
        <v>135</v>
      </c>
      <c r="D462" s="55">
        <v>16</v>
      </c>
      <c r="E462" s="56">
        <v>8.5224246298100002E-4</v>
      </c>
    </row>
    <row r="463" spans="2:5" ht="15" customHeight="1">
      <c r="B463" s="90"/>
      <c r="C463" s="54" t="s">
        <v>132</v>
      </c>
      <c r="D463" s="55">
        <v>13</v>
      </c>
      <c r="E463" s="56">
        <v>6.92447001172E-4</v>
      </c>
    </row>
    <row r="464" spans="2:5" ht="15" customHeight="1">
      <c r="B464" s="90"/>
      <c r="C464" s="54" t="s">
        <v>149</v>
      </c>
      <c r="D464" s="55">
        <v>2</v>
      </c>
      <c r="E464" s="56">
        <v>1.06530307873E-4</v>
      </c>
    </row>
    <row r="465" spans="2:5" ht="15" customHeight="1">
      <c r="B465" s="90"/>
      <c r="C465" s="54" t="s">
        <v>138</v>
      </c>
      <c r="D465" s="55">
        <v>3</v>
      </c>
      <c r="E465" s="56">
        <v>1.5979546180899999E-4</v>
      </c>
    </row>
    <row r="466" spans="2:5" ht="15" customHeight="1">
      <c r="B466" s="90"/>
      <c r="C466" s="54" t="s">
        <v>146</v>
      </c>
      <c r="D466" s="55">
        <v>2</v>
      </c>
      <c r="E466" s="56">
        <v>1.06530307873E-4</v>
      </c>
    </row>
    <row r="467" spans="2:5" ht="15" customHeight="1">
      <c r="B467" s="90"/>
      <c r="C467" s="54" t="s">
        <v>151</v>
      </c>
      <c r="D467" s="55">
        <v>1</v>
      </c>
      <c r="E467" s="56">
        <v>5.3265153936E-5</v>
      </c>
    </row>
    <row r="468" spans="2:5" ht="15" customHeight="1">
      <c r="B468" s="90"/>
      <c r="C468" s="54" t="s">
        <v>137</v>
      </c>
      <c r="D468" s="55">
        <v>12</v>
      </c>
      <c r="E468" s="56">
        <v>6.3918184723599995E-4</v>
      </c>
    </row>
    <row r="469" spans="2:5" ht="15" customHeight="1">
      <c r="B469" s="90"/>
      <c r="C469" s="54" t="s">
        <v>157</v>
      </c>
      <c r="D469" s="55">
        <v>2</v>
      </c>
      <c r="E469" s="56">
        <v>1.06530307873E-4</v>
      </c>
    </row>
    <row r="470" spans="2:5" ht="15" customHeight="1">
      <c r="B470" s="90"/>
      <c r="C470" s="54" t="s">
        <v>140</v>
      </c>
      <c r="D470" s="55">
        <v>4</v>
      </c>
      <c r="E470" s="56">
        <v>2.1306061574499999E-4</v>
      </c>
    </row>
    <row r="471" spans="2:5" ht="15" customHeight="1">
      <c r="B471" s="90"/>
      <c r="C471" s="54" t="s">
        <v>142</v>
      </c>
      <c r="D471" s="55">
        <v>3</v>
      </c>
      <c r="E471" s="56">
        <v>1.5979546180899999E-4</v>
      </c>
    </row>
    <row r="472" spans="2:5" ht="15" customHeight="1">
      <c r="B472" s="90"/>
      <c r="C472" s="54" t="s">
        <v>133</v>
      </c>
      <c r="D472" s="55">
        <v>12</v>
      </c>
      <c r="E472" s="56">
        <v>6.3918184723599995E-4</v>
      </c>
    </row>
    <row r="473" spans="2:5" ht="15" customHeight="1">
      <c r="B473" s="90"/>
      <c r="C473" s="54" t="s">
        <v>165</v>
      </c>
      <c r="D473" s="55">
        <v>1</v>
      </c>
      <c r="E473" s="56">
        <v>5.3265153936E-5</v>
      </c>
    </row>
    <row r="474" spans="2:5" ht="15" customHeight="1">
      <c r="B474" s="90"/>
      <c r="C474" s="54" t="s">
        <v>134</v>
      </c>
      <c r="D474" s="55">
        <v>5</v>
      </c>
      <c r="E474" s="56">
        <v>2.6632576968100001E-4</v>
      </c>
    </row>
    <row r="475" spans="2:5" ht="15" customHeight="1">
      <c r="B475" s="90"/>
      <c r="C475" s="54" t="s">
        <v>164</v>
      </c>
      <c r="D475" s="55">
        <v>1</v>
      </c>
      <c r="E475" s="56">
        <v>5.3265153936E-5</v>
      </c>
    </row>
    <row r="476" spans="2:5" ht="15" customHeight="1">
      <c r="B476" s="90"/>
      <c r="C476" s="54" t="s">
        <v>145</v>
      </c>
      <c r="D476" s="55">
        <v>1</v>
      </c>
      <c r="E476" s="56">
        <v>5.3265153936E-5</v>
      </c>
    </row>
    <row r="477" spans="2:5" ht="15" customHeight="1">
      <c r="B477" s="90"/>
      <c r="C477" s="54" t="s">
        <v>131</v>
      </c>
      <c r="D477" s="55">
        <v>38</v>
      </c>
      <c r="E477" s="56">
        <v>2.0240758495790002E-3</v>
      </c>
    </row>
    <row r="478" spans="2:5" ht="15" customHeight="1">
      <c r="B478" s="91"/>
      <c r="C478" s="65" t="s">
        <v>321</v>
      </c>
      <c r="D478" s="64">
        <v>123</v>
      </c>
      <c r="E478" s="66">
        <v>6.551613934164E-3</v>
      </c>
    </row>
    <row r="479" spans="2:5" ht="15" customHeight="1">
      <c r="B479" s="89" t="s">
        <v>113</v>
      </c>
      <c r="C479" s="54" t="s">
        <v>136</v>
      </c>
      <c r="D479" s="55">
        <v>7</v>
      </c>
      <c r="E479" s="56">
        <v>3.7285607755399997E-4</v>
      </c>
    </row>
    <row r="480" spans="2:5" ht="15" customHeight="1">
      <c r="B480" s="90"/>
      <c r="C480" s="54" t="s">
        <v>144</v>
      </c>
      <c r="D480" s="55">
        <v>1</v>
      </c>
      <c r="E480" s="56">
        <v>5.3265153936E-5</v>
      </c>
    </row>
    <row r="481" spans="2:5" ht="15" customHeight="1">
      <c r="B481" s="90"/>
      <c r="C481" s="54" t="s">
        <v>135</v>
      </c>
      <c r="D481" s="55">
        <v>7</v>
      </c>
      <c r="E481" s="56">
        <v>3.7285607755399997E-4</v>
      </c>
    </row>
    <row r="482" spans="2:5" ht="15" customHeight="1">
      <c r="B482" s="90"/>
      <c r="C482" s="54" t="s">
        <v>132</v>
      </c>
      <c r="D482" s="55">
        <v>19</v>
      </c>
      <c r="E482" s="56">
        <v>1.0120379247899999E-3</v>
      </c>
    </row>
    <row r="483" spans="2:5" ht="15" customHeight="1">
      <c r="B483" s="90"/>
      <c r="C483" s="54" t="s">
        <v>153</v>
      </c>
      <c r="D483" s="55">
        <v>1</v>
      </c>
      <c r="E483" s="56">
        <v>5.3265153936E-5</v>
      </c>
    </row>
    <row r="484" spans="2:5" ht="15" customHeight="1">
      <c r="B484" s="90"/>
      <c r="C484" s="54" t="s">
        <v>138</v>
      </c>
      <c r="D484" s="55">
        <v>4</v>
      </c>
      <c r="E484" s="56">
        <v>2.1306061574499999E-4</v>
      </c>
    </row>
    <row r="485" spans="2:5" ht="15" customHeight="1">
      <c r="B485" s="90"/>
      <c r="C485" s="54" t="s">
        <v>146</v>
      </c>
      <c r="D485" s="55">
        <v>1</v>
      </c>
      <c r="E485" s="56">
        <v>5.3265153936E-5</v>
      </c>
    </row>
    <row r="486" spans="2:5" ht="15" customHeight="1">
      <c r="B486" s="90"/>
      <c r="C486" s="54" t="s">
        <v>151</v>
      </c>
      <c r="D486" s="55">
        <v>1</v>
      </c>
      <c r="E486" s="56">
        <v>5.3265153936E-5</v>
      </c>
    </row>
    <row r="487" spans="2:5" ht="15" customHeight="1">
      <c r="B487" s="90"/>
      <c r="C487" s="54" t="s">
        <v>137</v>
      </c>
      <c r="D487" s="55">
        <v>8</v>
      </c>
      <c r="E487" s="56">
        <v>4.2612123148999997E-4</v>
      </c>
    </row>
    <row r="488" spans="2:5" ht="15" customHeight="1">
      <c r="B488" s="90"/>
      <c r="C488" s="54" t="s">
        <v>155</v>
      </c>
      <c r="D488" s="55">
        <v>1</v>
      </c>
      <c r="E488" s="56">
        <v>5.3265153936E-5</v>
      </c>
    </row>
    <row r="489" spans="2:5" ht="15" customHeight="1">
      <c r="B489" s="90"/>
      <c r="C489" s="54" t="s">
        <v>143</v>
      </c>
      <c r="D489" s="55">
        <v>3</v>
      </c>
      <c r="E489" s="56">
        <v>1.5979546180899999E-4</v>
      </c>
    </row>
    <row r="490" spans="2:5" ht="15" customHeight="1">
      <c r="B490" s="90"/>
      <c r="C490" s="54" t="s">
        <v>140</v>
      </c>
      <c r="D490" s="55">
        <v>5</v>
      </c>
      <c r="E490" s="56">
        <v>2.6632576968100001E-4</v>
      </c>
    </row>
    <row r="491" spans="2:5" ht="15" customHeight="1">
      <c r="B491" s="90"/>
      <c r="C491" s="54" t="s">
        <v>142</v>
      </c>
      <c r="D491" s="55">
        <v>1</v>
      </c>
      <c r="E491" s="56">
        <v>5.3265153936E-5</v>
      </c>
    </row>
    <row r="492" spans="2:5" ht="15" customHeight="1">
      <c r="B492" s="90"/>
      <c r="C492" s="54" t="s">
        <v>133</v>
      </c>
      <c r="D492" s="55">
        <v>8</v>
      </c>
      <c r="E492" s="56">
        <v>4.2612123148999997E-4</v>
      </c>
    </row>
    <row r="493" spans="2:5" ht="15" customHeight="1">
      <c r="B493" s="90"/>
      <c r="C493" s="54" t="s">
        <v>134</v>
      </c>
      <c r="D493" s="55">
        <v>11</v>
      </c>
      <c r="E493" s="56">
        <v>5.8591669329900004E-4</v>
      </c>
    </row>
    <row r="494" spans="2:5" ht="15" customHeight="1">
      <c r="B494" s="90"/>
      <c r="C494" s="54" t="s">
        <v>166</v>
      </c>
      <c r="D494" s="55">
        <v>1</v>
      </c>
      <c r="E494" s="56">
        <v>5.3265153936E-5</v>
      </c>
    </row>
    <row r="495" spans="2:5" ht="15" customHeight="1">
      <c r="B495" s="90"/>
      <c r="C495" s="54" t="s">
        <v>131</v>
      </c>
      <c r="D495" s="55">
        <v>39</v>
      </c>
      <c r="E495" s="56">
        <v>2.0773410035159999E-3</v>
      </c>
    </row>
    <row r="496" spans="2:5" ht="15" customHeight="1">
      <c r="B496" s="90"/>
      <c r="C496" s="54" t="s">
        <v>141</v>
      </c>
      <c r="D496" s="55">
        <v>1</v>
      </c>
      <c r="E496" s="56">
        <v>5.3265153936E-5</v>
      </c>
    </row>
    <row r="497" spans="2:5" ht="15" customHeight="1">
      <c r="B497" s="91"/>
      <c r="C497" s="65" t="s">
        <v>321</v>
      </c>
      <c r="D497" s="64">
        <v>119</v>
      </c>
      <c r="E497" s="66">
        <v>6.3385533184189997E-3</v>
      </c>
    </row>
    <row r="498" spans="2:5" ht="15" customHeight="1">
      <c r="B498" s="89" t="s">
        <v>114</v>
      </c>
      <c r="C498" s="54" t="s">
        <v>136</v>
      </c>
      <c r="D498" s="55">
        <v>3</v>
      </c>
      <c r="E498" s="56">
        <v>1.5979546180899999E-4</v>
      </c>
    </row>
    <row r="499" spans="2:5" ht="15" customHeight="1">
      <c r="B499" s="90"/>
      <c r="C499" s="54" t="s">
        <v>144</v>
      </c>
      <c r="D499" s="55">
        <v>1</v>
      </c>
      <c r="E499" s="56">
        <v>5.3265153936E-5</v>
      </c>
    </row>
    <row r="500" spans="2:5" ht="15" customHeight="1">
      <c r="B500" s="90"/>
      <c r="C500" s="54" t="s">
        <v>135</v>
      </c>
      <c r="D500" s="55">
        <v>2</v>
      </c>
      <c r="E500" s="56">
        <v>1.06530307873E-4</v>
      </c>
    </row>
    <row r="501" spans="2:5" ht="15" customHeight="1">
      <c r="B501" s="90"/>
      <c r="C501" s="54" t="s">
        <v>132</v>
      </c>
      <c r="D501" s="55">
        <v>4</v>
      </c>
      <c r="E501" s="56">
        <v>2.1306061574499999E-4</v>
      </c>
    </row>
    <row r="502" spans="2:5" ht="15" customHeight="1">
      <c r="B502" s="90"/>
      <c r="C502" s="54" t="s">
        <v>149</v>
      </c>
      <c r="D502" s="55">
        <v>1</v>
      </c>
      <c r="E502" s="56">
        <v>5.3265153936E-5</v>
      </c>
    </row>
    <row r="503" spans="2:5" ht="15" customHeight="1">
      <c r="B503" s="90"/>
      <c r="C503" s="54" t="s">
        <v>138</v>
      </c>
      <c r="D503" s="55">
        <v>1</v>
      </c>
      <c r="E503" s="56">
        <v>5.3265153936E-5</v>
      </c>
    </row>
    <row r="504" spans="2:5" ht="15" customHeight="1">
      <c r="B504" s="90"/>
      <c r="C504" s="54" t="s">
        <v>151</v>
      </c>
      <c r="D504" s="55">
        <v>1</v>
      </c>
      <c r="E504" s="56">
        <v>5.3265153936E-5</v>
      </c>
    </row>
    <row r="505" spans="2:5" ht="15" customHeight="1">
      <c r="B505" s="90"/>
      <c r="C505" s="54" t="s">
        <v>137</v>
      </c>
      <c r="D505" s="55">
        <v>2</v>
      </c>
      <c r="E505" s="56">
        <v>1.06530307873E-4</v>
      </c>
    </row>
    <row r="506" spans="2:5" ht="15" customHeight="1">
      <c r="B506" s="90"/>
      <c r="C506" s="54" t="s">
        <v>155</v>
      </c>
      <c r="D506" s="55">
        <v>1</v>
      </c>
      <c r="E506" s="56">
        <v>5.3265153936E-5</v>
      </c>
    </row>
    <row r="507" spans="2:5" ht="15" customHeight="1">
      <c r="B507" s="90"/>
      <c r="C507" s="54" t="s">
        <v>139</v>
      </c>
      <c r="D507" s="55">
        <v>2</v>
      </c>
      <c r="E507" s="56">
        <v>1.06530307873E-4</v>
      </c>
    </row>
    <row r="508" spans="2:5" ht="15" customHeight="1">
      <c r="B508" s="90"/>
      <c r="C508" s="54" t="s">
        <v>133</v>
      </c>
      <c r="D508" s="55">
        <v>2</v>
      </c>
      <c r="E508" s="56">
        <v>1.06530307873E-4</v>
      </c>
    </row>
    <row r="509" spans="2:5" ht="15" customHeight="1">
      <c r="B509" s="90"/>
      <c r="C509" s="54" t="s">
        <v>159</v>
      </c>
      <c r="D509" s="55">
        <v>1</v>
      </c>
      <c r="E509" s="56">
        <v>5.3265153936E-5</v>
      </c>
    </row>
    <row r="510" spans="2:5" ht="15" customHeight="1">
      <c r="B510" s="90"/>
      <c r="C510" s="54" t="s">
        <v>134</v>
      </c>
      <c r="D510" s="55">
        <v>2</v>
      </c>
      <c r="E510" s="56">
        <v>1.06530307873E-4</v>
      </c>
    </row>
    <row r="511" spans="2:5" ht="15" customHeight="1">
      <c r="B511" s="90"/>
      <c r="C511" s="54" t="s">
        <v>131</v>
      </c>
      <c r="D511" s="55">
        <v>20</v>
      </c>
      <c r="E511" s="56">
        <v>1.065303078726E-3</v>
      </c>
    </row>
    <row r="512" spans="2:5" ht="15" customHeight="1">
      <c r="B512" s="91"/>
      <c r="C512" s="65" t="s">
        <v>321</v>
      </c>
      <c r="D512" s="64">
        <v>43</v>
      </c>
      <c r="E512" s="66">
        <v>2.2904016192610002E-3</v>
      </c>
    </row>
    <row r="513" spans="2:5" ht="15" customHeight="1">
      <c r="B513" s="89" t="s">
        <v>115</v>
      </c>
      <c r="C513" s="54" t="s">
        <v>136</v>
      </c>
      <c r="D513" s="55">
        <v>2</v>
      </c>
      <c r="E513" s="56">
        <v>1.06530307873E-4</v>
      </c>
    </row>
    <row r="514" spans="2:5" ht="15" customHeight="1">
      <c r="B514" s="90"/>
      <c r="C514" s="54" t="s">
        <v>135</v>
      </c>
      <c r="D514" s="55">
        <v>3</v>
      </c>
      <c r="E514" s="56">
        <v>1.5979546180899999E-4</v>
      </c>
    </row>
    <row r="515" spans="2:5" ht="15" customHeight="1">
      <c r="B515" s="90"/>
      <c r="C515" s="54" t="s">
        <v>132</v>
      </c>
      <c r="D515" s="55">
        <v>1</v>
      </c>
      <c r="E515" s="56">
        <v>5.3265153936E-5</v>
      </c>
    </row>
    <row r="516" spans="2:5" ht="15" customHeight="1">
      <c r="B516" s="90"/>
      <c r="C516" s="54" t="s">
        <v>149</v>
      </c>
      <c r="D516" s="55">
        <v>1</v>
      </c>
      <c r="E516" s="56">
        <v>5.3265153936E-5</v>
      </c>
    </row>
    <row r="517" spans="2:5" ht="15" customHeight="1">
      <c r="B517" s="90"/>
      <c r="C517" s="54" t="s">
        <v>153</v>
      </c>
      <c r="D517" s="55">
        <v>1</v>
      </c>
      <c r="E517" s="56">
        <v>5.3265153936E-5</v>
      </c>
    </row>
    <row r="518" spans="2:5" ht="15" customHeight="1">
      <c r="B518" s="90"/>
      <c r="C518" s="54" t="s">
        <v>138</v>
      </c>
      <c r="D518" s="55">
        <v>2</v>
      </c>
      <c r="E518" s="56">
        <v>1.06530307873E-4</v>
      </c>
    </row>
    <row r="519" spans="2:5" ht="15" customHeight="1">
      <c r="B519" s="90"/>
      <c r="C519" s="54" t="s">
        <v>146</v>
      </c>
      <c r="D519" s="55">
        <v>1</v>
      </c>
      <c r="E519" s="56">
        <v>5.3265153936E-5</v>
      </c>
    </row>
    <row r="520" spans="2:5" ht="15" customHeight="1">
      <c r="B520" s="90"/>
      <c r="C520" s="54" t="s">
        <v>151</v>
      </c>
      <c r="D520" s="55">
        <v>1</v>
      </c>
      <c r="E520" s="56">
        <v>5.3265153936E-5</v>
      </c>
    </row>
    <row r="521" spans="2:5" ht="15" customHeight="1">
      <c r="B521" s="90"/>
      <c r="C521" s="54" t="s">
        <v>137</v>
      </c>
      <c r="D521" s="55">
        <v>4</v>
      </c>
      <c r="E521" s="56">
        <v>2.1306061574499999E-4</v>
      </c>
    </row>
    <row r="522" spans="2:5" ht="15" customHeight="1">
      <c r="B522" s="90"/>
      <c r="C522" s="54" t="s">
        <v>156</v>
      </c>
      <c r="D522" s="55">
        <v>1</v>
      </c>
      <c r="E522" s="56">
        <v>5.3265153936E-5</v>
      </c>
    </row>
    <row r="523" spans="2:5" ht="15" customHeight="1">
      <c r="B523" s="90"/>
      <c r="C523" s="54" t="s">
        <v>139</v>
      </c>
      <c r="D523" s="55">
        <v>2</v>
      </c>
      <c r="E523" s="56">
        <v>1.06530307873E-4</v>
      </c>
    </row>
    <row r="524" spans="2:5" ht="15" customHeight="1">
      <c r="B524" s="90"/>
      <c r="C524" s="54" t="s">
        <v>133</v>
      </c>
      <c r="D524" s="55">
        <v>3</v>
      </c>
      <c r="E524" s="56">
        <v>1.5979546180899999E-4</v>
      </c>
    </row>
    <row r="525" spans="2:5" ht="15" customHeight="1">
      <c r="B525" s="90"/>
      <c r="C525" s="54" t="s">
        <v>134</v>
      </c>
      <c r="D525" s="55">
        <v>1</v>
      </c>
      <c r="E525" s="56">
        <v>5.3265153936E-5</v>
      </c>
    </row>
    <row r="526" spans="2:5" ht="15" customHeight="1">
      <c r="B526" s="90"/>
      <c r="C526" s="54" t="s">
        <v>131</v>
      </c>
      <c r="D526" s="55">
        <v>15</v>
      </c>
      <c r="E526" s="56">
        <v>7.98977309044E-4</v>
      </c>
    </row>
    <row r="527" spans="2:5" ht="15" customHeight="1">
      <c r="B527" s="90"/>
      <c r="C527" s="54" t="s">
        <v>161</v>
      </c>
      <c r="D527" s="55">
        <v>1</v>
      </c>
      <c r="E527" s="56">
        <v>5.3265153936E-5</v>
      </c>
    </row>
    <row r="528" spans="2:5" ht="15" customHeight="1">
      <c r="B528" s="90"/>
      <c r="C528" s="54" t="s">
        <v>147</v>
      </c>
      <c r="D528" s="55">
        <v>1</v>
      </c>
      <c r="E528" s="56">
        <v>5.3265153936E-5</v>
      </c>
    </row>
    <row r="529" spans="2:5" ht="15" customHeight="1">
      <c r="B529" s="91"/>
      <c r="C529" s="65" t="s">
        <v>321</v>
      </c>
      <c r="D529" s="64">
        <v>40</v>
      </c>
      <c r="E529" s="66">
        <v>2.130606157452E-3</v>
      </c>
    </row>
    <row r="530" spans="2:5" ht="15" customHeight="1">
      <c r="B530" s="89" t="s">
        <v>116</v>
      </c>
      <c r="C530" s="54" t="s">
        <v>158</v>
      </c>
      <c r="D530" s="55">
        <v>1</v>
      </c>
      <c r="E530" s="56">
        <v>5.3265153936E-5</v>
      </c>
    </row>
    <row r="531" spans="2:5" ht="15" customHeight="1">
      <c r="B531" s="90"/>
      <c r="C531" s="54" t="s">
        <v>136</v>
      </c>
      <c r="D531" s="55">
        <v>17</v>
      </c>
      <c r="E531" s="56">
        <v>9.0550761691699996E-4</v>
      </c>
    </row>
    <row r="532" spans="2:5" ht="15" customHeight="1">
      <c r="B532" s="90"/>
      <c r="C532" s="54" t="s">
        <v>144</v>
      </c>
      <c r="D532" s="55">
        <v>2</v>
      </c>
      <c r="E532" s="56">
        <v>1.06530307873E-4</v>
      </c>
    </row>
    <row r="533" spans="2:5" ht="15" customHeight="1">
      <c r="B533" s="90"/>
      <c r="C533" s="54" t="s">
        <v>135</v>
      </c>
      <c r="D533" s="55">
        <v>38</v>
      </c>
      <c r="E533" s="56">
        <v>2.0240758495790002E-3</v>
      </c>
    </row>
    <row r="534" spans="2:5" ht="15" customHeight="1">
      <c r="B534" s="90"/>
      <c r="C534" s="54" t="s">
        <v>132</v>
      </c>
      <c r="D534" s="55">
        <v>34</v>
      </c>
      <c r="E534" s="56">
        <v>1.8110152338339999E-3</v>
      </c>
    </row>
    <row r="535" spans="2:5" ht="15" customHeight="1">
      <c r="B535" s="90"/>
      <c r="C535" s="54" t="s">
        <v>149</v>
      </c>
      <c r="D535" s="55">
        <v>4</v>
      </c>
      <c r="E535" s="56">
        <v>2.1306061574499999E-4</v>
      </c>
    </row>
    <row r="536" spans="2:5" ht="15" customHeight="1">
      <c r="B536" s="90"/>
      <c r="C536" s="54" t="s">
        <v>153</v>
      </c>
      <c r="D536" s="55">
        <v>1</v>
      </c>
      <c r="E536" s="56">
        <v>5.3265153936E-5</v>
      </c>
    </row>
    <row r="537" spans="2:5" ht="15" customHeight="1">
      <c r="B537" s="90"/>
      <c r="C537" s="54" t="s">
        <v>152</v>
      </c>
      <c r="D537" s="55">
        <v>2</v>
      </c>
      <c r="E537" s="56">
        <v>1.06530307873E-4</v>
      </c>
    </row>
    <row r="538" spans="2:5" ht="15" customHeight="1">
      <c r="B538" s="90"/>
      <c r="C538" s="54" t="s">
        <v>138</v>
      </c>
      <c r="D538" s="55">
        <v>9</v>
      </c>
      <c r="E538" s="56">
        <v>4.7938638542699999E-4</v>
      </c>
    </row>
    <row r="539" spans="2:5" ht="15" customHeight="1">
      <c r="B539" s="90"/>
      <c r="C539" s="54" t="s">
        <v>146</v>
      </c>
      <c r="D539" s="55">
        <v>1</v>
      </c>
      <c r="E539" s="56">
        <v>5.3265153936E-5</v>
      </c>
    </row>
    <row r="540" spans="2:5" ht="15" customHeight="1">
      <c r="B540" s="90"/>
      <c r="C540" s="54" t="s">
        <v>151</v>
      </c>
      <c r="D540" s="55">
        <v>2</v>
      </c>
      <c r="E540" s="56">
        <v>1.06530307873E-4</v>
      </c>
    </row>
    <row r="541" spans="2:5" ht="15" customHeight="1">
      <c r="B541" s="90"/>
      <c r="C541" s="54" t="s">
        <v>137</v>
      </c>
      <c r="D541" s="55">
        <v>21</v>
      </c>
      <c r="E541" s="56">
        <v>1.118568232662E-3</v>
      </c>
    </row>
    <row r="542" spans="2:5" ht="15" customHeight="1">
      <c r="B542" s="90"/>
      <c r="C542" s="54" t="s">
        <v>155</v>
      </c>
      <c r="D542" s="55">
        <v>2</v>
      </c>
      <c r="E542" s="56">
        <v>1.06530307873E-4</v>
      </c>
    </row>
    <row r="543" spans="2:5" ht="15" customHeight="1">
      <c r="B543" s="90"/>
      <c r="C543" s="54" t="s">
        <v>156</v>
      </c>
      <c r="D543" s="55">
        <v>4</v>
      </c>
      <c r="E543" s="56">
        <v>2.1306061574499999E-4</v>
      </c>
    </row>
    <row r="544" spans="2:5" ht="15" customHeight="1">
      <c r="B544" s="90"/>
      <c r="C544" s="54" t="s">
        <v>143</v>
      </c>
      <c r="D544" s="55">
        <v>2</v>
      </c>
      <c r="E544" s="56">
        <v>1.06530307873E-4</v>
      </c>
    </row>
    <row r="545" spans="2:5" ht="15" customHeight="1">
      <c r="B545" s="90"/>
      <c r="C545" s="54" t="s">
        <v>140</v>
      </c>
      <c r="D545" s="55">
        <v>12</v>
      </c>
      <c r="E545" s="56">
        <v>6.3918184723599995E-4</v>
      </c>
    </row>
    <row r="546" spans="2:5" ht="15" customHeight="1">
      <c r="B546" s="90"/>
      <c r="C546" s="54" t="s">
        <v>142</v>
      </c>
      <c r="D546" s="55">
        <v>1</v>
      </c>
      <c r="E546" s="56">
        <v>5.3265153936E-5</v>
      </c>
    </row>
    <row r="547" spans="2:5" ht="15" customHeight="1">
      <c r="B547" s="90"/>
      <c r="C547" s="54" t="s">
        <v>139</v>
      </c>
      <c r="D547" s="55">
        <v>11</v>
      </c>
      <c r="E547" s="56">
        <v>5.8591669329900004E-4</v>
      </c>
    </row>
    <row r="548" spans="2:5" ht="15" customHeight="1">
      <c r="B548" s="90"/>
      <c r="C548" s="54" t="s">
        <v>133</v>
      </c>
      <c r="D548" s="55">
        <v>39</v>
      </c>
      <c r="E548" s="56">
        <v>2.0773410035159999E-3</v>
      </c>
    </row>
    <row r="549" spans="2:5" ht="15" customHeight="1">
      <c r="B549" s="90"/>
      <c r="C549" s="54" t="s">
        <v>163</v>
      </c>
      <c r="D549" s="55">
        <v>4</v>
      </c>
      <c r="E549" s="56">
        <v>2.1306061574499999E-4</v>
      </c>
    </row>
    <row r="550" spans="2:5" ht="15" customHeight="1">
      <c r="B550" s="90"/>
      <c r="C550" s="54" t="s">
        <v>159</v>
      </c>
      <c r="D550" s="55">
        <v>3</v>
      </c>
      <c r="E550" s="56">
        <v>1.5979546180899999E-4</v>
      </c>
    </row>
    <row r="551" spans="2:5" ht="15" customHeight="1">
      <c r="B551" s="90"/>
      <c r="C551" s="54" t="s">
        <v>134</v>
      </c>
      <c r="D551" s="55">
        <v>25</v>
      </c>
      <c r="E551" s="56">
        <v>1.3316288484070001E-3</v>
      </c>
    </row>
    <row r="552" spans="2:5" ht="15" customHeight="1">
      <c r="B552" s="90"/>
      <c r="C552" s="54" t="s">
        <v>160</v>
      </c>
      <c r="D552" s="55">
        <v>1</v>
      </c>
      <c r="E552" s="56">
        <v>5.3265153936E-5</v>
      </c>
    </row>
    <row r="553" spans="2:5" ht="15" customHeight="1">
      <c r="B553" s="90"/>
      <c r="C553" s="54" t="s">
        <v>166</v>
      </c>
      <c r="D553" s="55">
        <v>1</v>
      </c>
      <c r="E553" s="56">
        <v>5.3265153936E-5</v>
      </c>
    </row>
    <row r="554" spans="2:5" ht="15" customHeight="1">
      <c r="B554" s="90"/>
      <c r="C554" s="54" t="s">
        <v>145</v>
      </c>
      <c r="D554" s="55">
        <v>10</v>
      </c>
      <c r="E554" s="56">
        <v>5.3265153936299999E-4</v>
      </c>
    </row>
    <row r="555" spans="2:5" ht="15" customHeight="1">
      <c r="B555" s="90"/>
      <c r="C555" s="54" t="s">
        <v>131</v>
      </c>
      <c r="D555" s="55">
        <v>127</v>
      </c>
      <c r="E555" s="56">
        <v>6.7646745499090003E-3</v>
      </c>
    </row>
    <row r="556" spans="2:5" ht="15" customHeight="1">
      <c r="B556" s="90"/>
      <c r="C556" s="54" t="s">
        <v>141</v>
      </c>
      <c r="D556" s="55">
        <v>2</v>
      </c>
      <c r="E556" s="56">
        <v>1.06530307873E-4</v>
      </c>
    </row>
    <row r="557" spans="2:5" ht="15" customHeight="1">
      <c r="B557" s="90"/>
      <c r="C557" s="54" t="s">
        <v>162</v>
      </c>
      <c r="D557" s="55">
        <v>1</v>
      </c>
      <c r="E557" s="56">
        <v>5.3265153936E-5</v>
      </c>
    </row>
    <row r="558" spans="2:5" ht="15" customHeight="1">
      <c r="B558" s="90"/>
      <c r="C558" s="54" t="s">
        <v>161</v>
      </c>
      <c r="D558" s="55">
        <v>1</v>
      </c>
      <c r="E558" s="56">
        <v>5.3265153936E-5</v>
      </c>
    </row>
    <row r="559" spans="2:5" ht="15" customHeight="1">
      <c r="B559" s="90"/>
      <c r="C559" s="54" t="s">
        <v>147</v>
      </c>
      <c r="D559" s="55">
        <v>1</v>
      </c>
      <c r="E559" s="56">
        <v>5.3265153936E-5</v>
      </c>
    </row>
    <row r="560" spans="2:5" ht="15" customHeight="1">
      <c r="B560" s="90"/>
      <c r="C560" s="54" t="s">
        <v>148</v>
      </c>
      <c r="D560" s="55">
        <v>5</v>
      </c>
      <c r="E560" s="56">
        <v>2.6632576968100001E-4</v>
      </c>
    </row>
    <row r="561" spans="2:5" ht="15" customHeight="1">
      <c r="B561" s="91"/>
      <c r="C561" s="65" t="s">
        <v>321</v>
      </c>
      <c r="D561" s="64">
        <v>384</v>
      </c>
      <c r="E561" s="66">
        <v>2.0453819111537E-2</v>
      </c>
    </row>
    <row r="562" spans="2:5" ht="15" customHeight="1">
      <c r="B562" s="89" t="s">
        <v>117</v>
      </c>
      <c r="C562" s="54" t="s">
        <v>158</v>
      </c>
      <c r="D562" s="55">
        <v>1</v>
      </c>
      <c r="E562" s="56">
        <v>5.3265153936E-5</v>
      </c>
    </row>
    <row r="563" spans="2:5" ht="15" customHeight="1">
      <c r="B563" s="90"/>
      <c r="C563" s="54" t="s">
        <v>174</v>
      </c>
      <c r="D563" s="55">
        <v>1</v>
      </c>
      <c r="E563" s="56">
        <v>5.3265153936E-5</v>
      </c>
    </row>
    <row r="564" spans="2:5" ht="15" customHeight="1">
      <c r="B564" s="90"/>
      <c r="C564" s="54" t="s">
        <v>136</v>
      </c>
      <c r="D564" s="55">
        <v>53</v>
      </c>
      <c r="E564" s="56">
        <v>2.8230531586240001E-3</v>
      </c>
    </row>
    <row r="565" spans="2:5" ht="15" customHeight="1">
      <c r="B565" s="90"/>
      <c r="C565" s="54" t="s">
        <v>144</v>
      </c>
      <c r="D565" s="55">
        <v>8</v>
      </c>
      <c r="E565" s="56">
        <v>4.2612123148999997E-4</v>
      </c>
    </row>
    <row r="566" spans="2:5" ht="15" customHeight="1">
      <c r="B566" s="90"/>
      <c r="C566" s="54" t="s">
        <v>135</v>
      </c>
      <c r="D566" s="55">
        <v>69</v>
      </c>
      <c r="E566" s="56">
        <v>3.6752956216039999E-3</v>
      </c>
    </row>
    <row r="567" spans="2:5" ht="15" customHeight="1">
      <c r="B567" s="90"/>
      <c r="C567" s="54" t="s">
        <v>132</v>
      </c>
      <c r="D567" s="55">
        <v>105</v>
      </c>
      <c r="E567" s="56">
        <v>5.5928411633109996E-3</v>
      </c>
    </row>
    <row r="568" spans="2:5" ht="15" customHeight="1">
      <c r="B568" s="90"/>
      <c r="C568" s="54" t="s">
        <v>169</v>
      </c>
      <c r="D568" s="55">
        <v>1</v>
      </c>
      <c r="E568" s="56">
        <v>5.3265153936E-5</v>
      </c>
    </row>
    <row r="569" spans="2:5" ht="15" customHeight="1">
      <c r="B569" s="90"/>
      <c r="C569" s="54" t="s">
        <v>167</v>
      </c>
      <c r="D569" s="55">
        <v>1</v>
      </c>
      <c r="E569" s="56">
        <v>5.3265153936E-5</v>
      </c>
    </row>
    <row r="570" spans="2:5" ht="15" customHeight="1">
      <c r="B570" s="90"/>
      <c r="C570" s="54" t="s">
        <v>149</v>
      </c>
      <c r="D570" s="55">
        <v>7</v>
      </c>
      <c r="E570" s="56">
        <v>3.7285607755399997E-4</v>
      </c>
    </row>
    <row r="571" spans="2:5" ht="15" customHeight="1">
      <c r="B571" s="90"/>
      <c r="C571" s="54" t="s">
        <v>153</v>
      </c>
      <c r="D571" s="55">
        <v>4</v>
      </c>
      <c r="E571" s="56">
        <v>2.1306061574499999E-4</v>
      </c>
    </row>
    <row r="572" spans="2:5" ht="15" customHeight="1">
      <c r="B572" s="90"/>
      <c r="C572" s="54" t="s">
        <v>175</v>
      </c>
      <c r="D572" s="55">
        <v>2</v>
      </c>
      <c r="E572" s="56">
        <v>1.06530307873E-4</v>
      </c>
    </row>
    <row r="573" spans="2:5" ht="15" customHeight="1">
      <c r="B573" s="90"/>
      <c r="C573" s="54" t="s">
        <v>152</v>
      </c>
      <c r="D573" s="55">
        <v>3</v>
      </c>
      <c r="E573" s="56">
        <v>1.5979546180899999E-4</v>
      </c>
    </row>
    <row r="574" spans="2:5" ht="15" customHeight="1">
      <c r="B574" s="90"/>
      <c r="C574" s="54" t="s">
        <v>138</v>
      </c>
      <c r="D574" s="55">
        <v>33</v>
      </c>
      <c r="E574" s="56">
        <v>1.7577500798980001E-3</v>
      </c>
    </row>
    <row r="575" spans="2:5" ht="15" customHeight="1">
      <c r="B575" s="90"/>
      <c r="C575" s="54" t="s">
        <v>146</v>
      </c>
      <c r="D575" s="55">
        <v>9</v>
      </c>
      <c r="E575" s="56">
        <v>4.7938638542699999E-4</v>
      </c>
    </row>
    <row r="576" spans="2:5" ht="15" customHeight="1">
      <c r="B576" s="90"/>
      <c r="C576" s="54" t="s">
        <v>151</v>
      </c>
      <c r="D576" s="55">
        <v>5</v>
      </c>
      <c r="E576" s="56">
        <v>2.6632576968100001E-4</v>
      </c>
    </row>
    <row r="577" spans="2:5" ht="15" customHeight="1">
      <c r="B577" s="90"/>
      <c r="C577" s="54" t="s">
        <v>137</v>
      </c>
      <c r="D577" s="55">
        <v>33</v>
      </c>
      <c r="E577" s="56">
        <v>1.7577500798980001E-3</v>
      </c>
    </row>
    <row r="578" spans="2:5" ht="15" customHeight="1">
      <c r="B578" s="90"/>
      <c r="C578" s="54" t="s">
        <v>157</v>
      </c>
      <c r="D578" s="55">
        <v>1</v>
      </c>
      <c r="E578" s="56">
        <v>5.3265153936E-5</v>
      </c>
    </row>
    <row r="579" spans="2:5" ht="15" customHeight="1">
      <c r="B579" s="90"/>
      <c r="C579" s="54" t="s">
        <v>155</v>
      </c>
      <c r="D579" s="55">
        <v>1</v>
      </c>
      <c r="E579" s="56">
        <v>5.3265153936E-5</v>
      </c>
    </row>
    <row r="580" spans="2:5" ht="15" customHeight="1">
      <c r="B580" s="90"/>
      <c r="C580" s="54" t="s">
        <v>176</v>
      </c>
      <c r="D580" s="55">
        <v>1</v>
      </c>
      <c r="E580" s="56">
        <v>5.3265153936E-5</v>
      </c>
    </row>
    <row r="581" spans="2:5" ht="15" customHeight="1">
      <c r="B581" s="90"/>
      <c r="C581" s="54" t="s">
        <v>156</v>
      </c>
      <c r="D581" s="55">
        <v>3</v>
      </c>
      <c r="E581" s="56">
        <v>1.5979546180899999E-4</v>
      </c>
    </row>
    <row r="582" spans="2:5" ht="15" customHeight="1">
      <c r="B582" s="90"/>
      <c r="C582" s="54" t="s">
        <v>143</v>
      </c>
      <c r="D582" s="55">
        <v>10</v>
      </c>
      <c r="E582" s="56">
        <v>5.3265153936299999E-4</v>
      </c>
    </row>
    <row r="583" spans="2:5" ht="15" customHeight="1">
      <c r="B583" s="90"/>
      <c r="C583" s="54" t="s">
        <v>154</v>
      </c>
      <c r="D583" s="55">
        <v>1</v>
      </c>
      <c r="E583" s="56">
        <v>5.3265153936E-5</v>
      </c>
    </row>
    <row r="584" spans="2:5" ht="15" customHeight="1">
      <c r="B584" s="90"/>
      <c r="C584" s="54" t="s">
        <v>140</v>
      </c>
      <c r="D584" s="55">
        <v>15</v>
      </c>
      <c r="E584" s="56">
        <v>7.98977309044E-4</v>
      </c>
    </row>
    <row r="585" spans="2:5" ht="15" customHeight="1">
      <c r="B585" s="90"/>
      <c r="C585" s="54" t="s">
        <v>142</v>
      </c>
      <c r="D585" s="55">
        <v>9</v>
      </c>
      <c r="E585" s="56">
        <v>4.7938638542699999E-4</v>
      </c>
    </row>
    <row r="586" spans="2:5" ht="15" customHeight="1">
      <c r="B586" s="90"/>
      <c r="C586" s="54" t="s">
        <v>139</v>
      </c>
      <c r="D586" s="55">
        <v>25</v>
      </c>
      <c r="E586" s="56">
        <v>1.3316288484070001E-3</v>
      </c>
    </row>
    <row r="587" spans="2:5" ht="15" customHeight="1">
      <c r="B587" s="90"/>
      <c r="C587" s="54" t="s">
        <v>171</v>
      </c>
      <c r="D587" s="55">
        <v>1</v>
      </c>
      <c r="E587" s="56">
        <v>5.3265153936E-5</v>
      </c>
    </row>
    <row r="588" spans="2:5" ht="15" customHeight="1">
      <c r="B588" s="90"/>
      <c r="C588" s="54" t="s">
        <v>133</v>
      </c>
      <c r="D588" s="55">
        <v>91</v>
      </c>
      <c r="E588" s="56">
        <v>4.8471290082030003E-3</v>
      </c>
    </row>
    <row r="589" spans="2:5" ht="15" customHeight="1">
      <c r="B589" s="90"/>
      <c r="C589" s="54" t="s">
        <v>163</v>
      </c>
      <c r="D589" s="55">
        <v>4</v>
      </c>
      <c r="E589" s="56">
        <v>2.1306061574499999E-4</v>
      </c>
    </row>
    <row r="590" spans="2:5" ht="15" customHeight="1">
      <c r="B590" s="90"/>
      <c r="C590" s="54" t="s">
        <v>150</v>
      </c>
      <c r="D590" s="55">
        <v>4</v>
      </c>
      <c r="E590" s="56">
        <v>2.1306061574499999E-4</v>
      </c>
    </row>
    <row r="591" spans="2:5" ht="15" customHeight="1">
      <c r="B591" s="90"/>
      <c r="C591" s="54" t="s">
        <v>165</v>
      </c>
      <c r="D591" s="55">
        <v>1</v>
      </c>
      <c r="E591" s="56">
        <v>5.3265153936E-5</v>
      </c>
    </row>
    <row r="592" spans="2:5" ht="15" customHeight="1">
      <c r="B592" s="90"/>
      <c r="C592" s="54" t="s">
        <v>159</v>
      </c>
      <c r="D592" s="55">
        <v>1</v>
      </c>
      <c r="E592" s="56">
        <v>5.3265153936E-5</v>
      </c>
    </row>
    <row r="593" spans="2:5" ht="15" customHeight="1">
      <c r="B593" s="90"/>
      <c r="C593" s="54" t="s">
        <v>134</v>
      </c>
      <c r="D593" s="55">
        <v>64</v>
      </c>
      <c r="E593" s="56">
        <v>3.408969851923E-3</v>
      </c>
    </row>
    <row r="594" spans="2:5" ht="15" customHeight="1">
      <c r="B594" s="90"/>
      <c r="C594" s="54" t="s">
        <v>168</v>
      </c>
      <c r="D594" s="55">
        <v>2</v>
      </c>
      <c r="E594" s="56">
        <v>1.06530307873E-4</v>
      </c>
    </row>
    <row r="595" spans="2:5" ht="15" customHeight="1">
      <c r="B595" s="90"/>
      <c r="C595" s="54" t="s">
        <v>164</v>
      </c>
      <c r="D595" s="55">
        <v>2</v>
      </c>
      <c r="E595" s="56">
        <v>1.06530307873E-4</v>
      </c>
    </row>
    <row r="596" spans="2:5" ht="15" customHeight="1">
      <c r="B596" s="90"/>
      <c r="C596" s="54" t="s">
        <v>160</v>
      </c>
      <c r="D596" s="55">
        <v>1</v>
      </c>
      <c r="E596" s="56">
        <v>5.3265153936E-5</v>
      </c>
    </row>
    <row r="597" spans="2:5" ht="15" customHeight="1">
      <c r="B597" s="90"/>
      <c r="C597" s="54" t="s">
        <v>166</v>
      </c>
      <c r="D597" s="55">
        <v>1</v>
      </c>
      <c r="E597" s="56">
        <v>5.3265153936E-5</v>
      </c>
    </row>
    <row r="598" spans="2:5" ht="15" customHeight="1">
      <c r="B598" s="90"/>
      <c r="C598" s="54" t="s">
        <v>145</v>
      </c>
      <c r="D598" s="55">
        <v>7</v>
      </c>
      <c r="E598" s="56">
        <v>3.7285607755399997E-4</v>
      </c>
    </row>
    <row r="599" spans="2:5" ht="15" customHeight="1">
      <c r="B599" s="90"/>
      <c r="C599" s="54" t="s">
        <v>131</v>
      </c>
      <c r="D599" s="55">
        <v>460</v>
      </c>
      <c r="E599" s="56">
        <v>2.4501970810696001E-2</v>
      </c>
    </row>
    <row r="600" spans="2:5" ht="15" customHeight="1">
      <c r="B600" s="90"/>
      <c r="C600" s="54" t="s">
        <v>141</v>
      </c>
      <c r="D600" s="55">
        <v>20</v>
      </c>
      <c r="E600" s="56">
        <v>1.065303078726E-3</v>
      </c>
    </row>
    <row r="601" spans="2:5" ht="15" customHeight="1">
      <c r="B601" s="90"/>
      <c r="C601" s="54" t="s">
        <v>162</v>
      </c>
      <c r="D601" s="55">
        <v>4</v>
      </c>
      <c r="E601" s="56">
        <v>2.1306061574499999E-4</v>
      </c>
    </row>
    <row r="602" spans="2:5" ht="15" customHeight="1">
      <c r="B602" s="90"/>
      <c r="C602" s="54" t="s">
        <v>161</v>
      </c>
      <c r="D602" s="55">
        <v>2</v>
      </c>
      <c r="E602" s="56">
        <v>1.06530307873E-4</v>
      </c>
    </row>
    <row r="603" spans="2:5" ht="15" customHeight="1">
      <c r="B603" s="90"/>
      <c r="C603" s="54" t="s">
        <v>147</v>
      </c>
      <c r="D603" s="55">
        <v>10</v>
      </c>
      <c r="E603" s="56">
        <v>5.3265153936299999E-4</v>
      </c>
    </row>
    <row r="604" spans="2:5" ht="15" customHeight="1">
      <c r="B604" s="90"/>
      <c r="C604" s="54" t="s">
        <v>148</v>
      </c>
      <c r="D604" s="55">
        <v>3</v>
      </c>
      <c r="E604" s="56">
        <v>1.5979546180899999E-4</v>
      </c>
    </row>
    <row r="605" spans="2:5" ht="15" customHeight="1">
      <c r="B605" s="91"/>
      <c r="C605" s="65" t="s">
        <v>321</v>
      </c>
      <c r="D605" s="64">
        <v>1079</v>
      </c>
      <c r="E605" s="66">
        <v>5.7473101097262003E-2</v>
      </c>
    </row>
    <row r="606" spans="2:5" ht="15" customHeight="1">
      <c r="B606" s="89" t="s">
        <v>118</v>
      </c>
      <c r="C606" s="54" t="s">
        <v>136</v>
      </c>
      <c r="D606" s="55">
        <v>3</v>
      </c>
      <c r="E606" s="56">
        <v>1.5979546180899999E-4</v>
      </c>
    </row>
    <row r="607" spans="2:5" ht="15" customHeight="1">
      <c r="B607" s="90"/>
      <c r="C607" s="54" t="s">
        <v>146</v>
      </c>
      <c r="D607" s="55">
        <v>1</v>
      </c>
      <c r="E607" s="56">
        <v>5.3265153936E-5</v>
      </c>
    </row>
    <row r="608" spans="2:5" ht="15" customHeight="1">
      <c r="B608" s="90"/>
      <c r="C608" s="54" t="s">
        <v>137</v>
      </c>
      <c r="D608" s="55">
        <v>1</v>
      </c>
      <c r="E608" s="56">
        <v>5.3265153936E-5</v>
      </c>
    </row>
    <row r="609" spans="2:5" ht="15" customHeight="1">
      <c r="B609" s="90"/>
      <c r="C609" s="54" t="s">
        <v>133</v>
      </c>
      <c r="D609" s="55">
        <v>3</v>
      </c>
      <c r="E609" s="56">
        <v>1.5979546180899999E-4</v>
      </c>
    </row>
    <row r="610" spans="2:5" ht="15" customHeight="1">
      <c r="B610" s="90"/>
      <c r="C610" s="54" t="s">
        <v>131</v>
      </c>
      <c r="D610" s="55">
        <v>6</v>
      </c>
      <c r="E610" s="56">
        <v>3.1959092361799997E-4</v>
      </c>
    </row>
    <row r="611" spans="2:5" ht="15" customHeight="1">
      <c r="B611" s="91"/>
      <c r="C611" s="65" t="s">
        <v>321</v>
      </c>
      <c r="D611" s="64">
        <v>14</v>
      </c>
      <c r="E611" s="66">
        <v>7.4571215510799995E-4</v>
      </c>
    </row>
    <row r="612" spans="2:5" ht="15" customHeight="1">
      <c r="B612" s="89" t="s">
        <v>119</v>
      </c>
      <c r="C612" s="54" t="s">
        <v>136</v>
      </c>
      <c r="D612" s="55">
        <v>4</v>
      </c>
      <c r="E612" s="56">
        <v>2.1306061574499999E-4</v>
      </c>
    </row>
    <row r="613" spans="2:5" ht="15" customHeight="1">
      <c r="B613" s="90"/>
      <c r="C613" s="54" t="s">
        <v>144</v>
      </c>
      <c r="D613" s="55">
        <v>1</v>
      </c>
      <c r="E613" s="56">
        <v>5.3265153936E-5</v>
      </c>
    </row>
    <row r="614" spans="2:5" ht="15" customHeight="1">
      <c r="B614" s="90"/>
      <c r="C614" s="54" t="s">
        <v>135</v>
      </c>
      <c r="D614" s="55">
        <v>3</v>
      </c>
      <c r="E614" s="56">
        <v>1.5979546180899999E-4</v>
      </c>
    </row>
    <row r="615" spans="2:5" ht="15" customHeight="1">
      <c r="B615" s="90"/>
      <c r="C615" s="54" t="s">
        <v>132</v>
      </c>
      <c r="D615" s="55">
        <v>2</v>
      </c>
      <c r="E615" s="56">
        <v>1.06530307873E-4</v>
      </c>
    </row>
    <row r="616" spans="2:5" ht="15" customHeight="1">
      <c r="B616" s="90"/>
      <c r="C616" s="54" t="s">
        <v>149</v>
      </c>
      <c r="D616" s="55">
        <v>1</v>
      </c>
      <c r="E616" s="56">
        <v>5.3265153936E-5</v>
      </c>
    </row>
    <row r="617" spans="2:5" ht="15" customHeight="1">
      <c r="B617" s="90"/>
      <c r="C617" s="54" t="s">
        <v>146</v>
      </c>
      <c r="D617" s="55">
        <v>1</v>
      </c>
      <c r="E617" s="56">
        <v>5.3265153936E-5</v>
      </c>
    </row>
    <row r="618" spans="2:5" ht="15" customHeight="1">
      <c r="B618" s="90"/>
      <c r="C618" s="54" t="s">
        <v>137</v>
      </c>
      <c r="D618" s="55">
        <v>1</v>
      </c>
      <c r="E618" s="56">
        <v>5.3265153936E-5</v>
      </c>
    </row>
    <row r="619" spans="2:5" ht="15" customHeight="1">
      <c r="B619" s="90"/>
      <c r="C619" s="54" t="s">
        <v>156</v>
      </c>
      <c r="D619" s="55">
        <v>3</v>
      </c>
      <c r="E619" s="56">
        <v>1.5979546180899999E-4</v>
      </c>
    </row>
    <row r="620" spans="2:5" ht="15" customHeight="1">
      <c r="B620" s="90"/>
      <c r="C620" s="54" t="s">
        <v>140</v>
      </c>
      <c r="D620" s="55">
        <v>1</v>
      </c>
      <c r="E620" s="56">
        <v>5.3265153936E-5</v>
      </c>
    </row>
    <row r="621" spans="2:5" ht="15" customHeight="1">
      <c r="B621" s="90"/>
      <c r="C621" s="54" t="s">
        <v>139</v>
      </c>
      <c r="D621" s="55">
        <v>1</v>
      </c>
      <c r="E621" s="56">
        <v>5.3265153936E-5</v>
      </c>
    </row>
    <row r="622" spans="2:5" ht="15" customHeight="1">
      <c r="B622" s="90"/>
      <c r="C622" s="54" t="s">
        <v>133</v>
      </c>
      <c r="D622" s="55">
        <v>6</v>
      </c>
      <c r="E622" s="56">
        <v>3.1959092361799997E-4</v>
      </c>
    </row>
    <row r="623" spans="2:5" ht="15" customHeight="1">
      <c r="B623" s="90"/>
      <c r="C623" s="54" t="s">
        <v>163</v>
      </c>
      <c r="D623" s="55">
        <v>4</v>
      </c>
      <c r="E623" s="56">
        <v>2.1306061574499999E-4</v>
      </c>
    </row>
    <row r="624" spans="2:5" ht="15" customHeight="1">
      <c r="B624" s="90"/>
      <c r="C624" s="54" t="s">
        <v>134</v>
      </c>
      <c r="D624" s="55">
        <v>2</v>
      </c>
      <c r="E624" s="56">
        <v>1.06530307873E-4</v>
      </c>
    </row>
    <row r="625" spans="2:5" ht="15" customHeight="1">
      <c r="B625" s="90"/>
      <c r="C625" s="54" t="s">
        <v>164</v>
      </c>
      <c r="D625" s="55">
        <v>1</v>
      </c>
      <c r="E625" s="56">
        <v>5.3265153936E-5</v>
      </c>
    </row>
    <row r="626" spans="2:5" ht="15" customHeight="1">
      <c r="B626" s="90"/>
      <c r="C626" s="54" t="s">
        <v>131</v>
      </c>
      <c r="D626" s="55">
        <v>38</v>
      </c>
      <c r="E626" s="56">
        <v>2.0240758495790002E-3</v>
      </c>
    </row>
    <row r="627" spans="2:5" ht="15" customHeight="1">
      <c r="B627" s="90"/>
      <c r="C627" s="54" t="s">
        <v>162</v>
      </c>
      <c r="D627" s="55">
        <v>1</v>
      </c>
      <c r="E627" s="56">
        <v>5.3265153936E-5</v>
      </c>
    </row>
    <row r="628" spans="2:5" ht="15" customHeight="1">
      <c r="B628" s="90"/>
      <c r="C628" s="54" t="s">
        <v>161</v>
      </c>
      <c r="D628" s="55">
        <v>1</v>
      </c>
      <c r="E628" s="56">
        <v>5.3265153936E-5</v>
      </c>
    </row>
    <row r="629" spans="2:5" ht="15" customHeight="1">
      <c r="B629" s="91"/>
      <c r="C629" s="65" t="s">
        <v>321</v>
      </c>
      <c r="D629" s="64">
        <v>71</v>
      </c>
      <c r="E629" s="66">
        <v>3.7818259294770001E-3</v>
      </c>
    </row>
    <row r="630" spans="2:5" ht="15" customHeight="1">
      <c r="B630" s="89" t="s">
        <v>120</v>
      </c>
      <c r="C630" s="54" t="s">
        <v>136</v>
      </c>
      <c r="D630" s="55">
        <v>2</v>
      </c>
      <c r="E630" s="56">
        <v>1.06530307873E-4</v>
      </c>
    </row>
    <row r="631" spans="2:5" ht="15" customHeight="1">
      <c r="B631" s="90"/>
      <c r="C631" s="54" t="s">
        <v>164</v>
      </c>
      <c r="D631" s="55">
        <v>1</v>
      </c>
      <c r="E631" s="56">
        <v>5.3265153936E-5</v>
      </c>
    </row>
    <row r="632" spans="2:5" ht="15" customHeight="1">
      <c r="B632" s="90"/>
      <c r="C632" s="54" t="s">
        <v>131</v>
      </c>
      <c r="D632" s="55">
        <v>4</v>
      </c>
      <c r="E632" s="56">
        <v>2.1306061574499999E-4</v>
      </c>
    </row>
    <row r="633" spans="2:5" ht="15" customHeight="1">
      <c r="B633" s="91"/>
      <c r="C633" s="65" t="s">
        <v>321</v>
      </c>
      <c r="D633" s="64">
        <v>7</v>
      </c>
      <c r="E633" s="66">
        <v>3.7285607755399997E-4</v>
      </c>
    </row>
    <row r="634" spans="2:5" ht="15" customHeight="1">
      <c r="B634" s="87" t="s">
        <v>321</v>
      </c>
      <c r="C634" s="88"/>
      <c r="D634" s="52">
        <v>18774</v>
      </c>
      <c r="E634" s="53">
        <v>1</v>
      </c>
    </row>
    <row r="636" spans="2:5" ht="15" customHeight="1">
      <c r="B636" s="37" t="s">
        <v>130</v>
      </c>
      <c r="C636" s="38"/>
      <c r="D636" s="45"/>
      <c r="E636" s="36"/>
    </row>
    <row r="637" spans="2:5" ht="15" customHeight="1">
      <c r="B637" s="39" t="s">
        <v>17</v>
      </c>
      <c r="C637" s="38"/>
      <c r="D637" s="45"/>
      <c r="E637" s="36"/>
    </row>
    <row r="638" spans="2:5" ht="15" customHeight="1">
      <c r="B638" s="40" t="s">
        <v>44</v>
      </c>
      <c r="C638" s="38"/>
      <c r="D638" s="46"/>
      <c r="E638" s="36"/>
    </row>
    <row r="639" spans="2:5" ht="15" customHeight="1">
      <c r="B639" s="37" t="s">
        <v>16</v>
      </c>
      <c r="C639" s="38"/>
      <c r="D639" s="46"/>
      <c r="E639" s="36"/>
    </row>
    <row r="640" spans="2:5" ht="15" customHeight="1">
      <c r="B640" s="37" t="s">
        <v>320</v>
      </c>
      <c r="C640" s="38"/>
      <c r="D640" s="46"/>
      <c r="E640" s="36"/>
    </row>
  </sheetData>
  <mergeCells count="27">
    <mergeCell ref="B7:E8"/>
    <mergeCell ref="B10:B34"/>
    <mergeCell ref="B35:B37"/>
    <mergeCell ref="B38:B50"/>
    <mergeCell ref="B51:B65"/>
    <mergeCell ref="B66:B85"/>
    <mergeCell ref="B86:B109"/>
    <mergeCell ref="B110:B135"/>
    <mergeCell ref="B136:B169"/>
    <mergeCell ref="B170:B211"/>
    <mergeCell ref="B212:B238"/>
    <mergeCell ref="B239:B270"/>
    <mergeCell ref="B271:B304"/>
    <mergeCell ref="B305:B348"/>
    <mergeCell ref="B349:B378"/>
    <mergeCell ref="B379:B416"/>
    <mergeCell ref="B417:B460"/>
    <mergeCell ref="B461:B478"/>
    <mergeCell ref="B479:B497"/>
    <mergeCell ref="B498:B512"/>
    <mergeCell ref="B634:C634"/>
    <mergeCell ref="B630:B633"/>
    <mergeCell ref="B513:B529"/>
    <mergeCell ref="B530:B561"/>
    <mergeCell ref="B562:B605"/>
    <mergeCell ref="B606:B611"/>
    <mergeCell ref="B612:B6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2" orientation="portrait" r:id="rId1"/>
  <rowBreaks count="1" manualBreakCount="1">
    <brk id="561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815"/>
  <sheetViews>
    <sheetView showGridLines="0" view="pageBreakPreview" zoomScaleNormal="85" zoomScaleSheetLayoutView="100" workbookViewId="0">
      <selection activeCell="C9" sqref="C9"/>
    </sheetView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A6" s="32"/>
      <c r="B6" s="33"/>
      <c r="C6" s="32"/>
      <c r="D6" s="32"/>
      <c r="E6" s="32"/>
    </row>
    <row r="7" spans="1:5" s="24" customFormat="1" ht="26.25" customHeight="1">
      <c r="A7" s="34"/>
      <c r="B7" s="98"/>
      <c r="C7" s="98"/>
      <c r="D7" s="98"/>
      <c r="E7" s="98"/>
    </row>
    <row r="8" spans="1:5" s="24" customFormat="1" ht="33" customHeight="1">
      <c r="A8" s="34"/>
      <c r="B8" s="98"/>
      <c r="C8" s="98"/>
      <c r="D8" s="98"/>
      <c r="E8" s="98"/>
    </row>
    <row r="9" spans="1:5" s="17" customFormat="1" ht="40.5" customHeight="1">
      <c r="A9" s="35"/>
      <c r="B9" s="68" t="s">
        <v>21</v>
      </c>
      <c r="C9" s="69" t="s">
        <v>26</v>
      </c>
      <c r="D9" s="70" t="s">
        <v>19</v>
      </c>
      <c r="E9" s="68" t="s">
        <v>18</v>
      </c>
    </row>
    <row r="10" spans="1:5" ht="16.5">
      <c r="A10" s="36"/>
      <c r="B10" s="95" t="s">
        <v>48</v>
      </c>
      <c r="C10" s="54" t="s">
        <v>97</v>
      </c>
      <c r="D10" s="55">
        <v>14</v>
      </c>
      <c r="E10" s="56">
        <v>7.4571215510799995E-4</v>
      </c>
    </row>
    <row r="11" spans="1:5" ht="16.5">
      <c r="A11" s="36"/>
      <c r="B11" s="96"/>
      <c r="C11" s="54" t="s">
        <v>121</v>
      </c>
      <c r="D11" s="55">
        <v>1</v>
      </c>
      <c r="E11" s="56">
        <v>5.3265153936E-5</v>
      </c>
    </row>
    <row r="12" spans="1:5" ht="16.5">
      <c r="A12" s="36"/>
      <c r="B12" s="96"/>
      <c r="C12" s="54" t="s">
        <v>98</v>
      </c>
      <c r="D12" s="55">
        <v>6</v>
      </c>
      <c r="E12" s="56">
        <v>3.1959092361799997E-4</v>
      </c>
    </row>
    <row r="13" spans="1:5" ht="16.5">
      <c r="A13" s="36"/>
      <c r="B13" s="96"/>
      <c r="C13" s="54" t="s">
        <v>99</v>
      </c>
      <c r="D13" s="55">
        <v>5</v>
      </c>
      <c r="E13" s="56">
        <v>2.6632576968100001E-4</v>
      </c>
    </row>
    <row r="14" spans="1:5" ht="16.5">
      <c r="A14" s="36"/>
      <c r="B14" s="96"/>
      <c r="C14" s="54" t="s">
        <v>100</v>
      </c>
      <c r="D14" s="55">
        <v>25</v>
      </c>
      <c r="E14" s="56">
        <v>1.3316288484070001E-3</v>
      </c>
    </row>
    <row r="15" spans="1:5" ht="16.5">
      <c r="A15" s="36"/>
      <c r="B15" s="96"/>
      <c r="C15" s="54" t="s">
        <v>101</v>
      </c>
      <c r="D15" s="55">
        <v>10</v>
      </c>
      <c r="E15" s="56">
        <v>5.3265153936299999E-4</v>
      </c>
    </row>
    <row r="16" spans="1:5" ht="16.5">
      <c r="A16" s="36"/>
      <c r="B16" s="96"/>
      <c r="C16" s="54" t="s">
        <v>102</v>
      </c>
      <c r="D16" s="55">
        <v>28</v>
      </c>
      <c r="E16" s="56">
        <v>1.4914243102159999E-3</v>
      </c>
    </row>
    <row r="17" spans="1:5" ht="16.5">
      <c r="A17" s="36"/>
      <c r="B17" s="96"/>
      <c r="C17" s="54" t="s">
        <v>103</v>
      </c>
      <c r="D17" s="55">
        <v>128</v>
      </c>
      <c r="E17" s="56">
        <v>6.817939703846E-3</v>
      </c>
    </row>
    <row r="18" spans="1:5" ht="16.5">
      <c r="A18" s="36"/>
      <c r="B18" s="96"/>
      <c r="C18" s="54" t="s">
        <v>104</v>
      </c>
      <c r="D18" s="55">
        <v>293</v>
      </c>
      <c r="E18" s="56">
        <v>1.5606690103334001E-2</v>
      </c>
    </row>
    <row r="19" spans="1:5" ht="16.5">
      <c r="A19" s="36"/>
      <c r="B19" s="96"/>
      <c r="C19" s="54" t="s">
        <v>105</v>
      </c>
      <c r="D19" s="55">
        <v>13</v>
      </c>
      <c r="E19" s="56">
        <v>6.92447001172E-4</v>
      </c>
    </row>
    <row r="20" spans="1:5" ht="16.5">
      <c r="A20" s="36"/>
      <c r="B20" s="96"/>
      <c r="C20" s="54" t="s">
        <v>106</v>
      </c>
      <c r="D20" s="55">
        <v>37</v>
      </c>
      <c r="E20" s="56">
        <v>1.9708106956430002E-3</v>
      </c>
    </row>
    <row r="21" spans="1:5" ht="16.5">
      <c r="A21" s="36"/>
      <c r="B21" s="96"/>
      <c r="C21" s="54" t="s">
        <v>107</v>
      </c>
      <c r="D21" s="55">
        <v>31</v>
      </c>
      <c r="E21" s="56">
        <v>1.6512197720249999E-3</v>
      </c>
    </row>
    <row r="22" spans="1:5" ht="16.5">
      <c r="A22" s="36"/>
      <c r="B22" s="96"/>
      <c r="C22" s="54" t="s">
        <v>108</v>
      </c>
      <c r="D22" s="55">
        <v>545</v>
      </c>
      <c r="E22" s="56">
        <v>2.9029508895281001E-2</v>
      </c>
    </row>
    <row r="23" spans="1:5" ht="16.5">
      <c r="A23" s="36"/>
      <c r="B23" s="96"/>
      <c r="C23" s="54" t="s">
        <v>109</v>
      </c>
      <c r="D23" s="55">
        <v>34</v>
      </c>
      <c r="E23" s="56">
        <v>1.8110152338339999E-3</v>
      </c>
    </row>
    <row r="24" spans="1:5" ht="16.5">
      <c r="A24" s="36"/>
      <c r="B24" s="96"/>
      <c r="C24" s="54" t="s">
        <v>110</v>
      </c>
      <c r="D24" s="55">
        <v>132</v>
      </c>
      <c r="E24" s="56">
        <v>7.0310003195910003E-3</v>
      </c>
    </row>
    <row r="25" spans="1:5" ht="16.5">
      <c r="A25" s="36"/>
      <c r="B25" s="96"/>
      <c r="C25" s="54" t="s">
        <v>111</v>
      </c>
      <c r="D25" s="55">
        <v>507</v>
      </c>
      <c r="E25" s="56">
        <v>2.7005433045702E-2</v>
      </c>
    </row>
    <row r="26" spans="1:5" ht="16.5">
      <c r="A26" s="36"/>
      <c r="B26" s="96"/>
      <c r="C26" s="54" t="s">
        <v>112</v>
      </c>
      <c r="D26" s="55">
        <v>12</v>
      </c>
      <c r="E26" s="56">
        <v>6.3918184723599995E-4</v>
      </c>
    </row>
    <row r="27" spans="1:5" ht="16.5">
      <c r="A27" s="36"/>
      <c r="B27" s="96"/>
      <c r="C27" s="54" t="s">
        <v>113</v>
      </c>
      <c r="D27" s="55">
        <v>8</v>
      </c>
      <c r="E27" s="56">
        <v>4.2612123148999997E-4</v>
      </c>
    </row>
    <row r="28" spans="1:5" ht="16.5">
      <c r="A28" s="36"/>
      <c r="B28" s="96"/>
      <c r="C28" s="54" t="s">
        <v>114</v>
      </c>
      <c r="D28" s="55">
        <v>3</v>
      </c>
      <c r="E28" s="56">
        <v>1.5979546180899999E-4</v>
      </c>
    </row>
    <row r="29" spans="1:5" ht="16.5">
      <c r="A29" s="36"/>
      <c r="B29" s="96"/>
      <c r="C29" s="54" t="s">
        <v>115</v>
      </c>
      <c r="D29" s="55">
        <v>3</v>
      </c>
      <c r="E29" s="56">
        <v>1.5979546180899999E-4</v>
      </c>
    </row>
    <row r="30" spans="1:5" ht="16.5">
      <c r="A30" s="36"/>
      <c r="B30" s="96"/>
      <c r="C30" s="54" t="s">
        <v>116</v>
      </c>
      <c r="D30" s="55">
        <v>37</v>
      </c>
      <c r="E30" s="56">
        <v>1.9708106956430002E-3</v>
      </c>
    </row>
    <row r="31" spans="1:5" ht="16.5">
      <c r="A31" s="36"/>
      <c r="B31" s="96"/>
      <c r="C31" s="54" t="s">
        <v>117</v>
      </c>
      <c r="D31" s="55">
        <v>80</v>
      </c>
      <c r="E31" s="56">
        <v>4.2612123149039999E-3</v>
      </c>
    </row>
    <row r="32" spans="1:5" ht="16.5">
      <c r="A32" s="36"/>
      <c r="B32" s="96"/>
      <c r="C32" s="54" t="s">
        <v>118</v>
      </c>
      <c r="D32" s="55">
        <v>1</v>
      </c>
      <c r="E32" s="56">
        <v>5.3265153936E-5</v>
      </c>
    </row>
    <row r="33" spans="1:5" ht="16.5">
      <c r="A33" s="36"/>
      <c r="B33" s="96"/>
      <c r="C33" s="54" t="s">
        <v>119</v>
      </c>
      <c r="D33" s="55">
        <v>5</v>
      </c>
      <c r="E33" s="56">
        <v>2.6632576968100001E-4</v>
      </c>
    </row>
    <row r="34" spans="1:5" ht="16.5">
      <c r="A34" s="36"/>
      <c r="B34" s="96"/>
      <c r="C34" s="54" t="s">
        <v>120</v>
      </c>
      <c r="D34" s="55">
        <v>1</v>
      </c>
      <c r="E34" s="56">
        <v>5.3265153936E-5</v>
      </c>
    </row>
    <row r="35" spans="1:5" ht="16.5">
      <c r="A35" s="36"/>
      <c r="B35" s="97"/>
      <c r="C35" s="65" t="s">
        <v>321</v>
      </c>
      <c r="D35" s="64">
        <v>1959</v>
      </c>
      <c r="E35" s="66">
        <v>0.104346436561202</v>
      </c>
    </row>
    <row r="36" spans="1:5" ht="16.5">
      <c r="A36" s="36"/>
      <c r="B36" s="95" t="s">
        <v>61</v>
      </c>
      <c r="C36" s="54" t="s">
        <v>97</v>
      </c>
      <c r="D36" s="55">
        <v>2</v>
      </c>
      <c r="E36" s="56">
        <v>1.06530307873E-4</v>
      </c>
    </row>
    <row r="37" spans="1:5" ht="16.5">
      <c r="A37" s="36"/>
      <c r="B37" s="96"/>
      <c r="C37" s="54" t="s">
        <v>99</v>
      </c>
      <c r="D37" s="55">
        <v>1</v>
      </c>
      <c r="E37" s="56">
        <v>5.3265153936E-5</v>
      </c>
    </row>
    <row r="38" spans="1:5" ht="16.5">
      <c r="A38" s="36"/>
      <c r="B38" s="96"/>
      <c r="C38" s="54" t="s">
        <v>100</v>
      </c>
      <c r="D38" s="55">
        <v>2</v>
      </c>
      <c r="E38" s="56">
        <v>1.06530307873E-4</v>
      </c>
    </row>
    <row r="39" spans="1:5" ht="16.5">
      <c r="A39" s="36"/>
      <c r="B39" s="96"/>
      <c r="C39" s="54" t="s">
        <v>101</v>
      </c>
      <c r="D39" s="55">
        <v>2</v>
      </c>
      <c r="E39" s="56">
        <v>1.06530307873E-4</v>
      </c>
    </row>
    <row r="40" spans="1:5" ht="16.5">
      <c r="A40" s="36"/>
      <c r="B40" s="96"/>
      <c r="C40" s="54" t="s">
        <v>102</v>
      </c>
      <c r="D40" s="55">
        <v>2</v>
      </c>
      <c r="E40" s="56">
        <v>1.06530307873E-4</v>
      </c>
    </row>
    <row r="41" spans="1:5" ht="16.5">
      <c r="A41" s="36"/>
      <c r="B41" s="96"/>
      <c r="C41" s="54" t="s">
        <v>103</v>
      </c>
      <c r="D41" s="55">
        <v>8</v>
      </c>
      <c r="E41" s="56">
        <v>4.2612123148999997E-4</v>
      </c>
    </row>
    <row r="42" spans="1:5" ht="16.5">
      <c r="A42" s="36"/>
      <c r="B42" s="96"/>
      <c r="C42" s="54" t="s">
        <v>104</v>
      </c>
      <c r="D42" s="55">
        <v>15</v>
      </c>
      <c r="E42" s="56">
        <v>7.98977309044E-4</v>
      </c>
    </row>
    <row r="43" spans="1:5" ht="16.5">
      <c r="A43" s="36"/>
      <c r="B43" s="96"/>
      <c r="C43" s="54" t="s">
        <v>105</v>
      </c>
      <c r="D43" s="55">
        <v>1</v>
      </c>
      <c r="E43" s="56">
        <v>5.3265153936E-5</v>
      </c>
    </row>
    <row r="44" spans="1:5" ht="16.5">
      <c r="A44" s="36"/>
      <c r="B44" s="96"/>
      <c r="C44" s="54" t="s">
        <v>106</v>
      </c>
      <c r="D44" s="55">
        <v>5</v>
      </c>
      <c r="E44" s="56">
        <v>2.6632576968100001E-4</v>
      </c>
    </row>
    <row r="45" spans="1:5" ht="16.5">
      <c r="A45" s="36"/>
      <c r="B45" s="96"/>
      <c r="C45" s="54" t="s">
        <v>107</v>
      </c>
      <c r="D45" s="55">
        <v>3</v>
      </c>
      <c r="E45" s="56">
        <v>1.5979546180899999E-4</v>
      </c>
    </row>
    <row r="46" spans="1:5" ht="16.5">
      <c r="A46" s="36"/>
      <c r="B46" s="96"/>
      <c r="C46" s="54" t="s">
        <v>108</v>
      </c>
      <c r="D46" s="55">
        <v>50</v>
      </c>
      <c r="E46" s="56">
        <v>2.6632576968149998E-3</v>
      </c>
    </row>
    <row r="47" spans="1:5" ht="16.5">
      <c r="A47" s="36"/>
      <c r="B47" s="96"/>
      <c r="C47" s="54" t="s">
        <v>109</v>
      </c>
      <c r="D47" s="55">
        <v>3</v>
      </c>
      <c r="E47" s="56">
        <v>1.5979546180899999E-4</v>
      </c>
    </row>
    <row r="48" spans="1:5" ht="16.5">
      <c r="A48" s="36"/>
      <c r="B48" s="96"/>
      <c r="C48" s="54" t="s">
        <v>110</v>
      </c>
      <c r="D48" s="55">
        <v>9</v>
      </c>
      <c r="E48" s="56">
        <v>4.7938638542699999E-4</v>
      </c>
    </row>
    <row r="49" spans="1:5" ht="16.5">
      <c r="A49" s="36"/>
      <c r="B49" s="96"/>
      <c r="C49" s="54" t="s">
        <v>111</v>
      </c>
      <c r="D49" s="55">
        <v>29</v>
      </c>
      <c r="E49" s="56">
        <v>1.544689464153E-3</v>
      </c>
    </row>
    <row r="50" spans="1:5" ht="16.5">
      <c r="A50" s="36"/>
      <c r="B50" s="96"/>
      <c r="C50" s="54" t="s">
        <v>115</v>
      </c>
      <c r="D50" s="55">
        <v>1</v>
      </c>
      <c r="E50" s="56">
        <v>5.3265153936E-5</v>
      </c>
    </row>
    <row r="51" spans="1:5" ht="16.5">
      <c r="A51" s="36"/>
      <c r="B51" s="96"/>
      <c r="C51" s="54" t="s">
        <v>116</v>
      </c>
      <c r="D51" s="55">
        <v>2</v>
      </c>
      <c r="E51" s="56">
        <v>1.06530307873E-4</v>
      </c>
    </row>
    <row r="52" spans="1:5" ht="16.5">
      <c r="A52" s="36"/>
      <c r="B52" s="96"/>
      <c r="C52" s="54" t="s">
        <v>117</v>
      </c>
      <c r="D52" s="55">
        <v>4</v>
      </c>
      <c r="E52" s="56">
        <v>2.1306061574499999E-4</v>
      </c>
    </row>
    <row r="53" spans="1:5" ht="16.5">
      <c r="A53" s="36"/>
      <c r="B53" s="97"/>
      <c r="C53" s="65" t="s">
        <v>321</v>
      </c>
      <c r="D53" s="64">
        <v>139</v>
      </c>
      <c r="E53" s="66">
        <v>7.4038563971450004E-3</v>
      </c>
    </row>
    <row r="54" spans="1:5" ht="16.5">
      <c r="A54" s="36"/>
      <c r="B54" s="95" t="s">
        <v>63</v>
      </c>
      <c r="C54" s="54" t="s">
        <v>99</v>
      </c>
      <c r="D54" s="55">
        <v>1</v>
      </c>
      <c r="E54" s="56">
        <v>5.3265153936E-5</v>
      </c>
    </row>
    <row r="55" spans="1:5" ht="16.5">
      <c r="A55" s="36"/>
      <c r="B55" s="96"/>
      <c r="C55" s="54" t="s">
        <v>101</v>
      </c>
      <c r="D55" s="55">
        <v>1</v>
      </c>
      <c r="E55" s="56">
        <v>5.3265153936E-5</v>
      </c>
    </row>
    <row r="56" spans="1:5" ht="16.5">
      <c r="A56" s="36"/>
      <c r="B56" s="96"/>
      <c r="C56" s="54" t="s">
        <v>102</v>
      </c>
      <c r="D56" s="55">
        <v>2</v>
      </c>
      <c r="E56" s="56">
        <v>1.06530307873E-4</v>
      </c>
    </row>
    <row r="57" spans="1:5" ht="16.5">
      <c r="A57" s="36"/>
      <c r="B57" s="96"/>
      <c r="C57" s="54" t="s">
        <v>103</v>
      </c>
      <c r="D57" s="55">
        <v>3</v>
      </c>
      <c r="E57" s="56">
        <v>1.5979546180899999E-4</v>
      </c>
    </row>
    <row r="58" spans="1:5" ht="16.5">
      <c r="A58" s="36"/>
      <c r="B58" s="96"/>
      <c r="C58" s="54" t="s">
        <v>104</v>
      </c>
      <c r="D58" s="55">
        <v>12</v>
      </c>
      <c r="E58" s="56">
        <v>6.3918184723599995E-4</v>
      </c>
    </row>
    <row r="59" spans="1:5" ht="16.5">
      <c r="A59" s="36"/>
      <c r="B59" s="96"/>
      <c r="C59" s="54" t="s">
        <v>106</v>
      </c>
      <c r="D59" s="55">
        <v>4</v>
      </c>
      <c r="E59" s="56">
        <v>2.1306061574499999E-4</v>
      </c>
    </row>
    <row r="60" spans="1:5" ht="16.5">
      <c r="A60" s="36"/>
      <c r="B60" s="96"/>
      <c r="C60" s="54" t="s">
        <v>107</v>
      </c>
      <c r="D60" s="55">
        <v>5</v>
      </c>
      <c r="E60" s="56">
        <v>2.6632576968100001E-4</v>
      </c>
    </row>
    <row r="61" spans="1:5" ht="16.5">
      <c r="A61" s="36"/>
      <c r="B61" s="96"/>
      <c r="C61" s="54" t="s">
        <v>108</v>
      </c>
      <c r="D61" s="55">
        <v>18</v>
      </c>
      <c r="E61" s="56">
        <v>9.5877277085300002E-4</v>
      </c>
    </row>
    <row r="62" spans="1:5" ht="16.5">
      <c r="A62" s="36"/>
      <c r="B62" s="96"/>
      <c r="C62" s="54" t="s">
        <v>109</v>
      </c>
      <c r="D62" s="55">
        <v>1</v>
      </c>
      <c r="E62" s="56">
        <v>5.3265153936E-5</v>
      </c>
    </row>
    <row r="63" spans="1:5" ht="16.5">
      <c r="A63" s="36"/>
      <c r="B63" s="96"/>
      <c r="C63" s="54" t="s">
        <v>110</v>
      </c>
      <c r="D63" s="55">
        <v>10</v>
      </c>
      <c r="E63" s="56">
        <v>5.3265153936299999E-4</v>
      </c>
    </row>
    <row r="64" spans="1:5" ht="16.5">
      <c r="A64" s="36"/>
      <c r="B64" s="96"/>
      <c r="C64" s="54" t="s">
        <v>111</v>
      </c>
      <c r="D64" s="55">
        <v>45</v>
      </c>
      <c r="E64" s="56">
        <v>2.3969319271329999E-3</v>
      </c>
    </row>
    <row r="65" spans="1:5" ht="16.5">
      <c r="A65" s="36"/>
      <c r="B65" s="96"/>
      <c r="C65" s="54" t="s">
        <v>112</v>
      </c>
      <c r="D65" s="55">
        <v>1</v>
      </c>
      <c r="E65" s="56">
        <v>5.3265153936E-5</v>
      </c>
    </row>
    <row r="66" spans="1:5" ht="16.5">
      <c r="A66" s="36"/>
      <c r="B66" s="96"/>
      <c r="C66" s="54" t="s">
        <v>113</v>
      </c>
      <c r="D66" s="55">
        <v>3</v>
      </c>
      <c r="E66" s="56">
        <v>1.5979546180899999E-4</v>
      </c>
    </row>
    <row r="67" spans="1:5" ht="16.5">
      <c r="A67" s="36"/>
      <c r="B67" s="96"/>
      <c r="C67" s="54" t="s">
        <v>114</v>
      </c>
      <c r="D67" s="55">
        <v>1</v>
      </c>
      <c r="E67" s="56">
        <v>5.3265153936E-5</v>
      </c>
    </row>
    <row r="68" spans="1:5" ht="16.5">
      <c r="A68" s="36"/>
      <c r="B68" s="96"/>
      <c r="C68" s="54" t="s">
        <v>116</v>
      </c>
      <c r="D68" s="55">
        <v>3</v>
      </c>
      <c r="E68" s="56">
        <v>1.5979546180899999E-4</v>
      </c>
    </row>
    <row r="69" spans="1:5" ht="16.5">
      <c r="A69" s="36"/>
      <c r="B69" s="96"/>
      <c r="C69" s="54" t="s">
        <v>117</v>
      </c>
      <c r="D69" s="55">
        <v>11</v>
      </c>
      <c r="E69" s="56">
        <v>5.8591669329900004E-4</v>
      </c>
    </row>
    <row r="70" spans="1:5" ht="16.5">
      <c r="A70" s="36"/>
      <c r="B70" s="97"/>
      <c r="C70" s="65" t="s">
        <v>321</v>
      </c>
      <c r="D70" s="64">
        <v>121</v>
      </c>
      <c r="E70" s="66">
        <v>6.4450836262919999E-3</v>
      </c>
    </row>
    <row r="71" spans="1:5" ht="16.5">
      <c r="A71" s="36"/>
      <c r="B71" s="95" t="s">
        <v>67</v>
      </c>
      <c r="C71" s="54" t="s">
        <v>97</v>
      </c>
      <c r="D71" s="55">
        <v>4</v>
      </c>
      <c r="E71" s="56">
        <v>2.1306061574499999E-4</v>
      </c>
    </row>
    <row r="72" spans="1:5" ht="16.5">
      <c r="A72" s="36"/>
      <c r="B72" s="96"/>
      <c r="C72" s="54" t="s">
        <v>100</v>
      </c>
      <c r="D72" s="55">
        <v>1</v>
      </c>
      <c r="E72" s="56">
        <v>5.3265153936E-5</v>
      </c>
    </row>
    <row r="73" spans="1:5" ht="16.5">
      <c r="A73" s="36"/>
      <c r="B73" s="96"/>
      <c r="C73" s="54" t="s">
        <v>102</v>
      </c>
      <c r="D73" s="55">
        <v>1</v>
      </c>
      <c r="E73" s="56">
        <v>5.3265153936E-5</v>
      </c>
    </row>
    <row r="74" spans="1:5" ht="16.5">
      <c r="A74" s="36"/>
      <c r="B74" s="96"/>
      <c r="C74" s="54" t="s">
        <v>103</v>
      </c>
      <c r="D74" s="55">
        <v>6</v>
      </c>
      <c r="E74" s="56">
        <v>3.1959092361799997E-4</v>
      </c>
    </row>
    <row r="75" spans="1:5" ht="16.5">
      <c r="A75" s="36"/>
      <c r="B75" s="96"/>
      <c r="C75" s="54" t="s">
        <v>104</v>
      </c>
      <c r="D75" s="55">
        <v>16</v>
      </c>
      <c r="E75" s="56">
        <v>8.5224246298100002E-4</v>
      </c>
    </row>
    <row r="76" spans="1:5" ht="16.5">
      <c r="A76" s="36"/>
      <c r="B76" s="96"/>
      <c r="C76" s="54" t="s">
        <v>105</v>
      </c>
      <c r="D76" s="55">
        <v>1</v>
      </c>
      <c r="E76" s="56">
        <v>5.3265153936E-5</v>
      </c>
    </row>
    <row r="77" spans="1:5" ht="16.5">
      <c r="A77" s="36"/>
      <c r="B77" s="96"/>
      <c r="C77" s="54" t="s">
        <v>106</v>
      </c>
      <c r="D77" s="55">
        <v>3</v>
      </c>
      <c r="E77" s="56">
        <v>1.5979546180899999E-4</v>
      </c>
    </row>
    <row r="78" spans="1:5" ht="16.5">
      <c r="A78" s="36"/>
      <c r="B78" s="96"/>
      <c r="C78" s="54" t="s">
        <v>107</v>
      </c>
      <c r="D78" s="55">
        <v>5</v>
      </c>
      <c r="E78" s="56">
        <v>2.6632576968100001E-4</v>
      </c>
    </row>
    <row r="79" spans="1:5" ht="16.5">
      <c r="A79" s="36"/>
      <c r="B79" s="96"/>
      <c r="C79" s="54" t="s">
        <v>108</v>
      </c>
      <c r="D79" s="55">
        <v>16</v>
      </c>
      <c r="E79" s="56">
        <v>8.5224246298100002E-4</v>
      </c>
    </row>
    <row r="80" spans="1:5" ht="16.5">
      <c r="A80" s="36"/>
      <c r="B80" s="96"/>
      <c r="C80" s="54" t="s">
        <v>110</v>
      </c>
      <c r="D80" s="55">
        <v>9</v>
      </c>
      <c r="E80" s="56">
        <v>4.7938638542699999E-4</v>
      </c>
    </row>
    <row r="81" spans="1:5" ht="16.5">
      <c r="A81" s="36"/>
      <c r="B81" s="96"/>
      <c r="C81" s="54" t="s">
        <v>111</v>
      </c>
      <c r="D81" s="55">
        <v>22</v>
      </c>
      <c r="E81" s="56">
        <v>1.1718333865980001E-3</v>
      </c>
    </row>
    <row r="82" spans="1:5" ht="16.5">
      <c r="A82" s="36"/>
      <c r="B82" s="96"/>
      <c r="C82" s="54" t="s">
        <v>116</v>
      </c>
      <c r="D82" s="55">
        <v>1</v>
      </c>
      <c r="E82" s="56">
        <v>5.3265153936E-5</v>
      </c>
    </row>
    <row r="83" spans="1:5" ht="16.5">
      <c r="A83" s="36"/>
      <c r="B83" s="96"/>
      <c r="C83" s="54" t="s">
        <v>117</v>
      </c>
      <c r="D83" s="55">
        <v>3</v>
      </c>
      <c r="E83" s="56">
        <v>1.5979546180899999E-4</v>
      </c>
    </row>
    <row r="84" spans="1:5" ht="16.5">
      <c r="A84" s="36"/>
      <c r="B84" s="97"/>
      <c r="C84" s="65" t="s">
        <v>321</v>
      </c>
      <c r="D84" s="64">
        <v>88</v>
      </c>
      <c r="E84" s="66">
        <v>4.6873335463939996E-3</v>
      </c>
    </row>
    <row r="85" spans="1:5" ht="16.5">
      <c r="A85" s="36"/>
      <c r="B85" s="95" t="s">
        <v>91</v>
      </c>
      <c r="C85" s="54" t="s">
        <v>103</v>
      </c>
      <c r="D85" s="55">
        <v>1</v>
      </c>
      <c r="E85" s="56">
        <v>5.3265153936E-5</v>
      </c>
    </row>
    <row r="86" spans="1:5" ht="16.5">
      <c r="A86" s="36"/>
      <c r="B86" s="96"/>
      <c r="C86" s="54" t="s">
        <v>108</v>
      </c>
      <c r="D86" s="55">
        <v>1</v>
      </c>
      <c r="E86" s="56">
        <v>5.3265153936E-5</v>
      </c>
    </row>
    <row r="87" spans="1:5" ht="16.5">
      <c r="A87" s="36"/>
      <c r="B87" s="96"/>
      <c r="C87" s="54" t="s">
        <v>111</v>
      </c>
      <c r="D87" s="55">
        <v>4</v>
      </c>
      <c r="E87" s="56">
        <v>2.1306061574499999E-4</v>
      </c>
    </row>
    <row r="88" spans="1:5" ht="16.5">
      <c r="A88" s="36"/>
      <c r="B88" s="96"/>
      <c r="C88" s="54" t="s">
        <v>117</v>
      </c>
      <c r="D88" s="55">
        <v>2</v>
      </c>
      <c r="E88" s="56">
        <v>1.06530307873E-4</v>
      </c>
    </row>
    <row r="89" spans="1:5" ht="16.5">
      <c r="A89" s="36"/>
      <c r="B89" s="97"/>
      <c r="C89" s="65" t="s">
        <v>321</v>
      </c>
      <c r="D89" s="64">
        <v>8</v>
      </c>
      <c r="E89" s="66">
        <v>4.2612123148999997E-4</v>
      </c>
    </row>
    <row r="90" spans="1:5" ht="16.5">
      <c r="A90" s="36"/>
      <c r="B90" s="95" t="s">
        <v>87</v>
      </c>
      <c r="C90" s="54" t="s">
        <v>103</v>
      </c>
      <c r="D90" s="55">
        <v>2</v>
      </c>
      <c r="E90" s="56">
        <v>1.06530307873E-4</v>
      </c>
    </row>
    <row r="91" spans="1:5" ht="16.5">
      <c r="A91" s="36"/>
      <c r="B91" s="96"/>
      <c r="C91" s="54" t="s">
        <v>104</v>
      </c>
      <c r="D91" s="55">
        <v>1</v>
      </c>
      <c r="E91" s="56">
        <v>5.3265153936E-5</v>
      </c>
    </row>
    <row r="92" spans="1:5" ht="16.5">
      <c r="A92" s="36"/>
      <c r="B92" s="96"/>
      <c r="C92" s="54" t="s">
        <v>107</v>
      </c>
      <c r="D92" s="55">
        <v>1</v>
      </c>
      <c r="E92" s="56">
        <v>5.3265153936E-5</v>
      </c>
    </row>
    <row r="93" spans="1:5" ht="16.5">
      <c r="A93" s="36"/>
      <c r="B93" s="96"/>
      <c r="C93" s="54" t="s">
        <v>108</v>
      </c>
      <c r="D93" s="55">
        <v>3</v>
      </c>
      <c r="E93" s="56">
        <v>1.5979546180899999E-4</v>
      </c>
    </row>
    <row r="94" spans="1:5" ht="16.5">
      <c r="A94" s="36"/>
      <c r="B94" s="96"/>
      <c r="C94" s="54" t="s">
        <v>110</v>
      </c>
      <c r="D94" s="55">
        <v>2</v>
      </c>
      <c r="E94" s="56">
        <v>1.06530307873E-4</v>
      </c>
    </row>
    <row r="95" spans="1:5" ht="16.5">
      <c r="A95" s="36"/>
      <c r="B95" s="96"/>
      <c r="C95" s="54" t="s">
        <v>111</v>
      </c>
      <c r="D95" s="55">
        <v>7</v>
      </c>
      <c r="E95" s="56">
        <v>3.7285607755399997E-4</v>
      </c>
    </row>
    <row r="96" spans="1:5" ht="16.5">
      <c r="A96" s="36"/>
      <c r="B96" s="96"/>
      <c r="C96" s="54" t="s">
        <v>117</v>
      </c>
      <c r="D96" s="55">
        <v>2</v>
      </c>
      <c r="E96" s="56">
        <v>1.06530307873E-4</v>
      </c>
    </row>
    <row r="97" spans="1:5" ht="16.5">
      <c r="A97" s="36"/>
      <c r="B97" s="97"/>
      <c r="C97" s="65" t="s">
        <v>321</v>
      </c>
      <c r="D97" s="64">
        <v>18</v>
      </c>
      <c r="E97" s="66">
        <v>9.5877277085300002E-4</v>
      </c>
    </row>
    <row r="98" spans="1:5" ht="16.5">
      <c r="A98" s="36"/>
      <c r="B98" s="95" t="s">
        <v>90</v>
      </c>
      <c r="C98" s="54" t="s">
        <v>108</v>
      </c>
      <c r="D98" s="55">
        <v>1</v>
      </c>
      <c r="E98" s="56">
        <v>5.3265153936E-5</v>
      </c>
    </row>
    <row r="99" spans="1:5" ht="16.5">
      <c r="A99" s="36"/>
      <c r="B99" s="96"/>
      <c r="C99" s="54" t="s">
        <v>109</v>
      </c>
      <c r="D99" s="55">
        <v>1</v>
      </c>
      <c r="E99" s="56">
        <v>5.3265153936E-5</v>
      </c>
    </row>
    <row r="100" spans="1:5" ht="16.5">
      <c r="A100" s="36"/>
      <c r="B100" s="96"/>
      <c r="C100" s="54" t="s">
        <v>111</v>
      </c>
      <c r="D100" s="55">
        <v>2</v>
      </c>
      <c r="E100" s="56">
        <v>1.06530307873E-4</v>
      </c>
    </row>
    <row r="101" spans="1:5" ht="16.5">
      <c r="A101" s="36"/>
      <c r="B101" s="96"/>
      <c r="C101" s="54" t="s">
        <v>119</v>
      </c>
      <c r="D101" s="55">
        <v>1</v>
      </c>
      <c r="E101" s="56">
        <v>5.3265153936E-5</v>
      </c>
    </row>
    <row r="102" spans="1:5" ht="16.5">
      <c r="A102" s="36"/>
      <c r="B102" s="97"/>
      <c r="C102" s="65" t="s">
        <v>321</v>
      </c>
      <c r="D102" s="64">
        <v>5</v>
      </c>
      <c r="E102" s="66">
        <v>2.6632576968100001E-4</v>
      </c>
    </row>
    <row r="103" spans="1:5" ht="16.5">
      <c r="A103" s="36"/>
      <c r="B103" s="95" t="s">
        <v>52</v>
      </c>
      <c r="C103" s="54" t="s">
        <v>97</v>
      </c>
      <c r="D103" s="55">
        <v>4</v>
      </c>
      <c r="E103" s="56">
        <v>2.1306061574499999E-4</v>
      </c>
    </row>
    <row r="104" spans="1:5" ht="16.5">
      <c r="A104" s="36"/>
      <c r="B104" s="96"/>
      <c r="C104" s="54" t="s">
        <v>99</v>
      </c>
      <c r="D104" s="55">
        <v>2</v>
      </c>
      <c r="E104" s="56">
        <v>1.06530307873E-4</v>
      </c>
    </row>
    <row r="105" spans="1:5" ht="16.5">
      <c r="A105" s="36"/>
      <c r="B105" s="96"/>
      <c r="C105" s="54" t="s">
        <v>100</v>
      </c>
      <c r="D105" s="55">
        <v>6</v>
      </c>
      <c r="E105" s="56">
        <v>3.1959092361799997E-4</v>
      </c>
    </row>
    <row r="106" spans="1:5" ht="16.5">
      <c r="A106" s="36"/>
      <c r="B106" s="96"/>
      <c r="C106" s="54" t="s">
        <v>101</v>
      </c>
      <c r="D106" s="55">
        <v>4</v>
      </c>
      <c r="E106" s="56">
        <v>2.1306061574499999E-4</v>
      </c>
    </row>
    <row r="107" spans="1:5" ht="16.5">
      <c r="A107" s="36"/>
      <c r="B107" s="96"/>
      <c r="C107" s="54" t="s">
        <v>102</v>
      </c>
      <c r="D107" s="55">
        <v>2</v>
      </c>
      <c r="E107" s="56">
        <v>1.06530307873E-4</v>
      </c>
    </row>
    <row r="108" spans="1:5" ht="16.5">
      <c r="A108" s="36"/>
      <c r="B108" s="96"/>
      <c r="C108" s="54" t="s">
        <v>103</v>
      </c>
      <c r="D108" s="55">
        <v>23</v>
      </c>
      <c r="E108" s="56">
        <v>1.225098540535E-3</v>
      </c>
    </row>
    <row r="109" spans="1:5" ht="16.5">
      <c r="A109" s="36"/>
      <c r="B109" s="96"/>
      <c r="C109" s="54" t="s">
        <v>104</v>
      </c>
      <c r="D109" s="55">
        <v>85</v>
      </c>
      <c r="E109" s="56">
        <v>4.5275380845849998E-3</v>
      </c>
    </row>
    <row r="110" spans="1:5" ht="16.5">
      <c r="A110" s="36"/>
      <c r="B110" s="96"/>
      <c r="C110" s="54" t="s">
        <v>105</v>
      </c>
      <c r="D110" s="55">
        <v>4</v>
      </c>
      <c r="E110" s="56">
        <v>2.1306061574499999E-4</v>
      </c>
    </row>
    <row r="111" spans="1:5" ht="16.5">
      <c r="A111" s="36"/>
      <c r="B111" s="96"/>
      <c r="C111" s="54" t="s">
        <v>106</v>
      </c>
      <c r="D111" s="55">
        <v>11</v>
      </c>
      <c r="E111" s="56">
        <v>5.8591669329900004E-4</v>
      </c>
    </row>
    <row r="112" spans="1:5" ht="16.5">
      <c r="A112" s="36"/>
      <c r="B112" s="96"/>
      <c r="C112" s="54" t="s">
        <v>107</v>
      </c>
      <c r="D112" s="55">
        <v>14</v>
      </c>
      <c r="E112" s="56">
        <v>7.4571215510799995E-4</v>
      </c>
    </row>
    <row r="113" spans="1:5" ht="16.5">
      <c r="A113" s="36"/>
      <c r="B113" s="96"/>
      <c r="C113" s="54" t="s">
        <v>108</v>
      </c>
      <c r="D113" s="55">
        <v>187</v>
      </c>
      <c r="E113" s="56">
        <v>9.9605837860869996E-3</v>
      </c>
    </row>
    <row r="114" spans="1:5" ht="16.5">
      <c r="A114" s="36"/>
      <c r="B114" s="96"/>
      <c r="C114" s="54" t="s">
        <v>109</v>
      </c>
      <c r="D114" s="55">
        <v>11</v>
      </c>
      <c r="E114" s="56">
        <v>5.8591669329900004E-4</v>
      </c>
    </row>
    <row r="115" spans="1:5" ht="16.5">
      <c r="A115" s="36"/>
      <c r="B115" s="96"/>
      <c r="C115" s="54" t="s">
        <v>110</v>
      </c>
      <c r="D115" s="55">
        <v>26</v>
      </c>
      <c r="E115" s="56">
        <v>1.384894002344E-3</v>
      </c>
    </row>
    <row r="116" spans="1:5" ht="16.5">
      <c r="A116" s="36"/>
      <c r="B116" s="96"/>
      <c r="C116" s="54" t="s">
        <v>111</v>
      </c>
      <c r="D116" s="55">
        <v>144</v>
      </c>
      <c r="E116" s="56">
        <v>7.6701821668260003E-3</v>
      </c>
    </row>
    <row r="117" spans="1:5" ht="16.5">
      <c r="A117" s="36"/>
      <c r="B117" s="96"/>
      <c r="C117" s="54" t="s">
        <v>112</v>
      </c>
      <c r="D117" s="55">
        <v>5</v>
      </c>
      <c r="E117" s="56">
        <v>2.6632576968100001E-4</v>
      </c>
    </row>
    <row r="118" spans="1:5" ht="16.5">
      <c r="A118" s="36"/>
      <c r="B118" s="96"/>
      <c r="C118" s="54" t="s">
        <v>113</v>
      </c>
      <c r="D118" s="55">
        <v>5</v>
      </c>
      <c r="E118" s="56">
        <v>2.6632576968100001E-4</v>
      </c>
    </row>
    <row r="119" spans="1:5" ht="16.5">
      <c r="A119" s="36"/>
      <c r="B119" s="96"/>
      <c r="C119" s="54" t="s">
        <v>114</v>
      </c>
      <c r="D119" s="55">
        <v>2</v>
      </c>
      <c r="E119" s="56">
        <v>1.06530307873E-4</v>
      </c>
    </row>
    <row r="120" spans="1:5" ht="16.5">
      <c r="A120" s="36"/>
      <c r="B120" s="96"/>
      <c r="C120" s="54" t="s">
        <v>115</v>
      </c>
      <c r="D120" s="55">
        <v>4</v>
      </c>
      <c r="E120" s="56">
        <v>2.1306061574499999E-4</v>
      </c>
    </row>
    <row r="121" spans="1:5" ht="16.5">
      <c r="A121" s="36"/>
      <c r="B121" s="96"/>
      <c r="C121" s="54" t="s">
        <v>116</v>
      </c>
      <c r="D121" s="55">
        <v>12</v>
      </c>
      <c r="E121" s="56">
        <v>6.3918184723599995E-4</v>
      </c>
    </row>
    <row r="122" spans="1:5" ht="16.5">
      <c r="A122" s="36"/>
      <c r="B122" s="96"/>
      <c r="C122" s="54" t="s">
        <v>117</v>
      </c>
      <c r="D122" s="55">
        <v>41</v>
      </c>
      <c r="E122" s="56">
        <v>2.183871311388E-3</v>
      </c>
    </row>
    <row r="123" spans="1:5" ht="16.5">
      <c r="A123" s="36"/>
      <c r="B123" s="96"/>
      <c r="C123" s="54" t="s">
        <v>118</v>
      </c>
      <c r="D123" s="55">
        <v>1</v>
      </c>
      <c r="E123" s="56">
        <v>5.3265153936E-5</v>
      </c>
    </row>
    <row r="124" spans="1:5" ht="16.5">
      <c r="A124" s="36"/>
      <c r="B124" s="96"/>
      <c r="C124" s="54" t="s">
        <v>119</v>
      </c>
      <c r="D124" s="55">
        <v>1</v>
      </c>
      <c r="E124" s="56">
        <v>5.3265153936E-5</v>
      </c>
    </row>
    <row r="125" spans="1:5" ht="16.5">
      <c r="A125" s="36"/>
      <c r="B125" s="97"/>
      <c r="C125" s="65" t="s">
        <v>321</v>
      </c>
      <c r="D125" s="64">
        <v>594</v>
      </c>
      <c r="E125" s="66">
        <v>3.1639501438159003E-2</v>
      </c>
    </row>
    <row r="126" spans="1:5" ht="16.5">
      <c r="A126" s="36"/>
      <c r="B126" s="95" t="s">
        <v>47</v>
      </c>
      <c r="C126" s="54" t="s">
        <v>97</v>
      </c>
      <c r="D126" s="55">
        <v>5</v>
      </c>
      <c r="E126" s="56">
        <v>2.6632576968100001E-4</v>
      </c>
    </row>
    <row r="127" spans="1:5" ht="16.5">
      <c r="A127" s="36"/>
      <c r="B127" s="96"/>
      <c r="C127" s="54" t="s">
        <v>98</v>
      </c>
      <c r="D127" s="55">
        <v>5</v>
      </c>
      <c r="E127" s="56">
        <v>2.6632576968100001E-4</v>
      </c>
    </row>
    <row r="128" spans="1:5" ht="16.5">
      <c r="A128" s="36"/>
      <c r="B128" s="96"/>
      <c r="C128" s="54" t="s">
        <v>99</v>
      </c>
      <c r="D128" s="55">
        <v>1</v>
      </c>
      <c r="E128" s="56">
        <v>5.3265153936E-5</v>
      </c>
    </row>
    <row r="129" spans="1:5" ht="16.5">
      <c r="A129" s="36"/>
      <c r="B129" s="96"/>
      <c r="C129" s="54" t="s">
        <v>100</v>
      </c>
      <c r="D129" s="55">
        <v>7</v>
      </c>
      <c r="E129" s="56">
        <v>3.7285607755399997E-4</v>
      </c>
    </row>
    <row r="130" spans="1:5" ht="16.5">
      <c r="A130" s="36"/>
      <c r="B130" s="96"/>
      <c r="C130" s="54" t="s">
        <v>101</v>
      </c>
      <c r="D130" s="55">
        <v>10</v>
      </c>
      <c r="E130" s="56">
        <v>5.3265153936299999E-4</v>
      </c>
    </row>
    <row r="131" spans="1:5" ht="16.5">
      <c r="A131" s="36"/>
      <c r="B131" s="96"/>
      <c r="C131" s="54" t="s">
        <v>102</v>
      </c>
      <c r="D131" s="55">
        <v>15</v>
      </c>
      <c r="E131" s="56">
        <v>7.98977309044E-4</v>
      </c>
    </row>
    <row r="132" spans="1:5" ht="16.5">
      <c r="A132" s="36"/>
      <c r="B132" s="96"/>
      <c r="C132" s="54" t="s">
        <v>103</v>
      </c>
      <c r="D132" s="55">
        <v>127</v>
      </c>
      <c r="E132" s="56">
        <v>6.7646745499090003E-3</v>
      </c>
    </row>
    <row r="133" spans="1:5" ht="16.5">
      <c r="A133" s="36"/>
      <c r="B133" s="96"/>
      <c r="C133" s="54" t="s">
        <v>104</v>
      </c>
      <c r="D133" s="55">
        <v>161</v>
      </c>
      <c r="E133" s="56">
        <v>8.5756897837430002E-3</v>
      </c>
    </row>
    <row r="134" spans="1:5" ht="16.5">
      <c r="A134" s="36"/>
      <c r="B134" s="96"/>
      <c r="C134" s="54" t="s">
        <v>105</v>
      </c>
      <c r="D134" s="55">
        <v>16</v>
      </c>
      <c r="E134" s="56">
        <v>8.5224246298100002E-4</v>
      </c>
    </row>
    <row r="135" spans="1:5" ht="16.5">
      <c r="A135" s="36"/>
      <c r="B135" s="96"/>
      <c r="C135" s="54" t="s">
        <v>106</v>
      </c>
      <c r="D135" s="55">
        <v>33</v>
      </c>
      <c r="E135" s="56">
        <v>1.7577500798980001E-3</v>
      </c>
    </row>
    <row r="136" spans="1:5" ht="16.5">
      <c r="A136" s="36"/>
      <c r="B136" s="96"/>
      <c r="C136" s="54" t="s">
        <v>107</v>
      </c>
      <c r="D136" s="55">
        <v>55</v>
      </c>
      <c r="E136" s="56">
        <v>2.9295834664960002E-3</v>
      </c>
    </row>
    <row r="137" spans="1:5" ht="16.5">
      <c r="A137" s="36"/>
      <c r="B137" s="96"/>
      <c r="C137" s="54" t="s">
        <v>108</v>
      </c>
      <c r="D137" s="55">
        <v>531</v>
      </c>
      <c r="E137" s="56">
        <v>2.8283796740172999E-2</v>
      </c>
    </row>
    <row r="138" spans="1:5" ht="16.5">
      <c r="A138" s="36"/>
      <c r="B138" s="96"/>
      <c r="C138" s="54" t="s">
        <v>109</v>
      </c>
      <c r="D138" s="55">
        <v>33</v>
      </c>
      <c r="E138" s="56">
        <v>1.7577500798980001E-3</v>
      </c>
    </row>
    <row r="139" spans="1:5" ht="16.5">
      <c r="A139" s="36"/>
      <c r="B139" s="96"/>
      <c r="C139" s="54" t="s">
        <v>110</v>
      </c>
      <c r="D139" s="55">
        <v>193</v>
      </c>
      <c r="E139" s="56">
        <v>1.0280174709704999E-2</v>
      </c>
    </row>
    <row r="140" spans="1:5" ht="16.5">
      <c r="A140" s="36"/>
      <c r="B140" s="96"/>
      <c r="C140" s="54" t="s">
        <v>111</v>
      </c>
      <c r="D140" s="55">
        <v>540</v>
      </c>
      <c r="E140" s="56">
        <v>2.8763183125599001E-2</v>
      </c>
    </row>
    <row r="141" spans="1:5" ht="16.5">
      <c r="A141" s="36"/>
      <c r="B141" s="96"/>
      <c r="C141" s="54" t="s">
        <v>112</v>
      </c>
      <c r="D141" s="55">
        <v>16</v>
      </c>
      <c r="E141" s="56">
        <v>8.5224246298100002E-4</v>
      </c>
    </row>
    <row r="142" spans="1:5" ht="16.5">
      <c r="A142" s="36"/>
      <c r="B142" s="96"/>
      <c r="C142" s="54" t="s">
        <v>113</v>
      </c>
      <c r="D142" s="55">
        <v>12</v>
      </c>
      <c r="E142" s="56">
        <v>6.3918184723599995E-4</v>
      </c>
    </row>
    <row r="143" spans="1:5" ht="16.5">
      <c r="A143" s="36"/>
      <c r="B143" s="96"/>
      <c r="C143" s="54" t="s">
        <v>114</v>
      </c>
      <c r="D143" s="55">
        <v>4</v>
      </c>
      <c r="E143" s="56">
        <v>2.1306061574499999E-4</v>
      </c>
    </row>
    <row r="144" spans="1:5" ht="16.5">
      <c r="A144" s="36"/>
      <c r="B144" s="96"/>
      <c r="C144" s="54" t="s">
        <v>115</v>
      </c>
      <c r="D144" s="55">
        <v>5</v>
      </c>
      <c r="E144" s="56">
        <v>2.6632576968100001E-4</v>
      </c>
    </row>
    <row r="145" spans="1:5" ht="16.5">
      <c r="A145" s="36"/>
      <c r="B145" s="96"/>
      <c r="C145" s="54" t="s">
        <v>116</v>
      </c>
      <c r="D145" s="55">
        <v>37</v>
      </c>
      <c r="E145" s="56">
        <v>1.9708106956430002E-3</v>
      </c>
    </row>
    <row r="146" spans="1:5" ht="16.5">
      <c r="A146" s="36"/>
      <c r="B146" s="96"/>
      <c r="C146" s="54" t="s">
        <v>117</v>
      </c>
      <c r="D146" s="55">
        <v>88</v>
      </c>
      <c r="E146" s="56">
        <v>4.6873335463939996E-3</v>
      </c>
    </row>
    <row r="147" spans="1:5" ht="16.5">
      <c r="A147" s="36"/>
      <c r="B147" s="96"/>
      <c r="C147" s="54" t="s">
        <v>118</v>
      </c>
      <c r="D147" s="55">
        <v>1</v>
      </c>
      <c r="E147" s="56">
        <v>5.3265153936E-5</v>
      </c>
    </row>
    <row r="148" spans="1:5" ht="16.5">
      <c r="A148" s="36"/>
      <c r="B148" s="96"/>
      <c r="C148" s="54" t="s">
        <v>119</v>
      </c>
      <c r="D148" s="55">
        <v>4</v>
      </c>
      <c r="E148" s="56">
        <v>2.1306061574499999E-4</v>
      </c>
    </row>
    <row r="149" spans="1:5" ht="16.5">
      <c r="A149" s="36"/>
      <c r="B149" s="97"/>
      <c r="C149" s="65" t="s">
        <v>321</v>
      </c>
      <c r="D149" s="64">
        <v>1899</v>
      </c>
      <c r="E149" s="66">
        <v>0.101150527325024</v>
      </c>
    </row>
    <row r="150" spans="1:5" ht="16.5">
      <c r="A150" s="36"/>
      <c r="B150" s="95" t="s">
        <v>80</v>
      </c>
      <c r="C150" s="54" t="s">
        <v>97</v>
      </c>
      <c r="D150" s="55">
        <v>1</v>
      </c>
      <c r="E150" s="56">
        <v>5.3265153936E-5</v>
      </c>
    </row>
    <row r="151" spans="1:5" ht="16.5">
      <c r="A151" s="36"/>
      <c r="B151" s="96"/>
      <c r="C151" s="54" t="s">
        <v>100</v>
      </c>
      <c r="D151" s="55">
        <v>2</v>
      </c>
      <c r="E151" s="56">
        <v>1.06530307873E-4</v>
      </c>
    </row>
    <row r="152" spans="1:5" ht="16.5">
      <c r="A152" s="36"/>
      <c r="B152" s="96"/>
      <c r="C152" s="54" t="s">
        <v>102</v>
      </c>
      <c r="D152" s="55">
        <v>1</v>
      </c>
      <c r="E152" s="56">
        <v>5.3265153936E-5</v>
      </c>
    </row>
    <row r="153" spans="1:5" ht="16.5">
      <c r="A153" s="36"/>
      <c r="B153" s="96"/>
      <c r="C153" s="54" t="s">
        <v>103</v>
      </c>
      <c r="D153" s="55">
        <v>5</v>
      </c>
      <c r="E153" s="56">
        <v>2.6632576968100001E-4</v>
      </c>
    </row>
    <row r="154" spans="1:5" ht="16.5">
      <c r="A154" s="36"/>
      <c r="B154" s="96"/>
      <c r="C154" s="54" t="s">
        <v>104</v>
      </c>
      <c r="D154" s="55">
        <v>3</v>
      </c>
      <c r="E154" s="56">
        <v>1.5979546180899999E-4</v>
      </c>
    </row>
    <row r="155" spans="1:5" ht="16.5">
      <c r="A155" s="36"/>
      <c r="B155" s="96"/>
      <c r="C155" s="54" t="s">
        <v>106</v>
      </c>
      <c r="D155" s="55">
        <v>3</v>
      </c>
      <c r="E155" s="56">
        <v>1.5979546180899999E-4</v>
      </c>
    </row>
    <row r="156" spans="1:5" ht="16.5">
      <c r="A156" s="36"/>
      <c r="B156" s="96"/>
      <c r="C156" s="54" t="s">
        <v>108</v>
      </c>
      <c r="D156" s="55">
        <v>16</v>
      </c>
      <c r="E156" s="56">
        <v>8.5224246298100002E-4</v>
      </c>
    </row>
    <row r="157" spans="1:5" ht="16.5">
      <c r="A157" s="36"/>
      <c r="B157" s="96"/>
      <c r="C157" s="54" t="s">
        <v>110</v>
      </c>
      <c r="D157" s="55">
        <v>1</v>
      </c>
      <c r="E157" s="56">
        <v>5.3265153936E-5</v>
      </c>
    </row>
    <row r="158" spans="1:5" ht="16.5">
      <c r="A158" s="36"/>
      <c r="B158" s="96"/>
      <c r="C158" s="54" t="s">
        <v>111</v>
      </c>
      <c r="D158" s="55">
        <v>6</v>
      </c>
      <c r="E158" s="56">
        <v>3.1959092361799997E-4</v>
      </c>
    </row>
    <row r="159" spans="1:5" ht="16.5">
      <c r="A159" s="36"/>
      <c r="B159" s="96"/>
      <c r="C159" s="54" t="s">
        <v>116</v>
      </c>
      <c r="D159" s="55">
        <v>1</v>
      </c>
      <c r="E159" s="56">
        <v>5.3265153936E-5</v>
      </c>
    </row>
    <row r="160" spans="1:5" ht="16.5">
      <c r="A160" s="36"/>
      <c r="B160" s="96"/>
      <c r="C160" s="54" t="s">
        <v>117</v>
      </c>
      <c r="D160" s="55">
        <v>1</v>
      </c>
      <c r="E160" s="56">
        <v>5.3265153936E-5</v>
      </c>
    </row>
    <row r="161" spans="1:5" ht="16.5">
      <c r="A161" s="36"/>
      <c r="B161" s="97"/>
      <c r="C161" s="65" t="s">
        <v>321</v>
      </c>
      <c r="D161" s="64">
        <v>40</v>
      </c>
      <c r="E161" s="66">
        <v>2.130606157452E-3</v>
      </c>
    </row>
    <row r="162" spans="1:5" ht="16.5">
      <c r="A162" s="36"/>
      <c r="B162" s="95" t="s">
        <v>46</v>
      </c>
      <c r="C162" s="54" t="s">
        <v>97</v>
      </c>
      <c r="D162" s="55">
        <v>11</v>
      </c>
      <c r="E162" s="56">
        <v>5.8591669329900004E-4</v>
      </c>
    </row>
    <row r="163" spans="1:5" ht="16.5">
      <c r="A163" s="36"/>
      <c r="B163" s="96"/>
      <c r="C163" s="54" t="s">
        <v>98</v>
      </c>
      <c r="D163" s="55">
        <v>6</v>
      </c>
      <c r="E163" s="56">
        <v>3.1959092361799997E-4</v>
      </c>
    </row>
    <row r="164" spans="1:5" ht="16.5">
      <c r="A164" s="36"/>
      <c r="B164" s="96"/>
      <c r="C164" s="54" t="s">
        <v>99</v>
      </c>
      <c r="D164" s="55">
        <v>8</v>
      </c>
      <c r="E164" s="56">
        <v>4.2612123148999997E-4</v>
      </c>
    </row>
    <row r="165" spans="1:5" ht="16.5">
      <c r="A165" s="36"/>
      <c r="B165" s="96"/>
      <c r="C165" s="54" t="s">
        <v>100</v>
      </c>
      <c r="D165" s="55">
        <v>29</v>
      </c>
      <c r="E165" s="56">
        <v>1.544689464153E-3</v>
      </c>
    </row>
    <row r="166" spans="1:5" ht="16.5">
      <c r="A166" s="36"/>
      <c r="B166" s="96"/>
      <c r="C166" s="54" t="s">
        <v>101</v>
      </c>
      <c r="D166" s="55">
        <v>16</v>
      </c>
      <c r="E166" s="56">
        <v>8.5224246298100002E-4</v>
      </c>
    </row>
    <row r="167" spans="1:5" ht="16.5">
      <c r="A167" s="36"/>
      <c r="B167" s="96"/>
      <c r="C167" s="54" t="s">
        <v>102</v>
      </c>
      <c r="D167" s="55">
        <v>39</v>
      </c>
      <c r="E167" s="56">
        <v>2.0773410035159999E-3</v>
      </c>
    </row>
    <row r="168" spans="1:5" ht="16.5">
      <c r="A168" s="36"/>
      <c r="B168" s="96"/>
      <c r="C168" s="54" t="s">
        <v>103</v>
      </c>
      <c r="D168" s="55">
        <v>156</v>
      </c>
      <c r="E168" s="56">
        <v>8.3093640140619995E-3</v>
      </c>
    </row>
    <row r="169" spans="1:5" ht="16.5">
      <c r="A169" s="36"/>
      <c r="B169" s="96"/>
      <c r="C169" s="54" t="s">
        <v>104</v>
      </c>
      <c r="D169" s="55">
        <v>295</v>
      </c>
      <c r="E169" s="56">
        <v>1.5713220411206999E-2</v>
      </c>
    </row>
    <row r="170" spans="1:5" ht="16.5">
      <c r="A170" s="36"/>
      <c r="B170" s="96"/>
      <c r="C170" s="54" t="s">
        <v>105</v>
      </c>
      <c r="D170" s="55">
        <v>24</v>
      </c>
      <c r="E170" s="56">
        <v>1.278363694471E-3</v>
      </c>
    </row>
    <row r="171" spans="1:5" ht="16.5">
      <c r="A171" s="36"/>
      <c r="B171" s="96"/>
      <c r="C171" s="54" t="s">
        <v>106</v>
      </c>
      <c r="D171" s="55">
        <v>74</v>
      </c>
      <c r="E171" s="56">
        <v>3.9416213912860003E-3</v>
      </c>
    </row>
    <row r="172" spans="1:5" ht="16.5">
      <c r="A172" s="36"/>
      <c r="B172" s="96"/>
      <c r="C172" s="54" t="s">
        <v>107</v>
      </c>
      <c r="D172" s="55">
        <v>139</v>
      </c>
      <c r="E172" s="56">
        <v>7.4038563971450004E-3</v>
      </c>
    </row>
    <row r="173" spans="1:5" ht="16.5">
      <c r="A173" s="36"/>
      <c r="B173" s="96"/>
      <c r="C173" s="54" t="s">
        <v>108</v>
      </c>
      <c r="D173" s="55">
        <v>681</v>
      </c>
      <c r="E173" s="56">
        <v>3.6273569830616997E-2</v>
      </c>
    </row>
    <row r="174" spans="1:5" ht="16.5">
      <c r="A174" s="36"/>
      <c r="B174" s="96"/>
      <c r="C174" s="54" t="s">
        <v>109</v>
      </c>
      <c r="D174" s="55">
        <v>35</v>
      </c>
      <c r="E174" s="56">
        <v>1.86428038777E-3</v>
      </c>
    </row>
    <row r="175" spans="1:5" ht="16.5">
      <c r="A175" s="36"/>
      <c r="B175" s="96"/>
      <c r="C175" s="54" t="s">
        <v>110</v>
      </c>
      <c r="D175" s="55">
        <v>182</v>
      </c>
      <c r="E175" s="56">
        <v>9.6942580164060006E-3</v>
      </c>
    </row>
    <row r="176" spans="1:5" ht="16.5">
      <c r="A176" s="36"/>
      <c r="B176" s="96"/>
      <c r="C176" s="54" t="s">
        <v>111</v>
      </c>
      <c r="D176" s="55">
        <v>519</v>
      </c>
      <c r="E176" s="56">
        <v>2.7644614892937E-2</v>
      </c>
    </row>
    <row r="177" spans="1:5" ht="16.5">
      <c r="A177" s="36"/>
      <c r="B177" s="96"/>
      <c r="C177" s="54" t="s">
        <v>112</v>
      </c>
      <c r="D177" s="55">
        <v>11</v>
      </c>
      <c r="E177" s="56">
        <v>5.8591669329900004E-4</v>
      </c>
    </row>
    <row r="178" spans="1:5" ht="16.5">
      <c r="A178" s="36"/>
      <c r="B178" s="96"/>
      <c r="C178" s="54" t="s">
        <v>113</v>
      </c>
      <c r="D178" s="55">
        <v>17</v>
      </c>
      <c r="E178" s="56">
        <v>9.0550761691699996E-4</v>
      </c>
    </row>
    <row r="179" spans="1:5" ht="16.5">
      <c r="A179" s="36"/>
      <c r="B179" s="96"/>
      <c r="C179" s="54" t="s">
        <v>114</v>
      </c>
      <c r="D179" s="55">
        <v>4</v>
      </c>
      <c r="E179" s="56">
        <v>2.1306061574499999E-4</v>
      </c>
    </row>
    <row r="180" spans="1:5" ht="16.5">
      <c r="A180" s="36"/>
      <c r="B180" s="96"/>
      <c r="C180" s="54" t="s">
        <v>115</v>
      </c>
      <c r="D180" s="55">
        <v>1</v>
      </c>
      <c r="E180" s="56">
        <v>5.3265153936E-5</v>
      </c>
    </row>
    <row r="181" spans="1:5" ht="16.5">
      <c r="A181" s="36"/>
      <c r="B181" s="96"/>
      <c r="C181" s="54" t="s">
        <v>116</v>
      </c>
      <c r="D181" s="55">
        <v>33</v>
      </c>
      <c r="E181" s="56">
        <v>1.7577500798980001E-3</v>
      </c>
    </row>
    <row r="182" spans="1:5" ht="16.5">
      <c r="A182" s="36"/>
      <c r="B182" s="96"/>
      <c r="C182" s="54" t="s">
        <v>117</v>
      </c>
      <c r="D182" s="55">
        <v>104</v>
      </c>
      <c r="E182" s="56">
        <v>5.539576009375E-3</v>
      </c>
    </row>
    <row r="183" spans="1:5" ht="16.5">
      <c r="A183" s="36"/>
      <c r="B183" s="96"/>
      <c r="C183" s="54" t="s">
        <v>119</v>
      </c>
      <c r="D183" s="55">
        <v>1</v>
      </c>
      <c r="E183" s="56">
        <v>5.3265153936E-5</v>
      </c>
    </row>
    <row r="184" spans="1:5" ht="16.5">
      <c r="A184" s="36"/>
      <c r="B184" s="97"/>
      <c r="C184" s="65" t="s">
        <v>321</v>
      </c>
      <c r="D184" s="64">
        <v>2385</v>
      </c>
      <c r="E184" s="66">
        <v>0.127037392138063</v>
      </c>
    </row>
    <row r="185" spans="1:5" ht="16.5">
      <c r="A185" s="36"/>
      <c r="B185" s="95" t="s">
        <v>75</v>
      </c>
      <c r="C185" s="54" t="s">
        <v>97</v>
      </c>
      <c r="D185" s="55">
        <v>2</v>
      </c>
      <c r="E185" s="56">
        <v>1.06530307873E-4</v>
      </c>
    </row>
    <row r="186" spans="1:5" ht="16.5">
      <c r="A186" s="36"/>
      <c r="B186" s="96"/>
      <c r="C186" s="54" t="s">
        <v>101</v>
      </c>
      <c r="D186" s="55">
        <v>1</v>
      </c>
      <c r="E186" s="56">
        <v>5.3265153936E-5</v>
      </c>
    </row>
    <row r="187" spans="1:5" ht="16.5">
      <c r="A187" s="36"/>
      <c r="B187" s="96"/>
      <c r="C187" s="54" t="s">
        <v>102</v>
      </c>
      <c r="D187" s="55">
        <v>1</v>
      </c>
      <c r="E187" s="56">
        <v>5.3265153936E-5</v>
      </c>
    </row>
    <row r="188" spans="1:5" ht="16.5">
      <c r="A188" s="36"/>
      <c r="B188" s="96"/>
      <c r="C188" s="54" t="s">
        <v>103</v>
      </c>
      <c r="D188" s="55">
        <v>4</v>
      </c>
      <c r="E188" s="56">
        <v>2.1306061574499999E-4</v>
      </c>
    </row>
    <row r="189" spans="1:5" ht="16.5">
      <c r="A189" s="36"/>
      <c r="B189" s="96"/>
      <c r="C189" s="54" t="s">
        <v>104</v>
      </c>
      <c r="D189" s="55">
        <v>8</v>
      </c>
      <c r="E189" s="56">
        <v>4.2612123148999997E-4</v>
      </c>
    </row>
    <row r="190" spans="1:5" ht="16.5">
      <c r="A190" s="36"/>
      <c r="B190" s="96"/>
      <c r="C190" s="54" t="s">
        <v>106</v>
      </c>
      <c r="D190" s="55">
        <v>1</v>
      </c>
      <c r="E190" s="56">
        <v>5.3265153936E-5</v>
      </c>
    </row>
    <row r="191" spans="1:5" ht="16.5">
      <c r="A191" s="36"/>
      <c r="B191" s="96"/>
      <c r="C191" s="54" t="s">
        <v>107</v>
      </c>
      <c r="D191" s="55">
        <v>3</v>
      </c>
      <c r="E191" s="56">
        <v>1.5979546180899999E-4</v>
      </c>
    </row>
    <row r="192" spans="1:5" ht="16.5">
      <c r="A192" s="36"/>
      <c r="B192" s="96"/>
      <c r="C192" s="54" t="s">
        <v>108</v>
      </c>
      <c r="D192" s="55">
        <v>30</v>
      </c>
      <c r="E192" s="56">
        <v>1.5979546180890001E-3</v>
      </c>
    </row>
    <row r="193" spans="1:5" ht="16.5">
      <c r="A193" s="36"/>
      <c r="B193" s="96"/>
      <c r="C193" s="54" t="s">
        <v>109</v>
      </c>
      <c r="D193" s="55">
        <v>1</v>
      </c>
      <c r="E193" s="56">
        <v>5.3265153936E-5</v>
      </c>
    </row>
    <row r="194" spans="1:5" ht="16.5">
      <c r="A194" s="36"/>
      <c r="B194" s="96"/>
      <c r="C194" s="54" t="s">
        <v>110</v>
      </c>
      <c r="D194" s="55">
        <v>2</v>
      </c>
      <c r="E194" s="56">
        <v>1.06530307873E-4</v>
      </c>
    </row>
    <row r="195" spans="1:5" ht="16.5">
      <c r="A195" s="36"/>
      <c r="B195" s="96"/>
      <c r="C195" s="54" t="s">
        <v>111</v>
      </c>
      <c r="D195" s="55">
        <v>22</v>
      </c>
      <c r="E195" s="56">
        <v>1.1718333865980001E-3</v>
      </c>
    </row>
    <row r="196" spans="1:5" ht="16.5">
      <c r="A196" s="36"/>
      <c r="B196" s="96"/>
      <c r="C196" s="54" t="s">
        <v>112</v>
      </c>
      <c r="D196" s="55">
        <v>1</v>
      </c>
      <c r="E196" s="56">
        <v>5.3265153936E-5</v>
      </c>
    </row>
    <row r="197" spans="1:5" ht="16.5">
      <c r="A197" s="36"/>
      <c r="B197" s="96"/>
      <c r="C197" s="54" t="s">
        <v>115</v>
      </c>
      <c r="D197" s="55">
        <v>1</v>
      </c>
      <c r="E197" s="56">
        <v>5.3265153936E-5</v>
      </c>
    </row>
    <row r="198" spans="1:5" ht="16.5">
      <c r="A198" s="36"/>
      <c r="B198" s="96"/>
      <c r="C198" s="54" t="s">
        <v>116</v>
      </c>
      <c r="D198" s="55">
        <v>5</v>
      </c>
      <c r="E198" s="56">
        <v>2.6632576968100001E-4</v>
      </c>
    </row>
    <row r="199" spans="1:5" ht="16.5">
      <c r="A199" s="36"/>
      <c r="B199" s="96"/>
      <c r="C199" s="54" t="s">
        <v>117</v>
      </c>
      <c r="D199" s="55">
        <v>5</v>
      </c>
      <c r="E199" s="56">
        <v>2.6632576968100001E-4</v>
      </c>
    </row>
    <row r="200" spans="1:5" ht="16.5">
      <c r="A200" s="36"/>
      <c r="B200" s="96"/>
      <c r="C200" s="54" t="s">
        <v>119</v>
      </c>
      <c r="D200" s="55">
        <v>4</v>
      </c>
      <c r="E200" s="56">
        <v>2.1306061574499999E-4</v>
      </c>
    </row>
    <row r="201" spans="1:5" ht="16.5">
      <c r="A201" s="36"/>
      <c r="B201" s="97"/>
      <c r="C201" s="65" t="s">
        <v>321</v>
      </c>
      <c r="D201" s="64">
        <v>91</v>
      </c>
      <c r="E201" s="66">
        <v>4.8471290082030003E-3</v>
      </c>
    </row>
    <row r="202" spans="1:5" ht="16.5">
      <c r="A202" s="36"/>
      <c r="B202" s="95" t="s">
        <v>94</v>
      </c>
      <c r="C202" s="54" t="s">
        <v>104</v>
      </c>
      <c r="D202" s="55">
        <v>1</v>
      </c>
      <c r="E202" s="56">
        <v>5.3265153936E-5</v>
      </c>
    </row>
    <row r="203" spans="1:5" ht="16.5">
      <c r="A203" s="36"/>
      <c r="B203" s="96"/>
      <c r="C203" s="54" t="s">
        <v>111</v>
      </c>
      <c r="D203" s="55">
        <v>3</v>
      </c>
      <c r="E203" s="56">
        <v>1.5979546180899999E-4</v>
      </c>
    </row>
    <row r="204" spans="1:5" ht="16.5">
      <c r="A204" s="36"/>
      <c r="B204" s="97"/>
      <c r="C204" s="65" t="s">
        <v>321</v>
      </c>
      <c r="D204" s="64">
        <v>4</v>
      </c>
      <c r="E204" s="66">
        <v>2.1306061574499999E-4</v>
      </c>
    </row>
    <row r="205" spans="1:5" ht="16.5">
      <c r="A205" s="36"/>
      <c r="B205" s="95" t="s">
        <v>96</v>
      </c>
      <c r="C205" s="54" t="s">
        <v>119</v>
      </c>
      <c r="D205" s="55">
        <v>1</v>
      </c>
      <c r="E205" s="56">
        <v>5.3265153936E-5</v>
      </c>
    </row>
    <row r="206" spans="1:5" ht="16.5">
      <c r="A206" s="36"/>
      <c r="B206" s="97"/>
      <c r="C206" s="65" t="s">
        <v>321</v>
      </c>
      <c r="D206" s="64">
        <v>1</v>
      </c>
      <c r="E206" s="66">
        <v>5.3265153936E-5</v>
      </c>
    </row>
    <row r="207" spans="1:5" ht="16.5">
      <c r="A207" s="36"/>
      <c r="B207" s="95" t="s">
        <v>45</v>
      </c>
      <c r="C207" s="54" t="s">
        <v>97</v>
      </c>
      <c r="D207" s="55">
        <v>12</v>
      </c>
      <c r="E207" s="56">
        <v>6.3918184723599995E-4</v>
      </c>
    </row>
    <row r="208" spans="1:5" ht="16.5">
      <c r="A208" s="36"/>
      <c r="B208" s="96"/>
      <c r="C208" s="54" t="s">
        <v>98</v>
      </c>
      <c r="D208" s="55">
        <v>1</v>
      </c>
      <c r="E208" s="56">
        <v>5.3265153936E-5</v>
      </c>
    </row>
    <row r="209" spans="1:5" ht="16.5">
      <c r="A209" s="36"/>
      <c r="B209" s="96"/>
      <c r="C209" s="54" t="s">
        <v>99</v>
      </c>
      <c r="D209" s="55">
        <v>7</v>
      </c>
      <c r="E209" s="56">
        <v>3.7285607755399997E-4</v>
      </c>
    </row>
    <row r="210" spans="1:5" ht="16.5">
      <c r="A210" s="36"/>
      <c r="B210" s="96"/>
      <c r="C210" s="54" t="s">
        <v>100</v>
      </c>
      <c r="D210" s="55">
        <v>18</v>
      </c>
      <c r="E210" s="56">
        <v>9.5877277085300002E-4</v>
      </c>
    </row>
    <row r="211" spans="1:5" ht="16.5">
      <c r="A211" s="36"/>
      <c r="B211" s="96"/>
      <c r="C211" s="54" t="s">
        <v>101</v>
      </c>
      <c r="D211" s="55">
        <v>8</v>
      </c>
      <c r="E211" s="56">
        <v>4.2612123148999997E-4</v>
      </c>
    </row>
    <row r="212" spans="1:5" ht="16.5">
      <c r="A212" s="36"/>
      <c r="B212" s="96"/>
      <c r="C212" s="54" t="s">
        <v>102</v>
      </c>
      <c r="D212" s="55">
        <v>24</v>
      </c>
      <c r="E212" s="56">
        <v>1.278363694471E-3</v>
      </c>
    </row>
    <row r="213" spans="1:5" ht="16.5">
      <c r="A213" s="36"/>
      <c r="B213" s="96"/>
      <c r="C213" s="54" t="s">
        <v>103</v>
      </c>
      <c r="D213" s="55">
        <v>171</v>
      </c>
      <c r="E213" s="56">
        <v>9.1083413231059993E-3</v>
      </c>
    </row>
    <row r="214" spans="1:5" ht="16.5">
      <c r="A214" s="36"/>
      <c r="B214" s="96"/>
      <c r="C214" s="54" t="s">
        <v>104</v>
      </c>
      <c r="D214" s="55">
        <v>172</v>
      </c>
      <c r="E214" s="56">
        <v>9.1616064770429998E-3</v>
      </c>
    </row>
    <row r="215" spans="1:5" ht="16.5">
      <c r="A215" s="36"/>
      <c r="B215" s="96"/>
      <c r="C215" s="54" t="s">
        <v>105</v>
      </c>
      <c r="D215" s="55">
        <v>25</v>
      </c>
      <c r="E215" s="56">
        <v>1.3316288484070001E-3</v>
      </c>
    </row>
    <row r="216" spans="1:5" ht="16.5">
      <c r="A216" s="36"/>
      <c r="B216" s="96"/>
      <c r="C216" s="54" t="s">
        <v>106</v>
      </c>
      <c r="D216" s="55">
        <v>47</v>
      </c>
      <c r="E216" s="56">
        <v>2.503462235006E-3</v>
      </c>
    </row>
    <row r="217" spans="1:5" ht="16.5">
      <c r="A217" s="36"/>
      <c r="B217" s="96"/>
      <c r="C217" s="54" t="s">
        <v>107</v>
      </c>
      <c r="D217" s="55">
        <v>49</v>
      </c>
      <c r="E217" s="56">
        <v>2.6099925428780001E-3</v>
      </c>
    </row>
    <row r="218" spans="1:5" ht="16.5">
      <c r="A218" s="36"/>
      <c r="B218" s="96"/>
      <c r="C218" s="54" t="s">
        <v>108</v>
      </c>
      <c r="D218" s="55">
        <v>751</v>
      </c>
      <c r="E218" s="56">
        <v>4.0002130606157003E-2</v>
      </c>
    </row>
    <row r="219" spans="1:5" ht="16.5">
      <c r="A219" s="36"/>
      <c r="B219" s="96"/>
      <c r="C219" s="54" t="s">
        <v>109</v>
      </c>
      <c r="D219" s="55">
        <v>79</v>
      </c>
      <c r="E219" s="56">
        <v>4.2079471609670002E-3</v>
      </c>
    </row>
    <row r="220" spans="1:5" ht="16.5">
      <c r="A220" s="36"/>
      <c r="B220" s="96"/>
      <c r="C220" s="54" t="s">
        <v>110</v>
      </c>
      <c r="D220" s="55">
        <v>168</v>
      </c>
      <c r="E220" s="56">
        <v>8.9485458612980004E-3</v>
      </c>
    </row>
    <row r="221" spans="1:5" ht="16.5">
      <c r="A221" s="36"/>
      <c r="B221" s="96"/>
      <c r="C221" s="54" t="s">
        <v>111</v>
      </c>
      <c r="D221" s="55">
        <v>649</v>
      </c>
      <c r="E221" s="56">
        <v>3.4569084904654997E-2</v>
      </c>
    </row>
    <row r="222" spans="1:5" ht="16.5">
      <c r="A222" s="36"/>
      <c r="B222" s="96"/>
      <c r="C222" s="54" t="s">
        <v>112</v>
      </c>
      <c r="D222" s="55">
        <v>10</v>
      </c>
      <c r="E222" s="56">
        <v>5.3265153936299999E-4</v>
      </c>
    </row>
    <row r="223" spans="1:5" ht="16.5">
      <c r="A223" s="36"/>
      <c r="B223" s="96"/>
      <c r="C223" s="54" t="s">
        <v>113</v>
      </c>
      <c r="D223" s="55">
        <v>17</v>
      </c>
      <c r="E223" s="56">
        <v>9.0550761691699996E-4</v>
      </c>
    </row>
    <row r="224" spans="1:5" ht="16.5">
      <c r="A224" s="36"/>
      <c r="B224" s="96"/>
      <c r="C224" s="54" t="s">
        <v>114</v>
      </c>
      <c r="D224" s="55">
        <v>8</v>
      </c>
      <c r="E224" s="56">
        <v>4.2612123148999997E-4</v>
      </c>
    </row>
    <row r="225" spans="1:5" ht="16.5">
      <c r="A225" s="36"/>
      <c r="B225" s="96"/>
      <c r="C225" s="54" t="s">
        <v>115</v>
      </c>
      <c r="D225" s="55">
        <v>9</v>
      </c>
      <c r="E225" s="56">
        <v>4.7938638542699999E-4</v>
      </c>
    </row>
    <row r="226" spans="1:5" ht="16.5">
      <c r="A226" s="36"/>
      <c r="B226" s="96"/>
      <c r="C226" s="54" t="s">
        <v>116</v>
      </c>
      <c r="D226" s="55">
        <v>58</v>
      </c>
      <c r="E226" s="56">
        <v>3.089378928305E-3</v>
      </c>
    </row>
    <row r="227" spans="1:5" ht="16.5">
      <c r="A227" s="36"/>
      <c r="B227" s="96"/>
      <c r="C227" s="54" t="s">
        <v>117</v>
      </c>
      <c r="D227" s="55">
        <v>276</v>
      </c>
      <c r="E227" s="56">
        <v>1.4701182486417001E-2</v>
      </c>
    </row>
    <row r="228" spans="1:5" ht="16.5">
      <c r="A228" s="36"/>
      <c r="B228" s="96"/>
      <c r="C228" s="54" t="s">
        <v>118</v>
      </c>
      <c r="D228" s="55">
        <v>6</v>
      </c>
      <c r="E228" s="56">
        <v>3.1959092361799997E-4</v>
      </c>
    </row>
    <row r="229" spans="1:5" ht="16.5">
      <c r="A229" s="36"/>
      <c r="B229" s="96"/>
      <c r="C229" s="54" t="s">
        <v>119</v>
      </c>
      <c r="D229" s="55">
        <v>25</v>
      </c>
      <c r="E229" s="56">
        <v>1.3316288484070001E-3</v>
      </c>
    </row>
    <row r="230" spans="1:5" ht="16.5">
      <c r="A230" s="36"/>
      <c r="B230" s="96"/>
      <c r="C230" s="54" t="s">
        <v>120</v>
      </c>
      <c r="D230" s="55">
        <v>1</v>
      </c>
      <c r="E230" s="56">
        <v>5.3265153936E-5</v>
      </c>
    </row>
    <row r="231" spans="1:5" ht="16.5">
      <c r="A231" s="36"/>
      <c r="B231" s="97"/>
      <c r="C231" s="65" t="s">
        <v>321</v>
      </c>
      <c r="D231" s="64">
        <v>2591</v>
      </c>
      <c r="E231" s="66">
        <v>0.13801001384893999</v>
      </c>
    </row>
    <row r="232" spans="1:5" ht="16.5">
      <c r="A232" s="36"/>
      <c r="B232" s="95" t="s">
        <v>83</v>
      </c>
      <c r="C232" s="54" t="s">
        <v>97</v>
      </c>
      <c r="D232" s="55">
        <v>1</v>
      </c>
      <c r="E232" s="56">
        <v>5.3265153936E-5</v>
      </c>
    </row>
    <row r="233" spans="1:5" ht="16.5">
      <c r="A233" s="36"/>
      <c r="B233" s="96"/>
      <c r="C233" s="54" t="s">
        <v>99</v>
      </c>
      <c r="D233" s="55">
        <v>1</v>
      </c>
      <c r="E233" s="56">
        <v>5.3265153936E-5</v>
      </c>
    </row>
    <row r="234" spans="1:5" ht="16.5">
      <c r="A234" s="36"/>
      <c r="B234" s="96"/>
      <c r="C234" s="54" t="s">
        <v>102</v>
      </c>
      <c r="D234" s="55">
        <v>1</v>
      </c>
      <c r="E234" s="56">
        <v>5.3265153936E-5</v>
      </c>
    </row>
    <row r="235" spans="1:5" ht="16.5">
      <c r="A235" s="36"/>
      <c r="B235" s="96"/>
      <c r="C235" s="54" t="s">
        <v>104</v>
      </c>
      <c r="D235" s="55">
        <v>3</v>
      </c>
      <c r="E235" s="56">
        <v>1.5979546180899999E-4</v>
      </c>
    </row>
    <row r="236" spans="1:5" ht="16.5">
      <c r="A236" s="36"/>
      <c r="B236" s="96"/>
      <c r="C236" s="54" t="s">
        <v>105</v>
      </c>
      <c r="D236" s="55">
        <v>1</v>
      </c>
      <c r="E236" s="56">
        <v>5.3265153936E-5</v>
      </c>
    </row>
    <row r="237" spans="1:5" ht="16.5">
      <c r="A237" s="36"/>
      <c r="B237" s="96"/>
      <c r="C237" s="54" t="s">
        <v>106</v>
      </c>
      <c r="D237" s="55">
        <v>1</v>
      </c>
      <c r="E237" s="56">
        <v>5.3265153936E-5</v>
      </c>
    </row>
    <row r="238" spans="1:5" ht="16.5">
      <c r="A238" s="36"/>
      <c r="B238" s="96"/>
      <c r="C238" s="54" t="s">
        <v>107</v>
      </c>
      <c r="D238" s="55">
        <v>1</v>
      </c>
      <c r="E238" s="56">
        <v>5.3265153936E-5</v>
      </c>
    </row>
    <row r="239" spans="1:5" ht="16.5">
      <c r="A239" s="36"/>
      <c r="B239" s="96"/>
      <c r="C239" s="54" t="s">
        <v>108</v>
      </c>
      <c r="D239" s="55">
        <v>9</v>
      </c>
      <c r="E239" s="56">
        <v>4.7938638542699999E-4</v>
      </c>
    </row>
    <row r="240" spans="1:5" ht="16.5">
      <c r="A240" s="36"/>
      <c r="B240" s="96"/>
      <c r="C240" s="54" t="s">
        <v>109</v>
      </c>
      <c r="D240" s="55">
        <v>1</v>
      </c>
      <c r="E240" s="56">
        <v>5.3265153936E-5</v>
      </c>
    </row>
    <row r="241" spans="1:5" ht="16.5">
      <c r="A241" s="36"/>
      <c r="B241" s="96"/>
      <c r="C241" s="54" t="s">
        <v>110</v>
      </c>
      <c r="D241" s="55">
        <v>2</v>
      </c>
      <c r="E241" s="56">
        <v>1.06530307873E-4</v>
      </c>
    </row>
    <row r="242" spans="1:5" ht="16.5">
      <c r="A242" s="36"/>
      <c r="B242" s="96"/>
      <c r="C242" s="54" t="s">
        <v>111</v>
      </c>
      <c r="D242" s="55">
        <v>7</v>
      </c>
      <c r="E242" s="56">
        <v>3.7285607755399997E-4</v>
      </c>
    </row>
    <row r="243" spans="1:5" ht="16.5">
      <c r="A243" s="36"/>
      <c r="B243" s="96"/>
      <c r="C243" s="54" t="s">
        <v>112</v>
      </c>
      <c r="D243" s="55">
        <v>1</v>
      </c>
      <c r="E243" s="56">
        <v>5.3265153936E-5</v>
      </c>
    </row>
    <row r="244" spans="1:5" ht="16.5">
      <c r="A244" s="36"/>
      <c r="B244" s="96"/>
      <c r="C244" s="54" t="s">
        <v>116</v>
      </c>
      <c r="D244" s="55">
        <v>1</v>
      </c>
      <c r="E244" s="56">
        <v>5.3265153936E-5</v>
      </c>
    </row>
    <row r="245" spans="1:5" ht="16.5">
      <c r="A245" s="36"/>
      <c r="B245" s="96"/>
      <c r="C245" s="54" t="s">
        <v>117</v>
      </c>
      <c r="D245" s="55">
        <v>2</v>
      </c>
      <c r="E245" s="56">
        <v>1.06530307873E-4</v>
      </c>
    </row>
    <row r="246" spans="1:5" ht="16.5">
      <c r="A246" s="36"/>
      <c r="B246" s="96"/>
      <c r="C246" s="54" t="s">
        <v>120</v>
      </c>
      <c r="D246" s="55">
        <v>1</v>
      </c>
      <c r="E246" s="56">
        <v>5.3265153936E-5</v>
      </c>
    </row>
    <row r="247" spans="1:5" ht="16.5">
      <c r="A247" s="36"/>
      <c r="B247" s="97"/>
      <c r="C247" s="65" t="s">
        <v>321</v>
      </c>
      <c r="D247" s="64">
        <v>33</v>
      </c>
      <c r="E247" s="66">
        <v>1.7577500798980001E-3</v>
      </c>
    </row>
    <row r="248" spans="1:5" ht="16.5">
      <c r="A248" s="36"/>
      <c r="B248" s="95" t="s">
        <v>66</v>
      </c>
      <c r="C248" s="54" t="s">
        <v>97</v>
      </c>
      <c r="D248" s="55">
        <v>1</v>
      </c>
      <c r="E248" s="56">
        <v>5.3265153936E-5</v>
      </c>
    </row>
    <row r="249" spans="1:5" ht="16.5">
      <c r="A249" s="36"/>
      <c r="B249" s="96"/>
      <c r="C249" s="54" t="s">
        <v>100</v>
      </c>
      <c r="D249" s="55">
        <v>4</v>
      </c>
      <c r="E249" s="56">
        <v>2.1306061574499999E-4</v>
      </c>
    </row>
    <row r="250" spans="1:5" ht="16.5">
      <c r="A250" s="36"/>
      <c r="B250" s="96"/>
      <c r="C250" s="54" t="s">
        <v>101</v>
      </c>
      <c r="D250" s="55">
        <v>1</v>
      </c>
      <c r="E250" s="56">
        <v>5.3265153936E-5</v>
      </c>
    </row>
    <row r="251" spans="1:5" ht="16.5">
      <c r="A251" s="36"/>
      <c r="B251" s="96"/>
      <c r="C251" s="54" t="s">
        <v>103</v>
      </c>
      <c r="D251" s="55">
        <v>7</v>
      </c>
      <c r="E251" s="56">
        <v>3.7285607755399997E-4</v>
      </c>
    </row>
    <row r="252" spans="1:5" ht="16.5">
      <c r="A252" s="36"/>
      <c r="B252" s="96"/>
      <c r="C252" s="54" t="s">
        <v>104</v>
      </c>
      <c r="D252" s="55">
        <v>12</v>
      </c>
      <c r="E252" s="56">
        <v>6.3918184723599995E-4</v>
      </c>
    </row>
    <row r="253" spans="1:5" ht="16.5">
      <c r="A253" s="36"/>
      <c r="B253" s="96"/>
      <c r="C253" s="54" t="s">
        <v>105</v>
      </c>
      <c r="D253" s="55">
        <v>1</v>
      </c>
      <c r="E253" s="56">
        <v>5.3265153936E-5</v>
      </c>
    </row>
    <row r="254" spans="1:5" ht="16.5">
      <c r="A254" s="36"/>
      <c r="B254" s="96"/>
      <c r="C254" s="54" t="s">
        <v>106</v>
      </c>
      <c r="D254" s="55">
        <v>3</v>
      </c>
      <c r="E254" s="56">
        <v>1.5979546180899999E-4</v>
      </c>
    </row>
    <row r="255" spans="1:5" ht="16.5">
      <c r="A255" s="36"/>
      <c r="B255" s="96"/>
      <c r="C255" s="54" t="s">
        <v>107</v>
      </c>
      <c r="D255" s="55">
        <v>6</v>
      </c>
      <c r="E255" s="56">
        <v>3.1959092361799997E-4</v>
      </c>
    </row>
    <row r="256" spans="1:5" ht="16.5">
      <c r="A256" s="36"/>
      <c r="B256" s="96"/>
      <c r="C256" s="54" t="s">
        <v>108</v>
      </c>
      <c r="D256" s="55">
        <v>33</v>
      </c>
      <c r="E256" s="56">
        <v>1.7577500798980001E-3</v>
      </c>
    </row>
    <row r="257" spans="1:5" ht="16.5">
      <c r="A257" s="36"/>
      <c r="B257" s="96"/>
      <c r="C257" s="54" t="s">
        <v>110</v>
      </c>
      <c r="D257" s="55">
        <v>15</v>
      </c>
      <c r="E257" s="56">
        <v>7.98977309044E-4</v>
      </c>
    </row>
    <row r="258" spans="1:5" ht="16.5">
      <c r="A258" s="36"/>
      <c r="B258" s="96"/>
      <c r="C258" s="54" t="s">
        <v>111</v>
      </c>
      <c r="D258" s="55">
        <v>30</v>
      </c>
      <c r="E258" s="56">
        <v>1.5979546180890001E-3</v>
      </c>
    </row>
    <row r="259" spans="1:5" ht="16.5">
      <c r="A259" s="36"/>
      <c r="B259" s="96"/>
      <c r="C259" s="54" t="s">
        <v>112</v>
      </c>
      <c r="D259" s="55">
        <v>1</v>
      </c>
      <c r="E259" s="56">
        <v>5.3265153936E-5</v>
      </c>
    </row>
    <row r="260" spans="1:5" ht="16.5">
      <c r="A260" s="36"/>
      <c r="B260" s="96"/>
      <c r="C260" s="54" t="s">
        <v>113</v>
      </c>
      <c r="D260" s="55">
        <v>1</v>
      </c>
      <c r="E260" s="56">
        <v>5.3265153936E-5</v>
      </c>
    </row>
    <row r="261" spans="1:5" ht="16.5">
      <c r="A261" s="36"/>
      <c r="B261" s="96"/>
      <c r="C261" s="54" t="s">
        <v>116</v>
      </c>
      <c r="D261" s="55">
        <v>3</v>
      </c>
      <c r="E261" s="56">
        <v>1.5979546180899999E-4</v>
      </c>
    </row>
    <row r="262" spans="1:5" ht="16.5">
      <c r="A262" s="36"/>
      <c r="B262" s="96"/>
      <c r="C262" s="54" t="s">
        <v>117</v>
      </c>
      <c r="D262" s="55">
        <v>8</v>
      </c>
      <c r="E262" s="56">
        <v>4.2612123148999997E-4</v>
      </c>
    </row>
    <row r="263" spans="1:5" ht="16.5">
      <c r="A263" s="36"/>
      <c r="B263" s="97"/>
      <c r="C263" s="65" t="s">
        <v>321</v>
      </c>
      <c r="D263" s="64">
        <v>126</v>
      </c>
      <c r="E263" s="66">
        <v>6.7114093959729998E-3</v>
      </c>
    </row>
    <row r="264" spans="1:5" ht="16.5">
      <c r="A264" s="36"/>
      <c r="B264" s="95" t="s">
        <v>54</v>
      </c>
      <c r="C264" s="54" t="s">
        <v>97</v>
      </c>
      <c r="D264" s="55">
        <v>1</v>
      </c>
      <c r="E264" s="56">
        <v>5.3265153936E-5</v>
      </c>
    </row>
    <row r="265" spans="1:5" ht="16.5">
      <c r="A265" s="36"/>
      <c r="B265" s="96"/>
      <c r="C265" s="54" t="s">
        <v>99</v>
      </c>
      <c r="D265" s="55">
        <v>1</v>
      </c>
      <c r="E265" s="56">
        <v>5.3265153936E-5</v>
      </c>
    </row>
    <row r="266" spans="1:5" ht="16.5">
      <c r="A266" s="36"/>
      <c r="B266" s="96"/>
      <c r="C266" s="54" t="s">
        <v>100</v>
      </c>
      <c r="D266" s="55">
        <v>4</v>
      </c>
      <c r="E266" s="56">
        <v>2.1306061574499999E-4</v>
      </c>
    </row>
    <row r="267" spans="1:5" ht="16.5">
      <c r="A267" s="36"/>
      <c r="B267" s="96"/>
      <c r="C267" s="54" t="s">
        <v>101</v>
      </c>
      <c r="D267" s="55">
        <v>2</v>
      </c>
      <c r="E267" s="56">
        <v>1.06530307873E-4</v>
      </c>
    </row>
    <row r="268" spans="1:5" ht="16.5">
      <c r="A268" s="36"/>
      <c r="B268" s="96"/>
      <c r="C268" s="54" t="s">
        <v>102</v>
      </c>
      <c r="D268" s="55">
        <v>7</v>
      </c>
      <c r="E268" s="56">
        <v>3.7285607755399997E-4</v>
      </c>
    </row>
    <row r="269" spans="1:5" ht="16.5">
      <c r="A269" s="36"/>
      <c r="B269" s="96"/>
      <c r="C269" s="54" t="s">
        <v>103</v>
      </c>
      <c r="D269" s="55">
        <v>31</v>
      </c>
      <c r="E269" s="56">
        <v>1.6512197720249999E-3</v>
      </c>
    </row>
    <row r="270" spans="1:5" ht="16.5">
      <c r="A270" s="36"/>
      <c r="B270" s="96"/>
      <c r="C270" s="54" t="s">
        <v>104</v>
      </c>
      <c r="D270" s="55">
        <v>33</v>
      </c>
      <c r="E270" s="56">
        <v>1.7577500798980001E-3</v>
      </c>
    </row>
    <row r="271" spans="1:5" ht="16.5">
      <c r="A271" s="36"/>
      <c r="B271" s="96"/>
      <c r="C271" s="54" t="s">
        <v>105</v>
      </c>
      <c r="D271" s="55">
        <v>5</v>
      </c>
      <c r="E271" s="56">
        <v>2.6632576968100001E-4</v>
      </c>
    </row>
    <row r="272" spans="1:5" ht="16.5">
      <c r="A272" s="36"/>
      <c r="B272" s="96"/>
      <c r="C272" s="54" t="s">
        <v>106</v>
      </c>
      <c r="D272" s="55">
        <v>12</v>
      </c>
      <c r="E272" s="56">
        <v>6.3918184723599995E-4</v>
      </c>
    </row>
    <row r="273" spans="1:5" ht="16.5">
      <c r="A273" s="36"/>
      <c r="B273" s="96"/>
      <c r="C273" s="54" t="s">
        <v>107</v>
      </c>
      <c r="D273" s="55">
        <v>20</v>
      </c>
      <c r="E273" s="56">
        <v>1.065303078726E-3</v>
      </c>
    </row>
    <row r="274" spans="1:5" ht="16.5">
      <c r="A274" s="36"/>
      <c r="B274" s="96"/>
      <c r="C274" s="54" t="s">
        <v>108</v>
      </c>
      <c r="D274" s="55">
        <v>119</v>
      </c>
      <c r="E274" s="56">
        <v>6.3385533184189997E-3</v>
      </c>
    </row>
    <row r="275" spans="1:5" ht="16.5">
      <c r="A275" s="36"/>
      <c r="B275" s="96"/>
      <c r="C275" s="54" t="s">
        <v>109</v>
      </c>
      <c r="D275" s="55">
        <v>16</v>
      </c>
      <c r="E275" s="56">
        <v>8.5224246298100002E-4</v>
      </c>
    </row>
    <row r="276" spans="1:5" ht="16.5">
      <c r="A276" s="36"/>
      <c r="B276" s="96"/>
      <c r="C276" s="54" t="s">
        <v>110</v>
      </c>
      <c r="D276" s="55">
        <v>61</v>
      </c>
      <c r="E276" s="56">
        <v>3.2491743901140002E-3</v>
      </c>
    </row>
    <row r="277" spans="1:5" ht="16.5">
      <c r="A277" s="36"/>
      <c r="B277" s="96"/>
      <c r="C277" s="54" t="s">
        <v>111</v>
      </c>
      <c r="D277" s="55">
        <v>171</v>
      </c>
      <c r="E277" s="56">
        <v>9.1083413231059993E-3</v>
      </c>
    </row>
    <row r="278" spans="1:5" ht="16.5">
      <c r="A278" s="36"/>
      <c r="B278" s="96"/>
      <c r="C278" s="54" t="s">
        <v>112</v>
      </c>
      <c r="D278" s="55">
        <v>7</v>
      </c>
      <c r="E278" s="56">
        <v>3.7285607755399997E-4</v>
      </c>
    </row>
    <row r="279" spans="1:5" ht="16.5">
      <c r="A279" s="36"/>
      <c r="B279" s="96"/>
      <c r="C279" s="54" t="s">
        <v>113</v>
      </c>
      <c r="D279" s="55">
        <v>2</v>
      </c>
      <c r="E279" s="56">
        <v>1.06530307873E-4</v>
      </c>
    </row>
    <row r="280" spans="1:5" ht="16.5">
      <c r="A280" s="36"/>
      <c r="B280" s="96"/>
      <c r="C280" s="54" t="s">
        <v>114</v>
      </c>
      <c r="D280" s="55">
        <v>3</v>
      </c>
      <c r="E280" s="56">
        <v>1.5979546180899999E-4</v>
      </c>
    </row>
    <row r="281" spans="1:5" ht="16.5">
      <c r="A281" s="36"/>
      <c r="B281" s="96"/>
      <c r="C281" s="54" t="s">
        <v>116</v>
      </c>
      <c r="D281" s="55">
        <v>15</v>
      </c>
      <c r="E281" s="56">
        <v>7.98977309044E-4</v>
      </c>
    </row>
    <row r="282" spans="1:5" ht="16.5">
      <c r="A282" s="36"/>
      <c r="B282" s="96"/>
      <c r="C282" s="54" t="s">
        <v>117</v>
      </c>
      <c r="D282" s="55">
        <v>44</v>
      </c>
      <c r="E282" s="56">
        <v>2.3436667731969998E-3</v>
      </c>
    </row>
    <row r="283" spans="1:5" ht="16.5">
      <c r="A283" s="36"/>
      <c r="B283" s="96"/>
      <c r="C283" s="54" t="s">
        <v>118</v>
      </c>
      <c r="D283" s="55">
        <v>1</v>
      </c>
      <c r="E283" s="56">
        <v>5.3265153936E-5</v>
      </c>
    </row>
    <row r="284" spans="1:5" ht="16.5">
      <c r="A284" s="36"/>
      <c r="B284" s="96"/>
      <c r="C284" s="54" t="s">
        <v>119</v>
      </c>
      <c r="D284" s="55">
        <v>3</v>
      </c>
      <c r="E284" s="56">
        <v>1.5979546180899999E-4</v>
      </c>
    </row>
    <row r="285" spans="1:5" ht="16.5">
      <c r="A285" s="36"/>
      <c r="B285" s="96"/>
      <c r="C285" s="54" t="s">
        <v>120</v>
      </c>
      <c r="D285" s="55">
        <v>1</v>
      </c>
      <c r="E285" s="56">
        <v>5.3265153936E-5</v>
      </c>
    </row>
    <row r="286" spans="1:5" ht="16.5">
      <c r="A286" s="36"/>
      <c r="B286" s="97"/>
      <c r="C286" s="65" t="s">
        <v>321</v>
      </c>
      <c r="D286" s="64">
        <v>559</v>
      </c>
      <c r="E286" s="66">
        <v>2.9775221050389E-2</v>
      </c>
    </row>
    <row r="287" spans="1:5" ht="16.5">
      <c r="A287" s="36"/>
      <c r="B287" s="95" t="s">
        <v>65</v>
      </c>
      <c r="C287" s="54" t="s">
        <v>103</v>
      </c>
      <c r="D287" s="55">
        <v>7</v>
      </c>
      <c r="E287" s="56">
        <v>3.7285607755399997E-4</v>
      </c>
    </row>
    <row r="288" spans="1:5" ht="16.5">
      <c r="A288" s="36"/>
      <c r="B288" s="96"/>
      <c r="C288" s="54" t="s">
        <v>104</v>
      </c>
      <c r="D288" s="55">
        <v>8</v>
      </c>
      <c r="E288" s="56">
        <v>4.2612123148999997E-4</v>
      </c>
    </row>
    <row r="289" spans="1:5" ht="16.5">
      <c r="A289" s="36"/>
      <c r="B289" s="96"/>
      <c r="C289" s="54" t="s">
        <v>105</v>
      </c>
      <c r="D289" s="55">
        <v>1</v>
      </c>
      <c r="E289" s="56">
        <v>5.3265153936E-5</v>
      </c>
    </row>
    <row r="290" spans="1:5" ht="16.5">
      <c r="A290" s="36"/>
      <c r="B290" s="96"/>
      <c r="C290" s="54" t="s">
        <v>106</v>
      </c>
      <c r="D290" s="55">
        <v>3</v>
      </c>
      <c r="E290" s="56">
        <v>1.5979546180899999E-4</v>
      </c>
    </row>
    <row r="291" spans="1:5" ht="16.5">
      <c r="A291" s="36"/>
      <c r="B291" s="96"/>
      <c r="C291" s="54" t="s">
        <v>107</v>
      </c>
      <c r="D291" s="55">
        <v>3</v>
      </c>
      <c r="E291" s="56">
        <v>1.5979546180899999E-4</v>
      </c>
    </row>
    <row r="292" spans="1:5" ht="16.5">
      <c r="A292" s="36"/>
      <c r="B292" s="96"/>
      <c r="C292" s="54" t="s">
        <v>108</v>
      </c>
      <c r="D292" s="55">
        <v>24</v>
      </c>
      <c r="E292" s="56">
        <v>1.278363694471E-3</v>
      </c>
    </row>
    <row r="293" spans="1:5" ht="16.5">
      <c r="A293" s="36"/>
      <c r="B293" s="96"/>
      <c r="C293" s="54" t="s">
        <v>109</v>
      </c>
      <c r="D293" s="55">
        <v>3</v>
      </c>
      <c r="E293" s="56">
        <v>1.5979546180899999E-4</v>
      </c>
    </row>
    <row r="294" spans="1:5" ht="16.5">
      <c r="A294" s="36"/>
      <c r="B294" s="96"/>
      <c r="C294" s="54" t="s">
        <v>110</v>
      </c>
      <c r="D294" s="55">
        <v>5</v>
      </c>
      <c r="E294" s="56">
        <v>2.6632576968100001E-4</v>
      </c>
    </row>
    <row r="295" spans="1:5" ht="16.5">
      <c r="A295" s="36"/>
      <c r="B295" s="96"/>
      <c r="C295" s="54" t="s">
        <v>111</v>
      </c>
      <c r="D295" s="55">
        <v>32</v>
      </c>
      <c r="E295" s="56">
        <v>1.704484925961E-3</v>
      </c>
    </row>
    <row r="296" spans="1:5" ht="16.5">
      <c r="A296" s="36"/>
      <c r="B296" s="96"/>
      <c r="C296" s="54" t="s">
        <v>112</v>
      </c>
      <c r="D296" s="55">
        <v>1</v>
      </c>
      <c r="E296" s="56">
        <v>5.3265153936E-5</v>
      </c>
    </row>
    <row r="297" spans="1:5" ht="16.5">
      <c r="A297" s="36"/>
      <c r="B297" s="96"/>
      <c r="C297" s="54" t="s">
        <v>116</v>
      </c>
      <c r="D297" s="55">
        <v>1</v>
      </c>
      <c r="E297" s="56">
        <v>5.3265153936E-5</v>
      </c>
    </row>
    <row r="298" spans="1:5" ht="16.5">
      <c r="A298" s="36"/>
      <c r="B298" s="96"/>
      <c r="C298" s="54" t="s">
        <v>117</v>
      </c>
      <c r="D298" s="55">
        <v>5</v>
      </c>
      <c r="E298" s="56">
        <v>2.6632576968100001E-4</v>
      </c>
    </row>
    <row r="299" spans="1:5" ht="16.5">
      <c r="A299" s="36"/>
      <c r="B299" s="97"/>
      <c r="C299" s="65" t="s">
        <v>321</v>
      </c>
      <c r="D299" s="64">
        <v>93</v>
      </c>
      <c r="E299" s="66">
        <v>4.9536593160750004E-3</v>
      </c>
    </row>
    <row r="300" spans="1:5" ht="16.5">
      <c r="A300" s="36"/>
      <c r="B300" s="95" t="s">
        <v>49</v>
      </c>
      <c r="C300" s="54" t="s">
        <v>97</v>
      </c>
      <c r="D300" s="55">
        <v>6</v>
      </c>
      <c r="E300" s="56">
        <v>3.1959092361799997E-4</v>
      </c>
    </row>
    <row r="301" spans="1:5" ht="16.5">
      <c r="A301" s="36"/>
      <c r="B301" s="96"/>
      <c r="C301" s="54" t="s">
        <v>121</v>
      </c>
      <c r="D301" s="55">
        <v>1</v>
      </c>
      <c r="E301" s="56">
        <v>5.3265153936E-5</v>
      </c>
    </row>
    <row r="302" spans="1:5" ht="16.5">
      <c r="A302" s="36"/>
      <c r="B302" s="96"/>
      <c r="C302" s="54" t="s">
        <v>98</v>
      </c>
      <c r="D302" s="55">
        <v>4</v>
      </c>
      <c r="E302" s="56">
        <v>2.1306061574499999E-4</v>
      </c>
    </row>
    <row r="303" spans="1:5" ht="16.5">
      <c r="A303" s="36"/>
      <c r="B303" s="96"/>
      <c r="C303" s="54" t="s">
        <v>99</v>
      </c>
      <c r="D303" s="55">
        <v>1</v>
      </c>
      <c r="E303" s="56">
        <v>5.3265153936E-5</v>
      </c>
    </row>
    <row r="304" spans="1:5" ht="16.5">
      <c r="A304" s="36"/>
      <c r="B304" s="96"/>
      <c r="C304" s="54" t="s">
        <v>100</v>
      </c>
      <c r="D304" s="55">
        <v>13</v>
      </c>
      <c r="E304" s="56">
        <v>6.92447001172E-4</v>
      </c>
    </row>
    <row r="305" spans="1:5" ht="16.5">
      <c r="A305" s="36"/>
      <c r="B305" s="96"/>
      <c r="C305" s="54" t="s">
        <v>101</v>
      </c>
      <c r="D305" s="55">
        <v>11</v>
      </c>
      <c r="E305" s="56">
        <v>5.8591669329900004E-4</v>
      </c>
    </row>
    <row r="306" spans="1:5" ht="16.5">
      <c r="A306" s="36"/>
      <c r="B306" s="96"/>
      <c r="C306" s="54" t="s">
        <v>102</v>
      </c>
      <c r="D306" s="55">
        <v>21</v>
      </c>
      <c r="E306" s="56">
        <v>1.118568232662E-3</v>
      </c>
    </row>
    <row r="307" spans="1:5" ht="16.5">
      <c r="A307" s="36"/>
      <c r="B307" s="96"/>
      <c r="C307" s="54" t="s">
        <v>103</v>
      </c>
      <c r="D307" s="55">
        <v>95</v>
      </c>
      <c r="E307" s="56">
        <v>5.0601896239479997E-3</v>
      </c>
    </row>
    <row r="308" spans="1:5" ht="16.5">
      <c r="A308" s="36"/>
      <c r="B308" s="96"/>
      <c r="C308" s="54" t="s">
        <v>104</v>
      </c>
      <c r="D308" s="55">
        <v>123</v>
      </c>
      <c r="E308" s="56">
        <v>6.551613934164E-3</v>
      </c>
    </row>
    <row r="309" spans="1:5" ht="16.5">
      <c r="A309" s="36"/>
      <c r="B309" s="96"/>
      <c r="C309" s="54" t="s">
        <v>105</v>
      </c>
      <c r="D309" s="55">
        <v>10</v>
      </c>
      <c r="E309" s="56">
        <v>5.3265153936299999E-4</v>
      </c>
    </row>
    <row r="310" spans="1:5" ht="16.5">
      <c r="A310" s="36"/>
      <c r="B310" s="96"/>
      <c r="C310" s="54" t="s">
        <v>106</v>
      </c>
      <c r="D310" s="55">
        <v>43</v>
      </c>
      <c r="E310" s="56">
        <v>2.2904016192610002E-3</v>
      </c>
    </row>
    <row r="311" spans="1:5" ht="16.5">
      <c r="A311" s="36"/>
      <c r="B311" s="96"/>
      <c r="C311" s="54" t="s">
        <v>107</v>
      </c>
      <c r="D311" s="55">
        <v>38</v>
      </c>
      <c r="E311" s="56">
        <v>2.0240758495790002E-3</v>
      </c>
    </row>
    <row r="312" spans="1:5" ht="16.5">
      <c r="A312" s="36"/>
      <c r="B312" s="96"/>
      <c r="C312" s="54" t="s">
        <v>108</v>
      </c>
      <c r="D312" s="55">
        <v>300</v>
      </c>
      <c r="E312" s="56">
        <v>1.5979546180888E-2</v>
      </c>
    </row>
    <row r="313" spans="1:5" ht="16.5">
      <c r="A313" s="36"/>
      <c r="B313" s="96"/>
      <c r="C313" s="54" t="s">
        <v>109</v>
      </c>
      <c r="D313" s="55">
        <v>28</v>
      </c>
      <c r="E313" s="56">
        <v>1.4914243102159999E-3</v>
      </c>
    </row>
    <row r="314" spans="1:5" ht="16.5">
      <c r="A314" s="36"/>
      <c r="B314" s="96"/>
      <c r="C314" s="54" t="s">
        <v>110</v>
      </c>
      <c r="D314" s="55">
        <v>134</v>
      </c>
      <c r="E314" s="56">
        <v>7.1375306274639996E-3</v>
      </c>
    </row>
    <row r="315" spans="1:5" ht="16.5">
      <c r="A315" s="36"/>
      <c r="B315" s="96"/>
      <c r="C315" s="54" t="s">
        <v>111</v>
      </c>
      <c r="D315" s="55">
        <v>331</v>
      </c>
      <c r="E315" s="56">
        <v>1.7630765952914001E-2</v>
      </c>
    </row>
    <row r="316" spans="1:5" ht="16.5">
      <c r="A316" s="36"/>
      <c r="B316" s="96"/>
      <c r="C316" s="54" t="s">
        <v>112</v>
      </c>
      <c r="D316" s="55">
        <v>18</v>
      </c>
      <c r="E316" s="56">
        <v>9.5877277085300002E-4</v>
      </c>
    </row>
    <row r="317" spans="1:5" ht="16.5">
      <c r="A317" s="36"/>
      <c r="B317" s="96"/>
      <c r="C317" s="54" t="s">
        <v>113</v>
      </c>
      <c r="D317" s="55">
        <v>12</v>
      </c>
      <c r="E317" s="56">
        <v>6.3918184723599995E-4</v>
      </c>
    </row>
    <row r="318" spans="1:5" ht="16.5">
      <c r="A318" s="36"/>
      <c r="B318" s="96"/>
      <c r="C318" s="54" t="s">
        <v>114</v>
      </c>
      <c r="D318" s="55">
        <v>2</v>
      </c>
      <c r="E318" s="56">
        <v>1.06530307873E-4</v>
      </c>
    </row>
    <row r="319" spans="1:5" ht="16.5">
      <c r="A319" s="36"/>
      <c r="B319" s="96"/>
      <c r="C319" s="54" t="s">
        <v>115</v>
      </c>
      <c r="D319" s="55">
        <v>4</v>
      </c>
      <c r="E319" s="56">
        <v>2.1306061574499999E-4</v>
      </c>
    </row>
    <row r="320" spans="1:5" ht="16.5">
      <c r="A320" s="36"/>
      <c r="B320" s="96"/>
      <c r="C320" s="54" t="s">
        <v>116</v>
      </c>
      <c r="D320" s="55">
        <v>29</v>
      </c>
      <c r="E320" s="56">
        <v>1.544689464153E-3</v>
      </c>
    </row>
    <row r="321" spans="1:5" ht="16.5">
      <c r="A321" s="36"/>
      <c r="B321" s="96"/>
      <c r="C321" s="54" t="s">
        <v>117</v>
      </c>
      <c r="D321" s="55">
        <v>46</v>
      </c>
      <c r="E321" s="56">
        <v>2.45019708107E-3</v>
      </c>
    </row>
    <row r="322" spans="1:5" ht="16.5">
      <c r="A322" s="36"/>
      <c r="B322" s="96"/>
      <c r="C322" s="54" t="s">
        <v>118</v>
      </c>
      <c r="D322" s="55">
        <v>1</v>
      </c>
      <c r="E322" s="56">
        <v>5.3265153936E-5</v>
      </c>
    </row>
    <row r="323" spans="1:5" ht="16.5">
      <c r="A323" s="36"/>
      <c r="B323" s="96"/>
      <c r="C323" s="54" t="s">
        <v>119</v>
      </c>
      <c r="D323" s="55">
        <v>3</v>
      </c>
      <c r="E323" s="56">
        <v>1.5979546180899999E-4</v>
      </c>
    </row>
    <row r="324" spans="1:5" ht="16.5">
      <c r="A324" s="36"/>
      <c r="B324" s="97"/>
      <c r="C324" s="65" t="s">
        <v>321</v>
      </c>
      <c r="D324" s="64">
        <v>1274</v>
      </c>
      <c r="E324" s="66">
        <v>6.7859806114839993E-2</v>
      </c>
    </row>
    <row r="325" spans="1:5" ht="16.5">
      <c r="A325" s="36"/>
      <c r="B325" s="95" t="s">
        <v>89</v>
      </c>
      <c r="C325" s="54" t="s">
        <v>103</v>
      </c>
      <c r="D325" s="55">
        <v>1</v>
      </c>
      <c r="E325" s="56">
        <v>5.3265153936E-5</v>
      </c>
    </row>
    <row r="326" spans="1:5" ht="16.5">
      <c r="A326" s="36"/>
      <c r="B326" s="96"/>
      <c r="C326" s="54" t="s">
        <v>106</v>
      </c>
      <c r="D326" s="55">
        <v>1</v>
      </c>
      <c r="E326" s="56">
        <v>5.3265153936E-5</v>
      </c>
    </row>
    <row r="327" spans="1:5" ht="16.5">
      <c r="A327" s="36"/>
      <c r="B327" s="96"/>
      <c r="C327" s="54" t="s">
        <v>107</v>
      </c>
      <c r="D327" s="55">
        <v>1</v>
      </c>
      <c r="E327" s="56">
        <v>5.3265153936E-5</v>
      </c>
    </row>
    <row r="328" spans="1:5" ht="16.5">
      <c r="A328" s="36"/>
      <c r="B328" s="96"/>
      <c r="C328" s="54" t="s">
        <v>108</v>
      </c>
      <c r="D328" s="55">
        <v>1</v>
      </c>
      <c r="E328" s="56">
        <v>5.3265153936E-5</v>
      </c>
    </row>
    <row r="329" spans="1:5" ht="16.5">
      <c r="A329" s="36"/>
      <c r="B329" s="96"/>
      <c r="C329" s="54" t="s">
        <v>109</v>
      </c>
      <c r="D329" s="55">
        <v>1</v>
      </c>
      <c r="E329" s="56">
        <v>5.3265153936E-5</v>
      </c>
    </row>
    <row r="330" spans="1:5" ht="16.5">
      <c r="A330" s="36"/>
      <c r="B330" s="96"/>
      <c r="C330" s="54" t="s">
        <v>111</v>
      </c>
      <c r="D330" s="55">
        <v>4</v>
      </c>
      <c r="E330" s="56">
        <v>2.1306061574499999E-4</v>
      </c>
    </row>
    <row r="331" spans="1:5" ht="16.5">
      <c r="A331" s="36"/>
      <c r="B331" s="96"/>
      <c r="C331" s="54" t="s">
        <v>117</v>
      </c>
      <c r="D331" s="55">
        <v>1</v>
      </c>
      <c r="E331" s="56">
        <v>5.3265153936E-5</v>
      </c>
    </row>
    <row r="332" spans="1:5" ht="16.5">
      <c r="A332" s="36"/>
      <c r="B332" s="96"/>
      <c r="C332" s="54" t="s">
        <v>119</v>
      </c>
      <c r="D332" s="55">
        <v>1</v>
      </c>
      <c r="E332" s="56">
        <v>5.3265153936E-5</v>
      </c>
    </row>
    <row r="333" spans="1:5" ht="16.5">
      <c r="A333" s="36"/>
      <c r="B333" s="97"/>
      <c r="C333" s="65" t="s">
        <v>321</v>
      </c>
      <c r="D333" s="64">
        <v>11</v>
      </c>
      <c r="E333" s="66">
        <v>5.8591669329900004E-4</v>
      </c>
    </row>
    <row r="334" spans="1:5" ht="16.5">
      <c r="A334" s="36"/>
      <c r="B334" s="95" t="s">
        <v>56</v>
      </c>
      <c r="C334" s="54" t="s">
        <v>97</v>
      </c>
      <c r="D334" s="55">
        <v>3</v>
      </c>
      <c r="E334" s="56">
        <v>1.5979546180899999E-4</v>
      </c>
    </row>
    <row r="335" spans="1:5" ht="16.5">
      <c r="A335" s="36"/>
      <c r="B335" s="96"/>
      <c r="C335" s="54" t="s">
        <v>98</v>
      </c>
      <c r="D335" s="55">
        <v>1</v>
      </c>
      <c r="E335" s="56">
        <v>5.3265153936E-5</v>
      </c>
    </row>
    <row r="336" spans="1:5" ht="16.5">
      <c r="A336" s="36"/>
      <c r="B336" s="96"/>
      <c r="C336" s="54" t="s">
        <v>100</v>
      </c>
      <c r="D336" s="55">
        <v>3</v>
      </c>
      <c r="E336" s="56">
        <v>1.5979546180899999E-4</v>
      </c>
    </row>
    <row r="337" spans="1:5" ht="16.5">
      <c r="A337" s="36"/>
      <c r="B337" s="96"/>
      <c r="C337" s="54" t="s">
        <v>101</v>
      </c>
      <c r="D337" s="55">
        <v>5</v>
      </c>
      <c r="E337" s="56">
        <v>2.6632576968100001E-4</v>
      </c>
    </row>
    <row r="338" spans="1:5" ht="16.5">
      <c r="A338" s="36"/>
      <c r="B338" s="96"/>
      <c r="C338" s="54" t="s">
        <v>102</v>
      </c>
      <c r="D338" s="55">
        <v>5</v>
      </c>
      <c r="E338" s="56">
        <v>2.6632576968100001E-4</v>
      </c>
    </row>
    <row r="339" spans="1:5" ht="16.5">
      <c r="A339" s="36"/>
      <c r="B339" s="96"/>
      <c r="C339" s="54" t="s">
        <v>103</v>
      </c>
      <c r="D339" s="55">
        <v>32</v>
      </c>
      <c r="E339" s="56">
        <v>1.704484925961E-3</v>
      </c>
    </row>
    <row r="340" spans="1:5" ht="16.5">
      <c r="A340" s="36"/>
      <c r="B340" s="96"/>
      <c r="C340" s="54" t="s">
        <v>104</v>
      </c>
      <c r="D340" s="55">
        <v>32</v>
      </c>
      <c r="E340" s="56">
        <v>1.704484925961E-3</v>
      </c>
    </row>
    <row r="341" spans="1:5" ht="16.5">
      <c r="A341" s="36"/>
      <c r="B341" s="96"/>
      <c r="C341" s="54" t="s">
        <v>105</v>
      </c>
      <c r="D341" s="55">
        <v>3</v>
      </c>
      <c r="E341" s="56">
        <v>1.5979546180899999E-4</v>
      </c>
    </row>
    <row r="342" spans="1:5" ht="16.5">
      <c r="A342" s="36"/>
      <c r="B342" s="96"/>
      <c r="C342" s="54" t="s">
        <v>106</v>
      </c>
      <c r="D342" s="55">
        <v>15</v>
      </c>
      <c r="E342" s="56">
        <v>7.98977309044E-4</v>
      </c>
    </row>
    <row r="343" spans="1:5" ht="16.5">
      <c r="A343" s="36"/>
      <c r="B343" s="96"/>
      <c r="C343" s="54" t="s">
        <v>107</v>
      </c>
      <c r="D343" s="55">
        <v>16</v>
      </c>
      <c r="E343" s="56">
        <v>8.5224246298100002E-4</v>
      </c>
    </row>
    <row r="344" spans="1:5" ht="16.5">
      <c r="A344" s="36"/>
      <c r="B344" s="96"/>
      <c r="C344" s="54" t="s">
        <v>108</v>
      </c>
      <c r="D344" s="55">
        <v>87</v>
      </c>
      <c r="E344" s="56">
        <v>4.634068392458E-3</v>
      </c>
    </row>
    <row r="345" spans="1:5" ht="16.5">
      <c r="A345" s="36"/>
      <c r="B345" s="96"/>
      <c r="C345" s="54" t="s">
        <v>109</v>
      </c>
      <c r="D345" s="55">
        <v>15</v>
      </c>
      <c r="E345" s="56">
        <v>7.98977309044E-4</v>
      </c>
    </row>
    <row r="346" spans="1:5" ht="16.5">
      <c r="A346" s="36"/>
      <c r="B346" s="96"/>
      <c r="C346" s="54" t="s">
        <v>110</v>
      </c>
      <c r="D346" s="55">
        <v>46</v>
      </c>
      <c r="E346" s="56">
        <v>2.45019708107E-3</v>
      </c>
    </row>
    <row r="347" spans="1:5" ht="16.5">
      <c r="A347" s="36"/>
      <c r="B347" s="96"/>
      <c r="C347" s="54" t="s">
        <v>111</v>
      </c>
      <c r="D347" s="55">
        <v>105</v>
      </c>
      <c r="E347" s="56">
        <v>5.5928411633109996E-3</v>
      </c>
    </row>
    <row r="348" spans="1:5" ht="16.5">
      <c r="A348" s="36"/>
      <c r="B348" s="96"/>
      <c r="C348" s="54" t="s">
        <v>114</v>
      </c>
      <c r="D348" s="55">
        <v>2</v>
      </c>
      <c r="E348" s="56">
        <v>1.06530307873E-4</v>
      </c>
    </row>
    <row r="349" spans="1:5" ht="16.5">
      <c r="A349" s="36"/>
      <c r="B349" s="96"/>
      <c r="C349" s="54" t="s">
        <v>115</v>
      </c>
      <c r="D349" s="55">
        <v>1</v>
      </c>
      <c r="E349" s="56">
        <v>5.3265153936E-5</v>
      </c>
    </row>
    <row r="350" spans="1:5" ht="16.5">
      <c r="A350" s="36"/>
      <c r="B350" s="96"/>
      <c r="C350" s="54" t="s">
        <v>116</v>
      </c>
      <c r="D350" s="55">
        <v>10</v>
      </c>
      <c r="E350" s="56">
        <v>5.3265153936299999E-4</v>
      </c>
    </row>
    <row r="351" spans="1:5" ht="16.5">
      <c r="A351" s="36"/>
      <c r="B351" s="96"/>
      <c r="C351" s="54" t="s">
        <v>117</v>
      </c>
      <c r="D351" s="55">
        <v>20</v>
      </c>
      <c r="E351" s="56">
        <v>1.065303078726E-3</v>
      </c>
    </row>
    <row r="352" spans="1:5" ht="16.5">
      <c r="A352" s="36"/>
      <c r="B352" s="96"/>
      <c r="C352" s="54" t="s">
        <v>119</v>
      </c>
      <c r="D352" s="55">
        <v>2</v>
      </c>
      <c r="E352" s="56">
        <v>1.06530307873E-4</v>
      </c>
    </row>
    <row r="353" spans="1:5" ht="16.5">
      <c r="A353" s="36"/>
      <c r="B353" s="97"/>
      <c r="C353" s="65" t="s">
        <v>321</v>
      </c>
      <c r="D353" s="64">
        <v>403</v>
      </c>
      <c r="E353" s="66">
        <v>2.1465857036326998E-2</v>
      </c>
    </row>
    <row r="354" spans="1:5" ht="16.5">
      <c r="A354" s="36"/>
      <c r="B354" s="95" t="s">
        <v>57</v>
      </c>
      <c r="C354" s="54" t="s">
        <v>97</v>
      </c>
      <c r="D354" s="55">
        <v>2</v>
      </c>
      <c r="E354" s="56">
        <v>1.06530307873E-4</v>
      </c>
    </row>
    <row r="355" spans="1:5" ht="16.5">
      <c r="A355" s="36"/>
      <c r="B355" s="96"/>
      <c r="C355" s="54" t="s">
        <v>98</v>
      </c>
      <c r="D355" s="55">
        <v>1</v>
      </c>
      <c r="E355" s="56">
        <v>5.3265153936E-5</v>
      </c>
    </row>
    <row r="356" spans="1:5" ht="16.5">
      <c r="A356" s="36"/>
      <c r="B356" s="96"/>
      <c r="C356" s="54" t="s">
        <v>100</v>
      </c>
      <c r="D356" s="55">
        <v>1</v>
      </c>
      <c r="E356" s="56">
        <v>5.3265153936E-5</v>
      </c>
    </row>
    <row r="357" spans="1:5" ht="16.5">
      <c r="A357" s="36"/>
      <c r="B357" s="96"/>
      <c r="C357" s="54" t="s">
        <v>101</v>
      </c>
      <c r="D357" s="55">
        <v>3</v>
      </c>
      <c r="E357" s="56">
        <v>1.5979546180899999E-4</v>
      </c>
    </row>
    <row r="358" spans="1:5" ht="16.5">
      <c r="A358" s="36"/>
      <c r="B358" s="96"/>
      <c r="C358" s="54" t="s">
        <v>102</v>
      </c>
      <c r="D358" s="55">
        <v>5</v>
      </c>
      <c r="E358" s="56">
        <v>2.6632576968100001E-4</v>
      </c>
    </row>
    <row r="359" spans="1:5" ht="16.5">
      <c r="A359" s="36"/>
      <c r="B359" s="96"/>
      <c r="C359" s="54" t="s">
        <v>103</v>
      </c>
      <c r="D359" s="55">
        <v>7</v>
      </c>
      <c r="E359" s="56">
        <v>3.7285607755399997E-4</v>
      </c>
    </row>
    <row r="360" spans="1:5" ht="16.5">
      <c r="A360" s="36"/>
      <c r="B360" s="96"/>
      <c r="C360" s="54" t="s">
        <v>104</v>
      </c>
      <c r="D360" s="55">
        <v>27</v>
      </c>
      <c r="E360" s="56">
        <v>1.4381591562800001E-3</v>
      </c>
    </row>
    <row r="361" spans="1:5" ht="16.5">
      <c r="A361" s="36"/>
      <c r="B361" s="96"/>
      <c r="C361" s="54" t="s">
        <v>105</v>
      </c>
      <c r="D361" s="55">
        <v>1</v>
      </c>
      <c r="E361" s="56">
        <v>5.3265153936E-5</v>
      </c>
    </row>
    <row r="362" spans="1:5" ht="16.5">
      <c r="A362" s="36"/>
      <c r="B362" s="96"/>
      <c r="C362" s="54" t="s">
        <v>106</v>
      </c>
      <c r="D362" s="55">
        <v>11</v>
      </c>
      <c r="E362" s="56">
        <v>5.8591669329900004E-4</v>
      </c>
    </row>
    <row r="363" spans="1:5" ht="16.5">
      <c r="A363" s="36"/>
      <c r="B363" s="96"/>
      <c r="C363" s="54" t="s">
        <v>107</v>
      </c>
      <c r="D363" s="55">
        <v>7</v>
      </c>
      <c r="E363" s="56">
        <v>3.7285607755399997E-4</v>
      </c>
    </row>
    <row r="364" spans="1:5" ht="16.5">
      <c r="A364" s="36"/>
      <c r="B364" s="96"/>
      <c r="C364" s="54" t="s">
        <v>108</v>
      </c>
      <c r="D364" s="55">
        <v>85</v>
      </c>
      <c r="E364" s="56">
        <v>4.5275380845849998E-3</v>
      </c>
    </row>
    <row r="365" spans="1:5" ht="16.5">
      <c r="A365" s="36"/>
      <c r="B365" s="96"/>
      <c r="C365" s="54" t="s">
        <v>109</v>
      </c>
      <c r="D365" s="55">
        <v>4</v>
      </c>
      <c r="E365" s="56">
        <v>2.1306061574499999E-4</v>
      </c>
    </row>
    <row r="366" spans="1:5" ht="16.5">
      <c r="A366" s="36"/>
      <c r="B366" s="96"/>
      <c r="C366" s="54" t="s">
        <v>110</v>
      </c>
      <c r="D366" s="55">
        <v>21</v>
      </c>
      <c r="E366" s="56">
        <v>1.118568232662E-3</v>
      </c>
    </row>
    <row r="367" spans="1:5" ht="16.5">
      <c r="A367" s="36"/>
      <c r="B367" s="96"/>
      <c r="C367" s="54" t="s">
        <v>111</v>
      </c>
      <c r="D367" s="55">
        <v>86</v>
      </c>
      <c r="E367" s="56">
        <v>4.5808032385210003E-3</v>
      </c>
    </row>
    <row r="368" spans="1:5" ht="16.5">
      <c r="A368" s="36"/>
      <c r="B368" s="96"/>
      <c r="C368" s="54" t="s">
        <v>112</v>
      </c>
      <c r="D368" s="55">
        <v>1</v>
      </c>
      <c r="E368" s="56">
        <v>5.3265153936E-5</v>
      </c>
    </row>
    <row r="369" spans="1:5" ht="16.5">
      <c r="A369" s="36"/>
      <c r="B369" s="96"/>
      <c r="C369" s="54" t="s">
        <v>113</v>
      </c>
      <c r="D369" s="55">
        <v>2</v>
      </c>
      <c r="E369" s="56">
        <v>1.06530307873E-4</v>
      </c>
    </row>
    <row r="370" spans="1:5" ht="16.5">
      <c r="A370" s="36"/>
      <c r="B370" s="96"/>
      <c r="C370" s="54" t="s">
        <v>114</v>
      </c>
      <c r="D370" s="55">
        <v>1</v>
      </c>
      <c r="E370" s="56">
        <v>5.3265153936E-5</v>
      </c>
    </row>
    <row r="371" spans="1:5" ht="16.5">
      <c r="A371" s="36"/>
      <c r="B371" s="96"/>
      <c r="C371" s="54" t="s">
        <v>116</v>
      </c>
      <c r="D371" s="55">
        <v>12</v>
      </c>
      <c r="E371" s="56">
        <v>6.3918184723599995E-4</v>
      </c>
    </row>
    <row r="372" spans="1:5" ht="16.5">
      <c r="A372" s="36"/>
      <c r="B372" s="96"/>
      <c r="C372" s="54" t="s">
        <v>117</v>
      </c>
      <c r="D372" s="55">
        <v>15</v>
      </c>
      <c r="E372" s="56">
        <v>7.98977309044E-4</v>
      </c>
    </row>
    <row r="373" spans="1:5" ht="16.5">
      <c r="A373" s="36"/>
      <c r="B373" s="96"/>
      <c r="C373" s="54" t="s">
        <v>119</v>
      </c>
      <c r="D373" s="55">
        <v>1</v>
      </c>
      <c r="E373" s="56">
        <v>5.3265153936E-5</v>
      </c>
    </row>
    <row r="374" spans="1:5" ht="16.5">
      <c r="A374" s="36"/>
      <c r="B374" s="97"/>
      <c r="C374" s="65" t="s">
        <v>321</v>
      </c>
      <c r="D374" s="64">
        <v>293</v>
      </c>
      <c r="E374" s="66">
        <v>1.5606690103334001E-2</v>
      </c>
    </row>
    <row r="375" spans="1:5" ht="16.5">
      <c r="A375" s="36"/>
      <c r="B375" s="95" t="s">
        <v>55</v>
      </c>
      <c r="C375" s="54" t="s">
        <v>97</v>
      </c>
      <c r="D375" s="55">
        <v>9</v>
      </c>
      <c r="E375" s="56">
        <v>4.7938638542699999E-4</v>
      </c>
    </row>
    <row r="376" spans="1:5" ht="16.5">
      <c r="A376" s="36"/>
      <c r="B376" s="96"/>
      <c r="C376" s="54" t="s">
        <v>98</v>
      </c>
      <c r="D376" s="55">
        <v>3</v>
      </c>
      <c r="E376" s="56">
        <v>1.5979546180899999E-4</v>
      </c>
    </row>
    <row r="377" spans="1:5" ht="16.5">
      <c r="A377" s="36"/>
      <c r="B377" s="96"/>
      <c r="C377" s="54" t="s">
        <v>99</v>
      </c>
      <c r="D377" s="55">
        <v>2</v>
      </c>
      <c r="E377" s="56">
        <v>1.06530307873E-4</v>
      </c>
    </row>
    <row r="378" spans="1:5" ht="16.5">
      <c r="A378" s="36"/>
      <c r="B378" s="96"/>
      <c r="C378" s="54" t="s">
        <v>100</v>
      </c>
      <c r="D378" s="55">
        <v>8</v>
      </c>
      <c r="E378" s="56">
        <v>4.2612123148999997E-4</v>
      </c>
    </row>
    <row r="379" spans="1:5" ht="16.5">
      <c r="A379" s="36"/>
      <c r="B379" s="96"/>
      <c r="C379" s="54" t="s">
        <v>101</v>
      </c>
      <c r="D379" s="55">
        <v>2</v>
      </c>
      <c r="E379" s="56">
        <v>1.06530307873E-4</v>
      </c>
    </row>
    <row r="380" spans="1:5" ht="16.5">
      <c r="A380" s="36"/>
      <c r="B380" s="96"/>
      <c r="C380" s="54" t="s">
        <v>102</v>
      </c>
      <c r="D380" s="55">
        <v>9</v>
      </c>
      <c r="E380" s="56">
        <v>4.7938638542699999E-4</v>
      </c>
    </row>
    <row r="381" spans="1:5" ht="16.5">
      <c r="A381" s="36"/>
      <c r="B381" s="96"/>
      <c r="C381" s="54" t="s">
        <v>103</v>
      </c>
      <c r="D381" s="55">
        <v>42</v>
      </c>
      <c r="E381" s="56">
        <v>2.2371364653240001E-3</v>
      </c>
    </row>
    <row r="382" spans="1:5" ht="16.5">
      <c r="A382" s="36"/>
      <c r="B382" s="96"/>
      <c r="C382" s="54" t="s">
        <v>104</v>
      </c>
      <c r="D382" s="55">
        <v>66</v>
      </c>
      <c r="E382" s="56">
        <v>3.5155001597950001E-3</v>
      </c>
    </row>
    <row r="383" spans="1:5" ht="16.5">
      <c r="A383" s="36"/>
      <c r="B383" s="96"/>
      <c r="C383" s="54" t="s">
        <v>105</v>
      </c>
      <c r="D383" s="55">
        <v>3</v>
      </c>
      <c r="E383" s="56">
        <v>1.5979546180899999E-4</v>
      </c>
    </row>
    <row r="384" spans="1:5" ht="16.5">
      <c r="A384" s="36"/>
      <c r="B384" s="96"/>
      <c r="C384" s="54" t="s">
        <v>106</v>
      </c>
      <c r="D384" s="55">
        <v>10</v>
      </c>
      <c r="E384" s="56">
        <v>5.3265153936299999E-4</v>
      </c>
    </row>
    <row r="385" spans="1:5" ht="16.5">
      <c r="A385" s="36"/>
      <c r="B385" s="96"/>
      <c r="C385" s="54" t="s">
        <v>107</v>
      </c>
      <c r="D385" s="55">
        <v>22</v>
      </c>
      <c r="E385" s="56">
        <v>1.1718333865980001E-3</v>
      </c>
    </row>
    <row r="386" spans="1:5" ht="16.5">
      <c r="A386" s="36"/>
      <c r="B386" s="96"/>
      <c r="C386" s="54" t="s">
        <v>108</v>
      </c>
      <c r="D386" s="55">
        <v>106</v>
      </c>
      <c r="E386" s="56">
        <v>5.6461063172470001E-3</v>
      </c>
    </row>
    <row r="387" spans="1:5" ht="16.5">
      <c r="A387" s="36"/>
      <c r="B387" s="96"/>
      <c r="C387" s="54" t="s">
        <v>109</v>
      </c>
      <c r="D387" s="55">
        <v>7</v>
      </c>
      <c r="E387" s="56">
        <v>3.7285607755399997E-4</v>
      </c>
    </row>
    <row r="388" spans="1:5" ht="16.5">
      <c r="A388" s="36"/>
      <c r="B388" s="96"/>
      <c r="C388" s="54" t="s">
        <v>110</v>
      </c>
      <c r="D388" s="55">
        <v>20</v>
      </c>
      <c r="E388" s="56">
        <v>1.065303078726E-3</v>
      </c>
    </row>
    <row r="389" spans="1:5" ht="16.5">
      <c r="A389" s="36"/>
      <c r="B389" s="96"/>
      <c r="C389" s="54" t="s">
        <v>111</v>
      </c>
      <c r="D389" s="55">
        <v>114</v>
      </c>
      <c r="E389" s="56">
        <v>6.0722275487379998E-3</v>
      </c>
    </row>
    <row r="390" spans="1:5" ht="16.5">
      <c r="A390" s="36"/>
      <c r="B390" s="96"/>
      <c r="C390" s="54" t="s">
        <v>112</v>
      </c>
      <c r="D390" s="55">
        <v>4</v>
      </c>
      <c r="E390" s="56">
        <v>2.1306061574499999E-4</v>
      </c>
    </row>
    <row r="391" spans="1:5" ht="16.5">
      <c r="A391" s="36"/>
      <c r="B391" s="96"/>
      <c r="C391" s="54" t="s">
        <v>113</v>
      </c>
      <c r="D391" s="55">
        <v>2</v>
      </c>
      <c r="E391" s="56">
        <v>1.06530307873E-4</v>
      </c>
    </row>
    <row r="392" spans="1:5" ht="16.5">
      <c r="A392" s="36"/>
      <c r="B392" s="96"/>
      <c r="C392" s="54" t="s">
        <v>116</v>
      </c>
      <c r="D392" s="55">
        <v>12</v>
      </c>
      <c r="E392" s="56">
        <v>6.3918184723599995E-4</v>
      </c>
    </row>
    <row r="393" spans="1:5" ht="16.5">
      <c r="A393" s="36"/>
      <c r="B393" s="96"/>
      <c r="C393" s="54" t="s">
        <v>117</v>
      </c>
      <c r="D393" s="55">
        <v>34</v>
      </c>
      <c r="E393" s="56">
        <v>1.8110152338339999E-3</v>
      </c>
    </row>
    <row r="394" spans="1:5" ht="16.5">
      <c r="A394" s="36"/>
      <c r="B394" s="97"/>
      <c r="C394" s="65" t="s">
        <v>321</v>
      </c>
      <c r="D394" s="64">
        <v>475</v>
      </c>
      <c r="E394" s="66">
        <v>2.5300948119739999E-2</v>
      </c>
    </row>
    <row r="395" spans="1:5" ht="16.5">
      <c r="A395" s="36"/>
      <c r="B395" s="95" t="s">
        <v>79</v>
      </c>
      <c r="C395" s="54" t="s">
        <v>100</v>
      </c>
      <c r="D395" s="55">
        <v>2</v>
      </c>
      <c r="E395" s="56">
        <v>1.06530307873E-4</v>
      </c>
    </row>
    <row r="396" spans="1:5" ht="16.5">
      <c r="A396" s="36"/>
      <c r="B396" s="96"/>
      <c r="C396" s="54" t="s">
        <v>101</v>
      </c>
      <c r="D396" s="55">
        <v>1</v>
      </c>
      <c r="E396" s="56">
        <v>5.3265153936E-5</v>
      </c>
    </row>
    <row r="397" spans="1:5" ht="16.5">
      <c r="A397" s="36"/>
      <c r="B397" s="96"/>
      <c r="C397" s="54" t="s">
        <v>102</v>
      </c>
      <c r="D397" s="55">
        <v>1</v>
      </c>
      <c r="E397" s="56">
        <v>5.3265153936E-5</v>
      </c>
    </row>
    <row r="398" spans="1:5" ht="16.5">
      <c r="A398" s="36"/>
      <c r="B398" s="96"/>
      <c r="C398" s="54" t="s">
        <v>103</v>
      </c>
      <c r="D398" s="55">
        <v>1</v>
      </c>
      <c r="E398" s="56">
        <v>5.3265153936E-5</v>
      </c>
    </row>
    <row r="399" spans="1:5" ht="16.5">
      <c r="A399" s="36"/>
      <c r="B399" s="96"/>
      <c r="C399" s="54" t="s">
        <v>104</v>
      </c>
      <c r="D399" s="55">
        <v>3</v>
      </c>
      <c r="E399" s="56">
        <v>1.5979546180899999E-4</v>
      </c>
    </row>
    <row r="400" spans="1:5" ht="16.5">
      <c r="A400" s="36"/>
      <c r="B400" s="96"/>
      <c r="C400" s="54" t="s">
        <v>105</v>
      </c>
      <c r="D400" s="55">
        <v>1</v>
      </c>
      <c r="E400" s="56">
        <v>5.3265153936E-5</v>
      </c>
    </row>
    <row r="401" spans="1:5" ht="16.5">
      <c r="A401" s="36"/>
      <c r="B401" s="96"/>
      <c r="C401" s="54" t="s">
        <v>107</v>
      </c>
      <c r="D401" s="55">
        <v>4</v>
      </c>
      <c r="E401" s="56">
        <v>2.1306061574499999E-4</v>
      </c>
    </row>
    <row r="402" spans="1:5" ht="16.5">
      <c r="A402" s="36"/>
      <c r="B402" s="96"/>
      <c r="C402" s="54" t="s">
        <v>108</v>
      </c>
      <c r="D402" s="55">
        <v>7</v>
      </c>
      <c r="E402" s="56">
        <v>3.7285607755399997E-4</v>
      </c>
    </row>
    <row r="403" spans="1:5" ht="16.5">
      <c r="A403" s="36"/>
      <c r="B403" s="96"/>
      <c r="C403" s="54" t="s">
        <v>109</v>
      </c>
      <c r="D403" s="55">
        <v>2</v>
      </c>
      <c r="E403" s="56">
        <v>1.06530307873E-4</v>
      </c>
    </row>
    <row r="404" spans="1:5" ht="16.5">
      <c r="A404" s="36"/>
      <c r="B404" s="96"/>
      <c r="C404" s="54" t="s">
        <v>110</v>
      </c>
      <c r="D404" s="55">
        <v>2</v>
      </c>
      <c r="E404" s="56">
        <v>1.06530307873E-4</v>
      </c>
    </row>
    <row r="405" spans="1:5" ht="16.5">
      <c r="A405" s="36"/>
      <c r="B405" s="96"/>
      <c r="C405" s="54" t="s">
        <v>111</v>
      </c>
      <c r="D405" s="55">
        <v>7</v>
      </c>
      <c r="E405" s="56">
        <v>3.7285607755399997E-4</v>
      </c>
    </row>
    <row r="406" spans="1:5" ht="16.5">
      <c r="A406" s="36"/>
      <c r="B406" s="96"/>
      <c r="C406" s="54" t="s">
        <v>114</v>
      </c>
      <c r="D406" s="55">
        <v>1</v>
      </c>
      <c r="E406" s="56">
        <v>5.3265153936E-5</v>
      </c>
    </row>
    <row r="407" spans="1:5" ht="16.5">
      <c r="A407" s="36"/>
      <c r="B407" s="96"/>
      <c r="C407" s="54" t="s">
        <v>117</v>
      </c>
      <c r="D407" s="55">
        <v>5</v>
      </c>
      <c r="E407" s="56">
        <v>2.6632576968100001E-4</v>
      </c>
    </row>
    <row r="408" spans="1:5" ht="16.5">
      <c r="A408" s="36"/>
      <c r="B408" s="97"/>
      <c r="C408" s="65" t="s">
        <v>321</v>
      </c>
      <c r="D408" s="64">
        <v>37</v>
      </c>
      <c r="E408" s="66">
        <v>1.9708106956430002E-3</v>
      </c>
    </row>
    <row r="409" spans="1:5" ht="16.5">
      <c r="A409" s="36"/>
      <c r="B409" s="95" t="s">
        <v>78</v>
      </c>
      <c r="C409" s="54" t="s">
        <v>98</v>
      </c>
      <c r="D409" s="55">
        <v>1</v>
      </c>
      <c r="E409" s="56">
        <v>5.3265153936E-5</v>
      </c>
    </row>
    <row r="410" spans="1:5" ht="16.5">
      <c r="A410" s="36"/>
      <c r="B410" s="96"/>
      <c r="C410" s="54" t="s">
        <v>100</v>
      </c>
      <c r="D410" s="55">
        <v>1</v>
      </c>
      <c r="E410" s="56">
        <v>5.3265153936E-5</v>
      </c>
    </row>
    <row r="411" spans="1:5" ht="16.5">
      <c r="A411" s="36"/>
      <c r="B411" s="96"/>
      <c r="C411" s="54" t="s">
        <v>103</v>
      </c>
      <c r="D411" s="55">
        <v>3</v>
      </c>
      <c r="E411" s="56">
        <v>1.5979546180899999E-4</v>
      </c>
    </row>
    <row r="412" spans="1:5" ht="16.5">
      <c r="A412" s="36"/>
      <c r="B412" s="96"/>
      <c r="C412" s="54" t="s">
        <v>104</v>
      </c>
      <c r="D412" s="55">
        <v>3</v>
      </c>
      <c r="E412" s="56">
        <v>1.5979546180899999E-4</v>
      </c>
    </row>
    <row r="413" spans="1:5" ht="16.5">
      <c r="A413" s="36"/>
      <c r="B413" s="96"/>
      <c r="C413" s="54" t="s">
        <v>105</v>
      </c>
      <c r="D413" s="55">
        <v>2</v>
      </c>
      <c r="E413" s="56">
        <v>1.06530307873E-4</v>
      </c>
    </row>
    <row r="414" spans="1:5" ht="16.5">
      <c r="A414" s="36"/>
      <c r="B414" s="96"/>
      <c r="C414" s="54" t="s">
        <v>106</v>
      </c>
      <c r="D414" s="55">
        <v>2</v>
      </c>
      <c r="E414" s="56">
        <v>1.06530307873E-4</v>
      </c>
    </row>
    <row r="415" spans="1:5" ht="16.5">
      <c r="A415" s="36"/>
      <c r="B415" s="96"/>
      <c r="C415" s="54" t="s">
        <v>107</v>
      </c>
      <c r="D415" s="55">
        <v>2</v>
      </c>
      <c r="E415" s="56">
        <v>1.06530307873E-4</v>
      </c>
    </row>
    <row r="416" spans="1:5" ht="16.5">
      <c r="A416" s="36"/>
      <c r="B416" s="96"/>
      <c r="C416" s="54" t="s">
        <v>108</v>
      </c>
      <c r="D416" s="55">
        <v>10</v>
      </c>
      <c r="E416" s="56">
        <v>5.3265153936299999E-4</v>
      </c>
    </row>
    <row r="417" spans="1:5" ht="16.5">
      <c r="A417" s="36"/>
      <c r="B417" s="96"/>
      <c r="C417" s="54" t="s">
        <v>110</v>
      </c>
      <c r="D417" s="55">
        <v>3</v>
      </c>
      <c r="E417" s="56">
        <v>1.5979546180899999E-4</v>
      </c>
    </row>
    <row r="418" spans="1:5" ht="16.5">
      <c r="A418" s="36"/>
      <c r="B418" s="96"/>
      <c r="C418" s="54" t="s">
        <v>111</v>
      </c>
      <c r="D418" s="55">
        <v>13</v>
      </c>
      <c r="E418" s="56">
        <v>6.92447001172E-4</v>
      </c>
    </row>
    <row r="419" spans="1:5" ht="16.5">
      <c r="A419" s="36"/>
      <c r="B419" s="96"/>
      <c r="C419" s="54" t="s">
        <v>112</v>
      </c>
      <c r="D419" s="55">
        <v>2</v>
      </c>
      <c r="E419" s="56">
        <v>1.06530307873E-4</v>
      </c>
    </row>
    <row r="420" spans="1:5" ht="16.5">
      <c r="A420" s="36"/>
      <c r="B420" s="96"/>
      <c r="C420" s="54" t="s">
        <v>116</v>
      </c>
      <c r="D420" s="55">
        <v>3</v>
      </c>
      <c r="E420" s="56">
        <v>1.5979546180899999E-4</v>
      </c>
    </row>
    <row r="421" spans="1:5" ht="16.5">
      <c r="A421" s="36"/>
      <c r="B421" s="96"/>
      <c r="C421" s="54" t="s">
        <v>117</v>
      </c>
      <c r="D421" s="55">
        <v>4</v>
      </c>
      <c r="E421" s="56">
        <v>2.1306061574499999E-4</v>
      </c>
    </row>
    <row r="422" spans="1:5" ht="16.5">
      <c r="A422" s="36"/>
      <c r="B422" s="96"/>
      <c r="C422" s="54" t="s">
        <v>119</v>
      </c>
      <c r="D422" s="55">
        <v>1</v>
      </c>
      <c r="E422" s="56">
        <v>5.3265153936E-5</v>
      </c>
    </row>
    <row r="423" spans="1:5" ht="16.5">
      <c r="A423" s="36"/>
      <c r="B423" s="97"/>
      <c r="C423" s="65" t="s">
        <v>321</v>
      </c>
      <c r="D423" s="64">
        <v>50</v>
      </c>
      <c r="E423" s="66">
        <v>2.6632576968149998E-3</v>
      </c>
    </row>
    <row r="424" spans="1:5" ht="16.5">
      <c r="A424" s="36"/>
      <c r="B424" s="95" t="s">
        <v>71</v>
      </c>
      <c r="C424" s="54" t="s">
        <v>100</v>
      </c>
      <c r="D424" s="55">
        <v>1</v>
      </c>
      <c r="E424" s="56">
        <v>5.3265153936E-5</v>
      </c>
    </row>
    <row r="425" spans="1:5" ht="16.5">
      <c r="A425" s="36"/>
      <c r="B425" s="96"/>
      <c r="C425" s="54" t="s">
        <v>103</v>
      </c>
      <c r="D425" s="55">
        <v>2</v>
      </c>
      <c r="E425" s="56">
        <v>1.06530307873E-4</v>
      </c>
    </row>
    <row r="426" spans="1:5" ht="16.5">
      <c r="A426" s="36"/>
      <c r="B426" s="96"/>
      <c r="C426" s="54" t="s">
        <v>104</v>
      </c>
      <c r="D426" s="55">
        <v>12</v>
      </c>
      <c r="E426" s="56">
        <v>6.3918184723599995E-4</v>
      </c>
    </row>
    <row r="427" spans="1:5" ht="16.5">
      <c r="A427" s="36"/>
      <c r="B427" s="96"/>
      <c r="C427" s="54" t="s">
        <v>107</v>
      </c>
      <c r="D427" s="55">
        <v>1</v>
      </c>
      <c r="E427" s="56">
        <v>5.3265153936E-5</v>
      </c>
    </row>
    <row r="428" spans="1:5" ht="16.5">
      <c r="A428" s="36"/>
      <c r="B428" s="96"/>
      <c r="C428" s="54" t="s">
        <v>108</v>
      </c>
      <c r="D428" s="55">
        <v>21</v>
      </c>
      <c r="E428" s="56">
        <v>1.118568232662E-3</v>
      </c>
    </row>
    <row r="429" spans="1:5" ht="16.5">
      <c r="A429" s="36"/>
      <c r="B429" s="96"/>
      <c r="C429" s="54" t="s">
        <v>109</v>
      </c>
      <c r="D429" s="55">
        <v>6</v>
      </c>
      <c r="E429" s="56">
        <v>3.1959092361799997E-4</v>
      </c>
    </row>
    <row r="430" spans="1:5" ht="16.5">
      <c r="A430" s="36"/>
      <c r="B430" s="96"/>
      <c r="C430" s="54" t="s">
        <v>110</v>
      </c>
      <c r="D430" s="55">
        <v>8</v>
      </c>
      <c r="E430" s="56">
        <v>4.2612123148999997E-4</v>
      </c>
    </row>
    <row r="431" spans="1:5" ht="16.5">
      <c r="A431" s="36"/>
      <c r="B431" s="96"/>
      <c r="C431" s="54" t="s">
        <v>111</v>
      </c>
      <c r="D431" s="55">
        <v>22</v>
      </c>
      <c r="E431" s="56">
        <v>1.1718333865980001E-3</v>
      </c>
    </row>
    <row r="432" spans="1:5" ht="16.5">
      <c r="A432" s="36"/>
      <c r="B432" s="96"/>
      <c r="C432" s="54" t="s">
        <v>116</v>
      </c>
      <c r="D432" s="55">
        <v>1</v>
      </c>
      <c r="E432" s="56">
        <v>5.3265153936E-5</v>
      </c>
    </row>
    <row r="433" spans="1:5" ht="16.5">
      <c r="A433" s="36"/>
      <c r="B433" s="96"/>
      <c r="C433" s="54" t="s">
        <v>117</v>
      </c>
      <c r="D433" s="55">
        <v>6</v>
      </c>
      <c r="E433" s="56">
        <v>3.1959092361799997E-4</v>
      </c>
    </row>
    <row r="434" spans="1:5" ht="16.5">
      <c r="A434" s="36"/>
      <c r="B434" s="97"/>
      <c r="C434" s="65" t="s">
        <v>321</v>
      </c>
      <c r="D434" s="64">
        <v>80</v>
      </c>
      <c r="E434" s="66">
        <v>4.2612123149039999E-3</v>
      </c>
    </row>
    <row r="435" spans="1:5" ht="16.5">
      <c r="A435" s="36"/>
      <c r="B435" s="95" t="s">
        <v>93</v>
      </c>
      <c r="C435" s="54" t="s">
        <v>107</v>
      </c>
      <c r="D435" s="55">
        <v>1</v>
      </c>
      <c r="E435" s="56">
        <v>5.3265153936E-5</v>
      </c>
    </row>
    <row r="436" spans="1:5" ht="16.5">
      <c r="A436" s="36"/>
      <c r="B436" s="96"/>
      <c r="C436" s="54" t="s">
        <v>108</v>
      </c>
      <c r="D436" s="55">
        <v>1</v>
      </c>
      <c r="E436" s="56">
        <v>5.3265153936E-5</v>
      </c>
    </row>
    <row r="437" spans="1:5" ht="16.5">
      <c r="A437" s="36"/>
      <c r="B437" s="96"/>
      <c r="C437" s="54" t="s">
        <v>111</v>
      </c>
      <c r="D437" s="55">
        <v>1</v>
      </c>
      <c r="E437" s="56">
        <v>5.3265153936E-5</v>
      </c>
    </row>
    <row r="438" spans="1:5" ht="16.5">
      <c r="A438" s="36"/>
      <c r="B438" s="97"/>
      <c r="C438" s="65" t="s">
        <v>321</v>
      </c>
      <c r="D438" s="64">
        <v>3</v>
      </c>
      <c r="E438" s="66">
        <v>1.5979546180899999E-4</v>
      </c>
    </row>
    <row r="439" spans="1:5" ht="16.5">
      <c r="A439" s="36"/>
      <c r="B439" s="95" t="s">
        <v>95</v>
      </c>
      <c r="C439" s="54" t="s">
        <v>103</v>
      </c>
      <c r="D439" s="55">
        <v>1</v>
      </c>
      <c r="E439" s="56">
        <v>5.3265153936E-5</v>
      </c>
    </row>
    <row r="440" spans="1:5" ht="16.5">
      <c r="A440" s="36"/>
      <c r="B440" s="96"/>
      <c r="C440" s="54" t="s">
        <v>104</v>
      </c>
      <c r="D440" s="55">
        <v>1</v>
      </c>
      <c r="E440" s="56">
        <v>5.3265153936E-5</v>
      </c>
    </row>
    <row r="441" spans="1:5" ht="16.5">
      <c r="A441" s="36"/>
      <c r="B441" s="96"/>
      <c r="C441" s="54" t="s">
        <v>108</v>
      </c>
      <c r="D441" s="55">
        <v>1</v>
      </c>
      <c r="E441" s="56">
        <v>5.3265153936E-5</v>
      </c>
    </row>
    <row r="442" spans="1:5" ht="16.5">
      <c r="A442" s="36"/>
      <c r="B442" s="96"/>
      <c r="C442" s="54" t="s">
        <v>109</v>
      </c>
      <c r="D442" s="55">
        <v>1</v>
      </c>
      <c r="E442" s="56">
        <v>5.3265153936E-5</v>
      </c>
    </row>
    <row r="443" spans="1:5" ht="16.5">
      <c r="A443" s="36"/>
      <c r="B443" s="96"/>
      <c r="C443" s="54" t="s">
        <v>111</v>
      </c>
      <c r="D443" s="55">
        <v>2</v>
      </c>
      <c r="E443" s="56">
        <v>1.06530307873E-4</v>
      </c>
    </row>
    <row r="444" spans="1:5" ht="16.5">
      <c r="A444" s="36"/>
      <c r="B444" s="96"/>
      <c r="C444" s="54" t="s">
        <v>117</v>
      </c>
      <c r="D444" s="55">
        <v>1</v>
      </c>
      <c r="E444" s="56">
        <v>5.3265153936E-5</v>
      </c>
    </row>
    <row r="445" spans="1:5" ht="16.5">
      <c r="A445" s="36"/>
      <c r="B445" s="97"/>
      <c r="C445" s="65" t="s">
        <v>321</v>
      </c>
      <c r="D445" s="64">
        <v>7</v>
      </c>
      <c r="E445" s="66">
        <v>3.7285607755399997E-4</v>
      </c>
    </row>
    <row r="446" spans="1:5" ht="16.5">
      <c r="A446" s="36"/>
      <c r="B446" s="95" t="s">
        <v>70</v>
      </c>
      <c r="C446" s="54" t="s">
        <v>103</v>
      </c>
      <c r="D446" s="55">
        <v>4</v>
      </c>
      <c r="E446" s="56">
        <v>2.1306061574499999E-4</v>
      </c>
    </row>
    <row r="447" spans="1:5" ht="16.5">
      <c r="A447" s="36"/>
      <c r="B447" s="96"/>
      <c r="C447" s="54" t="s">
        <v>104</v>
      </c>
      <c r="D447" s="55">
        <v>9</v>
      </c>
      <c r="E447" s="56">
        <v>4.7938638542699999E-4</v>
      </c>
    </row>
    <row r="448" spans="1:5" ht="16.5">
      <c r="A448" s="36"/>
      <c r="B448" s="96"/>
      <c r="C448" s="54" t="s">
        <v>105</v>
      </c>
      <c r="D448" s="55">
        <v>3</v>
      </c>
      <c r="E448" s="56">
        <v>1.5979546180899999E-4</v>
      </c>
    </row>
    <row r="449" spans="1:5" ht="16.5">
      <c r="A449" s="36"/>
      <c r="B449" s="96"/>
      <c r="C449" s="54" t="s">
        <v>106</v>
      </c>
      <c r="D449" s="55">
        <v>2</v>
      </c>
      <c r="E449" s="56">
        <v>1.06530307873E-4</v>
      </c>
    </row>
    <row r="450" spans="1:5" ht="16.5">
      <c r="A450" s="36"/>
      <c r="B450" s="96"/>
      <c r="C450" s="54" t="s">
        <v>107</v>
      </c>
      <c r="D450" s="55">
        <v>4</v>
      </c>
      <c r="E450" s="56">
        <v>2.1306061574499999E-4</v>
      </c>
    </row>
    <row r="451" spans="1:5" ht="16.5">
      <c r="A451" s="36"/>
      <c r="B451" s="96"/>
      <c r="C451" s="54" t="s">
        <v>108</v>
      </c>
      <c r="D451" s="55">
        <v>24</v>
      </c>
      <c r="E451" s="56">
        <v>1.278363694471E-3</v>
      </c>
    </row>
    <row r="452" spans="1:5" ht="16.5">
      <c r="A452" s="36"/>
      <c r="B452" s="96"/>
      <c r="C452" s="54" t="s">
        <v>109</v>
      </c>
      <c r="D452" s="55">
        <v>1</v>
      </c>
      <c r="E452" s="56">
        <v>5.3265153936E-5</v>
      </c>
    </row>
    <row r="453" spans="1:5" ht="16.5">
      <c r="A453" s="36"/>
      <c r="B453" s="96"/>
      <c r="C453" s="54" t="s">
        <v>110</v>
      </c>
      <c r="D453" s="55">
        <v>11</v>
      </c>
      <c r="E453" s="56">
        <v>5.8591669329900004E-4</v>
      </c>
    </row>
    <row r="454" spans="1:5" ht="16.5">
      <c r="A454" s="36"/>
      <c r="B454" s="96"/>
      <c r="C454" s="54" t="s">
        <v>111</v>
      </c>
      <c r="D454" s="55">
        <v>32</v>
      </c>
      <c r="E454" s="56">
        <v>1.704484925961E-3</v>
      </c>
    </row>
    <row r="455" spans="1:5" ht="16.5">
      <c r="A455" s="36"/>
      <c r="B455" s="96"/>
      <c r="C455" s="54" t="s">
        <v>113</v>
      </c>
      <c r="D455" s="55">
        <v>1</v>
      </c>
      <c r="E455" s="56">
        <v>5.3265153936E-5</v>
      </c>
    </row>
    <row r="456" spans="1:5" ht="16.5">
      <c r="A456" s="36"/>
      <c r="B456" s="96"/>
      <c r="C456" s="54" t="s">
        <v>114</v>
      </c>
      <c r="D456" s="55">
        <v>1</v>
      </c>
      <c r="E456" s="56">
        <v>5.3265153936E-5</v>
      </c>
    </row>
    <row r="457" spans="1:5" ht="16.5">
      <c r="A457" s="36"/>
      <c r="B457" s="96"/>
      <c r="C457" s="54" t="s">
        <v>116</v>
      </c>
      <c r="D457" s="55">
        <v>2</v>
      </c>
      <c r="E457" s="56">
        <v>1.06530307873E-4</v>
      </c>
    </row>
    <row r="458" spans="1:5" ht="16.5">
      <c r="A458" s="36"/>
      <c r="B458" s="96"/>
      <c r="C458" s="54" t="s">
        <v>117</v>
      </c>
      <c r="D458" s="55">
        <v>2</v>
      </c>
      <c r="E458" s="56">
        <v>1.06530307873E-4</v>
      </c>
    </row>
    <row r="459" spans="1:5" ht="16.5">
      <c r="A459" s="36"/>
      <c r="B459" s="97"/>
      <c r="C459" s="65" t="s">
        <v>321</v>
      </c>
      <c r="D459" s="64">
        <v>96</v>
      </c>
      <c r="E459" s="66">
        <v>5.1134547778840002E-3</v>
      </c>
    </row>
    <row r="460" spans="1:5" ht="16.5">
      <c r="A460" s="36"/>
      <c r="B460" s="95" t="s">
        <v>85</v>
      </c>
      <c r="C460" s="54" t="s">
        <v>97</v>
      </c>
      <c r="D460" s="55">
        <v>1</v>
      </c>
      <c r="E460" s="56">
        <v>5.3265153936E-5</v>
      </c>
    </row>
    <row r="461" spans="1:5" ht="16.5">
      <c r="A461" s="36"/>
      <c r="B461" s="96"/>
      <c r="C461" s="54" t="s">
        <v>101</v>
      </c>
      <c r="D461" s="55">
        <v>1</v>
      </c>
      <c r="E461" s="56">
        <v>5.3265153936E-5</v>
      </c>
    </row>
    <row r="462" spans="1:5" ht="16.5">
      <c r="A462" s="36"/>
      <c r="B462" s="96"/>
      <c r="C462" s="54" t="s">
        <v>102</v>
      </c>
      <c r="D462" s="55">
        <v>2</v>
      </c>
      <c r="E462" s="56">
        <v>1.06530307873E-4</v>
      </c>
    </row>
    <row r="463" spans="1:5" ht="16.5">
      <c r="A463" s="36"/>
      <c r="B463" s="96"/>
      <c r="C463" s="54" t="s">
        <v>104</v>
      </c>
      <c r="D463" s="55">
        <v>2</v>
      </c>
      <c r="E463" s="56">
        <v>1.06530307873E-4</v>
      </c>
    </row>
    <row r="464" spans="1:5" ht="16.5">
      <c r="A464" s="36"/>
      <c r="B464" s="96"/>
      <c r="C464" s="54" t="s">
        <v>105</v>
      </c>
      <c r="D464" s="55">
        <v>1</v>
      </c>
      <c r="E464" s="56">
        <v>5.3265153936E-5</v>
      </c>
    </row>
    <row r="465" spans="1:5" ht="16.5">
      <c r="A465" s="36"/>
      <c r="B465" s="96"/>
      <c r="C465" s="54" t="s">
        <v>108</v>
      </c>
      <c r="D465" s="55">
        <v>3</v>
      </c>
      <c r="E465" s="56">
        <v>1.5979546180899999E-4</v>
      </c>
    </row>
    <row r="466" spans="1:5" ht="16.5">
      <c r="A466" s="36"/>
      <c r="B466" s="96"/>
      <c r="C466" s="54" t="s">
        <v>110</v>
      </c>
      <c r="D466" s="55">
        <v>2</v>
      </c>
      <c r="E466" s="56">
        <v>1.06530307873E-4</v>
      </c>
    </row>
    <row r="467" spans="1:5" ht="16.5">
      <c r="A467" s="36"/>
      <c r="B467" s="96"/>
      <c r="C467" s="54" t="s">
        <v>111</v>
      </c>
      <c r="D467" s="55">
        <v>8</v>
      </c>
      <c r="E467" s="56">
        <v>4.2612123148999997E-4</v>
      </c>
    </row>
    <row r="468" spans="1:5" ht="16.5">
      <c r="A468" s="36"/>
      <c r="B468" s="96"/>
      <c r="C468" s="54" t="s">
        <v>116</v>
      </c>
      <c r="D468" s="55">
        <v>4</v>
      </c>
      <c r="E468" s="56">
        <v>2.1306061574499999E-4</v>
      </c>
    </row>
    <row r="469" spans="1:5" ht="16.5">
      <c r="A469" s="36"/>
      <c r="B469" s="96"/>
      <c r="C469" s="54" t="s">
        <v>117</v>
      </c>
      <c r="D469" s="55">
        <v>5</v>
      </c>
      <c r="E469" s="56">
        <v>2.6632576968100001E-4</v>
      </c>
    </row>
    <row r="470" spans="1:5" ht="16.5">
      <c r="A470" s="36"/>
      <c r="B470" s="96"/>
      <c r="C470" s="54" t="s">
        <v>119</v>
      </c>
      <c r="D470" s="55">
        <v>4</v>
      </c>
      <c r="E470" s="56">
        <v>2.1306061574499999E-4</v>
      </c>
    </row>
    <row r="471" spans="1:5" ht="16.5">
      <c r="A471" s="36"/>
      <c r="B471" s="97"/>
      <c r="C471" s="65" t="s">
        <v>321</v>
      </c>
      <c r="D471" s="64">
        <v>33</v>
      </c>
      <c r="E471" s="66">
        <v>1.7577500798980001E-3</v>
      </c>
    </row>
    <row r="472" spans="1:5" ht="16.5">
      <c r="A472" s="36"/>
      <c r="B472" s="95" t="s">
        <v>50</v>
      </c>
      <c r="C472" s="54" t="s">
        <v>97</v>
      </c>
      <c r="D472" s="55">
        <v>4</v>
      </c>
      <c r="E472" s="56">
        <v>2.1306061574499999E-4</v>
      </c>
    </row>
    <row r="473" spans="1:5" ht="16.5">
      <c r="A473" s="36"/>
      <c r="B473" s="96"/>
      <c r="C473" s="54" t="s">
        <v>98</v>
      </c>
      <c r="D473" s="55">
        <v>6</v>
      </c>
      <c r="E473" s="56">
        <v>3.1959092361799997E-4</v>
      </c>
    </row>
    <row r="474" spans="1:5" ht="16.5">
      <c r="A474" s="36"/>
      <c r="B474" s="96"/>
      <c r="C474" s="54" t="s">
        <v>99</v>
      </c>
      <c r="D474" s="55">
        <v>9</v>
      </c>
      <c r="E474" s="56">
        <v>4.7938638542699999E-4</v>
      </c>
    </row>
    <row r="475" spans="1:5" ht="16.5">
      <c r="A475" s="36"/>
      <c r="B475" s="96"/>
      <c r="C475" s="54" t="s">
        <v>100</v>
      </c>
      <c r="D475" s="55">
        <v>26</v>
      </c>
      <c r="E475" s="56">
        <v>1.384894002344E-3</v>
      </c>
    </row>
    <row r="476" spans="1:5" ht="16.5">
      <c r="A476" s="36"/>
      <c r="B476" s="96"/>
      <c r="C476" s="54" t="s">
        <v>101</v>
      </c>
      <c r="D476" s="55">
        <v>18</v>
      </c>
      <c r="E476" s="56">
        <v>9.5877277085300002E-4</v>
      </c>
    </row>
    <row r="477" spans="1:5" ht="16.5">
      <c r="A477" s="36"/>
      <c r="B477" s="96"/>
      <c r="C477" s="54" t="s">
        <v>102</v>
      </c>
      <c r="D477" s="55">
        <v>17</v>
      </c>
      <c r="E477" s="56">
        <v>9.0550761691699996E-4</v>
      </c>
    </row>
    <row r="478" spans="1:5" ht="16.5">
      <c r="A478" s="36"/>
      <c r="B478" s="96"/>
      <c r="C478" s="54" t="s">
        <v>103</v>
      </c>
      <c r="D478" s="55">
        <v>97</v>
      </c>
      <c r="E478" s="56">
        <v>5.1667199318209999E-3</v>
      </c>
    </row>
    <row r="479" spans="1:5" ht="16.5">
      <c r="A479" s="36"/>
      <c r="B479" s="96"/>
      <c r="C479" s="54" t="s">
        <v>104</v>
      </c>
      <c r="D479" s="55">
        <v>184</v>
      </c>
      <c r="E479" s="56">
        <v>9.8007883242779998E-3</v>
      </c>
    </row>
    <row r="480" spans="1:5" ht="16.5">
      <c r="A480" s="36"/>
      <c r="B480" s="96"/>
      <c r="C480" s="54" t="s">
        <v>105</v>
      </c>
      <c r="D480" s="55">
        <v>19</v>
      </c>
      <c r="E480" s="56">
        <v>1.0120379247899999E-3</v>
      </c>
    </row>
    <row r="481" spans="1:5" ht="16.5">
      <c r="A481" s="36"/>
      <c r="B481" s="96"/>
      <c r="C481" s="54" t="s">
        <v>106</v>
      </c>
      <c r="D481" s="55">
        <v>48</v>
      </c>
      <c r="E481" s="56">
        <v>2.5567273889420001E-3</v>
      </c>
    </row>
    <row r="482" spans="1:5" ht="16.5">
      <c r="A482" s="36"/>
      <c r="B482" s="96"/>
      <c r="C482" s="54" t="s">
        <v>107</v>
      </c>
      <c r="D482" s="55">
        <v>41</v>
      </c>
      <c r="E482" s="56">
        <v>2.183871311388E-3</v>
      </c>
    </row>
    <row r="483" spans="1:5" ht="16.5">
      <c r="A483" s="36"/>
      <c r="B483" s="96"/>
      <c r="C483" s="54" t="s">
        <v>108</v>
      </c>
      <c r="D483" s="55">
        <v>489</v>
      </c>
      <c r="E483" s="56">
        <v>2.6046660274848001E-2</v>
      </c>
    </row>
    <row r="484" spans="1:5" ht="16.5">
      <c r="A484" s="36"/>
      <c r="B484" s="96"/>
      <c r="C484" s="54" t="s">
        <v>109</v>
      </c>
      <c r="D484" s="55">
        <v>33</v>
      </c>
      <c r="E484" s="56">
        <v>1.7577500798980001E-3</v>
      </c>
    </row>
    <row r="485" spans="1:5" ht="16.5">
      <c r="A485" s="36"/>
      <c r="B485" s="96"/>
      <c r="C485" s="54" t="s">
        <v>110</v>
      </c>
      <c r="D485" s="55">
        <v>138</v>
      </c>
      <c r="E485" s="56">
        <v>7.3505912432089999E-3</v>
      </c>
    </row>
    <row r="486" spans="1:5" ht="16.5">
      <c r="A486" s="36"/>
      <c r="B486" s="96"/>
      <c r="C486" s="54" t="s">
        <v>111</v>
      </c>
      <c r="D486" s="55">
        <v>465</v>
      </c>
      <c r="E486" s="56">
        <v>2.4768296580376999E-2</v>
      </c>
    </row>
    <row r="487" spans="1:5" ht="16.5">
      <c r="A487" s="36"/>
      <c r="B487" s="96"/>
      <c r="C487" s="54" t="s">
        <v>112</v>
      </c>
      <c r="D487" s="55">
        <v>7</v>
      </c>
      <c r="E487" s="56">
        <v>3.7285607755399997E-4</v>
      </c>
    </row>
    <row r="488" spans="1:5" ht="16.5">
      <c r="A488" s="36"/>
      <c r="B488" s="96"/>
      <c r="C488" s="54" t="s">
        <v>113</v>
      </c>
      <c r="D488" s="55">
        <v>13</v>
      </c>
      <c r="E488" s="56">
        <v>6.92447001172E-4</v>
      </c>
    </row>
    <row r="489" spans="1:5" ht="16.5">
      <c r="A489" s="36"/>
      <c r="B489" s="96"/>
      <c r="C489" s="54" t="s">
        <v>114</v>
      </c>
      <c r="D489" s="55">
        <v>2</v>
      </c>
      <c r="E489" s="56">
        <v>1.06530307873E-4</v>
      </c>
    </row>
    <row r="490" spans="1:5" ht="16.5">
      <c r="A490" s="36"/>
      <c r="B490" s="96"/>
      <c r="C490" s="54" t="s">
        <v>115</v>
      </c>
      <c r="D490" s="55">
        <v>1</v>
      </c>
      <c r="E490" s="56">
        <v>5.3265153936E-5</v>
      </c>
    </row>
    <row r="491" spans="1:5" ht="16.5">
      <c r="A491" s="36"/>
      <c r="B491" s="96"/>
      <c r="C491" s="54" t="s">
        <v>116</v>
      </c>
      <c r="D491" s="55">
        <v>28</v>
      </c>
      <c r="E491" s="56">
        <v>1.4914243102159999E-3</v>
      </c>
    </row>
    <row r="492" spans="1:5" ht="16.5">
      <c r="A492" s="36"/>
      <c r="B492" s="96"/>
      <c r="C492" s="54" t="s">
        <v>117</v>
      </c>
      <c r="D492" s="55">
        <v>73</v>
      </c>
      <c r="E492" s="56">
        <v>3.8883562373499998E-3</v>
      </c>
    </row>
    <row r="493" spans="1:5" ht="16.5">
      <c r="A493" s="36"/>
      <c r="B493" s="96"/>
      <c r="C493" s="54" t="s">
        <v>119</v>
      </c>
      <c r="D493" s="55">
        <v>3</v>
      </c>
      <c r="E493" s="56">
        <v>1.5979546180899999E-4</v>
      </c>
    </row>
    <row r="494" spans="1:5" ht="16.5">
      <c r="A494" s="36"/>
      <c r="B494" s="96"/>
      <c r="C494" s="54" t="s">
        <v>120</v>
      </c>
      <c r="D494" s="55">
        <v>1</v>
      </c>
      <c r="E494" s="56">
        <v>5.3265153936E-5</v>
      </c>
    </row>
    <row r="495" spans="1:5" ht="16.5">
      <c r="A495" s="36"/>
      <c r="B495" s="97"/>
      <c r="C495" s="65" t="s">
        <v>321</v>
      </c>
      <c r="D495" s="64">
        <v>1722</v>
      </c>
      <c r="E495" s="66">
        <v>9.1722595078299995E-2</v>
      </c>
    </row>
    <row r="496" spans="1:5" ht="16.5">
      <c r="A496" s="36"/>
      <c r="B496" s="95" t="s">
        <v>62</v>
      </c>
      <c r="C496" s="54" t="s">
        <v>99</v>
      </c>
      <c r="D496" s="55">
        <v>2</v>
      </c>
      <c r="E496" s="56">
        <v>1.06530307873E-4</v>
      </c>
    </row>
    <row r="497" spans="1:5" ht="16.5">
      <c r="A497" s="36"/>
      <c r="B497" s="96"/>
      <c r="C497" s="54" t="s">
        <v>100</v>
      </c>
      <c r="D497" s="55">
        <v>2</v>
      </c>
      <c r="E497" s="56">
        <v>1.06530307873E-4</v>
      </c>
    </row>
    <row r="498" spans="1:5" ht="16.5">
      <c r="A498" s="36"/>
      <c r="B498" s="96"/>
      <c r="C498" s="54" t="s">
        <v>101</v>
      </c>
      <c r="D498" s="55">
        <v>3</v>
      </c>
      <c r="E498" s="56">
        <v>1.5979546180899999E-4</v>
      </c>
    </row>
    <row r="499" spans="1:5" ht="16.5">
      <c r="A499" s="36"/>
      <c r="B499" s="96"/>
      <c r="C499" s="54" t="s">
        <v>102</v>
      </c>
      <c r="D499" s="55">
        <v>3</v>
      </c>
      <c r="E499" s="56">
        <v>1.5979546180899999E-4</v>
      </c>
    </row>
    <row r="500" spans="1:5" ht="16.5">
      <c r="A500" s="36"/>
      <c r="B500" s="96"/>
      <c r="C500" s="54" t="s">
        <v>103</v>
      </c>
      <c r="D500" s="55">
        <v>14</v>
      </c>
      <c r="E500" s="56">
        <v>7.4571215510799995E-4</v>
      </c>
    </row>
    <row r="501" spans="1:5" ht="16.5">
      <c r="A501" s="36"/>
      <c r="B501" s="96"/>
      <c r="C501" s="54" t="s">
        <v>104</v>
      </c>
      <c r="D501" s="55">
        <v>34</v>
      </c>
      <c r="E501" s="56">
        <v>1.8110152338339999E-3</v>
      </c>
    </row>
    <row r="502" spans="1:5" ht="16.5">
      <c r="A502" s="36"/>
      <c r="B502" s="96"/>
      <c r="C502" s="54" t="s">
        <v>105</v>
      </c>
      <c r="D502" s="55">
        <v>1</v>
      </c>
      <c r="E502" s="56">
        <v>5.3265153936E-5</v>
      </c>
    </row>
    <row r="503" spans="1:5" ht="16.5">
      <c r="A503" s="36"/>
      <c r="B503" s="96"/>
      <c r="C503" s="54" t="s">
        <v>106</v>
      </c>
      <c r="D503" s="55">
        <v>4</v>
      </c>
      <c r="E503" s="56">
        <v>2.1306061574499999E-4</v>
      </c>
    </row>
    <row r="504" spans="1:5" ht="16.5">
      <c r="A504" s="36"/>
      <c r="B504" s="96"/>
      <c r="C504" s="54" t="s">
        <v>107</v>
      </c>
      <c r="D504" s="55">
        <v>9</v>
      </c>
      <c r="E504" s="56">
        <v>4.7938638542699999E-4</v>
      </c>
    </row>
    <row r="505" spans="1:5" ht="16.5">
      <c r="A505" s="36"/>
      <c r="B505" s="96"/>
      <c r="C505" s="54" t="s">
        <v>108</v>
      </c>
      <c r="D505" s="55">
        <v>77</v>
      </c>
      <c r="E505" s="56">
        <v>4.1014168530950001E-3</v>
      </c>
    </row>
    <row r="506" spans="1:5" ht="16.5">
      <c r="A506" s="36"/>
      <c r="B506" s="96"/>
      <c r="C506" s="54" t="s">
        <v>109</v>
      </c>
      <c r="D506" s="55">
        <v>5</v>
      </c>
      <c r="E506" s="56">
        <v>2.6632576968100001E-4</v>
      </c>
    </row>
    <row r="507" spans="1:5" ht="16.5">
      <c r="A507" s="36"/>
      <c r="B507" s="96"/>
      <c r="C507" s="54" t="s">
        <v>110</v>
      </c>
      <c r="D507" s="55">
        <v>20</v>
      </c>
      <c r="E507" s="56">
        <v>1.065303078726E-3</v>
      </c>
    </row>
    <row r="508" spans="1:5" ht="16.5">
      <c r="A508" s="36"/>
      <c r="B508" s="96"/>
      <c r="C508" s="54" t="s">
        <v>111</v>
      </c>
      <c r="D508" s="55">
        <v>69</v>
      </c>
      <c r="E508" s="56">
        <v>3.6752956216039999E-3</v>
      </c>
    </row>
    <row r="509" spans="1:5" ht="16.5">
      <c r="A509" s="36"/>
      <c r="B509" s="96"/>
      <c r="C509" s="54" t="s">
        <v>112</v>
      </c>
      <c r="D509" s="55">
        <v>4</v>
      </c>
      <c r="E509" s="56">
        <v>2.1306061574499999E-4</v>
      </c>
    </row>
    <row r="510" spans="1:5" ht="16.5">
      <c r="A510" s="36"/>
      <c r="B510" s="96"/>
      <c r="C510" s="54" t="s">
        <v>113</v>
      </c>
      <c r="D510" s="55">
        <v>2</v>
      </c>
      <c r="E510" s="56">
        <v>1.06530307873E-4</v>
      </c>
    </row>
    <row r="511" spans="1:5" ht="16.5">
      <c r="A511" s="36"/>
      <c r="B511" s="96"/>
      <c r="C511" s="54" t="s">
        <v>114</v>
      </c>
      <c r="D511" s="55">
        <v>1</v>
      </c>
      <c r="E511" s="56">
        <v>5.3265153936E-5</v>
      </c>
    </row>
    <row r="512" spans="1:5" ht="16.5">
      <c r="A512" s="36"/>
      <c r="B512" s="96"/>
      <c r="C512" s="54" t="s">
        <v>115</v>
      </c>
      <c r="D512" s="55">
        <v>1</v>
      </c>
      <c r="E512" s="56">
        <v>5.3265153936E-5</v>
      </c>
    </row>
    <row r="513" spans="1:5" ht="16.5">
      <c r="A513" s="36"/>
      <c r="B513" s="96"/>
      <c r="C513" s="54" t="s">
        <v>116</v>
      </c>
      <c r="D513" s="55">
        <v>2</v>
      </c>
      <c r="E513" s="56">
        <v>1.06530307873E-4</v>
      </c>
    </row>
    <row r="514" spans="1:5" ht="16.5">
      <c r="A514" s="36"/>
      <c r="B514" s="96"/>
      <c r="C514" s="54" t="s">
        <v>117</v>
      </c>
      <c r="D514" s="55">
        <v>13</v>
      </c>
      <c r="E514" s="56">
        <v>6.92447001172E-4</v>
      </c>
    </row>
    <row r="515" spans="1:5" ht="16.5">
      <c r="A515" s="36"/>
      <c r="B515" s="97"/>
      <c r="C515" s="65" t="s">
        <v>321</v>
      </c>
      <c r="D515" s="64">
        <v>266</v>
      </c>
      <c r="E515" s="66">
        <v>1.4168530947054E-2</v>
      </c>
    </row>
    <row r="516" spans="1:5" ht="16.5">
      <c r="A516" s="36"/>
      <c r="B516" s="95" t="s">
        <v>74</v>
      </c>
      <c r="C516" s="54" t="s">
        <v>100</v>
      </c>
      <c r="D516" s="55">
        <v>1</v>
      </c>
      <c r="E516" s="56">
        <v>5.3265153936E-5</v>
      </c>
    </row>
    <row r="517" spans="1:5" ht="16.5">
      <c r="A517" s="36"/>
      <c r="B517" s="96"/>
      <c r="C517" s="54" t="s">
        <v>102</v>
      </c>
      <c r="D517" s="55">
        <v>1</v>
      </c>
      <c r="E517" s="56">
        <v>5.3265153936E-5</v>
      </c>
    </row>
    <row r="518" spans="1:5" ht="16.5">
      <c r="A518" s="36"/>
      <c r="B518" s="96"/>
      <c r="C518" s="54" t="s">
        <v>103</v>
      </c>
      <c r="D518" s="55">
        <v>4</v>
      </c>
      <c r="E518" s="56">
        <v>2.1306061574499999E-4</v>
      </c>
    </row>
    <row r="519" spans="1:5" ht="16.5">
      <c r="A519" s="36"/>
      <c r="B519" s="96"/>
      <c r="C519" s="54" t="s">
        <v>104</v>
      </c>
      <c r="D519" s="55">
        <v>8</v>
      </c>
      <c r="E519" s="56">
        <v>4.2612123148999997E-4</v>
      </c>
    </row>
    <row r="520" spans="1:5" ht="16.5">
      <c r="A520" s="36"/>
      <c r="B520" s="96"/>
      <c r="C520" s="54" t="s">
        <v>107</v>
      </c>
      <c r="D520" s="55">
        <v>2</v>
      </c>
      <c r="E520" s="56">
        <v>1.06530307873E-4</v>
      </c>
    </row>
    <row r="521" spans="1:5" ht="16.5">
      <c r="A521" s="36"/>
      <c r="B521" s="96"/>
      <c r="C521" s="54" t="s">
        <v>108</v>
      </c>
      <c r="D521" s="55">
        <v>9</v>
      </c>
      <c r="E521" s="56">
        <v>4.7938638542699999E-4</v>
      </c>
    </row>
    <row r="522" spans="1:5" ht="16.5">
      <c r="A522" s="36"/>
      <c r="B522" s="96"/>
      <c r="C522" s="54" t="s">
        <v>109</v>
      </c>
      <c r="D522" s="55">
        <v>3</v>
      </c>
      <c r="E522" s="56">
        <v>1.5979546180899999E-4</v>
      </c>
    </row>
    <row r="523" spans="1:5" ht="16.5">
      <c r="A523" s="36"/>
      <c r="B523" s="96"/>
      <c r="C523" s="54" t="s">
        <v>110</v>
      </c>
      <c r="D523" s="55">
        <v>4</v>
      </c>
      <c r="E523" s="56">
        <v>2.1306061574499999E-4</v>
      </c>
    </row>
    <row r="524" spans="1:5" ht="16.5">
      <c r="A524" s="36"/>
      <c r="B524" s="96"/>
      <c r="C524" s="54" t="s">
        <v>111</v>
      </c>
      <c r="D524" s="55">
        <v>12</v>
      </c>
      <c r="E524" s="56">
        <v>6.3918184723599995E-4</v>
      </c>
    </row>
    <row r="525" spans="1:5" ht="16.5">
      <c r="A525" s="36"/>
      <c r="B525" s="96"/>
      <c r="C525" s="54" t="s">
        <v>114</v>
      </c>
      <c r="D525" s="55">
        <v>1</v>
      </c>
      <c r="E525" s="56">
        <v>5.3265153936E-5</v>
      </c>
    </row>
    <row r="526" spans="1:5" ht="16.5">
      <c r="A526" s="36"/>
      <c r="B526" s="96"/>
      <c r="C526" s="54" t="s">
        <v>115</v>
      </c>
      <c r="D526" s="55">
        <v>1</v>
      </c>
      <c r="E526" s="56">
        <v>5.3265153936E-5</v>
      </c>
    </row>
    <row r="527" spans="1:5" ht="16.5">
      <c r="A527" s="36"/>
      <c r="B527" s="96"/>
      <c r="C527" s="54" t="s">
        <v>116</v>
      </c>
      <c r="D527" s="55">
        <v>1</v>
      </c>
      <c r="E527" s="56">
        <v>5.3265153936E-5</v>
      </c>
    </row>
    <row r="528" spans="1:5" ht="16.5">
      <c r="A528" s="36"/>
      <c r="B528" s="96"/>
      <c r="C528" s="54" t="s">
        <v>117</v>
      </c>
      <c r="D528" s="55">
        <v>4</v>
      </c>
      <c r="E528" s="56">
        <v>2.1306061574499999E-4</v>
      </c>
    </row>
    <row r="529" spans="1:5" ht="16.5">
      <c r="A529" s="36"/>
      <c r="B529" s="97"/>
      <c r="C529" s="65" t="s">
        <v>321</v>
      </c>
      <c r="D529" s="64">
        <v>51</v>
      </c>
      <c r="E529" s="66">
        <v>2.7165228507509999E-3</v>
      </c>
    </row>
    <row r="530" spans="1:5" ht="16.5">
      <c r="A530" s="36"/>
      <c r="B530" s="95" t="s">
        <v>84</v>
      </c>
      <c r="C530" s="54" t="s">
        <v>97</v>
      </c>
      <c r="D530" s="55">
        <v>2</v>
      </c>
      <c r="E530" s="56">
        <v>1.06530307873E-4</v>
      </c>
    </row>
    <row r="531" spans="1:5" ht="16.5">
      <c r="A531" s="36"/>
      <c r="B531" s="96"/>
      <c r="C531" s="54" t="s">
        <v>98</v>
      </c>
      <c r="D531" s="55">
        <v>1</v>
      </c>
      <c r="E531" s="56">
        <v>5.3265153936E-5</v>
      </c>
    </row>
    <row r="532" spans="1:5" ht="16.5">
      <c r="A532" s="36"/>
      <c r="B532" s="96"/>
      <c r="C532" s="54" t="s">
        <v>100</v>
      </c>
      <c r="D532" s="55">
        <v>1</v>
      </c>
      <c r="E532" s="56">
        <v>5.3265153936E-5</v>
      </c>
    </row>
    <row r="533" spans="1:5" ht="16.5">
      <c r="A533" s="36"/>
      <c r="B533" s="96"/>
      <c r="C533" s="54" t="s">
        <v>101</v>
      </c>
      <c r="D533" s="55">
        <v>1</v>
      </c>
      <c r="E533" s="56">
        <v>5.3265153936E-5</v>
      </c>
    </row>
    <row r="534" spans="1:5" ht="16.5">
      <c r="A534" s="36"/>
      <c r="B534" s="96"/>
      <c r="C534" s="54" t="s">
        <v>103</v>
      </c>
      <c r="D534" s="55">
        <v>3</v>
      </c>
      <c r="E534" s="56">
        <v>1.5979546180899999E-4</v>
      </c>
    </row>
    <row r="535" spans="1:5" ht="16.5">
      <c r="A535" s="36"/>
      <c r="B535" s="96"/>
      <c r="C535" s="54" t="s">
        <v>104</v>
      </c>
      <c r="D535" s="55">
        <v>9</v>
      </c>
      <c r="E535" s="56">
        <v>4.7938638542699999E-4</v>
      </c>
    </row>
    <row r="536" spans="1:5" ht="16.5">
      <c r="A536" s="36"/>
      <c r="B536" s="96"/>
      <c r="C536" s="54" t="s">
        <v>106</v>
      </c>
      <c r="D536" s="55">
        <v>2</v>
      </c>
      <c r="E536" s="56">
        <v>1.06530307873E-4</v>
      </c>
    </row>
    <row r="537" spans="1:5" ht="16.5">
      <c r="A537" s="36"/>
      <c r="B537" s="96"/>
      <c r="C537" s="54" t="s">
        <v>108</v>
      </c>
      <c r="D537" s="55">
        <v>13</v>
      </c>
      <c r="E537" s="56">
        <v>6.92447001172E-4</v>
      </c>
    </row>
    <row r="538" spans="1:5" ht="16.5">
      <c r="A538" s="36"/>
      <c r="B538" s="96"/>
      <c r="C538" s="54" t="s">
        <v>109</v>
      </c>
      <c r="D538" s="55">
        <v>3</v>
      </c>
      <c r="E538" s="56">
        <v>1.5979546180899999E-4</v>
      </c>
    </row>
    <row r="539" spans="1:5" ht="16.5">
      <c r="A539" s="36"/>
      <c r="B539" s="96"/>
      <c r="C539" s="54" t="s">
        <v>110</v>
      </c>
      <c r="D539" s="55">
        <v>6</v>
      </c>
      <c r="E539" s="56">
        <v>3.1959092361799997E-4</v>
      </c>
    </row>
    <row r="540" spans="1:5" ht="16.5">
      <c r="A540" s="36"/>
      <c r="B540" s="96"/>
      <c r="C540" s="54" t="s">
        <v>111</v>
      </c>
      <c r="D540" s="55">
        <v>9</v>
      </c>
      <c r="E540" s="56">
        <v>4.7938638542699999E-4</v>
      </c>
    </row>
    <row r="541" spans="1:5" ht="16.5">
      <c r="A541" s="36"/>
      <c r="B541" s="96"/>
      <c r="C541" s="54" t="s">
        <v>112</v>
      </c>
      <c r="D541" s="55">
        <v>1</v>
      </c>
      <c r="E541" s="56">
        <v>5.3265153936E-5</v>
      </c>
    </row>
    <row r="542" spans="1:5" ht="16.5">
      <c r="A542" s="36"/>
      <c r="B542" s="96"/>
      <c r="C542" s="54" t="s">
        <v>113</v>
      </c>
      <c r="D542" s="55">
        <v>1</v>
      </c>
      <c r="E542" s="56">
        <v>5.3265153936E-5</v>
      </c>
    </row>
    <row r="543" spans="1:5" ht="16.5">
      <c r="A543" s="36"/>
      <c r="B543" s="96"/>
      <c r="C543" s="54" t="s">
        <v>116</v>
      </c>
      <c r="D543" s="55">
        <v>1</v>
      </c>
      <c r="E543" s="56">
        <v>5.3265153936E-5</v>
      </c>
    </row>
    <row r="544" spans="1:5" ht="16.5">
      <c r="A544" s="36"/>
      <c r="B544" s="96"/>
      <c r="C544" s="54" t="s">
        <v>117</v>
      </c>
      <c r="D544" s="55">
        <v>2</v>
      </c>
      <c r="E544" s="56">
        <v>1.06530307873E-4</v>
      </c>
    </row>
    <row r="545" spans="1:5" ht="16.5">
      <c r="A545" s="36"/>
      <c r="B545" s="97"/>
      <c r="C545" s="65" t="s">
        <v>321</v>
      </c>
      <c r="D545" s="64">
        <v>55</v>
      </c>
      <c r="E545" s="66">
        <v>2.9295834664960002E-3</v>
      </c>
    </row>
    <row r="546" spans="1:5" ht="16.5">
      <c r="A546" s="36"/>
      <c r="B546" s="95" t="s">
        <v>51</v>
      </c>
      <c r="C546" s="54" t="s">
        <v>97</v>
      </c>
      <c r="D546" s="55">
        <v>5</v>
      </c>
      <c r="E546" s="56">
        <v>2.6632576968100001E-4</v>
      </c>
    </row>
    <row r="547" spans="1:5" ht="16.5">
      <c r="A547" s="36"/>
      <c r="B547" s="96"/>
      <c r="C547" s="54" t="s">
        <v>98</v>
      </c>
      <c r="D547" s="55">
        <v>5</v>
      </c>
      <c r="E547" s="56">
        <v>2.6632576968100001E-4</v>
      </c>
    </row>
    <row r="548" spans="1:5" ht="16.5">
      <c r="A548" s="36"/>
      <c r="B548" s="96"/>
      <c r="C548" s="54" t="s">
        <v>99</v>
      </c>
      <c r="D548" s="55">
        <v>6</v>
      </c>
      <c r="E548" s="56">
        <v>3.1959092361799997E-4</v>
      </c>
    </row>
    <row r="549" spans="1:5" ht="16.5">
      <c r="A549" s="36"/>
      <c r="B549" s="96"/>
      <c r="C549" s="54" t="s">
        <v>100</v>
      </c>
      <c r="D549" s="55">
        <v>10</v>
      </c>
      <c r="E549" s="56">
        <v>5.3265153936299999E-4</v>
      </c>
    </row>
    <row r="550" spans="1:5" ht="16.5">
      <c r="A550" s="36"/>
      <c r="B550" s="96"/>
      <c r="C550" s="54" t="s">
        <v>101</v>
      </c>
      <c r="D550" s="55">
        <v>12</v>
      </c>
      <c r="E550" s="56">
        <v>6.3918184723599995E-4</v>
      </c>
    </row>
    <row r="551" spans="1:5" ht="16.5">
      <c r="A551" s="36"/>
      <c r="B551" s="96"/>
      <c r="C551" s="54" t="s">
        <v>102</v>
      </c>
      <c r="D551" s="55">
        <v>14</v>
      </c>
      <c r="E551" s="56">
        <v>7.4571215510799995E-4</v>
      </c>
    </row>
    <row r="552" spans="1:5" ht="16.5">
      <c r="A552" s="36"/>
      <c r="B552" s="96"/>
      <c r="C552" s="54" t="s">
        <v>103</v>
      </c>
      <c r="D552" s="55">
        <v>96</v>
      </c>
      <c r="E552" s="56">
        <v>5.1134547778840002E-3</v>
      </c>
    </row>
    <row r="553" spans="1:5" ht="16.5">
      <c r="A553" s="36"/>
      <c r="B553" s="96"/>
      <c r="C553" s="54" t="s">
        <v>104</v>
      </c>
      <c r="D553" s="55">
        <v>140</v>
      </c>
      <c r="E553" s="56">
        <v>7.457121551081E-3</v>
      </c>
    </row>
    <row r="554" spans="1:5" ht="16.5">
      <c r="A554" s="36"/>
      <c r="B554" s="96"/>
      <c r="C554" s="54" t="s">
        <v>105</v>
      </c>
      <c r="D554" s="55">
        <v>10</v>
      </c>
      <c r="E554" s="56">
        <v>5.3265153936299999E-4</v>
      </c>
    </row>
    <row r="555" spans="1:5" ht="16.5">
      <c r="A555" s="36"/>
      <c r="B555" s="96"/>
      <c r="C555" s="54" t="s">
        <v>106</v>
      </c>
      <c r="D555" s="55">
        <v>24</v>
      </c>
      <c r="E555" s="56">
        <v>1.278363694471E-3</v>
      </c>
    </row>
    <row r="556" spans="1:5" ht="16.5">
      <c r="A556" s="36"/>
      <c r="B556" s="96"/>
      <c r="C556" s="54" t="s">
        <v>107</v>
      </c>
      <c r="D556" s="55">
        <v>38</v>
      </c>
      <c r="E556" s="56">
        <v>2.0240758495790002E-3</v>
      </c>
    </row>
    <row r="557" spans="1:5" ht="16.5">
      <c r="A557" s="36"/>
      <c r="B557" s="96"/>
      <c r="C557" s="54" t="s">
        <v>108</v>
      </c>
      <c r="D557" s="55">
        <v>246</v>
      </c>
      <c r="E557" s="56">
        <v>1.3103227868328999E-2</v>
      </c>
    </row>
    <row r="558" spans="1:5" ht="16.5">
      <c r="A558" s="36"/>
      <c r="B558" s="96"/>
      <c r="C558" s="54" t="s">
        <v>109</v>
      </c>
      <c r="D558" s="55">
        <v>18</v>
      </c>
      <c r="E558" s="56">
        <v>9.5877277085300002E-4</v>
      </c>
    </row>
    <row r="559" spans="1:5" ht="16.5">
      <c r="A559" s="36"/>
      <c r="B559" s="96"/>
      <c r="C559" s="54" t="s">
        <v>110</v>
      </c>
      <c r="D559" s="55">
        <v>69</v>
      </c>
      <c r="E559" s="56">
        <v>3.6752956216039999E-3</v>
      </c>
    </row>
    <row r="560" spans="1:5" ht="16.5">
      <c r="A560" s="36"/>
      <c r="B560" s="96"/>
      <c r="C560" s="54" t="s">
        <v>111</v>
      </c>
      <c r="D560" s="55">
        <v>251</v>
      </c>
      <c r="E560" s="56">
        <v>1.336955363801E-2</v>
      </c>
    </row>
    <row r="561" spans="1:5" ht="16.5">
      <c r="A561" s="36"/>
      <c r="B561" s="96"/>
      <c r="C561" s="54" t="s">
        <v>112</v>
      </c>
      <c r="D561" s="55">
        <v>7</v>
      </c>
      <c r="E561" s="56">
        <v>3.7285607755399997E-4</v>
      </c>
    </row>
    <row r="562" spans="1:5" ht="16.5">
      <c r="A562" s="36"/>
      <c r="B562" s="96"/>
      <c r="C562" s="54" t="s">
        <v>113</v>
      </c>
      <c r="D562" s="55">
        <v>7</v>
      </c>
      <c r="E562" s="56">
        <v>3.7285607755399997E-4</v>
      </c>
    </row>
    <row r="563" spans="1:5" ht="16.5">
      <c r="A563" s="36"/>
      <c r="B563" s="96"/>
      <c r="C563" s="54" t="s">
        <v>114</v>
      </c>
      <c r="D563" s="55">
        <v>3</v>
      </c>
      <c r="E563" s="56">
        <v>1.5979546180899999E-4</v>
      </c>
    </row>
    <row r="564" spans="1:5" ht="16.5">
      <c r="A564" s="36"/>
      <c r="B564" s="96"/>
      <c r="C564" s="54" t="s">
        <v>115</v>
      </c>
      <c r="D564" s="55">
        <v>3</v>
      </c>
      <c r="E564" s="56">
        <v>1.5979546180899999E-4</v>
      </c>
    </row>
    <row r="565" spans="1:5" ht="16.5">
      <c r="A565" s="36"/>
      <c r="B565" s="96"/>
      <c r="C565" s="54" t="s">
        <v>116</v>
      </c>
      <c r="D565" s="55">
        <v>17</v>
      </c>
      <c r="E565" s="56">
        <v>9.0550761691699996E-4</v>
      </c>
    </row>
    <row r="566" spans="1:5" ht="16.5">
      <c r="A566" s="36"/>
      <c r="B566" s="96"/>
      <c r="C566" s="54" t="s">
        <v>117</v>
      </c>
      <c r="D566" s="55">
        <v>47</v>
      </c>
      <c r="E566" s="56">
        <v>2.503462235006E-3</v>
      </c>
    </row>
    <row r="567" spans="1:5" ht="16.5">
      <c r="A567" s="36"/>
      <c r="B567" s="96"/>
      <c r="C567" s="54" t="s">
        <v>118</v>
      </c>
      <c r="D567" s="55">
        <v>3</v>
      </c>
      <c r="E567" s="56">
        <v>1.5979546180899999E-4</v>
      </c>
    </row>
    <row r="568" spans="1:5" ht="16.5">
      <c r="A568" s="36"/>
      <c r="B568" s="96"/>
      <c r="C568" s="54" t="s">
        <v>119</v>
      </c>
      <c r="D568" s="55">
        <v>1</v>
      </c>
      <c r="E568" s="56">
        <v>5.3265153936E-5</v>
      </c>
    </row>
    <row r="569" spans="1:5" ht="16.5">
      <c r="A569" s="36"/>
      <c r="B569" s="96"/>
      <c r="C569" s="54" t="s">
        <v>120</v>
      </c>
      <c r="D569" s="55">
        <v>2</v>
      </c>
      <c r="E569" s="56">
        <v>1.06530307873E-4</v>
      </c>
    </row>
    <row r="570" spans="1:5" ht="16.5">
      <c r="A570" s="36"/>
      <c r="B570" s="97"/>
      <c r="C570" s="65" t="s">
        <v>321</v>
      </c>
      <c r="D570" s="64">
        <v>1034</v>
      </c>
      <c r="E570" s="66">
        <v>5.5076169170129002E-2</v>
      </c>
    </row>
    <row r="571" spans="1:5" ht="16.5">
      <c r="A571" s="36"/>
      <c r="B571" s="95" t="s">
        <v>88</v>
      </c>
      <c r="C571" s="54" t="s">
        <v>103</v>
      </c>
      <c r="D571" s="55">
        <v>3</v>
      </c>
      <c r="E571" s="56">
        <v>1.5979546180899999E-4</v>
      </c>
    </row>
    <row r="572" spans="1:5" ht="16.5">
      <c r="A572" s="36"/>
      <c r="B572" s="96"/>
      <c r="C572" s="54" t="s">
        <v>104</v>
      </c>
      <c r="D572" s="55">
        <v>1</v>
      </c>
      <c r="E572" s="56">
        <v>5.3265153936E-5</v>
      </c>
    </row>
    <row r="573" spans="1:5" ht="16.5">
      <c r="A573" s="36"/>
      <c r="B573" s="96"/>
      <c r="C573" s="54" t="s">
        <v>105</v>
      </c>
      <c r="D573" s="55">
        <v>1</v>
      </c>
      <c r="E573" s="56">
        <v>5.3265153936E-5</v>
      </c>
    </row>
    <row r="574" spans="1:5" ht="16.5">
      <c r="A574" s="36"/>
      <c r="B574" s="96"/>
      <c r="C574" s="54" t="s">
        <v>106</v>
      </c>
      <c r="D574" s="55">
        <v>1</v>
      </c>
      <c r="E574" s="56">
        <v>5.3265153936E-5</v>
      </c>
    </row>
    <row r="575" spans="1:5" ht="16.5">
      <c r="A575" s="36"/>
      <c r="B575" s="96"/>
      <c r="C575" s="54" t="s">
        <v>108</v>
      </c>
      <c r="D575" s="55">
        <v>5</v>
      </c>
      <c r="E575" s="56">
        <v>2.6632576968100001E-4</v>
      </c>
    </row>
    <row r="576" spans="1:5" ht="16.5">
      <c r="A576" s="36"/>
      <c r="B576" s="96"/>
      <c r="C576" s="54" t="s">
        <v>110</v>
      </c>
      <c r="D576" s="55">
        <v>1</v>
      </c>
      <c r="E576" s="56">
        <v>5.3265153936E-5</v>
      </c>
    </row>
    <row r="577" spans="1:5" ht="16.5">
      <c r="A577" s="36"/>
      <c r="B577" s="96"/>
      <c r="C577" s="54" t="s">
        <v>111</v>
      </c>
      <c r="D577" s="55">
        <v>4</v>
      </c>
      <c r="E577" s="56">
        <v>2.1306061574499999E-4</v>
      </c>
    </row>
    <row r="578" spans="1:5" ht="16.5">
      <c r="A578" s="36"/>
      <c r="B578" s="96"/>
      <c r="C578" s="54" t="s">
        <v>117</v>
      </c>
      <c r="D578" s="55">
        <v>3</v>
      </c>
      <c r="E578" s="56">
        <v>1.5979546180899999E-4</v>
      </c>
    </row>
    <row r="579" spans="1:5" ht="16.5">
      <c r="A579" s="36"/>
      <c r="B579" s="97"/>
      <c r="C579" s="65" t="s">
        <v>321</v>
      </c>
      <c r="D579" s="64">
        <v>19</v>
      </c>
      <c r="E579" s="66">
        <v>1.0120379247899999E-3</v>
      </c>
    </row>
    <row r="580" spans="1:5" ht="16.5">
      <c r="A580" s="36"/>
      <c r="B580" s="95" t="s">
        <v>53</v>
      </c>
      <c r="C580" s="54" t="s">
        <v>99</v>
      </c>
      <c r="D580" s="55">
        <v>1</v>
      </c>
      <c r="E580" s="56">
        <v>5.3265153936E-5</v>
      </c>
    </row>
    <row r="581" spans="1:5" ht="16.5">
      <c r="A581" s="36"/>
      <c r="B581" s="96"/>
      <c r="C581" s="54" t="s">
        <v>100</v>
      </c>
      <c r="D581" s="55">
        <v>5</v>
      </c>
      <c r="E581" s="56">
        <v>2.6632576968100001E-4</v>
      </c>
    </row>
    <row r="582" spans="1:5" ht="16.5">
      <c r="A582" s="36"/>
      <c r="B582" s="96"/>
      <c r="C582" s="54" t="s">
        <v>101</v>
      </c>
      <c r="D582" s="55">
        <v>6</v>
      </c>
      <c r="E582" s="56">
        <v>3.1959092361799997E-4</v>
      </c>
    </row>
    <row r="583" spans="1:5" ht="16.5">
      <c r="A583" s="36"/>
      <c r="B583" s="96"/>
      <c r="C583" s="54" t="s">
        <v>102</v>
      </c>
      <c r="D583" s="55">
        <v>15</v>
      </c>
      <c r="E583" s="56">
        <v>7.98977309044E-4</v>
      </c>
    </row>
    <row r="584" spans="1:5" ht="16.5">
      <c r="A584" s="36"/>
      <c r="B584" s="96"/>
      <c r="C584" s="54" t="s">
        <v>103</v>
      </c>
      <c r="D584" s="55">
        <v>56</v>
      </c>
      <c r="E584" s="56">
        <v>2.9828486204329999E-3</v>
      </c>
    </row>
    <row r="585" spans="1:5" ht="16.5">
      <c r="A585" s="36"/>
      <c r="B585" s="96"/>
      <c r="C585" s="54" t="s">
        <v>104</v>
      </c>
      <c r="D585" s="55">
        <v>66</v>
      </c>
      <c r="E585" s="56">
        <v>3.5155001597950001E-3</v>
      </c>
    </row>
    <row r="586" spans="1:5" ht="16.5">
      <c r="A586" s="36"/>
      <c r="B586" s="96"/>
      <c r="C586" s="54" t="s">
        <v>105</v>
      </c>
      <c r="D586" s="55">
        <v>6</v>
      </c>
      <c r="E586" s="56">
        <v>3.1959092361799997E-4</v>
      </c>
    </row>
    <row r="587" spans="1:5" ht="16.5">
      <c r="A587" s="36"/>
      <c r="B587" s="96"/>
      <c r="C587" s="54" t="s">
        <v>106</v>
      </c>
      <c r="D587" s="55">
        <v>8</v>
      </c>
      <c r="E587" s="56">
        <v>4.2612123148999997E-4</v>
      </c>
    </row>
    <row r="588" spans="1:5" ht="16.5">
      <c r="A588" s="36"/>
      <c r="B588" s="96"/>
      <c r="C588" s="54" t="s">
        <v>107</v>
      </c>
      <c r="D588" s="55">
        <v>35</v>
      </c>
      <c r="E588" s="56">
        <v>1.86428038777E-3</v>
      </c>
    </row>
    <row r="589" spans="1:5" ht="16.5">
      <c r="A589" s="36"/>
      <c r="B589" s="96"/>
      <c r="C589" s="54" t="s">
        <v>108</v>
      </c>
      <c r="D589" s="55">
        <v>145</v>
      </c>
      <c r="E589" s="56">
        <v>7.723447320763E-3</v>
      </c>
    </row>
    <row r="590" spans="1:5" ht="16.5">
      <c r="A590" s="36"/>
      <c r="B590" s="96"/>
      <c r="C590" s="54" t="s">
        <v>109</v>
      </c>
      <c r="D590" s="55">
        <v>15</v>
      </c>
      <c r="E590" s="56">
        <v>7.98977309044E-4</v>
      </c>
    </row>
    <row r="591" spans="1:5" ht="16.5">
      <c r="A591" s="36"/>
      <c r="B591" s="96"/>
      <c r="C591" s="54" t="s">
        <v>110</v>
      </c>
      <c r="D591" s="55">
        <v>50</v>
      </c>
      <c r="E591" s="56">
        <v>2.6632576968149998E-3</v>
      </c>
    </row>
    <row r="592" spans="1:5" ht="16.5">
      <c r="A592" s="36"/>
      <c r="B592" s="96"/>
      <c r="C592" s="54" t="s">
        <v>111</v>
      </c>
      <c r="D592" s="55">
        <v>173</v>
      </c>
      <c r="E592" s="56">
        <v>9.2148716309789994E-3</v>
      </c>
    </row>
    <row r="593" spans="1:5" ht="16.5">
      <c r="A593" s="36"/>
      <c r="B593" s="96"/>
      <c r="C593" s="54" t="s">
        <v>112</v>
      </c>
      <c r="D593" s="55">
        <v>2</v>
      </c>
      <c r="E593" s="56">
        <v>1.06530307873E-4</v>
      </c>
    </row>
    <row r="594" spans="1:5" ht="16.5">
      <c r="A594" s="36"/>
      <c r="B594" s="96"/>
      <c r="C594" s="54" t="s">
        <v>113</v>
      </c>
      <c r="D594" s="55">
        <v>1</v>
      </c>
      <c r="E594" s="56">
        <v>5.3265153936E-5</v>
      </c>
    </row>
    <row r="595" spans="1:5" ht="16.5">
      <c r="A595" s="36"/>
      <c r="B595" s="96"/>
      <c r="C595" s="54" t="s">
        <v>114</v>
      </c>
      <c r="D595" s="55">
        <v>2</v>
      </c>
      <c r="E595" s="56">
        <v>1.06530307873E-4</v>
      </c>
    </row>
    <row r="596" spans="1:5" ht="16.5">
      <c r="A596" s="36"/>
      <c r="B596" s="96"/>
      <c r="C596" s="54" t="s">
        <v>116</v>
      </c>
      <c r="D596" s="55">
        <v>14</v>
      </c>
      <c r="E596" s="56">
        <v>7.4571215510799995E-4</v>
      </c>
    </row>
    <row r="597" spans="1:5" ht="16.5">
      <c r="A597" s="36"/>
      <c r="B597" s="96"/>
      <c r="C597" s="54" t="s">
        <v>117</v>
      </c>
      <c r="D597" s="55">
        <v>31</v>
      </c>
      <c r="E597" s="56">
        <v>1.6512197720249999E-3</v>
      </c>
    </row>
    <row r="598" spans="1:5" ht="16.5">
      <c r="A598" s="36"/>
      <c r="B598" s="96"/>
      <c r="C598" s="54" t="s">
        <v>119</v>
      </c>
      <c r="D598" s="55">
        <v>3</v>
      </c>
      <c r="E598" s="56">
        <v>1.5979546180899999E-4</v>
      </c>
    </row>
    <row r="599" spans="1:5" ht="16.5">
      <c r="A599" s="36"/>
      <c r="B599" s="97"/>
      <c r="C599" s="65" t="s">
        <v>321</v>
      </c>
      <c r="D599" s="64">
        <v>634</v>
      </c>
      <c r="E599" s="66">
        <v>3.3770107595610999E-2</v>
      </c>
    </row>
    <row r="600" spans="1:5" ht="16.5">
      <c r="A600" s="36"/>
      <c r="B600" s="95" t="s">
        <v>68</v>
      </c>
      <c r="C600" s="54" t="s">
        <v>97</v>
      </c>
      <c r="D600" s="55">
        <v>1</v>
      </c>
      <c r="E600" s="56">
        <v>5.3265153936E-5</v>
      </c>
    </row>
    <row r="601" spans="1:5" ht="16.5">
      <c r="A601" s="36"/>
      <c r="B601" s="96"/>
      <c r="C601" s="54" t="s">
        <v>98</v>
      </c>
      <c r="D601" s="55">
        <v>1</v>
      </c>
      <c r="E601" s="56">
        <v>5.3265153936E-5</v>
      </c>
    </row>
    <row r="602" spans="1:5" ht="16.5">
      <c r="A602" s="36"/>
      <c r="B602" s="96"/>
      <c r="C602" s="54" t="s">
        <v>100</v>
      </c>
      <c r="D602" s="55">
        <v>2</v>
      </c>
      <c r="E602" s="56">
        <v>1.06530307873E-4</v>
      </c>
    </row>
    <row r="603" spans="1:5" ht="16.5">
      <c r="A603" s="36"/>
      <c r="B603" s="96"/>
      <c r="C603" s="54" t="s">
        <v>101</v>
      </c>
      <c r="D603" s="55">
        <v>2</v>
      </c>
      <c r="E603" s="56">
        <v>1.06530307873E-4</v>
      </c>
    </row>
    <row r="604" spans="1:5" ht="16.5">
      <c r="A604" s="36"/>
      <c r="B604" s="96"/>
      <c r="C604" s="54" t="s">
        <v>102</v>
      </c>
      <c r="D604" s="55">
        <v>2</v>
      </c>
      <c r="E604" s="56">
        <v>1.06530307873E-4</v>
      </c>
    </row>
    <row r="605" spans="1:5" ht="16.5">
      <c r="A605" s="36"/>
      <c r="B605" s="96"/>
      <c r="C605" s="54" t="s">
        <v>103</v>
      </c>
      <c r="D605" s="55">
        <v>9</v>
      </c>
      <c r="E605" s="56">
        <v>4.7938638542699999E-4</v>
      </c>
    </row>
    <row r="606" spans="1:5" ht="16.5">
      <c r="A606" s="36"/>
      <c r="B606" s="96"/>
      <c r="C606" s="54" t="s">
        <v>104</v>
      </c>
      <c r="D606" s="55">
        <v>20</v>
      </c>
      <c r="E606" s="56">
        <v>1.065303078726E-3</v>
      </c>
    </row>
    <row r="607" spans="1:5" ht="16.5">
      <c r="A607" s="36"/>
      <c r="B607" s="96"/>
      <c r="C607" s="54" t="s">
        <v>105</v>
      </c>
      <c r="D607" s="55">
        <v>2</v>
      </c>
      <c r="E607" s="56">
        <v>1.06530307873E-4</v>
      </c>
    </row>
    <row r="608" spans="1:5" ht="16.5">
      <c r="A608" s="36"/>
      <c r="B608" s="96"/>
      <c r="C608" s="54" t="s">
        <v>106</v>
      </c>
      <c r="D608" s="55">
        <v>6</v>
      </c>
      <c r="E608" s="56">
        <v>3.1959092361799997E-4</v>
      </c>
    </row>
    <row r="609" spans="1:5" ht="16.5">
      <c r="A609" s="36"/>
      <c r="B609" s="96"/>
      <c r="C609" s="54" t="s">
        <v>107</v>
      </c>
      <c r="D609" s="55">
        <v>4</v>
      </c>
      <c r="E609" s="56">
        <v>2.1306061574499999E-4</v>
      </c>
    </row>
    <row r="610" spans="1:5" ht="16.5">
      <c r="A610" s="36"/>
      <c r="B610" s="96"/>
      <c r="C610" s="54" t="s">
        <v>108</v>
      </c>
      <c r="D610" s="55">
        <v>41</v>
      </c>
      <c r="E610" s="56">
        <v>2.183871311388E-3</v>
      </c>
    </row>
    <row r="611" spans="1:5" ht="16.5">
      <c r="A611" s="36"/>
      <c r="B611" s="96"/>
      <c r="C611" s="54" t="s">
        <v>109</v>
      </c>
      <c r="D611" s="55">
        <v>2</v>
      </c>
      <c r="E611" s="56">
        <v>1.06530307873E-4</v>
      </c>
    </row>
    <row r="612" spans="1:5" ht="16.5">
      <c r="A612" s="36"/>
      <c r="B612" s="96"/>
      <c r="C612" s="54" t="s">
        <v>110</v>
      </c>
      <c r="D612" s="55">
        <v>12</v>
      </c>
      <c r="E612" s="56">
        <v>6.3918184723599995E-4</v>
      </c>
    </row>
    <row r="613" spans="1:5" ht="16.5">
      <c r="A613" s="36"/>
      <c r="B613" s="96"/>
      <c r="C613" s="54" t="s">
        <v>111</v>
      </c>
      <c r="D613" s="55">
        <v>33</v>
      </c>
      <c r="E613" s="56">
        <v>1.7577500798980001E-3</v>
      </c>
    </row>
    <row r="614" spans="1:5" ht="16.5">
      <c r="A614" s="36"/>
      <c r="B614" s="96"/>
      <c r="C614" s="54" t="s">
        <v>113</v>
      </c>
      <c r="D614" s="55">
        <v>1</v>
      </c>
      <c r="E614" s="56">
        <v>5.3265153936E-5</v>
      </c>
    </row>
    <row r="615" spans="1:5" ht="16.5">
      <c r="A615" s="36"/>
      <c r="B615" s="96"/>
      <c r="C615" s="54" t="s">
        <v>116</v>
      </c>
      <c r="D615" s="55">
        <v>2</v>
      </c>
      <c r="E615" s="56">
        <v>1.06530307873E-4</v>
      </c>
    </row>
    <row r="616" spans="1:5" ht="16.5">
      <c r="A616" s="36"/>
      <c r="B616" s="96"/>
      <c r="C616" s="54" t="s">
        <v>117</v>
      </c>
      <c r="D616" s="55">
        <v>7</v>
      </c>
      <c r="E616" s="56">
        <v>3.7285607755399997E-4</v>
      </c>
    </row>
    <row r="617" spans="1:5" ht="16.5">
      <c r="A617" s="36"/>
      <c r="B617" s="97"/>
      <c r="C617" s="65" t="s">
        <v>321</v>
      </c>
      <c r="D617" s="64">
        <v>147</v>
      </c>
      <c r="E617" s="66">
        <v>7.8299776286350001E-3</v>
      </c>
    </row>
    <row r="618" spans="1:5" ht="16.5">
      <c r="A618" s="36"/>
      <c r="B618" s="95" t="s">
        <v>72</v>
      </c>
      <c r="C618" s="54" t="s">
        <v>97</v>
      </c>
      <c r="D618" s="55">
        <v>1</v>
      </c>
      <c r="E618" s="56">
        <v>5.3265153936E-5</v>
      </c>
    </row>
    <row r="619" spans="1:5" ht="16.5">
      <c r="A619" s="36"/>
      <c r="B619" s="96"/>
      <c r="C619" s="54" t="s">
        <v>99</v>
      </c>
      <c r="D619" s="55">
        <v>1</v>
      </c>
      <c r="E619" s="56">
        <v>5.3265153936E-5</v>
      </c>
    </row>
    <row r="620" spans="1:5" ht="16.5">
      <c r="A620" s="36"/>
      <c r="B620" s="96"/>
      <c r="C620" s="54" t="s">
        <v>101</v>
      </c>
      <c r="D620" s="55">
        <v>1</v>
      </c>
      <c r="E620" s="56">
        <v>5.3265153936E-5</v>
      </c>
    </row>
    <row r="621" spans="1:5" ht="16.5">
      <c r="A621" s="36"/>
      <c r="B621" s="96"/>
      <c r="C621" s="54" t="s">
        <v>102</v>
      </c>
      <c r="D621" s="55">
        <v>1</v>
      </c>
      <c r="E621" s="56">
        <v>5.3265153936E-5</v>
      </c>
    </row>
    <row r="622" spans="1:5" ht="16.5">
      <c r="A622" s="36"/>
      <c r="B622" s="96"/>
      <c r="C622" s="54" t="s">
        <v>103</v>
      </c>
      <c r="D622" s="55">
        <v>5</v>
      </c>
      <c r="E622" s="56">
        <v>2.6632576968100001E-4</v>
      </c>
    </row>
    <row r="623" spans="1:5" ht="16.5">
      <c r="A623" s="36"/>
      <c r="B623" s="96"/>
      <c r="C623" s="54" t="s">
        <v>104</v>
      </c>
      <c r="D623" s="55">
        <v>8</v>
      </c>
      <c r="E623" s="56">
        <v>4.2612123148999997E-4</v>
      </c>
    </row>
    <row r="624" spans="1:5" ht="16.5">
      <c r="A624" s="36"/>
      <c r="B624" s="96"/>
      <c r="C624" s="54" t="s">
        <v>105</v>
      </c>
      <c r="D624" s="55">
        <v>1</v>
      </c>
      <c r="E624" s="56">
        <v>5.3265153936E-5</v>
      </c>
    </row>
    <row r="625" spans="1:5" ht="16.5">
      <c r="A625" s="36"/>
      <c r="B625" s="96"/>
      <c r="C625" s="54" t="s">
        <v>106</v>
      </c>
      <c r="D625" s="55">
        <v>1</v>
      </c>
      <c r="E625" s="56">
        <v>5.3265153936E-5</v>
      </c>
    </row>
    <row r="626" spans="1:5" ht="16.5">
      <c r="A626" s="36"/>
      <c r="B626" s="96"/>
      <c r="C626" s="54" t="s">
        <v>107</v>
      </c>
      <c r="D626" s="55">
        <v>6</v>
      </c>
      <c r="E626" s="56">
        <v>3.1959092361799997E-4</v>
      </c>
    </row>
    <row r="627" spans="1:5" ht="16.5">
      <c r="A627" s="36"/>
      <c r="B627" s="96"/>
      <c r="C627" s="54" t="s">
        <v>108</v>
      </c>
      <c r="D627" s="55">
        <v>16</v>
      </c>
      <c r="E627" s="56">
        <v>8.5224246298100002E-4</v>
      </c>
    </row>
    <row r="628" spans="1:5" ht="16.5">
      <c r="A628" s="36"/>
      <c r="B628" s="96"/>
      <c r="C628" s="54" t="s">
        <v>109</v>
      </c>
      <c r="D628" s="55">
        <v>3</v>
      </c>
      <c r="E628" s="56">
        <v>1.5979546180899999E-4</v>
      </c>
    </row>
    <row r="629" spans="1:5" ht="16.5">
      <c r="A629" s="36"/>
      <c r="B629" s="96"/>
      <c r="C629" s="54" t="s">
        <v>110</v>
      </c>
      <c r="D629" s="55">
        <v>2</v>
      </c>
      <c r="E629" s="56">
        <v>1.06530307873E-4</v>
      </c>
    </row>
    <row r="630" spans="1:5" ht="16.5">
      <c r="A630" s="36"/>
      <c r="B630" s="96"/>
      <c r="C630" s="54" t="s">
        <v>111</v>
      </c>
      <c r="D630" s="55">
        <v>28</v>
      </c>
      <c r="E630" s="56">
        <v>1.4914243102159999E-3</v>
      </c>
    </row>
    <row r="631" spans="1:5" ht="16.5">
      <c r="A631" s="36"/>
      <c r="B631" s="96"/>
      <c r="C631" s="54" t="s">
        <v>112</v>
      </c>
      <c r="D631" s="55">
        <v>1</v>
      </c>
      <c r="E631" s="56">
        <v>5.3265153936E-5</v>
      </c>
    </row>
    <row r="632" spans="1:5" ht="16.5">
      <c r="A632" s="36"/>
      <c r="B632" s="96"/>
      <c r="C632" s="54" t="s">
        <v>116</v>
      </c>
      <c r="D632" s="55">
        <v>3</v>
      </c>
      <c r="E632" s="56">
        <v>1.5979546180899999E-4</v>
      </c>
    </row>
    <row r="633" spans="1:5" ht="16.5">
      <c r="A633" s="36"/>
      <c r="B633" s="96"/>
      <c r="C633" s="54" t="s">
        <v>117</v>
      </c>
      <c r="D633" s="55">
        <v>7</v>
      </c>
      <c r="E633" s="56">
        <v>3.7285607755399997E-4</v>
      </c>
    </row>
    <row r="634" spans="1:5" ht="16.5">
      <c r="A634" s="36"/>
      <c r="B634" s="97"/>
      <c r="C634" s="65" t="s">
        <v>321</v>
      </c>
      <c r="D634" s="64">
        <v>85</v>
      </c>
      <c r="E634" s="66">
        <v>4.5275380845849998E-3</v>
      </c>
    </row>
    <row r="635" spans="1:5" ht="16.5">
      <c r="A635" s="36"/>
      <c r="B635" s="95" t="s">
        <v>59</v>
      </c>
      <c r="C635" s="54" t="s">
        <v>97</v>
      </c>
      <c r="D635" s="55">
        <v>3</v>
      </c>
      <c r="E635" s="56">
        <v>1.5979546180899999E-4</v>
      </c>
    </row>
    <row r="636" spans="1:5" ht="16.5">
      <c r="A636" s="36"/>
      <c r="B636" s="96"/>
      <c r="C636" s="54" t="s">
        <v>99</v>
      </c>
      <c r="D636" s="55">
        <v>2</v>
      </c>
      <c r="E636" s="56">
        <v>1.06530307873E-4</v>
      </c>
    </row>
    <row r="637" spans="1:5" ht="16.5">
      <c r="A637" s="36"/>
      <c r="B637" s="96"/>
      <c r="C637" s="54" t="s">
        <v>100</v>
      </c>
      <c r="D637" s="55">
        <v>1</v>
      </c>
      <c r="E637" s="56">
        <v>5.3265153936E-5</v>
      </c>
    </row>
    <row r="638" spans="1:5" ht="16.5">
      <c r="A638" s="36"/>
      <c r="B638" s="96"/>
      <c r="C638" s="54" t="s">
        <v>101</v>
      </c>
      <c r="D638" s="55">
        <v>1</v>
      </c>
      <c r="E638" s="56">
        <v>5.3265153936E-5</v>
      </c>
    </row>
    <row r="639" spans="1:5" ht="16.5">
      <c r="A639" s="36"/>
      <c r="B639" s="96"/>
      <c r="C639" s="54" t="s">
        <v>102</v>
      </c>
      <c r="D639" s="55">
        <v>1</v>
      </c>
      <c r="E639" s="56">
        <v>5.3265153936E-5</v>
      </c>
    </row>
    <row r="640" spans="1:5" ht="16.5">
      <c r="A640" s="36"/>
      <c r="B640" s="96"/>
      <c r="C640" s="54" t="s">
        <v>103</v>
      </c>
      <c r="D640" s="55">
        <v>2</v>
      </c>
      <c r="E640" s="56">
        <v>1.06530307873E-4</v>
      </c>
    </row>
    <row r="641" spans="1:5" ht="16.5">
      <c r="A641" s="36"/>
      <c r="B641" s="96"/>
      <c r="C641" s="54" t="s">
        <v>104</v>
      </c>
      <c r="D641" s="55">
        <v>20</v>
      </c>
      <c r="E641" s="56">
        <v>1.065303078726E-3</v>
      </c>
    </row>
    <row r="642" spans="1:5" ht="16.5">
      <c r="A642" s="36"/>
      <c r="B642" s="96"/>
      <c r="C642" s="54" t="s">
        <v>105</v>
      </c>
      <c r="D642" s="55">
        <v>1</v>
      </c>
      <c r="E642" s="56">
        <v>5.3265153936E-5</v>
      </c>
    </row>
    <row r="643" spans="1:5" ht="16.5">
      <c r="A643" s="36"/>
      <c r="B643" s="96"/>
      <c r="C643" s="54" t="s">
        <v>107</v>
      </c>
      <c r="D643" s="55">
        <v>5</v>
      </c>
      <c r="E643" s="56">
        <v>2.6632576968100001E-4</v>
      </c>
    </row>
    <row r="644" spans="1:5" ht="16.5">
      <c r="A644" s="36"/>
      <c r="B644" s="96"/>
      <c r="C644" s="54" t="s">
        <v>108</v>
      </c>
      <c r="D644" s="55">
        <v>70</v>
      </c>
      <c r="E644" s="56">
        <v>3.728560775541E-3</v>
      </c>
    </row>
    <row r="645" spans="1:5" ht="16.5">
      <c r="A645" s="36"/>
      <c r="B645" s="96"/>
      <c r="C645" s="54" t="s">
        <v>109</v>
      </c>
      <c r="D645" s="55">
        <v>5</v>
      </c>
      <c r="E645" s="56">
        <v>2.6632576968100001E-4</v>
      </c>
    </row>
    <row r="646" spans="1:5" ht="16.5">
      <c r="A646" s="36"/>
      <c r="B646" s="96"/>
      <c r="C646" s="54" t="s">
        <v>110</v>
      </c>
      <c r="D646" s="55">
        <v>15</v>
      </c>
      <c r="E646" s="56">
        <v>7.98977309044E-4</v>
      </c>
    </row>
    <row r="647" spans="1:5" ht="16.5">
      <c r="A647" s="36"/>
      <c r="B647" s="96"/>
      <c r="C647" s="54" t="s">
        <v>111</v>
      </c>
      <c r="D647" s="55">
        <v>56</v>
      </c>
      <c r="E647" s="56">
        <v>2.9828486204329999E-3</v>
      </c>
    </row>
    <row r="648" spans="1:5" ht="16.5">
      <c r="A648" s="36"/>
      <c r="B648" s="96"/>
      <c r="C648" s="54" t="s">
        <v>112</v>
      </c>
      <c r="D648" s="55">
        <v>1</v>
      </c>
      <c r="E648" s="56">
        <v>5.3265153936E-5</v>
      </c>
    </row>
    <row r="649" spans="1:5" ht="16.5">
      <c r="A649" s="36"/>
      <c r="B649" s="96"/>
      <c r="C649" s="54" t="s">
        <v>113</v>
      </c>
      <c r="D649" s="55">
        <v>5</v>
      </c>
      <c r="E649" s="56">
        <v>2.6632576968100001E-4</v>
      </c>
    </row>
    <row r="650" spans="1:5" ht="16.5">
      <c r="A650" s="36"/>
      <c r="B650" s="96"/>
      <c r="C650" s="54" t="s">
        <v>116</v>
      </c>
      <c r="D650" s="55">
        <v>3</v>
      </c>
      <c r="E650" s="56">
        <v>1.5979546180899999E-4</v>
      </c>
    </row>
    <row r="651" spans="1:5" ht="16.5">
      <c r="A651" s="36"/>
      <c r="B651" s="96"/>
      <c r="C651" s="54" t="s">
        <v>117</v>
      </c>
      <c r="D651" s="55">
        <v>13</v>
      </c>
      <c r="E651" s="56">
        <v>6.92447001172E-4</v>
      </c>
    </row>
    <row r="652" spans="1:5" ht="16.5">
      <c r="A652" s="36"/>
      <c r="B652" s="97"/>
      <c r="C652" s="65" t="s">
        <v>321</v>
      </c>
      <c r="D652" s="64">
        <v>204</v>
      </c>
      <c r="E652" s="66">
        <v>1.0866091403004E-2</v>
      </c>
    </row>
    <row r="653" spans="1:5" ht="16.5">
      <c r="A653" s="36"/>
      <c r="B653" s="95" t="s">
        <v>58</v>
      </c>
      <c r="C653" s="54" t="s">
        <v>97</v>
      </c>
      <c r="D653" s="55">
        <v>2</v>
      </c>
      <c r="E653" s="56">
        <v>1.06530307873E-4</v>
      </c>
    </row>
    <row r="654" spans="1:5" ht="16.5">
      <c r="A654" s="36"/>
      <c r="B654" s="96"/>
      <c r="C654" s="54" t="s">
        <v>100</v>
      </c>
      <c r="D654" s="55">
        <v>2</v>
      </c>
      <c r="E654" s="56">
        <v>1.06530307873E-4</v>
      </c>
    </row>
    <row r="655" spans="1:5" ht="16.5">
      <c r="A655" s="36"/>
      <c r="B655" s="96"/>
      <c r="C655" s="54" t="s">
        <v>101</v>
      </c>
      <c r="D655" s="55">
        <v>1</v>
      </c>
      <c r="E655" s="56">
        <v>5.3265153936E-5</v>
      </c>
    </row>
    <row r="656" spans="1:5" ht="16.5">
      <c r="A656" s="36"/>
      <c r="B656" s="96"/>
      <c r="C656" s="54" t="s">
        <v>102</v>
      </c>
      <c r="D656" s="55">
        <v>3</v>
      </c>
      <c r="E656" s="56">
        <v>1.5979546180899999E-4</v>
      </c>
    </row>
    <row r="657" spans="1:5" ht="16.5">
      <c r="A657" s="36"/>
      <c r="B657" s="96"/>
      <c r="C657" s="54" t="s">
        <v>103</v>
      </c>
      <c r="D657" s="55">
        <v>21</v>
      </c>
      <c r="E657" s="56">
        <v>1.118568232662E-3</v>
      </c>
    </row>
    <row r="658" spans="1:5" ht="16.5">
      <c r="A658" s="36"/>
      <c r="B658" s="96"/>
      <c r="C658" s="54" t="s">
        <v>104</v>
      </c>
      <c r="D658" s="55">
        <v>32</v>
      </c>
      <c r="E658" s="56">
        <v>1.704484925961E-3</v>
      </c>
    </row>
    <row r="659" spans="1:5" ht="16.5">
      <c r="A659" s="36"/>
      <c r="B659" s="96"/>
      <c r="C659" s="54" t="s">
        <v>105</v>
      </c>
      <c r="D659" s="55">
        <v>3</v>
      </c>
      <c r="E659" s="56">
        <v>1.5979546180899999E-4</v>
      </c>
    </row>
    <row r="660" spans="1:5" ht="16.5">
      <c r="A660" s="36"/>
      <c r="B660" s="96"/>
      <c r="C660" s="54" t="s">
        <v>106</v>
      </c>
      <c r="D660" s="55">
        <v>6</v>
      </c>
      <c r="E660" s="56">
        <v>3.1959092361799997E-4</v>
      </c>
    </row>
    <row r="661" spans="1:5" ht="16.5">
      <c r="A661" s="36"/>
      <c r="B661" s="96"/>
      <c r="C661" s="54" t="s">
        <v>107</v>
      </c>
      <c r="D661" s="55">
        <v>15</v>
      </c>
      <c r="E661" s="56">
        <v>7.98977309044E-4</v>
      </c>
    </row>
    <row r="662" spans="1:5" ht="16.5">
      <c r="A662" s="36"/>
      <c r="B662" s="96"/>
      <c r="C662" s="54" t="s">
        <v>108</v>
      </c>
      <c r="D662" s="55">
        <v>86</v>
      </c>
      <c r="E662" s="56">
        <v>4.5808032385210003E-3</v>
      </c>
    </row>
    <row r="663" spans="1:5" ht="16.5">
      <c r="A663" s="36"/>
      <c r="B663" s="96"/>
      <c r="C663" s="54" t="s">
        <v>109</v>
      </c>
      <c r="D663" s="55">
        <v>2</v>
      </c>
      <c r="E663" s="56">
        <v>1.06530307873E-4</v>
      </c>
    </row>
    <row r="664" spans="1:5" ht="16.5">
      <c r="A664" s="36"/>
      <c r="B664" s="96"/>
      <c r="C664" s="54" t="s">
        <v>110</v>
      </c>
      <c r="D664" s="55">
        <v>13</v>
      </c>
      <c r="E664" s="56">
        <v>6.92447001172E-4</v>
      </c>
    </row>
    <row r="665" spans="1:5" ht="16.5">
      <c r="A665" s="36"/>
      <c r="B665" s="96"/>
      <c r="C665" s="54" t="s">
        <v>111</v>
      </c>
      <c r="D665" s="55">
        <v>71</v>
      </c>
      <c r="E665" s="56">
        <v>3.7818259294770001E-3</v>
      </c>
    </row>
    <row r="666" spans="1:5" ht="16.5">
      <c r="A666" s="36"/>
      <c r="B666" s="96"/>
      <c r="C666" s="54" t="s">
        <v>113</v>
      </c>
      <c r="D666" s="55">
        <v>1</v>
      </c>
      <c r="E666" s="56">
        <v>5.3265153936E-5</v>
      </c>
    </row>
    <row r="667" spans="1:5" ht="16.5">
      <c r="A667" s="36"/>
      <c r="B667" s="96"/>
      <c r="C667" s="54" t="s">
        <v>116</v>
      </c>
      <c r="D667" s="55">
        <v>6</v>
      </c>
      <c r="E667" s="56">
        <v>3.1959092361799997E-4</v>
      </c>
    </row>
    <row r="668" spans="1:5" ht="16.5">
      <c r="A668" s="36"/>
      <c r="B668" s="96"/>
      <c r="C668" s="54" t="s">
        <v>117</v>
      </c>
      <c r="D668" s="55">
        <v>21</v>
      </c>
      <c r="E668" s="56">
        <v>1.118568232662E-3</v>
      </c>
    </row>
    <row r="669" spans="1:5" ht="16.5">
      <c r="A669" s="36"/>
      <c r="B669" s="97"/>
      <c r="C669" s="65" t="s">
        <v>321</v>
      </c>
      <c r="D669" s="64">
        <v>285</v>
      </c>
      <c r="E669" s="66">
        <v>1.5180568871844E-2</v>
      </c>
    </row>
    <row r="670" spans="1:5" ht="16.5">
      <c r="A670" s="36"/>
      <c r="B670" s="95" t="s">
        <v>60</v>
      </c>
      <c r="C670" s="54" t="s">
        <v>101</v>
      </c>
      <c r="D670" s="55">
        <v>1</v>
      </c>
      <c r="E670" s="56">
        <v>5.3265153936E-5</v>
      </c>
    </row>
    <row r="671" spans="1:5" ht="16.5">
      <c r="A671" s="36"/>
      <c r="B671" s="96"/>
      <c r="C671" s="54" t="s">
        <v>103</v>
      </c>
      <c r="D671" s="55">
        <v>20</v>
      </c>
      <c r="E671" s="56">
        <v>1.065303078726E-3</v>
      </c>
    </row>
    <row r="672" spans="1:5" ht="16.5">
      <c r="A672" s="36"/>
      <c r="B672" s="96"/>
      <c r="C672" s="54" t="s">
        <v>104</v>
      </c>
      <c r="D672" s="55">
        <v>11</v>
      </c>
      <c r="E672" s="56">
        <v>5.8591669329900004E-4</v>
      </c>
    </row>
    <row r="673" spans="1:5" ht="16.5">
      <c r="A673" s="36"/>
      <c r="B673" s="96"/>
      <c r="C673" s="54" t="s">
        <v>106</v>
      </c>
      <c r="D673" s="55">
        <v>3</v>
      </c>
      <c r="E673" s="56">
        <v>1.5979546180899999E-4</v>
      </c>
    </row>
    <row r="674" spans="1:5" ht="16.5">
      <c r="A674" s="36"/>
      <c r="B674" s="96"/>
      <c r="C674" s="54" t="s">
        <v>107</v>
      </c>
      <c r="D674" s="55">
        <v>4</v>
      </c>
      <c r="E674" s="56">
        <v>2.1306061574499999E-4</v>
      </c>
    </row>
    <row r="675" spans="1:5" ht="16.5">
      <c r="A675" s="36"/>
      <c r="B675" s="96"/>
      <c r="C675" s="54" t="s">
        <v>108</v>
      </c>
      <c r="D675" s="55">
        <v>28</v>
      </c>
      <c r="E675" s="56">
        <v>1.4914243102159999E-3</v>
      </c>
    </row>
    <row r="676" spans="1:5" ht="16.5">
      <c r="A676" s="36"/>
      <c r="B676" s="96"/>
      <c r="C676" s="54" t="s">
        <v>109</v>
      </c>
      <c r="D676" s="55">
        <v>7</v>
      </c>
      <c r="E676" s="56">
        <v>3.7285607755399997E-4</v>
      </c>
    </row>
    <row r="677" spans="1:5" ht="16.5">
      <c r="A677" s="36"/>
      <c r="B677" s="96"/>
      <c r="C677" s="54" t="s">
        <v>110</v>
      </c>
      <c r="D677" s="55">
        <v>11</v>
      </c>
      <c r="E677" s="56">
        <v>5.8591669329900004E-4</v>
      </c>
    </row>
    <row r="678" spans="1:5" ht="16.5">
      <c r="A678" s="36"/>
      <c r="B678" s="96"/>
      <c r="C678" s="54" t="s">
        <v>111</v>
      </c>
      <c r="D678" s="55">
        <v>49</v>
      </c>
      <c r="E678" s="56">
        <v>2.6099925428780001E-3</v>
      </c>
    </row>
    <row r="679" spans="1:5" ht="16.5">
      <c r="A679" s="36"/>
      <c r="B679" s="96"/>
      <c r="C679" s="54" t="s">
        <v>113</v>
      </c>
      <c r="D679" s="55">
        <v>3</v>
      </c>
      <c r="E679" s="56">
        <v>1.5979546180899999E-4</v>
      </c>
    </row>
    <row r="680" spans="1:5" ht="16.5">
      <c r="A680" s="36"/>
      <c r="B680" s="96"/>
      <c r="C680" s="54" t="s">
        <v>115</v>
      </c>
      <c r="D680" s="55">
        <v>1</v>
      </c>
      <c r="E680" s="56">
        <v>5.3265153936E-5</v>
      </c>
    </row>
    <row r="681" spans="1:5" ht="16.5">
      <c r="A681" s="36"/>
      <c r="B681" s="96"/>
      <c r="C681" s="54" t="s">
        <v>116</v>
      </c>
      <c r="D681" s="55">
        <v>5</v>
      </c>
      <c r="E681" s="56">
        <v>2.6632576968100001E-4</v>
      </c>
    </row>
    <row r="682" spans="1:5" ht="16.5">
      <c r="A682" s="36"/>
      <c r="B682" s="96"/>
      <c r="C682" s="54" t="s">
        <v>117</v>
      </c>
      <c r="D682" s="55">
        <v>9</v>
      </c>
      <c r="E682" s="56">
        <v>4.7938638542699999E-4</v>
      </c>
    </row>
    <row r="683" spans="1:5" ht="16.5">
      <c r="A683" s="36"/>
      <c r="B683" s="96"/>
      <c r="C683" s="54" t="s">
        <v>119</v>
      </c>
      <c r="D683" s="55">
        <v>1</v>
      </c>
      <c r="E683" s="56">
        <v>5.3265153936E-5</v>
      </c>
    </row>
    <row r="684" spans="1:5" ht="16.5">
      <c r="A684" s="36"/>
      <c r="B684" s="97"/>
      <c r="C684" s="65" t="s">
        <v>321</v>
      </c>
      <c r="D684" s="64">
        <v>153</v>
      </c>
      <c r="E684" s="66">
        <v>8.1495685522529997E-3</v>
      </c>
    </row>
    <row r="685" spans="1:5" ht="16.5">
      <c r="A685" s="36"/>
      <c r="B685" s="95" t="s">
        <v>64</v>
      </c>
      <c r="C685" s="54" t="s">
        <v>97</v>
      </c>
      <c r="D685" s="55">
        <v>1</v>
      </c>
      <c r="E685" s="56">
        <v>5.3265153936E-5</v>
      </c>
    </row>
    <row r="686" spans="1:5" ht="16.5">
      <c r="A686" s="36"/>
      <c r="B686" s="96"/>
      <c r="C686" s="54" t="s">
        <v>98</v>
      </c>
      <c r="D686" s="55">
        <v>1</v>
      </c>
      <c r="E686" s="56">
        <v>5.3265153936E-5</v>
      </c>
    </row>
    <row r="687" spans="1:5" ht="16.5">
      <c r="A687" s="36"/>
      <c r="B687" s="96"/>
      <c r="C687" s="54" t="s">
        <v>100</v>
      </c>
      <c r="D687" s="55">
        <v>3</v>
      </c>
      <c r="E687" s="56">
        <v>1.5979546180899999E-4</v>
      </c>
    </row>
    <row r="688" spans="1:5" ht="16.5">
      <c r="A688" s="36"/>
      <c r="B688" s="96"/>
      <c r="C688" s="54" t="s">
        <v>101</v>
      </c>
      <c r="D688" s="55">
        <v>2</v>
      </c>
      <c r="E688" s="56">
        <v>1.06530307873E-4</v>
      </c>
    </row>
    <row r="689" spans="1:5" ht="16.5">
      <c r="A689" s="36"/>
      <c r="B689" s="96"/>
      <c r="C689" s="54" t="s">
        <v>103</v>
      </c>
      <c r="D689" s="55">
        <v>21</v>
      </c>
      <c r="E689" s="56">
        <v>1.118568232662E-3</v>
      </c>
    </row>
    <row r="690" spans="1:5" ht="16.5">
      <c r="A690" s="36"/>
      <c r="B690" s="96"/>
      <c r="C690" s="54" t="s">
        <v>104</v>
      </c>
      <c r="D690" s="55">
        <v>18</v>
      </c>
      <c r="E690" s="56">
        <v>9.5877277085300002E-4</v>
      </c>
    </row>
    <row r="691" spans="1:5" ht="16.5">
      <c r="A691" s="36"/>
      <c r="B691" s="96"/>
      <c r="C691" s="54" t="s">
        <v>105</v>
      </c>
      <c r="D691" s="55">
        <v>4</v>
      </c>
      <c r="E691" s="56">
        <v>2.1306061574499999E-4</v>
      </c>
    </row>
    <row r="692" spans="1:5" ht="16.5">
      <c r="A692" s="36"/>
      <c r="B692" s="96"/>
      <c r="C692" s="54" t="s">
        <v>106</v>
      </c>
      <c r="D692" s="55">
        <v>4</v>
      </c>
      <c r="E692" s="56">
        <v>2.1306061574499999E-4</v>
      </c>
    </row>
    <row r="693" spans="1:5" ht="16.5">
      <c r="A693" s="36"/>
      <c r="B693" s="96"/>
      <c r="C693" s="54" t="s">
        <v>107</v>
      </c>
      <c r="D693" s="55">
        <v>10</v>
      </c>
      <c r="E693" s="56">
        <v>5.3265153936299999E-4</v>
      </c>
    </row>
    <row r="694" spans="1:5" ht="16.5">
      <c r="A694" s="36"/>
      <c r="B694" s="96"/>
      <c r="C694" s="54" t="s">
        <v>108</v>
      </c>
      <c r="D694" s="55">
        <v>38</v>
      </c>
      <c r="E694" s="56">
        <v>2.0240758495790002E-3</v>
      </c>
    </row>
    <row r="695" spans="1:5" ht="16.5">
      <c r="A695" s="36"/>
      <c r="B695" s="96"/>
      <c r="C695" s="54" t="s">
        <v>109</v>
      </c>
      <c r="D695" s="55">
        <v>8</v>
      </c>
      <c r="E695" s="56">
        <v>4.2612123148999997E-4</v>
      </c>
    </row>
    <row r="696" spans="1:5" ht="16.5">
      <c r="A696" s="36"/>
      <c r="B696" s="96"/>
      <c r="C696" s="54" t="s">
        <v>110</v>
      </c>
      <c r="D696" s="55">
        <v>12</v>
      </c>
      <c r="E696" s="56">
        <v>6.3918184723599995E-4</v>
      </c>
    </row>
    <row r="697" spans="1:5" ht="16.5">
      <c r="A697" s="36"/>
      <c r="B697" s="96"/>
      <c r="C697" s="54" t="s">
        <v>111</v>
      </c>
      <c r="D697" s="55">
        <v>51</v>
      </c>
      <c r="E697" s="56">
        <v>2.7165228507509999E-3</v>
      </c>
    </row>
    <row r="698" spans="1:5" ht="16.5">
      <c r="A698" s="36"/>
      <c r="B698" s="96"/>
      <c r="C698" s="54" t="s">
        <v>112</v>
      </c>
      <c r="D698" s="55">
        <v>4</v>
      </c>
      <c r="E698" s="56">
        <v>2.1306061574499999E-4</v>
      </c>
    </row>
    <row r="699" spans="1:5" ht="16.5">
      <c r="A699" s="36"/>
      <c r="B699" s="96"/>
      <c r="C699" s="54" t="s">
        <v>113</v>
      </c>
      <c r="D699" s="55">
        <v>1</v>
      </c>
      <c r="E699" s="56">
        <v>5.3265153936E-5</v>
      </c>
    </row>
    <row r="700" spans="1:5" ht="16.5">
      <c r="A700" s="36"/>
      <c r="B700" s="96"/>
      <c r="C700" s="54" t="s">
        <v>116</v>
      </c>
      <c r="D700" s="55">
        <v>6</v>
      </c>
      <c r="E700" s="56">
        <v>3.1959092361799997E-4</v>
      </c>
    </row>
    <row r="701" spans="1:5" ht="16.5">
      <c r="A701" s="36"/>
      <c r="B701" s="96"/>
      <c r="C701" s="54" t="s">
        <v>117</v>
      </c>
      <c r="D701" s="55">
        <v>3</v>
      </c>
      <c r="E701" s="56">
        <v>1.5979546180899999E-4</v>
      </c>
    </row>
    <row r="702" spans="1:5" ht="16.5">
      <c r="A702" s="36"/>
      <c r="B702" s="97"/>
      <c r="C702" s="65" t="s">
        <v>321</v>
      </c>
      <c r="D702" s="64">
        <v>187</v>
      </c>
      <c r="E702" s="66">
        <v>9.9605837860869996E-3</v>
      </c>
    </row>
    <row r="703" spans="1:5" ht="16.5">
      <c r="A703" s="36"/>
      <c r="B703" s="95" t="s">
        <v>81</v>
      </c>
      <c r="C703" s="54" t="s">
        <v>100</v>
      </c>
      <c r="D703" s="55">
        <v>2</v>
      </c>
      <c r="E703" s="56">
        <v>1.06530307873E-4</v>
      </c>
    </row>
    <row r="704" spans="1:5" ht="16.5">
      <c r="A704" s="36"/>
      <c r="B704" s="96"/>
      <c r="C704" s="54" t="s">
        <v>102</v>
      </c>
      <c r="D704" s="55">
        <v>2</v>
      </c>
      <c r="E704" s="56">
        <v>1.06530307873E-4</v>
      </c>
    </row>
    <row r="705" spans="1:5" ht="16.5">
      <c r="A705" s="36"/>
      <c r="B705" s="96"/>
      <c r="C705" s="54" t="s">
        <v>103</v>
      </c>
      <c r="D705" s="55">
        <v>1</v>
      </c>
      <c r="E705" s="56">
        <v>5.3265153936E-5</v>
      </c>
    </row>
    <row r="706" spans="1:5" ht="16.5">
      <c r="A706" s="36"/>
      <c r="B706" s="96"/>
      <c r="C706" s="54" t="s">
        <v>104</v>
      </c>
      <c r="D706" s="55">
        <v>4</v>
      </c>
      <c r="E706" s="56">
        <v>2.1306061574499999E-4</v>
      </c>
    </row>
    <row r="707" spans="1:5" ht="16.5">
      <c r="A707" s="36"/>
      <c r="B707" s="96"/>
      <c r="C707" s="54" t="s">
        <v>105</v>
      </c>
      <c r="D707" s="55">
        <v>1</v>
      </c>
      <c r="E707" s="56">
        <v>5.3265153936E-5</v>
      </c>
    </row>
    <row r="708" spans="1:5" ht="16.5">
      <c r="A708" s="36"/>
      <c r="B708" s="96"/>
      <c r="C708" s="54" t="s">
        <v>106</v>
      </c>
      <c r="D708" s="55">
        <v>1</v>
      </c>
      <c r="E708" s="56">
        <v>5.3265153936E-5</v>
      </c>
    </row>
    <row r="709" spans="1:5" ht="16.5">
      <c r="A709" s="36"/>
      <c r="B709" s="96"/>
      <c r="C709" s="54" t="s">
        <v>108</v>
      </c>
      <c r="D709" s="55">
        <v>20</v>
      </c>
      <c r="E709" s="56">
        <v>1.065303078726E-3</v>
      </c>
    </row>
    <row r="710" spans="1:5" ht="16.5">
      <c r="A710" s="36"/>
      <c r="B710" s="96"/>
      <c r="C710" s="54" t="s">
        <v>109</v>
      </c>
      <c r="D710" s="55">
        <v>2</v>
      </c>
      <c r="E710" s="56">
        <v>1.06530307873E-4</v>
      </c>
    </row>
    <row r="711" spans="1:5" ht="16.5">
      <c r="A711" s="36"/>
      <c r="B711" s="96"/>
      <c r="C711" s="54" t="s">
        <v>110</v>
      </c>
      <c r="D711" s="55">
        <v>3</v>
      </c>
      <c r="E711" s="56">
        <v>1.5979546180899999E-4</v>
      </c>
    </row>
    <row r="712" spans="1:5" ht="16.5">
      <c r="A712" s="36"/>
      <c r="B712" s="96"/>
      <c r="C712" s="54" t="s">
        <v>111</v>
      </c>
      <c r="D712" s="55">
        <v>18</v>
      </c>
      <c r="E712" s="56">
        <v>9.5877277085300002E-4</v>
      </c>
    </row>
    <row r="713" spans="1:5" ht="16.5">
      <c r="A713" s="36"/>
      <c r="B713" s="96"/>
      <c r="C713" s="54" t="s">
        <v>112</v>
      </c>
      <c r="D713" s="55">
        <v>2</v>
      </c>
      <c r="E713" s="56">
        <v>1.06530307873E-4</v>
      </c>
    </row>
    <row r="714" spans="1:5" ht="16.5">
      <c r="A714" s="36"/>
      <c r="B714" s="96"/>
      <c r="C714" s="54" t="s">
        <v>113</v>
      </c>
      <c r="D714" s="55">
        <v>1</v>
      </c>
      <c r="E714" s="56">
        <v>5.3265153936E-5</v>
      </c>
    </row>
    <row r="715" spans="1:5" ht="16.5">
      <c r="A715" s="36"/>
      <c r="B715" s="96"/>
      <c r="C715" s="54" t="s">
        <v>116</v>
      </c>
      <c r="D715" s="55">
        <v>1</v>
      </c>
      <c r="E715" s="56">
        <v>5.3265153936E-5</v>
      </c>
    </row>
    <row r="716" spans="1:5" ht="16.5">
      <c r="A716" s="36"/>
      <c r="B716" s="96"/>
      <c r="C716" s="54" t="s">
        <v>117</v>
      </c>
      <c r="D716" s="55">
        <v>4</v>
      </c>
      <c r="E716" s="56">
        <v>2.1306061574499999E-4</v>
      </c>
    </row>
    <row r="717" spans="1:5" ht="16.5">
      <c r="A717" s="36"/>
      <c r="B717" s="96"/>
      <c r="C717" s="54" t="s">
        <v>119</v>
      </c>
      <c r="D717" s="55">
        <v>1</v>
      </c>
      <c r="E717" s="56">
        <v>5.3265153936E-5</v>
      </c>
    </row>
    <row r="718" spans="1:5" ht="16.5">
      <c r="A718" s="36"/>
      <c r="B718" s="97"/>
      <c r="C718" s="65" t="s">
        <v>321</v>
      </c>
      <c r="D718" s="64">
        <v>63</v>
      </c>
      <c r="E718" s="66">
        <v>3.3557046979869999E-3</v>
      </c>
    </row>
    <row r="719" spans="1:5" ht="16.5">
      <c r="A719" s="36"/>
      <c r="B719" s="95" t="s">
        <v>77</v>
      </c>
      <c r="C719" s="54" t="s">
        <v>97</v>
      </c>
      <c r="D719" s="55">
        <v>1</v>
      </c>
      <c r="E719" s="56">
        <v>5.3265153936E-5</v>
      </c>
    </row>
    <row r="720" spans="1:5" ht="16.5">
      <c r="A720" s="36"/>
      <c r="B720" s="96"/>
      <c r="C720" s="54" t="s">
        <v>102</v>
      </c>
      <c r="D720" s="55">
        <v>1</v>
      </c>
      <c r="E720" s="56">
        <v>5.3265153936E-5</v>
      </c>
    </row>
    <row r="721" spans="1:5" ht="16.5">
      <c r="A721" s="36"/>
      <c r="B721" s="96"/>
      <c r="C721" s="54" t="s">
        <v>103</v>
      </c>
      <c r="D721" s="55">
        <v>5</v>
      </c>
      <c r="E721" s="56">
        <v>2.6632576968100001E-4</v>
      </c>
    </row>
    <row r="722" spans="1:5" ht="16.5">
      <c r="A722" s="36"/>
      <c r="B722" s="96"/>
      <c r="C722" s="54" t="s">
        <v>104</v>
      </c>
      <c r="D722" s="55">
        <v>7</v>
      </c>
      <c r="E722" s="56">
        <v>3.7285607755399997E-4</v>
      </c>
    </row>
    <row r="723" spans="1:5" ht="16.5">
      <c r="A723" s="36"/>
      <c r="B723" s="96"/>
      <c r="C723" s="54" t="s">
        <v>107</v>
      </c>
      <c r="D723" s="55">
        <v>2</v>
      </c>
      <c r="E723" s="56">
        <v>1.06530307873E-4</v>
      </c>
    </row>
    <row r="724" spans="1:5" ht="16.5">
      <c r="A724" s="36"/>
      <c r="B724" s="96"/>
      <c r="C724" s="54" t="s">
        <v>108</v>
      </c>
      <c r="D724" s="55">
        <v>9</v>
      </c>
      <c r="E724" s="56">
        <v>4.7938638542699999E-4</v>
      </c>
    </row>
    <row r="725" spans="1:5" ht="16.5">
      <c r="A725" s="36"/>
      <c r="B725" s="96"/>
      <c r="C725" s="54" t="s">
        <v>110</v>
      </c>
      <c r="D725" s="55">
        <v>3</v>
      </c>
      <c r="E725" s="56">
        <v>1.5979546180899999E-4</v>
      </c>
    </row>
    <row r="726" spans="1:5" ht="16.5">
      <c r="A726" s="36"/>
      <c r="B726" s="96"/>
      <c r="C726" s="54" t="s">
        <v>111</v>
      </c>
      <c r="D726" s="55">
        <v>11</v>
      </c>
      <c r="E726" s="56">
        <v>5.8591669329900004E-4</v>
      </c>
    </row>
    <row r="727" spans="1:5" ht="16.5">
      <c r="A727" s="36"/>
      <c r="B727" s="96"/>
      <c r="C727" s="54" t="s">
        <v>115</v>
      </c>
      <c r="D727" s="55">
        <v>1</v>
      </c>
      <c r="E727" s="56">
        <v>5.3265153936E-5</v>
      </c>
    </row>
    <row r="728" spans="1:5" ht="16.5">
      <c r="A728" s="36"/>
      <c r="B728" s="96"/>
      <c r="C728" s="54" t="s">
        <v>116</v>
      </c>
      <c r="D728" s="55">
        <v>3</v>
      </c>
      <c r="E728" s="56">
        <v>1.5979546180899999E-4</v>
      </c>
    </row>
    <row r="729" spans="1:5" ht="16.5">
      <c r="A729" s="36"/>
      <c r="B729" s="96"/>
      <c r="C729" s="54" t="s">
        <v>117</v>
      </c>
      <c r="D729" s="55">
        <v>3</v>
      </c>
      <c r="E729" s="56">
        <v>1.5979546180899999E-4</v>
      </c>
    </row>
    <row r="730" spans="1:5" ht="16.5">
      <c r="A730" s="36"/>
      <c r="B730" s="97"/>
      <c r="C730" s="65" t="s">
        <v>321</v>
      </c>
      <c r="D730" s="64">
        <v>46</v>
      </c>
      <c r="E730" s="66">
        <v>2.45019708107E-3</v>
      </c>
    </row>
    <row r="731" spans="1:5" ht="16.5">
      <c r="A731" s="36"/>
      <c r="B731" s="95" t="s">
        <v>76</v>
      </c>
      <c r="C731" s="54" t="s">
        <v>97</v>
      </c>
      <c r="D731" s="55">
        <v>1</v>
      </c>
      <c r="E731" s="56">
        <v>5.3265153936E-5</v>
      </c>
    </row>
    <row r="732" spans="1:5" ht="16.5">
      <c r="A732" s="36"/>
      <c r="B732" s="96"/>
      <c r="C732" s="54" t="s">
        <v>101</v>
      </c>
      <c r="D732" s="55">
        <v>3</v>
      </c>
      <c r="E732" s="56">
        <v>1.5979546180899999E-4</v>
      </c>
    </row>
    <row r="733" spans="1:5" ht="16.5">
      <c r="A733" s="36"/>
      <c r="B733" s="96"/>
      <c r="C733" s="54" t="s">
        <v>102</v>
      </c>
      <c r="D733" s="55">
        <v>1</v>
      </c>
      <c r="E733" s="56">
        <v>5.3265153936E-5</v>
      </c>
    </row>
    <row r="734" spans="1:5" ht="16.5">
      <c r="A734" s="36"/>
      <c r="B734" s="96"/>
      <c r="C734" s="54" t="s">
        <v>103</v>
      </c>
      <c r="D734" s="55">
        <v>9</v>
      </c>
      <c r="E734" s="56">
        <v>4.7938638542699999E-4</v>
      </c>
    </row>
    <row r="735" spans="1:5" ht="16.5">
      <c r="A735" s="36"/>
      <c r="B735" s="96"/>
      <c r="C735" s="54" t="s">
        <v>104</v>
      </c>
      <c r="D735" s="55">
        <v>8</v>
      </c>
      <c r="E735" s="56">
        <v>4.2612123148999997E-4</v>
      </c>
    </row>
    <row r="736" spans="1:5" ht="16.5">
      <c r="A736" s="36"/>
      <c r="B736" s="96"/>
      <c r="C736" s="54" t="s">
        <v>105</v>
      </c>
      <c r="D736" s="55">
        <v>1</v>
      </c>
      <c r="E736" s="56">
        <v>5.3265153936E-5</v>
      </c>
    </row>
    <row r="737" spans="1:5" ht="16.5">
      <c r="A737" s="36"/>
      <c r="B737" s="96"/>
      <c r="C737" s="54" t="s">
        <v>106</v>
      </c>
      <c r="D737" s="55">
        <v>5</v>
      </c>
      <c r="E737" s="56">
        <v>2.6632576968100001E-4</v>
      </c>
    </row>
    <row r="738" spans="1:5" ht="16.5">
      <c r="A738" s="36"/>
      <c r="B738" s="96"/>
      <c r="C738" s="54" t="s">
        <v>107</v>
      </c>
      <c r="D738" s="55">
        <v>1</v>
      </c>
      <c r="E738" s="56">
        <v>5.3265153936E-5</v>
      </c>
    </row>
    <row r="739" spans="1:5" ht="16.5">
      <c r="A739" s="36"/>
      <c r="B739" s="96"/>
      <c r="C739" s="54" t="s">
        <v>108</v>
      </c>
      <c r="D739" s="55">
        <v>13</v>
      </c>
      <c r="E739" s="56">
        <v>6.92447001172E-4</v>
      </c>
    </row>
    <row r="740" spans="1:5" ht="16.5">
      <c r="A740" s="36"/>
      <c r="B740" s="96"/>
      <c r="C740" s="54" t="s">
        <v>110</v>
      </c>
      <c r="D740" s="55">
        <v>8</v>
      </c>
      <c r="E740" s="56">
        <v>4.2612123148999997E-4</v>
      </c>
    </row>
    <row r="741" spans="1:5" ht="16.5">
      <c r="A741" s="36"/>
      <c r="B741" s="96"/>
      <c r="C741" s="54" t="s">
        <v>111</v>
      </c>
      <c r="D741" s="55">
        <v>11</v>
      </c>
      <c r="E741" s="56">
        <v>5.8591669329900004E-4</v>
      </c>
    </row>
    <row r="742" spans="1:5" ht="16.5">
      <c r="A742" s="36"/>
      <c r="B742" s="96"/>
      <c r="C742" s="54" t="s">
        <v>114</v>
      </c>
      <c r="D742" s="55">
        <v>1</v>
      </c>
      <c r="E742" s="56">
        <v>5.3265153936E-5</v>
      </c>
    </row>
    <row r="743" spans="1:5" ht="16.5">
      <c r="A743" s="36"/>
      <c r="B743" s="96"/>
      <c r="C743" s="54" t="s">
        <v>115</v>
      </c>
      <c r="D743" s="55">
        <v>1</v>
      </c>
      <c r="E743" s="56">
        <v>5.3265153936E-5</v>
      </c>
    </row>
    <row r="744" spans="1:5" ht="16.5">
      <c r="A744" s="36"/>
      <c r="B744" s="96"/>
      <c r="C744" s="54" t="s">
        <v>116</v>
      </c>
      <c r="D744" s="55">
        <v>4</v>
      </c>
      <c r="E744" s="56">
        <v>2.1306061574499999E-4</v>
      </c>
    </row>
    <row r="745" spans="1:5" ht="16.5">
      <c r="A745" s="36"/>
      <c r="B745" s="96"/>
      <c r="C745" s="54" t="s">
        <v>117</v>
      </c>
      <c r="D745" s="55">
        <v>7</v>
      </c>
      <c r="E745" s="56">
        <v>3.7285607755399997E-4</v>
      </c>
    </row>
    <row r="746" spans="1:5" ht="16.5">
      <c r="A746" s="36"/>
      <c r="B746" s="96"/>
      <c r="C746" s="54" t="s">
        <v>119</v>
      </c>
      <c r="D746" s="55">
        <v>1</v>
      </c>
      <c r="E746" s="56">
        <v>5.3265153936E-5</v>
      </c>
    </row>
    <row r="747" spans="1:5" ht="16.5">
      <c r="A747" s="36"/>
      <c r="B747" s="97"/>
      <c r="C747" s="65" t="s">
        <v>321</v>
      </c>
      <c r="D747" s="64">
        <v>75</v>
      </c>
      <c r="E747" s="66">
        <v>3.9948865452219999E-3</v>
      </c>
    </row>
    <row r="748" spans="1:5" ht="16.5">
      <c r="A748" s="36"/>
      <c r="B748" s="95" t="s">
        <v>69</v>
      </c>
      <c r="C748" s="54" t="s">
        <v>100</v>
      </c>
      <c r="D748" s="55">
        <v>2</v>
      </c>
      <c r="E748" s="56">
        <v>1.06530307873E-4</v>
      </c>
    </row>
    <row r="749" spans="1:5" ht="16.5">
      <c r="A749" s="36"/>
      <c r="B749" s="96"/>
      <c r="C749" s="54" t="s">
        <v>103</v>
      </c>
      <c r="D749" s="55">
        <v>6</v>
      </c>
      <c r="E749" s="56">
        <v>3.1959092361799997E-4</v>
      </c>
    </row>
    <row r="750" spans="1:5" ht="16.5">
      <c r="A750" s="36"/>
      <c r="B750" s="96"/>
      <c r="C750" s="54" t="s">
        <v>104</v>
      </c>
      <c r="D750" s="55">
        <v>11</v>
      </c>
      <c r="E750" s="56">
        <v>5.8591669329900004E-4</v>
      </c>
    </row>
    <row r="751" spans="1:5" ht="16.5">
      <c r="A751" s="36"/>
      <c r="B751" s="96"/>
      <c r="C751" s="54" t="s">
        <v>106</v>
      </c>
      <c r="D751" s="55">
        <v>4</v>
      </c>
      <c r="E751" s="56">
        <v>2.1306061574499999E-4</v>
      </c>
    </row>
    <row r="752" spans="1:5" ht="16.5">
      <c r="A752" s="36"/>
      <c r="B752" s="96"/>
      <c r="C752" s="54" t="s">
        <v>107</v>
      </c>
      <c r="D752" s="55">
        <v>1</v>
      </c>
      <c r="E752" s="56">
        <v>5.3265153936E-5</v>
      </c>
    </row>
    <row r="753" spans="1:5" ht="16.5">
      <c r="A753" s="36"/>
      <c r="B753" s="96"/>
      <c r="C753" s="54" t="s">
        <v>108</v>
      </c>
      <c r="D753" s="55">
        <v>20</v>
      </c>
      <c r="E753" s="56">
        <v>1.065303078726E-3</v>
      </c>
    </row>
    <row r="754" spans="1:5" ht="16.5">
      <c r="A754" s="36"/>
      <c r="B754" s="96"/>
      <c r="C754" s="54" t="s">
        <v>109</v>
      </c>
      <c r="D754" s="55">
        <v>6</v>
      </c>
      <c r="E754" s="56">
        <v>3.1959092361799997E-4</v>
      </c>
    </row>
    <row r="755" spans="1:5" ht="16.5">
      <c r="A755" s="36"/>
      <c r="B755" s="96"/>
      <c r="C755" s="54" t="s">
        <v>110</v>
      </c>
      <c r="D755" s="55">
        <v>5</v>
      </c>
      <c r="E755" s="56">
        <v>2.6632576968100001E-4</v>
      </c>
    </row>
    <row r="756" spans="1:5" ht="16.5">
      <c r="A756" s="36"/>
      <c r="B756" s="96"/>
      <c r="C756" s="54" t="s">
        <v>111</v>
      </c>
      <c r="D756" s="55">
        <v>28</v>
      </c>
      <c r="E756" s="56">
        <v>1.4914243102159999E-3</v>
      </c>
    </row>
    <row r="757" spans="1:5" ht="16.5">
      <c r="A757" s="36"/>
      <c r="B757" s="96"/>
      <c r="C757" s="54" t="s">
        <v>112</v>
      </c>
      <c r="D757" s="55">
        <v>3</v>
      </c>
      <c r="E757" s="56">
        <v>1.5979546180899999E-4</v>
      </c>
    </row>
    <row r="758" spans="1:5" ht="16.5">
      <c r="A758" s="36"/>
      <c r="B758" s="96"/>
      <c r="C758" s="54" t="s">
        <v>113</v>
      </c>
      <c r="D758" s="55">
        <v>1</v>
      </c>
      <c r="E758" s="56">
        <v>5.3265153936E-5</v>
      </c>
    </row>
    <row r="759" spans="1:5" ht="16.5">
      <c r="A759" s="36"/>
      <c r="B759" s="96"/>
      <c r="C759" s="54" t="s">
        <v>114</v>
      </c>
      <c r="D759" s="55">
        <v>1</v>
      </c>
      <c r="E759" s="56">
        <v>5.3265153936E-5</v>
      </c>
    </row>
    <row r="760" spans="1:5" ht="16.5">
      <c r="A760" s="36"/>
      <c r="B760" s="96"/>
      <c r="C760" s="54" t="s">
        <v>115</v>
      </c>
      <c r="D760" s="55">
        <v>1</v>
      </c>
      <c r="E760" s="56">
        <v>5.3265153936E-5</v>
      </c>
    </row>
    <row r="761" spans="1:5" ht="16.5">
      <c r="A761" s="36"/>
      <c r="B761" s="96"/>
      <c r="C761" s="54" t="s">
        <v>116</v>
      </c>
      <c r="D761" s="55">
        <v>5</v>
      </c>
      <c r="E761" s="56">
        <v>2.6632576968100001E-4</v>
      </c>
    </row>
    <row r="762" spans="1:5" ht="16.5">
      <c r="A762" s="36"/>
      <c r="B762" s="96"/>
      <c r="C762" s="54" t="s">
        <v>117</v>
      </c>
      <c r="D762" s="55">
        <v>4</v>
      </c>
      <c r="E762" s="56">
        <v>2.1306061574499999E-4</v>
      </c>
    </row>
    <row r="763" spans="1:5" ht="16.5">
      <c r="A763" s="36"/>
      <c r="B763" s="97"/>
      <c r="C763" s="65" t="s">
        <v>321</v>
      </c>
      <c r="D763" s="64">
        <v>98</v>
      </c>
      <c r="E763" s="66">
        <v>5.2199850857570004E-3</v>
      </c>
    </row>
    <row r="764" spans="1:5" ht="16.5">
      <c r="A764" s="36"/>
      <c r="B764" s="95" t="s">
        <v>86</v>
      </c>
      <c r="C764" s="54" t="s">
        <v>97</v>
      </c>
      <c r="D764" s="55">
        <v>1</v>
      </c>
      <c r="E764" s="56">
        <v>5.3265153936E-5</v>
      </c>
    </row>
    <row r="765" spans="1:5" ht="16.5">
      <c r="A765" s="36"/>
      <c r="B765" s="96"/>
      <c r="C765" s="54" t="s">
        <v>102</v>
      </c>
      <c r="D765" s="55">
        <v>1</v>
      </c>
      <c r="E765" s="56">
        <v>5.3265153936E-5</v>
      </c>
    </row>
    <row r="766" spans="1:5" ht="16.5">
      <c r="A766" s="36"/>
      <c r="B766" s="96"/>
      <c r="C766" s="54" t="s">
        <v>103</v>
      </c>
      <c r="D766" s="55">
        <v>3</v>
      </c>
      <c r="E766" s="56">
        <v>1.5979546180899999E-4</v>
      </c>
    </row>
    <row r="767" spans="1:5" ht="16.5">
      <c r="A767" s="36"/>
      <c r="B767" s="96"/>
      <c r="C767" s="54" t="s">
        <v>104</v>
      </c>
      <c r="D767" s="55">
        <v>1</v>
      </c>
      <c r="E767" s="56">
        <v>5.3265153936E-5</v>
      </c>
    </row>
    <row r="768" spans="1:5" ht="16.5">
      <c r="A768" s="36"/>
      <c r="B768" s="96"/>
      <c r="C768" s="54" t="s">
        <v>106</v>
      </c>
      <c r="D768" s="55">
        <v>1</v>
      </c>
      <c r="E768" s="56">
        <v>5.3265153936E-5</v>
      </c>
    </row>
    <row r="769" spans="1:5" ht="16.5">
      <c r="A769" s="36"/>
      <c r="B769" s="96"/>
      <c r="C769" s="54" t="s">
        <v>108</v>
      </c>
      <c r="D769" s="55">
        <v>3</v>
      </c>
      <c r="E769" s="56">
        <v>1.5979546180899999E-4</v>
      </c>
    </row>
    <row r="770" spans="1:5" ht="16.5">
      <c r="A770" s="36"/>
      <c r="B770" s="96"/>
      <c r="C770" s="54" t="s">
        <v>109</v>
      </c>
      <c r="D770" s="55">
        <v>2</v>
      </c>
      <c r="E770" s="56">
        <v>1.06530307873E-4</v>
      </c>
    </row>
    <row r="771" spans="1:5" ht="16.5">
      <c r="A771" s="36"/>
      <c r="B771" s="96"/>
      <c r="C771" s="54" t="s">
        <v>111</v>
      </c>
      <c r="D771" s="55">
        <v>5</v>
      </c>
      <c r="E771" s="56">
        <v>2.6632576968100001E-4</v>
      </c>
    </row>
    <row r="772" spans="1:5" ht="16.5">
      <c r="A772" s="36"/>
      <c r="B772" s="96"/>
      <c r="C772" s="54" t="s">
        <v>115</v>
      </c>
      <c r="D772" s="55">
        <v>1</v>
      </c>
      <c r="E772" s="56">
        <v>5.3265153936E-5</v>
      </c>
    </row>
    <row r="773" spans="1:5" ht="16.5">
      <c r="A773" s="36"/>
      <c r="B773" s="96"/>
      <c r="C773" s="54" t="s">
        <v>117</v>
      </c>
      <c r="D773" s="55">
        <v>1</v>
      </c>
      <c r="E773" s="56">
        <v>5.3265153936E-5</v>
      </c>
    </row>
    <row r="774" spans="1:5" ht="16.5">
      <c r="A774" s="36"/>
      <c r="B774" s="96"/>
      <c r="C774" s="54" t="s">
        <v>119</v>
      </c>
      <c r="D774" s="55">
        <v>1</v>
      </c>
      <c r="E774" s="56">
        <v>5.3265153936E-5</v>
      </c>
    </row>
    <row r="775" spans="1:5" ht="16.5">
      <c r="A775" s="36"/>
      <c r="B775" s="97"/>
      <c r="C775" s="65" t="s">
        <v>321</v>
      </c>
      <c r="D775" s="64">
        <v>20</v>
      </c>
      <c r="E775" s="66">
        <v>1.065303078726E-3</v>
      </c>
    </row>
    <row r="776" spans="1:5" ht="16.5">
      <c r="A776" s="36"/>
      <c r="B776" s="95" t="s">
        <v>73</v>
      </c>
      <c r="C776" s="54" t="s">
        <v>97</v>
      </c>
      <c r="D776" s="55">
        <v>1</v>
      </c>
      <c r="E776" s="56">
        <v>5.3265153936E-5</v>
      </c>
    </row>
    <row r="777" spans="1:5" ht="16.5">
      <c r="A777" s="36"/>
      <c r="B777" s="96"/>
      <c r="C777" s="54" t="s">
        <v>98</v>
      </c>
      <c r="D777" s="55">
        <v>1</v>
      </c>
      <c r="E777" s="56">
        <v>5.3265153936E-5</v>
      </c>
    </row>
    <row r="778" spans="1:5" ht="16.5">
      <c r="A778" s="36"/>
      <c r="B778" s="96"/>
      <c r="C778" s="54" t="s">
        <v>100</v>
      </c>
      <c r="D778" s="55">
        <v>1</v>
      </c>
      <c r="E778" s="56">
        <v>5.3265153936E-5</v>
      </c>
    </row>
    <row r="779" spans="1:5" ht="16.5">
      <c r="A779" s="36"/>
      <c r="B779" s="96"/>
      <c r="C779" s="54" t="s">
        <v>103</v>
      </c>
      <c r="D779" s="55">
        <v>6</v>
      </c>
      <c r="E779" s="56">
        <v>3.1959092361799997E-4</v>
      </c>
    </row>
    <row r="780" spans="1:5" ht="16.5">
      <c r="A780" s="36"/>
      <c r="B780" s="96"/>
      <c r="C780" s="54" t="s">
        <v>104</v>
      </c>
      <c r="D780" s="55">
        <v>6</v>
      </c>
      <c r="E780" s="56">
        <v>3.1959092361799997E-4</v>
      </c>
    </row>
    <row r="781" spans="1:5" ht="16.5">
      <c r="A781" s="36"/>
      <c r="B781" s="96"/>
      <c r="C781" s="54" t="s">
        <v>106</v>
      </c>
      <c r="D781" s="55">
        <v>5</v>
      </c>
      <c r="E781" s="56">
        <v>2.6632576968100001E-4</v>
      </c>
    </row>
    <row r="782" spans="1:5" ht="16.5">
      <c r="A782" s="36"/>
      <c r="B782" s="96"/>
      <c r="C782" s="54" t="s">
        <v>107</v>
      </c>
      <c r="D782" s="55">
        <v>5</v>
      </c>
      <c r="E782" s="56">
        <v>2.6632576968100001E-4</v>
      </c>
    </row>
    <row r="783" spans="1:5" ht="16.5">
      <c r="A783" s="36"/>
      <c r="B783" s="96"/>
      <c r="C783" s="54" t="s">
        <v>108</v>
      </c>
      <c r="D783" s="55">
        <v>16</v>
      </c>
      <c r="E783" s="56">
        <v>8.5224246298100002E-4</v>
      </c>
    </row>
    <row r="784" spans="1:5" ht="16.5">
      <c r="A784" s="36"/>
      <c r="B784" s="96"/>
      <c r="C784" s="54" t="s">
        <v>109</v>
      </c>
      <c r="D784" s="55">
        <v>2</v>
      </c>
      <c r="E784" s="56">
        <v>1.06530307873E-4</v>
      </c>
    </row>
    <row r="785" spans="1:5" ht="16.5">
      <c r="A785" s="36"/>
      <c r="B785" s="96"/>
      <c r="C785" s="54" t="s">
        <v>110</v>
      </c>
      <c r="D785" s="55">
        <v>7</v>
      </c>
      <c r="E785" s="56">
        <v>3.7285607755399997E-4</v>
      </c>
    </row>
    <row r="786" spans="1:5" ht="16.5">
      <c r="A786" s="36"/>
      <c r="B786" s="96"/>
      <c r="C786" s="54" t="s">
        <v>111</v>
      </c>
      <c r="D786" s="55">
        <v>17</v>
      </c>
      <c r="E786" s="56">
        <v>9.0550761691699996E-4</v>
      </c>
    </row>
    <row r="787" spans="1:5" ht="15" customHeight="1">
      <c r="A787" s="36"/>
      <c r="B787" s="96"/>
      <c r="C787" s="54" t="s">
        <v>116</v>
      </c>
      <c r="D787" s="55">
        <v>1</v>
      </c>
      <c r="E787" s="56">
        <v>5.3265153936E-5</v>
      </c>
    </row>
    <row r="788" spans="1:5" ht="15" customHeight="1">
      <c r="A788" s="36"/>
      <c r="B788" s="96"/>
      <c r="C788" s="54" t="s">
        <v>117</v>
      </c>
      <c r="D788" s="55">
        <v>9</v>
      </c>
      <c r="E788" s="56">
        <v>4.7938638542699999E-4</v>
      </c>
    </row>
    <row r="789" spans="1:5" ht="15" customHeight="1">
      <c r="A789" s="36"/>
      <c r="B789" s="96"/>
      <c r="C789" s="54" t="s">
        <v>119</v>
      </c>
      <c r="D789" s="55">
        <v>2</v>
      </c>
      <c r="E789" s="56">
        <v>1.06530307873E-4</v>
      </c>
    </row>
    <row r="790" spans="1:5" ht="15" customHeight="1">
      <c r="A790" s="36"/>
      <c r="B790" s="97"/>
      <c r="C790" s="65" t="s">
        <v>321</v>
      </c>
      <c r="D790" s="64">
        <v>79</v>
      </c>
      <c r="E790" s="66">
        <v>4.2079471609670002E-3</v>
      </c>
    </row>
    <row r="791" spans="1:5" ht="15" customHeight="1">
      <c r="A791" s="36"/>
      <c r="B791" s="95" t="s">
        <v>82</v>
      </c>
      <c r="C791" s="54" t="s">
        <v>103</v>
      </c>
      <c r="D791" s="55">
        <v>2</v>
      </c>
      <c r="E791" s="56">
        <v>1.06530307873E-4</v>
      </c>
    </row>
    <row r="792" spans="1:5" ht="15" customHeight="1">
      <c r="A792" s="36"/>
      <c r="B792" s="96"/>
      <c r="C792" s="54" t="s">
        <v>104</v>
      </c>
      <c r="D792" s="55">
        <v>4</v>
      </c>
      <c r="E792" s="56">
        <v>2.1306061574499999E-4</v>
      </c>
    </row>
    <row r="793" spans="1:5" ht="15" customHeight="1">
      <c r="A793" s="36"/>
      <c r="B793" s="96"/>
      <c r="C793" s="54" t="s">
        <v>106</v>
      </c>
      <c r="D793" s="55">
        <v>4</v>
      </c>
      <c r="E793" s="56">
        <v>2.1306061574499999E-4</v>
      </c>
    </row>
    <row r="794" spans="1:5" ht="15" customHeight="1">
      <c r="A794" s="36"/>
      <c r="B794" s="96"/>
      <c r="C794" s="54" t="s">
        <v>107</v>
      </c>
      <c r="D794" s="55">
        <v>1</v>
      </c>
      <c r="E794" s="56">
        <v>5.3265153936E-5</v>
      </c>
    </row>
    <row r="795" spans="1:5" ht="15" customHeight="1">
      <c r="A795" s="36"/>
      <c r="B795" s="96"/>
      <c r="C795" s="54" t="s">
        <v>108</v>
      </c>
      <c r="D795" s="55">
        <v>8</v>
      </c>
      <c r="E795" s="56">
        <v>4.2612123148999997E-4</v>
      </c>
    </row>
    <row r="796" spans="1:5" ht="15" customHeight="1">
      <c r="A796" s="36"/>
      <c r="B796" s="96"/>
      <c r="C796" s="54" t="s">
        <v>109</v>
      </c>
      <c r="D796" s="55">
        <v>1</v>
      </c>
      <c r="E796" s="56">
        <v>5.3265153936E-5</v>
      </c>
    </row>
    <row r="797" spans="1:5" ht="15" customHeight="1">
      <c r="A797" s="36"/>
      <c r="B797" s="96"/>
      <c r="C797" s="54" t="s">
        <v>110</v>
      </c>
      <c r="D797" s="55">
        <v>2</v>
      </c>
      <c r="E797" s="56">
        <v>1.06530307873E-4</v>
      </c>
    </row>
    <row r="798" spans="1:5" ht="15" customHeight="1">
      <c r="A798" s="36"/>
      <c r="B798" s="96"/>
      <c r="C798" s="54" t="s">
        <v>111</v>
      </c>
      <c r="D798" s="55">
        <v>4</v>
      </c>
      <c r="E798" s="56">
        <v>2.1306061574499999E-4</v>
      </c>
    </row>
    <row r="799" spans="1:5" ht="15" customHeight="1">
      <c r="A799" s="36"/>
      <c r="B799" s="96"/>
      <c r="C799" s="54" t="s">
        <v>117</v>
      </c>
      <c r="D799" s="55">
        <v>3</v>
      </c>
      <c r="E799" s="56">
        <v>1.5979546180899999E-4</v>
      </c>
    </row>
    <row r="800" spans="1:5" ht="15" customHeight="1">
      <c r="A800" s="36"/>
      <c r="B800" s="96"/>
      <c r="C800" s="54" t="s">
        <v>119</v>
      </c>
      <c r="D800" s="55">
        <v>1</v>
      </c>
      <c r="E800" s="56">
        <v>5.3265153936E-5</v>
      </c>
    </row>
    <row r="801" spans="1:5" ht="15" customHeight="1">
      <c r="A801" s="36"/>
      <c r="B801" s="97"/>
      <c r="C801" s="65" t="s">
        <v>321</v>
      </c>
      <c r="D801" s="64">
        <v>30</v>
      </c>
      <c r="E801" s="66">
        <v>1.5979546180890001E-3</v>
      </c>
    </row>
    <row r="802" spans="1:5" ht="15" customHeight="1">
      <c r="A802" s="36"/>
      <c r="B802" s="95" t="s">
        <v>92</v>
      </c>
      <c r="C802" s="54" t="s">
        <v>97</v>
      </c>
      <c r="D802" s="55">
        <v>1</v>
      </c>
      <c r="E802" s="56">
        <v>5.3265153936E-5</v>
      </c>
    </row>
    <row r="803" spans="1:5" ht="15" customHeight="1">
      <c r="A803" s="36"/>
      <c r="B803" s="96"/>
      <c r="C803" s="54" t="s">
        <v>104</v>
      </c>
      <c r="D803" s="55">
        <v>1</v>
      </c>
      <c r="E803" s="56">
        <v>5.3265153936E-5</v>
      </c>
    </row>
    <row r="804" spans="1:5" ht="15" customHeight="1">
      <c r="A804" s="36"/>
      <c r="B804" s="96"/>
      <c r="C804" s="54" t="s">
        <v>108</v>
      </c>
      <c r="D804" s="55">
        <v>1</v>
      </c>
      <c r="E804" s="56">
        <v>5.3265153936E-5</v>
      </c>
    </row>
    <row r="805" spans="1:5" ht="15" customHeight="1">
      <c r="A805" s="36"/>
      <c r="B805" s="96"/>
      <c r="C805" s="54" t="s">
        <v>111</v>
      </c>
      <c r="D805" s="55">
        <v>2</v>
      </c>
      <c r="E805" s="56">
        <v>1.06530307873E-4</v>
      </c>
    </row>
    <row r="806" spans="1:5" ht="15" customHeight="1">
      <c r="A806" s="36"/>
      <c r="B806" s="97"/>
      <c r="C806" s="65" t="s">
        <v>321</v>
      </c>
      <c r="D806" s="64">
        <v>5</v>
      </c>
      <c r="E806" s="66">
        <v>2.6632576968100001E-4</v>
      </c>
    </row>
    <row r="807" spans="1:5" ht="15" customHeight="1">
      <c r="A807" s="36"/>
      <c r="B807" s="93" t="s">
        <v>321</v>
      </c>
      <c r="C807" s="94"/>
      <c r="D807" s="52">
        <v>18774</v>
      </c>
      <c r="E807" s="53">
        <v>1</v>
      </c>
    </row>
    <row r="808" spans="1:5" ht="15" customHeight="1">
      <c r="A808" s="36"/>
      <c r="B808" s="36"/>
      <c r="C808" s="36"/>
      <c r="D808" s="36"/>
      <c r="E808" s="36"/>
    </row>
    <row r="809" spans="1:5" ht="15" customHeight="1">
      <c r="A809" s="36"/>
      <c r="B809" s="37" t="s">
        <v>130</v>
      </c>
      <c r="C809" s="38"/>
      <c r="D809" s="36"/>
      <c r="E809" s="36"/>
    </row>
    <row r="810" spans="1:5" ht="15" customHeight="1">
      <c r="A810" s="36"/>
      <c r="B810" s="39" t="s">
        <v>17</v>
      </c>
      <c r="C810" s="38"/>
      <c r="D810" s="36"/>
      <c r="E810" s="36"/>
    </row>
    <row r="811" spans="1:5" ht="15" customHeight="1">
      <c r="A811" s="36"/>
      <c r="B811" s="40" t="s">
        <v>44</v>
      </c>
      <c r="C811" s="38"/>
      <c r="D811" s="36"/>
      <c r="E811" s="36"/>
    </row>
    <row r="812" spans="1:5" ht="15" customHeight="1">
      <c r="A812" s="36"/>
      <c r="B812" s="37" t="s">
        <v>16</v>
      </c>
      <c r="C812" s="38"/>
      <c r="D812" s="36"/>
      <c r="E812" s="36"/>
    </row>
    <row r="813" spans="1:5" ht="15" customHeight="1">
      <c r="A813" s="36"/>
      <c r="B813" s="37" t="s">
        <v>320</v>
      </c>
      <c r="C813" s="38"/>
      <c r="D813" s="36"/>
      <c r="E813" s="36"/>
    </row>
    <row r="814" spans="1:5" ht="15" customHeight="1">
      <c r="A814" s="36"/>
      <c r="B814" s="36"/>
      <c r="C814" s="36"/>
      <c r="D814" s="36"/>
      <c r="E814" s="36"/>
    </row>
    <row r="815" spans="1:5" ht="15" customHeight="1">
      <c r="A815" s="36"/>
      <c r="B815" s="36"/>
      <c r="C815" s="36"/>
      <c r="D815" s="36"/>
      <c r="E815" s="36"/>
    </row>
  </sheetData>
  <mergeCells count="54">
    <mergeCell ref="B7:E8"/>
    <mergeCell ref="B10:B35"/>
    <mergeCell ref="B36:B53"/>
    <mergeCell ref="B54:B70"/>
    <mergeCell ref="B71:B84"/>
    <mergeCell ref="B85:B89"/>
    <mergeCell ref="B90:B97"/>
    <mergeCell ref="B98:B102"/>
    <mergeCell ref="B103:B125"/>
    <mergeCell ref="B126:B149"/>
    <mergeCell ref="B150:B161"/>
    <mergeCell ref="B162:B184"/>
    <mergeCell ref="B185:B201"/>
    <mergeCell ref="B202:B204"/>
    <mergeCell ref="B205:B206"/>
    <mergeCell ref="B207:B231"/>
    <mergeCell ref="B232:B247"/>
    <mergeCell ref="B248:B263"/>
    <mergeCell ref="B264:B286"/>
    <mergeCell ref="B287:B299"/>
    <mergeCell ref="B300:B324"/>
    <mergeCell ref="B325:B333"/>
    <mergeCell ref="B334:B353"/>
    <mergeCell ref="B354:B374"/>
    <mergeCell ref="B375:B394"/>
    <mergeCell ref="B395:B408"/>
    <mergeCell ref="B409:B423"/>
    <mergeCell ref="B424:B434"/>
    <mergeCell ref="B435:B438"/>
    <mergeCell ref="B439:B445"/>
    <mergeCell ref="B446:B459"/>
    <mergeCell ref="B460:B471"/>
    <mergeCell ref="B472:B495"/>
    <mergeCell ref="B496:B515"/>
    <mergeCell ref="B516:B529"/>
    <mergeCell ref="B530:B545"/>
    <mergeCell ref="B546:B570"/>
    <mergeCell ref="B571:B579"/>
    <mergeCell ref="B580:B599"/>
    <mergeCell ref="B600:B617"/>
    <mergeCell ref="B618:B634"/>
    <mergeCell ref="B635:B652"/>
    <mergeCell ref="B653:B669"/>
    <mergeCell ref="B670:B684"/>
    <mergeCell ref="B685:B702"/>
    <mergeCell ref="B807:C807"/>
    <mergeCell ref="B776:B790"/>
    <mergeCell ref="B791:B801"/>
    <mergeCell ref="B802:B806"/>
    <mergeCell ref="B703:B718"/>
    <mergeCell ref="B719:B730"/>
    <mergeCell ref="B731:B747"/>
    <mergeCell ref="B748:B763"/>
    <mergeCell ref="B764:B77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3" orientation="portrait" r:id="rId1"/>
  <rowBreaks count="1" manualBreakCount="1">
    <brk id="743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zoomScaleNormal="100" zoomScaleSheetLayoutView="100" workbookViewId="0">
      <selection activeCell="B11" sqref="B1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7" customFormat="1" ht="15" customHeight="1">
      <c r="C1" s="20"/>
    </row>
    <row r="2" spans="1:6" s="17" customFormat="1" ht="15" customHeight="1">
      <c r="C2" s="20"/>
    </row>
    <row r="3" spans="1:6" s="17" customFormat="1" ht="15" customHeight="1">
      <c r="C3" s="20"/>
    </row>
    <row r="4" spans="1:6" s="17" customFormat="1" ht="30" customHeight="1">
      <c r="C4" s="20"/>
      <c r="D4" s="19"/>
    </row>
    <row r="5" spans="1:6" s="17" customFormat="1" ht="15" customHeight="1">
      <c r="C5" s="20"/>
      <c r="D5" s="19"/>
    </row>
    <row r="6" spans="1:6" s="17" customFormat="1" ht="15" customHeight="1">
      <c r="C6" s="20"/>
      <c r="D6" s="19"/>
    </row>
    <row r="7" spans="1:6" s="17" customFormat="1" ht="15" customHeight="1">
      <c r="A7" s="35"/>
      <c r="B7" s="99" t="s">
        <v>36</v>
      </c>
      <c r="C7" s="99"/>
      <c r="D7" s="99"/>
      <c r="E7" s="35"/>
      <c r="F7" s="35"/>
    </row>
    <row r="8" spans="1:6" s="17" customFormat="1" ht="15" customHeight="1">
      <c r="A8" s="35"/>
      <c r="B8" s="99"/>
      <c r="C8" s="99"/>
      <c r="D8" s="99"/>
      <c r="E8" s="35"/>
      <c r="F8" s="35"/>
    </row>
    <row r="9" spans="1:6" s="17" customFormat="1" ht="33" customHeight="1">
      <c r="A9" s="35"/>
      <c r="B9" s="99"/>
      <c r="C9" s="99"/>
      <c r="D9" s="99"/>
      <c r="E9" s="35"/>
      <c r="F9" s="35"/>
    </row>
    <row r="10" spans="1:6" s="17" customFormat="1" ht="4.5" customHeight="1">
      <c r="A10" s="35"/>
      <c r="B10" s="41"/>
      <c r="C10" s="41"/>
      <c r="D10" s="41"/>
      <c r="E10" s="35"/>
      <c r="F10" s="35"/>
    </row>
    <row r="11" spans="1:6" s="17" customFormat="1" ht="33" customHeight="1">
      <c r="A11" s="35"/>
      <c r="B11" s="42" t="s">
        <v>28</v>
      </c>
      <c r="C11" s="43" t="s">
        <v>19</v>
      </c>
      <c r="D11" s="44" t="s">
        <v>18</v>
      </c>
      <c r="E11" s="35"/>
      <c r="F11" s="35"/>
    </row>
    <row r="12" spans="1:6" ht="16.5">
      <c r="A12" s="45"/>
      <c r="B12" s="54" t="s">
        <v>253</v>
      </c>
      <c r="C12" s="55">
        <v>9112</v>
      </c>
      <c r="D12" s="56">
        <v>0.485352082667519</v>
      </c>
      <c r="E12" s="45"/>
      <c r="F12" s="45"/>
    </row>
    <row r="13" spans="1:6" ht="16.5">
      <c r="A13" s="45"/>
      <c r="B13" s="54" t="s">
        <v>254</v>
      </c>
      <c r="C13" s="55">
        <v>9661</v>
      </c>
      <c r="D13" s="56">
        <v>0.51459465217854505</v>
      </c>
      <c r="E13" s="45"/>
      <c r="F13" s="45"/>
    </row>
    <row r="14" spans="1:6" ht="16.5">
      <c r="A14" s="45"/>
      <c r="B14" s="54" t="s">
        <v>255</v>
      </c>
      <c r="C14" s="55">
        <v>1</v>
      </c>
      <c r="D14" s="56">
        <v>5.3265153936E-5</v>
      </c>
      <c r="E14" s="45"/>
      <c r="F14" s="45"/>
    </row>
    <row r="15" spans="1:6" ht="16.5">
      <c r="A15" s="45"/>
      <c r="B15" s="51" t="s">
        <v>322</v>
      </c>
      <c r="C15" s="52">
        <v>18774</v>
      </c>
      <c r="D15" s="53">
        <v>1</v>
      </c>
      <c r="E15" s="45"/>
      <c r="F15" s="45"/>
    </row>
    <row r="16" spans="1:6" ht="16.5">
      <c r="A16" s="45"/>
      <c r="B16" s="37"/>
      <c r="C16" s="47"/>
      <c r="D16" s="47"/>
      <c r="E16" s="45"/>
      <c r="F16" s="45"/>
    </row>
    <row r="17" spans="2:6" ht="16.5">
      <c r="B17" s="37" t="s">
        <v>130</v>
      </c>
      <c r="C17" s="48"/>
      <c r="D17" s="48"/>
      <c r="E17" s="45"/>
      <c r="F17" s="45"/>
    </row>
    <row r="18" spans="2:6" ht="16.5">
      <c r="B18" s="39" t="s">
        <v>17</v>
      </c>
      <c r="C18" s="46"/>
      <c r="D18" s="45"/>
      <c r="E18" s="45"/>
      <c r="F18" s="45"/>
    </row>
    <row r="19" spans="2:6" ht="16.5">
      <c r="B19" s="40" t="s">
        <v>44</v>
      </c>
      <c r="C19" s="46"/>
      <c r="D19" s="45"/>
      <c r="E19" s="45"/>
      <c r="F19" s="45"/>
    </row>
    <row r="20" spans="2:6" ht="16.5">
      <c r="B20" s="37" t="s">
        <v>16</v>
      </c>
      <c r="C20" s="46"/>
      <c r="D20" s="45"/>
      <c r="E20" s="45"/>
      <c r="F20" s="45"/>
    </row>
    <row r="21" spans="2:6" ht="16.5">
      <c r="B21" s="37" t="s">
        <v>320</v>
      </c>
      <c r="C21" s="46"/>
      <c r="D21" s="45"/>
      <c r="E21" s="45"/>
      <c r="F21" s="4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59"/>
  <sheetViews>
    <sheetView showGridLines="0" view="pageBreakPreview" zoomScale="115" zoomScaleNormal="98" zoomScaleSheetLayoutView="115" workbookViewId="0">
      <selection activeCell="C12" sqref="C12"/>
    </sheetView>
  </sheetViews>
  <sheetFormatPr baseColWidth="10" defaultColWidth="11.453125" defaultRowHeight="10"/>
  <cols>
    <col min="1" max="1" width="5.7265625" style="17" customWidth="1"/>
    <col min="2" max="2" width="22.26953125" style="24" customWidth="1"/>
    <col min="3" max="3" width="17.26953125" style="24" customWidth="1"/>
    <col min="4" max="4" width="17.81640625" style="27" customWidth="1"/>
    <col min="5" max="5" width="15.1796875" style="24" bestFit="1" customWidth="1"/>
    <col min="6" max="6" width="5.7265625" style="17" customWidth="1"/>
    <col min="7" max="16384" width="11.453125" style="17"/>
  </cols>
  <sheetData>
    <row r="1" spans="1:6" s="13" customFormat="1" ht="14.5">
      <c r="B1" s="24"/>
      <c r="C1" s="24"/>
    </row>
    <row r="2" spans="1:6" s="24" customFormat="1">
      <c r="B2" s="29"/>
    </row>
    <row r="3" spans="1:6" ht="15" customHeight="1">
      <c r="B3" s="30"/>
      <c r="C3" s="20"/>
      <c r="D3" s="17"/>
      <c r="F3" s="24"/>
    </row>
    <row r="4" spans="1:6" ht="30" customHeight="1">
      <c r="B4" s="30"/>
      <c r="C4" s="20"/>
      <c r="D4" s="17"/>
      <c r="F4" s="24"/>
    </row>
    <row r="5" spans="1:6" ht="15" customHeight="1">
      <c r="B5" s="30"/>
      <c r="C5" s="20"/>
      <c r="D5" s="17"/>
      <c r="F5" s="24"/>
    </row>
    <row r="6" spans="1:6" s="24" customFormat="1" ht="10.5">
      <c r="B6" s="26"/>
      <c r="C6" s="23"/>
    </row>
    <row r="7" spans="1:6" s="24" customFormat="1">
      <c r="B7" s="29"/>
    </row>
    <row r="8" spans="1:6" s="13" customFormat="1" ht="15" customHeight="1">
      <c r="A8" s="45"/>
      <c r="B8" s="86" t="s">
        <v>251</v>
      </c>
      <c r="C8" s="86"/>
      <c r="D8" s="86"/>
      <c r="E8" s="86"/>
      <c r="F8" s="45"/>
    </row>
    <row r="9" spans="1:6" s="13" customFormat="1" ht="15" customHeight="1">
      <c r="A9" s="45"/>
      <c r="B9" s="86"/>
      <c r="C9" s="86"/>
      <c r="D9" s="86"/>
      <c r="E9" s="86"/>
      <c r="F9" s="49"/>
    </row>
    <row r="10" spans="1:6" s="13" customFormat="1" ht="15" customHeight="1">
      <c r="A10" s="45"/>
      <c r="B10" s="86"/>
      <c r="C10" s="86"/>
      <c r="D10" s="86"/>
      <c r="E10" s="86"/>
      <c r="F10" s="45"/>
    </row>
    <row r="11" spans="1:6" s="13" customFormat="1" ht="15" customHeight="1">
      <c r="A11" s="45"/>
      <c r="B11" s="50"/>
      <c r="C11" s="50"/>
      <c r="D11" s="50"/>
      <c r="E11" s="50"/>
      <c r="F11" s="45"/>
    </row>
    <row r="12" spans="1:6" s="13" customFormat="1" ht="37" customHeight="1">
      <c r="A12" s="45"/>
      <c r="B12" s="73" t="s">
        <v>24</v>
      </c>
      <c r="C12" s="73" t="s">
        <v>28</v>
      </c>
      <c r="D12" s="73" t="s">
        <v>19</v>
      </c>
      <c r="E12" s="73" t="s">
        <v>18</v>
      </c>
      <c r="F12" s="45"/>
    </row>
    <row r="13" spans="1:6" ht="14.5" customHeight="1">
      <c r="A13" s="35"/>
      <c r="B13" s="89" t="s">
        <v>158</v>
      </c>
      <c r="C13" s="54" t="s">
        <v>177</v>
      </c>
      <c r="D13" s="55">
        <v>23</v>
      </c>
      <c r="E13" s="56">
        <v>1.225098540535E-3</v>
      </c>
      <c r="F13" s="35"/>
    </row>
    <row r="14" spans="1:6" ht="14.5" customHeight="1">
      <c r="A14" s="35"/>
      <c r="B14" s="90"/>
      <c r="C14" s="54" t="s">
        <v>178</v>
      </c>
      <c r="D14" s="55">
        <v>27</v>
      </c>
      <c r="E14" s="56">
        <v>1.4381591562800001E-3</v>
      </c>
      <c r="F14" s="35"/>
    </row>
    <row r="15" spans="1:6" ht="14.5" customHeight="1">
      <c r="A15" s="35"/>
      <c r="B15" s="91"/>
      <c r="C15" s="65" t="s">
        <v>321</v>
      </c>
      <c r="D15" s="64">
        <v>50</v>
      </c>
      <c r="E15" s="66">
        <v>2.6632576968149998E-3</v>
      </c>
      <c r="F15" s="35"/>
    </row>
    <row r="16" spans="1:6" ht="14.5" customHeight="1">
      <c r="A16" s="35"/>
      <c r="B16" s="89" t="s">
        <v>174</v>
      </c>
      <c r="C16" s="54" t="s">
        <v>178</v>
      </c>
      <c r="D16" s="55">
        <v>2</v>
      </c>
      <c r="E16" s="56">
        <v>1.06530307873E-4</v>
      </c>
      <c r="F16" s="35"/>
    </row>
    <row r="17" spans="1:6" ht="14.5" customHeight="1">
      <c r="A17" s="35"/>
      <c r="B17" s="90"/>
      <c r="C17" s="65" t="s">
        <v>321</v>
      </c>
      <c r="D17" s="64">
        <v>2</v>
      </c>
      <c r="E17" s="66">
        <v>1.06530307873E-4</v>
      </c>
      <c r="F17" s="35"/>
    </row>
    <row r="18" spans="1:6" ht="14.5" customHeight="1">
      <c r="A18" s="35"/>
      <c r="B18" s="91"/>
      <c r="C18" s="54" t="s">
        <v>177</v>
      </c>
      <c r="D18" s="55">
        <v>534</v>
      </c>
      <c r="E18" s="56">
        <v>2.8443592201981002E-2</v>
      </c>
      <c r="F18" s="35"/>
    </row>
    <row r="19" spans="1:6" ht="14.5" customHeight="1">
      <c r="A19" s="35"/>
      <c r="B19" s="100" t="s">
        <v>179</v>
      </c>
      <c r="C19" s="54" t="s">
        <v>178</v>
      </c>
      <c r="D19" s="55">
        <v>568</v>
      </c>
      <c r="E19" s="56">
        <v>3.0254607435815001E-2</v>
      </c>
      <c r="F19" s="35"/>
    </row>
    <row r="20" spans="1:6" ht="14.5" customHeight="1">
      <c r="A20" s="35"/>
      <c r="B20" s="101"/>
      <c r="C20" s="65" t="s">
        <v>321</v>
      </c>
      <c r="D20" s="64">
        <v>1102</v>
      </c>
      <c r="E20" s="66">
        <v>5.8698199637797002E-2</v>
      </c>
      <c r="F20" s="35"/>
    </row>
    <row r="21" spans="1:6" ht="14.5" customHeight="1">
      <c r="A21" s="35"/>
      <c r="B21" s="89" t="s">
        <v>144</v>
      </c>
      <c r="C21" s="54" t="s">
        <v>177</v>
      </c>
      <c r="D21" s="55">
        <v>63</v>
      </c>
      <c r="E21" s="56">
        <v>3.3557046979869999E-3</v>
      </c>
      <c r="F21" s="35"/>
    </row>
    <row r="22" spans="1:6" ht="14.5" customHeight="1">
      <c r="A22" s="35"/>
      <c r="B22" s="90"/>
      <c r="C22" s="54" t="s">
        <v>178</v>
      </c>
      <c r="D22" s="55">
        <v>99</v>
      </c>
      <c r="E22" s="56">
        <v>5.273250239693E-3</v>
      </c>
      <c r="F22" s="35"/>
    </row>
    <row r="23" spans="1:6" ht="14.5" customHeight="1">
      <c r="A23" s="35"/>
      <c r="B23" s="91"/>
      <c r="C23" s="65" t="s">
        <v>321</v>
      </c>
      <c r="D23" s="64">
        <v>162</v>
      </c>
      <c r="E23" s="66">
        <v>8.6289549376800008E-3</v>
      </c>
      <c r="F23" s="35"/>
    </row>
    <row r="24" spans="1:6" ht="14.5" customHeight="1">
      <c r="A24" s="35"/>
      <c r="B24" s="89" t="s">
        <v>135</v>
      </c>
      <c r="C24" s="54" t="s">
        <v>177</v>
      </c>
      <c r="D24" s="55">
        <v>638</v>
      </c>
      <c r="E24" s="56">
        <v>3.3983168211356003E-2</v>
      </c>
      <c r="F24" s="35"/>
    </row>
    <row r="25" spans="1:6" ht="14.5" customHeight="1">
      <c r="A25" s="35"/>
      <c r="B25" s="90"/>
      <c r="C25" s="54" t="s">
        <v>178</v>
      </c>
      <c r="D25" s="55">
        <v>559</v>
      </c>
      <c r="E25" s="56">
        <v>2.9775221050389E-2</v>
      </c>
      <c r="F25" s="35"/>
    </row>
    <row r="26" spans="1:6" ht="14.5" customHeight="1">
      <c r="A26" s="35"/>
      <c r="B26" s="91"/>
      <c r="C26" s="65" t="s">
        <v>321</v>
      </c>
      <c r="D26" s="64">
        <v>1197</v>
      </c>
      <c r="E26" s="66">
        <v>6.3758389261744999E-2</v>
      </c>
      <c r="F26" s="35"/>
    </row>
    <row r="27" spans="1:6" ht="14.5" customHeight="1">
      <c r="A27" s="35"/>
      <c r="B27" s="89" t="s">
        <v>132</v>
      </c>
      <c r="C27" s="54" t="s">
        <v>177</v>
      </c>
      <c r="D27" s="55">
        <v>1073</v>
      </c>
      <c r="E27" s="56">
        <v>5.7153510173644E-2</v>
      </c>
      <c r="F27" s="35"/>
    </row>
    <row r="28" spans="1:6" ht="14.5" customHeight="1">
      <c r="A28" s="35"/>
      <c r="B28" s="90"/>
      <c r="C28" s="54" t="s">
        <v>178</v>
      </c>
      <c r="D28" s="55">
        <v>1357</v>
      </c>
      <c r="E28" s="56">
        <v>7.2280813891551998E-2</v>
      </c>
      <c r="F28" s="35"/>
    </row>
    <row r="29" spans="1:6" ht="14.5" customHeight="1">
      <c r="A29" s="35"/>
      <c r="B29" s="91"/>
      <c r="C29" s="65" t="s">
        <v>321</v>
      </c>
      <c r="D29" s="64">
        <v>2430</v>
      </c>
      <c r="E29" s="66">
        <v>0.129434324065197</v>
      </c>
      <c r="F29" s="35"/>
    </row>
    <row r="30" spans="1:6" ht="14.5" customHeight="1">
      <c r="A30" s="35"/>
      <c r="B30" s="89" t="s">
        <v>169</v>
      </c>
      <c r="C30" s="54" t="s">
        <v>177</v>
      </c>
      <c r="D30" s="55">
        <v>2</v>
      </c>
      <c r="E30" s="56">
        <v>1.06530307873E-4</v>
      </c>
      <c r="F30" s="35"/>
    </row>
    <row r="31" spans="1:6" ht="14.5" customHeight="1">
      <c r="A31" s="35"/>
      <c r="B31" s="90"/>
      <c r="C31" s="54" t="s">
        <v>178</v>
      </c>
      <c r="D31" s="55">
        <v>6</v>
      </c>
      <c r="E31" s="56">
        <v>3.1959092361799997E-4</v>
      </c>
      <c r="F31" s="35"/>
    </row>
    <row r="32" spans="1:6" ht="14.5" customHeight="1">
      <c r="A32" s="35"/>
      <c r="B32" s="91"/>
      <c r="C32" s="65" t="s">
        <v>321</v>
      </c>
      <c r="D32" s="64">
        <v>8</v>
      </c>
      <c r="E32" s="66">
        <v>4.2612123148999997E-4</v>
      </c>
      <c r="F32" s="35"/>
    </row>
    <row r="33" spans="1:6" ht="14.5" customHeight="1">
      <c r="A33" s="35"/>
      <c r="B33" s="89" t="s">
        <v>167</v>
      </c>
      <c r="C33" s="54" t="s">
        <v>177</v>
      </c>
      <c r="D33" s="55">
        <v>5</v>
      </c>
      <c r="E33" s="56">
        <v>2.6632576968100001E-4</v>
      </c>
      <c r="F33" s="35"/>
    </row>
    <row r="34" spans="1:6" ht="14.5" customHeight="1">
      <c r="A34" s="35"/>
      <c r="B34" s="90"/>
      <c r="C34" s="54" t="s">
        <v>178</v>
      </c>
      <c r="D34" s="55">
        <v>6</v>
      </c>
      <c r="E34" s="56">
        <v>3.1959092361799997E-4</v>
      </c>
      <c r="F34" s="35"/>
    </row>
    <row r="35" spans="1:6" ht="14.5" customHeight="1">
      <c r="A35" s="35"/>
      <c r="B35" s="91"/>
      <c r="C35" s="65" t="s">
        <v>321</v>
      </c>
      <c r="D35" s="64">
        <v>11</v>
      </c>
      <c r="E35" s="66">
        <v>5.8591669329900004E-4</v>
      </c>
      <c r="F35" s="35"/>
    </row>
    <row r="36" spans="1:6" ht="14.5" customHeight="1">
      <c r="A36" s="35"/>
      <c r="B36" s="89" t="s">
        <v>149</v>
      </c>
      <c r="C36" s="54" t="s">
        <v>177</v>
      </c>
      <c r="D36" s="55">
        <v>43</v>
      </c>
      <c r="E36" s="56">
        <v>2.2904016192610002E-3</v>
      </c>
      <c r="F36" s="35"/>
    </row>
    <row r="37" spans="1:6" ht="14.5" customHeight="1">
      <c r="A37" s="35"/>
      <c r="B37" s="90"/>
      <c r="C37" s="54" t="s">
        <v>178</v>
      </c>
      <c r="D37" s="55">
        <v>55</v>
      </c>
      <c r="E37" s="56">
        <v>2.9295834664960002E-3</v>
      </c>
      <c r="F37" s="35"/>
    </row>
    <row r="38" spans="1:6" ht="14.5" customHeight="1">
      <c r="A38" s="35"/>
      <c r="B38" s="91"/>
      <c r="C38" s="65" t="s">
        <v>321</v>
      </c>
      <c r="D38" s="64">
        <v>98</v>
      </c>
      <c r="E38" s="66">
        <v>5.2199850857570004E-3</v>
      </c>
      <c r="F38" s="35"/>
    </row>
    <row r="39" spans="1:6" ht="14.5" customHeight="1">
      <c r="A39" s="35"/>
      <c r="B39" s="89" t="s">
        <v>153</v>
      </c>
      <c r="C39" s="54" t="s">
        <v>177</v>
      </c>
      <c r="D39" s="55">
        <v>34</v>
      </c>
      <c r="E39" s="56">
        <v>1.8110152338339999E-3</v>
      </c>
      <c r="F39" s="35"/>
    </row>
    <row r="40" spans="1:6" ht="14.5" customHeight="1">
      <c r="A40" s="35"/>
      <c r="B40" s="90"/>
      <c r="C40" s="54" t="s">
        <v>178</v>
      </c>
      <c r="D40" s="55">
        <v>34</v>
      </c>
      <c r="E40" s="56">
        <v>1.8110152338339999E-3</v>
      </c>
      <c r="F40" s="35"/>
    </row>
    <row r="41" spans="1:6" ht="14.5" customHeight="1">
      <c r="A41" s="35"/>
      <c r="B41" s="91"/>
      <c r="C41" s="65" t="s">
        <v>321</v>
      </c>
      <c r="D41" s="64">
        <v>68</v>
      </c>
      <c r="E41" s="66">
        <v>3.6220304676679999E-3</v>
      </c>
      <c r="F41" s="35"/>
    </row>
    <row r="42" spans="1:6" ht="14.5" customHeight="1">
      <c r="A42" s="35"/>
      <c r="B42" s="89" t="s">
        <v>175</v>
      </c>
      <c r="C42" s="54" t="s">
        <v>177</v>
      </c>
      <c r="D42" s="55">
        <v>1</v>
      </c>
      <c r="E42" s="56">
        <v>5.3265153936E-5</v>
      </c>
      <c r="F42" s="35"/>
    </row>
    <row r="43" spans="1:6" ht="14.5" customHeight="1">
      <c r="A43" s="35"/>
      <c r="B43" s="90"/>
      <c r="C43" s="54" t="s">
        <v>178</v>
      </c>
      <c r="D43" s="55">
        <v>1</v>
      </c>
      <c r="E43" s="56">
        <v>5.3265153936E-5</v>
      </c>
      <c r="F43" s="35"/>
    </row>
    <row r="44" spans="1:6" ht="14.5" customHeight="1">
      <c r="A44" s="35"/>
      <c r="B44" s="91"/>
      <c r="C44" s="65" t="s">
        <v>321</v>
      </c>
      <c r="D44" s="64">
        <v>2</v>
      </c>
      <c r="E44" s="66">
        <v>1.06530307873E-4</v>
      </c>
      <c r="F44" s="35"/>
    </row>
    <row r="45" spans="1:6" ht="14.5" customHeight="1">
      <c r="A45" s="35"/>
      <c r="B45" s="89" t="s">
        <v>152</v>
      </c>
      <c r="C45" s="54" t="s">
        <v>177</v>
      </c>
      <c r="D45" s="55">
        <v>30</v>
      </c>
      <c r="E45" s="56">
        <v>1.5979546180890001E-3</v>
      </c>
      <c r="F45" s="35"/>
    </row>
    <row r="46" spans="1:6" ht="14.5" customHeight="1">
      <c r="A46" s="35"/>
      <c r="B46" s="90"/>
      <c r="C46" s="54" t="s">
        <v>178</v>
      </c>
      <c r="D46" s="55">
        <v>40</v>
      </c>
      <c r="E46" s="56">
        <v>2.130606157452E-3</v>
      </c>
      <c r="F46" s="35"/>
    </row>
    <row r="47" spans="1:6" ht="14.5" customHeight="1">
      <c r="A47" s="35"/>
      <c r="B47" s="91"/>
      <c r="C47" s="65" t="s">
        <v>321</v>
      </c>
      <c r="D47" s="64">
        <v>70</v>
      </c>
      <c r="E47" s="66">
        <v>3.728560775541E-3</v>
      </c>
      <c r="F47" s="35"/>
    </row>
    <row r="48" spans="1:6" ht="14.5" customHeight="1">
      <c r="A48" s="35"/>
      <c r="B48" s="89" t="s">
        <v>138</v>
      </c>
      <c r="C48" s="54" t="s">
        <v>177</v>
      </c>
      <c r="D48" s="55">
        <v>232</v>
      </c>
      <c r="E48" s="56">
        <v>1.235751571322E-2</v>
      </c>
      <c r="F48" s="35"/>
    </row>
    <row r="49" spans="1:6" ht="14.5" customHeight="1">
      <c r="A49" s="35"/>
      <c r="B49" s="90"/>
      <c r="C49" s="54" t="s">
        <v>178</v>
      </c>
      <c r="D49" s="55">
        <v>229</v>
      </c>
      <c r="E49" s="56">
        <v>1.2197720251411999E-2</v>
      </c>
      <c r="F49" s="35"/>
    </row>
    <row r="50" spans="1:6" ht="14.5" customHeight="1">
      <c r="A50" s="35"/>
      <c r="B50" s="91"/>
      <c r="C50" s="65" t="s">
        <v>321</v>
      </c>
      <c r="D50" s="64">
        <v>461</v>
      </c>
      <c r="E50" s="66">
        <v>2.4555235964632001E-2</v>
      </c>
      <c r="F50" s="35"/>
    </row>
    <row r="51" spans="1:6" ht="14.5" customHeight="1">
      <c r="A51" s="35"/>
      <c r="B51" s="89" t="s">
        <v>146</v>
      </c>
      <c r="C51" s="54" t="s">
        <v>177</v>
      </c>
      <c r="D51" s="55">
        <v>68</v>
      </c>
      <c r="E51" s="56">
        <v>3.6220304676679999E-3</v>
      </c>
      <c r="F51" s="35"/>
    </row>
    <row r="52" spans="1:6" ht="14.5" customHeight="1">
      <c r="A52" s="35"/>
      <c r="B52" s="90"/>
      <c r="C52" s="54" t="s">
        <v>178</v>
      </c>
      <c r="D52" s="55">
        <v>60</v>
      </c>
      <c r="E52" s="56">
        <v>3.1959092361780001E-3</v>
      </c>
      <c r="F52" s="35"/>
    </row>
    <row r="53" spans="1:6" ht="14.5" customHeight="1">
      <c r="A53" s="35"/>
      <c r="B53" s="91"/>
      <c r="C53" s="65" t="s">
        <v>321</v>
      </c>
      <c r="D53" s="64">
        <v>128</v>
      </c>
      <c r="E53" s="66">
        <v>6.817939703846E-3</v>
      </c>
      <c r="F53" s="35"/>
    </row>
    <row r="54" spans="1:6" ht="14.5" customHeight="1">
      <c r="A54" s="35"/>
      <c r="B54" s="89" t="s">
        <v>151</v>
      </c>
      <c r="C54" s="54" t="s">
        <v>177</v>
      </c>
      <c r="D54" s="55">
        <v>37</v>
      </c>
      <c r="E54" s="56">
        <v>1.9708106956430002E-3</v>
      </c>
      <c r="F54" s="35"/>
    </row>
    <row r="55" spans="1:6" ht="14.5" customHeight="1">
      <c r="A55" s="35"/>
      <c r="B55" s="90"/>
      <c r="C55" s="54" t="s">
        <v>178</v>
      </c>
      <c r="D55" s="55">
        <v>41</v>
      </c>
      <c r="E55" s="56">
        <v>2.183871311388E-3</v>
      </c>
      <c r="F55" s="35"/>
    </row>
    <row r="56" spans="1:6" ht="14.5" customHeight="1">
      <c r="A56" s="35"/>
      <c r="B56" s="91"/>
      <c r="C56" s="65" t="s">
        <v>321</v>
      </c>
      <c r="D56" s="64">
        <v>78</v>
      </c>
      <c r="E56" s="66">
        <v>4.1546820070309997E-3</v>
      </c>
      <c r="F56" s="35"/>
    </row>
    <row r="57" spans="1:6" ht="14.5" customHeight="1">
      <c r="A57" s="35"/>
      <c r="B57" s="89" t="s">
        <v>137</v>
      </c>
      <c r="C57" s="54" t="s">
        <v>177</v>
      </c>
      <c r="D57" s="55">
        <v>493</v>
      </c>
      <c r="E57" s="56">
        <v>2.6259720890592999E-2</v>
      </c>
      <c r="F57" s="35"/>
    </row>
    <row r="58" spans="1:6" ht="14.5" customHeight="1">
      <c r="A58" s="35"/>
      <c r="B58" s="90"/>
      <c r="C58" s="54" t="s">
        <v>178</v>
      </c>
      <c r="D58" s="55">
        <v>566</v>
      </c>
      <c r="E58" s="56">
        <v>3.0148077127942999E-2</v>
      </c>
      <c r="F58" s="35"/>
    </row>
    <row r="59" spans="1:6" ht="14.5" customHeight="1">
      <c r="A59" s="35"/>
      <c r="B59" s="91"/>
      <c r="C59" s="65" t="s">
        <v>321</v>
      </c>
      <c r="D59" s="64">
        <v>1059</v>
      </c>
      <c r="E59" s="66">
        <v>5.6407798018536001E-2</v>
      </c>
      <c r="F59" s="35"/>
    </row>
    <row r="60" spans="1:6" ht="14.5" customHeight="1">
      <c r="A60" s="35"/>
      <c r="B60" s="89" t="s">
        <v>157</v>
      </c>
      <c r="C60" s="54" t="s">
        <v>177</v>
      </c>
      <c r="D60" s="55">
        <v>36</v>
      </c>
      <c r="E60" s="56">
        <v>1.9175455417070001E-3</v>
      </c>
      <c r="F60" s="35"/>
    </row>
    <row r="61" spans="1:6" ht="14.5" customHeight="1">
      <c r="A61" s="35"/>
      <c r="B61" s="90"/>
      <c r="C61" s="54" t="s">
        <v>178</v>
      </c>
      <c r="D61" s="55">
        <v>23</v>
      </c>
      <c r="E61" s="56">
        <v>1.225098540535E-3</v>
      </c>
      <c r="F61" s="35"/>
    </row>
    <row r="62" spans="1:6" ht="14.5" customHeight="1">
      <c r="A62" s="35"/>
      <c r="B62" s="91"/>
      <c r="C62" s="65" t="s">
        <v>321</v>
      </c>
      <c r="D62" s="64">
        <v>59</v>
      </c>
      <c r="E62" s="66">
        <v>3.142644082241E-3</v>
      </c>
      <c r="F62" s="35"/>
    </row>
    <row r="63" spans="1:6" ht="14.5" customHeight="1">
      <c r="A63" s="35"/>
      <c r="B63" s="89" t="s">
        <v>155</v>
      </c>
      <c r="C63" s="54" t="s">
        <v>177</v>
      </c>
      <c r="D63" s="55">
        <v>26</v>
      </c>
      <c r="E63" s="56">
        <v>1.384894002344E-3</v>
      </c>
      <c r="F63" s="35"/>
    </row>
    <row r="64" spans="1:6" ht="14.5" customHeight="1">
      <c r="A64" s="35"/>
      <c r="B64" s="90"/>
      <c r="C64" s="54" t="s">
        <v>178</v>
      </c>
      <c r="D64" s="55">
        <v>34</v>
      </c>
      <c r="E64" s="56">
        <v>1.8110152338339999E-3</v>
      </c>
      <c r="F64" s="35"/>
    </row>
    <row r="65" spans="1:6" ht="14.5" customHeight="1">
      <c r="A65" s="35"/>
      <c r="B65" s="91"/>
      <c r="C65" s="65" t="s">
        <v>321</v>
      </c>
      <c r="D65" s="64">
        <v>60</v>
      </c>
      <c r="E65" s="66">
        <v>3.1959092361780001E-3</v>
      </c>
      <c r="F65" s="35"/>
    </row>
    <row r="66" spans="1:6" ht="14.5" customHeight="1">
      <c r="A66" s="35"/>
      <c r="B66" s="89" t="s">
        <v>172</v>
      </c>
      <c r="C66" s="54" t="s">
        <v>177</v>
      </c>
      <c r="D66" s="55">
        <v>2</v>
      </c>
      <c r="E66" s="56">
        <v>1.06530307873E-4</v>
      </c>
      <c r="F66" s="35"/>
    </row>
    <row r="67" spans="1:6" ht="14.5" customHeight="1">
      <c r="A67" s="35"/>
      <c r="B67" s="90"/>
      <c r="C67" s="54" t="s">
        <v>178</v>
      </c>
      <c r="D67" s="55">
        <v>3</v>
      </c>
      <c r="E67" s="56">
        <v>1.5979546180899999E-4</v>
      </c>
      <c r="F67" s="35"/>
    </row>
    <row r="68" spans="1:6" ht="14.5" customHeight="1">
      <c r="A68" s="35"/>
      <c r="B68" s="91"/>
      <c r="C68" s="65" t="s">
        <v>321</v>
      </c>
      <c r="D68" s="64">
        <v>5</v>
      </c>
      <c r="E68" s="66">
        <v>2.6632576968100001E-4</v>
      </c>
      <c r="F68" s="35"/>
    </row>
    <row r="69" spans="1:6" ht="14.5" customHeight="1">
      <c r="A69" s="35"/>
      <c r="B69" s="89" t="s">
        <v>176</v>
      </c>
      <c r="C69" s="54" t="s">
        <v>177</v>
      </c>
      <c r="D69" s="55">
        <v>1</v>
      </c>
      <c r="E69" s="56">
        <v>5.3265153936E-5</v>
      </c>
      <c r="F69" s="35"/>
    </row>
    <row r="70" spans="1:6" ht="14.5" customHeight="1">
      <c r="A70" s="35"/>
      <c r="B70" s="90"/>
      <c r="C70" s="54" t="s">
        <v>178</v>
      </c>
      <c r="D70" s="55">
        <v>1</v>
      </c>
      <c r="E70" s="56">
        <v>5.3265153936E-5</v>
      </c>
      <c r="F70" s="35"/>
    </row>
    <row r="71" spans="1:6" ht="14.5" customHeight="1">
      <c r="A71" s="35"/>
      <c r="B71" s="91"/>
      <c r="C71" s="65" t="s">
        <v>321</v>
      </c>
      <c r="D71" s="64">
        <v>2</v>
      </c>
      <c r="E71" s="66">
        <v>1.06530307873E-4</v>
      </c>
      <c r="F71" s="35"/>
    </row>
    <row r="72" spans="1:6" ht="14.5" customHeight="1">
      <c r="A72" s="35"/>
      <c r="B72" s="89" t="s">
        <v>156</v>
      </c>
      <c r="C72" s="54" t="s">
        <v>177</v>
      </c>
      <c r="D72" s="55">
        <v>26</v>
      </c>
      <c r="E72" s="56">
        <v>1.384894002344E-3</v>
      </c>
      <c r="F72" s="35"/>
    </row>
    <row r="73" spans="1:6" ht="14.5" customHeight="1">
      <c r="A73" s="35"/>
      <c r="B73" s="90"/>
      <c r="C73" s="54" t="s">
        <v>178</v>
      </c>
      <c r="D73" s="55">
        <v>34</v>
      </c>
      <c r="E73" s="56">
        <v>1.8110152338339999E-3</v>
      </c>
      <c r="F73" s="35"/>
    </row>
    <row r="74" spans="1:6" ht="14.5" customHeight="1">
      <c r="A74" s="35"/>
      <c r="B74" s="91"/>
      <c r="C74" s="65" t="s">
        <v>321</v>
      </c>
      <c r="D74" s="64">
        <v>60</v>
      </c>
      <c r="E74" s="66">
        <v>3.1959092361780001E-3</v>
      </c>
      <c r="F74" s="35"/>
    </row>
    <row r="75" spans="1:6" ht="14.5" customHeight="1">
      <c r="A75" s="35"/>
      <c r="B75" s="89" t="s">
        <v>143</v>
      </c>
      <c r="C75" s="54" t="s">
        <v>177</v>
      </c>
      <c r="D75" s="55">
        <v>66</v>
      </c>
      <c r="E75" s="56">
        <v>3.5155001597950001E-3</v>
      </c>
      <c r="F75" s="35"/>
    </row>
    <row r="76" spans="1:6" ht="14.5" customHeight="1">
      <c r="A76" s="35"/>
      <c r="B76" s="90"/>
      <c r="C76" s="54" t="s">
        <v>178</v>
      </c>
      <c r="D76" s="55">
        <v>101</v>
      </c>
      <c r="E76" s="56">
        <v>5.3797805475660002E-3</v>
      </c>
      <c r="F76" s="35"/>
    </row>
    <row r="77" spans="1:6" ht="14.5" customHeight="1">
      <c r="A77" s="35"/>
      <c r="B77" s="91"/>
      <c r="C77" s="65" t="s">
        <v>321</v>
      </c>
      <c r="D77" s="64">
        <v>167</v>
      </c>
      <c r="E77" s="66">
        <v>8.8952807073609998E-3</v>
      </c>
      <c r="F77" s="35"/>
    </row>
    <row r="78" spans="1:6" ht="14.5" customHeight="1">
      <c r="A78" s="35"/>
      <c r="B78" s="89" t="s">
        <v>154</v>
      </c>
      <c r="C78" s="54" t="s">
        <v>177</v>
      </c>
      <c r="D78" s="55">
        <v>31</v>
      </c>
      <c r="E78" s="56">
        <v>1.6512197720249999E-3</v>
      </c>
      <c r="F78" s="35"/>
    </row>
    <row r="79" spans="1:6" ht="14.5" customHeight="1">
      <c r="A79" s="35"/>
      <c r="B79" s="90"/>
      <c r="C79" s="54" t="s">
        <v>178</v>
      </c>
      <c r="D79" s="55">
        <v>33</v>
      </c>
      <c r="E79" s="56">
        <v>1.7577500798980001E-3</v>
      </c>
      <c r="F79" s="35"/>
    </row>
    <row r="80" spans="1:6" ht="14.5" customHeight="1">
      <c r="A80" s="35"/>
      <c r="B80" s="91"/>
      <c r="C80" s="65" t="s">
        <v>321</v>
      </c>
      <c r="D80" s="64">
        <v>64</v>
      </c>
      <c r="E80" s="66">
        <v>3.408969851923E-3</v>
      </c>
      <c r="F80" s="35"/>
    </row>
    <row r="81" spans="1:6" ht="14.5" customHeight="1">
      <c r="A81" s="35"/>
      <c r="B81" s="89" t="s">
        <v>140</v>
      </c>
      <c r="C81" s="54" t="s">
        <v>177</v>
      </c>
      <c r="D81" s="55">
        <v>165</v>
      </c>
      <c r="E81" s="56">
        <v>8.7887503994890006E-3</v>
      </c>
      <c r="F81" s="35"/>
    </row>
    <row r="82" spans="1:6" ht="14.5" customHeight="1">
      <c r="A82" s="35"/>
      <c r="B82" s="90"/>
      <c r="C82" s="54" t="s">
        <v>178</v>
      </c>
      <c r="D82" s="55">
        <v>172</v>
      </c>
      <c r="E82" s="56">
        <v>9.1616064770429998E-3</v>
      </c>
      <c r="F82" s="35"/>
    </row>
    <row r="83" spans="1:6" ht="14.5" customHeight="1">
      <c r="A83" s="35"/>
      <c r="B83" s="91"/>
      <c r="C83" s="65" t="s">
        <v>321</v>
      </c>
      <c r="D83" s="64">
        <v>337</v>
      </c>
      <c r="E83" s="66">
        <v>1.7950356876531001E-2</v>
      </c>
      <c r="F83" s="35"/>
    </row>
    <row r="84" spans="1:6" ht="14.5" customHeight="1">
      <c r="A84" s="35"/>
      <c r="B84" s="89" t="s">
        <v>170</v>
      </c>
      <c r="C84" s="54" t="s">
        <v>177</v>
      </c>
      <c r="D84" s="55">
        <v>4</v>
      </c>
      <c r="E84" s="56">
        <v>2.1306061574499999E-4</v>
      </c>
      <c r="F84" s="35"/>
    </row>
    <row r="85" spans="1:6" ht="14.5" customHeight="1">
      <c r="A85" s="35"/>
      <c r="B85" s="90"/>
      <c r="C85" s="54" t="s">
        <v>178</v>
      </c>
      <c r="D85" s="55">
        <v>4</v>
      </c>
      <c r="E85" s="56">
        <v>2.1306061574499999E-4</v>
      </c>
      <c r="F85" s="35"/>
    </row>
    <row r="86" spans="1:6" ht="14.5" customHeight="1">
      <c r="A86" s="35"/>
      <c r="B86" s="91"/>
      <c r="C86" s="65" t="s">
        <v>321</v>
      </c>
      <c r="D86" s="64">
        <v>8</v>
      </c>
      <c r="E86" s="66">
        <v>4.2612123148999997E-4</v>
      </c>
      <c r="F86" s="35"/>
    </row>
    <row r="87" spans="1:6" ht="14.5" customHeight="1">
      <c r="A87" s="35"/>
      <c r="B87" s="89" t="s">
        <v>142</v>
      </c>
      <c r="C87" s="54" t="s">
        <v>177</v>
      </c>
      <c r="D87" s="55">
        <v>110</v>
      </c>
      <c r="E87" s="56">
        <v>5.8591669329920004E-3</v>
      </c>
      <c r="F87" s="35"/>
    </row>
    <row r="88" spans="1:6" ht="14.5" customHeight="1">
      <c r="A88" s="35"/>
      <c r="B88" s="90"/>
      <c r="C88" s="54" t="s">
        <v>178</v>
      </c>
      <c r="D88" s="55">
        <v>106</v>
      </c>
      <c r="E88" s="56">
        <v>5.6461063172470001E-3</v>
      </c>
      <c r="F88" s="35"/>
    </row>
    <row r="89" spans="1:6" ht="14.5" customHeight="1">
      <c r="A89" s="35"/>
      <c r="B89" s="91"/>
      <c r="C89" s="65" t="s">
        <v>321</v>
      </c>
      <c r="D89" s="64">
        <v>216</v>
      </c>
      <c r="E89" s="66">
        <v>1.150527325024E-2</v>
      </c>
      <c r="F89" s="35"/>
    </row>
    <row r="90" spans="1:6" ht="14.5" customHeight="1">
      <c r="A90" s="35"/>
      <c r="B90" s="89" t="s">
        <v>139</v>
      </c>
      <c r="C90" s="54" t="s">
        <v>177</v>
      </c>
      <c r="D90" s="55">
        <v>218</v>
      </c>
      <c r="E90" s="56">
        <v>1.1611803558112E-2</v>
      </c>
      <c r="F90" s="35"/>
    </row>
    <row r="91" spans="1:6" ht="14.5" customHeight="1">
      <c r="A91" s="35"/>
      <c r="B91" s="90"/>
      <c r="C91" s="54" t="s">
        <v>178</v>
      </c>
      <c r="D91" s="55">
        <v>213</v>
      </c>
      <c r="E91" s="56">
        <v>1.1345477788431001E-2</v>
      </c>
      <c r="F91" s="35"/>
    </row>
    <row r="92" spans="1:6" ht="14.5" customHeight="1">
      <c r="A92" s="35"/>
      <c r="B92" s="91"/>
      <c r="C92" s="65" t="s">
        <v>321</v>
      </c>
      <c r="D92" s="64">
        <v>431</v>
      </c>
      <c r="E92" s="66">
        <v>2.2957281346542999E-2</v>
      </c>
      <c r="F92" s="35"/>
    </row>
    <row r="93" spans="1:6" ht="14.5" customHeight="1">
      <c r="A93" s="35"/>
      <c r="B93" s="89" t="s">
        <v>171</v>
      </c>
      <c r="C93" s="54" t="s">
        <v>177</v>
      </c>
      <c r="D93" s="55">
        <v>7</v>
      </c>
      <c r="E93" s="56">
        <v>3.7285607755399997E-4</v>
      </c>
      <c r="F93" s="35"/>
    </row>
    <row r="94" spans="1:6" ht="14.5" customHeight="1">
      <c r="A94" s="35"/>
      <c r="B94" s="90"/>
      <c r="C94" s="54" t="s">
        <v>178</v>
      </c>
      <c r="D94" s="55">
        <v>1</v>
      </c>
      <c r="E94" s="56">
        <v>5.3265153936E-5</v>
      </c>
      <c r="F94" s="35"/>
    </row>
    <row r="95" spans="1:6" ht="14.5" customHeight="1">
      <c r="A95" s="35"/>
      <c r="B95" s="91"/>
      <c r="C95" s="65" t="s">
        <v>321</v>
      </c>
      <c r="D95" s="64">
        <v>8</v>
      </c>
      <c r="E95" s="66">
        <v>4.2612123148999997E-4</v>
      </c>
      <c r="F95" s="35"/>
    </row>
    <row r="96" spans="1:6" ht="14.5" customHeight="1">
      <c r="A96" s="35"/>
      <c r="B96" s="89" t="s">
        <v>133</v>
      </c>
      <c r="C96" s="54" t="s">
        <v>177</v>
      </c>
      <c r="D96" s="55">
        <v>894</v>
      </c>
      <c r="E96" s="56">
        <v>4.7619047619047998E-2</v>
      </c>
      <c r="F96" s="35"/>
    </row>
    <row r="97" spans="1:6" ht="14.5" customHeight="1">
      <c r="A97" s="35"/>
      <c r="B97" s="90"/>
      <c r="C97" s="54" t="s">
        <v>178</v>
      </c>
      <c r="D97" s="55">
        <v>1024</v>
      </c>
      <c r="E97" s="56">
        <v>5.4543517630766002E-2</v>
      </c>
      <c r="F97" s="35"/>
    </row>
    <row r="98" spans="1:6" ht="14.5" customHeight="1">
      <c r="A98" s="35"/>
      <c r="B98" s="91"/>
      <c r="C98" s="65" t="s">
        <v>321</v>
      </c>
      <c r="D98" s="64">
        <v>1918</v>
      </c>
      <c r="E98" s="66">
        <v>0.102162565249814</v>
      </c>
      <c r="F98" s="35"/>
    </row>
    <row r="99" spans="1:6" ht="14.5" customHeight="1">
      <c r="A99" s="35"/>
      <c r="B99" s="89" t="s">
        <v>163</v>
      </c>
      <c r="C99" s="54" t="s">
        <v>177</v>
      </c>
      <c r="D99" s="55">
        <v>11</v>
      </c>
      <c r="E99" s="56">
        <v>5.8591669329900004E-4</v>
      </c>
      <c r="F99" s="35"/>
    </row>
    <row r="100" spans="1:6" ht="14.5" customHeight="1">
      <c r="A100" s="35"/>
      <c r="B100" s="90"/>
      <c r="C100" s="54" t="s">
        <v>178</v>
      </c>
      <c r="D100" s="55">
        <v>16</v>
      </c>
      <c r="E100" s="56">
        <v>8.5224246298100002E-4</v>
      </c>
      <c r="F100" s="35"/>
    </row>
    <row r="101" spans="1:6" ht="14.5" customHeight="1">
      <c r="A101" s="35"/>
      <c r="B101" s="91"/>
      <c r="C101" s="65" t="s">
        <v>321</v>
      </c>
      <c r="D101" s="64">
        <v>27</v>
      </c>
      <c r="E101" s="66">
        <v>1.4381591562800001E-3</v>
      </c>
      <c r="F101" s="35"/>
    </row>
    <row r="102" spans="1:6" ht="14.5" customHeight="1">
      <c r="A102" s="35"/>
      <c r="B102" s="89" t="s">
        <v>150</v>
      </c>
      <c r="C102" s="54" t="s">
        <v>177</v>
      </c>
      <c r="D102" s="55">
        <v>37</v>
      </c>
      <c r="E102" s="56">
        <v>1.9708106956430002E-3</v>
      </c>
      <c r="F102" s="35"/>
    </row>
    <row r="103" spans="1:6" ht="14.5" customHeight="1">
      <c r="A103" s="35"/>
      <c r="B103" s="90"/>
      <c r="C103" s="54" t="s">
        <v>178</v>
      </c>
      <c r="D103" s="55">
        <v>46</v>
      </c>
      <c r="E103" s="56">
        <v>2.45019708107E-3</v>
      </c>
      <c r="F103" s="35"/>
    </row>
    <row r="104" spans="1:6" ht="14.5" customHeight="1">
      <c r="A104" s="35"/>
      <c r="B104" s="91"/>
      <c r="C104" s="65" t="s">
        <v>321</v>
      </c>
      <c r="D104" s="64">
        <v>83</v>
      </c>
      <c r="E104" s="66">
        <v>4.4210077767119996E-3</v>
      </c>
      <c r="F104" s="35"/>
    </row>
    <row r="105" spans="1:6" ht="14.5" customHeight="1">
      <c r="A105" s="35"/>
      <c r="B105" s="89" t="s">
        <v>165</v>
      </c>
      <c r="C105" s="54" t="s">
        <v>177</v>
      </c>
      <c r="D105" s="55">
        <v>2</v>
      </c>
      <c r="E105" s="56">
        <v>1.06530307873E-4</v>
      </c>
      <c r="F105" s="35"/>
    </row>
    <row r="106" spans="1:6" ht="14.5" customHeight="1">
      <c r="A106" s="35"/>
      <c r="B106" s="90"/>
      <c r="C106" s="54" t="s">
        <v>178</v>
      </c>
      <c r="D106" s="55">
        <v>13</v>
      </c>
      <c r="E106" s="56">
        <v>6.92447001172E-4</v>
      </c>
      <c r="F106" s="35"/>
    </row>
    <row r="107" spans="1:6" ht="14.5" customHeight="1">
      <c r="A107" s="35"/>
      <c r="B107" s="91"/>
      <c r="C107" s="65" t="s">
        <v>321</v>
      </c>
      <c r="D107" s="64">
        <v>15</v>
      </c>
      <c r="E107" s="66">
        <v>7.98977309044E-4</v>
      </c>
      <c r="F107" s="35"/>
    </row>
    <row r="108" spans="1:6" ht="14.5" customHeight="1">
      <c r="A108" s="35"/>
      <c r="B108" s="89" t="s">
        <v>159</v>
      </c>
      <c r="C108" s="54" t="s">
        <v>177</v>
      </c>
      <c r="D108" s="55">
        <v>10</v>
      </c>
      <c r="E108" s="56">
        <v>5.3265153936299999E-4</v>
      </c>
      <c r="F108" s="35"/>
    </row>
    <row r="109" spans="1:6" ht="14.5" customHeight="1">
      <c r="A109" s="35"/>
      <c r="B109" s="90"/>
      <c r="C109" s="54" t="s">
        <v>178</v>
      </c>
      <c r="D109" s="55">
        <v>23</v>
      </c>
      <c r="E109" s="56">
        <v>1.225098540535E-3</v>
      </c>
      <c r="F109" s="35"/>
    </row>
    <row r="110" spans="1:6" ht="14.5" customHeight="1">
      <c r="A110" s="35"/>
      <c r="B110" s="91"/>
      <c r="C110" s="65" t="s">
        <v>321</v>
      </c>
      <c r="D110" s="64">
        <v>33</v>
      </c>
      <c r="E110" s="66">
        <v>1.7577500798980001E-3</v>
      </c>
      <c r="F110" s="35"/>
    </row>
    <row r="111" spans="1:6" ht="14.5" customHeight="1">
      <c r="A111" s="35"/>
      <c r="B111" s="89" t="s">
        <v>134</v>
      </c>
      <c r="C111" s="54" t="s">
        <v>177</v>
      </c>
      <c r="D111" s="55">
        <v>766</v>
      </c>
      <c r="E111" s="56">
        <v>4.0801107915202001E-2</v>
      </c>
      <c r="F111" s="35"/>
    </row>
    <row r="112" spans="1:6" ht="14.5" customHeight="1">
      <c r="A112" s="35"/>
      <c r="B112" s="90"/>
      <c r="C112" s="54" t="s">
        <v>178</v>
      </c>
      <c r="D112" s="55">
        <v>729</v>
      </c>
      <c r="E112" s="56">
        <v>3.8830297219559003E-2</v>
      </c>
      <c r="F112" s="35"/>
    </row>
    <row r="113" spans="1:6" ht="14.5" customHeight="1">
      <c r="A113" s="35"/>
      <c r="B113" s="91"/>
      <c r="C113" s="65" t="s">
        <v>321</v>
      </c>
      <c r="D113" s="64">
        <v>1495</v>
      </c>
      <c r="E113" s="66">
        <v>7.9631405134760996E-2</v>
      </c>
      <c r="F113" s="35"/>
    </row>
    <row r="114" spans="1:6" ht="14.5" customHeight="1">
      <c r="A114" s="35"/>
      <c r="B114" s="89" t="s">
        <v>168</v>
      </c>
      <c r="C114" s="54" t="s">
        <v>177</v>
      </c>
      <c r="D114" s="55">
        <v>7</v>
      </c>
      <c r="E114" s="56">
        <v>3.7285607755399997E-4</v>
      </c>
      <c r="F114" s="35"/>
    </row>
    <row r="115" spans="1:6" ht="14.5" customHeight="1">
      <c r="A115" s="35"/>
      <c r="B115" s="90"/>
      <c r="C115" s="54" t="s">
        <v>178</v>
      </c>
      <c r="D115" s="55">
        <v>4</v>
      </c>
      <c r="E115" s="56">
        <v>2.1306061574499999E-4</v>
      </c>
      <c r="F115" s="35"/>
    </row>
    <row r="116" spans="1:6" ht="14.5" customHeight="1">
      <c r="A116" s="35"/>
      <c r="B116" s="91"/>
      <c r="C116" s="65" t="s">
        <v>321</v>
      </c>
      <c r="D116" s="64">
        <v>11</v>
      </c>
      <c r="E116" s="66">
        <v>5.8591669329900004E-4</v>
      </c>
      <c r="F116" s="35"/>
    </row>
    <row r="117" spans="1:6" ht="14.5" customHeight="1">
      <c r="A117" s="35"/>
      <c r="B117" s="89" t="s">
        <v>164</v>
      </c>
      <c r="C117" s="54" t="s">
        <v>177</v>
      </c>
      <c r="D117" s="55">
        <v>8</v>
      </c>
      <c r="E117" s="56">
        <v>4.2612123148999997E-4</v>
      </c>
      <c r="F117" s="35"/>
    </row>
    <row r="118" spans="1:6" ht="14.5" customHeight="1">
      <c r="A118" s="35"/>
      <c r="B118" s="90"/>
      <c r="C118" s="54" t="s">
        <v>178</v>
      </c>
      <c r="D118" s="55">
        <v>13</v>
      </c>
      <c r="E118" s="56">
        <v>6.92447001172E-4</v>
      </c>
      <c r="F118" s="35"/>
    </row>
    <row r="119" spans="1:6" ht="14.5" customHeight="1">
      <c r="A119" s="35"/>
      <c r="B119" s="91"/>
      <c r="C119" s="65" t="s">
        <v>321</v>
      </c>
      <c r="D119" s="64">
        <v>21</v>
      </c>
      <c r="E119" s="66">
        <v>1.118568232662E-3</v>
      </c>
      <c r="F119" s="35"/>
    </row>
    <row r="120" spans="1:6" ht="14.5" customHeight="1">
      <c r="A120" s="35"/>
      <c r="B120" s="89" t="s">
        <v>160</v>
      </c>
      <c r="C120" s="54" t="s">
        <v>177</v>
      </c>
      <c r="D120" s="55">
        <v>16</v>
      </c>
      <c r="E120" s="56">
        <v>8.5224246298100002E-4</v>
      </c>
      <c r="F120" s="35"/>
    </row>
    <row r="121" spans="1:6" ht="14.5" customHeight="1">
      <c r="A121" s="35"/>
      <c r="B121" s="90"/>
      <c r="C121" s="54" t="s">
        <v>178</v>
      </c>
      <c r="D121" s="55">
        <v>17</v>
      </c>
      <c r="E121" s="56">
        <v>9.0550761691699996E-4</v>
      </c>
      <c r="F121" s="35"/>
    </row>
    <row r="122" spans="1:6" ht="14.5" customHeight="1">
      <c r="A122" s="35"/>
      <c r="B122" s="91"/>
      <c r="C122" s="65" t="s">
        <v>321</v>
      </c>
      <c r="D122" s="64">
        <v>33</v>
      </c>
      <c r="E122" s="66">
        <v>1.7577500798980001E-3</v>
      </c>
      <c r="F122" s="35"/>
    </row>
    <row r="123" spans="1:6" ht="14.5" customHeight="1">
      <c r="A123" s="35"/>
      <c r="B123" s="89" t="s">
        <v>166</v>
      </c>
      <c r="C123" s="54" t="s">
        <v>177</v>
      </c>
      <c r="D123" s="55">
        <v>6</v>
      </c>
      <c r="E123" s="56">
        <v>3.1959092361799997E-4</v>
      </c>
      <c r="F123" s="35"/>
    </row>
    <row r="124" spans="1:6" ht="14.5" customHeight="1">
      <c r="A124" s="35"/>
      <c r="B124" s="90"/>
      <c r="C124" s="54" t="s">
        <v>178</v>
      </c>
      <c r="D124" s="55">
        <v>8</v>
      </c>
      <c r="E124" s="56">
        <v>4.2612123148999997E-4</v>
      </c>
      <c r="F124" s="35"/>
    </row>
    <row r="125" spans="1:6" ht="14.5" customHeight="1">
      <c r="A125" s="35"/>
      <c r="B125" s="91"/>
      <c r="C125" s="65" t="s">
        <v>321</v>
      </c>
      <c r="D125" s="64">
        <v>14</v>
      </c>
      <c r="E125" s="66">
        <v>7.4571215510799995E-4</v>
      </c>
      <c r="F125" s="35"/>
    </row>
    <row r="126" spans="1:6" ht="14.5" customHeight="1">
      <c r="A126" s="35"/>
      <c r="B126" s="89" t="s">
        <v>145</v>
      </c>
      <c r="C126" s="54" t="s">
        <v>177</v>
      </c>
      <c r="D126" s="55">
        <v>69</v>
      </c>
      <c r="E126" s="56">
        <v>3.6752956216039999E-3</v>
      </c>
      <c r="F126" s="35"/>
    </row>
    <row r="127" spans="1:6" ht="14.5" customHeight="1">
      <c r="A127" s="35"/>
      <c r="B127" s="90"/>
      <c r="C127" s="54" t="s">
        <v>178</v>
      </c>
      <c r="D127" s="55">
        <v>80</v>
      </c>
      <c r="E127" s="56">
        <v>4.2612123149039999E-3</v>
      </c>
      <c r="F127" s="35"/>
    </row>
    <row r="128" spans="1:6" ht="14.5" customHeight="1">
      <c r="A128" s="35"/>
      <c r="B128" s="91"/>
      <c r="C128" s="65" t="s">
        <v>321</v>
      </c>
      <c r="D128" s="64">
        <v>149</v>
      </c>
      <c r="E128" s="66">
        <v>7.9365079365080003E-3</v>
      </c>
      <c r="F128" s="35"/>
    </row>
    <row r="129" spans="1:6" ht="14.5" customHeight="1">
      <c r="A129" s="35"/>
      <c r="B129" s="89" t="s">
        <v>131</v>
      </c>
      <c r="C129" s="54" t="s">
        <v>177</v>
      </c>
      <c r="D129" s="55">
        <v>3077</v>
      </c>
      <c r="E129" s="56">
        <v>0.163896878661979</v>
      </c>
      <c r="F129" s="35"/>
    </row>
    <row r="130" spans="1:6" ht="14.5" customHeight="1">
      <c r="A130" s="35"/>
      <c r="B130" s="90"/>
      <c r="C130" s="54" t="s">
        <v>178</v>
      </c>
      <c r="D130" s="55">
        <v>3018</v>
      </c>
      <c r="E130" s="56">
        <v>0.160754234579738</v>
      </c>
      <c r="F130" s="35"/>
    </row>
    <row r="131" spans="1:6" ht="14.5" customHeight="1">
      <c r="A131" s="35"/>
      <c r="B131" s="91"/>
      <c r="C131" s="65" t="s">
        <v>321</v>
      </c>
      <c r="D131" s="64">
        <v>6095</v>
      </c>
      <c r="E131" s="66">
        <v>0.32465111324171703</v>
      </c>
      <c r="F131" s="35"/>
    </row>
    <row r="132" spans="1:6" ht="14.5" customHeight="1">
      <c r="A132" s="35"/>
      <c r="B132" s="89" t="s">
        <v>141</v>
      </c>
      <c r="C132" s="54" t="s">
        <v>177</v>
      </c>
      <c r="D132" s="55">
        <v>110</v>
      </c>
      <c r="E132" s="56">
        <v>5.8591669329920004E-3</v>
      </c>
      <c r="F132" s="35"/>
    </row>
    <row r="133" spans="1:6" ht="14.5" customHeight="1">
      <c r="A133" s="35"/>
      <c r="B133" s="90"/>
      <c r="C133" s="54" t="s">
        <v>178</v>
      </c>
      <c r="D133" s="55">
        <v>147</v>
      </c>
      <c r="E133" s="56">
        <v>7.8299776286350001E-3</v>
      </c>
      <c r="F133" s="35"/>
    </row>
    <row r="134" spans="1:6" ht="14.5" customHeight="1">
      <c r="A134" s="35"/>
      <c r="B134" s="90"/>
      <c r="C134" s="54" t="s">
        <v>180</v>
      </c>
      <c r="D134" s="55">
        <v>1</v>
      </c>
      <c r="E134" s="56">
        <v>5.3265153936E-5</v>
      </c>
      <c r="F134" s="35"/>
    </row>
    <row r="135" spans="1:6" ht="14.5" customHeight="1">
      <c r="A135" s="35"/>
      <c r="B135" s="91"/>
      <c r="C135" s="65" t="s">
        <v>321</v>
      </c>
      <c r="D135" s="64">
        <v>258</v>
      </c>
      <c r="E135" s="66">
        <v>1.3742409715563999E-2</v>
      </c>
      <c r="F135" s="35"/>
    </row>
    <row r="136" spans="1:6" ht="14.5" customHeight="1">
      <c r="A136" s="35"/>
      <c r="B136" s="89" t="s">
        <v>162</v>
      </c>
      <c r="C136" s="54" t="s">
        <v>177</v>
      </c>
      <c r="D136" s="55">
        <v>17</v>
      </c>
      <c r="E136" s="56">
        <v>9.0550761691699996E-4</v>
      </c>
      <c r="F136" s="35"/>
    </row>
    <row r="137" spans="1:6" ht="14.5" customHeight="1">
      <c r="A137" s="35"/>
      <c r="B137" s="90"/>
      <c r="C137" s="54" t="s">
        <v>178</v>
      </c>
      <c r="D137" s="55">
        <v>12</v>
      </c>
      <c r="E137" s="56">
        <v>6.3918184723599995E-4</v>
      </c>
      <c r="F137" s="35"/>
    </row>
    <row r="138" spans="1:6" ht="14.5" customHeight="1">
      <c r="A138" s="35"/>
      <c r="B138" s="91"/>
      <c r="C138" s="65" t="s">
        <v>321</v>
      </c>
      <c r="D138" s="64">
        <v>29</v>
      </c>
      <c r="E138" s="66">
        <v>1.544689464153E-3</v>
      </c>
      <c r="F138" s="35"/>
    </row>
    <row r="139" spans="1:6" ht="14.5" customHeight="1">
      <c r="A139" s="35"/>
      <c r="B139" s="89" t="s">
        <v>161</v>
      </c>
      <c r="C139" s="54" t="s">
        <v>177</v>
      </c>
      <c r="D139" s="55">
        <v>12</v>
      </c>
      <c r="E139" s="56">
        <v>6.3918184723599995E-4</v>
      </c>
      <c r="F139" s="35"/>
    </row>
    <row r="140" spans="1:6" ht="14.5" customHeight="1">
      <c r="A140" s="35"/>
      <c r="B140" s="90"/>
      <c r="C140" s="54" t="s">
        <v>178</v>
      </c>
      <c r="D140" s="55">
        <v>19</v>
      </c>
      <c r="E140" s="56">
        <v>1.0120379247899999E-3</v>
      </c>
      <c r="F140" s="35"/>
    </row>
    <row r="141" spans="1:6" ht="14.5" customHeight="1">
      <c r="A141" s="35"/>
      <c r="B141" s="91"/>
      <c r="C141" s="65" t="s">
        <v>321</v>
      </c>
      <c r="D141" s="64">
        <v>31</v>
      </c>
      <c r="E141" s="66">
        <v>1.6512197720249999E-3</v>
      </c>
      <c r="F141" s="35"/>
    </row>
    <row r="142" spans="1:6" ht="14.5" customHeight="1">
      <c r="A142" s="35"/>
      <c r="B142" s="89" t="s">
        <v>173</v>
      </c>
      <c r="C142" s="54" t="s">
        <v>177</v>
      </c>
      <c r="D142" s="55">
        <v>1</v>
      </c>
      <c r="E142" s="56">
        <v>5.3265153936E-5</v>
      </c>
      <c r="F142" s="35"/>
    </row>
    <row r="143" spans="1:6" ht="14.5" customHeight="1">
      <c r="A143" s="35"/>
      <c r="B143" s="90"/>
      <c r="C143" s="54" t="s">
        <v>178</v>
      </c>
      <c r="D143" s="55">
        <v>2</v>
      </c>
      <c r="E143" s="56">
        <v>1.06530307873E-4</v>
      </c>
      <c r="F143" s="35"/>
    </row>
    <row r="144" spans="1:6" ht="14.5" customHeight="1">
      <c r="A144" s="35"/>
      <c r="B144" s="91"/>
      <c r="C144" s="65" t="s">
        <v>321</v>
      </c>
      <c r="D144" s="64">
        <v>3</v>
      </c>
      <c r="E144" s="66">
        <v>1.5979546180899999E-4</v>
      </c>
      <c r="F144" s="35"/>
    </row>
    <row r="145" spans="1:6" ht="14.5" customHeight="1">
      <c r="A145" s="35"/>
      <c r="B145" s="89" t="s">
        <v>147</v>
      </c>
      <c r="C145" s="54" t="s">
        <v>177</v>
      </c>
      <c r="D145" s="55">
        <v>57</v>
      </c>
      <c r="E145" s="56">
        <v>3.0361137743689999E-3</v>
      </c>
      <c r="F145" s="35"/>
    </row>
    <row r="146" spans="1:6" ht="14.5" customHeight="1">
      <c r="A146" s="35"/>
      <c r="B146" s="90"/>
      <c r="C146" s="54" t="s">
        <v>178</v>
      </c>
      <c r="D146" s="55">
        <v>56</v>
      </c>
      <c r="E146" s="56">
        <v>2.9828486204329999E-3</v>
      </c>
      <c r="F146" s="35"/>
    </row>
    <row r="147" spans="1:6" ht="14.5" customHeight="1">
      <c r="A147" s="35"/>
      <c r="B147" s="91"/>
      <c r="C147" s="65" t="s">
        <v>321</v>
      </c>
      <c r="D147" s="64">
        <v>113</v>
      </c>
      <c r="E147" s="66">
        <v>6.0189623948010001E-3</v>
      </c>
      <c r="F147" s="35"/>
    </row>
    <row r="148" spans="1:6" ht="14.5" customHeight="1">
      <c r="A148" s="35"/>
      <c r="B148" s="89" t="s">
        <v>148</v>
      </c>
      <c r="C148" s="54" t="s">
        <v>177</v>
      </c>
      <c r="D148" s="55">
        <v>44</v>
      </c>
      <c r="E148" s="56">
        <v>2.3436667731969998E-3</v>
      </c>
      <c r="F148" s="35"/>
    </row>
    <row r="149" spans="1:6" ht="14.5" customHeight="1">
      <c r="A149" s="35"/>
      <c r="B149" s="90"/>
      <c r="C149" s="54" t="s">
        <v>178</v>
      </c>
      <c r="D149" s="55">
        <v>59</v>
      </c>
      <c r="E149" s="56">
        <v>3.142644082241E-3</v>
      </c>
      <c r="F149" s="35"/>
    </row>
    <row r="150" spans="1:6" ht="14.5" customHeight="1">
      <c r="A150" s="35"/>
      <c r="B150" s="91"/>
      <c r="C150" s="65" t="s">
        <v>321</v>
      </c>
      <c r="D150" s="64">
        <v>103</v>
      </c>
      <c r="E150" s="66">
        <v>5.4863108554380003E-3</v>
      </c>
      <c r="F150" s="35"/>
    </row>
    <row r="151" spans="1:6" ht="14.5" customHeight="1">
      <c r="A151" s="35"/>
      <c r="B151" s="87" t="s">
        <v>321</v>
      </c>
      <c r="C151" s="88"/>
      <c r="D151" s="52">
        <v>18774</v>
      </c>
      <c r="E151" s="53">
        <v>1</v>
      </c>
      <c r="F151" s="35"/>
    </row>
    <row r="152" spans="1:6" ht="14.5" customHeight="1">
      <c r="A152" s="35"/>
      <c r="B152" s="32"/>
      <c r="C152" s="32"/>
      <c r="D152" s="38"/>
      <c r="E152" s="32"/>
      <c r="F152" s="35"/>
    </row>
    <row r="153" spans="1:6" ht="14.5" customHeight="1">
      <c r="A153" s="35"/>
      <c r="B153" s="37" t="s">
        <v>130</v>
      </c>
      <c r="C153" s="32"/>
      <c r="D153" s="38"/>
      <c r="E153" s="32"/>
      <c r="F153" s="35"/>
    </row>
    <row r="154" spans="1:6" ht="14.5" customHeight="1">
      <c r="B154" s="39" t="s">
        <v>17</v>
      </c>
      <c r="C154" s="45"/>
      <c r="D154" s="38"/>
      <c r="E154" s="32"/>
      <c r="F154" s="35"/>
    </row>
    <row r="155" spans="1:6" ht="14.5" customHeight="1">
      <c r="B155" s="40" t="s">
        <v>44</v>
      </c>
      <c r="C155" s="45"/>
      <c r="D155" s="38"/>
      <c r="E155" s="32"/>
      <c r="F155" s="35"/>
    </row>
    <row r="156" spans="1:6" ht="14.5" customHeight="1">
      <c r="B156" s="37" t="s">
        <v>16</v>
      </c>
      <c r="C156" s="46"/>
      <c r="D156" s="38"/>
      <c r="E156" s="32"/>
      <c r="F156" s="35"/>
    </row>
    <row r="157" spans="1:6" ht="14.5" customHeight="1">
      <c r="B157" s="37" t="s">
        <v>320</v>
      </c>
      <c r="C157" s="46"/>
      <c r="D157" s="38"/>
      <c r="E157" s="32"/>
      <c r="F157" s="35"/>
    </row>
    <row r="158" spans="1:6" ht="16.5">
      <c r="C158" s="46"/>
      <c r="D158" s="38"/>
      <c r="E158" s="32"/>
      <c r="F158" s="35"/>
    </row>
    <row r="159" spans="1:6" ht="12">
      <c r="A159" s="35"/>
      <c r="B159" s="32"/>
      <c r="C159" s="32"/>
      <c r="D159" s="38"/>
      <c r="E159" s="32"/>
      <c r="F159" s="35"/>
    </row>
  </sheetData>
  <mergeCells count="48">
    <mergeCell ref="B8:E10"/>
    <mergeCell ref="B13:B15"/>
    <mergeCell ref="B16:B18"/>
    <mergeCell ref="B19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151:C151"/>
    <mergeCell ref="B145:B147"/>
    <mergeCell ref="B148:B150"/>
    <mergeCell ref="B129:B131"/>
    <mergeCell ref="B132:B135"/>
    <mergeCell ref="B136:B138"/>
    <mergeCell ref="B139:B141"/>
    <mergeCell ref="B142:B14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76"/>
  <sheetViews>
    <sheetView showGridLines="0" view="pageBreakPreview" zoomScale="115" zoomScaleNormal="98" zoomScaleSheetLayoutView="115" workbookViewId="0">
      <selection activeCell="D12" sqref="D12"/>
    </sheetView>
  </sheetViews>
  <sheetFormatPr baseColWidth="10" defaultColWidth="11.453125" defaultRowHeight="10"/>
  <cols>
    <col min="1" max="1" width="5.7265625" style="17" customWidth="1"/>
    <col min="2" max="2" width="20.81640625" style="24" customWidth="1"/>
    <col min="3" max="3" width="21.453125" style="24" customWidth="1"/>
    <col min="4" max="4" width="18.81640625" style="27" customWidth="1"/>
    <col min="5" max="5" width="15.1796875" style="24" bestFit="1" customWidth="1"/>
    <col min="6" max="6" width="5.7265625" style="17" customWidth="1"/>
    <col min="7" max="16384" width="11.453125" style="17"/>
  </cols>
  <sheetData>
    <row r="1" spans="1:6" s="13" customFormat="1" ht="14.5">
      <c r="B1" s="24"/>
      <c r="C1" s="24"/>
    </row>
    <row r="2" spans="1:6" s="24" customFormat="1">
      <c r="B2" s="29"/>
    </row>
    <row r="3" spans="1:6" ht="15" customHeight="1">
      <c r="B3" s="30"/>
      <c r="C3" s="20"/>
      <c r="D3" s="17"/>
      <c r="F3" s="24"/>
    </row>
    <row r="4" spans="1:6" ht="30" customHeight="1">
      <c r="B4" s="30"/>
      <c r="C4" s="20"/>
      <c r="D4" s="17"/>
      <c r="F4" s="24"/>
    </row>
    <row r="5" spans="1:6" ht="15" customHeight="1">
      <c r="B5" s="30"/>
      <c r="C5" s="20"/>
      <c r="D5" s="17"/>
      <c r="F5" s="24"/>
    </row>
    <row r="6" spans="1:6" s="24" customFormat="1" ht="10.5">
      <c r="B6" s="26"/>
      <c r="C6" s="23"/>
    </row>
    <row r="7" spans="1:6" s="24" customFormat="1">
      <c r="B7" s="29"/>
    </row>
    <row r="8" spans="1:6" s="13" customFormat="1" ht="15" customHeight="1">
      <c r="A8" s="45"/>
      <c r="B8" s="86" t="s">
        <v>252</v>
      </c>
      <c r="C8" s="86"/>
      <c r="D8" s="86"/>
      <c r="E8" s="86"/>
      <c r="F8" s="45"/>
    </row>
    <row r="9" spans="1:6" s="13" customFormat="1" ht="15" customHeight="1">
      <c r="A9" s="45"/>
      <c r="B9" s="86"/>
      <c r="C9" s="86"/>
      <c r="D9" s="86"/>
      <c r="E9" s="86"/>
      <c r="F9" s="49"/>
    </row>
    <row r="10" spans="1:6" s="13" customFormat="1" ht="15" customHeight="1">
      <c r="A10" s="45"/>
      <c r="B10" s="86"/>
      <c r="C10" s="86"/>
      <c r="D10" s="86"/>
      <c r="E10" s="86"/>
      <c r="F10" s="45"/>
    </row>
    <row r="11" spans="1:6" s="13" customFormat="1" ht="15" customHeight="1">
      <c r="A11" s="45"/>
      <c r="B11" s="50"/>
      <c r="C11" s="50"/>
      <c r="D11" s="50"/>
      <c r="E11" s="50"/>
      <c r="F11" s="45"/>
    </row>
    <row r="12" spans="1:6" s="13" customFormat="1" ht="37" customHeight="1">
      <c r="A12" s="45"/>
      <c r="B12" s="73" t="s">
        <v>250</v>
      </c>
      <c r="C12" s="73" t="s">
        <v>28</v>
      </c>
      <c r="D12" s="73" t="s">
        <v>19</v>
      </c>
      <c r="E12" s="73" t="s">
        <v>18</v>
      </c>
      <c r="F12" s="45"/>
    </row>
    <row r="13" spans="1:6" ht="14.5" customHeight="1">
      <c r="A13" s="35"/>
      <c r="B13" s="95" t="s">
        <v>48</v>
      </c>
      <c r="C13" s="71" t="s">
        <v>253</v>
      </c>
      <c r="D13" s="55">
        <v>913</v>
      </c>
      <c r="E13" s="56">
        <v>4.8631085543837001E-2</v>
      </c>
      <c r="F13" s="35"/>
    </row>
    <row r="14" spans="1:6" ht="14.5" customHeight="1">
      <c r="A14" s="35"/>
      <c r="B14" s="96"/>
      <c r="C14" s="71" t="s">
        <v>254</v>
      </c>
      <c r="D14" s="55">
        <v>1046</v>
      </c>
      <c r="E14" s="56">
        <v>5.5715351017364002E-2</v>
      </c>
      <c r="F14" s="35"/>
    </row>
    <row r="15" spans="1:6" ht="14.5" customHeight="1">
      <c r="A15" s="35"/>
      <c r="B15" s="97"/>
      <c r="C15" s="74" t="s">
        <v>321</v>
      </c>
      <c r="D15" s="64">
        <v>1959</v>
      </c>
      <c r="E15" s="66">
        <v>0.104346436561202</v>
      </c>
      <c r="F15" s="35"/>
    </row>
    <row r="16" spans="1:6" ht="14.5" customHeight="1">
      <c r="A16" s="35"/>
      <c r="B16" s="95" t="s">
        <v>61</v>
      </c>
      <c r="C16" s="71" t="s">
        <v>253</v>
      </c>
      <c r="D16" s="55">
        <v>71</v>
      </c>
      <c r="E16" s="56">
        <v>3.7818259294770001E-3</v>
      </c>
      <c r="F16" s="35"/>
    </row>
    <row r="17" spans="1:6" ht="14.5" customHeight="1">
      <c r="A17" s="35"/>
      <c r="B17" s="96"/>
      <c r="C17" s="71" t="s">
        <v>254</v>
      </c>
      <c r="D17" s="55">
        <v>68</v>
      </c>
      <c r="E17" s="56">
        <v>3.6220304676679999E-3</v>
      </c>
      <c r="F17" s="35"/>
    </row>
    <row r="18" spans="1:6" ht="14.5" customHeight="1">
      <c r="A18" s="35"/>
      <c r="B18" s="97"/>
      <c r="C18" s="74" t="s">
        <v>321</v>
      </c>
      <c r="D18" s="64">
        <v>139</v>
      </c>
      <c r="E18" s="66">
        <v>7.4038563971450004E-3</v>
      </c>
      <c r="F18" s="35"/>
    </row>
    <row r="19" spans="1:6" ht="14.5" customHeight="1">
      <c r="A19" s="35"/>
      <c r="B19" s="95" t="s">
        <v>63</v>
      </c>
      <c r="C19" s="71" t="s">
        <v>253</v>
      </c>
      <c r="D19" s="55">
        <v>62</v>
      </c>
      <c r="E19" s="56">
        <v>3.3024395440499998E-3</v>
      </c>
      <c r="F19" s="35"/>
    </row>
    <row r="20" spans="1:6" ht="14.5" customHeight="1">
      <c r="A20" s="35"/>
      <c r="B20" s="96"/>
      <c r="C20" s="71" t="s">
        <v>254</v>
      </c>
      <c r="D20" s="55">
        <v>59</v>
      </c>
      <c r="E20" s="56">
        <v>3.142644082241E-3</v>
      </c>
      <c r="F20" s="35"/>
    </row>
    <row r="21" spans="1:6" ht="14.5" customHeight="1">
      <c r="A21" s="35"/>
      <c r="B21" s="97"/>
      <c r="C21" s="74" t="s">
        <v>321</v>
      </c>
      <c r="D21" s="64">
        <v>121</v>
      </c>
      <c r="E21" s="66">
        <v>6.4450836262919999E-3</v>
      </c>
      <c r="F21" s="35"/>
    </row>
    <row r="22" spans="1:6" ht="14.5" customHeight="1">
      <c r="A22" s="35"/>
      <c r="B22" s="95" t="s">
        <v>67</v>
      </c>
      <c r="C22" s="71" t="s">
        <v>253</v>
      </c>
      <c r="D22" s="55">
        <v>36</v>
      </c>
      <c r="E22" s="56">
        <v>1.9175455417070001E-3</v>
      </c>
      <c r="F22" s="35"/>
    </row>
    <row r="23" spans="1:6" ht="14.5" customHeight="1">
      <c r="A23" s="35"/>
      <c r="B23" s="96"/>
      <c r="C23" s="71" t="s">
        <v>254</v>
      </c>
      <c r="D23" s="55">
        <v>52</v>
      </c>
      <c r="E23" s="56">
        <v>2.7697880046869999E-3</v>
      </c>
      <c r="F23" s="35"/>
    </row>
    <row r="24" spans="1:6" ht="14.5" customHeight="1">
      <c r="A24" s="35"/>
      <c r="B24" s="97"/>
      <c r="C24" s="74" t="s">
        <v>321</v>
      </c>
      <c r="D24" s="64">
        <v>88</v>
      </c>
      <c r="E24" s="66">
        <v>4.6873335463939996E-3</v>
      </c>
      <c r="F24" s="35"/>
    </row>
    <row r="25" spans="1:6" ht="14.5" customHeight="1">
      <c r="A25" s="35"/>
      <c r="B25" s="95" t="s">
        <v>91</v>
      </c>
      <c r="C25" s="71" t="s">
        <v>253</v>
      </c>
      <c r="D25" s="55">
        <v>3</v>
      </c>
      <c r="E25" s="56">
        <v>1.5979546180899999E-4</v>
      </c>
      <c r="F25" s="35"/>
    </row>
    <row r="26" spans="1:6" ht="14.5" customHeight="1">
      <c r="A26" s="35"/>
      <c r="B26" s="96"/>
      <c r="C26" s="71" t="s">
        <v>254</v>
      </c>
      <c r="D26" s="55">
        <v>5</v>
      </c>
      <c r="E26" s="56">
        <v>2.6632576968100001E-4</v>
      </c>
      <c r="F26" s="35"/>
    </row>
    <row r="27" spans="1:6" ht="14.5" customHeight="1">
      <c r="A27" s="35"/>
      <c r="B27" s="97"/>
      <c r="C27" s="74" t="s">
        <v>321</v>
      </c>
      <c r="D27" s="64">
        <v>8</v>
      </c>
      <c r="E27" s="66">
        <v>4.2612123148999997E-4</v>
      </c>
      <c r="F27" s="35"/>
    </row>
    <row r="28" spans="1:6" ht="14.5" customHeight="1">
      <c r="A28" s="35"/>
      <c r="B28" s="95" t="s">
        <v>87</v>
      </c>
      <c r="C28" s="71" t="s">
        <v>253</v>
      </c>
      <c r="D28" s="55">
        <v>8</v>
      </c>
      <c r="E28" s="56">
        <v>4.2612123148999997E-4</v>
      </c>
      <c r="F28" s="35"/>
    </row>
    <row r="29" spans="1:6" ht="14.5" customHeight="1">
      <c r="A29" s="35"/>
      <c r="B29" s="96"/>
      <c r="C29" s="71" t="s">
        <v>254</v>
      </c>
      <c r="D29" s="55">
        <v>10</v>
      </c>
      <c r="E29" s="56">
        <v>5.3265153936299999E-4</v>
      </c>
      <c r="F29" s="35"/>
    </row>
    <row r="30" spans="1:6" ht="14.5" customHeight="1">
      <c r="A30" s="35"/>
      <c r="B30" s="97"/>
      <c r="C30" s="74" t="s">
        <v>321</v>
      </c>
      <c r="D30" s="64">
        <v>18</v>
      </c>
      <c r="E30" s="66">
        <v>9.5877277085300002E-4</v>
      </c>
      <c r="F30" s="35"/>
    </row>
    <row r="31" spans="1:6" ht="14.5" customHeight="1">
      <c r="A31" s="35"/>
      <c r="B31" s="95" t="s">
        <v>90</v>
      </c>
      <c r="C31" s="71" t="s">
        <v>253</v>
      </c>
      <c r="D31" s="55">
        <v>2</v>
      </c>
      <c r="E31" s="56">
        <v>1.06530307873E-4</v>
      </c>
      <c r="F31" s="35"/>
    </row>
    <row r="32" spans="1:6" ht="14.5" customHeight="1">
      <c r="A32" s="35"/>
      <c r="B32" s="96"/>
      <c r="C32" s="71" t="s">
        <v>254</v>
      </c>
      <c r="D32" s="55">
        <v>3</v>
      </c>
      <c r="E32" s="56">
        <v>1.5979546180899999E-4</v>
      </c>
      <c r="F32" s="35"/>
    </row>
    <row r="33" spans="1:6" ht="14.5" customHeight="1">
      <c r="A33" s="35"/>
      <c r="B33" s="97"/>
      <c r="C33" s="74" t="s">
        <v>321</v>
      </c>
      <c r="D33" s="64">
        <v>5</v>
      </c>
      <c r="E33" s="66">
        <v>2.6632576968100001E-4</v>
      </c>
      <c r="F33" s="35"/>
    </row>
    <row r="34" spans="1:6" ht="14.5" customHeight="1">
      <c r="A34" s="35"/>
      <c r="B34" s="95" t="s">
        <v>52</v>
      </c>
      <c r="C34" s="71" t="s">
        <v>253</v>
      </c>
      <c r="D34" s="55">
        <v>295</v>
      </c>
      <c r="E34" s="56">
        <v>1.5713220411206999E-2</v>
      </c>
      <c r="F34" s="35"/>
    </row>
    <row r="35" spans="1:6" ht="14.5" customHeight="1">
      <c r="A35" s="35"/>
      <c r="B35" s="96"/>
      <c r="C35" s="71" t="s">
        <v>254</v>
      </c>
      <c r="D35" s="55">
        <v>299</v>
      </c>
      <c r="E35" s="56">
        <v>1.5926281026952E-2</v>
      </c>
      <c r="F35" s="35"/>
    </row>
    <row r="36" spans="1:6" ht="14.5" customHeight="1">
      <c r="A36" s="35"/>
      <c r="B36" s="97"/>
      <c r="C36" s="74" t="s">
        <v>321</v>
      </c>
      <c r="D36" s="64">
        <v>594</v>
      </c>
      <c r="E36" s="66">
        <v>3.1639501438159003E-2</v>
      </c>
      <c r="F36" s="35"/>
    </row>
    <row r="37" spans="1:6" ht="14.5" customHeight="1">
      <c r="A37" s="35"/>
      <c r="B37" s="95" t="s">
        <v>47</v>
      </c>
      <c r="C37" s="71" t="s">
        <v>253</v>
      </c>
      <c r="D37" s="55">
        <v>920</v>
      </c>
      <c r="E37" s="56">
        <v>4.9003941621391003E-2</v>
      </c>
      <c r="F37" s="35"/>
    </row>
    <row r="38" spans="1:6" ht="14.5" customHeight="1">
      <c r="A38" s="35"/>
      <c r="B38" s="96"/>
      <c r="C38" s="71" t="s">
        <v>254</v>
      </c>
      <c r="D38" s="55">
        <v>979</v>
      </c>
      <c r="E38" s="56">
        <v>5.2146585703633001E-2</v>
      </c>
      <c r="F38" s="35"/>
    </row>
    <row r="39" spans="1:6" ht="14.5" customHeight="1">
      <c r="A39" s="35"/>
      <c r="B39" s="97"/>
      <c r="C39" s="74" t="s">
        <v>321</v>
      </c>
      <c r="D39" s="64">
        <v>1899</v>
      </c>
      <c r="E39" s="66">
        <v>0.101150527325024</v>
      </c>
      <c r="F39" s="35"/>
    </row>
    <row r="40" spans="1:6" ht="14.5" customHeight="1">
      <c r="A40" s="35"/>
      <c r="B40" s="95" t="s">
        <v>80</v>
      </c>
      <c r="C40" s="71" t="s">
        <v>253</v>
      </c>
      <c r="D40" s="55">
        <v>19</v>
      </c>
      <c r="E40" s="56">
        <v>1.0120379247899999E-3</v>
      </c>
      <c r="F40" s="35"/>
    </row>
    <row r="41" spans="1:6" ht="14.5" customHeight="1">
      <c r="A41" s="35"/>
      <c r="B41" s="96"/>
      <c r="C41" s="71" t="s">
        <v>254</v>
      </c>
      <c r="D41" s="55">
        <v>21</v>
      </c>
      <c r="E41" s="56">
        <v>1.118568232662E-3</v>
      </c>
      <c r="F41" s="35"/>
    </row>
    <row r="42" spans="1:6" ht="14.5" customHeight="1">
      <c r="A42" s="35"/>
      <c r="B42" s="97"/>
      <c r="C42" s="74" t="s">
        <v>321</v>
      </c>
      <c r="D42" s="64">
        <v>40</v>
      </c>
      <c r="E42" s="66">
        <v>2.130606157452E-3</v>
      </c>
      <c r="F42" s="35"/>
    </row>
    <row r="43" spans="1:6" ht="14.5" customHeight="1">
      <c r="A43" s="35"/>
      <c r="B43" s="95" t="s">
        <v>46</v>
      </c>
      <c r="C43" s="71" t="s">
        <v>253</v>
      </c>
      <c r="D43" s="55">
        <v>1081</v>
      </c>
      <c r="E43" s="56">
        <v>5.7579631405135001E-2</v>
      </c>
      <c r="F43" s="35"/>
    </row>
    <row r="44" spans="1:6" ht="14.5" customHeight="1">
      <c r="A44" s="35"/>
      <c r="B44" s="96"/>
      <c r="C44" s="71" t="s">
        <v>254</v>
      </c>
      <c r="D44" s="55">
        <v>1304</v>
      </c>
      <c r="E44" s="56">
        <v>6.9457760732929003E-2</v>
      </c>
      <c r="F44" s="35"/>
    </row>
    <row r="45" spans="1:6" ht="14.5" customHeight="1">
      <c r="A45" s="35"/>
      <c r="B45" s="97"/>
      <c r="C45" s="74" t="s">
        <v>321</v>
      </c>
      <c r="D45" s="64">
        <v>2385</v>
      </c>
      <c r="E45" s="66">
        <v>0.127037392138063</v>
      </c>
      <c r="F45" s="35"/>
    </row>
    <row r="46" spans="1:6" ht="14.5" customHeight="1">
      <c r="A46" s="35"/>
      <c r="B46" s="95" t="s">
        <v>75</v>
      </c>
      <c r="C46" s="71" t="s">
        <v>253</v>
      </c>
      <c r="D46" s="55">
        <v>37</v>
      </c>
      <c r="E46" s="56">
        <v>1.9708106956430002E-3</v>
      </c>
      <c r="F46" s="35"/>
    </row>
    <row r="47" spans="1:6" ht="14.5" customHeight="1">
      <c r="A47" s="35"/>
      <c r="B47" s="96"/>
      <c r="C47" s="71" t="s">
        <v>254</v>
      </c>
      <c r="D47" s="55">
        <v>54</v>
      </c>
      <c r="E47" s="56">
        <v>2.8763183125600001E-3</v>
      </c>
      <c r="F47" s="35"/>
    </row>
    <row r="48" spans="1:6" ht="14.5" customHeight="1">
      <c r="A48" s="35"/>
      <c r="B48" s="97"/>
      <c r="C48" s="74" t="s">
        <v>321</v>
      </c>
      <c r="D48" s="64">
        <v>91</v>
      </c>
      <c r="E48" s="66">
        <v>4.8471290082030003E-3</v>
      </c>
      <c r="F48" s="35"/>
    </row>
    <row r="49" spans="1:6" ht="14.5" customHeight="1">
      <c r="A49" s="35"/>
      <c r="B49" s="95" t="s">
        <v>94</v>
      </c>
      <c r="C49" s="71" t="s">
        <v>253</v>
      </c>
      <c r="D49" s="55">
        <v>1</v>
      </c>
      <c r="E49" s="56">
        <v>5.3265153936E-5</v>
      </c>
      <c r="F49" s="35"/>
    </row>
    <row r="50" spans="1:6" ht="14.5" customHeight="1">
      <c r="A50" s="35"/>
      <c r="B50" s="96"/>
      <c r="C50" s="71" t="s">
        <v>254</v>
      </c>
      <c r="D50" s="55">
        <v>3</v>
      </c>
      <c r="E50" s="56">
        <v>1.5979546180899999E-4</v>
      </c>
      <c r="F50" s="35"/>
    </row>
    <row r="51" spans="1:6" ht="14.5" customHeight="1">
      <c r="A51" s="35"/>
      <c r="B51" s="97"/>
      <c r="C51" s="74" t="s">
        <v>321</v>
      </c>
      <c r="D51" s="64">
        <v>4</v>
      </c>
      <c r="E51" s="66">
        <v>2.1306061574499999E-4</v>
      </c>
      <c r="F51" s="35"/>
    </row>
    <row r="52" spans="1:6" ht="14.5" customHeight="1">
      <c r="A52" s="35"/>
      <c r="B52" s="95" t="s">
        <v>96</v>
      </c>
      <c r="C52" s="71" t="s">
        <v>254</v>
      </c>
      <c r="D52" s="55">
        <v>1</v>
      </c>
      <c r="E52" s="56">
        <v>5.3265153936E-5</v>
      </c>
      <c r="F52" s="35"/>
    </row>
    <row r="53" spans="1:6" ht="14.5" customHeight="1">
      <c r="A53" s="35"/>
      <c r="B53" s="97"/>
      <c r="C53" s="74" t="s">
        <v>321</v>
      </c>
      <c r="D53" s="64">
        <v>1</v>
      </c>
      <c r="E53" s="66">
        <v>5.3265153936E-5</v>
      </c>
      <c r="F53" s="35"/>
    </row>
    <row r="54" spans="1:6" ht="14.5" customHeight="1">
      <c r="A54" s="35"/>
      <c r="B54" s="95" t="s">
        <v>45</v>
      </c>
      <c r="C54" s="71" t="s">
        <v>253</v>
      </c>
      <c r="D54" s="55">
        <v>1374</v>
      </c>
      <c r="E54" s="56">
        <v>7.3186321508469002E-2</v>
      </c>
      <c r="F54" s="35"/>
    </row>
    <row r="55" spans="1:6" ht="14.5" customHeight="1">
      <c r="A55" s="35"/>
      <c r="B55" s="96"/>
      <c r="C55" s="71" t="s">
        <v>254</v>
      </c>
      <c r="D55" s="55">
        <v>1217</v>
      </c>
      <c r="E55" s="56">
        <v>6.4823692340471001E-2</v>
      </c>
      <c r="F55" s="35"/>
    </row>
    <row r="56" spans="1:6" ht="14.5" customHeight="1">
      <c r="A56" s="35"/>
      <c r="B56" s="97"/>
      <c r="C56" s="74" t="s">
        <v>321</v>
      </c>
      <c r="D56" s="64">
        <v>2591</v>
      </c>
      <c r="E56" s="66">
        <v>0.13801001384893999</v>
      </c>
      <c r="F56" s="35"/>
    </row>
    <row r="57" spans="1:6" ht="14.5" customHeight="1">
      <c r="A57" s="35"/>
      <c r="B57" s="95" t="s">
        <v>83</v>
      </c>
      <c r="C57" s="71" t="s">
        <v>253</v>
      </c>
      <c r="D57" s="55">
        <v>14</v>
      </c>
      <c r="E57" s="56">
        <v>7.4571215510799995E-4</v>
      </c>
      <c r="F57" s="35"/>
    </row>
    <row r="58" spans="1:6" ht="14.5" customHeight="1">
      <c r="A58" s="35"/>
      <c r="B58" s="96"/>
      <c r="C58" s="71" t="s">
        <v>254</v>
      </c>
      <c r="D58" s="55">
        <v>19</v>
      </c>
      <c r="E58" s="56">
        <v>1.0120379247899999E-3</v>
      </c>
      <c r="F58" s="35"/>
    </row>
    <row r="59" spans="1:6" ht="14.5" customHeight="1">
      <c r="A59" s="35"/>
      <c r="B59" s="97"/>
      <c r="C59" s="74" t="s">
        <v>321</v>
      </c>
      <c r="D59" s="64">
        <v>33</v>
      </c>
      <c r="E59" s="66">
        <v>1.7577500798980001E-3</v>
      </c>
      <c r="F59" s="35"/>
    </row>
    <row r="60" spans="1:6" ht="14.5" customHeight="1">
      <c r="A60" s="35"/>
      <c r="B60" s="95" t="s">
        <v>66</v>
      </c>
      <c r="C60" s="71" t="s">
        <v>253</v>
      </c>
      <c r="D60" s="55">
        <v>66</v>
      </c>
      <c r="E60" s="56">
        <v>3.5155001597950001E-3</v>
      </c>
      <c r="F60" s="35"/>
    </row>
    <row r="61" spans="1:6" ht="14.5" customHeight="1">
      <c r="A61" s="35"/>
      <c r="B61" s="96"/>
      <c r="C61" s="71" t="s">
        <v>254</v>
      </c>
      <c r="D61" s="55">
        <v>60</v>
      </c>
      <c r="E61" s="56">
        <v>3.1959092361780001E-3</v>
      </c>
      <c r="F61" s="35"/>
    </row>
    <row r="62" spans="1:6" ht="14.5" customHeight="1">
      <c r="A62" s="35"/>
      <c r="B62" s="97"/>
      <c r="C62" s="74" t="s">
        <v>321</v>
      </c>
      <c r="D62" s="64">
        <v>126</v>
      </c>
      <c r="E62" s="66">
        <v>6.7114093959729998E-3</v>
      </c>
      <c r="F62" s="35"/>
    </row>
    <row r="63" spans="1:6" ht="14.5" customHeight="1">
      <c r="A63" s="35"/>
      <c r="B63" s="95" t="s">
        <v>54</v>
      </c>
      <c r="C63" s="71" t="s">
        <v>253</v>
      </c>
      <c r="D63" s="55">
        <v>287</v>
      </c>
      <c r="E63" s="56">
        <v>1.5287099179717E-2</v>
      </c>
      <c r="F63" s="35"/>
    </row>
    <row r="64" spans="1:6" ht="14.5" customHeight="1">
      <c r="A64" s="35"/>
      <c r="B64" s="96"/>
      <c r="C64" s="71" t="s">
        <v>254</v>
      </c>
      <c r="D64" s="55">
        <v>272</v>
      </c>
      <c r="E64" s="56">
        <v>1.4488121870671999E-2</v>
      </c>
      <c r="F64" s="35"/>
    </row>
    <row r="65" spans="1:6" ht="14.5" customHeight="1">
      <c r="A65" s="35"/>
      <c r="B65" s="97"/>
      <c r="C65" s="74" t="s">
        <v>321</v>
      </c>
      <c r="D65" s="64">
        <v>559</v>
      </c>
      <c r="E65" s="66">
        <v>2.9775221050389E-2</v>
      </c>
      <c r="F65" s="35"/>
    </row>
    <row r="66" spans="1:6" ht="14.5" customHeight="1">
      <c r="A66" s="35"/>
      <c r="B66" s="95" t="s">
        <v>65</v>
      </c>
      <c r="C66" s="71" t="s">
        <v>253</v>
      </c>
      <c r="D66" s="55">
        <v>54</v>
      </c>
      <c r="E66" s="56">
        <v>2.8763183125600001E-3</v>
      </c>
      <c r="F66" s="35"/>
    </row>
    <row r="67" spans="1:6" ht="14.5" customHeight="1">
      <c r="A67" s="35"/>
      <c r="B67" s="96"/>
      <c r="C67" s="71" t="s">
        <v>254</v>
      </c>
      <c r="D67" s="55">
        <v>39</v>
      </c>
      <c r="E67" s="56">
        <v>2.0773410035159999E-3</v>
      </c>
      <c r="F67" s="35"/>
    </row>
    <row r="68" spans="1:6" ht="14.5" customHeight="1">
      <c r="A68" s="35"/>
      <c r="B68" s="97"/>
      <c r="C68" s="74" t="s">
        <v>321</v>
      </c>
      <c r="D68" s="64">
        <v>93</v>
      </c>
      <c r="E68" s="66">
        <v>4.9536593160750004E-3</v>
      </c>
      <c r="F68" s="35"/>
    </row>
    <row r="69" spans="1:6" ht="14.5" customHeight="1">
      <c r="A69" s="35"/>
      <c r="B69" s="95" t="s">
        <v>49</v>
      </c>
      <c r="C69" s="71" t="s">
        <v>253</v>
      </c>
      <c r="D69" s="55">
        <v>604</v>
      </c>
      <c r="E69" s="56">
        <v>3.2172152977522003E-2</v>
      </c>
      <c r="F69" s="35"/>
    </row>
    <row r="70" spans="1:6" ht="14.5" customHeight="1">
      <c r="A70" s="35"/>
      <c r="B70" s="96"/>
      <c r="C70" s="71" t="s">
        <v>254</v>
      </c>
      <c r="D70" s="55">
        <v>670</v>
      </c>
      <c r="E70" s="56">
        <v>3.5687653137317997E-2</v>
      </c>
      <c r="F70" s="35"/>
    </row>
    <row r="71" spans="1:6" ht="14.5" customHeight="1">
      <c r="A71" s="35"/>
      <c r="B71" s="97"/>
      <c r="C71" s="74" t="s">
        <v>321</v>
      </c>
      <c r="D71" s="64">
        <v>1274</v>
      </c>
      <c r="E71" s="66">
        <v>6.7859806114839993E-2</v>
      </c>
      <c r="F71" s="35"/>
    </row>
    <row r="72" spans="1:6" ht="14.5" customHeight="1">
      <c r="A72" s="35"/>
      <c r="B72" s="95" t="s">
        <v>89</v>
      </c>
      <c r="C72" s="71" t="s">
        <v>253</v>
      </c>
      <c r="D72" s="55">
        <v>4</v>
      </c>
      <c r="E72" s="56">
        <v>2.1306061574499999E-4</v>
      </c>
      <c r="F72" s="35"/>
    </row>
    <row r="73" spans="1:6" ht="14.5" customHeight="1">
      <c r="A73" s="35"/>
      <c r="B73" s="96"/>
      <c r="C73" s="71" t="s">
        <v>254</v>
      </c>
      <c r="D73" s="55">
        <v>7</v>
      </c>
      <c r="E73" s="56">
        <v>3.7285607755399997E-4</v>
      </c>
      <c r="F73" s="35"/>
    </row>
    <row r="74" spans="1:6" ht="14.5" customHeight="1">
      <c r="A74" s="35"/>
      <c r="B74" s="97"/>
      <c r="C74" s="74" t="s">
        <v>321</v>
      </c>
      <c r="D74" s="64">
        <v>11</v>
      </c>
      <c r="E74" s="66">
        <v>5.8591669329900004E-4</v>
      </c>
      <c r="F74" s="35"/>
    </row>
    <row r="75" spans="1:6" ht="14.5" customHeight="1">
      <c r="A75" s="35"/>
      <c r="B75" s="95" t="s">
        <v>56</v>
      </c>
      <c r="C75" s="71" t="s">
        <v>253</v>
      </c>
      <c r="D75" s="55">
        <v>204</v>
      </c>
      <c r="E75" s="56">
        <v>1.0866091403004E-2</v>
      </c>
      <c r="F75" s="35"/>
    </row>
    <row r="76" spans="1:6" ht="14.5" customHeight="1">
      <c r="A76" s="35"/>
      <c r="B76" s="96"/>
      <c r="C76" s="71" t="s">
        <v>254</v>
      </c>
      <c r="D76" s="55">
        <v>199</v>
      </c>
      <c r="E76" s="56">
        <v>1.0599765633323001E-2</v>
      </c>
      <c r="F76" s="35"/>
    </row>
    <row r="77" spans="1:6" ht="14.5" customHeight="1">
      <c r="A77" s="35"/>
      <c r="B77" s="97"/>
      <c r="C77" s="74" t="s">
        <v>321</v>
      </c>
      <c r="D77" s="64">
        <v>403</v>
      </c>
      <c r="E77" s="66">
        <v>2.1465857036326998E-2</v>
      </c>
      <c r="F77" s="35"/>
    </row>
    <row r="78" spans="1:6" ht="14.5" customHeight="1">
      <c r="A78" s="35"/>
      <c r="B78" s="95" t="s">
        <v>57</v>
      </c>
      <c r="C78" s="71" t="s">
        <v>253</v>
      </c>
      <c r="D78" s="55">
        <v>121</v>
      </c>
      <c r="E78" s="56">
        <v>6.4450836262919999E-3</v>
      </c>
      <c r="F78" s="35"/>
    </row>
    <row r="79" spans="1:6" ht="14.5" customHeight="1">
      <c r="A79" s="35"/>
      <c r="B79" s="96"/>
      <c r="C79" s="71" t="s">
        <v>254</v>
      </c>
      <c r="D79" s="55">
        <v>172</v>
      </c>
      <c r="E79" s="56">
        <v>9.1616064770429998E-3</v>
      </c>
      <c r="F79" s="35"/>
    </row>
    <row r="80" spans="1:6" ht="14.5" customHeight="1">
      <c r="A80" s="35"/>
      <c r="B80" s="97"/>
      <c r="C80" s="74" t="s">
        <v>321</v>
      </c>
      <c r="D80" s="64">
        <v>293</v>
      </c>
      <c r="E80" s="66">
        <v>1.5606690103334001E-2</v>
      </c>
      <c r="F80" s="35"/>
    </row>
    <row r="81" spans="1:6" ht="14.5" customHeight="1">
      <c r="A81" s="35"/>
      <c r="B81" s="95" t="s">
        <v>55</v>
      </c>
      <c r="C81" s="71" t="s">
        <v>253</v>
      </c>
      <c r="D81" s="55">
        <v>283</v>
      </c>
      <c r="E81" s="56">
        <v>1.5074038563971E-2</v>
      </c>
      <c r="F81" s="35"/>
    </row>
    <row r="82" spans="1:6" ht="14.5" customHeight="1">
      <c r="A82" s="35"/>
      <c r="B82" s="96"/>
      <c r="C82" s="71" t="s">
        <v>254</v>
      </c>
      <c r="D82" s="55">
        <v>192</v>
      </c>
      <c r="E82" s="56">
        <v>1.0226909555769E-2</v>
      </c>
      <c r="F82" s="35"/>
    </row>
    <row r="83" spans="1:6" ht="14.5" customHeight="1">
      <c r="A83" s="35"/>
      <c r="B83" s="97"/>
      <c r="C83" s="74" t="s">
        <v>321</v>
      </c>
      <c r="D83" s="64">
        <v>475</v>
      </c>
      <c r="E83" s="66">
        <v>2.5300948119739999E-2</v>
      </c>
      <c r="F83" s="35"/>
    </row>
    <row r="84" spans="1:6" ht="14.5" customHeight="1">
      <c r="A84" s="35"/>
      <c r="B84" s="95" t="s">
        <v>79</v>
      </c>
      <c r="C84" s="71" t="s">
        <v>253</v>
      </c>
      <c r="D84" s="55">
        <v>15</v>
      </c>
      <c r="E84" s="56">
        <v>7.98977309044E-4</v>
      </c>
      <c r="F84" s="35"/>
    </row>
    <row r="85" spans="1:6" ht="14.5" customHeight="1">
      <c r="A85" s="35"/>
      <c r="B85" s="96"/>
      <c r="C85" s="71" t="s">
        <v>254</v>
      </c>
      <c r="D85" s="55">
        <v>22</v>
      </c>
      <c r="E85" s="56">
        <v>1.1718333865980001E-3</v>
      </c>
      <c r="F85" s="35"/>
    </row>
    <row r="86" spans="1:6" ht="14.5" customHeight="1">
      <c r="A86" s="35"/>
      <c r="B86" s="97"/>
      <c r="C86" s="74" t="s">
        <v>321</v>
      </c>
      <c r="D86" s="64">
        <v>37</v>
      </c>
      <c r="E86" s="66">
        <v>1.9708106956430002E-3</v>
      </c>
      <c r="F86" s="35"/>
    </row>
    <row r="87" spans="1:6" ht="14.5" customHeight="1">
      <c r="A87" s="35"/>
      <c r="B87" s="95" t="s">
        <v>78</v>
      </c>
      <c r="C87" s="71" t="s">
        <v>253</v>
      </c>
      <c r="D87" s="55">
        <v>23</v>
      </c>
      <c r="E87" s="56">
        <v>1.225098540535E-3</v>
      </c>
      <c r="F87" s="35"/>
    </row>
    <row r="88" spans="1:6" ht="14.5" customHeight="1">
      <c r="A88" s="35"/>
      <c r="B88" s="96"/>
      <c r="C88" s="71" t="s">
        <v>254</v>
      </c>
      <c r="D88" s="55">
        <v>27</v>
      </c>
      <c r="E88" s="56">
        <v>1.4381591562800001E-3</v>
      </c>
      <c r="F88" s="35"/>
    </row>
    <row r="89" spans="1:6" ht="14.5" customHeight="1">
      <c r="A89" s="35"/>
      <c r="B89" s="97"/>
      <c r="C89" s="74" t="s">
        <v>321</v>
      </c>
      <c r="D89" s="64">
        <v>50</v>
      </c>
      <c r="E89" s="66">
        <v>2.6632576968149998E-3</v>
      </c>
      <c r="F89" s="35"/>
    </row>
    <row r="90" spans="1:6" ht="14.5" customHeight="1">
      <c r="A90" s="35"/>
      <c r="B90" s="95" t="s">
        <v>71</v>
      </c>
      <c r="C90" s="71" t="s">
        <v>253</v>
      </c>
      <c r="D90" s="55">
        <v>42</v>
      </c>
      <c r="E90" s="56">
        <v>2.2371364653240001E-3</v>
      </c>
      <c r="F90" s="35"/>
    </row>
    <row r="91" spans="1:6" ht="14.5" customHeight="1">
      <c r="A91" s="35"/>
      <c r="B91" s="96"/>
      <c r="C91" s="71" t="s">
        <v>254</v>
      </c>
      <c r="D91" s="55">
        <v>38</v>
      </c>
      <c r="E91" s="56">
        <v>2.0240758495790002E-3</v>
      </c>
      <c r="F91" s="35"/>
    </row>
    <row r="92" spans="1:6" ht="14.5" customHeight="1">
      <c r="A92" s="35"/>
      <c r="B92" s="97"/>
      <c r="C92" s="74" t="s">
        <v>321</v>
      </c>
      <c r="D92" s="64">
        <v>80</v>
      </c>
      <c r="E92" s="66">
        <v>4.2612123149039999E-3</v>
      </c>
      <c r="F92" s="35"/>
    </row>
    <row r="93" spans="1:6" ht="14.5" customHeight="1">
      <c r="A93" s="35"/>
      <c r="B93" s="95" t="s">
        <v>93</v>
      </c>
      <c r="C93" s="71" t="s">
        <v>253</v>
      </c>
      <c r="D93" s="55">
        <v>2</v>
      </c>
      <c r="E93" s="56">
        <v>1.06530307873E-4</v>
      </c>
      <c r="F93" s="35"/>
    </row>
    <row r="94" spans="1:6" ht="14.5" customHeight="1">
      <c r="A94" s="35"/>
      <c r="B94" s="96"/>
      <c r="C94" s="71" t="s">
        <v>254</v>
      </c>
      <c r="D94" s="55">
        <v>1</v>
      </c>
      <c r="E94" s="56">
        <v>5.3265153936E-5</v>
      </c>
      <c r="F94" s="35"/>
    </row>
    <row r="95" spans="1:6" ht="14.5" customHeight="1">
      <c r="A95" s="35"/>
      <c r="B95" s="97"/>
      <c r="C95" s="74" t="s">
        <v>321</v>
      </c>
      <c r="D95" s="64">
        <v>3</v>
      </c>
      <c r="E95" s="66">
        <v>1.5979546180899999E-4</v>
      </c>
      <c r="F95" s="35"/>
    </row>
    <row r="96" spans="1:6" ht="14.5" customHeight="1">
      <c r="A96" s="35"/>
      <c r="B96" s="95" t="s">
        <v>95</v>
      </c>
      <c r="C96" s="71" t="s">
        <v>253</v>
      </c>
      <c r="D96" s="55">
        <v>4</v>
      </c>
      <c r="E96" s="56">
        <v>2.1306061574499999E-4</v>
      </c>
      <c r="F96" s="35"/>
    </row>
    <row r="97" spans="1:6" ht="14.5" customHeight="1">
      <c r="A97" s="35"/>
      <c r="B97" s="96"/>
      <c r="C97" s="71" t="s">
        <v>254</v>
      </c>
      <c r="D97" s="55">
        <v>3</v>
      </c>
      <c r="E97" s="56">
        <v>1.5979546180899999E-4</v>
      </c>
      <c r="F97" s="35"/>
    </row>
    <row r="98" spans="1:6" ht="14.5" customHeight="1">
      <c r="A98" s="35"/>
      <c r="B98" s="97"/>
      <c r="C98" s="74" t="s">
        <v>321</v>
      </c>
      <c r="D98" s="64">
        <v>7</v>
      </c>
      <c r="E98" s="66">
        <v>3.7285607755399997E-4</v>
      </c>
      <c r="F98" s="35"/>
    </row>
    <row r="99" spans="1:6" ht="14.5" customHeight="1">
      <c r="A99" s="35"/>
      <c r="B99" s="95" t="s">
        <v>70</v>
      </c>
      <c r="C99" s="71" t="s">
        <v>253</v>
      </c>
      <c r="D99" s="55">
        <v>42</v>
      </c>
      <c r="E99" s="56">
        <v>2.2371364653240001E-3</v>
      </c>
      <c r="F99" s="35"/>
    </row>
    <row r="100" spans="1:6" ht="14.5" customHeight="1">
      <c r="A100" s="35"/>
      <c r="B100" s="96"/>
      <c r="C100" s="71" t="s">
        <v>254</v>
      </c>
      <c r="D100" s="55">
        <v>54</v>
      </c>
      <c r="E100" s="56">
        <v>2.8763183125600001E-3</v>
      </c>
      <c r="F100" s="35"/>
    </row>
    <row r="101" spans="1:6" ht="14.5" customHeight="1">
      <c r="A101" s="35"/>
      <c r="B101" s="97"/>
      <c r="C101" s="74" t="s">
        <v>321</v>
      </c>
      <c r="D101" s="64">
        <v>96</v>
      </c>
      <c r="E101" s="66">
        <v>5.1134547778840002E-3</v>
      </c>
      <c r="F101" s="35"/>
    </row>
    <row r="102" spans="1:6" ht="14.5" customHeight="1">
      <c r="A102" s="35"/>
      <c r="B102" s="95" t="s">
        <v>85</v>
      </c>
      <c r="C102" s="71" t="s">
        <v>253</v>
      </c>
      <c r="D102" s="55">
        <v>14</v>
      </c>
      <c r="E102" s="56">
        <v>7.4571215510799995E-4</v>
      </c>
      <c r="F102" s="35"/>
    </row>
    <row r="103" spans="1:6" ht="14.5" customHeight="1">
      <c r="A103" s="35"/>
      <c r="B103" s="96"/>
      <c r="C103" s="71" t="s">
        <v>254</v>
      </c>
      <c r="D103" s="55">
        <v>19</v>
      </c>
      <c r="E103" s="56">
        <v>1.0120379247899999E-3</v>
      </c>
      <c r="F103" s="35"/>
    </row>
    <row r="104" spans="1:6" ht="14.5" customHeight="1">
      <c r="A104" s="35"/>
      <c r="B104" s="97"/>
      <c r="C104" s="74" t="s">
        <v>321</v>
      </c>
      <c r="D104" s="64">
        <v>33</v>
      </c>
      <c r="E104" s="66">
        <v>1.7577500798980001E-3</v>
      </c>
      <c r="F104" s="35"/>
    </row>
    <row r="105" spans="1:6" ht="14.5" customHeight="1">
      <c r="A105" s="35"/>
      <c r="B105" s="95" t="s">
        <v>50</v>
      </c>
      <c r="C105" s="71" t="s">
        <v>253</v>
      </c>
      <c r="D105" s="55">
        <v>869</v>
      </c>
      <c r="E105" s="56">
        <v>4.628741877064E-2</v>
      </c>
      <c r="F105" s="35"/>
    </row>
    <row r="106" spans="1:6" ht="14.5" customHeight="1">
      <c r="A106" s="35"/>
      <c r="B106" s="96"/>
      <c r="C106" s="71" t="s">
        <v>254</v>
      </c>
      <c r="D106" s="55">
        <v>853</v>
      </c>
      <c r="E106" s="56">
        <v>4.5435176307660002E-2</v>
      </c>
      <c r="F106" s="35"/>
    </row>
    <row r="107" spans="1:6" ht="14.5" customHeight="1">
      <c r="A107" s="35"/>
      <c r="B107" s="97"/>
      <c r="C107" s="74" t="s">
        <v>321</v>
      </c>
      <c r="D107" s="64">
        <v>1722</v>
      </c>
      <c r="E107" s="66">
        <v>9.1722595078299995E-2</v>
      </c>
      <c r="F107" s="35"/>
    </row>
    <row r="108" spans="1:6" ht="14.5" customHeight="1">
      <c r="A108" s="35"/>
      <c r="B108" s="95" t="s">
        <v>62</v>
      </c>
      <c r="C108" s="71" t="s">
        <v>253</v>
      </c>
      <c r="D108" s="55">
        <v>130</v>
      </c>
      <c r="E108" s="56">
        <v>6.9244700117180001E-3</v>
      </c>
      <c r="F108" s="35"/>
    </row>
    <row r="109" spans="1:6" ht="14.5" customHeight="1">
      <c r="A109" s="35"/>
      <c r="B109" s="96"/>
      <c r="C109" s="71" t="s">
        <v>254</v>
      </c>
      <c r="D109" s="55">
        <v>136</v>
      </c>
      <c r="E109" s="56">
        <v>7.2440609353359997E-3</v>
      </c>
      <c r="F109" s="35"/>
    </row>
    <row r="110" spans="1:6" ht="14.5" customHeight="1">
      <c r="A110" s="35"/>
      <c r="B110" s="97"/>
      <c r="C110" s="74" t="s">
        <v>321</v>
      </c>
      <c r="D110" s="64">
        <v>266</v>
      </c>
      <c r="E110" s="66">
        <v>1.4168530947054E-2</v>
      </c>
      <c r="F110" s="35"/>
    </row>
    <row r="111" spans="1:6" ht="14.5" customHeight="1">
      <c r="A111" s="35"/>
      <c r="B111" s="95" t="s">
        <v>74</v>
      </c>
      <c r="C111" s="71" t="s">
        <v>253</v>
      </c>
      <c r="D111" s="55">
        <v>21</v>
      </c>
      <c r="E111" s="56">
        <v>1.118568232662E-3</v>
      </c>
      <c r="F111" s="35"/>
    </row>
    <row r="112" spans="1:6" ht="14.5" customHeight="1">
      <c r="A112" s="35"/>
      <c r="B112" s="96"/>
      <c r="C112" s="71" t="s">
        <v>254</v>
      </c>
      <c r="D112" s="55">
        <v>30</v>
      </c>
      <c r="E112" s="56">
        <v>1.5979546180890001E-3</v>
      </c>
      <c r="F112" s="35"/>
    </row>
    <row r="113" spans="1:6" ht="14.5" customHeight="1">
      <c r="A113" s="35"/>
      <c r="B113" s="97"/>
      <c r="C113" s="74" t="s">
        <v>321</v>
      </c>
      <c r="D113" s="64">
        <v>51</v>
      </c>
      <c r="E113" s="66">
        <v>2.7165228507509999E-3</v>
      </c>
      <c r="F113" s="35"/>
    </row>
    <row r="114" spans="1:6" ht="14.5" customHeight="1">
      <c r="A114" s="35"/>
      <c r="B114" s="95" t="s">
        <v>84</v>
      </c>
      <c r="C114" s="71" t="s">
        <v>253</v>
      </c>
      <c r="D114" s="55">
        <v>25</v>
      </c>
      <c r="E114" s="56">
        <v>1.3316288484070001E-3</v>
      </c>
      <c r="F114" s="35"/>
    </row>
    <row r="115" spans="1:6" ht="14.5" customHeight="1">
      <c r="A115" s="35"/>
      <c r="B115" s="96"/>
      <c r="C115" s="71" t="s">
        <v>254</v>
      </c>
      <c r="D115" s="55">
        <v>30</v>
      </c>
      <c r="E115" s="56">
        <v>1.5979546180890001E-3</v>
      </c>
      <c r="F115" s="35"/>
    </row>
    <row r="116" spans="1:6" ht="14.5" customHeight="1">
      <c r="A116" s="35"/>
      <c r="B116" s="97"/>
      <c r="C116" s="74" t="s">
        <v>321</v>
      </c>
      <c r="D116" s="64">
        <v>55</v>
      </c>
      <c r="E116" s="66">
        <v>2.9295834664960002E-3</v>
      </c>
      <c r="F116" s="35"/>
    </row>
    <row r="117" spans="1:6" ht="14.5" customHeight="1">
      <c r="A117" s="35"/>
      <c r="B117" s="95" t="s">
        <v>51</v>
      </c>
      <c r="C117" s="71" t="s">
        <v>253</v>
      </c>
      <c r="D117" s="55">
        <v>503</v>
      </c>
      <c r="E117" s="56">
        <v>2.6792372429956E-2</v>
      </c>
      <c r="F117" s="35"/>
    </row>
    <row r="118" spans="1:6" ht="14.5" customHeight="1">
      <c r="A118" s="35"/>
      <c r="B118" s="96"/>
      <c r="C118" s="71" t="s">
        <v>254</v>
      </c>
      <c r="D118" s="55">
        <v>531</v>
      </c>
      <c r="E118" s="56">
        <v>2.8283796740172999E-2</v>
      </c>
      <c r="F118" s="35"/>
    </row>
    <row r="119" spans="1:6" ht="14.5" customHeight="1">
      <c r="A119" s="35"/>
      <c r="B119" s="97"/>
      <c r="C119" s="74" t="s">
        <v>321</v>
      </c>
      <c r="D119" s="64">
        <v>1034</v>
      </c>
      <c r="E119" s="66">
        <v>5.5076169170129002E-2</v>
      </c>
      <c r="F119" s="35"/>
    </row>
    <row r="120" spans="1:6" ht="14.5" customHeight="1">
      <c r="A120" s="35"/>
      <c r="B120" s="95" t="s">
        <v>88</v>
      </c>
      <c r="C120" s="71" t="s">
        <v>253</v>
      </c>
      <c r="D120" s="55">
        <v>10</v>
      </c>
      <c r="E120" s="56">
        <v>5.3265153936299999E-4</v>
      </c>
      <c r="F120" s="35"/>
    </row>
    <row r="121" spans="1:6" ht="14.5" customHeight="1">
      <c r="A121" s="35"/>
      <c r="B121" s="96"/>
      <c r="C121" s="71" t="s">
        <v>254</v>
      </c>
      <c r="D121" s="55">
        <v>9</v>
      </c>
      <c r="E121" s="56">
        <v>4.7938638542699999E-4</v>
      </c>
      <c r="F121" s="35"/>
    </row>
    <row r="122" spans="1:6" ht="14.5" customHeight="1">
      <c r="A122" s="35"/>
      <c r="B122" s="97"/>
      <c r="C122" s="74" t="s">
        <v>321</v>
      </c>
      <c r="D122" s="64">
        <v>19</v>
      </c>
      <c r="E122" s="66">
        <v>1.0120379247899999E-3</v>
      </c>
      <c r="F122" s="35"/>
    </row>
    <row r="123" spans="1:6" ht="14.5" customHeight="1">
      <c r="A123" s="35"/>
      <c r="B123" s="95" t="s">
        <v>53</v>
      </c>
      <c r="C123" s="71" t="s">
        <v>253</v>
      </c>
      <c r="D123" s="55">
        <v>283</v>
      </c>
      <c r="E123" s="56">
        <v>1.5074038563971E-2</v>
      </c>
      <c r="F123" s="35"/>
    </row>
    <row r="124" spans="1:6" ht="14.5" customHeight="1">
      <c r="A124" s="35"/>
      <c r="B124" s="96"/>
      <c r="C124" s="71" t="s">
        <v>254</v>
      </c>
      <c r="D124" s="55">
        <v>351</v>
      </c>
      <c r="E124" s="56">
        <v>1.8696069031639999E-2</v>
      </c>
      <c r="F124" s="35"/>
    </row>
    <row r="125" spans="1:6" ht="14.5" customHeight="1">
      <c r="A125" s="35"/>
      <c r="B125" s="97"/>
      <c r="C125" s="74" t="s">
        <v>321</v>
      </c>
      <c r="D125" s="64">
        <v>634</v>
      </c>
      <c r="E125" s="66">
        <v>3.3770107595610999E-2</v>
      </c>
      <c r="F125" s="35"/>
    </row>
    <row r="126" spans="1:6" ht="14.5" customHeight="1">
      <c r="A126" s="35"/>
      <c r="B126" s="95" t="s">
        <v>68</v>
      </c>
      <c r="C126" s="71" t="s">
        <v>253</v>
      </c>
      <c r="D126" s="55">
        <v>67</v>
      </c>
      <c r="E126" s="56">
        <v>3.5687653137319998E-3</v>
      </c>
      <c r="F126" s="35"/>
    </row>
    <row r="127" spans="1:6" ht="14.5" customHeight="1">
      <c r="A127" s="35"/>
      <c r="B127" s="96"/>
      <c r="C127" s="71" t="s">
        <v>254</v>
      </c>
      <c r="D127" s="55">
        <v>80</v>
      </c>
      <c r="E127" s="56">
        <v>4.2612123149039999E-3</v>
      </c>
      <c r="F127" s="35"/>
    </row>
    <row r="128" spans="1:6" ht="14.5" customHeight="1">
      <c r="A128" s="35"/>
      <c r="B128" s="97"/>
      <c r="C128" s="74" t="s">
        <v>321</v>
      </c>
      <c r="D128" s="64">
        <v>147</v>
      </c>
      <c r="E128" s="66">
        <v>7.8299776286350001E-3</v>
      </c>
      <c r="F128" s="35"/>
    </row>
    <row r="129" spans="1:6" ht="14.5" customHeight="1">
      <c r="A129" s="35"/>
      <c r="B129" s="95" t="s">
        <v>72</v>
      </c>
      <c r="C129" s="71" t="s">
        <v>253</v>
      </c>
      <c r="D129" s="55">
        <v>39</v>
      </c>
      <c r="E129" s="56">
        <v>2.0773410035159999E-3</v>
      </c>
      <c r="F129" s="35"/>
    </row>
    <row r="130" spans="1:6" ht="14.5" customHeight="1">
      <c r="A130" s="35"/>
      <c r="B130" s="96"/>
      <c r="C130" s="71" t="s">
        <v>254</v>
      </c>
      <c r="D130" s="55">
        <v>46</v>
      </c>
      <c r="E130" s="56">
        <v>2.45019708107E-3</v>
      </c>
      <c r="F130" s="35"/>
    </row>
    <row r="131" spans="1:6" ht="14.5" customHeight="1">
      <c r="A131" s="35"/>
      <c r="B131" s="97"/>
      <c r="C131" s="74" t="s">
        <v>321</v>
      </c>
      <c r="D131" s="64">
        <v>85</v>
      </c>
      <c r="E131" s="66">
        <v>4.5275380845849998E-3</v>
      </c>
      <c r="F131" s="35"/>
    </row>
    <row r="132" spans="1:6" ht="14.5" customHeight="1">
      <c r="A132" s="35"/>
      <c r="B132" s="95" t="s">
        <v>59</v>
      </c>
      <c r="C132" s="71" t="s">
        <v>253</v>
      </c>
      <c r="D132" s="55">
        <v>77</v>
      </c>
      <c r="E132" s="56">
        <v>4.1014168530950001E-3</v>
      </c>
      <c r="F132" s="35"/>
    </row>
    <row r="133" spans="1:6" ht="14.5" customHeight="1">
      <c r="A133" s="35"/>
      <c r="B133" s="96"/>
      <c r="C133" s="71" t="s">
        <v>254</v>
      </c>
      <c r="D133" s="55">
        <v>127</v>
      </c>
      <c r="E133" s="56">
        <v>6.7646745499090003E-3</v>
      </c>
      <c r="F133" s="35"/>
    </row>
    <row r="134" spans="1:6" ht="14.5" customHeight="1">
      <c r="A134" s="35"/>
      <c r="B134" s="97"/>
      <c r="C134" s="74" t="s">
        <v>321</v>
      </c>
      <c r="D134" s="64">
        <v>204</v>
      </c>
      <c r="E134" s="66">
        <v>1.0866091403004E-2</v>
      </c>
      <c r="F134" s="35"/>
    </row>
    <row r="135" spans="1:6" ht="14.5" customHeight="1">
      <c r="A135" s="35"/>
      <c r="B135" s="95" t="s">
        <v>58</v>
      </c>
      <c r="C135" s="71" t="s">
        <v>253</v>
      </c>
      <c r="D135" s="55">
        <v>119</v>
      </c>
      <c r="E135" s="56">
        <v>6.3385533184189997E-3</v>
      </c>
      <c r="F135" s="35"/>
    </row>
    <row r="136" spans="1:6" ht="14.5" customHeight="1">
      <c r="A136" s="35"/>
      <c r="B136" s="96"/>
      <c r="C136" s="71" t="s">
        <v>254</v>
      </c>
      <c r="D136" s="55">
        <v>165</v>
      </c>
      <c r="E136" s="56">
        <v>8.7887503994890006E-3</v>
      </c>
      <c r="F136" s="35"/>
    </row>
    <row r="137" spans="1:6" ht="14.5" customHeight="1">
      <c r="A137" s="35"/>
      <c r="B137" s="96"/>
      <c r="C137" s="71" t="s">
        <v>255</v>
      </c>
      <c r="D137" s="55">
        <v>1</v>
      </c>
      <c r="E137" s="56">
        <v>5.3265153936E-5</v>
      </c>
      <c r="F137" s="35"/>
    </row>
    <row r="138" spans="1:6" ht="14.5" customHeight="1">
      <c r="A138" s="35"/>
      <c r="B138" s="97"/>
      <c r="C138" s="74" t="s">
        <v>321</v>
      </c>
      <c r="D138" s="64">
        <v>285</v>
      </c>
      <c r="E138" s="66">
        <v>1.5180568871844E-2</v>
      </c>
      <c r="F138" s="35"/>
    </row>
    <row r="139" spans="1:6" ht="14.5" customHeight="1">
      <c r="A139" s="35"/>
      <c r="B139" s="95" t="s">
        <v>60</v>
      </c>
      <c r="C139" s="71" t="s">
        <v>253</v>
      </c>
      <c r="D139" s="55">
        <v>76</v>
      </c>
      <c r="E139" s="56">
        <v>4.0481516991580004E-3</v>
      </c>
      <c r="F139" s="35"/>
    </row>
    <row r="140" spans="1:6" ht="14.5" customHeight="1">
      <c r="A140" s="35"/>
      <c r="B140" s="96"/>
      <c r="C140" s="71" t="s">
        <v>254</v>
      </c>
      <c r="D140" s="55">
        <v>77</v>
      </c>
      <c r="E140" s="56">
        <v>4.1014168530950001E-3</v>
      </c>
      <c r="F140" s="35"/>
    </row>
    <row r="141" spans="1:6" ht="14.5" customHeight="1">
      <c r="A141" s="35"/>
      <c r="B141" s="97"/>
      <c r="C141" s="74" t="s">
        <v>321</v>
      </c>
      <c r="D141" s="64">
        <v>153</v>
      </c>
      <c r="E141" s="66">
        <v>8.1495685522529997E-3</v>
      </c>
      <c r="F141" s="35"/>
    </row>
    <row r="142" spans="1:6" ht="14.5" customHeight="1">
      <c r="A142" s="35"/>
      <c r="B142" s="95" t="s">
        <v>64</v>
      </c>
      <c r="C142" s="71" t="s">
        <v>253</v>
      </c>
      <c r="D142" s="55">
        <v>100</v>
      </c>
      <c r="E142" s="56">
        <v>5.3265153936289996E-3</v>
      </c>
      <c r="F142" s="35"/>
    </row>
    <row r="143" spans="1:6" ht="14.5" customHeight="1">
      <c r="A143" s="35"/>
      <c r="B143" s="96"/>
      <c r="C143" s="71" t="s">
        <v>254</v>
      </c>
      <c r="D143" s="55">
        <v>87</v>
      </c>
      <c r="E143" s="56">
        <v>4.634068392458E-3</v>
      </c>
      <c r="F143" s="35"/>
    </row>
    <row r="144" spans="1:6" ht="14.5" customHeight="1">
      <c r="A144" s="35"/>
      <c r="B144" s="97"/>
      <c r="C144" s="74" t="s">
        <v>321</v>
      </c>
      <c r="D144" s="64">
        <v>187</v>
      </c>
      <c r="E144" s="66">
        <v>9.9605837860869996E-3</v>
      </c>
      <c r="F144" s="35"/>
    </row>
    <row r="145" spans="1:6" ht="14.5" customHeight="1">
      <c r="A145" s="35"/>
      <c r="B145" s="95" t="s">
        <v>81</v>
      </c>
      <c r="C145" s="71" t="s">
        <v>253</v>
      </c>
      <c r="D145" s="55">
        <v>27</v>
      </c>
      <c r="E145" s="56">
        <v>1.4381591562800001E-3</v>
      </c>
      <c r="F145" s="35"/>
    </row>
    <row r="146" spans="1:6" ht="14.5" customHeight="1">
      <c r="A146" s="35"/>
      <c r="B146" s="96"/>
      <c r="C146" s="71" t="s">
        <v>254</v>
      </c>
      <c r="D146" s="55">
        <v>36</v>
      </c>
      <c r="E146" s="56">
        <v>1.9175455417070001E-3</v>
      </c>
      <c r="F146" s="35"/>
    </row>
    <row r="147" spans="1:6" ht="14.5" customHeight="1">
      <c r="A147" s="35"/>
      <c r="B147" s="97"/>
      <c r="C147" s="74" t="s">
        <v>321</v>
      </c>
      <c r="D147" s="64">
        <v>63</v>
      </c>
      <c r="E147" s="66">
        <v>3.3557046979869999E-3</v>
      </c>
      <c r="F147" s="35"/>
    </row>
    <row r="148" spans="1:6" ht="14.5" customHeight="1">
      <c r="A148" s="35"/>
      <c r="B148" s="95" t="s">
        <v>77</v>
      </c>
      <c r="C148" s="71" t="s">
        <v>253</v>
      </c>
      <c r="D148" s="55">
        <v>24</v>
      </c>
      <c r="E148" s="56">
        <v>1.278363694471E-3</v>
      </c>
      <c r="F148" s="35"/>
    </row>
    <row r="149" spans="1:6" ht="14.5" customHeight="1">
      <c r="A149" s="35"/>
      <c r="B149" s="96"/>
      <c r="C149" s="71" t="s">
        <v>254</v>
      </c>
      <c r="D149" s="55">
        <v>22</v>
      </c>
      <c r="E149" s="56">
        <v>1.1718333865980001E-3</v>
      </c>
      <c r="F149" s="35"/>
    </row>
    <row r="150" spans="1:6" ht="14.5" customHeight="1">
      <c r="A150" s="35"/>
      <c r="B150" s="97"/>
      <c r="C150" s="74" t="s">
        <v>321</v>
      </c>
      <c r="D150" s="64">
        <v>46</v>
      </c>
      <c r="E150" s="66">
        <v>2.45019708107E-3</v>
      </c>
      <c r="F150" s="35"/>
    </row>
    <row r="151" spans="1:6" ht="14.5" customHeight="1">
      <c r="A151" s="35"/>
      <c r="B151" s="95" t="s">
        <v>76</v>
      </c>
      <c r="C151" s="71" t="s">
        <v>253</v>
      </c>
      <c r="D151" s="55">
        <v>29</v>
      </c>
      <c r="E151" s="56">
        <v>1.544689464153E-3</v>
      </c>
      <c r="F151" s="35"/>
    </row>
    <row r="152" spans="1:6" ht="14.5" customHeight="1">
      <c r="A152" s="35"/>
      <c r="B152" s="96"/>
      <c r="C152" s="71" t="s">
        <v>254</v>
      </c>
      <c r="D152" s="55">
        <v>46</v>
      </c>
      <c r="E152" s="56">
        <v>2.45019708107E-3</v>
      </c>
      <c r="F152" s="35"/>
    </row>
    <row r="153" spans="1:6" ht="14.5" customHeight="1">
      <c r="A153" s="35"/>
      <c r="B153" s="97"/>
      <c r="C153" s="74" t="s">
        <v>321</v>
      </c>
      <c r="D153" s="64">
        <v>75</v>
      </c>
      <c r="E153" s="66">
        <v>3.9948865452219999E-3</v>
      </c>
      <c r="F153" s="35"/>
    </row>
    <row r="154" spans="1:6" ht="14.5" customHeight="1">
      <c r="A154" s="35"/>
      <c r="B154" s="95" t="s">
        <v>69</v>
      </c>
      <c r="C154" s="71" t="s">
        <v>253</v>
      </c>
      <c r="D154" s="55">
        <v>52</v>
      </c>
      <c r="E154" s="56">
        <v>2.7697880046869999E-3</v>
      </c>
      <c r="F154" s="35"/>
    </row>
    <row r="155" spans="1:6" ht="14.5" customHeight="1">
      <c r="A155" s="35"/>
      <c r="B155" s="96"/>
      <c r="C155" s="71" t="s">
        <v>254</v>
      </c>
      <c r="D155" s="55">
        <v>46</v>
      </c>
      <c r="E155" s="56">
        <v>2.45019708107E-3</v>
      </c>
      <c r="F155" s="35"/>
    </row>
    <row r="156" spans="1:6" ht="14.5" customHeight="1">
      <c r="A156" s="35"/>
      <c r="B156" s="97"/>
      <c r="C156" s="74" t="s">
        <v>321</v>
      </c>
      <c r="D156" s="64">
        <v>98</v>
      </c>
      <c r="E156" s="66">
        <v>5.2199850857570004E-3</v>
      </c>
      <c r="F156" s="35"/>
    </row>
    <row r="157" spans="1:6" ht="14.5" customHeight="1">
      <c r="A157" s="35"/>
      <c r="B157" s="95" t="s">
        <v>86</v>
      </c>
      <c r="C157" s="71" t="s">
        <v>253</v>
      </c>
      <c r="D157" s="55">
        <v>6</v>
      </c>
      <c r="E157" s="56">
        <v>3.1959092361799997E-4</v>
      </c>
      <c r="F157" s="35"/>
    </row>
    <row r="158" spans="1:6" ht="13">
      <c r="A158" s="35"/>
      <c r="B158" s="96"/>
      <c r="C158" s="71" t="s">
        <v>254</v>
      </c>
      <c r="D158" s="55">
        <v>14</v>
      </c>
      <c r="E158" s="56">
        <v>7.4571215510799995E-4</v>
      </c>
      <c r="F158" s="35"/>
    </row>
    <row r="159" spans="1:6" ht="13">
      <c r="A159" s="35"/>
      <c r="B159" s="97"/>
      <c r="C159" s="74" t="s">
        <v>321</v>
      </c>
      <c r="D159" s="64">
        <v>20</v>
      </c>
      <c r="E159" s="66">
        <v>1.065303078726E-3</v>
      </c>
      <c r="F159" s="35"/>
    </row>
    <row r="160" spans="1:6" ht="13">
      <c r="A160" s="35"/>
      <c r="B160" s="95" t="s">
        <v>73</v>
      </c>
      <c r="C160" s="71" t="s">
        <v>253</v>
      </c>
      <c r="D160" s="55">
        <v>33</v>
      </c>
      <c r="E160" s="56">
        <v>1.7577500798980001E-3</v>
      </c>
      <c r="F160" s="35"/>
    </row>
    <row r="161" spans="1:6" ht="13">
      <c r="A161" s="35"/>
      <c r="B161" s="96"/>
      <c r="C161" s="71" t="s">
        <v>254</v>
      </c>
      <c r="D161" s="55">
        <v>46</v>
      </c>
      <c r="E161" s="56">
        <v>2.45019708107E-3</v>
      </c>
      <c r="F161" s="35"/>
    </row>
    <row r="162" spans="1:6" ht="13">
      <c r="A162" s="35"/>
      <c r="B162" s="97"/>
      <c r="C162" s="74" t="s">
        <v>321</v>
      </c>
      <c r="D162" s="64">
        <v>79</v>
      </c>
      <c r="E162" s="66">
        <v>4.2079471609670002E-3</v>
      </c>
      <c r="F162" s="35"/>
    </row>
    <row r="163" spans="1:6" ht="13">
      <c r="A163" s="35"/>
      <c r="B163" s="95" t="s">
        <v>82</v>
      </c>
      <c r="C163" s="71" t="s">
        <v>253</v>
      </c>
      <c r="D163" s="55">
        <v>18</v>
      </c>
      <c r="E163" s="56">
        <v>9.5877277085300002E-4</v>
      </c>
      <c r="F163" s="35"/>
    </row>
    <row r="164" spans="1:6" ht="13">
      <c r="A164" s="35"/>
      <c r="B164" s="96"/>
      <c r="C164" s="71" t="s">
        <v>254</v>
      </c>
      <c r="D164" s="55">
        <v>12</v>
      </c>
      <c r="E164" s="56">
        <v>6.3918184723599995E-4</v>
      </c>
      <c r="F164" s="35"/>
    </row>
    <row r="165" spans="1:6" ht="13">
      <c r="A165" s="35"/>
      <c r="B165" s="97"/>
      <c r="C165" s="74" t="s">
        <v>321</v>
      </c>
      <c r="D165" s="64">
        <v>30</v>
      </c>
      <c r="E165" s="66">
        <v>1.5979546180890001E-3</v>
      </c>
      <c r="F165" s="35"/>
    </row>
    <row r="166" spans="1:6" ht="13">
      <c r="A166" s="35"/>
      <c r="B166" s="95" t="s">
        <v>92</v>
      </c>
      <c r="C166" s="71" t="s">
        <v>253</v>
      </c>
      <c r="D166" s="55">
        <v>3</v>
      </c>
      <c r="E166" s="56">
        <v>1.5979546180899999E-4</v>
      </c>
      <c r="F166" s="35"/>
    </row>
    <row r="167" spans="1:6" ht="13">
      <c r="A167" s="35"/>
      <c r="B167" s="96"/>
      <c r="C167" s="71" t="s">
        <v>254</v>
      </c>
      <c r="D167" s="55">
        <v>2</v>
      </c>
      <c r="E167" s="56">
        <v>1.06530307873E-4</v>
      </c>
      <c r="F167" s="35"/>
    </row>
    <row r="168" spans="1:6" ht="13">
      <c r="A168" s="35"/>
      <c r="B168" s="97"/>
      <c r="C168" s="74" t="s">
        <v>321</v>
      </c>
      <c r="D168" s="64">
        <v>5</v>
      </c>
      <c r="E168" s="66">
        <v>2.6632576968100001E-4</v>
      </c>
      <c r="F168" s="35"/>
    </row>
    <row r="169" spans="1:6" ht="13">
      <c r="A169" s="35"/>
      <c r="B169" s="93" t="s">
        <v>321</v>
      </c>
      <c r="C169" s="94"/>
      <c r="D169" s="52">
        <v>18774</v>
      </c>
      <c r="E169" s="53">
        <v>1</v>
      </c>
      <c r="F169" s="35"/>
    </row>
    <row r="170" spans="1:6" ht="12">
      <c r="A170" s="35"/>
      <c r="B170" s="32"/>
      <c r="C170" s="32"/>
      <c r="D170" s="38"/>
      <c r="E170" s="32"/>
      <c r="F170" s="35"/>
    </row>
    <row r="171" spans="1:6" ht="12">
      <c r="A171" s="35"/>
      <c r="B171" s="37" t="s">
        <v>130</v>
      </c>
      <c r="C171" s="38"/>
      <c r="D171" s="38"/>
      <c r="E171" s="32"/>
      <c r="F171" s="35"/>
    </row>
    <row r="172" spans="1:6" ht="12">
      <c r="A172" s="35"/>
      <c r="B172" s="39" t="s">
        <v>17</v>
      </c>
      <c r="C172" s="38"/>
      <c r="D172" s="38"/>
      <c r="E172" s="32"/>
      <c r="F172" s="35"/>
    </row>
    <row r="173" spans="1:6" ht="12">
      <c r="A173" s="35"/>
      <c r="B173" s="40" t="s">
        <v>44</v>
      </c>
      <c r="C173" s="38"/>
      <c r="D173" s="38"/>
      <c r="E173" s="32"/>
      <c r="F173" s="35"/>
    </row>
    <row r="174" spans="1:6" ht="12">
      <c r="A174" s="35"/>
      <c r="B174" s="37" t="s">
        <v>16</v>
      </c>
      <c r="C174" s="38"/>
      <c r="D174" s="38"/>
      <c r="E174" s="32"/>
      <c r="F174" s="35"/>
    </row>
    <row r="175" spans="1:6" ht="12">
      <c r="A175" s="35"/>
      <c r="B175" s="37" t="s">
        <v>320</v>
      </c>
      <c r="C175" s="38"/>
      <c r="D175" s="38"/>
      <c r="E175" s="32"/>
      <c r="F175" s="35"/>
    </row>
    <row r="176" spans="1:6" ht="12">
      <c r="A176" s="35"/>
      <c r="B176" s="32"/>
      <c r="C176" s="32"/>
      <c r="D176" s="38"/>
      <c r="E176" s="32"/>
      <c r="F176" s="35"/>
    </row>
  </sheetData>
  <mergeCells count="54"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3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129:B131"/>
    <mergeCell ref="B132:B134"/>
    <mergeCell ref="B135:B138"/>
    <mergeCell ref="B139:B141"/>
    <mergeCell ref="B142:B144"/>
    <mergeCell ref="B169:C169"/>
    <mergeCell ref="B160:B162"/>
    <mergeCell ref="B163:B165"/>
    <mergeCell ref="B166:B168"/>
    <mergeCell ref="B145:B147"/>
    <mergeCell ref="B148:B150"/>
    <mergeCell ref="B151:B153"/>
    <mergeCell ref="B154:B156"/>
    <mergeCell ref="B157:B15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H40"/>
  <sheetViews>
    <sheetView showGridLines="0" view="pageBreakPreview" topLeftCell="A19" zoomScaleNormal="100" zoomScaleSheetLayoutView="100" workbookViewId="0">
      <selection activeCell="B33" sqref="B33:C33"/>
    </sheetView>
  </sheetViews>
  <sheetFormatPr baseColWidth="10" defaultColWidth="11.453125" defaultRowHeight="10"/>
  <cols>
    <col min="1" max="1" width="5.7265625" style="17" customWidth="1"/>
    <col min="2" max="2" width="15.7265625" style="24" bestFit="1" customWidth="1"/>
    <col min="3" max="3" width="27.54296875" style="24" customWidth="1"/>
    <col min="4" max="5" width="14.7265625" style="27" customWidth="1"/>
    <col min="6" max="6" width="14.7265625" style="24" customWidth="1"/>
    <col min="7" max="7" width="5.7265625" style="17" customWidth="1"/>
    <col min="8" max="8" width="2.453125" style="17" customWidth="1"/>
    <col min="9" max="16384" width="11.453125" style="17"/>
  </cols>
  <sheetData>
    <row r="1" spans="1:8" s="13" customFormat="1" ht="14.5">
      <c r="B1" s="24"/>
      <c r="C1" s="24"/>
    </row>
    <row r="2" spans="1:8" s="24" customFormat="1">
      <c r="B2" s="29"/>
    </row>
    <row r="3" spans="1:8" ht="15" customHeight="1">
      <c r="B3" s="30"/>
      <c r="C3" s="20"/>
      <c r="D3" s="17"/>
      <c r="E3" s="17"/>
      <c r="G3" s="24"/>
    </row>
    <row r="4" spans="1:8" ht="30" customHeight="1">
      <c r="B4" s="30"/>
      <c r="C4" s="20"/>
      <c r="D4" s="17"/>
      <c r="E4" s="17"/>
      <c r="G4" s="24"/>
    </row>
    <row r="5" spans="1:8" ht="15" customHeight="1">
      <c r="B5" s="30"/>
      <c r="C5" s="20"/>
      <c r="D5" s="17"/>
      <c r="E5" s="17"/>
      <c r="G5" s="24"/>
    </row>
    <row r="6" spans="1:8" s="24" customFormat="1" ht="10.5">
      <c r="B6" s="26"/>
      <c r="C6" s="23"/>
    </row>
    <row r="7" spans="1:8" s="24" customFormat="1" ht="12">
      <c r="A7" s="32"/>
      <c r="B7" s="33"/>
      <c r="C7" s="32"/>
      <c r="D7" s="32"/>
      <c r="E7" s="32"/>
      <c r="F7" s="32"/>
      <c r="G7" s="32"/>
      <c r="H7" s="32"/>
    </row>
    <row r="8" spans="1:8" s="13" customFormat="1" ht="15" customHeight="1">
      <c r="A8" s="45"/>
      <c r="B8" s="86" t="s">
        <v>32</v>
      </c>
      <c r="C8" s="86"/>
      <c r="D8" s="86"/>
      <c r="E8" s="86"/>
      <c r="F8" s="86"/>
      <c r="G8" s="45"/>
      <c r="H8" s="45"/>
    </row>
    <row r="9" spans="1:8" s="13" customFormat="1" ht="15" customHeight="1">
      <c r="A9" s="45"/>
      <c r="B9" s="86"/>
      <c r="C9" s="86"/>
      <c r="D9" s="86"/>
      <c r="E9" s="86"/>
      <c r="F9" s="86"/>
      <c r="G9" s="49"/>
      <c r="H9" s="45"/>
    </row>
    <row r="10" spans="1:8" s="13" customFormat="1" ht="15" customHeight="1">
      <c r="A10" s="45"/>
      <c r="B10" s="86"/>
      <c r="C10" s="86"/>
      <c r="D10" s="86"/>
      <c r="E10" s="86"/>
      <c r="F10" s="86"/>
      <c r="G10" s="45"/>
      <c r="H10" s="45"/>
    </row>
    <row r="11" spans="1:8" s="13" customFormat="1" ht="15" customHeight="1">
      <c r="A11" s="45"/>
      <c r="B11" s="50"/>
      <c r="C11" s="50"/>
      <c r="D11" s="50"/>
      <c r="E11" s="50"/>
      <c r="F11" s="50"/>
      <c r="G11" s="45"/>
      <c r="H11" s="45"/>
    </row>
    <row r="12" spans="1:8" s="13" customFormat="1" ht="39">
      <c r="A12" s="45"/>
      <c r="B12" s="73" t="s">
        <v>28</v>
      </c>
      <c r="C12" s="73" t="s">
        <v>31</v>
      </c>
      <c r="D12" s="73" t="s">
        <v>19</v>
      </c>
      <c r="E12" s="73" t="s">
        <v>30</v>
      </c>
      <c r="F12" s="73" t="s">
        <v>29</v>
      </c>
      <c r="G12" s="45"/>
      <c r="H12" s="45"/>
    </row>
    <row r="13" spans="1:8" ht="14.5" customHeight="1">
      <c r="A13" s="35"/>
      <c r="B13" s="89" t="s">
        <v>256</v>
      </c>
      <c r="C13" s="54" t="s">
        <v>249</v>
      </c>
      <c r="D13" s="55">
        <v>7</v>
      </c>
      <c r="E13" s="56">
        <f>D13/$D$21</f>
        <v>7.6821773485513613E-4</v>
      </c>
      <c r="F13" s="56">
        <f>D13/$D$33</f>
        <v>3.7285607755406411E-4</v>
      </c>
      <c r="G13" s="35"/>
      <c r="H13" s="35"/>
    </row>
    <row r="14" spans="1:8" ht="14.5" customHeight="1">
      <c r="A14" s="35"/>
      <c r="B14" s="90"/>
      <c r="C14" s="54" t="s">
        <v>122</v>
      </c>
      <c r="D14" s="55">
        <v>94</v>
      </c>
      <c r="E14" s="56">
        <f t="shared" ref="E14:E16" si="0">D14/$D$21</f>
        <v>1.0316066725197541E-2</v>
      </c>
      <c r="F14" s="56">
        <f t="shared" ref="F14:F32" si="1">D14/$D$33</f>
        <v>5.0069244700117182E-3</v>
      </c>
      <c r="G14" s="35"/>
      <c r="H14" s="35"/>
    </row>
    <row r="15" spans="1:8" ht="14.5" customHeight="1">
      <c r="A15" s="35"/>
      <c r="B15" s="90"/>
      <c r="C15" s="54" t="s">
        <v>123</v>
      </c>
      <c r="D15" s="55">
        <v>1469</v>
      </c>
      <c r="E15" s="56">
        <f t="shared" si="0"/>
        <v>0.16121597892888498</v>
      </c>
      <c r="F15" s="56">
        <f t="shared" si="1"/>
        <v>7.8246511132417179E-2</v>
      </c>
      <c r="G15" s="35"/>
      <c r="H15" s="35"/>
    </row>
    <row r="16" spans="1:8" ht="14.5" customHeight="1">
      <c r="A16" s="35"/>
      <c r="B16" s="90"/>
      <c r="C16" s="54" t="s">
        <v>124</v>
      </c>
      <c r="D16" s="55">
        <v>2121</v>
      </c>
      <c r="E16" s="56">
        <f t="shared" si="0"/>
        <v>0.23276997366110624</v>
      </c>
      <c r="F16" s="56">
        <f t="shared" si="1"/>
        <v>0.11297539149888143</v>
      </c>
      <c r="G16" s="35"/>
      <c r="H16" s="35"/>
    </row>
    <row r="17" spans="1:8" ht="14.5" customHeight="1">
      <c r="A17" s="35"/>
      <c r="B17" s="90"/>
      <c r="C17" s="54" t="s">
        <v>125</v>
      </c>
      <c r="D17" s="55">
        <v>2419</v>
      </c>
      <c r="E17" s="56">
        <f>D17/$D$21</f>
        <v>0.26547410008779632</v>
      </c>
      <c r="F17" s="56">
        <f t="shared" si="1"/>
        <v>0.12884840737189732</v>
      </c>
      <c r="G17" s="35"/>
      <c r="H17" s="35"/>
    </row>
    <row r="18" spans="1:8" ht="14.5" customHeight="1">
      <c r="A18" s="35"/>
      <c r="B18" s="90"/>
      <c r="C18" s="54" t="s">
        <v>126</v>
      </c>
      <c r="D18" s="55">
        <v>2575</v>
      </c>
      <c r="E18" s="56">
        <f>D18/$D$21</f>
        <v>0.28259438103599649</v>
      </c>
      <c r="F18" s="56">
        <f t="shared" si="1"/>
        <v>0.1371577713859593</v>
      </c>
      <c r="G18" s="35"/>
      <c r="H18" s="35"/>
    </row>
    <row r="19" spans="1:8" ht="14.5" customHeight="1">
      <c r="A19" s="35"/>
      <c r="B19" s="90"/>
      <c r="C19" s="54" t="s">
        <v>127</v>
      </c>
      <c r="D19" s="55">
        <v>353</v>
      </c>
      <c r="E19" s="56">
        <f>D19/$D$21</f>
        <v>3.8740122914837576E-2</v>
      </c>
      <c r="F19" s="56">
        <f t="shared" si="1"/>
        <v>1.8802599339512092E-2</v>
      </c>
      <c r="G19" s="35"/>
      <c r="H19" s="35"/>
    </row>
    <row r="20" spans="1:8" ht="14.5" customHeight="1">
      <c r="A20" s="35"/>
      <c r="B20" s="90"/>
      <c r="C20" s="54" t="s">
        <v>128</v>
      </c>
      <c r="D20" s="55">
        <v>74</v>
      </c>
      <c r="E20" s="56">
        <f>D20/$D$21</f>
        <v>8.1211589113257248E-3</v>
      </c>
      <c r="F20" s="56">
        <f t="shared" si="1"/>
        <v>3.9416213912858208E-3</v>
      </c>
      <c r="G20" s="35"/>
      <c r="H20" s="35"/>
    </row>
    <row r="21" spans="1:8" ht="14.5" customHeight="1">
      <c r="A21" s="35"/>
      <c r="B21" s="91"/>
      <c r="C21" s="65" t="s">
        <v>321</v>
      </c>
      <c r="D21" s="64">
        <v>9112</v>
      </c>
      <c r="E21" s="66"/>
      <c r="F21" s="66">
        <f t="shared" si="1"/>
        <v>0.48535208266751889</v>
      </c>
      <c r="G21" s="35"/>
      <c r="H21" s="35"/>
    </row>
    <row r="22" spans="1:8" ht="14.5" customHeight="1">
      <c r="A22" s="35"/>
      <c r="B22" s="89" t="s">
        <v>257</v>
      </c>
      <c r="C22" s="54" t="s">
        <v>249</v>
      </c>
      <c r="D22" s="55">
        <v>11</v>
      </c>
      <c r="E22" s="56">
        <f>D22/$D$30</f>
        <v>1.1385984887692785E-3</v>
      </c>
      <c r="F22" s="56">
        <f t="shared" si="1"/>
        <v>5.8591669329924366E-4</v>
      </c>
      <c r="G22" s="35"/>
      <c r="H22" s="35"/>
    </row>
    <row r="23" spans="1:8" ht="14.5" customHeight="1">
      <c r="A23" s="35"/>
      <c r="B23" s="90"/>
      <c r="C23" s="54" t="s">
        <v>122</v>
      </c>
      <c r="D23" s="55">
        <v>94</v>
      </c>
      <c r="E23" s="56">
        <f>D23/$D$30</f>
        <v>9.7298416313011081E-3</v>
      </c>
      <c r="F23" s="56">
        <f t="shared" si="1"/>
        <v>5.0069244700117182E-3</v>
      </c>
      <c r="G23" s="35"/>
      <c r="H23" s="35"/>
    </row>
    <row r="24" spans="1:8" ht="14.5" customHeight="1">
      <c r="A24" s="35"/>
      <c r="B24" s="90"/>
      <c r="C24" s="54" t="s">
        <v>123</v>
      </c>
      <c r="D24" s="55">
        <v>1958</v>
      </c>
      <c r="E24" s="56">
        <f t="shared" ref="E24:E29" si="2">D24/$D$30</f>
        <v>0.20267053100093158</v>
      </c>
      <c r="F24" s="56">
        <f t="shared" si="1"/>
        <v>0.10429317140726536</v>
      </c>
      <c r="G24" s="35"/>
      <c r="H24" s="35"/>
    </row>
    <row r="25" spans="1:8" ht="14.5" customHeight="1">
      <c r="A25" s="35"/>
      <c r="B25" s="90"/>
      <c r="C25" s="54" t="s">
        <v>124</v>
      </c>
      <c r="D25" s="55">
        <v>2234</v>
      </c>
      <c r="E25" s="56">
        <f t="shared" si="2"/>
        <v>0.23123900217368804</v>
      </c>
      <c r="F25" s="56">
        <f>D25/$D$33</f>
        <v>0.11899435389368275</v>
      </c>
      <c r="G25" s="35"/>
      <c r="H25" s="35"/>
    </row>
    <row r="26" spans="1:8" ht="14.5" customHeight="1">
      <c r="A26" s="35"/>
      <c r="B26" s="90"/>
      <c r="C26" s="54" t="s">
        <v>125</v>
      </c>
      <c r="D26" s="55">
        <v>2433</v>
      </c>
      <c r="E26" s="56">
        <f>D26/$D$30</f>
        <v>0.2518372839250595</v>
      </c>
      <c r="F26" s="56">
        <f>D26/$D$33</f>
        <v>0.12959411952700545</v>
      </c>
      <c r="G26" s="35"/>
      <c r="H26" s="35"/>
    </row>
    <row r="27" spans="1:8" ht="14.5" customHeight="1">
      <c r="A27" s="35"/>
      <c r="B27" s="90"/>
      <c r="C27" s="54" t="s">
        <v>126</v>
      </c>
      <c r="D27" s="55">
        <v>2522</v>
      </c>
      <c r="E27" s="56">
        <f t="shared" si="2"/>
        <v>0.26104958078873824</v>
      </c>
      <c r="F27" s="56">
        <f t="shared" si="1"/>
        <v>0.13433471822733567</v>
      </c>
      <c r="G27" s="35"/>
      <c r="H27" s="35"/>
    </row>
    <row r="28" spans="1:8" ht="14.5" customHeight="1">
      <c r="A28" s="35"/>
      <c r="B28" s="90"/>
      <c r="C28" s="54" t="s">
        <v>127</v>
      </c>
      <c r="D28" s="55">
        <v>343</v>
      </c>
      <c r="E28" s="56">
        <f t="shared" si="2"/>
        <v>3.5503571058896594E-2</v>
      </c>
      <c r="F28" s="56">
        <f t="shared" si="1"/>
        <v>1.8269947800149143E-2</v>
      </c>
      <c r="G28" s="35"/>
      <c r="H28" s="35"/>
    </row>
    <row r="29" spans="1:8" ht="14.5" customHeight="1">
      <c r="A29" s="35"/>
      <c r="B29" s="90"/>
      <c r="C29" s="54" t="s">
        <v>128</v>
      </c>
      <c r="D29" s="55">
        <v>66</v>
      </c>
      <c r="E29" s="56">
        <f t="shared" si="2"/>
        <v>6.8315909326156716E-3</v>
      </c>
      <c r="F29" s="56">
        <f t="shared" si="1"/>
        <v>3.515500159795462E-3</v>
      </c>
      <c r="G29" s="35"/>
      <c r="H29" s="35"/>
    </row>
    <row r="30" spans="1:8" ht="14.5" customHeight="1">
      <c r="A30" s="35"/>
      <c r="B30" s="91"/>
      <c r="C30" s="67" t="s">
        <v>321</v>
      </c>
      <c r="D30" s="62">
        <v>9661</v>
      </c>
      <c r="E30" s="63"/>
      <c r="F30" s="76">
        <f t="shared" si="1"/>
        <v>0.51459465217854483</v>
      </c>
      <c r="G30" s="35"/>
      <c r="H30" s="35"/>
    </row>
    <row r="31" spans="1:8" ht="14.5" customHeight="1">
      <c r="A31" s="35"/>
      <c r="B31" s="89" t="s">
        <v>258</v>
      </c>
      <c r="C31" s="54" t="s">
        <v>126</v>
      </c>
      <c r="D31" s="55">
        <v>1</v>
      </c>
      <c r="E31" s="56">
        <f>D31/$D$32</f>
        <v>1</v>
      </c>
      <c r="F31" s="56">
        <f t="shared" si="1"/>
        <v>5.3265153936294876E-5</v>
      </c>
      <c r="G31" s="35"/>
      <c r="H31" s="35"/>
    </row>
    <row r="32" spans="1:8" ht="14.5" customHeight="1">
      <c r="A32" s="35"/>
      <c r="B32" s="91"/>
      <c r="C32" s="67" t="s">
        <v>321</v>
      </c>
      <c r="D32" s="62">
        <v>1</v>
      </c>
      <c r="E32" s="63"/>
      <c r="F32" s="76">
        <f t="shared" si="1"/>
        <v>5.3265153936294876E-5</v>
      </c>
      <c r="G32" s="35"/>
      <c r="H32" s="35"/>
    </row>
    <row r="33" spans="1:8" ht="14.5" customHeight="1">
      <c r="A33" s="35"/>
      <c r="B33" s="87" t="s">
        <v>323</v>
      </c>
      <c r="C33" s="88"/>
      <c r="D33" s="52">
        <v>18774</v>
      </c>
      <c r="E33" s="53">
        <v>1</v>
      </c>
      <c r="F33" s="53">
        <v>1</v>
      </c>
      <c r="G33" s="35"/>
      <c r="H33" s="35"/>
    </row>
    <row r="34" spans="1:8" ht="14.5" customHeight="1">
      <c r="A34" s="35"/>
      <c r="B34" s="40"/>
      <c r="C34" s="32"/>
      <c r="D34" s="38"/>
      <c r="E34" s="38"/>
      <c r="F34" s="32"/>
      <c r="G34" s="35"/>
      <c r="H34" s="35"/>
    </row>
    <row r="35" spans="1:8" ht="14.5" customHeight="1">
      <c r="B35" s="37" t="s">
        <v>130</v>
      </c>
      <c r="C35" s="32"/>
      <c r="D35" s="38"/>
      <c r="E35" s="38"/>
      <c r="F35" s="32"/>
      <c r="G35" s="35"/>
      <c r="H35" s="35"/>
    </row>
    <row r="36" spans="1:8" ht="14.5" customHeight="1">
      <c r="B36" s="39" t="s">
        <v>17</v>
      </c>
      <c r="C36" s="32"/>
      <c r="D36" s="38"/>
      <c r="E36" s="38"/>
      <c r="F36" s="32"/>
      <c r="G36" s="35"/>
      <c r="H36" s="35"/>
    </row>
    <row r="37" spans="1:8" ht="12">
      <c r="B37" s="40" t="s">
        <v>44</v>
      </c>
      <c r="C37" s="32"/>
      <c r="D37" s="38"/>
      <c r="E37" s="38"/>
      <c r="F37" s="32"/>
      <c r="G37" s="35"/>
      <c r="H37" s="35"/>
    </row>
    <row r="38" spans="1:8" ht="12">
      <c r="B38" s="37" t="s">
        <v>16</v>
      </c>
      <c r="C38" s="32"/>
      <c r="D38" s="38"/>
      <c r="E38" s="38"/>
      <c r="F38" s="32"/>
      <c r="G38" s="35"/>
      <c r="H38" s="35"/>
    </row>
    <row r="39" spans="1:8" ht="12">
      <c r="B39" s="37" t="s">
        <v>320</v>
      </c>
      <c r="C39" s="32"/>
      <c r="D39" s="38"/>
      <c r="E39" s="38"/>
      <c r="F39" s="32"/>
      <c r="G39" s="35"/>
      <c r="H39" s="35"/>
    </row>
    <row r="40" spans="1:8" ht="12">
      <c r="A40" s="35"/>
      <c r="B40" s="32"/>
      <c r="C40" s="32"/>
      <c r="D40" s="38"/>
      <c r="E40" s="38"/>
      <c r="F40" s="32"/>
      <c r="G40" s="35"/>
      <c r="H40" s="35"/>
    </row>
  </sheetData>
  <mergeCells count="5">
    <mergeCell ref="B8:F10"/>
    <mergeCell ref="B13:B21"/>
    <mergeCell ref="B22:B30"/>
    <mergeCell ref="B31:B32"/>
    <mergeCell ref="B33:C33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80"/>
  <sheetViews>
    <sheetView showGridLines="0" tabSelected="1" view="pageBreakPreview" zoomScaleNormal="100" zoomScaleSheetLayoutView="100" workbookViewId="0">
      <selection activeCell="D11" sqref="D11"/>
    </sheetView>
  </sheetViews>
  <sheetFormatPr baseColWidth="10" defaultColWidth="11.453125" defaultRowHeight="14.5"/>
  <cols>
    <col min="1" max="1" width="9.26953125" style="13" customWidth="1"/>
    <col min="2" max="2" width="42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7" customFormat="1" ht="15" customHeight="1">
      <c r="C1" s="20"/>
    </row>
    <row r="2" spans="1:6" s="17" customFormat="1" ht="15" customHeight="1">
      <c r="C2" s="20"/>
    </row>
    <row r="3" spans="1:6" s="17" customFormat="1" ht="15" customHeight="1">
      <c r="C3" s="20"/>
    </row>
    <row r="4" spans="1:6" s="17" customFormat="1" ht="30" customHeight="1">
      <c r="C4" s="20"/>
      <c r="D4" s="19"/>
    </row>
    <row r="5" spans="1:6" s="17" customFormat="1" ht="15" customHeight="1">
      <c r="C5" s="20"/>
      <c r="D5" s="19"/>
    </row>
    <row r="6" spans="1:6" s="17" customFormat="1" ht="15" customHeight="1">
      <c r="C6" s="20"/>
      <c r="D6" s="19"/>
    </row>
    <row r="7" spans="1:6" s="17" customFormat="1" ht="15" customHeight="1">
      <c r="A7" s="35"/>
      <c r="B7" s="86" t="s">
        <v>129</v>
      </c>
      <c r="C7" s="86"/>
      <c r="D7" s="86"/>
      <c r="E7" s="35"/>
      <c r="F7" s="35"/>
    </row>
    <row r="8" spans="1:6" s="17" customFormat="1" ht="15" customHeight="1">
      <c r="A8" s="35"/>
      <c r="B8" s="86"/>
      <c r="C8" s="86"/>
      <c r="D8" s="86"/>
      <c r="E8" s="35"/>
      <c r="F8" s="35"/>
    </row>
    <row r="9" spans="1:6" s="17" customFormat="1" ht="33" customHeight="1">
      <c r="A9" s="35"/>
      <c r="B9" s="86"/>
      <c r="C9" s="86"/>
      <c r="D9" s="86"/>
      <c r="E9" s="35"/>
      <c r="F9" s="35"/>
    </row>
    <row r="10" spans="1:6" s="17" customFormat="1" ht="4.5" customHeight="1">
      <c r="A10" s="35"/>
      <c r="B10" s="41"/>
      <c r="C10" s="41"/>
      <c r="D10" s="41"/>
      <c r="E10" s="35"/>
      <c r="F10" s="35"/>
    </row>
    <row r="11" spans="1:6" s="17" customFormat="1" ht="33" customHeight="1">
      <c r="A11" s="35"/>
      <c r="B11" s="42" t="s">
        <v>33</v>
      </c>
      <c r="C11" s="43" t="s">
        <v>19</v>
      </c>
      <c r="D11" s="44" t="s">
        <v>18</v>
      </c>
      <c r="E11" s="35"/>
      <c r="F11" s="35"/>
    </row>
    <row r="12" spans="1:6" ht="15" customHeight="1">
      <c r="A12" s="45"/>
      <c r="B12" s="71" t="s">
        <v>259</v>
      </c>
      <c r="C12" s="55">
        <v>10452</v>
      </c>
      <c r="D12" s="56">
        <v>0.55672738894215401</v>
      </c>
      <c r="E12" s="45"/>
      <c r="F12" s="45"/>
    </row>
    <row r="13" spans="1:6" ht="15" customHeight="1">
      <c r="A13" s="45"/>
      <c r="B13" s="71" t="s">
        <v>260</v>
      </c>
      <c r="C13" s="55">
        <v>4829</v>
      </c>
      <c r="D13" s="56">
        <v>0.25721742835836803</v>
      </c>
      <c r="E13" s="45"/>
      <c r="F13" s="45"/>
    </row>
    <row r="14" spans="1:6" ht="15" customHeight="1">
      <c r="A14" s="45"/>
      <c r="B14" s="71" t="s">
        <v>261</v>
      </c>
      <c r="C14" s="55">
        <v>842</v>
      </c>
      <c r="D14" s="56">
        <v>4.4849259614360003E-2</v>
      </c>
      <c r="E14" s="45"/>
      <c r="F14" s="45"/>
    </row>
    <row r="15" spans="1:6" ht="15" customHeight="1">
      <c r="A15" s="45"/>
      <c r="B15" s="71" t="s">
        <v>262</v>
      </c>
      <c r="C15" s="55">
        <v>573</v>
      </c>
      <c r="D15" s="56">
        <v>3.0520933205497001E-2</v>
      </c>
      <c r="E15" s="45"/>
      <c r="F15" s="45"/>
    </row>
    <row r="16" spans="1:6" ht="15" customHeight="1">
      <c r="A16" s="45"/>
      <c r="B16" s="71" t="s">
        <v>263</v>
      </c>
      <c r="C16" s="55">
        <v>445</v>
      </c>
      <c r="D16" s="56">
        <v>2.3702993501651001E-2</v>
      </c>
      <c r="E16" s="45"/>
      <c r="F16" s="45"/>
    </row>
    <row r="17" spans="1:6" ht="15" customHeight="1">
      <c r="A17" s="45"/>
      <c r="B17" s="71" t="s">
        <v>264</v>
      </c>
      <c r="C17" s="55">
        <v>164</v>
      </c>
      <c r="D17" s="56">
        <v>8.735485245552E-3</v>
      </c>
      <c r="E17" s="45"/>
      <c r="F17" s="45"/>
    </row>
    <row r="18" spans="1:6" ht="15" customHeight="1">
      <c r="A18" s="45"/>
      <c r="B18" s="71" t="s">
        <v>265</v>
      </c>
      <c r="C18" s="55">
        <v>156</v>
      </c>
      <c r="D18" s="56">
        <v>8.3093640140619995E-3</v>
      </c>
      <c r="E18" s="45"/>
      <c r="F18" s="45"/>
    </row>
    <row r="19" spans="1:6" ht="15" customHeight="1">
      <c r="A19" s="45"/>
      <c r="B19" s="71" t="s">
        <v>266</v>
      </c>
      <c r="C19" s="55">
        <v>149</v>
      </c>
      <c r="D19" s="56">
        <v>7.9365079365080003E-3</v>
      </c>
      <c r="E19" s="45"/>
      <c r="F19" s="45"/>
    </row>
    <row r="20" spans="1:6" ht="15" customHeight="1">
      <c r="A20" s="45"/>
      <c r="B20" s="71" t="s">
        <v>267</v>
      </c>
      <c r="C20" s="55">
        <v>97</v>
      </c>
      <c r="D20" s="56">
        <v>5.1667199318209999E-3</v>
      </c>
      <c r="E20" s="45"/>
      <c r="F20" s="45"/>
    </row>
    <row r="21" spans="1:6" ht="15" customHeight="1">
      <c r="A21" s="45"/>
      <c r="B21" s="71" t="s">
        <v>268</v>
      </c>
      <c r="C21" s="55">
        <v>89</v>
      </c>
      <c r="D21" s="56">
        <v>4.7405987003300001E-3</v>
      </c>
      <c r="E21" s="45"/>
      <c r="F21" s="45"/>
    </row>
    <row r="22" spans="1:6" ht="15" customHeight="1">
      <c r="A22" s="45"/>
      <c r="B22" s="71" t="s">
        <v>269</v>
      </c>
      <c r="C22" s="55">
        <v>86</v>
      </c>
      <c r="D22" s="56">
        <v>4.5808032385210003E-3</v>
      </c>
      <c r="E22" s="45"/>
      <c r="F22" s="45"/>
    </row>
    <row r="23" spans="1:6" ht="15" customHeight="1">
      <c r="A23" s="45"/>
      <c r="B23" s="71" t="s">
        <v>270</v>
      </c>
      <c r="C23" s="55">
        <v>81</v>
      </c>
      <c r="D23" s="56">
        <v>4.3144774688400004E-3</v>
      </c>
      <c r="E23" s="45"/>
      <c r="F23" s="45"/>
    </row>
    <row r="24" spans="1:6" ht="15" customHeight="1">
      <c r="A24" s="45"/>
      <c r="B24" s="71" t="s">
        <v>271</v>
      </c>
      <c r="C24" s="55">
        <v>77</v>
      </c>
      <c r="D24" s="56">
        <v>4.1014168530950001E-3</v>
      </c>
      <c r="E24" s="45"/>
      <c r="F24" s="45"/>
    </row>
    <row r="25" spans="1:6" ht="15" customHeight="1">
      <c r="A25" s="45"/>
      <c r="B25" s="71" t="s">
        <v>272</v>
      </c>
      <c r="C25" s="55">
        <v>77</v>
      </c>
      <c r="D25" s="56">
        <v>4.1014168530950001E-3</v>
      </c>
      <c r="E25" s="45"/>
      <c r="F25" s="45"/>
    </row>
    <row r="26" spans="1:6" ht="15" customHeight="1">
      <c r="A26" s="45"/>
      <c r="B26" s="71" t="s">
        <v>273</v>
      </c>
      <c r="C26" s="55">
        <v>61</v>
      </c>
      <c r="D26" s="56">
        <v>3.2491743901140002E-3</v>
      </c>
      <c r="E26" s="45"/>
      <c r="F26" s="45"/>
    </row>
    <row r="27" spans="1:6" ht="15" customHeight="1">
      <c r="A27" s="45"/>
      <c r="B27" s="71" t="s">
        <v>274</v>
      </c>
      <c r="C27" s="55">
        <v>59</v>
      </c>
      <c r="D27" s="56">
        <v>3.142644082241E-3</v>
      </c>
      <c r="E27" s="45"/>
      <c r="F27" s="45"/>
    </row>
    <row r="28" spans="1:6" ht="15" customHeight="1">
      <c r="A28" s="45"/>
      <c r="B28" s="71" t="s">
        <v>275</v>
      </c>
      <c r="C28" s="55">
        <v>56</v>
      </c>
      <c r="D28" s="56">
        <v>2.9828486204329999E-3</v>
      </c>
      <c r="E28" s="45"/>
      <c r="F28" s="45"/>
    </row>
    <row r="29" spans="1:6" ht="15" customHeight="1">
      <c r="A29" s="45"/>
      <c r="B29" s="71" t="s">
        <v>276</v>
      </c>
      <c r="C29" s="55">
        <v>45</v>
      </c>
      <c r="D29" s="56">
        <v>2.3969319271329999E-3</v>
      </c>
      <c r="E29" s="45"/>
      <c r="F29" s="45"/>
    </row>
    <row r="30" spans="1:6" ht="15" customHeight="1">
      <c r="A30" s="45"/>
      <c r="B30" s="71" t="s">
        <v>277</v>
      </c>
      <c r="C30" s="55">
        <v>44</v>
      </c>
      <c r="D30" s="56">
        <v>2.3436667731969998E-3</v>
      </c>
      <c r="E30" s="45"/>
      <c r="F30" s="45"/>
    </row>
    <row r="31" spans="1:6" ht="15" customHeight="1">
      <c r="A31" s="45"/>
      <c r="B31" s="71" t="s">
        <v>278</v>
      </c>
      <c r="C31" s="55">
        <v>41</v>
      </c>
      <c r="D31" s="56">
        <v>2.183871311388E-3</v>
      </c>
      <c r="E31" s="45"/>
      <c r="F31" s="45"/>
    </row>
    <row r="32" spans="1:6" ht="15" customHeight="1">
      <c r="A32" s="45"/>
      <c r="B32" s="71" t="s">
        <v>279</v>
      </c>
      <c r="C32" s="55">
        <v>37</v>
      </c>
      <c r="D32" s="56">
        <v>1.9708106956430002E-3</v>
      </c>
      <c r="E32" s="45"/>
      <c r="F32" s="45"/>
    </row>
    <row r="33" spans="1:6" ht="15" customHeight="1">
      <c r="A33" s="45"/>
      <c r="B33" s="71" t="s">
        <v>280</v>
      </c>
      <c r="C33" s="55">
        <v>37</v>
      </c>
      <c r="D33" s="56">
        <v>1.9708106956430002E-3</v>
      </c>
      <c r="E33" s="45"/>
      <c r="F33" s="45"/>
    </row>
    <row r="34" spans="1:6" ht="15" customHeight="1">
      <c r="A34" s="45"/>
      <c r="B34" s="71" t="s">
        <v>281</v>
      </c>
      <c r="C34" s="55">
        <v>33</v>
      </c>
      <c r="D34" s="56">
        <v>1.7577500798980001E-3</v>
      </c>
      <c r="E34" s="45"/>
      <c r="F34" s="45"/>
    </row>
    <row r="35" spans="1:6" ht="15" customHeight="1">
      <c r="A35" s="45"/>
      <c r="B35" s="71" t="s">
        <v>282</v>
      </c>
      <c r="C35" s="55">
        <v>25</v>
      </c>
      <c r="D35" s="56">
        <v>1.3316288484070001E-3</v>
      </c>
      <c r="E35" s="45"/>
      <c r="F35" s="45"/>
    </row>
    <row r="36" spans="1:6" ht="15" customHeight="1">
      <c r="A36" s="45"/>
      <c r="B36" s="71" t="s">
        <v>283</v>
      </c>
      <c r="C36" s="55">
        <v>22</v>
      </c>
      <c r="D36" s="56">
        <v>1.1718333865980001E-3</v>
      </c>
      <c r="E36" s="45"/>
      <c r="F36" s="45"/>
    </row>
    <row r="37" spans="1:6" ht="15" customHeight="1">
      <c r="A37" s="45"/>
      <c r="B37" s="71" t="s">
        <v>284</v>
      </c>
      <c r="C37" s="55">
        <v>21</v>
      </c>
      <c r="D37" s="56">
        <v>1.118568232662E-3</v>
      </c>
      <c r="E37" s="45"/>
      <c r="F37" s="45"/>
    </row>
    <row r="38" spans="1:6" ht="15" customHeight="1">
      <c r="A38" s="45"/>
      <c r="B38" s="71" t="s">
        <v>285</v>
      </c>
      <c r="C38" s="55">
        <v>20</v>
      </c>
      <c r="D38" s="56">
        <v>1.065303078726E-3</v>
      </c>
      <c r="E38" s="45"/>
      <c r="F38" s="45"/>
    </row>
    <row r="39" spans="1:6" ht="15" customHeight="1">
      <c r="A39" s="45"/>
      <c r="B39" s="71" t="s">
        <v>286</v>
      </c>
      <c r="C39" s="55">
        <v>16</v>
      </c>
      <c r="D39" s="56">
        <v>8.5224246298100002E-4</v>
      </c>
      <c r="E39" s="45"/>
      <c r="F39" s="45"/>
    </row>
    <row r="40" spans="1:6" ht="15" customHeight="1">
      <c r="A40" s="45"/>
      <c r="B40" s="71" t="s">
        <v>287</v>
      </c>
      <c r="C40" s="55">
        <v>16</v>
      </c>
      <c r="D40" s="56">
        <v>8.5224246298100002E-4</v>
      </c>
      <c r="E40" s="45"/>
      <c r="F40" s="45"/>
    </row>
    <row r="41" spans="1:6" ht="15" customHeight="1">
      <c r="A41" s="45"/>
      <c r="B41" s="71" t="s">
        <v>288</v>
      </c>
      <c r="C41" s="55">
        <v>15</v>
      </c>
      <c r="D41" s="56">
        <v>7.98977309044E-4</v>
      </c>
      <c r="E41" s="45"/>
      <c r="F41" s="45"/>
    </row>
    <row r="42" spans="1:6" ht="15" customHeight="1">
      <c r="A42" s="45"/>
      <c r="B42" s="71" t="s">
        <v>289</v>
      </c>
      <c r="C42" s="55">
        <v>13</v>
      </c>
      <c r="D42" s="56">
        <v>6.92447001172E-4</v>
      </c>
      <c r="E42" s="45"/>
      <c r="F42" s="45"/>
    </row>
    <row r="43" spans="1:6" ht="15" customHeight="1">
      <c r="A43" s="45"/>
      <c r="B43" s="71" t="s">
        <v>290</v>
      </c>
      <c r="C43" s="55">
        <v>10</v>
      </c>
      <c r="D43" s="56">
        <v>5.3265153936299999E-4</v>
      </c>
      <c r="E43" s="45"/>
      <c r="F43" s="45"/>
    </row>
    <row r="44" spans="1:6" ht="15" customHeight="1">
      <c r="A44" s="45"/>
      <c r="B44" s="71" t="s">
        <v>291</v>
      </c>
      <c r="C44" s="55">
        <v>9</v>
      </c>
      <c r="D44" s="56">
        <v>4.7938638542699999E-4</v>
      </c>
      <c r="E44" s="45"/>
      <c r="F44" s="45"/>
    </row>
    <row r="45" spans="1:6" ht="15" customHeight="1">
      <c r="A45" s="45"/>
      <c r="B45" s="71" t="s">
        <v>292</v>
      </c>
      <c r="C45" s="55">
        <v>8</v>
      </c>
      <c r="D45" s="56">
        <v>4.2612123148999997E-4</v>
      </c>
      <c r="E45" s="45"/>
      <c r="F45" s="45"/>
    </row>
    <row r="46" spans="1:6" ht="15" customHeight="1">
      <c r="A46" s="45"/>
      <c r="B46" s="71" t="s">
        <v>293</v>
      </c>
      <c r="C46" s="55">
        <v>8</v>
      </c>
      <c r="D46" s="56">
        <v>4.2612123148999997E-4</v>
      </c>
      <c r="E46" s="45"/>
      <c r="F46" s="45"/>
    </row>
    <row r="47" spans="1:6" ht="15" customHeight="1">
      <c r="A47" s="45"/>
      <c r="B47" s="71" t="s">
        <v>294</v>
      </c>
      <c r="C47" s="55">
        <v>7</v>
      </c>
      <c r="D47" s="56">
        <v>3.7285607755399997E-4</v>
      </c>
      <c r="E47" s="45"/>
      <c r="F47" s="45"/>
    </row>
    <row r="48" spans="1:6" ht="15" customHeight="1">
      <c r="A48" s="45"/>
      <c r="B48" s="71" t="s">
        <v>295</v>
      </c>
      <c r="C48" s="55">
        <v>6</v>
      </c>
      <c r="D48" s="56">
        <v>3.1959092361799997E-4</v>
      </c>
      <c r="E48" s="45"/>
      <c r="F48" s="45"/>
    </row>
    <row r="49" spans="1:6" ht="15" customHeight="1">
      <c r="A49" s="45"/>
      <c r="B49" s="71" t="s">
        <v>296</v>
      </c>
      <c r="C49" s="55">
        <v>6</v>
      </c>
      <c r="D49" s="56">
        <v>3.1959092361799997E-4</v>
      </c>
      <c r="E49" s="45"/>
      <c r="F49" s="45"/>
    </row>
    <row r="50" spans="1:6" ht="15" customHeight="1">
      <c r="A50" s="45"/>
      <c r="B50" s="71" t="s">
        <v>118</v>
      </c>
      <c r="C50" s="55">
        <v>5</v>
      </c>
      <c r="D50" s="56">
        <v>2.6632576968100001E-4</v>
      </c>
      <c r="E50" s="45"/>
      <c r="F50" s="45"/>
    </row>
    <row r="51" spans="1:6" ht="15" customHeight="1">
      <c r="A51" s="45"/>
      <c r="B51" s="71" t="s">
        <v>297</v>
      </c>
      <c r="C51" s="55">
        <v>4</v>
      </c>
      <c r="D51" s="56">
        <v>2.1306061574499999E-4</v>
      </c>
      <c r="E51" s="45"/>
      <c r="F51" s="45"/>
    </row>
    <row r="52" spans="1:6" ht="15" customHeight="1">
      <c r="A52" s="45"/>
      <c r="B52" s="71" t="s">
        <v>298</v>
      </c>
      <c r="C52" s="55">
        <v>4</v>
      </c>
      <c r="D52" s="56">
        <v>2.1306061574499999E-4</v>
      </c>
      <c r="E52" s="45"/>
      <c r="F52" s="45"/>
    </row>
    <row r="53" spans="1:6" ht="15" customHeight="1">
      <c r="A53" s="45"/>
      <c r="B53" s="71" t="s">
        <v>299</v>
      </c>
      <c r="C53" s="55">
        <v>3</v>
      </c>
      <c r="D53" s="56">
        <v>1.5979546180899999E-4</v>
      </c>
      <c r="E53" s="45"/>
      <c r="F53" s="45"/>
    </row>
    <row r="54" spans="1:6" ht="15" customHeight="1">
      <c r="A54" s="45"/>
      <c r="B54" s="71" t="s">
        <v>300</v>
      </c>
      <c r="C54" s="55">
        <v>3</v>
      </c>
      <c r="D54" s="56">
        <v>1.5979546180899999E-4</v>
      </c>
      <c r="E54" s="45"/>
      <c r="F54" s="45"/>
    </row>
    <row r="55" spans="1:6" ht="15" customHeight="1">
      <c r="A55" s="45"/>
      <c r="B55" s="71" t="s">
        <v>301</v>
      </c>
      <c r="C55" s="55">
        <v>2</v>
      </c>
      <c r="D55" s="56">
        <v>1.06530307873E-4</v>
      </c>
      <c r="E55" s="45"/>
      <c r="F55" s="45"/>
    </row>
    <row r="56" spans="1:6" ht="15" customHeight="1">
      <c r="A56" s="45"/>
      <c r="B56" s="71" t="s">
        <v>302</v>
      </c>
      <c r="C56" s="55">
        <v>2</v>
      </c>
      <c r="D56" s="56">
        <v>1.06530307873E-4</v>
      </c>
      <c r="E56" s="45"/>
      <c r="F56" s="45"/>
    </row>
    <row r="57" spans="1:6" ht="15" customHeight="1">
      <c r="A57" s="45"/>
      <c r="B57" s="71" t="s">
        <v>303</v>
      </c>
      <c r="C57" s="55">
        <v>2</v>
      </c>
      <c r="D57" s="56">
        <v>1.06530307873E-4</v>
      </c>
      <c r="E57" s="45"/>
      <c r="F57" s="45"/>
    </row>
    <row r="58" spans="1:6" ht="15" customHeight="1">
      <c r="A58" s="45"/>
      <c r="B58" s="71" t="s">
        <v>304</v>
      </c>
      <c r="C58" s="55">
        <v>2</v>
      </c>
      <c r="D58" s="56">
        <v>1.06530307873E-4</v>
      </c>
      <c r="E58" s="45"/>
      <c r="F58" s="45"/>
    </row>
    <row r="59" spans="1:6" ht="15" customHeight="1">
      <c r="A59" s="45"/>
      <c r="B59" s="71" t="s">
        <v>305</v>
      </c>
      <c r="C59" s="55">
        <v>2</v>
      </c>
      <c r="D59" s="56">
        <v>1.06530307873E-4</v>
      </c>
      <c r="E59" s="45"/>
      <c r="F59" s="45"/>
    </row>
    <row r="60" spans="1:6" ht="15" customHeight="1">
      <c r="A60" s="45"/>
      <c r="B60" s="71" t="s">
        <v>306</v>
      </c>
      <c r="C60" s="55">
        <v>1</v>
      </c>
      <c r="D60" s="56">
        <v>5.3265153936E-5</v>
      </c>
      <c r="E60" s="45"/>
      <c r="F60" s="45"/>
    </row>
    <row r="61" spans="1:6" ht="15" customHeight="1">
      <c r="A61" s="45"/>
      <c r="B61" s="71" t="s">
        <v>307</v>
      </c>
      <c r="C61" s="55">
        <v>1</v>
      </c>
      <c r="D61" s="56">
        <v>5.3265153936E-5</v>
      </c>
      <c r="E61" s="45"/>
      <c r="F61" s="45"/>
    </row>
    <row r="62" spans="1:6" ht="15" customHeight="1">
      <c r="A62" s="45"/>
      <c r="B62" s="71" t="s">
        <v>308</v>
      </c>
      <c r="C62" s="55">
        <v>1</v>
      </c>
      <c r="D62" s="56">
        <v>5.3265153936E-5</v>
      </c>
      <c r="E62" s="45"/>
      <c r="F62" s="45"/>
    </row>
    <row r="63" spans="1:6" ht="15" customHeight="1">
      <c r="A63" s="45"/>
      <c r="B63" s="71" t="s">
        <v>309</v>
      </c>
      <c r="C63" s="55">
        <v>1</v>
      </c>
      <c r="D63" s="56">
        <v>5.3265153936E-5</v>
      </c>
      <c r="E63" s="45"/>
      <c r="F63" s="45"/>
    </row>
    <row r="64" spans="1:6" ht="15" customHeight="1">
      <c r="A64" s="45"/>
      <c r="B64" s="71" t="s">
        <v>310</v>
      </c>
      <c r="C64" s="55">
        <v>1</v>
      </c>
      <c r="D64" s="56">
        <v>5.3265153936E-5</v>
      </c>
      <c r="E64" s="45"/>
      <c r="F64" s="45"/>
    </row>
    <row r="65" spans="1:6" ht="15" customHeight="1">
      <c r="A65" s="45"/>
      <c r="B65" s="71" t="s">
        <v>311</v>
      </c>
      <c r="C65" s="55">
        <v>1</v>
      </c>
      <c r="D65" s="56">
        <v>5.3265153936E-5</v>
      </c>
      <c r="E65" s="45"/>
      <c r="F65" s="45"/>
    </row>
    <row r="66" spans="1:6" ht="15" customHeight="1">
      <c r="A66" s="45"/>
      <c r="B66" s="71" t="s">
        <v>312</v>
      </c>
      <c r="C66" s="55">
        <v>1</v>
      </c>
      <c r="D66" s="56">
        <v>5.3265153936E-5</v>
      </c>
      <c r="E66" s="45"/>
      <c r="F66" s="45"/>
    </row>
    <row r="67" spans="1:6" ht="15" customHeight="1">
      <c r="A67" s="45"/>
      <c r="B67" s="71" t="s">
        <v>313</v>
      </c>
      <c r="C67" s="55">
        <v>1</v>
      </c>
      <c r="D67" s="56">
        <v>5.3265153936E-5</v>
      </c>
      <c r="E67" s="45"/>
      <c r="F67" s="45"/>
    </row>
    <row r="68" spans="1:6" ht="15" customHeight="1">
      <c r="A68" s="45"/>
      <c r="B68" s="71" t="s">
        <v>314</v>
      </c>
      <c r="C68" s="55">
        <v>1</v>
      </c>
      <c r="D68" s="56">
        <v>5.3265153936E-5</v>
      </c>
      <c r="E68" s="45"/>
      <c r="F68" s="45"/>
    </row>
    <row r="69" spans="1:6" ht="15" customHeight="1">
      <c r="A69" s="45"/>
      <c r="B69" s="71" t="s">
        <v>315</v>
      </c>
      <c r="C69" s="55">
        <v>1</v>
      </c>
      <c r="D69" s="56">
        <v>5.3265153936E-5</v>
      </c>
      <c r="E69" s="45"/>
      <c r="F69" s="45"/>
    </row>
    <row r="70" spans="1:6" ht="15" customHeight="1">
      <c r="A70" s="45"/>
      <c r="B70" s="71" t="s">
        <v>316</v>
      </c>
      <c r="C70" s="55">
        <v>1</v>
      </c>
      <c r="D70" s="56">
        <v>5.3265153936E-5</v>
      </c>
      <c r="E70" s="45"/>
      <c r="F70" s="45"/>
    </row>
    <row r="71" spans="1:6" ht="15" customHeight="1">
      <c r="A71" s="45"/>
      <c r="B71" s="71" t="s">
        <v>317</v>
      </c>
      <c r="C71" s="55">
        <v>1</v>
      </c>
      <c r="D71" s="56">
        <v>5.3265153936E-5</v>
      </c>
      <c r="E71" s="45"/>
      <c r="F71" s="45"/>
    </row>
    <row r="72" spans="1:6" ht="15" customHeight="1">
      <c r="A72" s="45"/>
      <c r="B72" s="71" t="s">
        <v>318</v>
      </c>
      <c r="C72" s="55">
        <v>1</v>
      </c>
      <c r="D72" s="56">
        <v>5.3265153936E-5</v>
      </c>
      <c r="E72" s="45"/>
      <c r="F72" s="45"/>
    </row>
    <row r="73" spans="1:6" ht="15" customHeight="1">
      <c r="A73" s="45"/>
      <c r="B73" s="72" t="s">
        <v>324</v>
      </c>
      <c r="C73" s="52">
        <v>18774</v>
      </c>
      <c r="D73" s="53">
        <v>1</v>
      </c>
      <c r="E73" s="45"/>
      <c r="F73" s="45"/>
    </row>
    <row r="74" spans="1:6" ht="16.5">
      <c r="A74" s="45"/>
      <c r="B74" s="37"/>
      <c r="C74" s="46"/>
      <c r="D74" s="45"/>
      <c r="E74" s="45"/>
      <c r="F74" s="45"/>
    </row>
    <row r="75" spans="1:6" ht="16.5">
      <c r="B75" s="37" t="s">
        <v>130</v>
      </c>
      <c r="C75" s="45"/>
      <c r="D75" s="45"/>
      <c r="E75" s="45"/>
      <c r="F75" s="45"/>
    </row>
    <row r="76" spans="1:6" ht="16.5">
      <c r="B76" s="39" t="s">
        <v>17</v>
      </c>
      <c r="C76" s="45"/>
      <c r="D76" s="45"/>
      <c r="E76" s="45"/>
      <c r="F76" s="45"/>
    </row>
    <row r="77" spans="1:6" ht="16.5">
      <c r="B77" s="40" t="s">
        <v>44</v>
      </c>
      <c r="C77" s="46"/>
      <c r="D77" s="45"/>
      <c r="E77" s="45"/>
      <c r="F77" s="45"/>
    </row>
    <row r="78" spans="1:6" ht="16.5">
      <c r="B78" s="37" t="s">
        <v>16</v>
      </c>
      <c r="C78" s="46"/>
      <c r="D78" s="45"/>
      <c r="E78" s="45"/>
      <c r="F78" s="45"/>
    </row>
    <row r="79" spans="1:6" ht="16.5">
      <c r="B79" s="37" t="s">
        <v>320</v>
      </c>
      <c r="C79" s="46"/>
      <c r="D79" s="45"/>
      <c r="E79" s="45"/>
      <c r="F79" s="45"/>
    </row>
    <row r="80" spans="1:6">
      <c r="A80" s="17"/>
      <c r="B80" s="24"/>
      <c r="C80" s="2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47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25</vt:i4>
      </vt:variant>
    </vt:vector>
  </HeadingPairs>
  <TitlesOfParts>
    <vt:vector size="40" baseType="lpstr">
      <vt:lpstr>Índice</vt:lpstr>
      <vt:lpstr>Chihuahua_EdoUsa</vt:lpstr>
      <vt:lpstr>Chihuahua_Cons</vt:lpstr>
      <vt:lpstr>ChihuahuaXCons</vt:lpstr>
      <vt:lpstr>Chihuahua_EdoMun</vt:lpstr>
      <vt:lpstr>Chihuahua_USAMuni</vt:lpstr>
      <vt:lpstr>Chihuahua_MUNICIPIO</vt:lpstr>
      <vt:lpstr>Chihuahua_educ_gral</vt:lpstr>
      <vt:lpstr>Chihuahua_NivelE_Cons</vt:lpstr>
      <vt:lpstr>Chihuahua_EducCons</vt:lpstr>
      <vt:lpstr>Chihuahua_GenGral</vt:lpstr>
      <vt:lpstr>Chihuahua_GENERO_EUA</vt:lpstr>
      <vt:lpstr>Chihuahua_GENERO_C</vt:lpstr>
      <vt:lpstr>Chihuahua_Gen_Edad</vt:lpstr>
      <vt:lpstr>Chihuahua_ocup_gral</vt:lpstr>
      <vt:lpstr>Chihuahua_EdoUsa!Área_de_impresión</vt:lpstr>
      <vt:lpstr>Chihuahua_educ_gral!Área_de_impresión</vt:lpstr>
      <vt:lpstr>Chihuahua_EducCons!Área_de_impresión</vt:lpstr>
      <vt:lpstr>Chihuahua_Gen_Edad!Área_de_impresión</vt:lpstr>
      <vt:lpstr>Chihuahua_GENERO_C!Área_de_impresión</vt:lpstr>
      <vt:lpstr>Chihuahua_GENERO_EUA!Área_de_impresión</vt:lpstr>
      <vt:lpstr>Chihuahua_MUNICIPIO!Área_de_impresión</vt:lpstr>
      <vt:lpstr>Chihuahua_NivelE_Cons!Área_de_impresión</vt:lpstr>
      <vt:lpstr>Chihuahua_ocup_gral!Área_de_impresión</vt:lpstr>
      <vt:lpstr>Chihuahua_USAMuni!Área_de_impresión</vt:lpstr>
      <vt:lpstr>ChihuahuaXCons!Área_de_impresión</vt:lpstr>
      <vt:lpstr>Chihuahua_Cons!Títulos_a_imprimir</vt:lpstr>
      <vt:lpstr>Chihuahua_EdoMun!Títulos_a_imprimir</vt:lpstr>
      <vt:lpstr>Chihuahua_EdoUsa!Títulos_a_imprimir</vt:lpstr>
      <vt:lpstr>Chihuahua_educ_gral!Títulos_a_imprimir</vt:lpstr>
      <vt:lpstr>Chihuahua_EducCons!Títulos_a_imprimir</vt:lpstr>
      <vt:lpstr>Chihuahua_Gen_Edad!Títulos_a_imprimir</vt:lpstr>
      <vt:lpstr>Chihuahua_GENERO_C!Títulos_a_imprimir</vt:lpstr>
      <vt:lpstr>Chihuahua_GENERO_EUA!Títulos_a_imprimir</vt:lpstr>
      <vt:lpstr>Chihuahua_GenGral!Títulos_a_imprimir</vt:lpstr>
      <vt:lpstr>Chihuahua_MUNICIPIO!Títulos_a_imprimir</vt:lpstr>
      <vt:lpstr>Chihuahua_NivelE_Cons!Títulos_a_imprimir</vt:lpstr>
      <vt:lpstr>Chihuahua_ocup_gral!Títulos_a_imprimir</vt:lpstr>
      <vt:lpstr>Chihuahua_USAMuni!Títulos_a_imprimir</vt:lpstr>
      <vt:lpstr>ChihuahuaXCons!Títulos_a_imprimir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2025-02-18T19:09:00Z</cp:lastPrinted>
  <dcterms:created xsi:type="dcterms:W3CDTF">2020-06-02T21:05:38Z</dcterms:created>
  <dcterms:modified xsi:type="dcterms:W3CDTF">2025-08-21T17:03:19Z</dcterms:modified>
</cp:coreProperties>
</file>