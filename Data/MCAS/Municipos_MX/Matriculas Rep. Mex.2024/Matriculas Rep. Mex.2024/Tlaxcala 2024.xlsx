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578F4716-75F5-4796-ACE6-86A55449BECD}" xr6:coauthVersionLast="47" xr6:coauthVersionMax="47" xr10:uidLastSave="{00000000-0000-0000-0000-000000000000}"/>
  <bookViews>
    <workbookView xWindow="-120" yWindow="-120" windowWidth="20730" windowHeight="11160" tabRatio="763" firstSheet="9" activeTab="14" xr2:uid="{00000000-000D-0000-FFFF-FFFF00000000}"/>
  </bookViews>
  <sheets>
    <sheet name="Índice" sheetId="1" r:id="rId1"/>
    <sheet name="Tlaxcala_EdoUsa" sheetId="2" r:id="rId2"/>
    <sheet name="Tlaxcala_Cons" sheetId="15" r:id="rId3"/>
    <sheet name="TlaxcalaXCons" sheetId="16" r:id="rId4"/>
    <sheet name="Tlaxcala_EdoMun" sheetId="5" r:id="rId5"/>
    <sheet name="Tlaxcala_USAMuni" sheetId="6" r:id="rId6"/>
    <sheet name="Tlaxcala_MUNICIPIO" sheetId="7" r:id="rId7"/>
    <sheet name="Tlaxcala_educ_gral" sheetId="8" r:id="rId8"/>
    <sheet name="Tlaxcala_NivelE_Cons" sheetId="9" r:id="rId9"/>
    <sheet name="Tlaxcala_EducCons" sheetId="10" r:id="rId10"/>
    <sheet name="Tlaxcala_GenGral" sheetId="11" r:id="rId11"/>
    <sheet name="Tlaxcala_GENERO" sheetId="12" r:id="rId12"/>
    <sheet name="Tlaxcala_GENERO_EUA" sheetId="17" r:id="rId13"/>
    <sheet name="Tlaxcala_Gen_Edad" sheetId="13" r:id="rId14"/>
    <sheet name="Tlaxcala_ocup_gral" sheetId="14" r:id="rId15"/>
  </sheets>
  <definedNames>
    <definedName name="_xlnm._FilterDatabase" localSheetId="2" hidden="1">Tlaxcala_Cons!$B$11:$D$11</definedName>
    <definedName name="_xlnm._FilterDatabase" localSheetId="4" hidden="1">Tlaxcala_EdoMun!$B$11:$D$11</definedName>
    <definedName name="_xlnm._FilterDatabase" localSheetId="1" hidden="1">Tlaxcala_EdoUsa!$B$11:$D$11</definedName>
    <definedName name="_xlnm._FilterDatabase" localSheetId="7" hidden="1">Tlaxcala_educ_gral!$B$11:$D$11</definedName>
    <definedName name="_xlnm._FilterDatabase" localSheetId="9" hidden="1">Tlaxcala_EducCons!$B$9:$E$393</definedName>
    <definedName name="_xlnm._FilterDatabase" localSheetId="11" hidden="1">Tlaxcala_GENERO!$C$12:$E$137</definedName>
    <definedName name="_xlnm._FilterDatabase" localSheetId="12" hidden="1">Tlaxcala_GENERO_EUA!$C$12:$E$141</definedName>
    <definedName name="_xlnm._FilterDatabase" localSheetId="10" hidden="1">Tlaxcala_GenGral!$B$11:$D$11</definedName>
    <definedName name="_xlnm._FilterDatabase" localSheetId="6" hidden="1">Tlaxcala_MUNICIPIO!$B$9:$E$976</definedName>
    <definedName name="_xlnm._FilterDatabase" localSheetId="8" hidden="1">Tlaxcala_NivelE_Cons!$B$9:$E$9</definedName>
    <definedName name="_xlnm._FilterDatabase" localSheetId="14" hidden="1">Tlaxcala_ocup_gral!$B$11:$D$11</definedName>
    <definedName name="_xlnm._FilterDatabase" localSheetId="5" hidden="1">Tlaxcala_USAMuni!$B$9:$E$9</definedName>
    <definedName name="_xlnm._FilterDatabase" localSheetId="3" hidden="1">TlaxcalaXCons!$B$11:$D$11</definedName>
    <definedName name="_xlnm.Print_Area" localSheetId="9">Tlaxcala_EducCons!$A$1:$E$593</definedName>
    <definedName name="_xlnm.Print_Area" localSheetId="13">Tlaxcala_Gen_Edad!$A$1:$G$37</definedName>
    <definedName name="_xlnm.Print_Area" localSheetId="11">Tlaxcala_GENERO!$A$1:$F$157</definedName>
    <definedName name="_xlnm.Print_Area" localSheetId="12">Tlaxcala_GENERO_EUA!$A$1:$F$149</definedName>
    <definedName name="_xlnm.Print_Area" localSheetId="6">Tlaxcala_MUNICIPIO!$A$1:$E$1092</definedName>
    <definedName name="_xlnm.Print_Area" localSheetId="8">Tlaxcala_NivelE_Cons!$A$1:$E$488</definedName>
    <definedName name="_xlnm.Print_Area" localSheetId="14">Tlaxcala_ocup_gral!$A$1:$E$57</definedName>
    <definedName name="_xlnm.Print_Area" localSheetId="5">Tlaxcala_USAMuni!$A$1:$E$902</definedName>
    <definedName name="_xlnm.Print_Titles" localSheetId="2">Tlaxcala_Cons!$1:$11</definedName>
    <definedName name="_xlnm.Print_Titles" localSheetId="4">Tlaxcala_EdoMun!$1:$11</definedName>
    <definedName name="_xlnm.Print_Titles" localSheetId="1">Tlaxcala_EdoUsa!$1:$11</definedName>
    <definedName name="_xlnm.Print_Titles" localSheetId="7">Tlaxcala_educ_gral!$1:$11</definedName>
    <definedName name="_xlnm.Print_Titles" localSheetId="9">Tlaxcala_EducCons!$1:$9</definedName>
    <definedName name="_xlnm.Print_Titles" localSheetId="13">Tlaxcala_Gen_Edad!$1:$12</definedName>
    <definedName name="_xlnm.Print_Titles" localSheetId="11">Tlaxcala_GENERO!$1:$12</definedName>
    <definedName name="_xlnm.Print_Titles" localSheetId="12">Tlaxcala_GENERO_EUA!$1:$12</definedName>
    <definedName name="_xlnm.Print_Titles" localSheetId="10">Tlaxcala_GenGral!$1:$11</definedName>
    <definedName name="_xlnm.Print_Titles" localSheetId="6">Tlaxcala_MUNICIPIO!$1:$9</definedName>
    <definedName name="_xlnm.Print_Titles" localSheetId="8">Tlaxcala_NivelE_Cons!$1:$9</definedName>
    <definedName name="_xlnm.Print_Titles" localSheetId="14">Tlaxcala_ocup_gral!$1:$11</definedName>
    <definedName name="_xlnm.Print_Titles" localSheetId="5">Tlaxcala_USAMuni!$1:$9</definedName>
    <definedName name="_xlnm.Print_Titles" localSheetId="3">TlaxcalaXCons!$1:$11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" i="13" l="1"/>
  <c r="E22" i="13"/>
  <c r="E14" i="13"/>
  <c r="F13" i="13"/>
  <c r="D21" i="16"/>
  <c r="D20" i="16"/>
  <c r="D19" i="16"/>
  <c r="D18" i="16"/>
  <c r="D17" i="16"/>
  <c r="D16" i="16"/>
  <c r="D15" i="16"/>
  <c r="D14" i="16"/>
  <c r="D13" i="16"/>
  <c r="D12" i="16"/>
  <c r="F30" i="13"/>
  <c r="F21" i="13"/>
  <c r="F23" i="13"/>
  <c r="F25" i="13"/>
  <c r="F26" i="13"/>
  <c r="F27" i="13"/>
  <c r="F28" i="13"/>
  <c r="F29" i="13"/>
  <c r="F22" i="13"/>
  <c r="F14" i="13"/>
  <c r="F15" i="13"/>
  <c r="F16" i="13"/>
  <c r="F17" i="13"/>
  <c r="F18" i="13"/>
  <c r="F19" i="13"/>
  <c r="F20" i="13"/>
  <c r="E23" i="13"/>
  <c r="E24" i="13"/>
  <c r="E25" i="13"/>
  <c r="E26" i="13"/>
  <c r="E27" i="13"/>
  <c r="E28" i="13"/>
  <c r="E29" i="13"/>
  <c r="E15" i="13"/>
  <c r="E16" i="13"/>
  <c r="E17" i="13"/>
  <c r="E18" i="13"/>
  <c r="E19" i="13"/>
  <c r="E20" i="13"/>
  <c r="E13" i="13"/>
  <c r="C22" i="16"/>
  <c r="D22" i="16" s="1"/>
</calcChain>
</file>

<file path=xl/sharedStrings.xml><?xml version="1.0" encoding="utf-8"?>
<sst xmlns="http://schemas.openxmlformats.org/spreadsheetml/2006/main" count="3939" uniqueCount="292">
  <si>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</si>
  <si>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</si>
  <si>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</si>
  <si>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</si>
  <si>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</si>
  <si>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</si>
  <si>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</si>
  <si>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</si>
  <si>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</si>
  <si>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</si>
  <si>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</si>
  <si>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</si>
  <si>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</si>
  <si>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</si>
  <si>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</si>
  <si>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</si>
  <si>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</si>
  <si>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</si>
  <si>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</si>
  <si>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</si>
  <si>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</si>
  <si>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</si>
  <si>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</si>
  <si>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</si>
  <si>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</si>
  <si>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</si>
  <si>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</si>
  <si>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</si>
  <si>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</si>
  <si>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</si>
  <si>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</si>
  <si>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</si>
  <si>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</si>
  <si>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TLAXCALA POR GÉNERO Y EDAD EN EE.UU.</t>
  </si>
  <si>
    <t>Ocupación</t>
  </si>
  <si>
    <t>5.3 Por Estado de la Unión Americana</t>
  </si>
  <si>
    <t>MATRÍCULAS CONSULARES DE ALTA SEGURIDAD EXPEDIDAS A ORIGINARIOS DE TLAXCALA EN LOS CONSULADOS DE MÉXICO EN EE.UU.</t>
  </si>
  <si>
    <t xml:space="preserve">MATRÍCULAS CONSULARES EXPEDIDAS A ORIGINARIOS DE TLAXCALA POR GÉNERO EN EE.UU </t>
  </si>
  <si>
    <t>MATRÍCULAS CONSULARES EXPEDIDAS EN EE.UU. A ORIGINARIOS DE TLAXCALA POR NIVEL DE EDUCACIÓN</t>
  </si>
  <si>
    <t xml:space="preserve">MATRÍCULAS CONSULARES DE ALTA SEGURIDAD EXPEDIDAS POR MUNICIPIO A ORIGINARIOS DEL ESTADO DE TLAXCALA EN LOS CONSULADOS DE MÉXICO EN EE.UU. </t>
  </si>
  <si>
    <t>MATRÍCULAS CONSULARES DE ALTA SEGURIDAD EXPEDIDAS A ORIGINARIOS DE TLAXCALA POR ESTADO DE LA UNIÓN AMERICANA</t>
  </si>
  <si>
    <t>LOS 10 CONSULADOS  DE MÉXICO EN EE.UU., CON MAYOR NÚMERO DE EXPEDICIÓN DE  MATRÍCULAS CONSULARES DE ALTA SEGURIDAD A ORIGINARIOS DE TLAXCALA</t>
  </si>
  <si>
    <t>TOTAL TOP 10</t>
  </si>
  <si>
    <t>NUEVA YORK</t>
  </si>
  <si>
    <t>CHICAGO</t>
  </si>
  <si>
    <t>LOS ANGELES</t>
  </si>
  <si>
    <t>HOUSTON</t>
  </si>
  <si>
    <t>FILADELFIA</t>
  </si>
  <si>
    <t>SANTA ANA</t>
  </si>
  <si>
    <t>BOSTON</t>
  </si>
  <si>
    <t>ATLANTA</t>
  </si>
  <si>
    <t>DALLAS</t>
  </si>
  <si>
    <t>RALEIGH</t>
  </si>
  <si>
    <t>SALT LAKE CITY</t>
  </si>
  <si>
    <t>BOISE</t>
  </si>
  <si>
    <t>INDIANAPOLIS</t>
  </si>
  <si>
    <t>OXNARD</t>
  </si>
  <si>
    <t>KANSAS CITY</t>
  </si>
  <si>
    <t>SAN FRANCISCO</t>
  </si>
  <si>
    <t>SAN DIEGO</t>
  </si>
  <si>
    <t>SAN BERNARDINO</t>
  </si>
  <si>
    <t>LAS VEGAS</t>
  </si>
  <si>
    <t>SAINT PAUL</t>
  </si>
  <si>
    <t>LITTLE ROCK</t>
  </si>
  <si>
    <t>SACRAMENTO</t>
  </si>
  <si>
    <t>SAN JOSE</t>
  </si>
  <si>
    <t>PHOENIX</t>
  </si>
  <si>
    <t>WASHINGTON</t>
  </si>
  <si>
    <t>PORTLAND</t>
  </si>
  <si>
    <t>DETROIT</t>
  </si>
  <si>
    <t>MILWAUKEE</t>
  </si>
  <si>
    <t>MIAMI</t>
  </si>
  <si>
    <t>DENVER</t>
  </si>
  <si>
    <t>FRESNO</t>
  </si>
  <si>
    <t>MCALLEN</t>
  </si>
  <si>
    <t>ORLANDO</t>
  </si>
  <si>
    <t>NUEVA ORLEANS</t>
  </si>
  <si>
    <t>NEW BRUNSWICK</t>
  </si>
  <si>
    <t>AUSTIN</t>
  </si>
  <si>
    <t>OKLAHOMA CITY</t>
  </si>
  <si>
    <t>ALBUQUERQUE</t>
  </si>
  <si>
    <t>SAN ANTONIO</t>
  </si>
  <si>
    <t>SEATTLE</t>
  </si>
  <si>
    <t>OMAHA</t>
  </si>
  <si>
    <t>BROWNSVILLE</t>
  </si>
  <si>
    <t>LAREDO</t>
  </si>
  <si>
    <t>TUCSON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</si>
  <si>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</si>
  <si>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</si>
  <si>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</si>
  <si>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</si>
  <si>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</si>
  <si>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</si>
  <si>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</si>
  <si>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</si>
  <si>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</si>
  <si>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</si>
  <si>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</si>
  <si>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</si>
  <si>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</si>
  <si>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</si>
  <si>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</si>
  <si>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</si>
  <si>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</si>
  <si>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</si>
  <si>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</si>
  <si>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</si>
  <si>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</si>
  <si>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</si>
  <si>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</si>
  <si>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</si>
  <si>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</si>
  <si>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</si>
  <si>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</si>
  <si>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</si>
  <si>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</si>
  <si>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</si>
  <si>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</si>
  <si>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</si>
  <si>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</si>
  <si>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</si>
  <si>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</si>
  <si>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</si>
  <si>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</si>
  <si>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</si>
  <si>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VIRGINIA</t>
  </si>
  <si>
    <t>WISCONSIN</t>
  </si>
  <si>
    <t>WYOMING</t>
  </si>
  <si>
    <t>Elaborado por: Análisis de Información, Instituto de Mexicanas y Mexicanos en el Exterior</t>
  </si>
  <si>
    <t>FEMENINO</t>
  </si>
  <si>
    <t>MASCULINO</t>
  </si>
  <si>
    <t>APIZACO</t>
  </si>
  <si>
    <t>ATLANGATEPEC</t>
  </si>
  <si>
    <t>CALPULALPAN</t>
  </si>
  <si>
    <t>CHIAUTEMPAN</t>
  </si>
  <si>
    <t>HUAMANTLA</t>
  </si>
  <si>
    <t>IXTACUIXTLA DE MARIANO MATAMOROS</t>
  </si>
  <si>
    <t>LA MAGDALENA TLALTELULCO</t>
  </si>
  <si>
    <t>NANACAMILPA DE MARIANO ARISTA</t>
  </si>
  <si>
    <t>SAN PABLO DEL MONTE</t>
  </si>
  <si>
    <t>TEOLOCHOLCO</t>
  </si>
  <si>
    <t>TEPEYANCO</t>
  </si>
  <si>
    <t>TERRENATE</t>
  </si>
  <si>
    <t>TETLA DE LA SOLIDARIDAD</t>
  </si>
  <si>
    <t>TLAXCALA</t>
  </si>
  <si>
    <t>TLAXCO</t>
  </si>
  <si>
    <t>CONTLA DE JUAN CUAMATZI</t>
  </si>
  <si>
    <t>ESPAÑITA</t>
  </si>
  <si>
    <t>LÁZARO CÁRDENAS</t>
  </si>
  <si>
    <t>MAZATECOCHCO DE JOSÉ MARÍA MORELOS</t>
  </si>
  <si>
    <t>XALOZTOC</t>
  </si>
  <si>
    <t>XALTOCAN</t>
  </si>
  <si>
    <t>XICOHTZINCO</t>
  </si>
  <si>
    <t>ZACATELCO</t>
  </si>
  <si>
    <t>ZILTLALTÉPEC DE TRINIDAD SÁNCHEZ SANTOS</t>
  </si>
  <si>
    <t>NATÍVITAS</t>
  </si>
  <si>
    <t>PANOTLA</t>
  </si>
  <si>
    <t>TOCATLÁN</t>
  </si>
  <si>
    <t>TZOMPANTEPEC</t>
  </si>
  <si>
    <t>ACUAMANALA DE MIGUEL HIDALGO</t>
  </si>
  <si>
    <t>AMAXAC DE GUERRERO</t>
  </si>
  <si>
    <t>APETATITLÁN DE ANTONIO CARVAJAL</t>
  </si>
  <si>
    <t>ATLTZAYANCA</t>
  </si>
  <si>
    <t>BENITO JUÁREZ</t>
  </si>
  <si>
    <t>CUAPIAXTLA</t>
  </si>
  <si>
    <t>EL CARMEN TEQUEXQUITLA</t>
  </si>
  <si>
    <t>EMILIANO ZAPATA</t>
  </si>
  <si>
    <t>HUEYOTLIPAN</t>
  </si>
  <si>
    <t>IXTENCO</t>
  </si>
  <si>
    <t>MUÑOZ DE DOMINGO ARENAS</t>
  </si>
  <si>
    <t>PAPALOTLA DE XICOHTÉNCATL</t>
  </si>
  <si>
    <t>SAN FRANCISCO TETLANOHCAN</t>
  </si>
  <si>
    <t>SAN JOSÉ TEACALCO</t>
  </si>
  <si>
    <t>SAN JUAN HUACTZINCO</t>
  </si>
  <si>
    <t>SAN LUCAS TECOPILCO</t>
  </si>
  <si>
    <t>SANCTÓRUM DE LÁZARO CÁRDENAS</t>
  </si>
  <si>
    <t>SANTA CATARINA AYOMETLA</t>
  </si>
  <si>
    <t>SANTA CRUZ QUILEHTLA</t>
  </si>
  <si>
    <t>SANTA CRUZ TLAXCALA</t>
  </si>
  <si>
    <t>SANTA ISABEL XILOXOXTLA</t>
  </si>
  <si>
    <t>TENANCINGO</t>
  </si>
  <si>
    <t>TEPETITLA DE LARDIZÁBAL</t>
  </si>
  <si>
    <t>TETLATLAHUCA</t>
  </si>
  <si>
    <t>TOTOLAC</t>
  </si>
  <si>
    <t>YAUHQUEMEHCAN</t>
  </si>
  <si>
    <t>SAN DAMIÁN TEXÓLOC</t>
  </si>
  <si>
    <t>SAN JERÓNIMO ZACUALPAN</t>
  </si>
  <si>
    <t>SANTA APOLONIA TEACALCO</t>
  </si>
  <si>
    <t>CUAXOMULCO</t>
  </si>
  <si>
    <t>SANTA ANA NOPALUCAN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</si>
  <si>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</si>
  <si>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</si>
  <si>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</si>
  <si>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</si>
  <si>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</si>
  <si>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</si>
  <si>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</si>
  <si>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</si>
  <si>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</si>
  <si>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</si>
  <si>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</si>
  <si>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</si>
  <si>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</si>
  <si>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</si>
  <si>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</si>
  <si>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</si>
  <si>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</si>
  <si>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</si>
  <si>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</si>
  <si>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</si>
  <si>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</si>
  <si>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</si>
  <si>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</si>
  <si>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</si>
  <si>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</si>
  <si>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</si>
  <si>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</si>
  <si>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</si>
  <si>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</si>
  <si>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</si>
  <si>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</si>
  <si>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</si>
  <si>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</si>
  <si>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ALIMENTOS Y BEBIDAS, ESP. EN PREPARACIÓN DE</t>
  </si>
  <si>
    <t>CONSTRUCCIÓN, TRAB. DE LA IND. DE LA</t>
  </si>
  <si>
    <t>OBRERO(A)</t>
  </si>
  <si>
    <t>ESTUDIANTE</t>
  </si>
  <si>
    <t>PINTOR(A)</t>
  </si>
  <si>
    <t>AGROPECUARIA, TRAB. DE LA INDUSTRIA</t>
  </si>
  <si>
    <t>JARDINERO(A)</t>
  </si>
  <si>
    <t>LIMPIEZA, EMPLEADO DE</t>
  </si>
  <si>
    <t>SIN ESPECIFICAR</t>
  </si>
  <si>
    <t>DESEMPLEADO</t>
  </si>
  <si>
    <t>JUBILADO(A)/PENSIONADO(A)</t>
  </si>
  <si>
    <t>MESERO(A)</t>
  </si>
  <si>
    <t>MECÁNICO(A)</t>
  </si>
  <si>
    <t>EMPRESARIO(A)</t>
  </si>
  <si>
    <t>CAJERO(A)/COBRADOR(A)</t>
  </si>
  <si>
    <t>VENDEDOR(A)</t>
  </si>
  <si>
    <t>OPERARIO(A)</t>
  </si>
  <si>
    <t>PROFESIONISTA</t>
  </si>
  <si>
    <t>CARPINTERO/TAPICERO</t>
  </si>
  <si>
    <t>CHOFER</t>
  </si>
  <si>
    <t>TÉCNICO(A) EN MANTENIMIENTO</t>
  </si>
  <si>
    <t>MODISTA/SASTRE</t>
  </si>
  <si>
    <t>AEROCOMERCIAL, TRAB. DE LA INDUSTRIA</t>
  </si>
  <si>
    <t>BELLEZA, PROFESIONAL DE SERVICIOS DE</t>
  </si>
  <si>
    <t>CARNICERO(A)</t>
  </si>
  <si>
    <t>OTRO</t>
  </si>
  <si>
    <t>SOLDADOR</t>
  </si>
  <si>
    <t>MISIONERO(A)</t>
  </si>
  <si>
    <t>SUPERVISOR(A)</t>
  </si>
  <si>
    <t>MATRÍCULAS CONSULARES EXPEDIDAS A ORIGINARIOS DE TLAXCALA POR 
GÉNERO Y CONSULADO</t>
  </si>
  <si>
    <t>MATRÍCULAS CONSULARES EXPEDIDAS A ORIGINARIOS DE TLAXCALA POR 
GÉNERO Y POR ESTADO DE LA UNIÓN AMERICANA</t>
  </si>
  <si>
    <t>MATRÍCULAS CONSULARES EXPEDIDAS EN EE.UU. ORIGINARIOS DE TLAXCALA POR PERFIL OCUPACIONAL</t>
  </si>
  <si>
    <t>Tamaño de la muestra: 808,027</t>
  </si>
  <si>
    <t>EL PASO</t>
  </si>
  <si>
    <t>YUMA</t>
  </si>
  <si>
    <t>PRESIDIO</t>
  </si>
  <si>
    <t>MONTANA</t>
  </si>
  <si>
    <t>SOUTH DAKOTA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</si>
  <si>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</si>
  <si>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</si>
  <si>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</si>
  <si>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</si>
  <si>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</si>
  <si>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</si>
  <si>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</si>
  <si>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</si>
  <si>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</si>
  <si>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</si>
  <si>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</si>
  <si>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</si>
  <si>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</si>
  <si>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</si>
  <si>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</si>
  <si>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FEMENINO  </t>
  </si>
  <si>
    <t xml:space="preserve">MASCULINO  </t>
  </si>
  <si>
    <t xml:space="preserve">FEMENINO </t>
  </si>
  <si>
    <t>COMERCIANTE</t>
  </si>
  <si>
    <t>ENFERMERO(A)/TRAB. DE APOYO EN SALUD</t>
  </si>
  <si>
    <t>POLICÍA/ SERV. SEGURIDAD Y PROTECCIÓN</t>
  </si>
  <si>
    <t>ARTISTA PLÁSTICO/PINTOR(A)</t>
  </si>
  <si>
    <t>DISCAPACITADO</t>
  </si>
  <si>
    <t>INGENIERO(A)</t>
  </si>
  <si>
    <t>ARTISTA INTERPRETATIVO(A)</t>
  </si>
  <si>
    <t xml:space="preserve">TOTAL </t>
  </si>
  <si>
    <t xml:space="preserve"> TOTAL</t>
  </si>
  <si>
    <t>TOTAL</t>
  </si>
  <si>
    <t xml:space="preserve"> TOTAL </t>
  </si>
  <si>
    <t>Junio de 2025</t>
  </si>
  <si>
    <t xml:space="preserve">  Matrículas consulares expedidas a originarios de Tlaxcala en el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</si>
</sst>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b/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b/>
      <sz val="9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0" fontId="6" fillId="0" borderId="0" xfId="0" applyFont="1"/>
    <xf numFmtId="3" fontId="6" fillId="0" borderId="0" xfId="0" applyNumberFormat="1" applyFont="1"/>
    <xf numFmtId="1" fontId="6" fillId="0" borderId="0" xfId="0" applyNumberFormat="1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6" fillId="3" borderId="0" xfId="0" applyFont="1" applyFill="1"/>
    <xf numFmtId="0" fontId="10" fillId="3" borderId="0" xfId="0" applyFont="1" applyFill="1"/>
    <xf numFmtId="0" fontId="9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1" fillId="0" borderId="4" xfId="0" applyFont="1" applyBorder="1"/>
    <xf numFmtId="0" fontId="14" fillId="0" borderId="0" xfId="0" applyFont="1"/>
    <xf numFmtId="0" fontId="16" fillId="0" borderId="0" xfId="0" applyFont="1" applyAlignment="1">
      <alignment horizontal="center" vertical="center" wrapText="1"/>
    </xf>
    <xf numFmtId="0" fontId="16" fillId="3" borderId="0" xfId="0" applyFont="1" applyFill="1"/>
    <xf numFmtId="0" fontId="18" fillId="3" borderId="0" xfId="0" applyFont="1" applyFill="1"/>
    <xf numFmtId="3" fontId="16" fillId="3" borderId="0" xfId="0" applyNumberFormat="1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 applyAlignment="1">
      <alignment vertical="top"/>
    </xf>
    <xf numFmtId="49" fontId="17" fillId="4" borderId="9" xfId="0" applyNumberFormat="1" applyFont="1" applyFill="1" applyBorder="1" applyAlignment="1">
      <alignment vertical="center" wrapText="1"/>
    </xf>
    <xf numFmtId="3" fontId="17" fillId="4" borderId="9" xfId="0" applyNumberFormat="1" applyFont="1" applyFill="1" applyBorder="1" applyAlignment="1">
      <alignment horizontal="right" vertical="center" wrapText="1"/>
    </xf>
    <xf numFmtId="0" fontId="17" fillId="2" borderId="11" xfId="0" applyFont="1" applyFill="1" applyBorder="1" applyAlignment="1">
      <alignment horizontal="center" vertical="center" wrapText="1"/>
    </xf>
    <xf numFmtId="1" fontId="17" fillId="2" borderId="10" xfId="0" applyNumberFormat="1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4" fillId="3" borderId="0" xfId="0" applyFont="1" applyFill="1" applyAlignment="1">
      <alignment vertical="center"/>
    </xf>
    <xf numFmtId="0" fontId="14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0" fontId="17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20" fillId="3" borderId="0" xfId="0" applyFont="1" applyFill="1"/>
    <xf numFmtId="0" fontId="21" fillId="3" borderId="0" xfId="0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0" fontId="23" fillId="3" borderId="0" xfId="0" applyFont="1" applyFill="1"/>
    <xf numFmtId="0" fontId="23" fillId="3" borderId="12" xfId="0" applyFont="1" applyFill="1" applyBorder="1" applyAlignment="1">
      <alignment horizontal="center" vertical="distributed"/>
    </xf>
    <xf numFmtId="3" fontId="14" fillId="3" borderId="0" xfId="0" applyNumberFormat="1" applyFont="1" applyFill="1"/>
    <xf numFmtId="49" fontId="25" fillId="0" borderId="9" xfId="0" applyNumberFormat="1" applyFont="1" applyBorder="1" applyAlignment="1">
      <alignment vertical="top" wrapText="1"/>
    </xf>
    <xf numFmtId="165" fontId="26" fillId="6" borderId="9" xfId="0" applyNumberFormat="1" applyFont="1" applyFill="1" applyBorder="1" applyAlignment="1">
      <alignment horizontal="right" vertical="top" wrapText="1"/>
    </xf>
    <xf numFmtId="164" fontId="26" fillId="6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right" vertical="top" wrapText="1"/>
    </xf>
    <xf numFmtId="164" fontId="17" fillId="4" borderId="9" xfId="0" applyNumberFormat="1" applyFont="1" applyFill="1" applyBorder="1" applyAlignment="1">
      <alignment horizontal="right" vertical="top" wrapText="1"/>
    </xf>
    <xf numFmtId="165" fontId="17" fillId="4" borderId="9" xfId="0" applyNumberFormat="1" applyFont="1" applyFill="1" applyBorder="1" applyAlignment="1">
      <alignment horizontal="left" vertical="top" wrapText="1"/>
    </xf>
    <xf numFmtId="0" fontId="26" fillId="0" borderId="9" xfId="0" applyFont="1" applyBorder="1" applyAlignment="1">
      <alignment vertical="center" wrapText="1"/>
    </xf>
    <xf numFmtId="3" fontId="26" fillId="6" borderId="9" xfId="0" applyNumberFormat="1" applyFont="1" applyFill="1" applyBorder="1" applyAlignment="1">
      <alignment horizontal="right" vertical="center" wrapText="1"/>
    </xf>
    <xf numFmtId="10" fontId="26" fillId="6" borderId="9" xfId="0" applyNumberFormat="1" applyFont="1" applyFill="1" applyBorder="1" applyAlignment="1">
      <alignment horizontal="right" vertical="center" wrapText="1"/>
    </xf>
    <xf numFmtId="0" fontId="26" fillId="6" borderId="9" xfId="0" applyFont="1" applyFill="1" applyBorder="1" applyAlignment="1">
      <alignment horizontal="right" vertical="center" wrapText="1"/>
    </xf>
    <xf numFmtId="0" fontId="17" fillId="4" borderId="9" xfId="0" applyFont="1" applyFill="1" applyBorder="1" applyAlignment="1">
      <alignment vertical="center" wrapText="1"/>
    </xf>
    <xf numFmtId="10" fontId="17" fillId="4" borderId="9" xfId="0" applyNumberFormat="1" applyFont="1" applyFill="1" applyBorder="1" applyAlignment="1">
      <alignment horizontal="right" vertical="center" wrapText="1"/>
    </xf>
    <xf numFmtId="49" fontId="17" fillId="7" borderId="9" xfId="0" applyNumberFormat="1" applyFont="1" applyFill="1" applyBorder="1" applyAlignment="1">
      <alignment vertical="center" wrapText="1"/>
    </xf>
    <xf numFmtId="3" fontId="17" fillId="7" borderId="9" xfId="0" applyNumberFormat="1" applyFont="1" applyFill="1" applyBorder="1" applyAlignment="1">
      <alignment horizontal="right" vertical="center" wrapText="1"/>
    </xf>
    <xf numFmtId="164" fontId="17" fillId="7" borderId="9" xfId="0" applyNumberFormat="1" applyFont="1" applyFill="1" applyBorder="1" applyAlignment="1">
      <alignment horizontal="right" vertical="center" wrapText="1"/>
    </xf>
    <xf numFmtId="3" fontId="27" fillId="7" borderId="9" xfId="0" applyNumberFormat="1" applyFont="1" applyFill="1" applyBorder="1" applyAlignment="1">
      <alignment horizontal="right" vertical="center" wrapText="1"/>
    </xf>
    <xf numFmtId="10" fontId="27" fillId="7" borderId="9" xfId="0" applyNumberFormat="1" applyFont="1" applyFill="1" applyBorder="1" applyAlignment="1">
      <alignment horizontal="right" vertical="center" wrapText="1"/>
    </xf>
    <xf numFmtId="0" fontId="27" fillId="7" borderId="9" xfId="0" applyFont="1" applyFill="1" applyBorder="1" applyAlignment="1">
      <alignment vertical="center" wrapText="1"/>
    </xf>
    <xf numFmtId="0" fontId="27" fillId="7" borderId="9" xfId="0" applyFont="1" applyFill="1" applyBorder="1" applyAlignment="1">
      <alignment horizontal="right" vertical="center" wrapText="1"/>
    </xf>
    <xf numFmtId="0" fontId="27" fillId="7" borderId="9" xfId="0" applyFont="1" applyFill="1" applyBorder="1" applyAlignment="1">
      <alignment horizontal="left" vertical="center" wrapText="1"/>
    </xf>
    <xf numFmtId="10" fontId="27" fillId="4" borderId="9" xfId="0" applyNumberFormat="1" applyFont="1" applyFill="1" applyBorder="1" applyAlignment="1">
      <alignment horizontal="right" vertical="center" wrapText="1"/>
    </xf>
    <xf numFmtId="49" fontId="17" fillId="4" borderId="9" xfId="0" applyNumberFormat="1" applyFont="1" applyFill="1" applyBorder="1" applyAlignment="1">
      <alignment vertical="top" wrapText="1"/>
    </xf>
    <xf numFmtId="0" fontId="17" fillId="7" borderId="9" xfId="0" applyFont="1" applyFill="1" applyBorder="1" applyAlignment="1">
      <alignment horizontal="right" vertical="center" wrapText="1"/>
    </xf>
    <xf numFmtId="10" fontId="17" fillId="7" borderId="9" xfId="0" applyNumberFormat="1" applyFont="1" applyFill="1" applyBorder="1" applyAlignment="1">
      <alignment horizontal="right" vertical="center" wrapText="1"/>
    </xf>
    <xf numFmtId="0" fontId="17" fillId="7" borderId="9" xfId="0" applyFont="1" applyFill="1" applyBorder="1" applyAlignment="1">
      <alignment vertical="center" wrapText="1"/>
    </xf>
    <xf numFmtId="0" fontId="24" fillId="5" borderId="10" xfId="3" applyFont="1" applyFill="1" applyBorder="1" applyAlignment="1">
      <alignment horizontal="center" vertical="center" wrapText="1"/>
    </xf>
    <xf numFmtId="165" fontId="17" fillId="7" borderId="9" xfId="0" applyNumberFormat="1" applyFont="1" applyFill="1" applyBorder="1" applyAlignment="1">
      <alignment horizontal="right" vertical="top" wrapText="1"/>
    </xf>
    <xf numFmtId="164" fontId="17" fillId="7" borderId="9" xfId="0" applyNumberFormat="1" applyFont="1" applyFill="1" applyBorder="1" applyAlignment="1">
      <alignment horizontal="right" vertical="top" wrapText="1"/>
    </xf>
    <xf numFmtId="0" fontId="25" fillId="3" borderId="9" xfId="0" applyFont="1" applyFill="1" applyBorder="1"/>
    <xf numFmtId="49" fontId="17" fillId="7" borderId="13" xfId="0" applyNumberFormat="1" applyFont="1" applyFill="1" applyBorder="1" applyAlignment="1">
      <alignment vertical="top" wrapText="1"/>
    </xf>
    <xf numFmtId="0" fontId="13" fillId="0" borderId="4" xfId="1" applyFont="1" applyBorder="1" applyAlignment="1">
      <alignment horizontal="left"/>
    </xf>
    <xf numFmtId="0" fontId="13" fillId="0" borderId="0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1" fillId="0" borderId="4" xfId="0" applyFont="1" applyBorder="1" applyAlignment="1">
      <alignment horizontal="left" wrapText="1"/>
    </xf>
    <xf numFmtId="0" fontId="11" fillId="0" borderId="0" xfId="0" applyFont="1" applyAlignment="1">
      <alignment horizontal="left" wrapText="1"/>
    </xf>
    <xf numFmtId="0" fontId="11" fillId="0" borderId="5" xfId="0" applyFont="1" applyBorder="1" applyAlignment="1">
      <alignment horizontal="left" wrapText="1"/>
    </xf>
    <xf numFmtId="0" fontId="13" fillId="0" borderId="5" xfId="1" applyFont="1" applyBorder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16" fillId="3" borderId="0" xfId="0" applyFont="1" applyFill="1" applyAlignment="1">
      <alignment horizontal="center" wrapText="1"/>
    </xf>
    <xf numFmtId="0" fontId="26" fillId="0" borderId="9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vertical="center" wrapText="1"/>
    </xf>
    <xf numFmtId="0" fontId="27" fillId="4" borderId="9" xfId="0" applyFont="1" applyFill="1" applyBorder="1" applyAlignment="1">
      <alignment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16" xfId="0" applyFont="1" applyBorder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0" fontId="17" fillId="4" borderId="9" xfId="0" applyFont="1" applyFill="1" applyBorder="1" applyAlignment="1">
      <alignment horizontal="left" vertical="center" wrapText="1"/>
    </xf>
    <xf numFmtId="0" fontId="25" fillId="3" borderId="9" xfId="0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left" vertical="center" wrapText="1"/>
    </xf>
    <xf numFmtId="0" fontId="17" fillId="4" borderId="14" xfId="0" applyFont="1" applyFill="1" applyBorder="1" applyAlignment="1">
      <alignment horizontal="left" vertical="center" wrapText="1"/>
    </xf>
    <xf numFmtId="49" fontId="25" fillId="0" borderId="10" xfId="0" applyNumberFormat="1" applyFont="1" applyBorder="1" applyAlignment="1">
      <alignment horizontal="center" vertical="center" wrapText="1"/>
    </xf>
    <xf numFmtId="49" fontId="25" fillId="0" borderId="16" xfId="0" applyNumberFormat="1" applyFont="1" applyBorder="1" applyAlignment="1">
      <alignment horizontal="center" vertical="center" wrapText="1"/>
    </xf>
    <xf numFmtId="49" fontId="25" fillId="0" borderId="15" xfId="0" applyNumberFormat="1" applyFont="1" applyBorder="1" applyAlignment="1">
      <alignment horizontal="center" vertical="center" wrapText="1"/>
    </xf>
    <xf numFmtId="3" fontId="27" fillId="4" borderId="9" xfId="0" applyNumberFormat="1" applyFont="1" applyFill="1" applyBorder="1" applyAlignment="1">
      <alignment horizontal="right" vertical="center" wrapText="1"/>
    </xf>
    <xf numFmtId="0" fontId="19" fillId="2" borderId="9" xfId="3" applyFont="1" applyFill="1" applyBorder="1" applyAlignment="1">
      <alignment horizontal="center" vertical="center" wrapText="1"/>
    </xf>
    <xf numFmtId="0" fontId="17" fillId="2" borderId="9" xfId="3" applyFont="1" applyFill="1" applyBorder="1" applyAlignment="1">
      <alignment horizontal="center" vertical="center" wrapText="1"/>
    </xf>
    <xf numFmtId="1" fontId="19" fillId="2" borderId="9" xfId="3" applyNumberFormat="1" applyFont="1" applyFill="1" applyBorder="1" applyAlignment="1">
      <alignment horizontal="center" vertical="center" wrapText="1"/>
    </xf>
    <xf numFmtId="49" fontId="17" fillId="4" borderId="13" xfId="0" applyNumberFormat="1" applyFont="1" applyFill="1" applyBorder="1" applyAlignment="1">
      <alignment horizontal="center" vertical="top" wrapText="1"/>
    </xf>
    <xf numFmtId="49" fontId="17" fillId="4" borderId="14" xfId="0" applyNumberFormat="1" applyFont="1" applyFill="1" applyBorder="1" applyAlignment="1">
      <alignment horizontal="center" vertical="top" wrapText="1"/>
    </xf>
    <xf numFmtId="9" fontId="17" fillId="4" borderId="9" xfId="0" applyNumberFormat="1" applyFont="1" applyFill="1" applyBorder="1" applyAlignment="1">
      <alignment horizontal="right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1" defaultTableStyle="TableStyleMedium2" defaultPivotStyle="PivotStyleLight16">
    <tableStyle name="Invisible" pivot="0" table="0" count="0" xr9:uid="{BD5F2EFD-1809-4E1A-9A4D-C9FDC8A2B59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612774</xdr:colOff>
      <xdr:row>1</xdr:row>
      <xdr:rowOff>203403</xdr:rowOff>
    </xdr:from>
    <xdr:to>
      <xdr:col>3</xdr:col>
      <xdr:colOff>1124871</xdr:colOff>
      <xdr:row>2</xdr:row>
      <xdr:rowOff>203404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36999" y="736803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261178</xdr:colOff>
      <xdr:row>8</xdr:row>
      <xdr:rowOff>62948</xdr:rowOff>
    </xdr:from>
    <xdr:to>
      <xdr:col>5</xdr:col>
      <xdr:colOff>154150</xdr:colOff>
      <xdr:row>8</xdr:row>
      <xdr:rowOff>247303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5374308" y="1796774"/>
          <a:ext cx="53901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139150</xdr:colOff>
      <xdr:row>1</xdr:row>
      <xdr:rowOff>128382</xdr:rowOff>
    </xdr:from>
    <xdr:to>
      <xdr:col>1</xdr:col>
      <xdr:colOff>1139275</xdr:colOff>
      <xdr:row>2</xdr:row>
      <xdr:rowOff>159759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6F63525-6E95-4B8A-B8B0-D70EDCD9E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150" y="318882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406677</xdr:colOff>
      <xdr:row>1</xdr:row>
      <xdr:rowOff>77029</xdr:rowOff>
    </xdr:from>
    <xdr:to>
      <xdr:col>5</xdr:col>
      <xdr:colOff>225702</xdr:colOff>
      <xdr:row>3</xdr:row>
      <xdr:rowOff>164464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593D4B0-75A6-4233-AAB8-98253C2CDE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777" y="267529"/>
          <a:ext cx="46672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160131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387284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200025</xdr:colOff>
      <xdr:row>8</xdr:row>
      <xdr:rowOff>0</xdr:rowOff>
    </xdr:from>
    <xdr:to>
      <xdr:col>5</xdr:col>
      <xdr:colOff>92997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480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124517</xdr:colOff>
      <xdr:row>1</xdr:row>
      <xdr:rowOff>131143</xdr:rowOff>
    </xdr:from>
    <xdr:to>
      <xdr:col>1</xdr:col>
      <xdr:colOff>1124642</xdr:colOff>
      <xdr:row>2</xdr:row>
      <xdr:rowOff>162520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BCEDE7-D7D0-4468-BC07-6AE7338CD0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517" y="321643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283543</xdr:colOff>
      <xdr:row>1</xdr:row>
      <xdr:rowOff>95802</xdr:rowOff>
    </xdr:from>
    <xdr:to>
      <xdr:col>5</xdr:col>
      <xdr:colOff>76063</xdr:colOff>
      <xdr:row>3</xdr:row>
      <xdr:rowOff>183237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829BCD7-9655-4EE7-8145-5AF9864017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25393" y="286302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57550" y="14478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118167</xdr:colOff>
      <xdr:row>1</xdr:row>
      <xdr:rowOff>107399</xdr:rowOff>
    </xdr:from>
    <xdr:to>
      <xdr:col>1</xdr:col>
      <xdr:colOff>1118292</xdr:colOff>
      <xdr:row>2</xdr:row>
      <xdr:rowOff>138776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10BEC14-C1B8-40CE-B650-344358312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167" y="297899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439532</xdr:colOff>
      <xdr:row>1</xdr:row>
      <xdr:rowOff>56598</xdr:rowOff>
    </xdr:from>
    <xdr:to>
      <xdr:col>5</xdr:col>
      <xdr:colOff>258556</xdr:colOff>
      <xdr:row>3</xdr:row>
      <xdr:rowOff>144033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BA4B71A-D6BE-4339-9451-2E7353E78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1382" y="247098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231913</xdr:colOff>
      <xdr:row>8</xdr:row>
      <xdr:rowOff>5522</xdr:rowOff>
    </xdr:from>
    <xdr:to>
      <xdr:col>5</xdr:col>
      <xdr:colOff>97967</xdr:colOff>
      <xdr:row>8</xdr:row>
      <xdr:rowOff>189877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6096000" y="1739348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119733</xdr:colOff>
      <xdr:row>1</xdr:row>
      <xdr:rowOff>136510</xdr:rowOff>
    </xdr:from>
    <xdr:to>
      <xdr:col>1</xdr:col>
      <xdr:colOff>1119858</xdr:colOff>
      <xdr:row>2</xdr:row>
      <xdr:rowOff>167887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1C15262-7EB3-464E-AE88-4B7D5F96BF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733" y="32701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407781</xdr:colOff>
      <xdr:row>1</xdr:row>
      <xdr:rowOff>89269</xdr:rowOff>
    </xdr:from>
    <xdr:to>
      <xdr:col>5</xdr:col>
      <xdr:colOff>226805</xdr:colOff>
      <xdr:row>3</xdr:row>
      <xdr:rowOff>176704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2256C5D-972D-4193-8F03-718865B6A5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5059" y="279769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TLAXCALA POR ESTADO EN EE.UU.</a:t>
          </a:r>
        </a:p>
      </xdr:txBody>
    </xdr:sp>
    <xdr:clientData/>
  </xdr:twoCellAnchor>
  <xdr:twoCellAnchor>
    <xdr:from>
      <xdr:col>4</xdr:col>
      <xdr:colOff>516113</xdr:colOff>
      <xdr:row>6</xdr:row>
      <xdr:rowOff>298308</xdr:rowOff>
    </xdr:from>
    <xdr:to>
      <xdr:col>4</xdr:col>
      <xdr:colOff>1028210</xdr:colOff>
      <xdr:row>7</xdr:row>
      <xdr:rowOff>153957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6201231" y="171772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123803</xdr:colOff>
      <xdr:row>1</xdr:row>
      <xdr:rowOff>145031</xdr:rowOff>
    </xdr:from>
    <xdr:to>
      <xdr:col>2</xdr:col>
      <xdr:colOff>221124</xdr:colOff>
      <xdr:row>2</xdr:row>
      <xdr:rowOff>176408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842C85D-549D-451A-A612-D28125AF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7303" y="29319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525140</xdr:colOff>
      <xdr:row>1</xdr:row>
      <xdr:rowOff>66287</xdr:rowOff>
    </xdr:from>
    <xdr:to>
      <xdr:col>4</xdr:col>
      <xdr:colOff>965360</xdr:colOff>
      <xdr:row>3</xdr:row>
      <xdr:rowOff>153722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41B51D3D-12C0-4E91-ADD5-565DC97BE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8973" y="22150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TLAXCALA EN LOS CONSULADOS DE MÉXICO EN EE.UU. </a:t>
          </a:r>
        </a:p>
      </xdr:txBody>
    </xdr:sp>
    <xdr:clientData/>
  </xdr:twoCellAnchor>
  <xdr:twoCellAnchor>
    <xdr:from>
      <xdr:col>4</xdr:col>
      <xdr:colOff>538655</xdr:colOff>
      <xdr:row>7</xdr:row>
      <xdr:rowOff>98534</xdr:rowOff>
    </xdr:from>
    <xdr:to>
      <xdr:col>4</xdr:col>
      <xdr:colOff>1050752</xdr:colOff>
      <xdr:row>7</xdr:row>
      <xdr:rowOff>282889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76345" y="183931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112058</xdr:colOff>
      <xdr:row>1</xdr:row>
      <xdr:rowOff>118546</xdr:rowOff>
    </xdr:from>
    <xdr:to>
      <xdr:col>2</xdr:col>
      <xdr:colOff>209379</xdr:colOff>
      <xdr:row>2</xdr:row>
      <xdr:rowOff>149923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B5FFBC0-4481-43C3-B56F-1C92C9DEB9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8733" y="27094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413496</xdr:colOff>
      <xdr:row>1</xdr:row>
      <xdr:rowOff>46828</xdr:rowOff>
    </xdr:from>
    <xdr:to>
      <xdr:col>4</xdr:col>
      <xdr:colOff>853716</xdr:colOff>
      <xdr:row>3</xdr:row>
      <xdr:rowOff>134263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37FE5A4-0289-4D4B-B15D-31F198E169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00114" y="20371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513521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52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1163845</xdr:colOff>
      <xdr:row>8</xdr:row>
      <xdr:rowOff>101876</xdr:rowOff>
    </xdr:from>
    <xdr:to>
      <xdr:col>4</xdr:col>
      <xdr:colOff>465990</xdr:colOff>
      <xdr:row>8</xdr:row>
      <xdr:rowOff>292376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5923584" y="1835702"/>
          <a:ext cx="53901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128383</xdr:colOff>
      <xdr:row>1</xdr:row>
      <xdr:rowOff>118994</xdr:rowOff>
    </xdr:from>
    <xdr:to>
      <xdr:col>1</xdr:col>
      <xdr:colOff>1128508</xdr:colOff>
      <xdr:row>2</xdr:row>
      <xdr:rowOff>150371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36D7946-DD97-4A41-B804-B6E202B35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383" y="309494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1175303</xdr:colOff>
      <xdr:row>1</xdr:row>
      <xdr:rowOff>135559</xdr:rowOff>
    </xdr:from>
    <xdr:to>
      <xdr:col>4</xdr:col>
      <xdr:colOff>431110</xdr:colOff>
      <xdr:row>3</xdr:row>
      <xdr:rowOff>222994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CE68C7F-1D99-49CE-B822-2E5769BB6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7803" y="326059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TLAXCALA POR NIVEL DE EDUCACIÓN Y ESTADO EN EE.UU.</a:t>
          </a:r>
        </a:p>
      </xdr:txBody>
    </xdr:sp>
    <xdr:clientData/>
  </xdr:twoCellAnchor>
  <xdr:twoCellAnchor>
    <xdr:from>
      <xdr:col>4</xdr:col>
      <xdr:colOff>512379</xdr:colOff>
      <xdr:row>7</xdr:row>
      <xdr:rowOff>105103</xdr:rowOff>
    </xdr:from>
    <xdr:to>
      <xdr:col>4</xdr:col>
      <xdr:colOff>1024476</xdr:colOff>
      <xdr:row>7</xdr:row>
      <xdr:rowOff>295603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50069" y="18458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84376</xdr:colOff>
      <xdr:row>1</xdr:row>
      <xdr:rowOff>117384</xdr:rowOff>
    </xdr:from>
    <xdr:to>
      <xdr:col>2</xdr:col>
      <xdr:colOff>181697</xdr:colOff>
      <xdr:row>2</xdr:row>
      <xdr:rowOff>148761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550AD20-60C9-4956-9A1E-7D2006CD8E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4932" y="272606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559172</xdr:colOff>
      <xdr:row>1</xdr:row>
      <xdr:rowOff>77955</xdr:rowOff>
    </xdr:from>
    <xdr:to>
      <xdr:col>4</xdr:col>
      <xdr:colOff>999392</xdr:colOff>
      <xdr:row>3</xdr:row>
      <xdr:rowOff>165390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8485E74-434D-447B-B114-933354D29F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3394" y="23317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TLAXCALA POR CONSULADO Y NIVEL DE EDUCACIÓN EN EE.UU. </a:t>
          </a:r>
        </a:p>
      </xdr:txBody>
    </xdr:sp>
    <xdr:clientData/>
  </xdr:twoCellAnchor>
  <xdr:twoCellAnchor>
    <xdr:from>
      <xdr:col>4</xdr:col>
      <xdr:colOff>518924</xdr:colOff>
      <xdr:row>7</xdr:row>
      <xdr:rowOff>47796</xdr:rowOff>
    </xdr:from>
    <xdr:to>
      <xdr:col>4</xdr:col>
      <xdr:colOff>1031021</xdr:colOff>
      <xdr:row>7</xdr:row>
      <xdr:rowOff>238296</xdr:rowOff>
    </xdr:to>
    <xdr:sp macro="" textlink="">
      <xdr:nvSpPr>
        <xdr:cNvPr id="7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6097365" y="1788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104297</xdr:colOff>
      <xdr:row>1</xdr:row>
      <xdr:rowOff>104517</xdr:rowOff>
    </xdr:from>
    <xdr:to>
      <xdr:col>2</xdr:col>
      <xdr:colOff>201618</xdr:colOff>
      <xdr:row>2</xdr:row>
      <xdr:rowOff>135894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AF0048D-6C40-4090-AA0F-8B7FB00F78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853" y="259739"/>
          <a:ext cx="169187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484052</xdr:colOff>
      <xdr:row>1</xdr:row>
      <xdr:rowOff>97876</xdr:rowOff>
    </xdr:from>
    <xdr:to>
      <xdr:col>4</xdr:col>
      <xdr:colOff>924272</xdr:colOff>
      <xdr:row>3</xdr:row>
      <xdr:rowOff>185311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83916A0-8D37-456E-8F94-E5CFD99E5A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4996" y="25309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28575</xdr:rowOff>
    </xdr:from>
    <xdr:to>
      <xdr:col>5</xdr:col>
      <xdr:colOff>140622</xdr:colOff>
      <xdr:row>8</xdr:row>
      <xdr:rowOff>219075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76775" y="17430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146191</xdr:colOff>
      <xdr:row>1</xdr:row>
      <xdr:rowOff>149916</xdr:rowOff>
    </xdr:from>
    <xdr:to>
      <xdr:col>1</xdr:col>
      <xdr:colOff>1146316</xdr:colOff>
      <xdr:row>2</xdr:row>
      <xdr:rowOff>181293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7003C274-57D6-41A3-AA83-A452066D8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191" y="34041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417445</xdr:colOff>
      <xdr:row>1</xdr:row>
      <xdr:rowOff>86967</xdr:rowOff>
    </xdr:from>
    <xdr:to>
      <xdr:col>5</xdr:col>
      <xdr:colOff>236469</xdr:colOff>
      <xdr:row>3</xdr:row>
      <xdr:rowOff>174402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3CC36CB-98BC-4B4D-8E6E-E66D7519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59295" y="277467"/>
          <a:ext cx="466724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</a:p>
      </xdr:txBody>
    </xdr:sp>
    <xdr:clientData/>
  </xdr:twoCellAnchor>
  <xdr:twoCellAnchor>
    <xdr:from>
      <xdr:col>4</xdr:col>
      <xdr:colOff>685800</xdr:colOff>
      <xdr:row>9</xdr:row>
      <xdr:rowOff>6350</xdr:rowOff>
    </xdr:from>
    <xdr:to>
      <xdr:col>5</xdr:col>
      <xdr:colOff>234131</xdr:colOff>
      <xdr:row>9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276850" y="1768475"/>
          <a:ext cx="596081" cy="1746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69850</xdr:colOff>
      <xdr:row>1</xdr:row>
      <xdr:rowOff>59154</xdr:rowOff>
    </xdr:from>
    <xdr:to>
      <xdr:col>2</xdr:col>
      <xdr:colOff>110021</xdr:colOff>
      <xdr:row>2</xdr:row>
      <xdr:rowOff>131806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742CED0-8856-4DB3-830E-5B726ED94F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9900" y="243304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657225</xdr:colOff>
      <xdr:row>1</xdr:row>
      <xdr:rowOff>62329</xdr:rowOff>
    </xdr:from>
    <xdr:to>
      <xdr:col>4</xdr:col>
      <xdr:colOff>1097445</xdr:colOff>
      <xdr:row>3</xdr:row>
      <xdr:rowOff>197389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D0E67EB-4AD5-4575-99EA-1A22D55273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0525" y="246479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</a:p>
      </xdr:txBody>
    </xdr:sp>
    <xdr:clientData/>
  </xdr:twoCellAnchor>
  <xdr:twoCellAnchor>
    <xdr:from>
      <xdr:col>4</xdr:col>
      <xdr:colOff>669140</xdr:colOff>
      <xdr:row>8</xdr:row>
      <xdr:rowOff>163871</xdr:rowOff>
    </xdr:from>
    <xdr:to>
      <xdr:col>5</xdr:col>
      <xdr:colOff>105833</xdr:colOff>
      <xdr:row>9</xdr:row>
      <xdr:rowOff>163871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89678" y="1700161"/>
          <a:ext cx="535994" cy="19118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52804</xdr:rowOff>
    </xdr:from>
    <xdr:to>
      <xdr:col>2</xdr:col>
      <xdr:colOff>116371</xdr:colOff>
      <xdr:row>2</xdr:row>
      <xdr:rowOff>125456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C256864-A821-46EC-9596-3522926FE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0" y="236954"/>
          <a:ext cx="1697521" cy="1996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628650</xdr:colOff>
      <xdr:row>0</xdr:row>
      <xdr:rowOff>167104</xdr:rowOff>
    </xdr:from>
    <xdr:to>
      <xdr:col>4</xdr:col>
      <xdr:colOff>1068870</xdr:colOff>
      <xdr:row>3</xdr:row>
      <xdr:rowOff>118014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E96975-97BE-4C37-B87C-1C4910BC0B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1950" y="167104"/>
          <a:ext cx="440220" cy="4525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878489</xdr:colOff>
      <xdr:row>9</xdr:row>
      <xdr:rowOff>95250</xdr:rowOff>
    </xdr:from>
    <xdr:to>
      <xdr:col>6</xdr:col>
      <xdr:colOff>251747</xdr:colOff>
      <xdr:row>10</xdr:row>
      <xdr:rowOff>95250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936389" y="1809750"/>
          <a:ext cx="528958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98072</xdr:colOff>
      <xdr:row>1</xdr:row>
      <xdr:rowOff>90552</xdr:rowOff>
    </xdr:from>
    <xdr:to>
      <xdr:col>2</xdr:col>
      <xdr:colOff>452568</xdr:colOff>
      <xdr:row>2</xdr:row>
      <xdr:rowOff>162498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714CB27-4A9F-422A-9359-A82D98584C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072" y="281052"/>
          <a:ext cx="1624496" cy="2201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564091</xdr:colOff>
      <xdr:row>1</xdr:row>
      <xdr:rowOff>1299</xdr:rowOff>
    </xdr:from>
    <xdr:to>
      <xdr:col>5</xdr:col>
      <xdr:colOff>1004311</xdr:colOff>
      <xdr:row>3</xdr:row>
      <xdr:rowOff>129303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D265AF1-2336-4386-A920-B2CDD3FD5D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91" y="191799"/>
          <a:ext cx="440220" cy="4666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612914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568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TLAXCALA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1038226</xdr:colOff>
      <xdr:row>8</xdr:row>
      <xdr:rowOff>84207</xdr:rowOff>
    </xdr:from>
    <xdr:to>
      <xdr:col>4</xdr:col>
      <xdr:colOff>448460</xdr:colOff>
      <xdr:row>8</xdr:row>
      <xdr:rowOff>266701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600701" y="1798707"/>
          <a:ext cx="591334" cy="18249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151851</xdr:colOff>
      <xdr:row>1</xdr:row>
      <xdr:rowOff>131694</xdr:rowOff>
    </xdr:from>
    <xdr:to>
      <xdr:col>1</xdr:col>
      <xdr:colOff>1151976</xdr:colOff>
      <xdr:row>2</xdr:row>
      <xdr:rowOff>163071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66A5786-9F03-4014-9072-60F46FF2C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851" y="322194"/>
          <a:ext cx="1647825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41139</xdr:colOff>
      <xdr:row>1</xdr:row>
      <xdr:rowOff>85311</xdr:rowOff>
    </xdr:from>
    <xdr:to>
      <xdr:col>4</xdr:col>
      <xdr:colOff>535196</xdr:colOff>
      <xdr:row>3</xdr:row>
      <xdr:rowOff>172746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D8FE3C3-6243-4783-8543-4ABA8636A2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0939" y="275811"/>
          <a:ext cx="494057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F2" sqref="F2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8" t="s">
        <v>291</v>
      </c>
      <c r="B1" s="89"/>
      <c r="C1" s="89"/>
      <c r="D1" s="90"/>
    </row>
    <row r="2" spans="1:4">
      <c r="A2" s="2"/>
      <c r="B2" s="3"/>
      <c r="C2" s="3"/>
      <c r="D2" s="4"/>
    </row>
    <row r="3" spans="1:4">
      <c r="A3" s="91" t="s">
        <v>0</v>
      </c>
      <c r="B3" s="92"/>
      <c r="C3" s="92"/>
      <c r="D3" s="93"/>
    </row>
    <row r="4" spans="1:4">
      <c r="A4" s="91"/>
      <c r="B4" s="92"/>
      <c r="C4" s="92"/>
      <c r="D4" s="93"/>
    </row>
    <row r="5" spans="1:4">
      <c r="A5" s="5"/>
      <c r="B5" s="6"/>
      <c r="C5" s="6"/>
      <c r="D5" s="7"/>
    </row>
    <row r="6" spans="1:4" ht="18.75">
      <c r="A6" s="86" t="s">
        <v>1</v>
      </c>
      <c r="B6" s="87"/>
      <c r="C6" s="87"/>
      <c r="D6" s="94"/>
    </row>
    <row r="7" spans="1:4">
      <c r="A7" s="8"/>
      <c r="D7" s="9"/>
    </row>
    <row r="8" spans="1:4" ht="18.75">
      <c r="A8" s="86" t="s">
        <v>2</v>
      </c>
      <c r="B8" s="87"/>
      <c r="C8" s="87"/>
      <c r="D8" s="94"/>
    </row>
    <row r="9" spans="1:4" ht="18.75">
      <c r="A9" s="8"/>
      <c r="B9" s="86" t="s">
        <v>3</v>
      </c>
      <c r="C9" s="87"/>
      <c r="D9" s="87"/>
    </row>
    <row r="10" spans="1:4">
      <c r="A10" s="8"/>
      <c r="D10" s="9"/>
    </row>
    <row r="11" spans="1:4" ht="18.75">
      <c r="A11" s="31" t="s">
        <v>4</v>
      </c>
      <c r="D11" s="9"/>
    </row>
    <row r="12" spans="1:4" ht="18.75">
      <c r="A12" s="8"/>
      <c r="B12" s="86" t="s">
        <v>5</v>
      </c>
      <c r="C12" s="87"/>
      <c r="D12" s="87"/>
    </row>
    <row r="13" spans="1:4" ht="18.75">
      <c r="A13" s="8"/>
      <c r="B13" s="86" t="s">
        <v>6</v>
      </c>
      <c r="C13" s="87"/>
      <c r="D13" s="87"/>
    </row>
    <row r="14" spans="1:4" ht="18.75">
      <c r="A14" s="8"/>
      <c r="B14" s="86" t="s">
        <v>7</v>
      </c>
      <c r="C14" s="87"/>
      <c r="D14" s="87"/>
    </row>
    <row r="15" spans="1:4">
      <c r="A15" s="8"/>
      <c r="D15" s="9"/>
    </row>
    <row r="16" spans="1:4" ht="18.75">
      <c r="A16" s="31" t="s">
        <v>8</v>
      </c>
      <c r="D16" s="9"/>
    </row>
    <row r="17" spans="1:4" ht="18.75">
      <c r="A17" s="8"/>
      <c r="B17" s="86" t="s">
        <v>9</v>
      </c>
      <c r="C17" s="87"/>
      <c r="D17" s="87"/>
    </row>
    <row r="18" spans="1:4" ht="18.75">
      <c r="A18" s="8"/>
      <c r="B18" s="86" t="s">
        <v>10</v>
      </c>
      <c r="C18" s="87"/>
      <c r="D18" s="87"/>
    </row>
    <row r="19" spans="1:4" ht="18.75">
      <c r="A19" s="8"/>
      <c r="B19" s="86" t="s">
        <v>11</v>
      </c>
      <c r="C19" s="87"/>
      <c r="D19" s="87"/>
    </row>
    <row r="20" spans="1:4">
      <c r="A20" s="8"/>
      <c r="D20" s="9"/>
    </row>
    <row r="21" spans="1:4" ht="18.75">
      <c r="A21" s="31" t="s">
        <v>12</v>
      </c>
      <c r="D21" s="9"/>
    </row>
    <row r="22" spans="1:4" ht="18.75">
      <c r="A22" s="8"/>
      <c r="B22" s="86" t="s">
        <v>13</v>
      </c>
      <c r="C22" s="87"/>
      <c r="D22" s="87"/>
    </row>
    <row r="23" spans="1:4" ht="18.75">
      <c r="A23" s="8"/>
      <c r="B23" s="86" t="s">
        <v>14</v>
      </c>
      <c r="C23" s="87"/>
      <c r="D23" s="87"/>
    </row>
    <row r="24" spans="1:4" ht="18.75">
      <c r="A24" s="8"/>
      <c r="B24" s="86" t="s">
        <v>35</v>
      </c>
      <c r="C24" s="87"/>
      <c r="D24" s="87"/>
    </row>
    <row r="25" spans="1:4">
      <c r="A25" s="8"/>
      <c r="D25" s="9"/>
    </row>
    <row r="26" spans="1:4" ht="18.75">
      <c r="A26" s="86" t="s">
        <v>15</v>
      </c>
      <c r="B26" s="87"/>
      <c r="C26" s="87"/>
      <c r="D26" s="94"/>
    </row>
    <row r="27" spans="1:4">
      <c r="A27" s="8"/>
      <c r="D27" s="9"/>
    </row>
    <row r="28" spans="1:4" ht="18.75">
      <c r="A28" s="86" t="s">
        <v>16</v>
      </c>
      <c r="B28" s="87"/>
      <c r="C28" s="87"/>
      <c r="D28" s="94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Tlaxcala_USAMuni!A1" display="3.2 Por Estado de USA" xr:uid="{00000000-0004-0000-0000-00000D000000}"/>
    <hyperlink ref="A8:D8" location="Tlaxcala_Cons!A1" display="2. Por Circunscripción Consular" xr:uid="{00000000-0004-0000-0000-00000E000000}"/>
    <hyperlink ref="B9:D9" location="TlaxcalaXCons!A1" display="2.1 Top ten por circunscripción consular" xr:uid="{00000000-0004-0000-0000-00000F000000}"/>
    <hyperlink ref="A6:D6" location="Tlaxcala_EdoUsa!A1" display="1. Por Estados de USA" xr:uid="{00000000-0004-0000-0000-000010000000}"/>
    <hyperlink ref="B12:D12" location="Tlaxcala_EdoMun!A1" display="3.1 Municipio general" xr:uid="{00000000-0004-0000-0000-000011000000}"/>
    <hyperlink ref="B14:D14" location="Tlaxcala_MUNICIPIO!A1" display="3.3 Por Circunscripción Consular" xr:uid="{00000000-0004-0000-0000-000012000000}"/>
    <hyperlink ref="B17:D17" location="Tlaxcala_educ_gral!A1" display="4.1 Educación general" xr:uid="{00000000-0004-0000-0000-000013000000}"/>
    <hyperlink ref="B18:D18" location="Tlaxcala_NivelE_Cons!A1" display="4.2 Por Estado de USA" xr:uid="{00000000-0004-0000-0000-000014000000}"/>
    <hyperlink ref="B19:D19" location="Tlaxcala_EducCons!A1" display="4.3 Por Circunscripción Consular" xr:uid="{00000000-0004-0000-0000-000015000000}"/>
    <hyperlink ref="B22:D22" location="Tlaxcala_GenGral!A1" display="5.1 Género General" xr:uid="{00000000-0004-0000-0000-000016000000}"/>
    <hyperlink ref="B23:D23" location="Tlaxcala_GENERO!A1" display="5.2 Por Circunscripción Consular" xr:uid="{00000000-0004-0000-0000-000017000000}"/>
    <hyperlink ref="A26:D26" location="Tlaxcala_Gen_Edad!A1" display="6. Por estructura de Edad" xr:uid="{00000000-0004-0000-0000-000018000000}"/>
    <hyperlink ref="A28:D28" location="Tlaxcala_ocup_gral!A1" display="7. Por Ocupación" xr:uid="{00000000-0004-0000-0000-000019000000}"/>
    <hyperlink ref="B24" location="Tlaxca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2"/>
  <sheetViews>
    <sheetView showGridLines="0" view="pageBreakPreview" zoomScaleNormal="100" zoomScaleSheetLayoutView="100" workbookViewId="0">
      <selection activeCell="E55" sqref="E55"/>
    </sheetView>
  </sheetViews>
  <sheetFormatPr baseColWidth="10" defaultColWidth="11.42578125" defaultRowHeight="15"/>
  <cols>
    <col min="1" max="1" width="9.28515625" style="13" customWidth="1"/>
    <col min="2" max="2" width="28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2"/>
      <c r="B7" s="95" t="s">
        <v>40</v>
      </c>
      <c r="C7" s="95"/>
      <c r="D7" s="95"/>
      <c r="E7" s="32"/>
      <c r="F7" s="32"/>
    </row>
    <row r="8" spans="1:6" s="18" customFormat="1" ht="15" customHeight="1">
      <c r="A8" s="32"/>
      <c r="B8" s="95"/>
      <c r="C8" s="95"/>
      <c r="D8" s="95"/>
      <c r="E8" s="32"/>
      <c r="F8" s="32"/>
    </row>
    <row r="9" spans="1:6" s="18" customFormat="1" ht="33" customHeight="1">
      <c r="A9" s="32"/>
      <c r="B9" s="95"/>
      <c r="C9" s="95"/>
      <c r="D9" s="95"/>
      <c r="E9" s="32"/>
      <c r="F9" s="32"/>
    </row>
    <row r="10" spans="1:6" s="18" customFormat="1" ht="4.5" customHeight="1">
      <c r="A10" s="32"/>
      <c r="B10" s="33"/>
      <c r="C10" s="33"/>
      <c r="D10" s="33"/>
      <c r="E10" s="32"/>
      <c r="F10" s="32"/>
    </row>
    <row r="11" spans="1:6" s="18" customFormat="1" ht="33" customHeight="1">
      <c r="A11" s="32"/>
      <c r="B11" s="43" t="s">
        <v>21</v>
      </c>
      <c r="C11" s="42" t="s">
        <v>20</v>
      </c>
      <c r="D11" s="43" t="s">
        <v>19</v>
      </c>
      <c r="E11" s="32"/>
      <c r="F11" s="32"/>
    </row>
    <row r="12" spans="1:6" ht="14.45" customHeight="1">
      <c r="A12" s="34"/>
      <c r="B12" s="62" t="s">
        <v>90</v>
      </c>
      <c r="C12" s="63">
        <v>1253</v>
      </c>
      <c r="D12" s="64">
        <v>0.223</v>
      </c>
      <c r="E12" s="34"/>
      <c r="F12" s="34"/>
    </row>
    <row r="13" spans="1:6" ht="14.45" customHeight="1">
      <c r="A13" s="34"/>
      <c r="B13" s="62" t="s">
        <v>114</v>
      </c>
      <c r="C13" s="65">
        <v>937</v>
      </c>
      <c r="D13" s="64">
        <v>0.16700000000000001</v>
      </c>
      <c r="E13" s="34"/>
      <c r="F13" s="34"/>
    </row>
    <row r="14" spans="1:6" ht="14.45" customHeight="1">
      <c r="A14" s="34"/>
      <c r="B14" s="62" t="s">
        <v>123</v>
      </c>
      <c r="C14" s="65">
        <v>556</v>
      </c>
      <c r="D14" s="64">
        <v>9.9000000000000005E-2</v>
      </c>
      <c r="E14" s="34"/>
      <c r="F14" s="34"/>
    </row>
    <row r="15" spans="1:6" ht="14.45" customHeight="1">
      <c r="A15" s="34"/>
      <c r="B15" s="62" t="s">
        <v>98</v>
      </c>
      <c r="C15" s="65">
        <v>416</v>
      </c>
      <c r="D15" s="64">
        <v>7.3999999999999996E-2</v>
      </c>
      <c r="E15" s="34"/>
      <c r="F15" s="34"/>
    </row>
    <row r="16" spans="1:6" ht="14.45" customHeight="1">
      <c r="A16" s="34"/>
      <c r="B16" s="62" t="s">
        <v>112</v>
      </c>
      <c r="C16" s="65">
        <v>298</v>
      </c>
      <c r="D16" s="64">
        <v>5.2999999999999999E-2</v>
      </c>
      <c r="E16" s="34"/>
      <c r="F16" s="34"/>
    </row>
    <row r="17" spans="1:6" ht="14.45" customHeight="1">
      <c r="A17" s="34"/>
      <c r="B17" s="62" t="s">
        <v>92</v>
      </c>
      <c r="C17" s="65">
        <v>257</v>
      </c>
      <c r="D17" s="64">
        <v>4.5999999999999999E-2</v>
      </c>
      <c r="E17" s="34"/>
      <c r="F17" s="34"/>
    </row>
    <row r="18" spans="1:6" ht="14.45" customHeight="1">
      <c r="A18" s="34"/>
      <c r="B18" s="62" t="s">
        <v>127</v>
      </c>
      <c r="C18" s="65">
        <v>235</v>
      </c>
      <c r="D18" s="64">
        <v>4.2000000000000003E-2</v>
      </c>
      <c r="E18" s="34"/>
      <c r="F18" s="34"/>
    </row>
    <row r="19" spans="1:6" ht="14.45" customHeight="1">
      <c r="A19" s="34"/>
      <c r="B19" s="62" t="s">
        <v>99</v>
      </c>
      <c r="C19" s="65">
        <v>158</v>
      </c>
      <c r="D19" s="64">
        <v>2.8000000000000001E-2</v>
      </c>
      <c r="E19" s="34"/>
      <c r="F19" s="34"/>
    </row>
    <row r="20" spans="1:6" ht="14.45" customHeight="1">
      <c r="A20" s="34"/>
      <c r="B20" s="62" t="s">
        <v>96</v>
      </c>
      <c r="C20" s="65">
        <v>147</v>
      </c>
      <c r="D20" s="64">
        <v>2.5999999999999999E-2</v>
      </c>
      <c r="E20" s="34"/>
      <c r="F20" s="34"/>
    </row>
    <row r="21" spans="1:6" ht="14.45" customHeight="1">
      <c r="A21" s="34"/>
      <c r="B21" s="62" t="s">
        <v>119</v>
      </c>
      <c r="C21" s="65">
        <v>136</v>
      </c>
      <c r="D21" s="64">
        <v>2.4E-2</v>
      </c>
      <c r="E21" s="34"/>
      <c r="F21" s="34"/>
    </row>
    <row r="22" spans="1:6" ht="14.45" customHeight="1">
      <c r="A22" s="34"/>
      <c r="B22" s="62" t="s">
        <v>97</v>
      </c>
      <c r="C22" s="65">
        <v>124</v>
      </c>
      <c r="D22" s="64">
        <v>2.1999999999999999E-2</v>
      </c>
      <c r="E22" s="34"/>
      <c r="F22" s="34"/>
    </row>
    <row r="23" spans="1:6" ht="14.45" customHeight="1">
      <c r="A23" s="34"/>
      <c r="B23" s="62" t="s">
        <v>109</v>
      </c>
      <c r="C23" s="65">
        <v>92</v>
      </c>
      <c r="D23" s="64">
        <v>1.6E-2</v>
      </c>
      <c r="E23" s="34"/>
      <c r="F23" s="34"/>
    </row>
    <row r="24" spans="1:6" ht="14.45" customHeight="1">
      <c r="A24" s="34"/>
      <c r="B24" s="62" t="s">
        <v>115</v>
      </c>
      <c r="C24" s="65">
        <v>89</v>
      </c>
      <c r="D24" s="64">
        <v>1.6E-2</v>
      </c>
      <c r="E24" s="34"/>
      <c r="F24" s="34"/>
    </row>
    <row r="25" spans="1:6" ht="14.45" customHeight="1">
      <c r="A25" s="34"/>
      <c r="B25" s="62" t="s">
        <v>95</v>
      </c>
      <c r="C25" s="65">
        <v>83</v>
      </c>
      <c r="D25" s="64">
        <v>1.4999999999999999E-2</v>
      </c>
      <c r="E25" s="34"/>
      <c r="F25" s="34"/>
    </row>
    <row r="26" spans="1:6" ht="14.45" customHeight="1">
      <c r="A26" s="34"/>
      <c r="B26" s="62" t="s">
        <v>124</v>
      </c>
      <c r="C26" s="65">
        <v>65</v>
      </c>
      <c r="D26" s="64">
        <v>1.2E-2</v>
      </c>
      <c r="E26" s="34"/>
      <c r="F26" s="34"/>
    </row>
    <row r="27" spans="1:6" ht="14.45" customHeight="1">
      <c r="A27" s="34"/>
      <c r="B27" s="62" t="s">
        <v>126</v>
      </c>
      <c r="C27" s="65">
        <v>61</v>
      </c>
      <c r="D27" s="64">
        <v>1.0999999999999999E-2</v>
      </c>
      <c r="E27" s="34"/>
      <c r="F27" s="34"/>
    </row>
    <row r="28" spans="1:6" ht="14.45" customHeight="1">
      <c r="A28" s="34"/>
      <c r="B28" s="62" t="s">
        <v>107</v>
      </c>
      <c r="C28" s="65">
        <v>56</v>
      </c>
      <c r="D28" s="64">
        <v>0.01</v>
      </c>
      <c r="E28" s="34"/>
      <c r="F28" s="34"/>
    </row>
    <row r="29" spans="1:6" ht="14.45" customHeight="1">
      <c r="A29" s="34"/>
      <c r="B29" s="62" t="s">
        <v>91</v>
      </c>
      <c r="C29" s="65">
        <v>48</v>
      </c>
      <c r="D29" s="64">
        <v>8.9999999999999993E-3</v>
      </c>
      <c r="E29" s="34"/>
      <c r="F29" s="34"/>
    </row>
    <row r="30" spans="1:6" ht="14.45" customHeight="1">
      <c r="A30" s="34"/>
      <c r="B30" s="62" t="s">
        <v>111</v>
      </c>
      <c r="C30" s="65">
        <v>45</v>
      </c>
      <c r="D30" s="64">
        <v>8.0000000000000002E-3</v>
      </c>
      <c r="E30" s="34"/>
      <c r="F30" s="34"/>
    </row>
    <row r="31" spans="1:6" ht="14.45" customHeight="1">
      <c r="A31" s="34"/>
      <c r="B31" s="62" t="s">
        <v>117</v>
      </c>
      <c r="C31" s="65">
        <v>43</v>
      </c>
      <c r="D31" s="64">
        <v>8.0000000000000002E-3</v>
      </c>
      <c r="E31" s="34"/>
      <c r="F31" s="34"/>
    </row>
    <row r="32" spans="1:6" ht="14.45" customHeight="1">
      <c r="A32" s="34"/>
      <c r="B32" s="62" t="s">
        <v>121</v>
      </c>
      <c r="C32" s="65">
        <v>41</v>
      </c>
      <c r="D32" s="64">
        <v>7.0000000000000001E-3</v>
      </c>
      <c r="E32" s="34"/>
      <c r="F32" s="34"/>
    </row>
    <row r="33" spans="1:6" ht="14.45" customHeight="1">
      <c r="A33" s="34"/>
      <c r="B33" s="62" t="s">
        <v>118</v>
      </c>
      <c r="C33" s="65">
        <v>39</v>
      </c>
      <c r="D33" s="64">
        <v>7.0000000000000001E-3</v>
      </c>
      <c r="E33" s="34"/>
      <c r="F33" s="34"/>
    </row>
    <row r="34" spans="1:6" ht="14.45" customHeight="1">
      <c r="A34" s="34"/>
      <c r="B34" s="62" t="s">
        <v>88</v>
      </c>
      <c r="C34" s="65">
        <v>38</v>
      </c>
      <c r="D34" s="64">
        <v>7.0000000000000001E-3</v>
      </c>
      <c r="E34" s="34"/>
      <c r="F34" s="34"/>
    </row>
    <row r="35" spans="1:6" ht="14.45" customHeight="1">
      <c r="A35" s="34"/>
      <c r="B35" s="62" t="s">
        <v>102</v>
      </c>
      <c r="C35" s="65">
        <v>38</v>
      </c>
      <c r="D35" s="64">
        <v>7.0000000000000001E-3</v>
      </c>
      <c r="E35" s="34"/>
      <c r="F35" s="34"/>
    </row>
    <row r="36" spans="1:6" ht="14.45" customHeight="1">
      <c r="A36" s="34"/>
      <c r="B36" s="62" t="s">
        <v>87</v>
      </c>
      <c r="C36" s="65">
        <v>36</v>
      </c>
      <c r="D36" s="64">
        <v>6.0000000000000001E-3</v>
      </c>
      <c r="E36" s="34"/>
      <c r="F36" s="34"/>
    </row>
    <row r="37" spans="1:6" ht="14.45" customHeight="1">
      <c r="A37" s="34"/>
      <c r="B37" s="62" t="s">
        <v>67</v>
      </c>
      <c r="C37" s="65">
        <v>32</v>
      </c>
      <c r="D37" s="64">
        <v>6.0000000000000001E-3</v>
      </c>
      <c r="E37" s="34"/>
      <c r="F37" s="34"/>
    </row>
    <row r="38" spans="1:6" ht="14.45" customHeight="1">
      <c r="A38" s="34"/>
      <c r="B38" s="62" t="s">
        <v>122</v>
      </c>
      <c r="C38" s="65">
        <v>31</v>
      </c>
      <c r="D38" s="64">
        <v>6.0000000000000001E-3</v>
      </c>
      <c r="E38" s="34"/>
      <c r="F38" s="34"/>
    </row>
    <row r="39" spans="1:6" ht="14.45" customHeight="1">
      <c r="A39" s="34"/>
      <c r="B39" s="62" t="s">
        <v>93</v>
      </c>
      <c r="C39" s="65">
        <v>29</v>
      </c>
      <c r="D39" s="64">
        <v>5.0000000000000001E-3</v>
      </c>
      <c r="E39" s="34"/>
      <c r="F39" s="34"/>
    </row>
    <row r="40" spans="1:6" ht="14.45" customHeight="1">
      <c r="A40" s="34"/>
      <c r="B40" s="62" t="s">
        <v>106</v>
      </c>
      <c r="C40" s="65">
        <v>27</v>
      </c>
      <c r="D40" s="64">
        <v>5.0000000000000001E-3</v>
      </c>
      <c r="E40" s="34"/>
      <c r="F40" s="34"/>
    </row>
    <row r="41" spans="1:6" ht="14.45" customHeight="1">
      <c r="A41" s="34"/>
      <c r="B41" s="62" t="s">
        <v>101</v>
      </c>
      <c r="C41" s="65">
        <v>26</v>
      </c>
      <c r="D41" s="64">
        <v>5.0000000000000001E-3</v>
      </c>
      <c r="E41" s="34"/>
      <c r="F41" s="34"/>
    </row>
    <row r="42" spans="1:6" ht="14.45" customHeight="1">
      <c r="A42" s="34"/>
      <c r="B42" s="62" t="s">
        <v>104</v>
      </c>
      <c r="C42" s="65">
        <v>26</v>
      </c>
      <c r="D42" s="64">
        <v>5.0000000000000001E-3</v>
      </c>
      <c r="E42" s="34"/>
      <c r="F42" s="34"/>
    </row>
    <row r="43" spans="1:6" ht="14.45" customHeight="1">
      <c r="A43" s="34"/>
      <c r="B43" s="62" t="s">
        <v>125</v>
      </c>
      <c r="C43" s="65">
        <v>26</v>
      </c>
      <c r="D43" s="64">
        <v>5.0000000000000001E-3</v>
      </c>
      <c r="E43" s="34"/>
      <c r="F43" s="34"/>
    </row>
    <row r="44" spans="1:6" ht="14.45" customHeight="1">
      <c r="A44" s="34"/>
      <c r="B44" s="62" t="s">
        <v>89</v>
      </c>
      <c r="C44" s="65">
        <v>22</v>
      </c>
      <c r="D44" s="64">
        <v>4.0000000000000001E-3</v>
      </c>
      <c r="E44" s="34"/>
      <c r="F44" s="34"/>
    </row>
    <row r="45" spans="1:6" ht="14.45" customHeight="1">
      <c r="A45" s="34"/>
      <c r="B45" s="62" t="s">
        <v>103</v>
      </c>
      <c r="C45" s="65">
        <v>21</v>
      </c>
      <c r="D45" s="64">
        <v>4.0000000000000001E-3</v>
      </c>
      <c r="E45" s="34"/>
      <c r="F45" s="34"/>
    </row>
    <row r="46" spans="1:6" ht="14.45" customHeight="1">
      <c r="A46" s="34"/>
      <c r="B46" s="62" t="s">
        <v>116</v>
      </c>
      <c r="C46" s="65">
        <v>18</v>
      </c>
      <c r="D46" s="64">
        <v>3.0000000000000001E-3</v>
      </c>
      <c r="E46" s="34"/>
      <c r="F46" s="34"/>
    </row>
    <row r="47" spans="1:6" ht="14.45" customHeight="1">
      <c r="A47" s="34"/>
      <c r="B47" s="62" t="s">
        <v>100</v>
      </c>
      <c r="C47" s="65">
        <v>16</v>
      </c>
      <c r="D47" s="64">
        <v>3.0000000000000001E-3</v>
      </c>
      <c r="E47" s="34"/>
      <c r="F47" s="34"/>
    </row>
    <row r="48" spans="1:6" ht="14.45" customHeight="1">
      <c r="A48" s="34"/>
      <c r="B48" s="62" t="s">
        <v>113</v>
      </c>
      <c r="C48" s="65">
        <v>14</v>
      </c>
      <c r="D48" s="64">
        <v>2E-3</v>
      </c>
      <c r="E48" s="34"/>
      <c r="F48" s="34"/>
    </row>
    <row r="49" spans="1:6" ht="14.45" customHeight="1">
      <c r="A49" s="34"/>
      <c r="B49" s="62" t="s">
        <v>108</v>
      </c>
      <c r="C49" s="65">
        <v>9</v>
      </c>
      <c r="D49" s="64">
        <v>2E-3</v>
      </c>
      <c r="E49" s="34"/>
      <c r="F49" s="34"/>
    </row>
    <row r="50" spans="1:6" ht="14.45" customHeight="1">
      <c r="A50" s="34"/>
      <c r="B50" s="62" t="s">
        <v>105</v>
      </c>
      <c r="C50" s="65">
        <v>6</v>
      </c>
      <c r="D50" s="64">
        <v>1E-3</v>
      </c>
      <c r="E50" s="34"/>
      <c r="F50" s="34"/>
    </row>
    <row r="51" spans="1:6" ht="14.45" customHeight="1">
      <c r="A51" s="34"/>
      <c r="B51" s="62" t="s">
        <v>110</v>
      </c>
      <c r="C51" s="65">
        <v>6</v>
      </c>
      <c r="D51" s="64">
        <v>1E-3</v>
      </c>
      <c r="E51" s="34"/>
      <c r="F51" s="34"/>
    </row>
    <row r="52" spans="1:6" ht="14.45" customHeight="1">
      <c r="A52" s="34"/>
      <c r="B52" s="62" t="s">
        <v>260</v>
      </c>
      <c r="C52" s="65">
        <v>4</v>
      </c>
      <c r="D52" s="64">
        <v>1E-3</v>
      </c>
      <c r="E52" s="34"/>
      <c r="F52" s="34"/>
    </row>
    <row r="53" spans="1:6" ht="14.45" customHeight="1">
      <c r="A53" s="34"/>
      <c r="B53" s="62" t="s">
        <v>94</v>
      </c>
      <c r="C53" s="65">
        <v>3</v>
      </c>
      <c r="D53" s="64">
        <v>1E-3</v>
      </c>
      <c r="E53" s="34"/>
      <c r="F53" s="34"/>
    </row>
    <row r="54" spans="1:6" ht="14.45" customHeight="1">
      <c r="A54" s="34"/>
      <c r="B54" s="62" t="s">
        <v>259</v>
      </c>
      <c r="C54" s="65">
        <v>3</v>
      </c>
      <c r="D54" s="64">
        <v>1E-3</v>
      </c>
      <c r="E54" s="34"/>
      <c r="F54" s="34"/>
    </row>
    <row r="55" spans="1:6" ht="14.45" customHeight="1">
      <c r="A55" s="34"/>
      <c r="B55" s="62" t="s">
        <v>120</v>
      </c>
      <c r="C55" s="65">
        <v>2</v>
      </c>
      <c r="D55" s="64">
        <v>0</v>
      </c>
      <c r="E55" s="34"/>
      <c r="F55" s="34"/>
    </row>
    <row r="56" spans="1:6" ht="14.45" customHeight="1">
      <c r="A56" s="34"/>
      <c r="B56" s="66" t="s">
        <v>287</v>
      </c>
      <c r="C56" s="40">
        <v>5612</v>
      </c>
      <c r="D56" s="67">
        <v>1</v>
      </c>
      <c r="E56" s="34"/>
      <c r="F56" s="34"/>
    </row>
    <row r="57" spans="1:6" ht="14.45" customHeight="1">
      <c r="A57" s="34"/>
      <c r="B57" s="35"/>
      <c r="C57" s="36"/>
      <c r="D57" s="34"/>
      <c r="E57" s="34"/>
      <c r="F57" s="34"/>
    </row>
    <row r="58" spans="1:6" ht="14.45" customHeight="1">
      <c r="A58" s="34"/>
      <c r="B58" s="35" t="s">
        <v>255</v>
      </c>
      <c r="C58" s="35"/>
      <c r="D58" s="34"/>
      <c r="E58" s="34"/>
      <c r="F58" s="34"/>
    </row>
    <row r="59" spans="1:6" ht="14.45" customHeight="1">
      <c r="A59" s="34"/>
      <c r="B59" s="37" t="s">
        <v>18</v>
      </c>
      <c r="C59" s="37"/>
      <c r="D59" s="34"/>
      <c r="E59" s="34"/>
      <c r="F59" s="34"/>
    </row>
    <row r="60" spans="1:6" ht="14.45" customHeight="1">
      <c r="A60" s="34"/>
      <c r="B60" s="38" t="s">
        <v>128</v>
      </c>
      <c r="C60" s="38"/>
      <c r="D60" s="34"/>
      <c r="E60" s="34"/>
      <c r="F60" s="34"/>
    </row>
    <row r="61" spans="1:6" ht="14.45" customHeight="1">
      <c r="A61" s="34"/>
      <c r="B61" s="35" t="s">
        <v>17</v>
      </c>
      <c r="C61" s="35"/>
      <c r="D61" s="34"/>
      <c r="E61" s="34"/>
      <c r="F61" s="34"/>
    </row>
    <row r="62" spans="1:6" ht="14.45" customHeight="1">
      <c r="A62" s="34"/>
      <c r="B62" s="35" t="s">
        <v>290</v>
      </c>
      <c r="C62" s="35"/>
      <c r="D62" s="34"/>
      <c r="E62" s="34"/>
      <c r="F62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8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5"/>
  <sheetViews>
    <sheetView showGridLines="0" view="pageBreakPreview" zoomScaleNormal="100" zoomScaleSheetLayoutView="100" workbookViewId="0">
      <selection activeCell="B7" sqref="B7:D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140625" style="13" customWidth="1"/>
    <col min="7" max="16384" width="11.42578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2"/>
      <c r="B7" s="95" t="s">
        <v>36</v>
      </c>
      <c r="C7" s="95"/>
      <c r="D7" s="95"/>
      <c r="E7" s="32"/>
      <c r="F7" s="32"/>
    </row>
    <row r="8" spans="1:6" s="18" customFormat="1" ht="15" customHeight="1">
      <c r="A8" s="32"/>
      <c r="B8" s="95"/>
      <c r="C8" s="95"/>
      <c r="D8" s="95"/>
      <c r="E8" s="32"/>
      <c r="F8" s="32"/>
    </row>
    <row r="9" spans="1:6" s="18" customFormat="1" ht="33" customHeight="1">
      <c r="A9" s="32"/>
      <c r="B9" s="95"/>
      <c r="C9" s="95"/>
      <c r="D9" s="95"/>
      <c r="E9" s="32"/>
      <c r="F9" s="32"/>
    </row>
    <row r="10" spans="1:6" s="18" customFormat="1" ht="6.95" customHeight="1">
      <c r="A10" s="32"/>
      <c r="B10" s="33"/>
      <c r="C10" s="33"/>
      <c r="D10" s="33"/>
      <c r="E10" s="32"/>
      <c r="F10" s="32"/>
    </row>
    <row r="11" spans="1:6" s="18" customFormat="1" ht="33" customHeight="1">
      <c r="A11" s="32"/>
      <c r="B11" s="43" t="s">
        <v>22</v>
      </c>
      <c r="C11" s="42" t="s">
        <v>20</v>
      </c>
      <c r="D11" s="43" t="s">
        <v>19</v>
      </c>
      <c r="E11" s="32"/>
      <c r="F11" s="32"/>
    </row>
    <row r="12" spans="1:6" ht="14.45" customHeight="1">
      <c r="A12" s="34"/>
      <c r="B12" s="56" t="s">
        <v>43</v>
      </c>
      <c r="C12" s="57">
        <v>1126</v>
      </c>
      <c r="D12" s="58">
        <v>0.20064148253742001</v>
      </c>
      <c r="E12" s="34"/>
      <c r="F12" s="34"/>
    </row>
    <row r="13" spans="1:6" ht="14.45" customHeight="1">
      <c r="A13" s="34"/>
      <c r="B13" s="56" t="s">
        <v>44</v>
      </c>
      <c r="C13" s="57">
        <v>543</v>
      </c>
      <c r="D13" s="58">
        <v>9.6756949394154995E-2</v>
      </c>
      <c r="E13" s="34"/>
      <c r="F13" s="34"/>
    </row>
    <row r="14" spans="1:6" ht="14.45" customHeight="1">
      <c r="A14" s="34"/>
      <c r="B14" s="56" t="s">
        <v>45</v>
      </c>
      <c r="C14" s="57">
        <v>445</v>
      </c>
      <c r="D14" s="58">
        <v>7.9294369208838006E-2</v>
      </c>
      <c r="E14" s="34"/>
      <c r="F14" s="34"/>
    </row>
    <row r="15" spans="1:6" ht="14.45" customHeight="1">
      <c r="A15" s="34"/>
      <c r="B15" s="56" t="s">
        <v>46</v>
      </c>
      <c r="C15" s="57">
        <v>291</v>
      </c>
      <c r="D15" s="58">
        <v>5.1853171774768003E-2</v>
      </c>
      <c r="E15" s="34"/>
      <c r="F15" s="34"/>
    </row>
    <row r="16" spans="1:6" ht="14.45" customHeight="1">
      <c r="A16" s="34"/>
      <c r="B16" s="56" t="s">
        <v>48</v>
      </c>
      <c r="C16" s="57">
        <v>257</v>
      </c>
      <c r="D16" s="58">
        <v>4.5794725588025997E-2</v>
      </c>
      <c r="E16" s="34"/>
      <c r="F16" s="34"/>
    </row>
    <row r="17" spans="1:6" ht="14.45" customHeight="1">
      <c r="A17" s="34"/>
      <c r="B17" s="56" t="s">
        <v>47</v>
      </c>
      <c r="C17" s="57">
        <v>238</v>
      </c>
      <c r="D17" s="58">
        <v>4.2409123307199002E-2</v>
      </c>
      <c r="E17" s="34"/>
      <c r="F17" s="34"/>
    </row>
    <row r="18" spans="1:6" ht="14.45" customHeight="1">
      <c r="A18" s="34"/>
      <c r="B18" s="56" t="s">
        <v>54</v>
      </c>
      <c r="C18" s="57">
        <v>223</v>
      </c>
      <c r="D18" s="58">
        <v>3.9736279401282999E-2</v>
      </c>
      <c r="E18" s="34"/>
      <c r="F18" s="34"/>
    </row>
    <row r="19" spans="1:6" ht="14.45" customHeight="1">
      <c r="A19" s="34"/>
      <c r="B19" s="56" t="s">
        <v>53</v>
      </c>
      <c r="C19" s="57">
        <v>205</v>
      </c>
      <c r="D19" s="58">
        <v>3.6528866714183997E-2</v>
      </c>
      <c r="E19" s="34"/>
      <c r="F19" s="34"/>
    </row>
    <row r="20" spans="1:6" ht="14.45" customHeight="1">
      <c r="A20" s="34"/>
      <c r="B20" s="56" t="s">
        <v>49</v>
      </c>
      <c r="C20" s="57">
        <v>188</v>
      </c>
      <c r="D20" s="58">
        <v>3.3499643620813001E-2</v>
      </c>
      <c r="E20" s="34"/>
      <c r="F20" s="34"/>
    </row>
    <row r="21" spans="1:6" ht="14.45" customHeight="1">
      <c r="A21" s="34"/>
      <c r="B21" s="56" t="s">
        <v>50</v>
      </c>
      <c r="C21" s="57">
        <v>182</v>
      </c>
      <c r="D21" s="58">
        <v>3.2430506058446003E-2</v>
      </c>
      <c r="E21" s="34"/>
      <c r="F21" s="34"/>
    </row>
    <row r="22" spans="1:6" ht="14.45" customHeight="1">
      <c r="A22" s="34"/>
      <c r="B22" s="56" t="s">
        <v>51</v>
      </c>
      <c r="C22" s="57">
        <v>160</v>
      </c>
      <c r="D22" s="58">
        <v>2.8510334996436001E-2</v>
      </c>
      <c r="E22" s="34"/>
      <c r="F22" s="34"/>
    </row>
    <row r="23" spans="1:6" ht="14.45" customHeight="1">
      <c r="A23" s="34"/>
      <c r="B23" s="56" t="s">
        <v>56</v>
      </c>
      <c r="C23" s="57">
        <v>159</v>
      </c>
      <c r="D23" s="58">
        <v>2.8332145402707998E-2</v>
      </c>
      <c r="E23" s="34"/>
      <c r="F23" s="34"/>
    </row>
    <row r="24" spans="1:6" ht="14.45" customHeight="1">
      <c r="A24" s="34"/>
      <c r="B24" s="56" t="s">
        <v>52</v>
      </c>
      <c r="C24" s="57">
        <v>140</v>
      </c>
      <c r="D24" s="58">
        <v>2.4946543121881999E-2</v>
      </c>
      <c r="E24" s="34"/>
      <c r="F24" s="34"/>
    </row>
    <row r="25" spans="1:6" ht="14.45" customHeight="1">
      <c r="A25" s="34"/>
      <c r="B25" s="56" t="s">
        <v>77</v>
      </c>
      <c r="C25" s="57">
        <v>116</v>
      </c>
      <c r="D25" s="58">
        <v>2.0669992872415999E-2</v>
      </c>
      <c r="E25" s="34"/>
      <c r="F25" s="34"/>
    </row>
    <row r="26" spans="1:6" ht="14.45" customHeight="1">
      <c r="A26" s="34"/>
      <c r="B26" s="56" t="s">
        <v>59</v>
      </c>
      <c r="C26" s="57">
        <v>112</v>
      </c>
      <c r="D26" s="58">
        <v>1.9957234497505E-2</v>
      </c>
      <c r="E26" s="34"/>
      <c r="F26" s="34"/>
    </row>
    <row r="27" spans="1:6" ht="14.45" customHeight="1">
      <c r="A27" s="34"/>
      <c r="B27" s="56" t="s">
        <v>55</v>
      </c>
      <c r="C27" s="57">
        <v>105</v>
      </c>
      <c r="D27" s="58">
        <v>1.8709907341411001E-2</v>
      </c>
      <c r="E27" s="34"/>
      <c r="F27" s="34"/>
    </row>
    <row r="28" spans="1:6" ht="14.45" customHeight="1">
      <c r="A28" s="34"/>
      <c r="B28" s="56" t="s">
        <v>57</v>
      </c>
      <c r="C28" s="57">
        <v>95</v>
      </c>
      <c r="D28" s="58">
        <v>1.6928011404134E-2</v>
      </c>
      <c r="E28" s="34"/>
      <c r="F28" s="34"/>
    </row>
    <row r="29" spans="1:6" ht="14.45" customHeight="1">
      <c r="A29" s="34"/>
      <c r="B29" s="56" t="s">
        <v>60</v>
      </c>
      <c r="C29" s="57">
        <v>74</v>
      </c>
      <c r="D29" s="58">
        <v>1.3186029935852E-2</v>
      </c>
      <c r="E29" s="34"/>
      <c r="F29" s="34"/>
    </row>
    <row r="30" spans="1:6" ht="14.45" customHeight="1">
      <c r="A30" s="34"/>
      <c r="B30" s="56" t="s">
        <v>58</v>
      </c>
      <c r="C30" s="57">
        <v>69</v>
      </c>
      <c r="D30" s="58">
        <v>1.2295081967213E-2</v>
      </c>
      <c r="E30" s="34"/>
      <c r="F30" s="34"/>
    </row>
    <row r="31" spans="1:6" ht="14.45" customHeight="1">
      <c r="A31" s="34"/>
      <c r="B31" s="56" t="s">
        <v>62</v>
      </c>
      <c r="C31" s="57">
        <v>62</v>
      </c>
      <c r="D31" s="58">
        <v>1.1047754811119E-2</v>
      </c>
      <c r="E31" s="34"/>
      <c r="F31" s="34"/>
    </row>
    <row r="32" spans="1:6" ht="14.45" customHeight="1">
      <c r="A32" s="34"/>
      <c r="B32" s="56" t="s">
        <v>65</v>
      </c>
      <c r="C32" s="57">
        <v>54</v>
      </c>
      <c r="D32" s="58">
        <v>9.6222380612970004E-3</v>
      </c>
      <c r="E32" s="34"/>
      <c r="F32" s="34"/>
    </row>
    <row r="33" spans="1:6" ht="14.45" customHeight="1">
      <c r="A33" s="34"/>
      <c r="B33" s="56" t="s">
        <v>64</v>
      </c>
      <c r="C33" s="57">
        <v>53</v>
      </c>
      <c r="D33" s="58">
        <v>9.4440484675689992E-3</v>
      </c>
      <c r="E33" s="34"/>
      <c r="F33" s="34"/>
    </row>
    <row r="34" spans="1:6" ht="14.45" customHeight="1">
      <c r="A34" s="34"/>
      <c r="B34" s="56" t="s">
        <v>69</v>
      </c>
      <c r="C34" s="57">
        <v>51</v>
      </c>
      <c r="D34" s="58">
        <v>9.0876692801139993E-3</v>
      </c>
      <c r="E34" s="34"/>
      <c r="F34" s="34"/>
    </row>
    <row r="35" spans="1:6" ht="14.45" customHeight="1">
      <c r="A35" s="34"/>
      <c r="B35" s="56" t="s">
        <v>75</v>
      </c>
      <c r="C35" s="57">
        <v>51</v>
      </c>
      <c r="D35" s="58">
        <v>9.0876692801139993E-3</v>
      </c>
      <c r="E35" s="34"/>
      <c r="F35" s="34"/>
    </row>
    <row r="36" spans="1:6" ht="14.45" customHeight="1">
      <c r="A36" s="34"/>
      <c r="B36" s="56" t="s">
        <v>67</v>
      </c>
      <c r="C36" s="57">
        <v>50</v>
      </c>
      <c r="D36" s="58">
        <v>8.9094796863859998E-3</v>
      </c>
      <c r="E36" s="34"/>
      <c r="F36" s="34"/>
    </row>
    <row r="37" spans="1:6" ht="14.45" customHeight="1">
      <c r="A37" s="34"/>
      <c r="B37" s="56" t="s">
        <v>72</v>
      </c>
      <c r="C37" s="57">
        <v>47</v>
      </c>
      <c r="D37" s="58">
        <v>8.3749109052030004E-3</v>
      </c>
      <c r="E37" s="34"/>
      <c r="F37" s="34"/>
    </row>
    <row r="38" spans="1:6" ht="14.45" customHeight="1">
      <c r="A38" s="34"/>
      <c r="B38" s="56" t="s">
        <v>79</v>
      </c>
      <c r="C38" s="57">
        <v>46</v>
      </c>
      <c r="D38" s="58">
        <v>8.1967213114749991E-3</v>
      </c>
      <c r="E38" s="34"/>
      <c r="F38" s="34"/>
    </row>
    <row r="39" spans="1:6" ht="14.45" customHeight="1">
      <c r="A39" s="34"/>
      <c r="B39" s="56" t="s">
        <v>70</v>
      </c>
      <c r="C39" s="57">
        <v>45</v>
      </c>
      <c r="D39" s="58">
        <v>8.0185317177480005E-3</v>
      </c>
      <c r="E39" s="34"/>
      <c r="F39" s="34"/>
    </row>
    <row r="40" spans="1:6" ht="14.45" customHeight="1">
      <c r="A40" s="34"/>
      <c r="B40" s="56" t="s">
        <v>68</v>
      </c>
      <c r="C40" s="57">
        <v>42</v>
      </c>
      <c r="D40" s="58">
        <v>7.4839629365650003E-3</v>
      </c>
      <c r="E40" s="34"/>
      <c r="F40" s="34"/>
    </row>
    <row r="41" spans="1:6" ht="14.45" customHeight="1">
      <c r="A41" s="34"/>
      <c r="B41" s="56" t="s">
        <v>61</v>
      </c>
      <c r="C41" s="57">
        <v>38</v>
      </c>
      <c r="D41" s="58">
        <v>6.7712045616539996E-3</v>
      </c>
      <c r="E41" s="34"/>
      <c r="F41" s="34"/>
    </row>
    <row r="42" spans="1:6" ht="14.45" customHeight="1">
      <c r="A42" s="34"/>
      <c r="B42" s="56" t="s">
        <v>63</v>
      </c>
      <c r="C42" s="57">
        <v>38</v>
      </c>
      <c r="D42" s="58">
        <v>6.7712045616539996E-3</v>
      </c>
      <c r="E42" s="34"/>
      <c r="F42" s="34"/>
    </row>
    <row r="43" spans="1:6" ht="14.45" customHeight="1">
      <c r="A43" s="34"/>
      <c r="B43" s="56" t="s">
        <v>78</v>
      </c>
      <c r="C43" s="57">
        <v>36</v>
      </c>
      <c r="D43" s="58">
        <v>6.4148253741979997E-3</v>
      </c>
      <c r="E43" s="34"/>
      <c r="F43" s="34"/>
    </row>
    <row r="44" spans="1:6" ht="14.45" customHeight="1">
      <c r="A44" s="34"/>
      <c r="B44" s="56" t="s">
        <v>73</v>
      </c>
      <c r="C44" s="57">
        <v>34</v>
      </c>
      <c r="D44" s="58">
        <v>6.0584461867429999E-3</v>
      </c>
      <c r="E44" s="34"/>
      <c r="F44" s="34"/>
    </row>
    <row r="45" spans="1:6" ht="14.45" customHeight="1">
      <c r="A45" s="34"/>
      <c r="B45" s="56" t="s">
        <v>76</v>
      </c>
      <c r="C45" s="57">
        <v>34</v>
      </c>
      <c r="D45" s="58">
        <v>6.0584461867429999E-3</v>
      </c>
      <c r="E45" s="34"/>
      <c r="F45" s="34"/>
    </row>
    <row r="46" spans="1:6" ht="14.45" customHeight="1">
      <c r="A46" s="34"/>
      <c r="B46" s="56" t="s">
        <v>66</v>
      </c>
      <c r="C46" s="57">
        <v>34</v>
      </c>
      <c r="D46" s="58">
        <v>6.0584461867429999E-3</v>
      </c>
      <c r="E46" s="34"/>
      <c r="F46" s="34"/>
    </row>
    <row r="47" spans="1:6" ht="14.45" customHeight="1">
      <c r="A47" s="34"/>
      <c r="B47" s="56" t="s">
        <v>71</v>
      </c>
      <c r="C47" s="57">
        <v>33</v>
      </c>
      <c r="D47" s="58">
        <v>5.8802565930150003E-3</v>
      </c>
      <c r="E47" s="34"/>
      <c r="F47" s="34"/>
    </row>
    <row r="48" spans="1:6" ht="14.45" customHeight="1">
      <c r="A48" s="34"/>
      <c r="B48" s="56" t="s">
        <v>82</v>
      </c>
      <c r="C48" s="57">
        <v>28</v>
      </c>
      <c r="D48" s="58">
        <v>4.9893086243760001E-3</v>
      </c>
      <c r="E48" s="34"/>
      <c r="F48" s="34"/>
    </row>
    <row r="49" spans="1:6" ht="14.45" customHeight="1">
      <c r="A49" s="34"/>
      <c r="B49" s="56" t="s">
        <v>81</v>
      </c>
      <c r="C49" s="57">
        <v>26</v>
      </c>
      <c r="D49" s="58">
        <v>4.6329294369210003E-3</v>
      </c>
      <c r="E49" s="34"/>
      <c r="F49" s="34"/>
    </row>
    <row r="50" spans="1:6" ht="14.45" customHeight="1">
      <c r="A50" s="34"/>
      <c r="B50" s="56" t="s">
        <v>74</v>
      </c>
      <c r="C50" s="57">
        <v>25</v>
      </c>
      <c r="D50" s="58">
        <v>4.4547398431929999E-3</v>
      </c>
      <c r="E50" s="34"/>
      <c r="F50" s="34"/>
    </row>
    <row r="51" spans="1:6" ht="14.45" customHeight="1">
      <c r="A51" s="34"/>
      <c r="B51" s="56" t="s">
        <v>83</v>
      </c>
      <c r="C51" s="57">
        <v>20</v>
      </c>
      <c r="D51" s="58">
        <v>3.5637918745550002E-3</v>
      </c>
      <c r="E51" s="34"/>
      <c r="F51" s="34"/>
    </row>
    <row r="52" spans="1:6" ht="14.45" customHeight="1">
      <c r="A52" s="34"/>
      <c r="B52" s="56" t="s">
        <v>80</v>
      </c>
      <c r="C52" s="57">
        <v>16</v>
      </c>
      <c r="D52" s="58">
        <v>2.851033499644E-3</v>
      </c>
      <c r="E52" s="34"/>
      <c r="F52" s="34"/>
    </row>
    <row r="53" spans="1:6" ht="14.45" customHeight="1">
      <c r="A53" s="34"/>
      <c r="B53" s="56" t="s">
        <v>84</v>
      </c>
      <c r="C53" s="57">
        <v>7</v>
      </c>
      <c r="D53" s="58">
        <v>1.247327156094E-3</v>
      </c>
      <c r="E53" s="34"/>
      <c r="F53" s="34"/>
    </row>
    <row r="54" spans="1:6" ht="14.45" customHeight="1">
      <c r="A54" s="34"/>
      <c r="B54" s="56" t="s">
        <v>256</v>
      </c>
      <c r="C54" s="57">
        <v>6</v>
      </c>
      <c r="D54" s="58">
        <v>1.0691375623660001E-3</v>
      </c>
      <c r="E54" s="34"/>
      <c r="F54" s="34"/>
    </row>
    <row r="55" spans="1:6" ht="14.45" customHeight="1">
      <c r="A55" s="34"/>
      <c r="B55" s="56" t="s">
        <v>86</v>
      </c>
      <c r="C55" s="57">
        <v>4</v>
      </c>
      <c r="D55" s="58">
        <v>7.12758374911E-4</v>
      </c>
      <c r="E55" s="34"/>
      <c r="F55" s="34"/>
    </row>
    <row r="56" spans="1:6" ht="14.45" customHeight="1">
      <c r="A56" s="34"/>
      <c r="B56" s="56" t="s">
        <v>257</v>
      </c>
      <c r="C56" s="57">
        <v>2</v>
      </c>
      <c r="D56" s="58">
        <v>3.5637918745500002E-4</v>
      </c>
      <c r="E56" s="34"/>
      <c r="F56" s="34"/>
    </row>
    <row r="57" spans="1:6" ht="14.45" customHeight="1">
      <c r="A57" s="34"/>
      <c r="B57" s="56" t="s">
        <v>85</v>
      </c>
      <c r="C57" s="57">
        <v>1</v>
      </c>
      <c r="D57" s="58">
        <v>1.7818959372799999E-4</v>
      </c>
      <c r="E57" s="34"/>
      <c r="F57" s="34"/>
    </row>
    <row r="58" spans="1:6" ht="14.45" customHeight="1">
      <c r="A58" s="34"/>
      <c r="B58" s="56" t="s">
        <v>258</v>
      </c>
      <c r="C58" s="57">
        <v>1</v>
      </c>
      <c r="D58" s="58">
        <v>1.7818959372799999E-4</v>
      </c>
      <c r="E58" s="34"/>
      <c r="F58" s="34"/>
    </row>
    <row r="59" spans="1:6" ht="14.45" customHeight="1">
      <c r="A59" s="34"/>
      <c r="B59" s="61" t="s">
        <v>286</v>
      </c>
      <c r="C59" s="59">
        <v>5612</v>
      </c>
      <c r="D59" s="60">
        <v>1</v>
      </c>
      <c r="E59" s="34"/>
      <c r="F59" s="34"/>
    </row>
    <row r="60" spans="1:6" ht="14.45" customHeight="1">
      <c r="B60" s="35"/>
      <c r="C60" s="36"/>
      <c r="D60" s="34"/>
      <c r="E60" s="34"/>
      <c r="F60" s="34"/>
    </row>
    <row r="61" spans="1:6" ht="14.45" customHeight="1">
      <c r="B61" s="35" t="s">
        <v>255</v>
      </c>
      <c r="C61" s="36"/>
      <c r="D61" s="34"/>
      <c r="E61" s="34"/>
      <c r="F61" s="34"/>
    </row>
    <row r="62" spans="1:6" ht="14.45" customHeight="1">
      <c r="B62" s="37" t="s">
        <v>18</v>
      </c>
      <c r="C62" s="36"/>
      <c r="D62" s="34"/>
      <c r="E62" s="34"/>
      <c r="F62" s="34"/>
    </row>
    <row r="63" spans="1:6" ht="14.45" customHeight="1">
      <c r="B63" s="38" t="s">
        <v>128</v>
      </c>
      <c r="C63" s="36"/>
      <c r="D63" s="34"/>
      <c r="E63" s="34"/>
      <c r="F63" s="34"/>
    </row>
    <row r="64" spans="1:6" ht="14.45" customHeight="1">
      <c r="B64" s="35" t="s">
        <v>17</v>
      </c>
      <c r="C64" s="36"/>
      <c r="D64" s="34"/>
      <c r="E64" s="34"/>
      <c r="F64" s="34"/>
    </row>
    <row r="65" spans="2:2">
      <c r="B65" s="35" t="s">
        <v>290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zoomScaleNormal="100" zoomScaleSheetLayoutView="100" workbookViewId="0">
      <selection activeCell="E12" sqref="E1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2"/>
      <c r="B7" s="95" t="s">
        <v>41</v>
      </c>
      <c r="C7" s="95"/>
      <c r="D7" s="95"/>
      <c r="E7" s="32"/>
      <c r="F7" s="32"/>
    </row>
    <row r="8" spans="1:6" s="18" customFormat="1" ht="15" customHeight="1">
      <c r="A8" s="32"/>
      <c r="B8" s="95"/>
      <c r="C8" s="95"/>
      <c r="D8" s="95"/>
      <c r="E8" s="32"/>
      <c r="F8" s="32"/>
    </row>
    <row r="9" spans="1:6" s="18" customFormat="1" ht="33" customHeight="1">
      <c r="A9" s="32"/>
      <c r="B9" s="95"/>
      <c r="C9" s="95"/>
      <c r="D9" s="95"/>
      <c r="E9" s="32"/>
      <c r="F9" s="32"/>
    </row>
    <row r="10" spans="1:6" s="18" customFormat="1" ht="4.5" customHeight="1">
      <c r="A10" s="32"/>
      <c r="B10" s="33"/>
      <c r="C10" s="33"/>
      <c r="D10" s="33"/>
      <c r="E10" s="32"/>
      <c r="F10" s="32"/>
    </row>
    <row r="11" spans="1:6" s="18" customFormat="1" ht="33" customHeight="1">
      <c r="A11" s="32"/>
      <c r="B11" s="43" t="s">
        <v>22</v>
      </c>
      <c r="C11" s="42" t="s">
        <v>20</v>
      </c>
      <c r="D11" s="43" t="s">
        <v>19</v>
      </c>
      <c r="E11" s="32"/>
      <c r="F11" s="32"/>
    </row>
    <row r="12" spans="1:6" ht="16.5">
      <c r="A12" s="34"/>
      <c r="B12" s="56" t="s">
        <v>43</v>
      </c>
      <c r="C12" s="57">
        <v>1126</v>
      </c>
      <c r="D12" s="58">
        <f>C12/$C$22</f>
        <v>0.30448891292590591</v>
      </c>
      <c r="E12" s="34"/>
      <c r="F12" s="34"/>
    </row>
    <row r="13" spans="1:6" ht="16.5">
      <c r="A13" s="34"/>
      <c r="B13" s="56" t="s">
        <v>44</v>
      </c>
      <c r="C13" s="57">
        <v>543</v>
      </c>
      <c r="D13" s="58">
        <f t="shared" ref="D13:D21" si="0">C13/$C$22</f>
        <v>0.14683612763656032</v>
      </c>
      <c r="E13" s="34"/>
      <c r="F13" s="34"/>
    </row>
    <row r="14" spans="1:6" ht="16.5">
      <c r="A14" s="34"/>
      <c r="B14" s="56" t="s">
        <v>45</v>
      </c>
      <c r="C14" s="57">
        <v>445</v>
      </c>
      <c r="D14" s="58">
        <f t="shared" si="0"/>
        <v>0.12033531638723634</v>
      </c>
      <c r="E14" s="34"/>
      <c r="F14" s="34"/>
    </row>
    <row r="15" spans="1:6" ht="16.5">
      <c r="A15" s="34"/>
      <c r="B15" s="56" t="s">
        <v>46</v>
      </c>
      <c r="C15" s="57">
        <v>291</v>
      </c>
      <c r="D15" s="58">
        <f t="shared" si="0"/>
        <v>7.8691184424012975E-2</v>
      </c>
      <c r="E15" s="34"/>
      <c r="F15" s="34"/>
    </row>
    <row r="16" spans="1:6" ht="16.5">
      <c r="A16" s="34"/>
      <c r="B16" s="56" t="s">
        <v>48</v>
      </c>
      <c r="C16" s="57">
        <v>257</v>
      </c>
      <c r="D16" s="58">
        <f t="shared" si="0"/>
        <v>6.9497025419145486E-2</v>
      </c>
      <c r="E16" s="34"/>
      <c r="F16" s="34"/>
    </row>
    <row r="17" spans="1:6" ht="16.5">
      <c r="A17" s="34"/>
      <c r="B17" s="56" t="s">
        <v>47</v>
      </c>
      <c r="C17" s="57">
        <v>238</v>
      </c>
      <c r="D17" s="58">
        <f t="shared" si="0"/>
        <v>6.4359113034072477E-2</v>
      </c>
      <c r="E17" s="34"/>
      <c r="F17" s="34"/>
    </row>
    <row r="18" spans="1:6" ht="16.5">
      <c r="A18" s="34"/>
      <c r="B18" s="56" t="s">
        <v>54</v>
      </c>
      <c r="C18" s="57">
        <v>223</v>
      </c>
      <c r="D18" s="58">
        <f t="shared" si="0"/>
        <v>6.030286641427799E-2</v>
      </c>
      <c r="E18" s="34"/>
      <c r="F18" s="34"/>
    </row>
    <row r="19" spans="1:6" ht="16.5">
      <c r="A19" s="34"/>
      <c r="B19" s="56" t="s">
        <v>53</v>
      </c>
      <c r="C19" s="57">
        <v>205</v>
      </c>
      <c r="D19" s="58">
        <f t="shared" si="0"/>
        <v>5.543537047052461E-2</v>
      </c>
      <c r="E19" s="34"/>
      <c r="F19" s="34"/>
    </row>
    <row r="20" spans="1:6" ht="16.5">
      <c r="A20" s="34"/>
      <c r="B20" s="56" t="s">
        <v>49</v>
      </c>
      <c r="C20" s="57">
        <v>188</v>
      </c>
      <c r="D20" s="58">
        <f t="shared" si="0"/>
        <v>5.0838290968090859E-2</v>
      </c>
      <c r="E20" s="34"/>
      <c r="F20" s="34"/>
    </row>
    <row r="21" spans="1:6" ht="16.5">
      <c r="A21" s="34"/>
      <c r="B21" s="56" t="s">
        <v>50</v>
      </c>
      <c r="C21" s="57">
        <v>182</v>
      </c>
      <c r="D21" s="58">
        <f t="shared" si="0"/>
        <v>4.921579232017307E-2</v>
      </c>
      <c r="E21" s="34"/>
      <c r="F21" s="34"/>
    </row>
    <row r="22" spans="1:6" ht="16.5">
      <c r="A22" s="34"/>
      <c r="B22" s="68" t="s">
        <v>42</v>
      </c>
      <c r="C22" s="69">
        <f>SUM(C12:C21)</f>
        <v>3698</v>
      </c>
      <c r="D22" s="70">
        <f t="shared" ref="D22" si="1">C22/$C$22</f>
        <v>1</v>
      </c>
      <c r="E22" s="34"/>
      <c r="F22" s="34"/>
    </row>
    <row r="23" spans="1:6" ht="16.5">
      <c r="A23" s="34"/>
      <c r="B23" s="39" t="s">
        <v>286</v>
      </c>
      <c r="C23" s="40">
        <v>5612</v>
      </c>
      <c r="D23" s="84"/>
      <c r="E23" s="34"/>
      <c r="F23" s="34"/>
    </row>
    <row r="24" spans="1:6" ht="16.5">
      <c r="A24" s="34"/>
      <c r="B24" s="35"/>
      <c r="C24" s="36"/>
      <c r="D24" s="34"/>
      <c r="E24" s="34"/>
      <c r="F24" s="34"/>
    </row>
    <row r="25" spans="1:6" ht="16.5">
      <c r="B25" s="35" t="s">
        <v>255</v>
      </c>
      <c r="C25" s="36"/>
      <c r="D25" s="34"/>
      <c r="E25" s="34"/>
      <c r="F25" s="34"/>
    </row>
    <row r="26" spans="1:6" ht="16.5">
      <c r="B26" s="37" t="s">
        <v>18</v>
      </c>
      <c r="C26" s="36"/>
      <c r="D26" s="34"/>
      <c r="E26" s="34"/>
      <c r="F26" s="34"/>
    </row>
    <row r="27" spans="1:6" ht="16.5">
      <c r="B27" s="38" t="s">
        <v>128</v>
      </c>
      <c r="C27" s="36"/>
      <c r="D27" s="34"/>
      <c r="E27" s="34"/>
      <c r="F27" s="34"/>
    </row>
    <row r="28" spans="1:6" ht="16.5">
      <c r="B28" s="35" t="s">
        <v>17</v>
      </c>
      <c r="C28" s="36"/>
      <c r="D28" s="34"/>
      <c r="E28" s="34"/>
      <c r="F28" s="34"/>
    </row>
    <row r="29" spans="1:6" ht="16.5">
      <c r="B29" s="35" t="s">
        <v>290</v>
      </c>
      <c r="C29" s="36"/>
      <c r="D29" s="34"/>
      <c r="E29" s="34"/>
      <c r="F29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78"/>
  <sheetViews>
    <sheetView showGridLines="0" view="pageBreakPreview" zoomScale="90" zoomScaleNormal="100" zoomScaleSheetLayoutView="90" workbookViewId="0">
      <selection activeCell="B74" sqref="B74"/>
    </sheetView>
  </sheetViews>
  <sheetFormatPr baseColWidth="10" defaultColWidth="11.42578125" defaultRowHeight="15"/>
  <cols>
    <col min="1" max="1" width="9.28515625" style="13" customWidth="1"/>
    <col min="2" max="2" width="39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2"/>
      <c r="B7" s="95" t="s">
        <v>39</v>
      </c>
      <c r="C7" s="95"/>
      <c r="D7" s="95"/>
      <c r="E7" s="32"/>
      <c r="F7" s="32"/>
    </row>
    <row r="8" spans="1:6" s="18" customFormat="1" ht="15" customHeight="1">
      <c r="A8" s="32"/>
      <c r="B8" s="95"/>
      <c r="C8" s="95"/>
      <c r="D8" s="95"/>
      <c r="E8" s="32"/>
      <c r="F8" s="32"/>
    </row>
    <row r="9" spans="1:6" s="18" customFormat="1" ht="33" customHeight="1">
      <c r="A9" s="32"/>
      <c r="B9" s="95"/>
      <c r="C9" s="95"/>
      <c r="D9" s="95"/>
      <c r="E9" s="32"/>
      <c r="F9" s="32"/>
    </row>
    <row r="10" spans="1:6" s="18" customFormat="1" ht="4.5" customHeight="1">
      <c r="A10" s="32"/>
      <c r="B10" s="33"/>
      <c r="C10" s="33"/>
      <c r="D10" s="33"/>
      <c r="E10" s="32"/>
      <c r="F10" s="32"/>
    </row>
    <row r="11" spans="1:6" s="18" customFormat="1" ht="33" customHeight="1">
      <c r="A11" s="32"/>
      <c r="B11" s="41" t="s">
        <v>23</v>
      </c>
      <c r="C11" s="42" t="s">
        <v>20</v>
      </c>
      <c r="D11" s="43" t="s">
        <v>19</v>
      </c>
      <c r="E11" s="32"/>
      <c r="F11" s="32"/>
    </row>
    <row r="12" spans="1:6" ht="16.5">
      <c r="A12" s="34"/>
      <c r="B12" s="62" t="s">
        <v>144</v>
      </c>
      <c r="C12" s="65">
        <v>932</v>
      </c>
      <c r="D12" s="64">
        <v>0.16600000000000001</v>
      </c>
      <c r="E12" s="34"/>
      <c r="F12" s="34"/>
    </row>
    <row r="13" spans="1:6" ht="16.5">
      <c r="A13" s="34"/>
      <c r="B13" s="62" t="s">
        <v>134</v>
      </c>
      <c r="C13" s="65">
        <v>507</v>
      </c>
      <c r="D13" s="64">
        <v>0.09</v>
      </c>
      <c r="E13" s="34"/>
      <c r="F13" s="34"/>
    </row>
    <row r="14" spans="1:6" ht="16.5">
      <c r="A14" s="34"/>
      <c r="B14" s="62" t="s">
        <v>153</v>
      </c>
      <c r="C14" s="65">
        <v>369</v>
      </c>
      <c r="D14" s="64">
        <v>6.6000000000000003E-2</v>
      </c>
      <c r="E14" s="34"/>
      <c r="F14" s="34"/>
    </row>
    <row r="15" spans="1:6" ht="16.5">
      <c r="A15" s="34"/>
      <c r="B15" s="62" t="s">
        <v>131</v>
      </c>
      <c r="C15" s="65">
        <v>303</v>
      </c>
      <c r="D15" s="64">
        <v>5.3999999999999999E-2</v>
      </c>
      <c r="E15" s="34"/>
      <c r="F15" s="34"/>
    </row>
    <row r="16" spans="1:6" ht="16.5">
      <c r="A16" s="34"/>
      <c r="B16" s="62" t="s">
        <v>135</v>
      </c>
      <c r="C16" s="65">
        <v>293</v>
      </c>
      <c r="D16" s="64">
        <v>5.1999999999999998E-2</v>
      </c>
      <c r="E16" s="34"/>
      <c r="F16" s="34"/>
    </row>
    <row r="17" spans="1:6" ht="16.5">
      <c r="A17" s="34"/>
      <c r="B17" s="62" t="s">
        <v>133</v>
      </c>
      <c r="C17" s="65">
        <v>285</v>
      </c>
      <c r="D17" s="64">
        <v>5.0999999999999997E-2</v>
      </c>
      <c r="E17" s="34"/>
      <c r="F17" s="34"/>
    </row>
    <row r="18" spans="1:6" ht="16.5">
      <c r="A18" s="34"/>
      <c r="B18" s="62" t="s">
        <v>136</v>
      </c>
      <c r="C18" s="65">
        <v>238</v>
      </c>
      <c r="D18" s="64">
        <v>4.2000000000000003E-2</v>
      </c>
      <c r="E18" s="34"/>
      <c r="F18" s="34"/>
    </row>
    <row r="19" spans="1:6" ht="16.5">
      <c r="A19" s="34"/>
      <c r="B19" s="62" t="s">
        <v>155</v>
      </c>
      <c r="C19" s="65">
        <v>215</v>
      </c>
      <c r="D19" s="64">
        <v>3.7999999999999999E-2</v>
      </c>
      <c r="E19" s="34"/>
      <c r="F19" s="34"/>
    </row>
    <row r="20" spans="1:6" ht="16.5">
      <c r="A20" s="34"/>
      <c r="B20" s="62" t="s">
        <v>145</v>
      </c>
      <c r="C20" s="65">
        <v>214</v>
      </c>
      <c r="D20" s="64">
        <v>3.7999999999999999E-2</v>
      </c>
      <c r="E20" s="34"/>
      <c r="F20" s="34"/>
    </row>
    <row r="21" spans="1:6" ht="16.5">
      <c r="A21" s="34"/>
      <c r="B21" s="62" t="s">
        <v>167</v>
      </c>
      <c r="C21" s="65">
        <v>185</v>
      </c>
      <c r="D21" s="64">
        <v>3.3000000000000002E-2</v>
      </c>
      <c r="E21" s="34"/>
      <c r="F21" s="34"/>
    </row>
    <row r="22" spans="1:6" ht="16.5">
      <c r="A22" s="34"/>
      <c r="B22" s="62" t="s">
        <v>180</v>
      </c>
      <c r="C22" s="65">
        <v>162</v>
      </c>
      <c r="D22" s="64">
        <v>2.9000000000000001E-2</v>
      </c>
      <c r="E22" s="34"/>
      <c r="F22" s="34"/>
    </row>
    <row r="23" spans="1:6" ht="16.5">
      <c r="A23" s="34"/>
      <c r="B23" s="62" t="s">
        <v>139</v>
      </c>
      <c r="C23" s="65">
        <v>161</v>
      </c>
      <c r="D23" s="64">
        <v>2.9000000000000001E-2</v>
      </c>
      <c r="E23" s="34"/>
      <c r="F23" s="34"/>
    </row>
    <row r="24" spans="1:6" ht="16.5">
      <c r="A24" s="34"/>
      <c r="B24" s="62" t="s">
        <v>140</v>
      </c>
      <c r="C24" s="65">
        <v>114</v>
      </c>
      <c r="D24" s="64">
        <v>0.02</v>
      </c>
      <c r="E24" s="34"/>
      <c r="F24" s="34"/>
    </row>
    <row r="25" spans="1:6" ht="16.5">
      <c r="A25" s="34"/>
      <c r="B25" s="62" t="s">
        <v>170</v>
      </c>
      <c r="C25" s="65">
        <v>106</v>
      </c>
      <c r="D25" s="64">
        <v>1.9E-2</v>
      </c>
      <c r="E25" s="34"/>
      <c r="F25" s="34"/>
    </row>
    <row r="26" spans="1:6" ht="16.5">
      <c r="A26" s="34"/>
      <c r="B26" s="62" t="s">
        <v>182</v>
      </c>
      <c r="C26" s="65">
        <v>100</v>
      </c>
      <c r="D26" s="64">
        <v>1.7999999999999999E-2</v>
      </c>
      <c r="E26" s="34"/>
      <c r="F26" s="34"/>
    </row>
    <row r="27" spans="1:6" ht="16.5">
      <c r="A27" s="34"/>
      <c r="B27" s="62" t="s">
        <v>142</v>
      </c>
      <c r="C27" s="65">
        <v>94</v>
      </c>
      <c r="D27" s="64">
        <v>1.7000000000000001E-2</v>
      </c>
      <c r="E27" s="34"/>
      <c r="F27" s="34"/>
    </row>
    <row r="28" spans="1:6" ht="16.5">
      <c r="A28" s="34"/>
      <c r="B28" s="62" t="s">
        <v>141</v>
      </c>
      <c r="C28" s="65">
        <v>77</v>
      </c>
      <c r="D28" s="64">
        <v>1.4E-2</v>
      </c>
      <c r="E28" s="34"/>
      <c r="F28" s="34"/>
    </row>
    <row r="29" spans="1:6" ht="16.5">
      <c r="A29" s="34"/>
      <c r="B29" s="62" t="s">
        <v>151</v>
      </c>
      <c r="C29" s="65">
        <v>73</v>
      </c>
      <c r="D29" s="64">
        <v>1.2999999999999999E-2</v>
      </c>
      <c r="E29" s="34"/>
      <c r="F29" s="34"/>
    </row>
    <row r="30" spans="1:6" ht="16.5">
      <c r="A30" s="34"/>
      <c r="B30" s="62" t="s">
        <v>156</v>
      </c>
      <c r="C30" s="65">
        <v>64</v>
      </c>
      <c r="D30" s="64">
        <v>1.0999999999999999E-2</v>
      </c>
      <c r="E30" s="34"/>
      <c r="F30" s="34"/>
    </row>
    <row r="31" spans="1:6" ht="16.5">
      <c r="A31" s="34"/>
      <c r="B31" s="62" t="s">
        <v>138</v>
      </c>
      <c r="C31" s="65">
        <v>62</v>
      </c>
      <c r="D31" s="64">
        <v>1.0999999999999999E-2</v>
      </c>
      <c r="E31" s="34"/>
      <c r="F31" s="34"/>
    </row>
    <row r="32" spans="1:6" ht="16.5">
      <c r="A32" s="34"/>
      <c r="B32" s="62" t="s">
        <v>146</v>
      </c>
      <c r="C32" s="65">
        <v>59</v>
      </c>
      <c r="D32" s="64">
        <v>1.0999999999999999E-2</v>
      </c>
      <c r="E32" s="34"/>
      <c r="F32" s="34"/>
    </row>
    <row r="33" spans="1:6" ht="16.5">
      <c r="A33" s="34"/>
      <c r="B33" s="62" t="s">
        <v>181</v>
      </c>
      <c r="C33" s="65">
        <v>59</v>
      </c>
      <c r="D33" s="64">
        <v>1.0999999999999999E-2</v>
      </c>
      <c r="E33" s="34"/>
      <c r="F33" s="34"/>
    </row>
    <row r="34" spans="1:6" ht="16.5">
      <c r="A34" s="34"/>
      <c r="B34" s="62" t="s">
        <v>261</v>
      </c>
      <c r="C34" s="65">
        <v>58</v>
      </c>
      <c r="D34" s="64">
        <v>0.01</v>
      </c>
      <c r="E34" s="34"/>
      <c r="F34" s="34"/>
    </row>
    <row r="35" spans="1:6" ht="16.5">
      <c r="A35" s="34"/>
      <c r="B35" s="62" t="s">
        <v>150</v>
      </c>
      <c r="C35" s="65">
        <v>56</v>
      </c>
      <c r="D35" s="64">
        <v>0.01</v>
      </c>
      <c r="E35" s="34"/>
      <c r="F35" s="34"/>
    </row>
    <row r="36" spans="1:6" ht="16.5">
      <c r="A36" s="34"/>
      <c r="B36" s="62" t="s">
        <v>165</v>
      </c>
      <c r="C36" s="65">
        <v>51</v>
      </c>
      <c r="D36" s="64">
        <v>8.9999999999999993E-3</v>
      </c>
      <c r="E36" s="34"/>
      <c r="F36" s="34"/>
    </row>
    <row r="37" spans="1:6" ht="16.5">
      <c r="A37" s="34"/>
      <c r="B37" s="62" t="s">
        <v>143</v>
      </c>
      <c r="C37" s="65">
        <v>51</v>
      </c>
      <c r="D37" s="64">
        <v>8.9999999999999993E-3</v>
      </c>
      <c r="E37" s="34"/>
      <c r="F37" s="34"/>
    </row>
    <row r="38" spans="1:6" ht="28.5">
      <c r="A38" s="34"/>
      <c r="B38" s="62" t="s">
        <v>154</v>
      </c>
      <c r="C38" s="65">
        <v>50</v>
      </c>
      <c r="D38" s="64">
        <v>8.9999999999999993E-3</v>
      </c>
      <c r="E38" s="34"/>
      <c r="F38" s="34"/>
    </row>
    <row r="39" spans="1:6" ht="16.5">
      <c r="A39" s="34"/>
      <c r="B39" s="62" t="s">
        <v>159</v>
      </c>
      <c r="C39" s="65">
        <v>49</v>
      </c>
      <c r="D39" s="64">
        <v>8.9999999999999993E-3</v>
      </c>
      <c r="E39" s="34"/>
      <c r="F39" s="34"/>
    </row>
    <row r="40" spans="1:6" ht="16.5">
      <c r="A40" s="34"/>
      <c r="B40" s="62" t="s">
        <v>152</v>
      </c>
      <c r="C40" s="65">
        <v>49</v>
      </c>
      <c r="D40" s="64">
        <v>8.9999999999999993E-3</v>
      </c>
      <c r="E40" s="34"/>
      <c r="F40" s="34"/>
    </row>
    <row r="41" spans="1:6" ht="16.5">
      <c r="A41" s="34"/>
      <c r="B41" s="62" t="s">
        <v>149</v>
      </c>
      <c r="C41" s="65">
        <v>40</v>
      </c>
      <c r="D41" s="64">
        <v>7.0000000000000001E-3</v>
      </c>
      <c r="E41" s="34"/>
      <c r="F41" s="34"/>
    </row>
    <row r="42" spans="1:6" ht="16.5">
      <c r="A42" s="34"/>
      <c r="B42" s="62" t="s">
        <v>162</v>
      </c>
      <c r="C42" s="65">
        <v>38</v>
      </c>
      <c r="D42" s="64">
        <v>7.0000000000000001E-3</v>
      </c>
      <c r="E42" s="34"/>
      <c r="F42" s="34"/>
    </row>
    <row r="43" spans="1:6" ht="16.5">
      <c r="A43" s="34"/>
      <c r="B43" s="62" t="s">
        <v>147</v>
      </c>
      <c r="C43" s="65">
        <v>35</v>
      </c>
      <c r="D43" s="64">
        <v>6.0000000000000001E-3</v>
      </c>
      <c r="E43" s="34"/>
      <c r="F43" s="34"/>
    </row>
    <row r="44" spans="1:6" ht="16.5">
      <c r="A44" s="34"/>
      <c r="B44" s="62" t="s">
        <v>184</v>
      </c>
      <c r="C44" s="65">
        <v>35</v>
      </c>
      <c r="D44" s="64">
        <v>6.0000000000000001E-3</v>
      </c>
      <c r="E44" s="34"/>
      <c r="F44" s="34"/>
    </row>
    <row r="45" spans="1:6" ht="16.5">
      <c r="A45" s="34"/>
      <c r="B45" s="62" t="s">
        <v>178</v>
      </c>
      <c r="C45" s="65">
        <v>32</v>
      </c>
      <c r="D45" s="64">
        <v>6.0000000000000001E-3</v>
      </c>
      <c r="E45" s="34"/>
      <c r="F45" s="34"/>
    </row>
    <row r="46" spans="1:6" ht="16.5">
      <c r="A46" s="34"/>
      <c r="B46" s="62" t="s">
        <v>158</v>
      </c>
      <c r="C46" s="65">
        <v>31</v>
      </c>
      <c r="D46" s="64">
        <v>6.0000000000000001E-3</v>
      </c>
      <c r="E46" s="34"/>
      <c r="F46" s="34"/>
    </row>
    <row r="47" spans="1:6" ht="16.5">
      <c r="A47" s="34"/>
      <c r="B47" s="62" t="s">
        <v>183</v>
      </c>
      <c r="C47" s="65">
        <v>30</v>
      </c>
      <c r="D47" s="64">
        <v>5.0000000000000001E-3</v>
      </c>
      <c r="E47" s="34"/>
      <c r="F47" s="34"/>
    </row>
    <row r="48" spans="1:6" ht="16.5">
      <c r="A48" s="34"/>
      <c r="B48" s="62" t="s">
        <v>161</v>
      </c>
      <c r="C48" s="65">
        <v>28</v>
      </c>
      <c r="D48" s="64">
        <v>5.0000000000000001E-3</v>
      </c>
      <c r="E48" s="34"/>
      <c r="F48" s="34"/>
    </row>
    <row r="49" spans="1:6" ht="16.5">
      <c r="A49" s="34"/>
      <c r="B49" s="62" t="s">
        <v>171</v>
      </c>
      <c r="C49" s="65">
        <v>28</v>
      </c>
      <c r="D49" s="64">
        <v>5.0000000000000001E-3</v>
      </c>
      <c r="E49" s="34"/>
      <c r="F49" s="34"/>
    </row>
    <row r="50" spans="1:6" ht="16.5">
      <c r="A50" s="34"/>
      <c r="B50" s="62" t="s">
        <v>169</v>
      </c>
      <c r="C50" s="65">
        <v>25</v>
      </c>
      <c r="D50" s="64">
        <v>4.0000000000000001E-3</v>
      </c>
      <c r="E50" s="34"/>
      <c r="F50" s="34"/>
    </row>
    <row r="51" spans="1:6" ht="16.5">
      <c r="A51" s="34"/>
      <c r="B51" s="62" t="s">
        <v>188</v>
      </c>
      <c r="C51" s="65">
        <v>23</v>
      </c>
      <c r="D51" s="64">
        <v>4.0000000000000001E-3</v>
      </c>
      <c r="E51" s="34"/>
      <c r="F51" s="34"/>
    </row>
    <row r="52" spans="1:6" ht="16.5">
      <c r="A52" s="34"/>
      <c r="B52" s="62" t="s">
        <v>132</v>
      </c>
      <c r="C52" s="65">
        <v>20</v>
      </c>
      <c r="D52" s="64">
        <v>4.0000000000000001E-3</v>
      </c>
      <c r="E52" s="34"/>
      <c r="F52" s="34"/>
    </row>
    <row r="53" spans="1:6" ht="16.5">
      <c r="A53" s="34"/>
      <c r="B53" s="62" t="s">
        <v>175</v>
      </c>
      <c r="C53" s="65">
        <v>20</v>
      </c>
      <c r="D53" s="64">
        <v>4.0000000000000001E-3</v>
      </c>
      <c r="E53" s="34"/>
      <c r="F53" s="34"/>
    </row>
    <row r="54" spans="1:6" ht="16.5">
      <c r="A54" s="34"/>
      <c r="B54" s="62" t="s">
        <v>177</v>
      </c>
      <c r="C54" s="65">
        <v>20</v>
      </c>
      <c r="D54" s="64">
        <v>4.0000000000000001E-3</v>
      </c>
      <c r="E54" s="34"/>
      <c r="F54" s="34"/>
    </row>
    <row r="55" spans="1:6" ht="16.5">
      <c r="A55" s="34"/>
      <c r="B55" s="62" t="s">
        <v>176</v>
      </c>
      <c r="C55" s="65">
        <v>19</v>
      </c>
      <c r="D55" s="64">
        <v>3.0000000000000001E-3</v>
      </c>
      <c r="E55" s="34"/>
      <c r="F55" s="34"/>
    </row>
    <row r="56" spans="1:6" ht="16.5">
      <c r="A56" s="34"/>
      <c r="B56" s="62" t="s">
        <v>157</v>
      </c>
      <c r="C56" s="65">
        <v>18</v>
      </c>
      <c r="D56" s="64">
        <v>3.0000000000000001E-3</v>
      </c>
      <c r="E56" s="34"/>
      <c r="F56" s="34"/>
    </row>
    <row r="57" spans="1:6" ht="16.5">
      <c r="A57" s="34"/>
      <c r="B57" s="62" t="s">
        <v>137</v>
      </c>
      <c r="C57" s="65">
        <v>17</v>
      </c>
      <c r="D57" s="64">
        <v>3.0000000000000001E-3</v>
      </c>
      <c r="E57" s="34"/>
      <c r="F57" s="34"/>
    </row>
    <row r="58" spans="1:6" ht="16.5">
      <c r="A58" s="34"/>
      <c r="B58" s="62" t="s">
        <v>160</v>
      </c>
      <c r="C58" s="65">
        <v>16</v>
      </c>
      <c r="D58" s="64">
        <v>3.0000000000000001E-3</v>
      </c>
      <c r="E58" s="34"/>
      <c r="F58" s="34"/>
    </row>
    <row r="59" spans="1:6" ht="16.5">
      <c r="A59" s="34"/>
      <c r="B59" s="62" t="s">
        <v>168</v>
      </c>
      <c r="C59" s="65">
        <v>15</v>
      </c>
      <c r="D59" s="64">
        <v>3.0000000000000001E-3</v>
      </c>
      <c r="E59" s="34"/>
      <c r="F59" s="34"/>
    </row>
    <row r="60" spans="1:6" ht="16.5">
      <c r="A60" s="34"/>
      <c r="B60" s="62" t="s">
        <v>164</v>
      </c>
      <c r="C60" s="65">
        <v>10</v>
      </c>
      <c r="D60" s="64">
        <v>2E-3</v>
      </c>
      <c r="E60" s="34"/>
      <c r="F60" s="34"/>
    </row>
    <row r="61" spans="1:6" ht="16.5">
      <c r="A61" s="34"/>
      <c r="B61" s="62" t="s">
        <v>148</v>
      </c>
      <c r="C61" s="65">
        <v>10</v>
      </c>
      <c r="D61" s="64">
        <v>2E-3</v>
      </c>
      <c r="E61" s="34"/>
      <c r="F61" s="34"/>
    </row>
    <row r="62" spans="1:6" ht="16.5">
      <c r="A62" s="34"/>
      <c r="B62" s="62" t="s">
        <v>166</v>
      </c>
      <c r="C62" s="65">
        <v>9</v>
      </c>
      <c r="D62" s="64">
        <v>2E-3</v>
      </c>
      <c r="E62" s="34"/>
      <c r="F62" s="34"/>
    </row>
    <row r="63" spans="1:6" ht="16.5">
      <c r="A63" s="34"/>
      <c r="B63" s="62" t="s">
        <v>186</v>
      </c>
      <c r="C63" s="65">
        <v>9</v>
      </c>
      <c r="D63" s="64">
        <v>2E-3</v>
      </c>
      <c r="E63" s="34"/>
      <c r="F63" s="34"/>
    </row>
    <row r="64" spans="1:6" ht="16.5">
      <c r="A64" s="34"/>
      <c r="B64" s="62" t="s">
        <v>174</v>
      </c>
      <c r="C64" s="65">
        <v>9</v>
      </c>
      <c r="D64" s="64">
        <v>2E-3</v>
      </c>
      <c r="E64" s="34"/>
      <c r="F64" s="34"/>
    </row>
    <row r="65" spans="1:6" ht="16.5">
      <c r="A65" s="34"/>
      <c r="B65" s="62" t="s">
        <v>187</v>
      </c>
      <c r="C65" s="65">
        <v>9</v>
      </c>
      <c r="D65" s="64">
        <v>2E-3</v>
      </c>
      <c r="E65" s="34"/>
      <c r="F65" s="34"/>
    </row>
    <row r="66" spans="1:6" ht="16.5">
      <c r="A66" s="34"/>
      <c r="B66" s="62" t="s">
        <v>163</v>
      </c>
      <c r="C66" s="65">
        <v>7</v>
      </c>
      <c r="D66" s="64">
        <v>1E-3</v>
      </c>
      <c r="E66" s="34"/>
      <c r="F66" s="34"/>
    </row>
    <row r="67" spans="1:6" ht="16.5">
      <c r="A67" s="34"/>
      <c r="B67" s="62" t="s">
        <v>189</v>
      </c>
      <c r="C67" s="65">
        <v>6</v>
      </c>
      <c r="D67" s="64">
        <v>1E-3</v>
      </c>
      <c r="E67" s="34"/>
      <c r="F67" s="34"/>
    </row>
    <row r="68" spans="1:6" ht="16.5">
      <c r="A68" s="34"/>
      <c r="B68" s="62" t="s">
        <v>179</v>
      </c>
      <c r="C68" s="65">
        <v>6</v>
      </c>
      <c r="D68" s="64">
        <v>1E-3</v>
      </c>
      <c r="E68" s="34"/>
      <c r="F68" s="34"/>
    </row>
    <row r="69" spans="1:6" ht="16.5">
      <c r="A69" s="34"/>
      <c r="B69" s="62" t="s">
        <v>172</v>
      </c>
      <c r="C69" s="65">
        <v>5</v>
      </c>
      <c r="D69" s="64">
        <v>1E-3</v>
      </c>
      <c r="E69" s="34"/>
      <c r="F69" s="34"/>
    </row>
    <row r="70" spans="1:6" ht="16.5">
      <c r="A70" s="34"/>
      <c r="B70" s="62" t="s">
        <v>185</v>
      </c>
      <c r="C70" s="65">
        <v>3</v>
      </c>
      <c r="D70" s="64">
        <v>1E-3</v>
      </c>
      <c r="E70" s="34"/>
      <c r="F70" s="34"/>
    </row>
    <row r="71" spans="1:6" ht="16.5">
      <c r="A71" s="34"/>
      <c r="B71" s="62" t="s">
        <v>173</v>
      </c>
      <c r="C71" s="65">
        <v>3</v>
      </c>
      <c r="D71" s="64">
        <v>1E-3</v>
      </c>
      <c r="E71" s="34"/>
      <c r="F71" s="34"/>
    </row>
    <row r="72" spans="1:6" ht="16.5">
      <c r="A72" s="34"/>
      <c r="B72" s="66" t="s">
        <v>287</v>
      </c>
      <c r="C72" s="40">
        <v>5612</v>
      </c>
      <c r="D72" s="67">
        <v>1</v>
      </c>
      <c r="E72" s="34"/>
      <c r="F72" s="34"/>
    </row>
    <row r="73" spans="1:6" ht="16.5">
      <c r="A73" s="34"/>
      <c r="B73" s="37"/>
      <c r="C73" s="36"/>
      <c r="D73" s="34"/>
      <c r="E73" s="34"/>
      <c r="F73" s="34"/>
    </row>
    <row r="74" spans="1:6" ht="16.5">
      <c r="A74" s="34"/>
      <c r="B74" s="35" t="s">
        <v>255</v>
      </c>
      <c r="C74" s="37"/>
      <c r="D74" s="34"/>
      <c r="E74" s="34"/>
      <c r="F74" s="34"/>
    </row>
    <row r="75" spans="1:6" ht="16.5">
      <c r="A75" s="34"/>
      <c r="B75" s="37" t="s">
        <v>18</v>
      </c>
      <c r="C75" s="38"/>
      <c r="D75" s="34"/>
      <c r="E75" s="34"/>
      <c r="F75" s="34"/>
    </row>
    <row r="76" spans="1:6" ht="16.5">
      <c r="A76" s="34"/>
      <c r="B76" s="38" t="s">
        <v>128</v>
      </c>
      <c r="C76" s="35"/>
      <c r="D76" s="34"/>
      <c r="E76" s="34"/>
      <c r="F76" s="34"/>
    </row>
    <row r="77" spans="1:6" ht="16.5">
      <c r="A77" s="34"/>
      <c r="B77" s="35" t="s">
        <v>17</v>
      </c>
      <c r="C77" s="35"/>
      <c r="D77" s="34"/>
      <c r="E77" s="34"/>
      <c r="F77" s="34"/>
    </row>
    <row r="78" spans="1:6" ht="16.5">
      <c r="A78" s="34"/>
      <c r="B78" s="35" t="s">
        <v>290</v>
      </c>
      <c r="C78" s="34"/>
      <c r="D78" s="34"/>
      <c r="E78" s="34"/>
      <c r="F78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3" fitToWidth="0" fitToHeight="0" orientation="portrait" r:id="rId1"/>
  <headerFooter>
    <oddFooter>&amp;C&amp;P de &amp;N</oddFooter>
  </headerFooter>
  <rowBreaks count="1" manualBreakCount="1">
    <brk id="42" max="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02"/>
  <sheetViews>
    <sheetView showGridLines="0" view="pageBreakPreview" zoomScale="90" zoomScaleNormal="100" zoomScaleSheetLayoutView="90" workbookViewId="0">
      <selection activeCell="C9" sqref="C9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43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4"/>
      <c r="C6" s="45"/>
      <c r="D6" s="45"/>
      <c r="E6" s="45"/>
    </row>
    <row r="7" spans="1:5" s="24" customFormat="1" ht="26.25" customHeight="1">
      <c r="A7" s="25"/>
      <c r="B7" s="96"/>
      <c r="C7" s="96"/>
      <c r="D7" s="96"/>
      <c r="E7" s="96"/>
    </row>
    <row r="8" spans="1:5" s="24" customFormat="1" ht="33" customHeight="1">
      <c r="A8" s="25"/>
      <c r="B8" s="96"/>
      <c r="C8" s="96"/>
      <c r="D8" s="96"/>
      <c r="E8" s="96"/>
    </row>
    <row r="9" spans="1:5" s="18" customFormat="1" ht="40.5" customHeight="1">
      <c r="B9" s="46" t="s">
        <v>25</v>
      </c>
      <c r="C9" s="47" t="s">
        <v>24</v>
      </c>
      <c r="D9" s="48" t="s">
        <v>20</v>
      </c>
      <c r="E9" s="46" t="s">
        <v>19</v>
      </c>
    </row>
    <row r="10" spans="1:5" ht="15" customHeight="1">
      <c r="B10" s="97" t="s">
        <v>90</v>
      </c>
      <c r="C10" s="62" t="s">
        <v>144</v>
      </c>
      <c r="D10" s="65">
        <v>221</v>
      </c>
      <c r="E10" s="64">
        <v>3.9E-2</v>
      </c>
    </row>
    <row r="11" spans="1:5" ht="15" customHeight="1">
      <c r="B11" s="97"/>
      <c r="C11" s="62" t="s">
        <v>134</v>
      </c>
      <c r="D11" s="65">
        <v>195</v>
      </c>
      <c r="E11" s="64">
        <v>3.5000000000000003E-2</v>
      </c>
    </row>
    <row r="12" spans="1:5" ht="15" customHeight="1">
      <c r="B12" s="97"/>
      <c r="C12" s="62" t="s">
        <v>135</v>
      </c>
      <c r="D12" s="65">
        <v>101</v>
      </c>
      <c r="E12" s="64">
        <v>1.7999999999999999E-2</v>
      </c>
    </row>
    <row r="13" spans="1:5" ht="15" customHeight="1">
      <c r="B13" s="97"/>
      <c r="C13" s="62" t="s">
        <v>133</v>
      </c>
      <c r="D13" s="65">
        <v>76</v>
      </c>
      <c r="E13" s="64">
        <v>1.4E-2</v>
      </c>
    </row>
    <row r="14" spans="1:5" ht="15" customHeight="1">
      <c r="B14" s="97"/>
      <c r="C14" s="62" t="s">
        <v>153</v>
      </c>
      <c r="D14" s="65">
        <v>55</v>
      </c>
      <c r="E14" s="64">
        <v>0.01</v>
      </c>
    </row>
    <row r="15" spans="1:5" ht="15" customHeight="1">
      <c r="B15" s="97"/>
      <c r="C15" s="62" t="s">
        <v>131</v>
      </c>
      <c r="D15" s="65">
        <v>53</v>
      </c>
      <c r="E15" s="64">
        <v>8.9999999999999993E-3</v>
      </c>
    </row>
    <row r="16" spans="1:5" ht="15" customHeight="1">
      <c r="B16" s="97"/>
      <c r="C16" s="62" t="s">
        <v>155</v>
      </c>
      <c r="D16" s="65">
        <v>52</v>
      </c>
      <c r="E16" s="64">
        <v>8.9999999999999993E-3</v>
      </c>
    </row>
    <row r="17" spans="2:5" ht="15" customHeight="1">
      <c r="B17" s="97"/>
      <c r="C17" s="62" t="s">
        <v>145</v>
      </c>
      <c r="D17" s="65">
        <v>49</v>
      </c>
      <c r="E17" s="64">
        <v>8.9999999999999993E-3</v>
      </c>
    </row>
    <row r="18" spans="2:5" ht="15" customHeight="1">
      <c r="B18" s="97"/>
      <c r="C18" s="62" t="s">
        <v>154</v>
      </c>
      <c r="D18" s="65">
        <v>45</v>
      </c>
      <c r="E18" s="64">
        <v>8.0000000000000002E-3</v>
      </c>
    </row>
    <row r="19" spans="2:5" ht="15" customHeight="1">
      <c r="B19" s="97"/>
      <c r="C19" s="62" t="s">
        <v>181</v>
      </c>
      <c r="D19" s="65">
        <v>30</v>
      </c>
      <c r="E19" s="64">
        <v>5.0000000000000001E-3</v>
      </c>
    </row>
    <row r="20" spans="2:5" ht="15" customHeight="1">
      <c r="B20" s="97"/>
      <c r="C20" s="62" t="s">
        <v>146</v>
      </c>
      <c r="D20" s="65">
        <v>28</v>
      </c>
      <c r="E20" s="64">
        <v>5.0000000000000001E-3</v>
      </c>
    </row>
    <row r="21" spans="2:5" ht="15" customHeight="1">
      <c r="B21" s="97"/>
      <c r="C21" s="62" t="s">
        <v>180</v>
      </c>
      <c r="D21" s="65">
        <v>26</v>
      </c>
      <c r="E21" s="64">
        <v>5.0000000000000001E-3</v>
      </c>
    </row>
    <row r="22" spans="2:5" ht="15" customHeight="1">
      <c r="B22" s="97"/>
      <c r="C22" s="62" t="s">
        <v>136</v>
      </c>
      <c r="D22" s="65">
        <v>22</v>
      </c>
      <c r="E22" s="64">
        <v>4.0000000000000001E-3</v>
      </c>
    </row>
    <row r="23" spans="2:5" ht="15" customHeight="1">
      <c r="B23" s="97"/>
      <c r="C23" s="62" t="s">
        <v>182</v>
      </c>
      <c r="D23" s="65">
        <v>19</v>
      </c>
      <c r="E23" s="64">
        <v>3.0000000000000001E-3</v>
      </c>
    </row>
    <row r="24" spans="2:5" ht="15" customHeight="1">
      <c r="B24" s="97"/>
      <c r="C24" s="62" t="s">
        <v>142</v>
      </c>
      <c r="D24" s="65">
        <v>18</v>
      </c>
      <c r="E24" s="64">
        <v>3.0000000000000001E-3</v>
      </c>
    </row>
    <row r="25" spans="2:5" ht="15" customHeight="1">
      <c r="B25" s="97"/>
      <c r="C25" s="62" t="s">
        <v>139</v>
      </c>
      <c r="D25" s="65">
        <v>15</v>
      </c>
      <c r="E25" s="64">
        <v>3.0000000000000001E-3</v>
      </c>
    </row>
    <row r="26" spans="2:5" ht="15" customHeight="1">
      <c r="B26" s="97"/>
      <c r="C26" s="62" t="s">
        <v>140</v>
      </c>
      <c r="D26" s="65">
        <v>15</v>
      </c>
      <c r="E26" s="64">
        <v>3.0000000000000001E-3</v>
      </c>
    </row>
    <row r="27" spans="2:5" ht="15" customHeight="1">
      <c r="B27" s="97"/>
      <c r="C27" s="62" t="s">
        <v>170</v>
      </c>
      <c r="D27" s="65">
        <v>13</v>
      </c>
      <c r="E27" s="64">
        <v>2E-3</v>
      </c>
    </row>
    <row r="28" spans="2:5" ht="15" customHeight="1">
      <c r="B28" s="97"/>
      <c r="C28" s="62" t="s">
        <v>156</v>
      </c>
      <c r="D28" s="65">
        <v>12</v>
      </c>
      <c r="E28" s="64">
        <v>2E-3</v>
      </c>
    </row>
    <row r="29" spans="2:5" ht="15" customHeight="1">
      <c r="B29" s="97"/>
      <c r="C29" s="62" t="s">
        <v>158</v>
      </c>
      <c r="D29" s="65">
        <v>12</v>
      </c>
      <c r="E29" s="64">
        <v>2E-3</v>
      </c>
    </row>
    <row r="30" spans="2:5" ht="15" customHeight="1">
      <c r="B30" s="97"/>
      <c r="C30" s="62" t="s">
        <v>167</v>
      </c>
      <c r="D30" s="65">
        <v>11</v>
      </c>
      <c r="E30" s="64">
        <v>2E-3</v>
      </c>
    </row>
    <row r="31" spans="2:5" ht="15" customHeight="1">
      <c r="B31" s="97"/>
      <c r="C31" s="62" t="s">
        <v>138</v>
      </c>
      <c r="D31" s="65">
        <v>11</v>
      </c>
      <c r="E31" s="64">
        <v>2E-3</v>
      </c>
    </row>
    <row r="32" spans="2:5" ht="15" customHeight="1">
      <c r="B32" s="97"/>
      <c r="C32" s="62" t="s">
        <v>141</v>
      </c>
      <c r="D32" s="65">
        <v>11</v>
      </c>
      <c r="E32" s="64">
        <v>2E-3</v>
      </c>
    </row>
    <row r="33" spans="2:5" ht="15" customHeight="1">
      <c r="B33" s="97"/>
      <c r="C33" s="62" t="s">
        <v>261</v>
      </c>
      <c r="D33" s="65">
        <v>10</v>
      </c>
      <c r="E33" s="64">
        <v>2E-3</v>
      </c>
    </row>
    <row r="34" spans="2:5" ht="15" customHeight="1">
      <c r="B34" s="97"/>
      <c r="C34" s="62" t="s">
        <v>143</v>
      </c>
      <c r="D34" s="65">
        <v>10</v>
      </c>
      <c r="E34" s="64">
        <v>2E-3</v>
      </c>
    </row>
    <row r="35" spans="2:5" ht="15" customHeight="1">
      <c r="B35" s="97"/>
      <c r="C35" s="62" t="s">
        <v>150</v>
      </c>
      <c r="D35" s="65">
        <v>10</v>
      </c>
      <c r="E35" s="64">
        <v>2E-3</v>
      </c>
    </row>
    <row r="36" spans="2:5" ht="15" customHeight="1">
      <c r="B36" s="97"/>
      <c r="C36" s="62" t="s">
        <v>161</v>
      </c>
      <c r="D36" s="65">
        <v>9</v>
      </c>
      <c r="E36" s="64">
        <v>2E-3</v>
      </c>
    </row>
    <row r="37" spans="2:5" ht="15" customHeight="1">
      <c r="B37" s="97"/>
      <c r="C37" s="62" t="s">
        <v>171</v>
      </c>
      <c r="D37" s="65">
        <v>8</v>
      </c>
      <c r="E37" s="64">
        <v>1E-3</v>
      </c>
    </row>
    <row r="38" spans="2:5" ht="15" customHeight="1">
      <c r="B38" s="97"/>
      <c r="C38" s="62" t="s">
        <v>178</v>
      </c>
      <c r="D38" s="65">
        <v>8</v>
      </c>
      <c r="E38" s="64">
        <v>1E-3</v>
      </c>
    </row>
    <row r="39" spans="2:5" ht="15" customHeight="1">
      <c r="B39" s="97"/>
      <c r="C39" s="62" t="s">
        <v>183</v>
      </c>
      <c r="D39" s="65">
        <v>8</v>
      </c>
      <c r="E39" s="64">
        <v>1E-3</v>
      </c>
    </row>
    <row r="40" spans="2:5" ht="15" customHeight="1">
      <c r="B40" s="97"/>
      <c r="C40" s="62" t="s">
        <v>151</v>
      </c>
      <c r="D40" s="65">
        <v>8</v>
      </c>
      <c r="E40" s="64">
        <v>1E-3</v>
      </c>
    </row>
    <row r="41" spans="2:5" ht="15" customHeight="1">
      <c r="B41" s="97"/>
      <c r="C41" s="62" t="s">
        <v>184</v>
      </c>
      <c r="D41" s="65">
        <v>8</v>
      </c>
      <c r="E41" s="64">
        <v>1E-3</v>
      </c>
    </row>
    <row r="42" spans="2:5" ht="15" customHeight="1">
      <c r="B42" s="97"/>
      <c r="C42" s="62" t="s">
        <v>165</v>
      </c>
      <c r="D42" s="65">
        <v>7</v>
      </c>
      <c r="E42" s="64">
        <v>1E-3</v>
      </c>
    </row>
    <row r="43" spans="2:5" ht="15" customHeight="1">
      <c r="B43" s="97"/>
      <c r="C43" s="62" t="s">
        <v>168</v>
      </c>
      <c r="D43" s="65">
        <v>7</v>
      </c>
      <c r="E43" s="64">
        <v>1E-3</v>
      </c>
    </row>
    <row r="44" spans="2:5" ht="15" customHeight="1">
      <c r="B44" s="97"/>
      <c r="C44" s="62" t="s">
        <v>157</v>
      </c>
      <c r="D44" s="65">
        <v>7</v>
      </c>
      <c r="E44" s="64">
        <v>1E-3</v>
      </c>
    </row>
    <row r="45" spans="2:5" ht="15" customHeight="1">
      <c r="B45" s="97"/>
      <c r="C45" s="62" t="s">
        <v>162</v>
      </c>
      <c r="D45" s="65">
        <v>6</v>
      </c>
      <c r="E45" s="64">
        <v>1E-3</v>
      </c>
    </row>
    <row r="46" spans="2:5" ht="15" customHeight="1">
      <c r="B46" s="97"/>
      <c r="C46" s="62" t="s">
        <v>152</v>
      </c>
      <c r="D46" s="65">
        <v>6</v>
      </c>
      <c r="E46" s="64">
        <v>1E-3</v>
      </c>
    </row>
    <row r="47" spans="2:5" ht="15" customHeight="1">
      <c r="B47" s="97"/>
      <c r="C47" s="62" t="s">
        <v>160</v>
      </c>
      <c r="D47" s="65">
        <v>5</v>
      </c>
      <c r="E47" s="64">
        <v>1E-3</v>
      </c>
    </row>
    <row r="48" spans="2:5" ht="15" customHeight="1">
      <c r="B48" s="97"/>
      <c r="C48" s="62" t="s">
        <v>132</v>
      </c>
      <c r="D48" s="65">
        <v>5</v>
      </c>
      <c r="E48" s="64">
        <v>1E-3</v>
      </c>
    </row>
    <row r="49" spans="2:5" ht="15" customHeight="1">
      <c r="B49" s="97"/>
      <c r="C49" s="62" t="s">
        <v>147</v>
      </c>
      <c r="D49" s="65">
        <v>5</v>
      </c>
      <c r="E49" s="64">
        <v>1E-3</v>
      </c>
    </row>
    <row r="50" spans="2:5" ht="15" customHeight="1">
      <c r="B50" s="97"/>
      <c r="C50" s="62" t="s">
        <v>164</v>
      </c>
      <c r="D50" s="65">
        <v>4</v>
      </c>
      <c r="E50" s="64">
        <v>1E-3</v>
      </c>
    </row>
    <row r="51" spans="2:5" ht="15" customHeight="1">
      <c r="B51" s="97"/>
      <c r="C51" s="62" t="s">
        <v>188</v>
      </c>
      <c r="D51" s="65">
        <v>4</v>
      </c>
      <c r="E51" s="64">
        <v>1E-3</v>
      </c>
    </row>
    <row r="52" spans="2:5" ht="15" customHeight="1">
      <c r="B52" s="97"/>
      <c r="C52" s="62" t="s">
        <v>179</v>
      </c>
      <c r="D52" s="65">
        <v>4</v>
      </c>
      <c r="E52" s="64">
        <v>1E-3</v>
      </c>
    </row>
    <row r="53" spans="2:5" ht="15" customHeight="1">
      <c r="B53" s="97"/>
      <c r="C53" s="62" t="s">
        <v>166</v>
      </c>
      <c r="D53" s="65">
        <v>3</v>
      </c>
      <c r="E53" s="64">
        <v>1E-3</v>
      </c>
    </row>
    <row r="54" spans="2:5" ht="15" customHeight="1">
      <c r="B54" s="97"/>
      <c r="C54" s="62" t="s">
        <v>137</v>
      </c>
      <c r="D54" s="65">
        <v>3</v>
      </c>
      <c r="E54" s="64">
        <v>1E-3</v>
      </c>
    </row>
    <row r="55" spans="2:5" ht="15" customHeight="1">
      <c r="B55" s="97"/>
      <c r="C55" s="62" t="s">
        <v>169</v>
      </c>
      <c r="D55" s="65">
        <v>3</v>
      </c>
      <c r="E55" s="64">
        <v>1E-3</v>
      </c>
    </row>
    <row r="56" spans="2:5" ht="15" customHeight="1">
      <c r="B56" s="97"/>
      <c r="C56" s="62" t="s">
        <v>175</v>
      </c>
      <c r="D56" s="65">
        <v>3</v>
      </c>
      <c r="E56" s="64">
        <v>1E-3</v>
      </c>
    </row>
    <row r="57" spans="2:5" ht="15" customHeight="1">
      <c r="B57" s="97"/>
      <c r="C57" s="62" t="s">
        <v>177</v>
      </c>
      <c r="D57" s="65">
        <v>3</v>
      </c>
      <c r="E57" s="64">
        <v>1E-3</v>
      </c>
    </row>
    <row r="58" spans="2:5" ht="15" customHeight="1">
      <c r="B58" s="97"/>
      <c r="C58" s="62" t="s">
        <v>159</v>
      </c>
      <c r="D58" s="65">
        <v>2</v>
      </c>
      <c r="E58" s="64">
        <v>0</v>
      </c>
    </row>
    <row r="59" spans="2:5" ht="15" customHeight="1">
      <c r="B59" s="97"/>
      <c r="C59" s="62" t="s">
        <v>187</v>
      </c>
      <c r="D59" s="65">
        <v>2</v>
      </c>
      <c r="E59" s="64">
        <v>0</v>
      </c>
    </row>
    <row r="60" spans="2:5" ht="15" customHeight="1">
      <c r="B60" s="97"/>
      <c r="C60" s="62" t="s">
        <v>176</v>
      </c>
      <c r="D60" s="65">
        <v>2</v>
      </c>
      <c r="E60" s="64">
        <v>0</v>
      </c>
    </row>
    <row r="61" spans="2:5" ht="15" customHeight="1">
      <c r="B61" s="97"/>
      <c r="C61" s="62" t="s">
        <v>148</v>
      </c>
      <c r="D61" s="65">
        <v>1</v>
      </c>
      <c r="E61" s="64">
        <v>0</v>
      </c>
    </row>
    <row r="62" spans="2:5" ht="15" customHeight="1">
      <c r="B62" s="97"/>
      <c r="C62" s="62" t="s">
        <v>172</v>
      </c>
      <c r="D62" s="65">
        <v>1</v>
      </c>
      <c r="E62" s="64">
        <v>0</v>
      </c>
    </row>
    <row r="63" spans="2:5" ht="15" customHeight="1">
      <c r="B63" s="97"/>
      <c r="C63" s="62" t="s">
        <v>173</v>
      </c>
      <c r="D63" s="65">
        <v>1</v>
      </c>
      <c r="E63" s="64">
        <v>0</v>
      </c>
    </row>
    <row r="64" spans="2:5" ht="15" customHeight="1">
      <c r="B64" s="97"/>
      <c r="C64" s="73" t="s">
        <v>288</v>
      </c>
      <c r="D64" s="71">
        <v>1253</v>
      </c>
      <c r="E64" s="72">
        <v>0.223</v>
      </c>
    </row>
    <row r="65" spans="2:5" ht="15" customHeight="1">
      <c r="B65" s="97" t="s">
        <v>114</v>
      </c>
      <c r="C65" s="62" t="s">
        <v>144</v>
      </c>
      <c r="D65" s="65">
        <v>163</v>
      </c>
      <c r="E65" s="64">
        <v>2.9000000000000001E-2</v>
      </c>
    </row>
    <row r="66" spans="2:5" ht="15" customHeight="1">
      <c r="B66" s="97"/>
      <c r="C66" s="62" t="s">
        <v>153</v>
      </c>
      <c r="D66" s="65">
        <v>136</v>
      </c>
      <c r="E66" s="64">
        <v>2.4E-2</v>
      </c>
    </row>
    <row r="67" spans="2:5" ht="15" customHeight="1">
      <c r="B67" s="97"/>
      <c r="C67" s="62" t="s">
        <v>134</v>
      </c>
      <c r="D67" s="65">
        <v>75</v>
      </c>
      <c r="E67" s="64">
        <v>1.2999999999999999E-2</v>
      </c>
    </row>
    <row r="68" spans="2:5" ht="15" customHeight="1">
      <c r="B68" s="97"/>
      <c r="C68" s="62" t="s">
        <v>180</v>
      </c>
      <c r="D68" s="65">
        <v>70</v>
      </c>
      <c r="E68" s="64">
        <v>1.2E-2</v>
      </c>
    </row>
    <row r="69" spans="2:5" ht="15" customHeight="1">
      <c r="B69" s="97"/>
      <c r="C69" s="62" t="s">
        <v>139</v>
      </c>
      <c r="D69" s="65">
        <v>68</v>
      </c>
      <c r="E69" s="64">
        <v>1.2E-2</v>
      </c>
    </row>
    <row r="70" spans="2:5" ht="15" customHeight="1">
      <c r="B70" s="97"/>
      <c r="C70" s="62" t="s">
        <v>136</v>
      </c>
      <c r="D70" s="65">
        <v>51</v>
      </c>
      <c r="E70" s="64">
        <v>8.9999999999999993E-3</v>
      </c>
    </row>
    <row r="71" spans="2:5" ht="15" customHeight="1">
      <c r="B71" s="97"/>
      <c r="C71" s="62" t="s">
        <v>141</v>
      </c>
      <c r="D71" s="65">
        <v>39</v>
      </c>
      <c r="E71" s="64">
        <v>7.0000000000000001E-3</v>
      </c>
    </row>
    <row r="72" spans="2:5" ht="15" customHeight="1">
      <c r="B72" s="97"/>
      <c r="C72" s="62" t="s">
        <v>170</v>
      </c>
      <c r="D72" s="65">
        <v>32</v>
      </c>
      <c r="E72" s="64">
        <v>6.0000000000000001E-3</v>
      </c>
    </row>
    <row r="73" spans="2:5" ht="15" customHeight="1">
      <c r="B73" s="97"/>
      <c r="C73" s="62" t="s">
        <v>155</v>
      </c>
      <c r="D73" s="65">
        <v>29</v>
      </c>
      <c r="E73" s="64">
        <v>5.0000000000000001E-3</v>
      </c>
    </row>
    <row r="74" spans="2:5" ht="15" customHeight="1">
      <c r="B74" s="97"/>
      <c r="C74" s="62" t="s">
        <v>140</v>
      </c>
      <c r="D74" s="65">
        <v>27</v>
      </c>
      <c r="E74" s="64">
        <v>5.0000000000000001E-3</v>
      </c>
    </row>
    <row r="75" spans="2:5" ht="15" customHeight="1">
      <c r="B75" s="97"/>
      <c r="C75" s="62" t="s">
        <v>152</v>
      </c>
      <c r="D75" s="65">
        <v>26</v>
      </c>
      <c r="E75" s="64">
        <v>5.0000000000000001E-3</v>
      </c>
    </row>
    <row r="76" spans="2:5" ht="15" customHeight="1">
      <c r="B76" s="97"/>
      <c r="C76" s="62" t="s">
        <v>135</v>
      </c>
      <c r="D76" s="65">
        <v>20</v>
      </c>
      <c r="E76" s="64">
        <v>4.0000000000000001E-3</v>
      </c>
    </row>
    <row r="77" spans="2:5" ht="15" customHeight="1">
      <c r="B77" s="97"/>
      <c r="C77" s="62" t="s">
        <v>261</v>
      </c>
      <c r="D77" s="65">
        <v>19</v>
      </c>
      <c r="E77" s="64">
        <v>3.0000000000000001E-3</v>
      </c>
    </row>
    <row r="78" spans="2:5" ht="15" customHeight="1">
      <c r="B78" s="97"/>
      <c r="C78" s="62" t="s">
        <v>182</v>
      </c>
      <c r="D78" s="65">
        <v>18</v>
      </c>
      <c r="E78" s="64">
        <v>3.0000000000000001E-3</v>
      </c>
    </row>
    <row r="79" spans="2:5" ht="15" customHeight="1">
      <c r="B79" s="97"/>
      <c r="C79" s="62" t="s">
        <v>131</v>
      </c>
      <c r="D79" s="65">
        <v>17</v>
      </c>
      <c r="E79" s="64">
        <v>3.0000000000000001E-3</v>
      </c>
    </row>
    <row r="80" spans="2:5" ht="15" customHeight="1">
      <c r="B80" s="97"/>
      <c r="C80" s="62" t="s">
        <v>142</v>
      </c>
      <c r="D80" s="65">
        <v>13</v>
      </c>
      <c r="E80" s="64">
        <v>2E-3</v>
      </c>
    </row>
    <row r="81" spans="2:5" ht="15" customHeight="1">
      <c r="B81" s="97"/>
      <c r="C81" s="62" t="s">
        <v>145</v>
      </c>
      <c r="D81" s="65">
        <v>13</v>
      </c>
      <c r="E81" s="64">
        <v>2E-3</v>
      </c>
    </row>
    <row r="82" spans="2:5" ht="15" customHeight="1">
      <c r="B82" s="97"/>
      <c r="C82" s="62" t="s">
        <v>176</v>
      </c>
      <c r="D82" s="65">
        <v>12</v>
      </c>
      <c r="E82" s="64">
        <v>2E-3</v>
      </c>
    </row>
    <row r="83" spans="2:5" ht="15" customHeight="1">
      <c r="B83" s="97"/>
      <c r="C83" s="62" t="s">
        <v>133</v>
      </c>
      <c r="D83" s="65">
        <v>8</v>
      </c>
      <c r="E83" s="64">
        <v>1E-3</v>
      </c>
    </row>
    <row r="84" spans="2:5" ht="15" customHeight="1">
      <c r="B84" s="97"/>
      <c r="C84" s="62" t="s">
        <v>165</v>
      </c>
      <c r="D84" s="65">
        <v>8</v>
      </c>
      <c r="E84" s="64">
        <v>1E-3</v>
      </c>
    </row>
    <row r="85" spans="2:5" ht="15" customHeight="1">
      <c r="B85" s="97"/>
      <c r="C85" s="62" t="s">
        <v>159</v>
      </c>
      <c r="D85" s="65">
        <v>7</v>
      </c>
      <c r="E85" s="64">
        <v>1E-3</v>
      </c>
    </row>
    <row r="86" spans="2:5" ht="15" customHeight="1">
      <c r="B86" s="97"/>
      <c r="C86" s="62" t="s">
        <v>167</v>
      </c>
      <c r="D86" s="65">
        <v>7</v>
      </c>
      <c r="E86" s="64">
        <v>1E-3</v>
      </c>
    </row>
    <row r="87" spans="2:5" ht="15" customHeight="1">
      <c r="B87" s="97"/>
      <c r="C87" s="62" t="s">
        <v>156</v>
      </c>
      <c r="D87" s="65">
        <v>7</v>
      </c>
      <c r="E87" s="64">
        <v>1E-3</v>
      </c>
    </row>
    <row r="88" spans="2:5" ht="15" customHeight="1">
      <c r="B88" s="97"/>
      <c r="C88" s="62" t="s">
        <v>178</v>
      </c>
      <c r="D88" s="65">
        <v>6</v>
      </c>
      <c r="E88" s="64">
        <v>1E-3</v>
      </c>
    </row>
    <row r="89" spans="2:5" ht="15" customHeight="1">
      <c r="B89" s="97"/>
      <c r="C89" s="62" t="s">
        <v>146</v>
      </c>
      <c r="D89" s="65">
        <v>5</v>
      </c>
      <c r="E89" s="64">
        <v>1E-3</v>
      </c>
    </row>
    <row r="90" spans="2:5" ht="15" customHeight="1">
      <c r="B90" s="97"/>
      <c r="C90" s="62" t="s">
        <v>181</v>
      </c>
      <c r="D90" s="65">
        <v>5</v>
      </c>
      <c r="E90" s="64">
        <v>1E-3</v>
      </c>
    </row>
    <row r="91" spans="2:5" ht="15" customHeight="1">
      <c r="B91" s="97"/>
      <c r="C91" s="62" t="s">
        <v>149</v>
      </c>
      <c r="D91" s="65">
        <v>4</v>
      </c>
      <c r="E91" s="64">
        <v>1E-3</v>
      </c>
    </row>
    <row r="92" spans="2:5" ht="15" customHeight="1">
      <c r="B92" s="97"/>
      <c r="C92" s="62" t="s">
        <v>171</v>
      </c>
      <c r="D92" s="65">
        <v>4</v>
      </c>
      <c r="E92" s="64">
        <v>1E-3</v>
      </c>
    </row>
    <row r="93" spans="2:5" ht="15" customHeight="1">
      <c r="B93" s="97"/>
      <c r="C93" s="62" t="s">
        <v>183</v>
      </c>
      <c r="D93" s="65">
        <v>4</v>
      </c>
      <c r="E93" s="64">
        <v>1E-3</v>
      </c>
    </row>
    <row r="94" spans="2:5" ht="15" customHeight="1">
      <c r="B94" s="97"/>
      <c r="C94" s="62" t="s">
        <v>150</v>
      </c>
      <c r="D94" s="65">
        <v>4</v>
      </c>
      <c r="E94" s="64">
        <v>1E-3</v>
      </c>
    </row>
    <row r="95" spans="2:5" ht="15" customHeight="1">
      <c r="B95" s="97"/>
      <c r="C95" s="62" t="s">
        <v>147</v>
      </c>
      <c r="D95" s="65">
        <v>3</v>
      </c>
      <c r="E95" s="64">
        <v>1E-3</v>
      </c>
    </row>
    <row r="96" spans="2:5" ht="15" customHeight="1">
      <c r="B96" s="97"/>
      <c r="C96" s="62" t="s">
        <v>138</v>
      </c>
      <c r="D96" s="65">
        <v>3</v>
      </c>
      <c r="E96" s="64">
        <v>1E-3</v>
      </c>
    </row>
    <row r="97" spans="2:5" ht="15" customHeight="1">
      <c r="B97" s="97"/>
      <c r="C97" s="62" t="s">
        <v>187</v>
      </c>
      <c r="D97" s="65">
        <v>3</v>
      </c>
      <c r="E97" s="64">
        <v>1E-3</v>
      </c>
    </row>
    <row r="98" spans="2:5" ht="15" customHeight="1">
      <c r="B98" s="97"/>
      <c r="C98" s="62" t="s">
        <v>177</v>
      </c>
      <c r="D98" s="65">
        <v>3</v>
      </c>
      <c r="E98" s="64">
        <v>1E-3</v>
      </c>
    </row>
    <row r="99" spans="2:5" ht="15" customHeight="1">
      <c r="B99" s="97"/>
      <c r="C99" s="62" t="s">
        <v>158</v>
      </c>
      <c r="D99" s="65">
        <v>3</v>
      </c>
      <c r="E99" s="64">
        <v>1E-3</v>
      </c>
    </row>
    <row r="100" spans="2:5" ht="15" customHeight="1">
      <c r="B100" s="97"/>
      <c r="C100" s="62" t="s">
        <v>161</v>
      </c>
      <c r="D100" s="65">
        <v>2</v>
      </c>
      <c r="E100" s="64">
        <v>0</v>
      </c>
    </row>
    <row r="101" spans="2:5" ht="15" customHeight="1">
      <c r="B101" s="97"/>
      <c r="C101" s="62" t="s">
        <v>132</v>
      </c>
      <c r="D101" s="65">
        <v>2</v>
      </c>
      <c r="E101" s="64">
        <v>0</v>
      </c>
    </row>
    <row r="102" spans="2:5" ht="15" customHeight="1">
      <c r="B102" s="97"/>
      <c r="C102" s="62" t="s">
        <v>162</v>
      </c>
      <c r="D102" s="65">
        <v>2</v>
      </c>
      <c r="E102" s="64">
        <v>0</v>
      </c>
    </row>
    <row r="103" spans="2:5" ht="15" customHeight="1">
      <c r="B103" s="97"/>
      <c r="C103" s="62" t="s">
        <v>185</v>
      </c>
      <c r="D103" s="65">
        <v>2</v>
      </c>
      <c r="E103" s="64">
        <v>0</v>
      </c>
    </row>
    <row r="104" spans="2:5" ht="15" customHeight="1">
      <c r="B104" s="97"/>
      <c r="C104" s="62" t="s">
        <v>175</v>
      </c>
      <c r="D104" s="65">
        <v>2</v>
      </c>
      <c r="E104" s="64">
        <v>0</v>
      </c>
    </row>
    <row r="105" spans="2:5" ht="15" customHeight="1">
      <c r="B105" s="97"/>
      <c r="C105" s="62" t="s">
        <v>189</v>
      </c>
      <c r="D105" s="65">
        <v>2</v>
      </c>
      <c r="E105" s="64">
        <v>0</v>
      </c>
    </row>
    <row r="106" spans="2:5" ht="15" customHeight="1">
      <c r="B106" s="97"/>
      <c r="C106" s="62" t="s">
        <v>143</v>
      </c>
      <c r="D106" s="65">
        <v>2</v>
      </c>
      <c r="E106" s="64">
        <v>0</v>
      </c>
    </row>
    <row r="107" spans="2:5" ht="15" customHeight="1">
      <c r="B107" s="97"/>
      <c r="C107" s="62" t="s">
        <v>184</v>
      </c>
      <c r="D107" s="65">
        <v>2</v>
      </c>
      <c r="E107" s="64">
        <v>0</v>
      </c>
    </row>
    <row r="108" spans="2:5" ht="15" customHeight="1">
      <c r="B108" s="97"/>
      <c r="C108" s="62" t="s">
        <v>154</v>
      </c>
      <c r="D108" s="65">
        <v>2</v>
      </c>
      <c r="E108" s="64">
        <v>0</v>
      </c>
    </row>
    <row r="109" spans="2:5" ht="15" customHeight="1">
      <c r="B109" s="97"/>
      <c r="C109" s="62" t="s">
        <v>160</v>
      </c>
      <c r="D109" s="65">
        <v>1</v>
      </c>
      <c r="E109" s="64">
        <v>0</v>
      </c>
    </row>
    <row r="110" spans="2:5" ht="15" customHeight="1">
      <c r="B110" s="97"/>
      <c r="C110" s="62" t="s">
        <v>163</v>
      </c>
      <c r="D110" s="65">
        <v>1</v>
      </c>
      <c r="E110" s="64">
        <v>0</v>
      </c>
    </row>
    <row r="111" spans="2:5" ht="15" customHeight="1">
      <c r="B111" s="97"/>
      <c r="C111" s="62" t="s">
        <v>137</v>
      </c>
      <c r="D111" s="65">
        <v>1</v>
      </c>
      <c r="E111" s="64">
        <v>0</v>
      </c>
    </row>
    <row r="112" spans="2:5" ht="15" customHeight="1">
      <c r="B112" s="97"/>
      <c r="C112" s="62" t="s">
        <v>148</v>
      </c>
      <c r="D112" s="65">
        <v>1</v>
      </c>
      <c r="E112" s="64">
        <v>0</v>
      </c>
    </row>
    <row r="113" spans="2:5" ht="15" customHeight="1">
      <c r="B113" s="97"/>
      <c r="C113" s="62" t="s">
        <v>186</v>
      </c>
      <c r="D113" s="65">
        <v>1</v>
      </c>
      <c r="E113" s="64">
        <v>0</v>
      </c>
    </row>
    <row r="114" spans="2:5" ht="15" customHeight="1">
      <c r="B114" s="97"/>
      <c r="C114" s="62" t="s">
        <v>173</v>
      </c>
      <c r="D114" s="65">
        <v>1</v>
      </c>
      <c r="E114" s="64">
        <v>0</v>
      </c>
    </row>
    <row r="115" spans="2:5" ht="15" customHeight="1">
      <c r="B115" s="97"/>
      <c r="C115" s="62" t="s">
        <v>151</v>
      </c>
      <c r="D115" s="65">
        <v>1</v>
      </c>
      <c r="E115" s="64">
        <v>0</v>
      </c>
    </row>
    <row r="116" spans="2:5" ht="15" customHeight="1">
      <c r="B116" s="97"/>
      <c r="C116" s="73" t="s">
        <v>288</v>
      </c>
      <c r="D116" s="71">
        <v>937</v>
      </c>
      <c r="E116" s="72">
        <v>0.16700000000000001</v>
      </c>
    </row>
    <row r="117" spans="2:5" ht="15" customHeight="1">
      <c r="B117" s="97" t="s">
        <v>123</v>
      </c>
      <c r="C117" s="62" t="s">
        <v>144</v>
      </c>
      <c r="D117" s="65">
        <v>105</v>
      </c>
      <c r="E117" s="64">
        <v>1.9E-2</v>
      </c>
    </row>
    <row r="118" spans="2:5" ht="15" customHeight="1">
      <c r="B118" s="97"/>
      <c r="C118" s="62" t="s">
        <v>145</v>
      </c>
      <c r="D118" s="65">
        <v>56</v>
      </c>
      <c r="E118" s="64">
        <v>0.01</v>
      </c>
    </row>
    <row r="119" spans="2:5" ht="15" customHeight="1">
      <c r="B119" s="97"/>
      <c r="C119" s="62" t="s">
        <v>134</v>
      </c>
      <c r="D119" s="65">
        <v>43</v>
      </c>
      <c r="E119" s="64">
        <v>8.0000000000000002E-3</v>
      </c>
    </row>
    <row r="120" spans="2:5" ht="15" customHeight="1">
      <c r="B120" s="97"/>
      <c r="C120" s="62" t="s">
        <v>136</v>
      </c>
      <c r="D120" s="65">
        <v>43</v>
      </c>
      <c r="E120" s="64">
        <v>8.0000000000000002E-3</v>
      </c>
    </row>
    <row r="121" spans="2:5" ht="15" customHeight="1">
      <c r="B121" s="97"/>
      <c r="C121" s="62" t="s">
        <v>133</v>
      </c>
      <c r="D121" s="65">
        <v>39</v>
      </c>
      <c r="E121" s="64">
        <v>7.0000000000000001E-3</v>
      </c>
    </row>
    <row r="122" spans="2:5" ht="15" customHeight="1">
      <c r="B122" s="97"/>
      <c r="C122" s="62" t="s">
        <v>140</v>
      </c>
      <c r="D122" s="65">
        <v>29</v>
      </c>
      <c r="E122" s="64">
        <v>5.0000000000000001E-3</v>
      </c>
    </row>
    <row r="123" spans="2:5" ht="15" customHeight="1">
      <c r="B123" s="97"/>
      <c r="C123" s="62" t="s">
        <v>131</v>
      </c>
      <c r="D123" s="65">
        <v>26</v>
      </c>
      <c r="E123" s="64">
        <v>5.0000000000000001E-3</v>
      </c>
    </row>
    <row r="124" spans="2:5" ht="15" customHeight="1">
      <c r="B124" s="97"/>
      <c r="C124" s="62" t="s">
        <v>135</v>
      </c>
      <c r="D124" s="65">
        <v>22</v>
      </c>
      <c r="E124" s="64">
        <v>4.0000000000000001E-3</v>
      </c>
    </row>
    <row r="125" spans="2:5" ht="15" customHeight="1">
      <c r="B125" s="97"/>
      <c r="C125" s="62" t="s">
        <v>155</v>
      </c>
      <c r="D125" s="65">
        <v>17</v>
      </c>
      <c r="E125" s="64">
        <v>3.0000000000000001E-3</v>
      </c>
    </row>
    <row r="126" spans="2:5" ht="15" customHeight="1">
      <c r="B126" s="97"/>
      <c r="C126" s="62" t="s">
        <v>153</v>
      </c>
      <c r="D126" s="65">
        <v>16</v>
      </c>
      <c r="E126" s="64">
        <v>3.0000000000000001E-3</v>
      </c>
    </row>
    <row r="127" spans="2:5" ht="15" customHeight="1">
      <c r="B127" s="97"/>
      <c r="C127" s="62" t="s">
        <v>182</v>
      </c>
      <c r="D127" s="65">
        <v>14</v>
      </c>
      <c r="E127" s="64">
        <v>2E-3</v>
      </c>
    </row>
    <row r="128" spans="2:5" ht="15" customHeight="1">
      <c r="B128" s="97"/>
      <c r="C128" s="62" t="s">
        <v>151</v>
      </c>
      <c r="D128" s="65">
        <v>12</v>
      </c>
      <c r="E128" s="64">
        <v>2E-3</v>
      </c>
    </row>
    <row r="129" spans="2:5" ht="15" customHeight="1">
      <c r="B129" s="97"/>
      <c r="C129" s="62" t="s">
        <v>142</v>
      </c>
      <c r="D129" s="65">
        <v>10</v>
      </c>
      <c r="E129" s="64">
        <v>2E-3</v>
      </c>
    </row>
    <row r="130" spans="2:5" ht="15" customHeight="1">
      <c r="B130" s="97"/>
      <c r="C130" s="62" t="s">
        <v>156</v>
      </c>
      <c r="D130" s="65">
        <v>9</v>
      </c>
      <c r="E130" s="64">
        <v>2E-3</v>
      </c>
    </row>
    <row r="131" spans="2:5" ht="15" customHeight="1">
      <c r="B131" s="97"/>
      <c r="C131" s="62" t="s">
        <v>178</v>
      </c>
      <c r="D131" s="65">
        <v>9</v>
      </c>
      <c r="E131" s="64">
        <v>2E-3</v>
      </c>
    </row>
    <row r="132" spans="2:5" ht="15" customHeight="1">
      <c r="B132" s="97"/>
      <c r="C132" s="62" t="s">
        <v>143</v>
      </c>
      <c r="D132" s="65">
        <v>8</v>
      </c>
      <c r="E132" s="64">
        <v>1E-3</v>
      </c>
    </row>
    <row r="133" spans="2:5" ht="15" customHeight="1">
      <c r="B133" s="97"/>
      <c r="C133" s="62" t="s">
        <v>162</v>
      </c>
      <c r="D133" s="65">
        <v>7</v>
      </c>
      <c r="E133" s="64">
        <v>1E-3</v>
      </c>
    </row>
    <row r="134" spans="2:5" ht="15" customHeight="1">
      <c r="B134" s="97"/>
      <c r="C134" s="62" t="s">
        <v>165</v>
      </c>
      <c r="D134" s="65">
        <v>7</v>
      </c>
      <c r="E134" s="64">
        <v>1E-3</v>
      </c>
    </row>
    <row r="135" spans="2:5" ht="15" customHeight="1">
      <c r="B135" s="97"/>
      <c r="C135" s="62" t="s">
        <v>139</v>
      </c>
      <c r="D135" s="65">
        <v>7</v>
      </c>
      <c r="E135" s="64">
        <v>1E-3</v>
      </c>
    </row>
    <row r="136" spans="2:5" ht="15" customHeight="1">
      <c r="B136" s="97"/>
      <c r="C136" s="62" t="s">
        <v>138</v>
      </c>
      <c r="D136" s="65">
        <v>6</v>
      </c>
      <c r="E136" s="64">
        <v>1E-3</v>
      </c>
    </row>
    <row r="137" spans="2:5" ht="15" customHeight="1">
      <c r="B137" s="97"/>
      <c r="C137" s="62" t="s">
        <v>132</v>
      </c>
      <c r="D137" s="65">
        <v>5</v>
      </c>
      <c r="E137" s="64">
        <v>1E-3</v>
      </c>
    </row>
    <row r="138" spans="2:5" ht="15" customHeight="1">
      <c r="B138" s="97"/>
      <c r="C138" s="62" t="s">
        <v>183</v>
      </c>
      <c r="D138" s="65">
        <v>5</v>
      </c>
      <c r="E138" s="64">
        <v>1E-3</v>
      </c>
    </row>
    <row r="139" spans="2:5" ht="15" customHeight="1">
      <c r="B139" s="97"/>
      <c r="C139" s="62" t="s">
        <v>161</v>
      </c>
      <c r="D139" s="65">
        <v>4</v>
      </c>
      <c r="E139" s="64">
        <v>1E-3</v>
      </c>
    </row>
    <row r="140" spans="2:5" ht="15" customHeight="1">
      <c r="B140" s="97"/>
      <c r="C140" s="62" t="s">
        <v>146</v>
      </c>
      <c r="D140" s="65">
        <v>4</v>
      </c>
      <c r="E140" s="64">
        <v>1E-3</v>
      </c>
    </row>
    <row r="141" spans="2:5" ht="15" customHeight="1">
      <c r="B141" s="97"/>
      <c r="C141" s="62" t="s">
        <v>167</v>
      </c>
      <c r="D141" s="65">
        <v>4</v>
      </c>
      <c r="E141" s="64">
        <v>1E-3</v>
      </c>
    </row>
    <row r="142" spans="2:5" ht="15" customHeight="1">
      <c r="B142" s="97"/>
      <c r="C142" s="62" t="s">
        <v>170</v>
      </c>
      <c r="D142" s="65">
        <v>4</v>
      </c>
      <c r="E142" s="64">
        <v>1E-3</v>
      </c>
    </row>
    <row r="143" spans="2:5" ht="15" customHeight="1">
      <c r="B143" s="97"/>
      <c r="C143" s="62" t="s">
        <v>175</v>
      </c>
      <c r="D143" s="65">
        <v>4</v>
      </c>
      <c r="E143" s="64">
        <v>1E-3</v>
      </c>
    </row>
    <row r="144" spans="2:5" ht="15" customHeight="1">
      <c r="B144" s="97"/>
      <c r="C144" s="62" t="s">
        <v>180</v>
      </c>
      <c r="D144" s="65">
        <v>4</v>
      </c>
      <c r="E144" s="64">
        <v>1E-3</v>
      </c>
    </row>
    <row r="145" spans="2:5" ht="15" customHeight="1">
      <c r="B145" s="97"/>
      <c r="C145" s="62" t="s">
        <v>261</v>
      </c>
      <c r="D145" s="65">
        <v>3</v>
      </c>
      <c r="E145" s="64">
        <v>1E-3</v>
      </c>
    </row>
    <row r="146" spans="2:5" ht="15" customHeight="1">
      <c r="B146" s="97"/>
      <c r="C146" s="62" t="s">
        <v>147</v>
      </c>
      <c r="D146" s="65">
        <v>3</v>
      </c>
      <c r="E146" s="64">
        <v>1E-3</v>
      </c>
    </row>
    <row r="147" spans="2:5" ht="15" customHeight="1">
      <c r="B147" s="97"/>
      <c r="C147" s="62" t="s">
        <v>181</v>
      </c>
      <c r="D147" s="65">
        <v>3</v>
      </c>
      <c r="E147" s="64">
        <v>1E-3</v>
      </c>
    </row>
    <row r="148" spans="2:5" ht="15" customHeight="1">
      <c r="B148" s="97"/>
      <c r="C148" s="62" t="s">
        <v>184</v>
      </c>
      <c r="D148" s="65">
        <v>3</v>
      </c>
      <c r="E148" s="64">
        <v>1E-3</v>
      </c>
    </row>
    <row r="149" spans="2:5" ht="15" customHeight="1">
      <c r="B149" s="97"/>
      <c r="C149" s="62" t="s">
        <v>160</v>
      </c>
      <c r="D149" s="65">
        <v>2</v>
      </c>
      <c r="E149" s="64">
        <v>0</v>
      </c>
    </row>
    <row r="150" spans="2:5" ht="15" customHeight="1">
      <c r="B150" s="97"/>
      <c r="C150" s="62" t="s">
        <v>188</v>
      </c>
      <c r="D150" s="65">
        <v>2</v>
      </c>
      <c r="E150" s="64">
        <v>0</v>
      </c>
    </row>
    <row r="151" spans="2:5" ht="15" customHeight="1">
      <c r="B151" s="97"/>
      <c r="C151" s="62" t="s">
        <v>168</v>
      </c>
      <c r="D151" s="65">
        <v>2</v>
      </c>
      <c r="E151" s="64">
        <v>0</v>
      </c>
    </row>
    <row r="152" spans="2:5" ht="15" customHeight="1">
      <c r="B152" s="97"/>
      <c r="C152" s="62" t="s">
        <v>137</v>
      </c>
      <c r="D152" s="65">
        <v>2</v>
      </c>
      <c r="E152" s="64">
        <v>0</v>
      </c>
    </row>
    <row r="153" spans="2:5" ht="15" customHeight="1">
      <c r="B153" s="97"/>
      <c r="C153" s="62" t="s">
        <v>171</v>
      </c>
      <c r="D153" s="65">
        <v>2</v>
      </c>
      <c r="E153" s="64">
        <v>0</v>
      </c>
    </row>
    <row r="154" spans="2:5" ht="15" customHeight="1">
      <c r="B154" s="97"/>
      <c r="C154" s="62" t="s">
        <v>157</v>
      </c>
      <c r="D154" s="65">
        <v>2</v>
      </c>
      <c r="E154" s="64">
        <v>0</v>
      </c>
    </row>
    <row r="155" spans="2:5" ht="15" customHeight="1">
      <c r="B155" s="97"/>
      <c r="C155" s="62" t="s">
        <v>158</v>
      </c>
      <c r="D155" s="65">
        <v>2</v>
      </c>
      <c r="E155" s="64">
        <v>0</v>
      </c>
    </row>
    <row r="156" spans="2:5" ht="15" customHeight="1">
      <c r="B156" s="97"/>
      <c r="C156" s="62" t="s">
        <v>150</v>
      </c>
      <c r="D156" s="65">
        <v>2</v>
      </c>
      <c r="E156" s="64">
        <v>0</v>
      </c>
    </row>
    <row r="157" spans="2:5" ht="15" customHeight="1">
      <c r="B157" s="97"/>
      <c r="C157" s="62" t="s">
        <v>159</v>
      </c>
      <c r="D157" s="65">
        <v>1</v>
      </c>
      <c r="E157" s="64">
        <v>0</v>
      </c>
    </row>
    <row r="158" spans="2:5" ht="15" customHeight="1">
      <c r="B158" s="97"/>
      <c r="C158" s="62" t="s">
        <v>163</v>
      </c>
      <c r="D158" s="65">
        <v>1</v>
      </c>
      <c r="E158" s="64">
        <v>0</v>
      </c>
    </row>
    <row r="159" spans="2:5" ht="15" customHeight="1">
      <c r="B159" s="97"/>
      <c r="C159" s="62" t="s">
        <v>148</v>
      </c>
      <c r="D159" s="65">
        <v>1</v>
      </c>
      <c r="E159" s="64">
        <v>0</v>
      </c>
    </row>
    <row r="160" spans="2:5" ht="15" customHeight="1">
      <c r="B160" s="97"/>
      <c r="C160" s="62" t="s">
        <v>149</v>
      </c>
      <c r="D160" s="65">
        <v>1</v>
      </c>
      <c r="E160" s="64">
        <v>0</v>
      </c>
    </row>
    <row r="161" spans="2:5" ht="15" customHeight="1">
      <c r="B161" s="97"/>
      <c r="C161" s="62" t="s">
        <v>169</v>
      </c>
      <c r="D161" s="65">
        <v>1</v>
      </c>
      <c r="E161" s="64">
        <v>0</v>
      </c>
    </row>
    <row r="162" spans="2:5" ht="15" customHeight="1">
      <c r="B162" s="97"/>
      <c r="C162" s="62" t="s">
        <v>186</v>
      </c>
      <c r="D162" s="65">
        <v>1</v>
      </c>
      <c r="E162" s="64">
        <v>0</v>
      </c>
    </row>
    <row r="163" spans="2:5" ht="15" customHeight="1">
      <c r="B163" s="97"/>
      <c r="C163" s="62" t="s">
        <v>172</v>
      </c>
      <c r="D163" s="65">
        <v>1</v>
      </c>
      <c r="E163" s="64">
        <v>0</v>
      </c>
    </row>
    <row r="164" spans="2:5" ht="15" customHeight="1">
      <c r="B164" s="97"/>
      <c r="C164" s="62" t="s">
        <v>189</v>
      </c>
      <c r="D164" s="65">
        <v>1</v>
      </c>
      <c r="E164" s="64">
        <v>0</v>
      </c>
    </row>
    <row r="165" spans="2:5" ht="15" customHeight="1">
      <c r="B165" s="97"/>
      <c r="C165" s="62" t="s">
        <v>152</v>
      </c>
      <c r="D165" s="65">
        <v>1</v>
      </c>
      <c r="E165" s="64">
        <v>0</v>
      </c>
    </row>
    <row r="166" spans="2:5" ht="15" customHeight="1">
      <c r="B166" s="97"/>
      <c r="C166" s="73" t="s">
        <v>288</v>
      </c>
      <c r="D166" s="71">
        <v>556</v>
      </c>
      <c r="E166" s="72">
        <v>9.9000000000000005E-2</v>
      </c>
    </row>
    <row r="167" spans="2:5" ht="15" customHeight="1">
      <c r="B167" s="97" t="s">
        <v>98</v>
      </c>
      <c r="C167" s="62" t="s">
        <v>144</v>
      </c>
      <c r="D167" s="65">
        <v>74</v>
      </c>
      <c r="E167" s="64">
        <v>1.2999999999999999E-2</v>
      </c>
    </row>
    <row r="168" spans="2:5" ht="15" customHeight="1">
      <c r="B168" s="97"/>
      <c r="C168" s="62" t="s">
        <v>131</v>
      </c>
      <c r="D168" s="65">
        <v>34</v>
      </c>
      <c r="E168" s="64">
        <v>6.0000000000000001E-3</v>
      </c>
    </row>
    <row r="169" spans="2:5" ht="15" customHeight="1">
      <c r="B169" s="97"/>
      <c r="C169" s="62" t="s">
        <v>134</v>
      </c>
      <c r="D169" s="65">
        <v>28</v>
      </c>
      <c r="E169" s="64">
        <v>5.0000000000000001E-3</v>
      </c>
    </row>
    <row r="170" spans="2:5" ht="15" customHeight="1">
      <c r="B170" s="97"/>
      <c r="C170" s="62" t="s">
        <v>135</v>
      </c>
      <c r="D170" s="65">
        <v>27</v>
      </c>
      <c r="E170" s="64">
        <v>5.0000000000000001E-3</v>
      </c>
    </row>
    <row r="171" spans="2:5" ht="15" customHeight="1">
      <c r="B171" s="97"/>
      <c r="C171" s="62" t="s">
        <v>155</v>
      </c>
      <c r="D171" s="65">
        <v>24</v>
      </c>
      <c r="E171" s="64">
        <v>4.0000000000000001E-3</v>
      </c>
    </row>
    <row r="172" spans="2:5" ht="15" customHeight="1">
      <c r="B172" s="97"/>
      <c r="C172" s="62" t="s">
        <v>159</v>
      </c>
      <c r="D172" s="65">
        <v>23</v>
      </c>
      <c r="E172" s="64">
        <v>4.0000000000000001E-3</v>
      </c>
    </row>
    <row r="173" spans="2:5" ht="15" customHeight="1">
      <c r="B173" s="97"/>
      <c r="C173" s="62" t="s">
        <v>151</v>
      </c>
      <c r="D173" s="65">
        <v>19</v>
      </c>
      <c r="E173" s="64">
        <v>3.0000000000000001E-3</v>
      </c>
    </row>
    <row r="174" spans="2:5" ht="15" customHeight="1">
      <c r="B174" s="97"/>
      <c r="C174" s="62" t="s">
        <v>133</v>
      </c>
      <c r="D174" s="65">
        <v>18</v>
      </c>
      <c r="E174" s="64">
        <v>3.0000000000000001E-3</v>
      </c>
    </row>
    <row r="175" spans="2:5" ht="15" customHeight="1">
      <c r="B175" s="97"/>
      <c r="C175" s="62" t="s">
        <v>153</v>
      </c>
      <c r="D175" s="65">
        <v>18</v>
      </c>
      <c r="E175" s="64">
        <v>3.0000000000000001E-3</v>
      </c>
    </row>
    <row r="176" spans="2:5" ht="15" customHeight="1">
      <c r="B176" s="97"/>
      <c r="C176" s="62" t="s">
        <v>145</v>
      </c>
      <c r="D176" s="65">
        <v>13</v>
      </c>
      <c r="E176" s="64">
        <v>2E-3</v>
      </c>
    </row>
    <row r="177" spans="2:5" ht="15" customHeight="1">
      <c r="B177" s="97"/>
      <c r="C177" s="62" t="s">
        <v>136</v>
      </c>
      <c r="D177" s="65">
        <v>12</v>
      </c>
      <c r="E177" s="64">
        <v>2E-3</v>
      </c>
    </row>
    <row r="178" spans="2:5" ht="15" customHeight="1">
      <c r="B178" s="97"/>
      <c r="C178" s="62" t="s">
        <v>162</v>
      </c>
      <c r="D178" s="65">
        <v>11</v>
      </c>
      <c r="E178" s="64">
        <v>2E-3</v>
      </c>
    </row>
    <row r="179" spans="2:5" ht="15" customHeight="1">
      <c r="B179" s="97"/>
      <c r="C179" s="62" t="s">
        <v>142</v>
      </c>
      <c r="D179" s="65">
        <v>10</v>
      </c>
      <c r="E179" s="64">
        <v>2E-3</v>
      </c>
    </row>
    <row r="180" spans="2:5" ht="15" customHeight="1">
      <c r="B180" s="97"/>
      <c r="C180" s="62" t="s">
        <v>140</v>
      </c>
      <c r="D180" s="65">
        <v>9</v>
      </c>
      <c r="E180" s="64">
        <v>2E-3</v>
      </c>
    </row>
    <row r="181" spans="2:5" ht="15" customHeight="1">
      <c r="B181" s="97"/>
      <c r="C181" s="62" t="s">
        <v>150</v>
      </c>
      <c r="D181" s="65">
        <v>9</v>
      </c>
      <c r="E181" s="64">
        <v>2E-3</v>
      </c>
    </row>
    <row r="182" spans="2:5" ht="15" customHeight="1">
      <c r="B182" s="97"/>
      <c r="C182" s="62" t="s">
        <v>161</v>
      </c>
      <c r="D182" s="65">
        <v>7</v>
      </c>
      <c r="E182" s="64">
        <v>1E-3</v>
      </c>
    </row>
    <row r="183" spans="2:5" ht="15" customHeight="1">
      <c r="B183" s="97"/>
      <c r="C183" s="62" t="s">
        <v>139</v>
      </c>
      <c r="D183" s="65">
        <v>7</v>
      </c>
      <c r="E183" s="64">
        <v>1E-3</v>
      </c>
    </row>
    <row r="184" spans="2:5" ht="15" customHeight="1">
      <c r="B184" s="97"/>
      <c r="C184" s="62" t="s">
        <v>167</v>
      </c>
      <c r="D184" s="65">
        <v>6</v>
      </c>
      <c r="E184" s="64">
        <v>1E-3</v>
      </c>
    </row>
    <row r="185" spans="2:5" ht="15" customHeight="1">
      <c r="B185" s="97"/>
      <c r="C185" s="62" t="s">
        <v>184</v>
      </c>
      <c r="D185" s="65">
        <v>6</v>
      </c>
      <c r="E185" s="64">
        <v>1E-3</v>
      </c>
    </row>
    <row r="186" spans="2:5" ht="15" customHeight="1">
      <c r="B186" s="97"/>
      <c r="C186" s="62" t="s">
        <v>160</v>
      </c>
      <c r="D186" s="65">
        <v>5</v>
      </c>
      <c r="E186" s="64">
        <v>1E-3</v>
      </c>
    </row>
    <row r="187" spans="2:5" ht="15" customHeight="1">
      <c r="B187" s="97"/>
      <c r="C187" s="62" t="s">
        <v>188</v>
      </c>
      <c r="D187" s="65">
        <v>4</v>
      </c>
      <c r="E187" s="64">
        <v>1E-3</v>
      </c>
    </row>
    <row r="188" spans="2:5" ht="15" customHeight="1">
      <c r="B188" s="97"/>
      <c r="C188" s="62" t="s">
        <v>170</v>
      </c>
      <c r="D188" s="65">
        <v>4</v>
      </c>
      <c r="E188" s="64">
        <v>1E-3</v>
      </c>
    </row>
    <row r="189" spans="2:5" ht="15" customHeight="1">
      <c r="B189" s="97"/>
      <c r="C189" s="62" t="s">
        <v>174</v>
      </c>
      <c r="D189" s="65">
        <v>4</v>
      </c>
      <c r="E189" s="64">
        <v>1E-3</v>
      </c>
    </row>
    <row r="190" spans="2:5" ht="15" customHeight="1">
      <c r="B190" s="97"/>
      <c r="C190" s="62" t="s">
        <v>181</v>
      </c>
      <c r="D190" s="65">
        <v>4</v>
      </c>
      <c r="E190" s="64">
        <v>1E-3</v>
      </c>
    </row>
    <row r="191" spans="2:5" ht="15" customHeight="1">
      <c r="B191" s="97"/>
      <c r="C191" s="62" t="s">
        <v>141</v>
      </c>
      <c r="D191" s="65">
        <v>4</v>
      </c>
      <c r="E191" s="64">
        <v>1E-3</v>
      </c>
    </row>
    <row r="192" spans="2:5" ht="15" customHeight="1">
      <c r="B192" s="97"/>
      <c r="C192" s="62" t="s">
        <v>165</v>
      </c>
      <c r="D192" s="65">
        <v>3</v>
      </c>
      <c r="E192" s="64">
        <v>1E-3</v>
      </c>
    </row>
    <row r="193" spans="2:5" ht="15" customHeight="1">
      <c r="B193" s="97"/>
      <c r="C193" s="62" t="s">
        <v>149</v>
      </c>
      <c r="D193" s="65">
        <v>3</v>
      </c>
      <c r="E193" s="64">
        <v>1E-3</v>
      </c>
    </row>
    <row r="194" spans="2:5" ht="15" customHeight="1">
      <c r="B194" s="97"/>
      <c r="C194" s="62" t="s">
        <v>138</v>
      </c>
      <c r="D194" s="65">
        <v>3</v>
      </c>
      <c r="E194" s="64">
        <v>1E-3</v>
      </c>
    </row>
    <row r="195" spans="2:5" ht="15" customHeight="1">
      <c r="B195" s="97"/>
      <c r="C195" s="62" t="s">
        <v>143</v>
      </c>
      <c r="D195" s="65">
        <v>3</v>
      </c>
      <c r="E195" s="64">
        <v>1E-3</v>
      </c>
    </row>
    <row r="196" spans="2:5" ht="15" customHeight="1">
      <c r="B196" s="97"/>
      <c r="C196" s="62" t="s">
        <v>146</v>
      </c>
      <c r="D196" s="65">
        <v>2</v>
      </c>
      <c r="E196" s="64">
        <v>0</v>
      </c>
    </row>
    <row r="197" spans="2:5" ht="15" customHeight="1">
      <c r="B197" s="97"/>
      <c r="C197" s="62" t="s">
        <v>164</v>
      </c>
      <c r="D197" s="65">
        <v>2</v>
      </c>
      <c r="E197" s="64">
        <v>0</v>
      </c>
    </row>
    <row r="198" spans="2:5" ht="15" customHeight="1">
      <c r="B198" s="97"/>
      <c r="C198" s="62" t="s">
        <v>166</v>
      </c>
      <c r="D198" s="65">
        <v>2</v>
      </c>
      <c r="E198" s="64">
        <v>0</v>
      </c>
    </row>
    <row r="199" spans="2:5" ht="15" customHeight="1">
      <c r="B199" s="97"/>
      <c r="C199" s="62" t="s">
        <v>147</v>
      </c>
      <c r="D199" s="65">
        <v>2</v>
      </c>
      <c r="E199" s="64">
        <v>0</v>
      </c>
    </row>
    <row r="200" spans="2:5" ht="15" customHeight="1">
      <c r="B200" s="97"/>
      <c r="C200" s="62" t="s">
        <v>137</v>
      </c>
      <c r="D200" s="65">
        <v>2</v>
      </c>
      <c r="E200" s="64">
        <v>0</v>
      </c>
    </row>
    <row r="201" spans="2:5" ht="15" customHeight="1">
      <c r="B201" s="97"/>
      <c r="C201" s="62" t="s">
        <v>148</v>
      </c>
      <c r="D201" s="65">
        <v>2</v>
      </c>
      <c r="E201" s="64">
        <v>0</v>
      </c>
    </row>
    <row r="202" spans="2:5" ht="15" customHeight="1">
      <c r="B202" s="97"/>
      <c r="C202" s="62" t="s">
        <v>169</v>
      </c>
      <c r="D202" s="65">
        <v>2</v>
      </c>
      <c r="E202" s="64">
        <v>0</v>
      </c>
    </row>
    <row r="203" spans="2:5" ht="15" customHeight="1">
      <c r="B203" s="97"/>
      <c r="C203" s="62" t="s">
        <v>156</v>
      </c>
      <c r="D203" s="65">
        <v>2</v>
      </c>
      <c r="E203" s="64">
        <v>0</v>
      </c>
    </row>
    <row r="204" spans="2:5" ht="15" customHeight="1">
      <c r="B204" s="97"/>
      <c r="C204" s="62" t="s">
        <v>163</v>
      </c>
      <c r="D204" s="65">
        <v>1</v>
      </c>
      <c r="E204" s="64">
        <v>0</v>
      </c>
    </row>
    <row r="205" spans="2:5" ht="15" customHeight="1">
      <c r="B205" s="97"/>
      <c r="C205" s="62" t="s">
        <v>261</v>
      </c>
      <c r="D205" s="65">
        <v>1</v>
      </c>
      <c r="E205" s="64">
        <v>0</v>
      </c>
    </row>
    <row r="206" spans="2:5" ht="15" customHeight="1">
      <c r="B206" s="97"/>
      <c r="C206" s="62" t="s">
        <v>171</v>
      </c>
      <c r="D206" s="65">
        <v>1</v>
      </c>
      <c r="E206" s="64">
        <v>0</v>
      </c>
    </row>
    <row r="207" spans="2:5" ht="15" customHeight="1">
      <c r="B207" s="97"/>
      <c r="C207" s="62" t="s">
        <v>189</v>
      </c>
      <c r="D207" s="65">
        <v>1</v>
      </c>
      <c r="E207" s="64">
        <v>0</v>
      </c>
    </row>
    <row r="208" spans="2:5" ht="15" customHeight="1">
      <c r="B208" s="97"/>
      <c r="C208" s="62" t="s">
        <v>178</v>
      </c>
      <c r="D208" s="65">
        <v>1</v>
      </c>
      <c r="E208" s="64">
        <v>0</v>
      </c>
    </row>
    <row r="209" spans="2:5" ht="15" customHeight="1">
      <c r="B209" s="97"/>
      <c r="C209" s="62" t="s">
        <v>182</v>
      </c>
      <c r="D209" s="65">
        <v>1</v>
      </c>
      <c r="E209" s="64">
        <v>0</v>
      </c>
    </row>
    <row r="210" spans="2:5" ht="15" customHeight="1">
      <c r="B210" s="97"/>
      <c r="C210" s="62" t="s">
        <v>152</v>
      </c>
      <c r="D210" s="65">
        <v>1</v>
      </c>
      <c r="E210" s="64">
        <v>0</v>
      </c>
    </row>
    <row r="211" spans="2:5" ht="15" customHeight="1">
      <c r="B211" s="97"/>
      <c r="C211" s="62" t="s">
        <v>154</v>
      </c>
      <c r="D211" s="65">
        <v>1</v>
      </c>
      <c r="E211" s="64">
        <v>0</v>
      </c>
    </row>
    <row r="212" spans="2:5" ht="15" customHeight="1">
      <c r="B212" s="97"/>
      <c r="C212" s="73" t="s">
        <v>288</v>
      </c>
      <c r="D212" s="71">
        <v>416</v>
      </c>
      <c r="E212" s="72">
        <v>7.3999999999999996E-2</v>
      </c>
    </row>
    <row r="213" spans="2:5" ht="15" customHeight="1">
      <c r="B213" s="97" t="s">
        <v>112</v>
      </c>
      <c r="C213" s="62" t="s">
        <v>144</v>
      </c>
      <c r="D213" s="65">
        <v>47</v>
      </c>
      <c r="E213" s="64">
        <v>8.0000000000000002E-3</v>
      </c>
    </row>
    <row r="214" spans="2:5" ht="15" customHeight="1">
      <c r="B214" s="97"/>
      <c r="C214" s="62" t="s">
        <v>180</v>
      </c>
      <c r="D214" s="65">
        <v>25</v>
      </c>
      <c r="E214" s="64">
        <v>4.0000000000000001E-3</v>
      </c>
    </row>
    <row r="215" spans="2:5" ht="15" customHeight="1">
      <c r="B215" s="97"/>
      <c r="C215" s="62" t="s">
        <v>136</v>
      </c>
      <c r="D215" s="65">
        <v>21</v>
      </c>
      <c r="E215" s="64">
        <v>4.0000000000000001E-3</v>
      </c>
    </row>
    <row r="216" spans="2:5" ht="15" customHeight="1">
      <c r="B216" s="97"/>
      <c r="C216" s="62" t="s">
        <v>153</v>
      </c>
      <c r="D216" s="65">
        <v>21</v>
      </c>
      <c r="E216" s="64">
        <v>4.0000000000000001E-3</v>
      </c>
    </row>
    <row r="217" spans="2:5" ht="15" customHeight="1">
      <c r="B217" s="97"/>
      <c r="C217" s="62" t="s">
        <v>170</v>
      </c>
      <c r="D217" s="65">
        <v>20</v>
      </c>
      <c r="E217" s="64">
        <v>4.0000000000000001E-3</v>
      </c>
    </row>
    <row r="218" spans="2:5" ht="15" customHeight="1">
      <c r="B218" s="97"/>
      <c r="C218" s="62" t="s">
        <v>149</v>
      </c>
      <c r="D218" s="65">
        <v>18</v>
      </c>
      <c r="E218" s="64">
        <v>3.0000000000000001E-3</v>
      </c>
    </row>
    <row r="219" spans="2:5" ht="15" customHeight="1">
      <c r="B219" s="97"/>
      <c r="C219" s="62" t="s">
        <v>135</v>
      </c>
      <c r="D219" s="65">
        <v>16</v>
      </c>
      <c r="E219" s="64">
        <v>3.0000000000000001E-3</v>
      </c>
    </row>
    <row r="220" spans="2:5" ht="15" customHeight="1">
      <c r="B220" s="97"/>
      <c r="C220" s="62" t="s">
        <v>134</v>
      </c>
      <c r="D220" s="65">
        <v>14</v>
      </c>
      <c r="E220" s="64">
        <v>2E-3</v>
      </c>
    </row>
    <row r="221" spans="2:5" ht="15" customHeight="1">
      <c r="B221" s="97"/>
      <c r="C221" s="62" t="s">
        <v>177</v>
      </c>
      <c r="D221" s="65">
        <v>13</v>
      </c>
      <c r="E221" s="64">
        <v>2E-3</v>
      </c>
    </row>
    <row r="222" spans="2:5" ht="15" customHeight="1">
      <c r="B222" s="97"/>
      <c r="C222" s="62" t="s">
        <v>165</v>
      </c>
      <c r="D222" s="65">
        <v>12</v>
      </c>
      <c r="E222" s="64">
        <v>2E-3</v>
      </c>
    </row>
    <row r="223" spans="2:5" ht="15" customHeight="1">
      <c r="B223" s="97"/>
      <c r="C223" s="62" t="s">
        <v>139</v>
      </c>
      <c r="D223" s="65">
        <v>9</v>
      </c>
      <c r="E223" s="64">
        <v>2E-3</v>
      </c>
    </row>
    <row r="224" spans="2:5" ht="15" customHeight="1">
      <c r="B224" s="97"/>
      <c r="C224" s="62" t="s">
        <v>131</v>
      </c>
      <c r="D224" s="65">
        <v>7</v>
      </c>
      <c r="E224" s="64">
        <v>1E-3</v>
      </c>
    </row>
    <row r="225" spans="2:5" ht="15" customHeight="1">
      <c r="B225" s="97"/>
      <c r="C225" s="62" t="s">
        <v>133</v>
      </c>
      <c r="D225" s="65">
        <v>6</v>
      </c>
      <c r="E225" s="64">
        <v>1E-3</v>
      </c>
    </row>
    <row r="226" spans="2:5" ht="15" customHeight="1">
      <c r="B226" s="97"/>
      <c r="C226" s="62" t="s">
        <v>155</v>
      </c>
      <c r="D226" s="65">
        <v>6</v>
      </c>
      <c r="E226" s="64">
        <v>1E-3</v>
      </c>
    </row>
    <row r="227" spans="2:5" ht="15" customHeight="1">
      <c r="B227" s="97"/>
      <c r="C227" s="62" t="s">
        <v>159</v>
      </c>
      <c r="D227" s="65">
        <v>5</v>
      </c>
      <c r="E227" s="64">
        <v>1E-3</v>
      </c>
    </row>
    <row r="228" spans="2:5" ht="15" customHeight="1">
      <c r="B228" s="97"/>
      <c r="C228" s="62" t="s">
        <v>261</v>
      </c>
      <c r="D228" s="65">
        <v>5</v>
      </c>
      <c r="E228" s="64">
        <v>1E-3</v>
      </c>
    </row>
    <row r="229" spans="2:5" ht="15" customHeight="1">
      <c r="B229" s="97"/>
      <c r="C229" s="62" t="s">
        <v>167</v>
      </c>
      <c r="D229" s="65">
        <v>5</v>
      </c>
      <c r="E229" s="64">
        <v>1E-3</v>
      </c>
    </row>
    <row r="230" spans="2:5" ht="15" customHeight="1">
      <c r="B230" s="97"/>
      <c r="C230" s="62" t="s">
        <v>140</v>
      </c>
      <c r="D230" s="65">
        <v>5</v>
      </c>
      <c r="E230" s="64">
        <v>1E-3</v>
      </c>
    </row>
    <row r="231" spans="2:5" ht="15" customHeight="1">
      <c r="B231" s="97"/>
      <c r="C231" s="62" t="s">
        <v>150</v>
      </c>
      <c r="D231" s="65">
        <v>5</v>
      </c>
      <c r="E231" s="64">
        <v>1E-3</v>
      </c>
    </row>
    <row r="232" spans="2:5" ht="15" customHeight="1">
      <c r="B232" s="97"/>
      <c r="C232" s="62" t="s">
        <v>152</v>
      </c>
      <c r="D232" s="65">
        <v>4</v>
      </c>
      <c r="E232" s="64">
        <v>1E-3</v>
      </c>
    </row>
    <row r="233" spans="2:5" ht="15" customHeight="1">
      <c r="B233" s="97"/>
      <c r="C233" s="62" t="s">
        <v>146</v>
      </c>
      <c r="D233" s="65">
        <v>3</v>
      </c>
      <c r="E233" s="64">
        <v>1E-3</v>
      </c>
    </row>
    <row r="234" spans="2:5" ht="15" customHeight="1">
      <c r="B234" s="97"/>
      <c r="C234" s="62" t="s">
        <v>141</v>
      </c>
      <c r="D234" s="65">
        <v>3</v>
      </c>
      <c r="E234" s="64">
        <v>1E-3</v>
      </c>
    </row>
    <row r="235" spans="2:5" ht="15" customHeight="1">
      <c r="B235" s="97"/>
      <c r="C235" s="62" t="s">
        <v>162</v>
      </c>
      <c r="D235" s="65">
        <v>2</v>
      </c>
      <c r="E235" s="64">
        <v>0</v>
      </c>
    </row>
    <row r="236" spans="2:5" ht="15" customHeight="1">
      <c r="B236" s="97"/>
      <c r="C236" s="62" t="s">
        <v>156</v>
      </c>
      <c r="D236" s="65">
        <v>2</v>
      </c>
      <c r="E236" s="64">
        <v>0</v>
      </c>
    </row>
    <row r="237" spans="2:5" ht="15" customHeight="1">
      <c r="B237" s="97"/>
      <c r="C237" s="62" t="s">
        <v>171</v>
      </c>
      <c r="D237" s="65">
        <v>2</v>
      </c>
      <c r="E237" s="64">
        <v>0</v>
      </c>
    </row>
    <row r="238" spans="2:5" ht="15" customHeight="1">
      <c r="B238" s="97"/>
      <c r="C238" s="62" t="s">
        <v>142</v>
      </c>
      <c r="D238" s="65">
        <v>2</v>
      </c>
      <c r="E238" s="64">
        <v>0</v>
      </c>
    </row>
    <row r="239" spans="2:5" ht="15" customHeight="1">
      <c r="B239" s="97"/>
      <c r="C239" s="62" t="s">
        <v>143</v>
      </c>
      <c r="D239" s="65">
        <v>2</v>
      </c>
      <c r="E239" s="64">
        <v>0</v>
      </c>
    </row>
    <row r="240" spans="2:5" ht="15" customHeight="1">
      <c r="B240" s="97"/>
      <c r="C240" s="62" t="s">
        <v>160</v>
      </c>
      <c r="D240" s="65">
        <v>1</v>
      </c>
      <c r="E240" s="64">
        <v>0</v>
      </c>
    </row>
    <row r="241" spans="2:5" ht="15" customHeight="1">
      <c r="B241" s="97"/>
      <c r="C241" s="62" t="s">
        <v>188</v>
      </c>
      <c r="D241" s="65">
        <v>1</v>
      </c>
      <c r="E241" s="64">
        <v>0</v>
      </c>
    </row>
    <row r="242" spans="2:5" ht="15" customHeight="1">
      <c r="B242" s="97"/>
      <c r="C242" s="62" t="s">
        <v>168</v>
      </c>
      <c r="D242" s="65">
        <v>1</v>
      </c>
      <c r="E242" s="64">
        <v>0</v>
      </c>
    </row>
    <row r="243" spans="2:5" ht="15" customHeight="1">
      <c r="B243" s="97"/>
      <c r="C243" s="62" t="s">
        <v>137</v>
      </c>
      <c r="D243" s="65">
        <v>1</v>
      </c>
      <c r="E243" s="64">
        <v>0</v>
      </c>
    </row>
    <row r="244" spans="2:5" ht="15" customHeight="1">
      <c r="B244" s="97"/>
      <c r="C244" s="62" t="s">
        <v>138</v>
      </c>
      <c r="D244" s="65">
        <v>1</v>
      </c>
      <c r="E244" s="64">
        <v>0</v>
      </c>
    </row>
    <row r="245" spans="2:5" ht="15" customHeight="1">
      <c r="B245" s="97"/>
      <c r="C245" s="62" t="s">
        <v>186</v>
      </c>
      <c r="D245" s="65">
        <v>1</v>
      </c>
      <c r="E245" s="64">
        <v>0</v>
      </c>
    </row>
    <row r="246" spans="2:5" ht="15" customHeight="1">
      <c r="B246" s="97"/>
      <c r="C246" s="62" t="s">
        <v>172</v>
      </c>
      <c r="D246" s="65">
        <v>1</v>
      </c>
      <c r="E246" s="64">
        <v>0</v>
      </c>
    </row>
    <row r="247" spans="2:5" ht="15" customHeight="1">
      <c r="B247" s="97"/>
      <c r="C247" s="62" t="s">
        <v>189</v>
      </c>
      <c r="D247" s="65">
        <v>1</v>
      </c>
      <c r="E247" s="64">
        <v>0</v>
      </c>
    </row>
    <row r="248" spans="2:5" ht="15" customHeight="1">
      <c r="B248" s="97"/>
      <c r="C248" s="62" t="s">
        <v>187</v>
      </c>
      <c r="D248" s="65">
        <v>1</v>
      </c>
      <c r="E248" s="64">
        <v>0</v>
      </c>
    </row>
    <row r="249" spans="2:5" ht="15" customHeight="1">
      <c r="B249" s="97"/>
      <c r="C249" s="62" t="s">
        <v>176</v>
      </c>
      <c r="D249" s="65">
        <v>1</v>
      </c>
      <c r="E249" s="64">
        <v>0</v>
      </c>
    </row>
    <row r="250" spans="2:5" ht="15" customHeight="1">
      <c r="B250" s="97"/>
      <c r="C250" s="62" t="s">
        <v>178</v>
      </c>
      <c r="D250" s="65">
        <v>1</v>
      </c>
      <c r="E250" s="64">
        <v>0</v>
      </c>
    </row>
    <row r="251" spans="2:5" ht="15" customHeight="1">
      <c r="B251" s="97"/>
      <c r="C251" s="62" t="s">
        <v>181</v>
      </c>
      <c r="D251" s="65">
        <v>1</v>
      </c>
      <c r="E251" s="64">
        <v>0</v>
      </c>
    </row>
    <row r="252" spans="2:5" ht="15" customHeight="1">
      <c r="B252" s="97"/>
      <c r="C252" s="62" t="s">
        <v>182</v>
      </c>
      <c r="D252" s="65">
        <v>1</v>
      </c>
      <c r="E252" s="64">
        <v>0</v>
      </c>
    </row>
    <row r="253" spans="2:5" ht="15" customHeight="1">
      <c r="B253" s="97"/>
      <c r="C253" s="62" t="s">
        <v>157</v>
      </c>
      <c r="D253" s="65">
        <v>1</v>
      </c>
      <c r="E253" s="64">
        <v>0</v>
      </c>
    </row>
    <row r="254" spans="2:5" ht="15" customHeight="1">
      <c r="B254" s="97"/>
      <c r="C254" s="62" t="s">
        <v>183</v>
      </c>
      <c r="D254" s="65">
        <v>1</v>
      </c>
      <c r="E254" s="64">
        <v>0</v>
      </c>
    </row>
    <row r="255" spans="2:5" ht="15" customHeight="1">
      <c r="B255" s="97"/>
      <c r="C255" s="62" t="s">
        <v>158</v>
      </c>
      <c r="D255" s="65">
        <v>1</v>
      </c>
      <c r="E255" s="64">
        <v>0</v>
      </c>
    </row>
    <row r="256" spans="2:5" ht="15" customHeight="1">
      <c r="B256" s="97"/>
      <c r="C256" s="62" t="s">
        <v>151</v>
      </c>
      <c r="D256" s="65">
        <v>1</v>
      </c>
      <c r="E256" s="64">
        <v>0</v>
      </c>
    </row>
    <row r="257" spans="2:5" ht="15" customHeight="1">
      <c r="B257" s="97"/>
      <c r="C257" s="62" t="s">
        <v>184</v>
      </c>
      <c r="D257" s="65">
        <v>1</v>
      </c>
      <c r="E257" s="64">
        <v>0</v>
      </c>
    </row>
    <row r="258" spans="2:5" ht="15" customHeight="1">
      <c r="B258" s="97"/>
      <c r="C258" s="73" t="s">
        <v>288</v>
      </c>
      <c r="D258" s="71">
        <v>298</v>
      </c>
      <c r="E258" s="72">
        <v>5.2999999999999999E-2</v>
      </c>
    </row>
    <row r="259" spans="2:5" ht="15" customHeight="1">
      <c r="B259" s="97" t="s">
        <v>92</v>
      </c>
      <c r="C259" s="62" t="s">
        <v>153</v>
      </c>
      <c r="D259" s="65">
        <v>45</v>
      </c>
      <c r="E259" s="64">
        <v>8.0000000000000002E-3</v>
      </c>
    </row>
    <row r="260" spans="2:5" ht="15" customHeight="1">
      <c r="B260" s="97"/>
      <c r="C260" s="62" t="s">
        <v>144</v>
      </c>
      <c r="D260" s="65">
        <v>44</v>
      </c>
      <c r="E260" s="64">
        <v>8.0000000000000002E-3</v>
      </c>
    </row>
    <row r="261" spans="2:5" ht="15" customHeight="1">
      <c r="B261" s="97"/>
      <c r="C261" s="62" t="s">
        <v>182</v>
      </c>
      <c r="D261" s="65">
        <v>30</v>
      </c>
      <c r="E261" s="64">
        <v>5.0000000000000001E-3</v>
      </c>
    </row>
    <row r="262" spans="2:5" ht="15" customHeight="1">
      <c r="B262" s="97"/>
      <c r="C262" s="62" t="s">
        <v>155</v>
      </c>
      <c r="D262" s="65">
        <v>26</v>
      </c>
      <c r="E262" s="64">
        <v>5.0000000000000001E-3</v>
      </c>
    </row>
    <row r="263" spans="2:5" ht="15" customHeight="1">
      <c r="B263" s="97"/>
      <c r="C263" s="62" t="s">
        <v>134</v>
      </c>
      <c r="D263" s="65">
        <v>16</v>
      </c>
      <c r="E263" s="64">
        <v>3.0000000000000001E-3</v>
      </c>
    </row>
    <row r="264" spans="2:5" ht="15" customHeight="1">
      <c r="B264" s="97"/>
      <c r="C264" s="62" t="s">
        <v>139</v>
      </c>
      <c r="D264" s="65">
        <v>16</v>
      </c>
      <c r="E264" s="64">
        <v>3.0000000000000001E-3</v>
      </c>
    </row>
    <row r="265" spans="2:5" ht="15" customHeight="1">
      <c r="B265" s="97"/>
      <c r="C265" s="62" t="s">
        <v>149</v>
      </c>
      <c r="D265" s="65">
        <v>10</v>
      </c>
      <c r="E265" s="64">
        <v>2E-3</v>
      </c>
    </row>
    <row r="266" spans="2:5" ht="15" customHeight="1">
      <c r="B266" s="97"/>
      <c r="C266" s="62" t="s">
        <v>146</v>
      </c>
      <c r="D266" s="65">
        <v>9</v>
      </c>
      <c r="E266" s="64">
        <v>2E-3</v>
      </c>
    </row>
    <row r="267" spans="2:5" ht="15" customHeight="1">
      <c r="B267" s="97"/>
      <c r="C267" s="62" t="s">
        <v>170</v>
      </c>
      <c r="D267" s="65">
        <v>8</v>
      </c>
      <c r="E267" s="64">
        <v>1E-3</v>
      </c>
    </row>
    <row r="268" spans="2:5" ht="15" customHeight="1">
      <c r="B268" s="97"/>
      <c r="C268" s="62" t="s">
        <v>140</v>
      </c>
      <c r="D268" s="65">
        <v>8</v>
      </c>
      <c r="E268" s="64">
        <v>1E-3</v>
      </c>
    </row>
    <row r="269" spans="2:5" ht="15" customHeight="1">
      <c r="B269" s="97"/>
      <c r="C269" s="62" t="s">
        <v>141</v>
      </c>
      <c r="D269" s="65">
        <v>8</v>
      </c>
      <c r="E269" s="64">
        <v>1E-3</v>
      </c>
    </row>
    <row r="270" spans="2:5" ht="15" customHeight="1">
      <c r="B270" s="97"/>
      <c r="C270" s="62" t="s">
        <v>186</v>
      </c>
      <c r="D270" s="65">
        <v>5</v>
      </c>
      <c r="E270" s="64">
        <v>1E-3</v>
      </c>
    </row>
    <row r="271" spans="2:5" ht="15" customHeight="1">
      <c r="B271" s="97"/>
      <c r="C271" s="62" t="s">
        <v>131</v>
      </c>
      <c r="D271" s="65">
        <v>4</v>
      </c>
      <c r="E271" s="64">
        <v>1E-3</v>
      </c>
    </row>
    <row r="272" spans="2:5" ht="15" customHeight="1">
      <c r="B272" s="97"/>
      <c r="C272" s="62" t="s">
        <v>171</v>
      </c>
      <c r="D272" s="65">
        <v>4</v>
      </c>
      <c r="E272" s="64">
        <v>1E-3</v>
      </c>
    </row>
    <row r="273" spans="2:5" ht="15" customHeight="1">
      <c r="B273" s="97"/>
      <c r="C273" s="62" t="s">
        <v>142</v>
      </c>
      <c r="D273" s="65">
        <v>3</v>
      </c>
      <c r="E273" s="64">
        <v>1E-3</v>
      </c>
    </row>
    <row r="274" spans="2:5" ht="15" customHeight="1">
      <c r="B274" s="97"/>
      <c r="C274" s="62" t="s">
        <v>159</v>
      </c>
      <c r="D274" s="65">
        <v>2</v>
      </c>
      <c r="E274" s="64">
        <v>0</v>
      </c>
    </row>
    <row r="275" spans="2:5" ht="15" customHeight="1">
      <c r="B275" s="97"/>
      <c r="C275" s="62" t="s">
        <v>135</v>
      </c>
      <c r="D275" s="65">
        <v>2</v>
      </c>
      <c r="E275" s="64">
        <v>0</v>
      </c>
    </row>
    <row r="276" spans="2:5" ht="15" customHeight="1">
      <c r="B276" s="97"/>
      <c r="C276" s="62" t="s">
        <v>187</v>
      </c>
      <c r="D276" s="65">
        <v>2</v>
      </c>
      <c r="E276" s="64">
        <v>0</v>
      </c>
    </row>
    <row r="277" spans="2:5" ht="15" customHeight="1">
      <c r="B277" s="97"/>
      <c r="C277" s="62" t="s">
        <v>180</v>
      </c>
      <c r="D277" s="65">
        <v>2</v>
      </c>
      <c r="E277" s="64">
        <v>0</v>
      </c>
    </row>
    <row r="278" spans="2:5" ht="15" customHeight="1">
      <c r="B278" s="97"/>
      <c r="C278" s="62" t="s">
        <v>145</v>
      </c>
      <c r="D278" s="65">
        <v>2</v>
      </c>
      <c r="E278" s="64">
        <v>0</v>
      </c>
    </row>
    <row r="279" spans="2:5" ht="15" customHeight="1">
      <c r="B279" s="97"/>
      <c r="C279" s="62" t="s">
        <v>132</v>
      </c>
      <c r="D279" s="65">
        <v>1</v>
      </c>
      <c r="E279" s="64">
        <v>0</v>
      </c>
    </row>
    <row r="280" spans="2:5" ht="15" customHeight="1">
      <c r="B280" s="97"/>
      <c r="C280" s="62" t="s">
        <v>163</v>
      </c>
      <c r="D280" s="65">
        <v>1</v>
      </c>
      <c r="E280" s="64">
        <v>0</v>
      </c>
    </row>
    <row r="281" spans="2:5" ht="15" customHeight="1">
      <c r="B281" s="97"/>
      <c r="C281" s="62" t="s">
        <v>167</v>
      </c>
      <c r="D281" s="65">
        <v>1</v>
      </c>
      <c r="E281" s="64">
        <v>0</v>
      </c>
    </row>
    <row r="282" spans="2:5" ht="15" customHeight="1">
      <c r="B282" s="97"/>
      <c r="C282" s="62" t="s">
        <v>136</v>
      </c>
      <c r="D282" s="65">
        <v>1</v>
      </c>
      <c r="E282" s="64">
        <v>0</v>
      </c>
    </row>
    <row r="283" spans="2:5" ht="15" customHeight="1">
      <c r="B283" s="97"/>
      <c r="C283" s="62" t="s">
        <v>174</v>
      </c>
      <c r="D283" s="65">
        <v>1</v>
      </c>
      <c r="E283" s="64">
        <v>0</v>
      </c>
    </row>
    <row r="284" spans="2:5" ht="15" customHeight="1">
      <c r="B284" s="97"/>
      <c r="C284" s="62" t="s">
        <v>176</v>
      </c>
      <c r="D284" s="65">
        <v>1</v>
      </c>
      <c r="E284" s="64">
        <v>0</v>
      </c>
    </row>
    <row r="285" spans="2:5" ht="15" customHeight="1">
      <c r="B285" s="97"/>
      <c r="C285" s="62" t="s">
        <v>181</v>
      </c>
      <c r="D285" s="65">
        <v>1</v>
      </c>
      <c r="E285" s="64">
        <v>0</v>
      </c>
    </row>
    <row r="286" spans="2:5" ht="15" customHeight="1">
      <c r="B286" s="97"/>
      <c r="C286" s="62" t="s">
        <v>143</v>
      </c>
      <c r="D286" s="65">
        <v>1</v>
      </c>
      <c r="E286" s="64">
        <v>0</v>
      </c>
    </row>
    <row r="287" spans="2:5" ht="15" customHeight="1">
      <c r="B287" s="97"/>
      <c r="C287" s="62" t="s">
        <v>157</v>
      </c>
      <c r="D287" s="65">
        <v>1</v>
      </c>
      <c r="E287" s="64">
        <v>0</v>
      </c>
    </row>
    <row r="288" spans="2:5" ht="15" customHeight="1">
      <c r="B288" s="97"/>
      <c r="C288" s="62" t="s">
        <v>183</v>
      </c>
      <c r="D288" s="65">
        <v>1</v>
      </c>
      <c r="E288" s="64">
        <v>0</v>
      </c>
    </row>
    <row r="289" spans="2:5" ht="15" customHeight="1">
      <c r="B289" s="97"/>
      <c r="C289" s="62" t="s">
        <v>154</v>
      </c>
      <c r="D289" s="65">
        <v>1</v>
      </c>
      <c r="E289" s="64">
        <v>0</v>
      </c>
    </row>
    <row r="290" spans="2:5" ht="15" customHeight="1">
      <c r="B290" s="97"/>
      <c r="C290" s="73" t="s">
        <v>288</v>
      </c>
      <c r="D290" s="71">
        <v>257</v>
      </c>
      <c r="E290" s="72">
        <v>4.5999999999999999E-2</v>
      </c>
    </row>
    <row r="291" spans="2:5" ht="15" customHeight="1">
      <c r="B291" s="97" t="s">
        <v>127</v>
      </c>
      <c r="C291" s="62" t="s">
        <v>167</v>
      </c>
      <c r="D291" s="65">
        <v>80</v>
      </c>
      <c r="E291" s="64">
        <v>1.4E-2</v>
      </c>
    </row>
    <row r="292" spans="2:5" ht="15" customHeight="1">
      <c r="B292" s="97"/>
      <c r="C292" s="62" t="s">
        <v>131</v>
      </c>
      <c r="D292" s="65">
        <v>44</v>
      </c>
      <c r="E292" s="64">
        <v>8.0000000000000002E-3</v>
      </c>
    </row>
    <row r="293" spans="2:5" ht="15" customHeight="1">
      <c r="B293" s="97"/>
      <c r="C293" s="62" t="s">
        <v>144</v>
      </c>
      <c r="D293" s="65">
        <v>21</v>
      </c>
      <c r="E293" s="64">
        <v>4.0000000000000001E-3</v>
      </c>
    </row>
    <row r="294" spans="2:5" ht="15" customHeight="1">
      <c r="B294" s="97"/>
      <c r="C294" s="62" t="s">
        <v>145</v>
      </c>
      <c r="D294" s="65">
        <v>16</v>
      </c>
      <c r="E294" s="64">
        <v>3.0000000000000001E-3</v>
      </c>
    </row>
    <row r="295" spans="2:5" ht="15" customHeight="1">
      <c r="B295" s="97"/>
      <c r="C295" s="62" t="s">
        <v>169</v>
      </c>
      <c r="D295" s="65">
        <v>14</v>
      </c>
      <c r="E295" s="64">
        <v>2E-3</v>
      </c>
    </row>
    <row r="296" spans="2:5" ht="15" customHeight="1">
      <c r="B296" s="97"/>
      <c r="C296" s="62" t="s">
        <v>151</v>
      </c>
      <c r="D296" s="65">
        <v>13</v>
      </c>
      <c r="E296" s="64">
        <v>2E-3</v>
      </c>
    </row>
    <row r="297" spans="2:5" ht="15" customHeight="1">
      <c r="B297" s="97"/>
      <c r="C297" s="62" t="s">
        <v>133</v>
      </c>
      <c r="D297" s="65">
        <v>11</v>
      </c>
      <c r="E297" s="64">
        <v>2E-3</v>
      </c>
    </row>
    <row r="298" spans="2:5" ht="15" customHeight="1">
      <c r="B298" s="97"/>
      <c r="C298" s="62" t="s">
        <v>134</v>
      </c>
      <c r="D298" s="65">
        <v>7</v>
      </c>
      <c r="E298" s="64">
        <v>1E-3</v>
      </c>
    </row>
    <row r="299" spans="2:5" ht="15" customHeight="1">
      <c r="B299" s="97"/>
      <c r="C299" s="62" t="s">
        <v>188</v>
      </c>
      <c r="D299" s="65">
        <v>6</v>
      </c>
      <c r="E299" s="64">
        <v>1E-3</v>
      </c>
    </row>
    <row r="300" spans="2:5" ht="15" customHeight="1">
      <c r="B300" s="97"/>
      <c r="C300" s="62" t="s">
        <v>132</v>
      </c>
      <c r="D300" s="65">
        <v>3</v>
      </c>
      <c r="E300" s="64">
        <v>1E-3</v>
      </c>
    </row>
    <row r="301" spans="2:5" ht="15" customHeight="1">
      <c r="B301" s="97"/>
      <c r="C301" s="62" t="s">
        <v>147</v>
      </c>
      <c r="D301" s="65">
        <v>2</v>
      </c>
      <c r="E301" s="64">
        <v>0</v>
      </c>
    </row>
    <row r="302" spans="2:5" ht="15" customHeight="1">
      <c r="B302" s="97"/>
      <c r="C302" s="62" t="s">
        <v>135</v>
      </c>
      <c r="D302" s="65">
        <v>2</v>
      </c>
      <c r="E302" s="64">
        <v>0</v>
      </c>
    </row>
    <row r="303" spans="2:5" ht="15" customHeight="1">
      <c r="B303" s="97"/>
      <c r="C303" s="62" t="s">
        <v>136</v>
      </c>
      <c r="D303" s="65">
        <v>2</v>
      </c>
      <c r="E303" s="64">
        <v>0</v>
      </c>
    </row>
    <row r="304" spans="2:5" ht="15" customHeight="1">
      <c r="B304" s="97"/>
      <c r="C304" s="62" t="s">
        <v>156</v>
      </c>
      <c r="D304" s="65">
        <v>2</v>
      </c>
      <c r="E304" s="64">
        <v>0</v>
      </c>
    </row>
    <row r="305" spans="2:5" ht="15" customHeight="1">
      <c r="B305" s="97"/>
      <c r="C305" s="62" t="s">
        <v>174</v>
      </c>
      <c r="D305" s="65">
        <v>2</v>
      </c>
      <c r="E305" s="64">
        <v>0</v>
      </c>
    </row>
    <row r="306" spans="2:5" ht="15" customHeight="1">
      <c r="B306" s="97"/>
      <c r="C306" s="62" t="s">
        <v>181</v>
      </c>
      <c r="D306" s="65">
        <v>2</v>
      </c>
      <c r="E306" s="64">
        <v>0</v>
      </c>
    </row>
    <row r="307" spans="2:5" ht="15" customHeight="1">
      <c r="B307" s="97"/>
      <c r="C307" s="62" t="s">
        <v>142</v>
      </c>
      <c r="D307" s="65">
        <v>2</v>
      </c>
      <c r="E307" s="64">
        <v>0</v>
      </c>
    </row>
    <row r="308" spans="2:5" ht="15" customHeight="1">
      <c r="B308" s="97"/>
      <c r="C308" s="62" t="s">
        <v>184</v>
      </c>
      <c r="D308" s="65">
        <v>2</v>
      </c>
      <c r="E308" s="64">
        <v>0</v>
      </c>
    </row>
    <row r="309" spans="2:5" ht="15" customHeight="1">
      <c r="B309" s="97"/>
      <c r="C309" s="62" t="s">
        <v>164</v>
      </c>
      <c r="D309" s="65">
        <v>1</v>
      </c>
      <c r="E309" s="64">
        <v>0</v>
      </c>
    </row>
    <row r="310" spans="2:5" ht="15" customHeight="1">
      <c r="B310" s="97"/>
      <c r="C310" s="62" t="s">
        <v>175</v>
      </c>
      <c r="D310" s="65">
        <v>1</v>
      </c>
      <c r="E310" s="64">
        <v>0</v>
      </c>
    </row>
    <row r="311" spans="2:5" ht="15" customHeight="1">
      <c r="B311" s="97"/>
      <c r="C311" s="62" t="s">
        <v>178</v>
      </c>
      <c r="D311" s="65">
        <v>1</v>
      </c>
      <c r="E311" s="64">
        <v>0</v>
      </c>
    </row>
    <row r="312" spans="2:5" ht="15" customHeight="1">
      <c r="B312" s="97"/>
      <c r="C312" s="62" t="s">
        <v>153</v>
      </c>
      <c r="D312" s="65">
        <v>1</v>
      </c>
      <c r="E312" s="64">
        <v>0</v>
      </c>
    </row>
    <row r="313" spans="2:5" ht="15" customHeight="1">
      <c r="B313" s="97"/>
      <c r="C313" s="73" t="s">
        <v>288</v>
      </c>
      <c r="D313" s="71">
        <v>235</v>
      </c>
      <c r="E313" s="72">
        <v>4.2000000000000003E-2</v>
      </c>
    </row>
    <row r="314" spans="2:5" ht="15" customHeight="1">
      <c r="B314" s="97" t="s">
        <v>99</v>
      </c>
      <c r="C314" s="62" t="s">
        <v>144</v>
      </c>
      <c r="D314" s="65">
        <v>21</v>
      </c>
      <c r="E314" s="64">
        <v>4.0000000000000001E-3</v>
      </c>
    </row>
    <row r="315" spans="2:5" ht="15" customHeight="1">
      <c r="B315" s="97"/>
      <c r="C315" s="62" t="s">
        <v>131</v>
      </c>
      <c r="D315" s="65">
        <v>20</v>
      </c>
      <c r="E315" s="64">
        <v>4.0000000000000001E-3</v>
      </c>
    </row>
    <row r="316" spans="2:5" ht="15" customHeight="1">
      <c r="B316" s="97"/>
      <c r="C316" s="62" t="s">
        <v>136</v>
      </c>
      <c r="D316" s="65">
        <v>20</v>
      </c>
      <c r="E316" s="64">
        <v>4.0000000000000001E-3</v>
      </c>
    </row>
    <row r="317" spans="2:5" ht="15" customHeight="1">
      <c r="B317" s="97"/>
      <c r="C317" s="62" t="s">
        <v>133</v>
      </c>
      <c r="D317" s="65">
        <v>18</v>
      </c>
      <c r="E317" s="64">
        <v>3.0000000000000001E-3</v>
      </c>
    </row>
    <row r="318" spans="2:5" ht="15" customHeight="1">
      <c r="B318" s="97"/>
      <c r="C318" s="62" t="s">
        <v>155</v>
      </c>
      <c r="D318" s="65">
        <v>18</v>
      </c>
      <c r="E318" s="64">
        <v>3.0000000000000001E-3</v>
      </c>
    </row>
    <row r="319" spans="2:5" ht="15" customHeight="1">
      <c r="B319" s="97"/>
      <c r="C319" s="62" t="s">
        <v>135</v>
      </c>
      <c r="D319" s="65">
        <v>12</v>
      </c>
      <c r="E319" s="64">
        <v>2E-3</v>
      </c>
    </row>
    <row r="320" spans="2:5" ht="15" customHeight="1">
      <c r="B320" s="97"/>
      <c r="C320" s="62" t="s">
        <v>156</v>
      </c>
      <c r="D320" s="65">
        <v>8</v>
      </c>
      <c r="E320" s="64">
        <v>1E-3</v>
      </c>
    </row>
    <row r="321" spans="2:5" ht="15" customHeight="1">
      <c r="B321" s="97"/>
      <c r="C321" s="62" t="s">
        <v>145</v>
      </c>
      <c r="D321" s="65">
        <v>5</v>
      </c>
      <c r="E321" s="64">
        <v>1E-3</v>
      </c>
    </row>
    <row r="322" spans="2:5" ht="15" customHeight="1">
      <c r="B322" s="97"/>
      <c r="C322" s="62" t="s">
        <v>147</v>
      </c>
      <c r="D322" s="65">
        <v>3</v>
      </c>
      <c r="E322" s="64">
        <v>1E-3</v>
      </c>
    </row>
    <row r="323" spans="2:5" ht="15" customHeight="1">
      <c r="B323" s="97"/>
      <c r="C323" s="62" t="s">
        <v>139</v>
      </c>
      <c r="D323" s="65">
        <v>3</v>
      </c>
      <c r="E323" s="64">
        <v>1E-3</v>
      </c>
    </row>
    <row r="324" spans="2:5" ht="15" customHeight="1">
      <c r="B324" s="97"/>
      <c r="C324" s="62" t="s">
        <v>181</v>
      </c>
      <c r="D324" s="65">
        <v>3</v>
      </c>
      <c r="E324" s="64">
        <v>1E-3</v>
      </c>
    </row>
    <row r="325" spans="2:5" ht="15" customHeight="1">
      <c r="B325" s="97"/>
      <c r="C325" s="62" t="s">
        <v>158</v>
      </c>
      <c r="D325" s="65">
        <v>3</v>
      </c>
      <c r="E325" s="64">
        <v>1E-3</v>
      </c>
    </row>
    <row r="326" spans="2:5" ht="15" customHeight="1">
      <c r="B326" s="97"/>
      <c r="C326" s="62" t="s">
        <v>184</v>
      </c>
      <c r="D326" s="65">
        <v>3</v>
      </c>
      <c r="E326" s="64">
        <v>1E-3</v>
      </c>
    </row>
    <row r="327" spans="2:5" ht="15" customHeight="1">
      <c r="B327" s="97"/>
      <c r="C327" s="62" t="s">
        <v>134</v>
      </c>
      <c r="D327" s="65">
        <v>2</v>
      </c>
      <c r="E327" s="64">
        <v>0</v>
      </c>
    </row>
    <row r="328" spans="2:5" ht="15" customHeight="1">
      <c r="B328" s="97"/>
      <c r="C328" s="62" t="s">
        <v>261</v>
      </c>
      <c r="D328" s="65">
        <v>2</v>
      </c>
      <c r="E328" s="64">
        <v>0</v>
      </c>
    </row>
    <row r="329" spans="2:5" ht="15" customHeight="1">
      <c r="B329" s="97"/>
      <c r="C329" s="62" t="s">
        <v>140</v>
      </c>
      <c r="D329" s="65">
        <v>2</v>
      </c>
      <c r="E329" s="64">
        <v>0</v>
      </c>
    </row>
    <row r="330" spans="2:5" ht="15" customHeight="1">
      <c r="B330" s="97"/>
      <c r="C330" s="62" t="s">
        <v>141</v>
      </c>
      <c r="D330" s="65">
        <v>2</v>
      </c>
      <c r="E330" s="64">
        <v>0</v>
      </c>
    </row>
    <row r="331" spans="2:5" ht="15" customHeight="1">
      <c r="B331" s="97"/>
      <c r="C331" s="62" t="s">
        <v>157</v>
      </c>
      <c r="D331" s="65">
        <v>2</v>
      </c>
      <c r="E331" s="64">
        <v>0</v>
      </c>
    </row>
    <row r="332" spans="2:5" ht="15" customHeight="1">
      <c r="B332" s="97"/>
      <c r="C332" s="62" t="s">
        <v>159</v>
      </c>
      <c r="D332" s="65">
        <v>1</v>
      </c>
      <c r="E332" s="64">
        <v>0</v>
      </c>
    </row>
    <row r="333" spans="2:5" ht="15" customHeight="1">
      <c r="B333" s="97"/>
      <c r="C333" s="62" t="s">
        <v>132</v>
      </c>
      <c r="D333" s="65">
        <v>1</v>
      </c>
      <c r="E333" s="64">
        <v>0</v>
      </c>
    </row>
    <row r="334" spans="2:5" ht="15" customHeight="1">
      <c r="B334" s="97"/>
      <c r="C334" s="62" t="s">
        <v>162</v>
      </c>
      <c r="D334" s="65">
        <v>1</v>
      </c>
      <c r="E334" s="64">
        <v>0</v>
      </c>
    </row>
    <row r="335" spans="2:5" ht="15" customHeight="1">
      <c r="B335" s="97"/>
      <c r="C335" s="62" t="s">
        <v>137</v>
      </c>
      <c r="D335" s="65">
        <v>1</v>
      </c>
      <c r="E335" s="64">
        <v>0</v>
      </c>
    </row>
    <row r="336" spans="2:5" ht="15" customHeight="1">
      <c r="B336" s="97"/>
      <c r="C336" s="62" t="s">
        <v>149</v>
      </c>
      <c r="D336" s="65">
        <v>1</v>
      </c>
      <c r="E336" s="64">
        <v>0</v>
      </c>
    </row>
    <row r="337" spans="2:5" ht="15" customHeight="1">
      <c r="B337" s="97"/>
      <c r="C337" s="62" t="s">
        <v>170</v>
      </c>
      <c r="D337" s="65">
        <v>1</v>
      </c>
      <c r="E337" s="64">
        <v>0</v>
      </c>
    </row>
    <row r="338" spans="2:5" ht="15" customHeight="1">
      <c r="B338" s="97"/>
      <c r="C338" s="62" t="s">
        <v>180</v>
      </c>
      <c r="D338" s="65">
        <v>1</v>
      </c>
      <c r="E338" s="64">
        <v>0</v>
      </c>
    </row>
    <row r="339" spans="2:5" ht="15" customHeight="1">
      <c r="B339" s="97"/>
      <c r="C339" s="62" t="s">
        <v>182</v>
      </c>
      <c r="D339" s="65">
        <v>1</v>
      </c>
      <c r="E339" s="64">
        <v>0</v>
      </c>
    </row>
    <row r="340" spans="2:5" ht="15" customHeight="1">
      <c r="B340" s="97"/>
      <c r="C340" s="62" t="s">
        <v>183</v>
      </c>
      <c r="D340" s="65">
        <v>1</v>
      </c>
      <c r="E340" s="64">
        <v>0</v>
      </c>
    </row>
    <row r="341" spans="2:5" ht="15" customHeight="1">
      <c r="B341" s="97"/>
      <c r="C341" s="62" t="s">
        <v>150</v>
      </c>
      <c r="D341" s="65">
        <v>1</v>
      </c>
      <c r="E341" s="64">
        <v>0</v>
      </c>
    </row>
    <row r="342" spans="2:5" ht="15" customHeight="1">
      <c r="B342" s="97"/>
      <c r="C342" s="62" t="s">
        <v>151</v>
      </c>
      <c r="D342" s="65">
        <v>1</v>
      </c>
      <c r="E342" s="64">
        <v>0</v>
      </c>
    </row>
    <row r="343" spans="2:5" ht="15" customHeight="1">
      <c r="B343" s="97"/>
      <c r="C343" s="73" t="s">
        <v>288</v>
      </c>
      <c r="D343" s="71">
        <v>158</v>
      </c>
      <c r="E343" s="72">
        <v>2.8000000000000001E-2</v>
      </c>
    </row>
    <row r="344" spans="2:5" ht="15" customHeight="1">
      <c r="B344" s="97" t="s">
        <v>96</v>
      </c>
      <c r="C344" s="62" t="s">
        <v>153</v>
      </c>
      <c r="D344" s="65">
        <v>29</v>
      </c>
      <c r="E344" s="64">
        <v>5.0000000000000001E-3</v>
      </c>
    </row>
    <row r="345" spans="2:5" ht="15" customHeight="1">
      <c r="B345" s="97"/>
      <c r="C345" s="62" t="s">
        <v>144</v>
      </c>
      <c r="D345" s="65">
        <v>23</v>
      </c>
      <c r="E345" s="64">
        <v>4.0000000000000001E-3</v>
      </c>
    </row>
    <row r="346" spans="2:5" ht="15" customHeight="1">
      <c r="B346" s="97"/>
      <c r="C346" s="62" t="s">
        <v>138</v>
      </c>
      <c r="D346" s="65">
        <v>16</v>
      </c>
      <c r="E346" s="64">
        <v>3.0000000000000001E-3</v>
      </c>
    </row>
    <row r="347" spans="2:5" ht="15" customHeight="1">
      <c r="B347" s="97"/>
      <c r="C347" s="62" t="s">
        <v>139</v>
      </c>
      <c r="D347" s="65">
        <v>13</v>
      </c>
      <c r="E347" s="64">
        <v>2E-3</v>
      </c>
    </row>
    <row r="348" spans="2:5" ht="15" customHeight="1">
      <c r="B348" s="97"/>
      <c r="C348" s="62" t="s">
        <v>180</v>
      </c>
      <c r="D348" s="65">
        <v>12</v>
      </c>
      <c r="E348" s="64">
        <v>2E-3</v>
      </c>
    </row>
    <row r="349" spans="2:5" ht="15" customHeight="1">
      <c r="B349" s="97"/>
      <c r="C349" s="62" t="s">
        <v>134</v>
      </c>
      <c r="D349" s="65">
        <v>9</v>
      </c>
      <c r="E349" s="64">
        <v>2E-3</v>
      </c>
    </row>
    <row r="350" spans="2:5" ht="15" customHeight="1">
      <c r="B350" s="97"/>
      <c r="C350" s="62" t="s">
        <v>170</v>
      </c>
      <c r="D350" s="65">
        <v>5</v>
      </c>
      <c r="E350" s="64">
        <v>1E-3</v>
      </c>
    </row>
    <row r="351" spans="2:5" ht="15" customHeight="1">
      <c r="B351" s="97"/>
      <c r="C351" s="62" t="s">
        <v>150</v>
      </c>
      <c r="D351" s="65">
        <v>5</v>
      </c>
      <c r="E351" s="64">
        <v>1E-3</v>
      </c>
    </row>
    <row r="352" spans="2:5" ht="15" customHeight="1">
      <c r="B352" s="97"/>
      <c r="C352" s="62" t="s">
        <v>131</v>
      </c>
      <c r="D352" s="65">
        <v>4</v>
      </c>
      <c r="E352" s="64">
        <v>1E-3</v>
      </c>
    </row>
    <row r="353" spans="2:5" ht="15" customHeight="1">
      <c r="B353" s="97"/>
      <c r="C353" s="62" t="s">
        <v>133</v>
      </c>
      <c r="D353" s="65">
        <v>3</v>
      </c>
      <c r="E353" s="64">
        <v>1E-3</v>
      </c>
    </row>
    <row r="354" spans="2:5" ht="15" customHeight="1">
      <c r="B354" s="97"/>
      <c r="C354" s="62" t="s">
        <v>261</v>
      </c>
      <c r="D354" s="65">
        <v>3</v>
      </c>
      <c r="E354" s="64">
        <v>1E-3</v>
      </c>
    </row>
    <row r="355" spans="2:5" ht="15" customHeight="1">
      <c r="B355" s="97"/>
      <c r="C355" s="62" t="s">
        <v>135</v>
      </c>
      <c r="D355" s="65">
        <v>3</v>
      </c>
      <c r="E355" s="64">
        <v>1E-3</v>
      </c>
    </row>
    <row r="356" spans="2:5" ht="15" customHeight="1">
      <c r="B356" s="97"/>
      <c r="C356" s="62" t="s">
        <v>165</v>
      </c>
      <c r="D356" s="65">
        <v>2</v>
      </c>
      <c r="E356" s="64">
        <v>0</v>
      </c>
    </row>
    <row r="357" spans="2:5" ht="15" customHeight="1">
      <c r="B357" s="97"/>
      <c r="C357" s="62" t="s">
        <v>147</v>
      </c>
      <c r="D357" s="65">
        <v>2</v>
      </c>
      <c r="E357" s="64">
        <v>0</v>
      </c>
    </row>
    <row r="358" spans="2:5" ht="15" customHeight="1">
      <c r="B358" s="97"/>
      <c r="C358" s="62" t="s">
        <v>178</v>
      </c>
      <c r="D358" s="65">
        <v>2</v>
      </c>
      <c r="E358" s="64">
        <v>0</v>
      </c>
    </row>
    <row r="359" spans="2:5" ht="15" customHeight="1">
      <c r="B359" s="97"/>
      <c r="C359" s="62" t="s">
        <v>142</v>
      </c>
      <c r="D359" s="65">
        <v>2</v>
      </c>
      <c r="E359" s="64">
        <v>0</v>
      </c>
    </row>
    <row r="360" spans="2:5" ht="15" customHeight="1">
      <c r="B360" s="97"/>
      <c r="C360" s="62" t="s">
        <v>143</v>
      </c>
      <c r="D360" s="65">
        <v>2</v>
      </c>
      <c r="E360" s="64">
        <v>0</v>
      </c>
    </row>
    <row r="361" spans="2:5" ht="15" customHeight="1">
      <c r="B361" s="97"/>
      <c r="C361" s="62" t="s">
        <v>145</v>
      </c>
      <c r="D361" s="65">
        <v>2</v>
      </c>
      <c r="E361" s="64">
        <v>0</v>
      </c>
    </row>
    <row r="362" spans="2:5" ht="15" customHeight="1">
      <c r="B362" s="97"/>
      <c r="C362" s="62" t="s">
        <v>152</v>
      </c>
      <c r="D362" s="65">
        <v>2</v>
      </c>
      <c r="E362" s="64">
        <v>0</v>
      </c>
    </row>
    <row r="363" spans="2:5" ht="15" customHeight="1">
      <c r="B363" s="97"/>
      <c r="C363" s="62" t="s">
        <v>162</v>
      </c>
      <c r="D363" s="65">
        <v>1</v>
      </c>
      <c r="E363" s="64">
        <v>0</v>
      </c>
    </row>
    <row r="364" spans="2:5" ht="15" customHeight="1">
      <c r="B364" s="97"/>
      <c r="C364" s="62" t="s">
        <v>146</v>
      </c>
      <c r="D364" s="65">
        <v>1</v>
      </c>
      <c r="E364" s="64">
        <v>0</v>
      </c>
    </row>
    <row r="365" spans="2:5" ht="15" customHeight="1">
      <c r="B365" s="97"/>
      <c r="C365" s="62" t="s">
        <v>155</v>
      </c>
      <c r="D365" s="65">
        <v>1</v>
      </c>
      <c r="E365" s="64">
        <v>0</v>
      </c>
    </row>
    <row r="366" spans="2:5" ht="15" customHeight="1">
      <c r="B366" s="97"/>
      <c r="C366" s="62" t="s">
        <v>173</v>
      </c>
      <c r="D366" s="65">
        <v>1</v>
      </c>
      <c r="E366" s="64">
        <v>0</v>
      </c>
    </row>
    <row r="367" spans="2:5" ht="15" customHeight="1">
      <c r="B367" s="97"/>
      <c r="C367" s="62" t="s">
        <v>175</v>
      </c>
      <c r="D367" s="65">
        <v>1</v>
      </c>
      <c r="E367" s="64">
        <v>0</v>
      </c>
    </row>
    <row r="368" spans="2:5" ht="15" customHeight="1">
      <c r="B368" s="97"/>
      <c r="C368" s="62" t="s">
        <v>181</v>
      </c>
      <c r="D368" s="65">
        <v>1</v>
      </c>
      <c r="E368" s="64">
        <v>0</v>
      </c>
    </row>
    <row r="369" spans="2:5" ht="15" customHeight="1">
      <c r="B369" s="97"/>
      <c r="C369" s="62" t="s">
        <v>182</v>
      </c>
      <c r="D369" s="65">
        <v>1</v>
      </c>
      <c r="E369" s="64">
        <v>0</v>
      </c>
    </row>
    <row r="370" spans="2:5" ht="15" customHeight="1">
      <c r="B370" s="97"/>
      <c r="C370" s="62" t="s">
        <v>158</v>
      </c>
      <c r="D370" s="65">
        <v>1</v>
      </c>
      <c r="E370" s="64">
        <v>0</v>
      </c>
    </row>
    <row r="371" spans="2:5" ht="15" customHeight="1">
      <c r="B371" s="97"/>
      <c r="C371" s="73" t="s">
        <v>288</v>
      </c>
      <c r="D371" s="71">
        <v>147</v>
      </c>
      <c r="E371" s="72">
        <v>2.5999999999999999E-2</v>
      </c>
    </row>
    <row r="372" spans="2:5" ht="15" customHeight="1">
      <c r="B372" s="97" t="s">
        <v>119</v>
      </c>
      <c r="C372" s="62" t="s">
        <v>144</v>
      </c>
      <c r="D372" s="65">
        <v>26</v>
      </c>
      <c r="E372" s="64">
        <v>5.0000000000000001E-3</v>
      </c>
    </row>
    <row r="373" spans="2:5" ht="15" customHeight="1">
      <c r="B373" s="97"/>
      <c r="C373" s="62" t="s">
        <v>134</v>
      </c>
      <c r="D373" s="65">
        <v>16</v>
      </c>
      <c r="E373" s="64">
        <v>3.0000000000000001E-3</v>
      </c>
    </row>
    <row r="374" spans="2:5" ht="15" customHeight="1">
      <c r="B374" s="97"/>
      <c r="C374" s="62" t="s">
        <v>135</v>
      </c>
      <c r="D374" s="65">
        <v>16</v>
      </c>
      <c r="E374" s="64">
        <v>3.0000000000000001E-3</v>
      </c>
    </row>
    <row r="375" spans="2:5" ht="15" customHeight="1">
      <c r="B375" s="97"/>
      <c r="C375" s="62" t="s">
        <v>155</v>
      </c>
      <c r="D375" s="65">
        <v>13</v>
      </c>
      <c r="E375" s="64">
        <v>2E-3</v>
      </c>
    </row>
    <row r="376" spans="2:5" ht="15" customHeight="1">
      <c r="B376" s="97"/>
      <c r="C376" s="62" t="s">
        <v>131</v>
      </c>
      <c r="D376" s="65">
        <v>8</v>
      </c>
      <c r="E376" s="64">
        <v>1E-3</v>
      </c>
    </row>
    <row r="377" spans="2:5" ht="15" customHeight="1">
      <c r="B377" s="97"/>
      <c r="C377" s="62" t="s">
        <v>140</v>
      </c>
      <c r="D377" s="65">
        <v>7</v>
      </c>
      <c r="E377" s="64">
        <v>1E-3</v>
      </c>
    </row>
    <row r="378" spans="2:5" ht="15" customHeight="1">
      <c r="B378" s="97"/>
      <c r="C378" s="62" t="s">
        <v>181</v>
      </c>
      <c r="D378" s="65">
        <v>6</v>
      </c>
      <c r="E378" s="64">
        <v>1E-3</v>
      </c>
    </row>
    <row r="379" spans="2:5" ht="15" customHeight="1">
      <c r="B379" s="97"/>
      <c r="C379" s="62" t="s">
        <v>153</v>
      </c>
      <c r="D379" s="65">
        <v>5</v>
      </c>
      <c r="E379" s="64">
        <v>1E-3</v>
      </c>
    </row>
    <row r="380" spans="2:5" ht="15" customHeight="1">
      <c r="B380" s="97"/>
      <c r="C380" s="62" t="s">
        <v>136</v>
      </c>
      <c r="D380" s="65">
        <v>4</v>
      </c>
      <c r="E380" s="64">
        <v>1E-3</v>
      </c>
    </row>
    <row r="381" spans="2:5" ht="15" customHeight="1">
      <c r="B381" s="97"/>
      <c r="C381" s="62" t="s">
        <v>171</v>
      </c>
      <c r="D381" s="65">
        <v>4</v>
      </c>
      <c r="E381" s="64">
        <v>1E-3</v>
      </c>
    </row>
    <row r="382" spans="2:5" ht="15" customHeight="1">
      <c r="B382" s="97"/>
      <c r="C382" s="62" t="s">
        <v>133</v>
      </c>
      <c r="D382" s="65">
        <v>3</v>
      </c>
      <c r="E382" s="64">
        <v>1E-3</v>
      </c>
    </row>
    <row r="383" spans="2:5" ht="15" customHeight="1">
      <c r="B383" s="97"/>
      <c r="C383" s="62" t="s">
        <v>156</v>
      </c>
      <c r="D383" s="65">
        <v>3</v>
      </c>
      <c r="E383" s="64">
        <v>1E-3</v>
      </c>
    </row>
    <row r="384" spans="2:5" ht="15" customHeight="1">
      <c r="B384" s="97"/>
      <c r="C384" s="62" t="s">
        <v>180</v>
      </c>
      <c r="D384" s="65">
        <v>3</v>
      </c>
      <c r="E384" s="64">
        <v>1E-3</v>
      </c>
    </row>
    <row r="385" spans="2:5" ht="15" customHeight="1">
      <c r="B385" s="97"/>
      <c r="C385" s="62" t="s">
        <v>141</v>
      </c>
      <c r="D385" s="65">
        <v>3</v>
      </c>
      <c r="E385" s="64">
        <v>1E-3</v>
      </c>
    </row>
    <row r="386" spans="2:5" ht="15" customHeight="1">
      <c r="B386" s="97"/>
      <c r="C386" s="62" t="s">
        <v>142</v>
      </c>
      <c r="D386" s="65">
        <v>3</v>
      </c>
      <c r="E386" s="64">
        <v>1E-3</v>
      </c>
    </row>
    <row r="387" spans="2:5" ht="15" customHeight="1">
      <c r="B387" s="97"/>
      <c r="C387" s="62" t="s">
        <v>167</v>
      </c>
      <c r="D387" s="65">
        <v>2</v>
      </c>
      <c r="E387" s="64">
        <v>0</v>
      </c>
    </row>
    <row r="388" spans="2:5" ht="15" customHeight="1">
      <c r="B388" s="97"/>
      <c r="C388" s="62" t="s">
        <v>145</v>
      </c>
      <c r="D388" s="65">
        <v>2</v>
      </c>
      <c r="E388" s="64">
        <v>0</v>
      </c>
    </row>
    <row r="389" spans="2:5" ht="15" customHeight="1">
      <c r="B389" s="97"/>
      <c r="C389" s="62" t="s">
        <v>161</v>
      </c>
      <c r="D389" s="65">
        <v>1</v>
      </c>
      <c r="E389" s="64">
        <v>0</v>
      </c>
    </row>
    <row r="390" spans="2:5" ht="15" customHeight="1">
      <c r="B390" s="97"/>
      <c r="C390" s="62" t="s">
        <v>162</v>
      </c>
      <c r="D390" s="65">
        <v>1</v>
      </c>
      <c r="E390" s="64">
        <v>0</v>
      </c>
    </row>
    <row r="391" spans="2:5" ht="15" customHeight="1">
      <c r="B391" s="97"/>
      <c r="C391" s="62" t="s">
        <v>164</v>
      </c>
      <c r="D391" s="65">
        <v>1</v>
      </c>
      <c r="E391" s="64">
        <v>0</v>
      </c>
    </row>
    <row r="392" spans="2:5" ht="15" customHeight="1">
      <c r="B392" s="97"/>
      <c r="C392" s="62" t="s">
        <v>188</v>
      </c>
      <c r="D392" s="65">
        <v>1</v>
      </c>
      <c r="E392" s="64">
        <v>0</v>
      </c>
    </row>
    <row r="393" spans="2:5" ht="15" customHeight="1">
      <c r="B393" s="97"/>
      <c r="C393" s="62" t="s">
        <v>261</v>
      </c>
      <c r="D393" s="65">
        <v>1</v>
      </c>
      <c r="E393" s="64">
        <v>0</v>
      </c>
    </row>
    <row r="394" spans="2:5" ht="15" customHeight="1">
      <c r="B394" s="97"/>
      <c r="C394" s="62" t="s">
        <v>166</v>
      </c>
      <c r="D394" s="65">
        <v>1</v>
      </c>
      <c r="E394" s="64">
        <v>0</v>
      </c>
    </row>
    <row r="395" spans="2:5" ht="15" customHeight="1">
      <c r="B395" s="97"/>
      <c r="C395" s="62" t="s">
        <v>147</v>
      </c>
      <c r="D395" s="65">
        <v>1</v>
      </c>
      <c r="E395" s="64">
        <v>0</v>
      </c>
    </row>
    <row r="396" spans="2:5" ht="15" customHeight="1">
      <c r="B396" s="97"/>
      <c r="C396" s="62" t="s">
        <v>148</v>
      </c>
      <c r="D396" s="65">
        <v>1</v>
      </c>
      <c r="E396" s="64">
        <v>0</v>
      </c>
    </row>
    <row r="397" spans="2:5" ht="15" customHeight="1">
      <c r="B397" s="97"/>
      <c r="C397" s="62" t="s">
        <v>138</v>
      </c>
      <c r="D397" s="65">
        <v>1</v>
      </c>
      <c r="E397" s="64">
        <v>0</v>
      </c>
    </row>
    <row r="398" spans="2:5" ht="15" customHeight="1">
      <c r="B398" s="97"/>
      <c r="C398" s="62" t="s">
        <v>182</v>
      </c>
      <c r="D398" s="65">
        <v>1</v>
      </c>
      <c r="E398" s="64">
        <v>0</v>
      </c>
    </row>
    <row r="399" spans="2:5" ht="15" customHeight="1">
      <c r="B399" s="97"/>
      <c r="C399" s="62" t="s">
        <v>183</v>
      </c>
      <c r="D399" s="65">
        <v>1</v>
      </c>
      <c r="E399" s="64">
        <v>0</v>
      </c>
    </row>
    <row r="400" spans="2:5" ht="15" customHeight="1">
      <c r="B400" s="97"/>
      <c r="C400" s="62" t="s">
        <v>158</v>
      </c>
      <c r="D400" s="65">
        <v>1</v>
      </c>
      <c r="E400" s="64">
        <v>0</v>
      </c>
    </row>
    <row r="401" spans="2:5" ht="15" customHeight="1">
      <c r="B401" s="97"/>
      <c r="C401" s="73" t="s">
        <v>288</v>
      </c>
      <c r="D401" s="71">
        <v>136</v>
      </c>
      <c r="E401" s="72">
        <v>2.4E-2</v>
      </c>
    </row>
    <row r="402" spans="2:5" ht="15" customHeight="1">
      <c r="B402" s="97" t="s">
        <v>97</v>
      </c>
      <c r="C402" s="62" t="s">
        <v>167</v>
      </c>
      <c r="D402" s="65">
        <v>46</v>
      </c>
      <c r="E402" s="64">
        <v>8.0000000000000002E-3</v>
      </c>
    </row>
    <row r="403" spans="2:5" ht="15" customHeight="1">
      <c r="B403" s="97"/>
      <c r="C403" s="62" t="s">
        <v>131</v>
      </c>
      <c r="D403" s="65">
        <v>21</v>
      </c>
      <c r="E403" s="64">
        <v>4.0000000000000001E-3</v>
      </c>
    </row>
    <row r="404" spans="2:5" ht="15" customHeight="1">
      <c r="B404" s="97"/>
      <c r="C404" s="62" t="s">
        <v>144</v>
      </c>
      <c r="D404" s="65">
        <v>15</v>
      </c>
      <c r="E404" s="64">
        <v>3.0000000000000001E-3</v>
      </c>
    </row>
    <row r="405" spans="2:5" ht="15" customHeight="1">
      <c r="B405" s="97"/>
      <c r="C405" s="62" t="s">
        <v>134</v>
      </c>
      <c r="D405" s="65">
        <v>6</v>
      </c>
      <c r="E405" s="64">
        <v>1E-3</v>
      </c>
    </row>
    <row r="406" spans="2:5" ht="15" customHeight="1">
      <c r="B406" s="97"/>
      <c r="C406" s="62" t="s">
        <v>151</v>
      </c>
      <c r="D406" s="65">
        <v>5</v>
      </c>
      <c r="E406" s="64">
        <v>1E-3</v>
      </c>
    </row>
    <row r="407" spans="2:5" ht="15" customHeight="1">
      <c r="B407" s="97"/>
      <c r="C407" s="62" t="s">
        <v>133</v>
      </c>
      <c r="D407" s="65">
        <v>4</v>
      </c>
      <c r="E407" s="64">
        <v>1E-3</v>
      </c>
    </row>
    <row r="408" spans="2:5" ht="15" customHeight="1">
      <c r="B408" s="97"/>
      <c r="C408" s="62" t="s">
        <v>145</v>
      </c>
      <c r="D408" s="65">
        <v>4</v>
      </c>
      <c r="E408" s="64">
        <v>1E-3</v>
      </c>
    </row>
    <row r="409" spans="2:5" ht="15" customHeight="1">
      <c r="B409" s="97"/>
      <c r="C409" s="62" t="s">
        <v>135</v>
      </c>
      <c r="D409" s="65">
        <v>3</v>
      </c>
      <c r="E409" s="64">
        <v>1E-3</v>
      </c>
    </row>
    <row r="410" spans="2:5" ht="15" customHeight="1">
      <c r="B410" s="97"/>
      <c r="C410" s="62" t="s">
        <v>136</v>
      </c>
      <c r="D410" s="65">
        <v>3</v>
      </c>
      <c r="E410" s="64">
        <v>1E-3</v>
      </c>
    </row>
    <row r="411" spans="2:5" ht="15" customHeight="1">
      <c r="B411" s="97"/>
      <c r="C411" s="62" t="s">
        <v>156</v>
      </c>
      <c r="D411" s="65">
        <v>3</v>
      </c>
      <c r="E411" s="64">
        <v>1E-3</v>
      </c>
    </row>
    <row r="412" spans="2:5" ht="15" customHeight="1">
      <c r="B412" s="97"/>
      <c r="C412" s="62" t="s">
        <v>147</v>
      </c>
      <c r="D412" s="65">
        <v>2</v>
      </c>
      <c r="E412" s="64">
        <v>0</v>
      </c>
    </row>
    <row r="413" spans="2:5" ht="15" customHeight="1">
      <c r="B413" s="97"/>
      <c r="C413" s="62" t="s">
        <v>169</v>
      </c>
      <c r="D413" s="65">
        <v>2</v>
      </c>
      <c r="E413" s="64">
        <v>0</v>
      </c>
    </row>
    <row r="414" spans="2:5" ht="15" customHeight="1">
      <c r="B414" s="97"/>
      <c r="C414" s="62" t="s">
        <v>150</v>
      </c>
      <c r="D414" s="65">
        <v>2</v>
      </c>
      <c r="E414" s="64">
        <v>0</v>
      </c>
    </row>
    <row r="415" spans="2:5" ht="15" customHeight="1">
      <c r="B415" s="97"/>
      <c r="C415" s="62" t="s">
        <v>161</v>
      </c>
      <c r="D415" s="65">
        <v>1</v>
      </c>
      <c r="E415" s="64">
        <v>0</v>
      </c>
    </row>
    <row r="416" spans="2:5" ht="15" customHeight="1">
      <c r="B416" s="97"/>
      <c r="C416" s="62" t="s">
        <v>174</v>
      </c>
      <c r="D416" s="65">
        <v>1</v>
      </c>
      <c r="E416" s="64">
        <v>0</v>
      </c>
    </row>
    <row r="417" spans="2:5" ht="15" customHeight="1">
      <c r="B417" s="97"/>
      <c r="C417" s="62" t="s">
        <v>180</v>
      </c>
      <c r="D417" s="65">
        <v>1</v>
      </c>
      <c r="E417" s="64">
        <v>0</v>
      </c>
    </row>
    <row r="418" spans="2:5" ht="15" customHeight="1">
      <c r="B418" s="97"/>
      <c r="C418" s="62" t="s">
        <v>140</v>
      </c>
      <c r="D418" s="65">
        <v>1</v>
      </c>
      <c r="E418" s="64">
        <v>0</v>
      </c>
    </row>
    <row r="419" spans="2:5" ht="15" customHeight="1">
      <c r="B419" s="97"/>
      <c r="C419" s="62" t="s">
        <v>142</v>
      </c>
      <c r="D419" s="65">
        <v>1</v>
      </c>
      <c r="E419" s="64">
        <v>0</v>
      </c>
    </row>
    <row r="420" spans="2:5" ht="15" customHeight="1">
      <c r="B420" s="97"/>
      <c r="C420" s="62" t="s">
        <v>143</v>
      </c>
      <c r="D420" s="65">
        <v>1</v>
      </c>
      <c r="E420" s="64">
        <v>0</v>
      </c>
    </row>
    <row r="421" spans="2:5" ht="15" customHeight="1">
      <c r="B421" s="97"/>
      <c r="C421" s="62" t="s">
        <v>184</v>
      </c>
      <c r="D421" s="65">
        <v>1</v>
      </c>
      <c r="E421" s="64">
        <v>0</v>
      </c>
    </row>
    <row r="422" spans="2:5" ht="15" customHeight="1">
      <c r="B422" s="97"/>
      <c r="C422" s="62" t="s">
        <v>154</v>
      </c>
      <c r="D422" s="65">
        <v>1</v>
      </c>
      <c r="E422" s="64">
        <v>0</v>
      </c>
    </row>
    <row r="423" spans="2:5" ht="15" customHeight="1">
      <c r="B423" s="97"/>
      <c r="C423" s="73" t="s">
        <v>288</v>
      </c>
      <c r="D423" s="71">
        <v>124</v>
      </c>
      <c r="E423" s="72">
        <v>2.1999999999999999E-2</v>
      </c>
    </row>
    <row r="424" spans="2:5" ht="15" customHeight="1">
      <c r="B424" s="97" t="s">
        <v>109</v>
      </c>
      <c r="C424" s="62" t="s">
        <v>134</v>
      </c>
      <c r="D424" s="65">
        <v>36</v>
      </c>
      <c r="E424" s="64">
        <v>6.0000000000000001E-3</v>
      </c>
    </row>
    <row r="425" spans="2:5" ht="15" customHeight="1">
      <c r="B425" s="97"/>
      <c r="C425" s="62" t="s">
        <v>144</v>
      </c>
      <c r="D425" s="65">
        <v>19</v>
      </c>
      <c r="E425" s="64">
        <v>3.0000000000000001E-3</v>
      </c>
    </row>
    <row r="426" spans="2:5" ht="15" customHeight="1">
      <c r="B426" s="97"/>
      <c r="C426" s="62" t="s">
        <v>140</v>
      </c>
      <c r="D426" s="65">
        <v>7</v>
      </c>
      <c r="E426" s="64">
        <v>1E-3</v>
      </c>
    </row>
    <row r="427" spans="2:5" ht="15" customHeight="1">
      <c r="B427" s="97"/>
      <c r="C427" s="62" t="s">
        <v>137</v>
      </c>
      <c r="D427" s="65">
        <v>5</v>
      </c>
      <c r="E427" s="64">
        <v>1E-3</v>
      </c>
    </row>
    <row r="428" spans="2:5" ht="15" customHeight="1">
      <c r="B428" s="97"/>
      <c r="C428" s="62" t="s">
        <v>171</v>
      </c>
      <c r="D428" s="65">
        <v>3</v>
      </c>
      <c r="E428" s="64">
        <v>1E-3</v>
      </c>
    </row>
    <row r="429" spans="2:5" ht="15" customHeight="1">
      <c r="B429" s="97"/>
      <c r="C429" s="62" t="s">
        <v>143</v>
      </c>
      <c r="D429" s="65">
        <v>3</v>
      </c>
      <c r="E429" s="64">
        <v>1E-3</v>
      </c>
    </row>
    <row r="430" spans="2:5" ht="15" customHeight="1">
      <c r="B430" s="97"/>
      <c r="C430" s="62" t="s">
        <v>184</v>
      </c>
      <c r="D430" s="65">
        <v>3</v>
      </c>
      <c r="E430" s="64">
        <v>1E-3</v>
      </c>
    </row>
    <row r="431" spans="2:5" ht="15" customHeight="1">
      <c r="B431" s="97"/>
      <c r="C431" s="62" t="s">
        <v>133</v>
      </c>
      <c r="D431" s="65">
        <v>2</v>
      </c>
      <c r="E431" s="64">
        <v>0</v>
      </c>
    </row>
    <row r="432" spans="2:5" ht="15" customHeight="1">
      <c r="B432" s="97"/>
      <c r="C432" s="62" t="s">
        <v>261</v>
      </c>
      <c r="D432" s="65">
        <v>2</v>
      </c>
      <c r="E432" s="64">
        <v>0</v>
      </c>
    </row>
    <row r="433" spans="2:5" ht="15" customHeight="1">
      <c r="B433" s="97"/>
      <c r="C433" s="62" t="s">
        <v>136</v>
      </c>
      <c r="D433" s="65">
        <v>2</v>
      </c>
      <c r="E433" s="64">
        <v>0</v>
      </c>
    </row>
    <row r="434" spans="2:5" ht="15" customHeight="1">
      <c r="B434" s="97"/>
      <c r="C434" s="62" t="s">
        <v>156</v>
      </c>
      <c r="D434" s="65">
        <v>2</v>
      </c>
      <c r="E434" s="64">
        <v>0</v>
      </c>
    </row>
    <row r="435" spans="2:5" ht="15" customHeight="1">
      <c r="B435" s="97"/>
      <c r="C435" s="62" t="s">
        <v>159</v>
      </c>
      <c r="D435" s="65">
        <v>1</v>
      </c>
      <c r="E435" s="64">
        <v>0</v>
      </c>
    </row>
    <row r="436" spans="2:5" ht="15" customHeight="1">
      <c r="B436" s="97"/>
      <c r="C436" s="62" t="s">
        <v>131</v>
      </c>
      <c r="D436" s="65">
        <v>1</v>
      </c>
      <c r="E436" s="64">
        <v>0</v>
      </c>
    </row>
    <row r="437" spans="2:5" ht="15" customHeight="1">
      <c r="B437" s="97"/>
      <c r="C437" s="62" t="s">
        <v>146</v>
      </c>
      <c r="D437" s="65">
        <v>1</v>
      </c>
      <c r="E437" s="64">
        <v>0</v>
      </c>
    </row>
    <row r="438" spans="2:5" ht="15" customHeight="1">
      <c r="B438" s="97"/>
      <c r="C438" s="62" t="s">
        <v>135</v>
      </c>
      <c r="D438" s="65">
        <v>1</v>
      </c>
      <c r="E438" s="64">
        <v>0</v>
      </c>
    </row>
    <row r="439" spans="2:5" ht="15" customHeight="1">
      <c r="B439" s="97"/>
      <c r="C439" s="62" t="s">
        <v>139</v>
      </c>
      <c r="D439" s="65">
        <v>1</v>
      </c>
      <c r="E439" s="64">
        <v>0</v>
      </c>
    </row>
    <row r="440" spans="2:5" ht="15" customHeight="1">
      <c r="B440" s="97"/>
      <c r="C440" s="62" t="s">
        <v>179</v>
      </c>
      <c r="D440" s="65">
        <v>1</v>
      </c>
      <c r="E440" s="64">
        <v>0</v>
      </c>
    </row>
    <row r="441" spans="2:5" ht="15" customHeight="1">
      <c r="B441" s="97"/>
      <c r="C441" s="62" t="s">
        <v>141</v>
      </c>
      <c r="D441" s="65">
        <v>1</v>
      </c>
      <c r="E441" s="64">
        <v>0</v>
      </c>
    </row>
    <row r="442" spans="2:5" ht="15" customHeight="1">
      <c r="B442" s="97"/>
      <c r="C442" s="62" t="s">
        <v>182</v>
      </c>
      <c r="D442" s="65">
        <v>1</v>
      </c>
      <c r="E442" s="64">
        <v>0</v>
      </c>
    </row>
    <row r="443" spans="2:5" ht="15" customHeight="1">
      <c r="B443" s="97"/>
      <c r="C443" s="73" t="s">
        <v>288</v>
      </c>
      <c r="D443" s="71">
        <v>92</v>
      </c>
      <c r="E443" s="72">
        <v>1.6E-2</v>
      </c>
    </row>
    <row r="444" spans="2:5" ht="15" customHeight="1">
      <c r="B444" s="97" t="s">
        <v>115</v>
      </c>
      <c r="C444" s="62" t="s">
        <v>144</v>
      </c>
      <c r="D444" s="65">
        <v>14</v>
      </c>
      <c r="E444" s="64">
        <v>2E-3</v>
      </c>
    </row>
    <row r="445" spans="2:5" ht="15" customHeight="1">
      <c r="B445" s="97"/>
      <c r="C445" s="62" t="s">
        <v>133</v>
      </c>
      <c r="D445" s="65">
        <v>9</v>
      </c>
      <c r="E445" s="64">
        <v>2E-3</v>
      </c>
    </row>
    <row r="446" spans="2:5" ht="15" customHeight="1">
      <c r="B446" s="97"/>
      <c r="C446" s="62" t="s">
        <v>142</v>
      </c>
      <c r="D446" s="65">
        <v>7</v>
      </c>
      <c r="E446" s="64">
        <v>1E-3</v>
      </c>
    </row>
    <row r="447" spans="2:5" ht="15" customHeight="1">
      <c r="B447" s="97"/>
      <c r="C447" s="62" t="s">
        <v>131</v>
      </c>
      <c r="D447" s="65">
        <v>6</v>
      </c>
      <c r="E447" s="64">
        <v>1E-3</v>
      </c>
    </row>
    <row r="448" spans="2:5" ht="15" customHeight="1">
      <c r="B448" s="97"/>
      <c r="C448" s="62" t="s">
        <v>151</v>
      </c>
      <c r="D448" s="65">
        <v>5</v>
      </c>
      <c r="E448" s="64">
        <v>1E-3</v>
      </c>
    </row>
    <row r="449" spans="2:5" ht="15" customHeight="1">
      <c r="B449" s="97"/>
      <c r="C449" s="62" t="s">
        <v>134</v>
      </c>
      <c r="D449" s="65">
        <v>4</v>
      </c>
      <c r="E449" s="64">
        <v>1E-3</v>
      </c>
    </row>
    <row r="450" spans="2:5" ht="15" customHeight="1">
      <c r="B450" s="97"/>
      <c r="C450" s="62" t="s">
        <v>167</v>
      </c>
      <c r="D450" s="65">
        <v>4</v>
      </c>
      <c r="E450" s="64">
        <v>1E-3</v>
      </c>
    </row>
    <row r="451" spans="2:5" ht="15" customHeight="1">
      <c r="B451" s="97"/>
      <c r="C451" s="62" t="s">
        <v>138</v>
      </c>
      <c r="D451" s="65">
        <v>4</v>
      </c>
      <c r="E451" s="64">
        <v>1E-3</v>
      </c>
    </row>
    <row r="452" spans="2:5" ht="15" customHeight="1">
      <c r="B452" s="97"/>
      <c r="C452" s="62" t="s">
        <v>155</v>
      </c>
      <c r="D452" s="65">
        <v>4</v>
      </c>
      <c r="E452" s="64">
        <v>1E-3</v>
      </c>
    </row>
    <row r="453" spans="2:5" ht="15" customHeight="1">
      <c r="B453" s="97"/>
      <c r="C453" s="62" t="s">
        <v>139</v>
      </c>
      <c r="D453" s="65">
        <v>4</v>
      </c>
      <c r="E453" s="64">
        <v>1E-3</v>
      </c>
    </row>
    <row r="454" spans="2:5" ht="15" customHeight="1">
      <c r="B454" s="97"/>
      <c r="C454" s="62" t="s">
        <v>136</v>
      </c>
      <c r="D454" s="65">
        <v>3</v>
      </c>
      <c r="E454" s="64">
        <v>1E-3</v>
      </c>
    </row>
    <row r="455" spans="2:5" ht="15" customHeight="1">
      <c r="B455" s="97"/>
      <c r="C455" s="62" t="s">
        <v>180</v>
      </c>
      <c r="D455" s="65">
        <v>3</v>
      </c>
      <c r="E455" s="64">
        <v>1E-3</v>
      </c>
    </row>
    <row r="456" spans="2:5" ht="15" customHeight="1">
      <c r="B456" s="97"/>
      <c r="C456" s="62" t="s">
        <v>135</v>
      </c>
      <c r="D456" s="65">
        <v>2</v>
      </c>
      <c r="E456" s="64">
        <v>0</v>
      </c>
    </row>
    <row r="457" spans="2:5" ht="15" customHeight="1">
      <c r="B457" s="97"/>
      <c r="C457" s="62" t="s">
        <v>169</v>
      </c>
      <c r="D457" s="65">
        <v>2</v>
      </c>
      <c r="E457" s="64">
        <v>0</v>
      </c>
    </row>
    <row r="458" spans="2:5" ht="15" customHeight="1">
      <c r="B458" s="97"/>
      <c r="C458" s="62" t="s">
        <v>170</v>
      </c>
      <c r="D458" s="65">
        <v>2</v>
      </c>
      <c r="E458" s="64">
        <v>0</v>
      </c>
    </row>
    <row r="459" spans="2:5" ht="15" customHeight="1">
      <c r="B459" s="97"/>
      <c r="C459" s="62" t="s">
        <v>145</v>
      </c>
      <c r="D459" s="65">
        <v>2</v>
      </c>
      <c r="E459" s="64">
        <v>0</v>
      </c>
    </row>
    <row r="460" spans="2:5" ht="15" customHeight="1">
      <c r="B460" s="97"/>
      <c r="C460" s="62" t="s">
        <v>150</v>
      </c>
      <c r="D460" s="65">
        <v>2</v>
      </c>
      <c r="E460" s="64">
        <v>0</v>
      </c>
    </row>
    <row r="461" spans="2:5" ht="15" customHeight="1">
      <c r="B461" s="97"/>
      <c r="C461" s="62" t="s">
        <v>152</v>
      </c>
      <c r="D461" s="65">
        <v>2</v>
      </c>
      <c r="E461" s="64">
        <v>0</v>
      </c>
    </row>
    <row r="462" spans="2:5" ht="15" customHeight="1">
      <c r="B462" s="97"/>
      <c r="C462" s="62" t="s">
        <v>153</v>
      </c>
      <c r="D462" s="65">
        <v>2</v>
      </c>
      <c r="E462" s="64">
        <v>0</v>
      </c>
    </row>
    <row r="463" spans="2:5" ht="15" customHeight="1">
      <c r="B463" s="97"/>
      <c r="C463" s="62" t="s">
        <v>162</v>
      </c>
      <c r="D463" s="65">
        <v>1</v>
      </c>
      <c r="E463" s="64">
        <v>0</v>
      </c>
    </row>
    <row r="464" spans="2:5" ht="15" customHeight="1">
      <c r="B464" s="97"/>
      <c r="C464" s="62" t="s">
        <v>165</v>
      </c>
      <c r="D464" s="65">
        <v>1</v>
      </c>
      <c r="E464" s="64">
        <v>0</v>
      </c>
    </row>
    <row r="465" spans="2:5" ht="15" customHeight="1">
      <c r="B465" s="97"/>
      <c r="C465" s="62" t="s">
        <v>175</v>
      </c>
      <c r="D465" s="65">
        <v>1</v>
      </c>
      <c r="E465" s="64">
        <v>0</v>
      </c>
    </row>
    <row r="466" spans="2:5" ht="15" customHeight="1">
      <c r="B466" s="97"/>
      <c r="C466" s="62" t="s">
        <v>181</v>
      </c>
      <c r="D466" s="65">
        <v>1</v>
      </c>
      <c r="E466" s="64">
        <v>0</v>
      </c>
    </row>
    <row r="467" spans="2:5" ht="15" customHeight="1">
      <c r="B467" s="97"/>
      <c r="C467" s="62" t="s">
        <v>141</v>
      </c>
      <c r="D467" s="65">
        <v>1</v>
      </c>
      <c r="E467" s="64">
        <v>0</v>
      </c>
    </row>
    <row r="468" spans="2:5" ht="15" customHeight="1">
      <c r="B468" s="97"/>
      <c r="C468" s="62" t="s">
        <v>143</v>
      </c>
      <c r="D468" s="65">
        <v>1</v>
      </c>
      <c r="E468" s="64">
        <v>0</v>
      </c>
    </row>
    <row r="469" spans="2:5" ht="15" customHeight="1">
      <c r="B469" s="97"/>
      <c r="C469" s="62" t="s">
        <v>182</v>
      </c>
      <c r="D469" s="65">
        <v>1</v>
      </c>
      <c r="E469" s="64">
        <v>0</v>
      </c>
    </row>
    <row r="470" spans="2:5" ht="15" customHeight="1">
      <c r="B470" s="97"/>
      <c r="C470" s="62" t="s">
        <v>183</v>
      </c>
      <c r="D470" s="65">
        <v>1</v>
      </c>
      <c r="E470" s="64">
        <v>0</v>
      </c>
    </row>
    <row r="471" spans="2:5" ht="15" customHeight="1">
      <c r="B471" s="97"/>
      <c r="C471" s="73" t="s">
        <v>288</v>
      </c>
      <c r="D471" s="71">
        <v>89</v>
      </c>
      <c r="E471" s="72">
        <v>1.6E-2</v>
      </c>
    </row>
    <row r="472" spans="2:5" ht="15" customHeight="1">
      <c r="B472" s="97" t="s">
        <v>95</v>
      </c>
      <c r="C472" s="62" t="s">
        <v>145</v>
      </c>
      <c r="D472" s="65">
        <v>16</v>
      </c>
      <c r="E472" s="64">
        <v>3.0000000000000001E-3</v>
      </c>
    </row>
    <row r="473" spans="2:5" ht="15" customHeight="1">
      <c r="B473" s="97"/>
      <c r="C473" s="62" t="s">
        <v>144</v>
      </c>
      <c r="D473" s="65">
        <v>12</v>
      </c>
      <c r="E473" s="64">
        <v>2E-3</v>
      </c>
    </row>
    <row r="474" spans="2:5" ht="15" customHeight="1">
      <c r="B474" s="97"/>
      <c r="C474" s="62" t="s">
        <v>131</v>
      </c>
      <c r="D474" s="65">
        <v>5</v>
      </c>
      <c r="E474" s="64">
        <v>1E-3</v>
      </c>
    </row>
    <row r="475" spans="2:5" ht="15" customHeight="1">
      <c r="B475" s="97"/>
      <c r="C475" s="62" t="s">
        <v>165</v>
      </c>
      <c r="D475" s="65">
        <v>5</v>
      </c>
      <c r="E475" s="64">
        <v>1E-3</v>
      </c>
    </row>
    <row r="476" spans="2:5" ht="15" customHeight="1">
      <c r="B476" s="97"/>
      <c r="C476" s="62" t="s">
        <v>153</v>
      </c>
      <c r="D476" s="65">
        <v>4</v>
      </c>
      <c r="E476" s="64">
        <v>1E-3</v>
      </c>
    </row>
    <row r="477" spans="2:5" ht="15" customHeight="1">
      <c r="B477" s="97"/>
      <c r="C477" s="62" t="s">
        <v>136</v>
      </c>
      <c r="D477" s="65">
        <v>3</v>
      </c>
      <c r="E477" s="64">
        <v>1E-3</v>
      </c>
    </row>
    <row r="478" spans="2:5" ht="15" customHeight="1">
      <c r="B478" s="97"/>
      <c r="C478" s="62" t="s">
        <v>139</v>
      </c>
      <c r="D478" s="65">
        <v>3</v>
      </c>
      <c r="E478" s="64">
        <v>1E-3</v>
      </c>
    </row>
    <row r="479" spans="2:5" ht="15" customHeight="1">
      <c r="B479" s="97"/>
      <c r="C479" s="62" t="s">
        <v>182</v>
      </c>
      <c r="D479" s="65">
        <v>3</v>
      </c>
      <c r="E479" s="64">
        <v>1E-3</v>
      </c>
    </row>
    <row r="480" spans="2:5" ht="15" customHeight="1">
      <c r="B480" s="97"/>
      <c r="C480" s="62" t="s">
        <v>133</v>
      </c>
      <c r="D480" s="65">
        <v>2</v>
      </c>
      <c r="E480" s="64">
        <v>0</v>
      </c>
    </row>
    <row r="481" spans="2:5" ht="15" customHeight="1">
      <c r="B481" s="97"/>
      <c r="C481" s="62" t="s">
        <v>166</v>
      </c>
      <c r="D481" s="65">
        <v>2</v>
      </c>
      <c r="E481" s="64">
        <v>0</v>
      </c>
    </row>
    <row r="482" spans="2:5" ht="15" customHeight="1">
      <c r="B482" s="97"/>
      <c r="C482" s="62" t="s">
        <v>147</v>
      </c>
      <c r="D482" s="65">
        <v>2</v>
      </c>
      <c r="E482" s="64">
        <v>0</v>
      </c>
    </row>
    <row r="483" spans="2:5" ht="15" customHeight="1">
      <c r="B483" s="97"/>
      <c r="C483" s="62" t="s">
        <v>167</v>
      </c>
      <c r="D483" s="65">
        <v>2</v>
      </c>
      <c r="E483" s="64">
        <v>0</v>
      </c>
    </row>
    <row r="484" spans="2:5" ht="15" customHeight="1">
      <c r="B484" s="97"/>
      <c r="C484" s="62" t="s">
        <v>155</v>
      </c>
      <c r="D484" s="65">
        <v>2</v>
      </c>
      <c r="E484" s="64">
        <v>0</v>
      </c>
    </row>
    <row r="485" spans="2:5" ht="15" customHeight="1">
      <c r="B485" s="97"/>
      <c r="C485" s="62" t="s">
        <v>170</v>
      </c>
      <c r="D485" s="65">
        <v>2</v>
      </c>
      <c r="E485" s="64">
        <v>0</v>
      </c>
    </row>
    <row r="486" spans="2:5" ht="15" customHeight="1">
      <c r="B486" s="97"/>
      <c r="C486" s="62" t="s">
        <v>141</v>
      </c>
      <c r="D486" s="65">
        <v>2</v>
      </c>
      <c r="E486" s="64">
        <v>0</v>
      </c>
    </row>
    <row r="487" spans="2:5" ht="15" customHeight="1">
      <c r="B487" s="97"/>
      <c r="C487" s="62" t="s">
        <v>150</v>
      </c>
      <c r="D487" s="65">
        <v>2</v>
      </c>
      <c r="E487" s="64">
        <v>0</v>
      </c>
    </row>
    <row r="488" spans="2:5" ht="15" customHeight="1">
      <c r="B488" s="97"/>
      <c r="C488" s="62" t="s">
        <v>151</v>
      </c>
      <c r="D488" s="65">
        <v>2</v>
      </c>
      <c r="E488" s="64">
        <v>0</v>
      </c>
    </row>
    <row r="489" spans="2:5" ht="15" customHeight="1">
      <c r="B489" s="97"/>
      <c r="C489" s="62" t="s">
        <v>132</v>
      </c>
      <c r="D489" s="65">
        <v>1</v>
      </c>
      <c r="E489" s="64">
        <v>0</v>
      </c>
    </row>
    <row r="490" spans="2:5" ht="15" customHeight="1">
      <c r="B490" s="97"/>
      <c r="C490" s="62" t="s">
        <v>134</v>
      </c>
      <c r="D490" s="65">
        <v>1</v>
      </c>
      <c r="E490" s="64">
        <v>0</v>
      </c>
    </row>
    <row r="491" spans="2:5" ht="15" customHeight="1">
      <c r="B491" s="97"/>
      <c r="C491" s="62" t="s">
        <v>146</v>
      </c>
      <c r="D491" s="65">
        <v>1</v>
      </c>
      <c r="E491" s="64">
        <v>0</v>
      </c>
    </row>
    <row r="492" spans="2:5" ht="15" customHeight="1">
      <c r="B492" s="97"/>
      <c r="C492" s="62" t="s">
        <v>135</v>
      </c>
      <c r="D492" s="65">
        <v>1</v>
      </c>
      <c r="E492" s="64">
        <v>0</v>
      </c>
    </row>
    <row r="493" spans="2:5" ht="15" customHeight="1">
      <c r="B493" s="97"/>
      <c r="C493" s="62" t="s">
        <v>168</v>
      </c>
      <c r="D493" s="65">
        <v>1</v>
      </c>
      <c r="E493" s="64">
        <v>0</v>
      </c>
    </row>
    <row r="494" spans="2:5" ht="15" customHeight="1">
      <c r="B494" s="97"/>
      <c r="C494" s="62" t="s">
        <v>185</v>
      </c>
      <c r="D494" s="65">
        <v>1</v>
      </c>
      <c r="E494" s="64">
        <v>0</v>
      </c>
    </row>
    <row r="495" spans="2:5" ht="15" customHeight="1">
      <c r="B495" s="97"/>
      <c r="C495" s="62" t="s">
        <v>186</v>
      </c>
      <c r="D495" s="65">
        <v>1</v>
      </c>
      <c r="E495" s="64">
        <v>0</v>
      </c>
    </row>
    <row r="496" spans="2:5" ht="15" customHeight="1">
      <c r="B496" s="97"/>
      <c r="C496" s="62" t="s">
        <v>180</v>
      </c>
      <c r="D496" s="65">
        <v>1</v>
      </c>
      <c r="E496" s="64">
        <v>0</v>
      </c>
    </row>
    <row r="497" spans="2:5" ht="15" customHeight="1">
      <c r="B497" s="97"/>
      <c r="C497" s="62" t="s">
        <v>140</v>
      </c>
      <c r="D497" s="65">
        <v>1</v>
      </c>
      <c r="E497" s="64">
        <v>0</v>
      </c>
    </row>
    <row r="498" spans="2:5" ht="15" customHeight="1">
      <c r="B498" s="97"/>
      <c r="C498" s="62" t="s">
        <v>142</v>
      </c>
      <c r="D498" s="65">
        <v>1</v>
      </c>
      <c r="E498" s="64">
        <v>0</v>
      </c>
    </row>
    <row r="499" spans="2:5" ht="15" customHeight="1">
      <c r="B499" s="97"/>
      <c r="C499" s="62" t="s">
        <v>143</v>
      </c>
      <c r="D499" s="65">
        <v>1</v>
      </c>
      <c r="E499" s="64">
        <v>0</v>
      </c>
    </row>
    <row r="500" spans="2:5" ht="15" customHeight="1">
      <c r="B500" s="97"/>
      <c r="C500" s="62" t="s">
        <v>157</v>
      </c>
      <c r="D500" s="65">
        <v>1</v>
      </c>
      <c r="E500" s="64">
        <v>0</v>
      </c>
    </row>
    <row r="501" spans="2:5" ht="15" customHeight="1">
      <c r="B501" s="97"/>
      <c r="C501" s="62" t="s">
        <v>158</v>
      </c>
      <c r="D501" s="65">
        <v>1</v>
      </c>
      <c r="E501" s="64">
        <v>0</v>
      </c>
    </row>
    <row r="502" spans="2:5" ht="15" customHeight="1">
      <c r="B502" s="97"/>
      <c r="C502" s="62" t="s">
        <v>184</v>
      </c>
      <c r="D502" s="65">
        <v>1</v>
      </c>
      <c r="E502" s="64">
        <v>0</v>
      </c>
    </row>
    <row r="503" spans="2:5" ht="15" customHeight="1">
      <c r="B503" s="97"/>
      <c r="C503" s="73" t="s">
        <v>288</v>
      </c>
      <c r="D503" s="71">
        <v>83</v>
      </c>
      <c r="E503" s="72">
        <v>1.4999999999999999E-2</v>
      </c>
    </row>
    <row r="504" spans="2:5" ht="15" customHeight="1">
      <c r="B504" s="97" t="s">
        <v>124</v>
      </c>
      <c r="C504" s="62" t="s">
        <v>136</v>
      </c>
      <c r="D504" s="65">
        <v>14</v>
      </c>
      <c r="E504" s="64">
        <v>2E-3</v>
      </c>
    </row>
    <row r="505" spans="2:5" ht="15" customHeight="1">
      <c r="B505" s="97"/>
      <c r="C505" s="62" t="s">
        <v>144</v>
      </c>
      <c r="D505" s="65">
        <v>9</v>
      </c>
      <c r="E505" s="64">
        <v>2E-3</v>
      </c>
    </row>
    <row r="506" spans="2:5" ht="15" customHeight="1">
      <c r="B506" s="97"/>
      <c r="C506" s="62" t="s">
        <v>155</v>
      </c>
      <c r="D506" s="65">
        <v>8</v>
      </c>
      <c r="E506" s="64">
        <v>1E-3</v>
      </c>
    </row>
    <row r="507" spans="2:5" ht="15" customHeight="1">
      <c r="B507" s="97"/>
      <c r="C507" s="62" t="s">
        <v>133</v>
      </c>
      <c r="D507" s="65">
        <v>6</v>
      </c>
      <c r="E507" s="64">
        <v>1E-3</v>
      </c>
    </row>
    <row r="508" spans="2:5" ht="15" customHeight="1">
      <c r="B508" s="97"/>
      <c r="C508" s="62" t="s">
        <v>134</v>
      </c>
      <c r="D508" s="65">
        <v>4</v>
      </c>
      <c r="E508" s="64">
        <v>1E-3</v>
      </c>
    </row>
    <row r="509" spans="2:5" ht="15" customHeight="1">
      <c r="B509" s="97"/>
      <c r="C509" s="62" t="s">
        <v>135</v>
      </c>
      <c r="D509" s="65">
        <v>4</v>
      </c>
      <c r="E509" s="64">
        <v>1E-3</v>
      </c>
    </row>
    <row r="510" spans="2:5" ht="15" customHeight="1">
      <c r="B510" s="97"/>
      <c r="C510" s="62" t="s">
        <v>147</v>
      </c>
      <c r="D510" s="65">
        <v>3</v>
      </c>
      <c r="E510" s="64">
        <v>1E-3</v>
      </c>
    </row>
    <row r="511" spans="2:5" ht="15" customHeight="1">
      <c r="B511" s="97"/>
      <c r="C511" s="62" t="s">
        <v>167</v>
      </c>
      <c r="D511" s="65">
        <v>3</v>
      </c>
      <c r="E511" s="64">
        <v>1E-3</v>
      </c>
    </row>
    <row r="512" spans="2:5" ht="15" customHeight="1">
      <c r="B512" s="97"/>
      <c r="C512" s="62" t="s">
        <v>131</v>
      </c>
      <c r="D512" s="65">
        <v>2</v>
      </c>
      <c r="E512" s="64">
        <v>0</v>
      </c>
    </row>
    <row r="513" spans="2:5" ht="15" customHeight="1">
      <c r="B513" s="97"/>
      <c r="C513" s="62" t="s">
        <v>156</v>
      </c>
      <c r="D513" s="65">
        <v>2</v>
      </c>
      <c r="E513" s="64">
        <v>0</v>
      </c>
    </row>
    <row r="514" spans="2:5" ht="15" customHeight="1">
      <c r="B514" s="97"/>
      <c r="C514" s="62" t="s">
        <v>175</v>
      </c>
      <c r="D514" s="65">
        <v>2</v>
      </c>
      <c r="E514" s="64">
        <v>0</v>
      </c>
    </row>
    <row r="515" spans="2:5" ht="15" customHeight="1">
      <c r="B515" s="97"/>
      <c r="C515" s="62" t="s">
        <v>150</v>
      </c>
      <c r="D515" s="65">
        <v>2</v>
      </c>
      <c r="E515" s="64">
        <v>0</v>
      </c>
    </row>
    <row r="516" spans="2:5" ht="15" customHeight="1">
      <c r="B516" s="97"/>
      <c r="C516" s="62" t="s">
        <v>146</v>
      </c>
      <c r="D516" s="65">
        <v>1</v>
      </c>
      <c r="E516" s="64">
        <v>0</v>
      </c>
    </row>
    <row r="517" spans="2:5" ht="15" customHeight="1">
      <c r="B517" s="97"/>
      <c r="C517" s="62" t="s">
        <v>139</v>
      </c>
      <c r="D517" s="65">
        <v>1</v>
      </c>
      <c r="E517" s="64">
        <v>0</v>
      </c>
    </row>
    <row r="518" spans="2:5" ht="15" customHeight="1">
      <c r="B518" s="97"/>
      <c r="C518" s="62" t="s">
        <v>180</v>
      </c>
      <c r="D518" s="65">
        <v>1</v>
      </c>
      <c r="E518" s="64">
        <v>0</v>
      </c>
    </row>
    <row r="519" spans="2:5" ht="15" customHeight="1">
      <c r="B519" s="97"/>
      <c r="C519" s="62" t="s">
        <v>145</v>
      </c>
      <c r="D519" s="65">
        <v>1</v>
      </c>
      <c r="E519" s="64">
        <v>0</v>
      </c>
    </row>
    <row r="520" spans="2:5" ht="15" customHeight="1">
      <c r="B520" s="97"/>
      <c r="C520" s="62" t="s">
        <v>152</v>
      </c>
      <c r="D520" s="65">
        <v>1</v>
      </c>
      <c r="E520" s="64">
        <v>0</v>
      </c>
    </row>
    <row r="521" spans="2:5" ht="15" customHeight="1">
      <c r="B521" s="97"/>
      <c r="C521" s="62" t="s">
        <v>153</v>
      </c>
      <c r="D521" s="65">
        <v>1</v>
      </c>
      <c r="E521" s="64">
        <v>0</v>
      </c>
    </row>
    <row r="522" spans="2:5" ht="15" customHeight="1">
      <c r="B522" s="97"/>
      <c r="C522" s="73" t="s">
        <v>288</v>
      </c>
      <c r="D522" s="71">
        <v>65</v>
      </c>
      <c r="E522" s="72">
        <v>1.2E-2</v>
      </c>
    </row>
    <row r="523" spans="2:5" ht="15" customHeight="1">
      <c r="B523" s="97" t="s">
        <v>126</v>
      </c>
      <c r="C523" s="62" t="s">
        <v>135</v>
      </c>
      <c r="D523" s="65">
        <v>9</v>
      </c>
      <c r="E523" s="64">
        <v>2E-3</v>
      </c>
    </row>
    <row r="524" spans="2:5" ht="15" customHeight="1">
      <c r="B524" s="97"/>
      <c r="C524" s="62" t="s">
        <v>144</v>
      </c>
      <c r="D524" s="65">
        <v>9</v>
      </c>
      <c r="E524" s="64">
        <v>2E-3</v>
      </c>
    </row>
    <row r="525" spans="2:5" ht="15" customHeight="1">
      <c r="B525" s="97"/>
      <c r="C525" s="62" t="s">
        <v>133</v>
      </c>
      <c r="D525" s="65">
        <v>5</v>
      </c>
      <c r="E525" s="64">
        <v>1E-3</v>
      </c>
    </row>
    <row r="526" spans="2:5" ht="15" customHeight="1">
      <c r="B526" s="97"/>
      <c r="C526" s="62" t="s">
        <v>134</v>
      </c>
      <c r="D526" s="65">
        <v>5</v>
      </c>
      <c r="E526" s="64">
        <v>1E-3</v>
      </c>
    </row>
    <row r="527" spans="2:5" ht="15" customHeight="1">
      <c r="B527" s="97"/>
      <c r="C527" s="62" t="s">
        <v>170</v>
      </c>
      <c r="D527" s="65">
        <v>5</v>
      </c>
      <c r="E527" s="64">
        <v>1E-3</v>
      </c>
    </row>
    <row r="528" spans="2:5" ht="15" customHeight="1">
      <c r="B528" s="97"/>
      <c r="C528" s="62" t="s">
        <v>159</v>
      </c>
      <c r="D528" s="65">
        <v>4</v>
      </c>
      <c r="E528" s="64">
        <v>1E-3</v>
      </c>
    </row>
    <row r="529" spans="2:5" ht="15" customHeight="1">
      <c r="B529" s="97"/>
      <c r="C529" s="62" t="s">
        <v>184</v>
      </c>
      <c r="D529" s="65">
        <v>4</v>
      </c>
      <c r="E529" s="64">
        <v>1E-3</v>
      </c>
    </row>
    <row r="530" spans="2:5" ht="15" customHeight="1">
      <c r="B530" s="97"/>
      <c r="C530" s="62" t="s">
        <v>131</v>
      </c>
      <c r="D530" s="65">
        <v>2</v>
      </c>
      <c r="E530" s="64">
        <v>0</v>
      </c>
    </row>
    <row r="531" spans="2:5" ht="15" customHeight="1">
      <c r="B531" s="97"/>
      <c r="C531" s="62" t="s">
        <v>147</v>
      </c>
      <c r="D531" s="65">
        <v>2</v>
      </c>
      <c r="E531" s="64">
        <v>0</v>
      </c>
    </row>
    <row r="532" spans="2:5" ht="15" customHeight="1">
      <c r="B532" s="97"/>
      <c r="C532" s="62" t="s">
        <v>176</v>
      </c>
      <c r="D532" s="65">
        <v>2</v>
      </c>
      <c r="E532" s="64">
        <v>0</v>
      </c>
    </row>
    <row r="533" spans="2:5" ht="15" customHeight="1">
      <c r="B533" s="97"/>
      <c r="C533" s="62" t="s">
        <v>162</v>
      </c>
      <c r="D533" s="65">
        <v>1</v>
      </c>
      <c r="E533" s="64">
        <v>0</v>
      </c>
    </row>
    <row r="534" spans="2:5" ht="15" customHeight="1">
      <c r="B534" s="97"/>
      <c r="C534" s="62" t="s">
        <v>163</v>
      </c>
      <c r="D534" s="65">
        <v>1</v>
      </c>
      <c r="E534" s="64">
        <v>0</v>
      </c>
    </row>
    <row r="535" spans="2:5" ht="15" customHeight="1">
      <c r="B535" s="97"/>
      <c r="C535" s="62" t="s">
        <v>136</v>
      </c>
      <c r="D535" s="65">
        <v>1</v>
      </c>
      <c r="E535" s="64">
        <v>0</v>
      </c>
    </row>
    <row r="536" spans="2:5" ht="15" customHeight="1">
      <c r="B536" s="97"/>
      <c r="C536" s="62" t="s">
        <v>149</v>
      </c>
      <c r="D536" s="65">
        <v>1</v>
      </c>
      <c r="E536" s="64">
        <v>0</v>
      </c>
    </row>
    <row r="537" spans="2:5" ht="15" customHeight="1">
      <c r="B537" s="97"/>
      <c r="C537" s="62" t="s">
        <v>138</v>
      </c>
      <c r="D537" s="65">
        <v>1</v>
      </c>
      <c r="E537" s="64">
        <v>0</v>
      </c>
    </row>
    <row r="538" spans="2:5" ht="15" customHeight="1">
      <c r="B538" s="97"/>
      <c r="C538" s="62" t="s">
        <v>155</v>
      </c>
      <c r="D538" s="65">
        <v>1</v>
      </c>
      <c r="E538" s="64">
        <v>0</v>
      </c>
    </row>
    <row r="539" spans="2:5" ht="15" customHeight="1">
      <c r="B539" s="97"/>
      <c r="C539" s="62" t="s">
        <v>156</v>
      </c>
      <c r="D539" s="65">
        <v>1</v>
      </c>
      <c r="E539" s="64">
        <v>0</v>
      </c>
    </row>
    <row r="540" spans="2:5" ht="15" customHeight="1">
      <c r="B540" s="97"/>
      <c r="C540" s="62" t="s">
        <v>139</v>
      </c>
      <c r="D540" s="65">
        <v>1</v>
      </c>
      <c r="E540" s="64">
        <v>0</v>
      </c>
    </row>
    <row r="541" spans="2:5" ht="15" customHeight="1">
      <c r="B541" s="97"/>
      <c r="C541" s="62" t="s">
        <v>178</v>
      </c>
      <c r="D541" s="65">
        <v>1</v>
      </c>
      <c r="E541" s="64">
        <v>0</v>
      </c>
    </row>
    <row r="542" spans="2:5" ht="15" customHeight="1">
      <c r="B542" s="97"/>
      <c r="C542" s="62" t="s">
        <v>180</v>
      </c>
      <c r="D542" s="65">
        <v>1</v>
      </c>
      <c r="E542" s="64">
        <v>0</v>
      </c>
    </row>
    <row r="543" spans="2:5" ht="15" customHeight="1">
      <c r="B543" s="97"/>
      <c r="C543" s="62" t="s">
        <v>143</v>
      </c>
      <c r="D543" s="65">
        <v>1</v>
      </c>
      <c r="E543" s="64">
        <v>0</v>
      </c>
    </row>
    <row r="544" spans="2:5" ht="15" customHeight="1">
      <c r="B544" s="97"/>
      <c r="C544" s="62" t="s">
        <v>145</v>
      </c>
      <c r="D544" s="65">
        <v>1</v>
      </c>
      <c r="E544" s="64">
        <v>0</v>
      </c>
    </row>
    <row r="545" spans="2:5" ht="15" customHeight="1">
      <c r="B545" s="97"/>
      <c r="C545" s="62" t="s">
        <v>152</v>
      </c>
      <c r="D545" s="65">
        <v>1</v>
      </c>
      <c r="E545" s="64">
        <v>0</v>
      </c>
    </row>
    <row r="546" spans="2:5" ht="15" customHeight="1">
      <c r="B546" s="97"/>
      <c r="C546" s="62" t="s">
        <v>153</v>
      </c>
      <c r="D546" s="65">
        <v>1</v>
      </c>
      <c r="E546" s="64">
        <v>0</v>
      </c>
    </row>
    <row r="547" spans="2:5" ht="15" customHeight="1">
      <c r="B547" s="97"/>
      <c r="C547" s="73" t="s">
        <v>288</v>
      </c>
      <c r="D547" s="71">
        <v>61</v>
      </c>
      <c r="E547" s="72">
        <v>1.0999999999999999E-2</v>
      </c>
    </row>
    <row r="548" spans="2:5" ht="15" customHeight="1">
      <c r="B548" s="97" t="s">
        <v>107</v>
      </c>
      <c r="C548" s="62" t="s">
        <v>133</v>
      </c>
      <c r="D548" s="65">
        <v>9</v>
      </c>
      <c r="E548" s="64">
        <v>2E-3</v>
      </c>
    </row>
    <row r="549" spans="2:5" ht="15" customHeight="1">
      <c r="B549" s="97"/>
      <c r="C549" s="62" t="s">
        <v>144</v>
      </c>
      <c r="D549" s="65">
        <v>9</v>
      </c>
      <c r="E549" s="64">
        <v>2E-3</v>
      </c>
    </row>
    <row r="550" spans="2:5" ht="15" customHeight="1">
      <c r="B550" s="97"/>
      <c r="C550" s="62" t="s">
        <v>135</v>
      </c>
      <c r="D550" s="65">
        <v>7</v>
      </c>
      <c r="E550" s="64">
        <v>1E-3</v>
      </c>
    </row>
    <row r="551" spans="2:5" ht="15" customHeight="1">
      <c r="B551" s="97"/>
      <c r="C551" s="62" t="s">
        <v>134</v>
      </c>
      <c r="D551" s="65">
        <v>6</v>
      </c>
      <c r="E551" s="64">
        <v>1E-3</v>
      </c>
    </row>
    <row r="552" spans="2:5" ht="15" customHeight="1">
      <c r="B552" s="97"/>
      <c r="C552" s="62" t="s">
        <v>153</v>
      </c>
      <c r="D552" s="65">
        <v>4</v>
      </c>
      <c r="E552" s="64">
        <v>1E-3</v>
      </c>
    </row>
    <row r="553" spans="2:5" ht="15" customHeight="1">
      <c r="B553" s="97"/>
      <c r="C553" s="62" t="s">
        <v>131</v>
      </c>
      <c r="D553" s="65">
        <v>3</v>
      </c>
      <c r="E553" s="64">
        <v>1E-3</v>
      </c>
    </row>
    <row r="554" spans="2:5" ht="15" customHeight="1">
      <c r="B554" s="97"/>
      <c r="C554" s="62" t="s">
        <v>142</v>
      </c>
      <c r="D554" s="65">
        <v>3</v>
      </c>
      <c r="E554" s="64">
        <v>1E-3</v>
      </c>
    </row>
    <row r="555" spans="2:5" ht="15" customHeight="1">
      <c r="B555" s="97"/>
      <c r="C555" s="62" t="s">
        <v>136</v>
      </c>
      <c r="D555" s="65">
        <v>2</v>
      </c>
      <c r="E555" s="64">
        <v>0</v>
      </c>
    </row>
    <row r="556" spans="2:5" ht="15" customHeight="1">
      <c r="B556" s="97"/>
      <c r="C556" s="62" t="s">
        <v>139</v>
      </c>
      <c r="D556" s="65">
        <v>2</v>
      </c>
      <c r="E556" s="64">
        <v>0</v>
      </c>
    </row>
    <row r="557" spans="2:5" ht="15" customHeight="1">
      <c r="B557" s="97"/>
      <c r="C557" s="62" t="s">
        <v>150</v>
      </c>
      <c r="D557" s="65">
        <v>2</v>
      </c>
      <c r="E557" s="64">
        <v>0</v>
      </c>
    </row>
    <row r="558" spans="2:5" ht="15" customHeight="1">
      <c r="B558" s="97"/>
      <c r="C558" s="62" t="s">
        <v>161</v>
      </c>
      <c r="D558" s="65">
        <v>1</v>
      </c>
      <c r="E558" s="64">
        <v>0</v>
      </c>
    </row>
    <row r="559" spans="2:5" ht="15" customHeight="1">
      <c r="B559" s="97"/>
      <c r="C559" s="62" t="s">
        <v>146</v>
      </c>
      <c r="D559" s="65">
        <v>1</v>
      </c>
      <c r="E559" s="64">
        <v>0</v>
      </c>
    </row>
    <row r="560" spans="2:5" ht="15" customHeight="1">
      <c r="B560" s="97"/>
      <c r="C560" s="62" t="s">
        <v>164</v>
      </c>
      <c r="D560" s="65">
        <v>1</v>
      </c>
      <c r="E560" s="64">
        <v>0</v>
      </c>
    </row>
    <row r="561" spans="2:5" ht="15" customHeight="1">
      <c r="B561" s="97"/>
      <c r="C561" s="62" t="s">
        <v>167</v>
      </c>
      <c r="D561" s="65">
        <v>1</v>
      </c>
      <c r="E561" s="64">
        <v>0</v>
      </c>
    </row>
    <row r="562" spans="2:5" ht="15" customHeight="1">
      <c r="B562" s="97"/>
      <c r="C562" s="62" t="s">
        <v>137</v>
      </c>
      <c r="D562" s="65">
        <v>1</v>
      </c>
      <c r="E562" s="64">
        <v>0</v>
      </c>
    </row>
    <row r="563" spans="2:5" ht="15" customHeight="1">
      <c r="B563" s="97"/>
      <c r="C563" s="62" t="s">
        <v>149</v>
      </c>
      <c r="D563" s="65">
        <v>1</v>
      </c>
      <c r="E563" s="64">
        <v>0</v>
      </c>
    </row>
    <row r="564" spans="2:5" ht="15" customHeight="1">
      <c r="B564" s="97"/>
      <c r="C564" s="62" t="s">
        <v>138</v>
      </c>
      <c r="D564" s="65">
        <v>1</v>
      </c>
      <c r="E564" s="64">
        <v>0</v>
      </c>
    </row>
    <row r="565" spans="2:5" ht="15" customHeight="1">
      <c r="B565" s="97"/>
      <c r="C565" s="62" t="s">
        <v>170</v>
      </c>
      <c r="D565" s="65">
        <v>1</v>
      </c>
      <c r="E565" s="64">
        <v>0</v>
      </c>
    </row>
    <row r="566" spans="2:5" ht="15" customHeight="1">
      <c r="B566" s="97"/>
      <c r="C566" s="62" t="s">
        <v>145</v>
      </c>
      <c r="D566" s="65">
        <v>1</v>
      </c>
      <c r="E566" s="64">
        <v>0</v>
      </c>
    </row>
    <row r="567" spans="2:5" ht="15" customHeight="1">
      <c r="B567" s="97"/>
      <c r="C567" s="73" t="s">
        <v>288</v>
      </c>
      <c r="D567" s="71">
        <v>56</v>
      </c>
      <c r="E567" s="72">
        <v>0.01</v>
      </c>
    </row>
    <row r="568" spans="2:5" ht="15" customHeight="1">
      <c r="B568" s="97" t="s">
        <v>91</v>
      </c>
      <c r="C568" s="62" t="s">
        <v>144</v>
      </c>
      <c r="D568" s="65">
        <v>11</v>
      </c>
      <c r="E568" s="64">
        <v>2E-3</v>
      </c>
    </row>
    <row r="569" spans="2:5" ht="15" customHeight="1">
      <c r="B569" s="97"/>
      <c r="C569" s="62" t="s">
        <v>131</v>
      </c>
      <c r="D569" s="65">
        <v>8</v>
      </c>
      <c r="E569" s="64">
        <v>1E-3</v>
      </c>
    </row>
    <row r="570" spans="2:5" ht="15" customHeight="1">
      <c r="B570" s="97"/>
      <c r="C570" s="62" t="s">
        <v>134</v>
      </c>
      <c r="D570" s="65">
        <v>5</v>
      </c>
      <c r="E570" s="64">
        <v>1E-3</v>
      </c>
    </row>
    <row r="571" spans="2:5" ht="15" customHeight="1">
      <c r="B571" s="97"/>
      <c r="C571" s="62" t="s">
        <v>153</v>
      </c>
      <c r="D571" s="65">
        <v>3</v>
      </c>
      <c r="E571" s="64">
        <v>1E-3</v>
      </c>
    </row>
    <row r="572" spans="2:5" ht="15" customHeight="1">
      <c r="B572" s="97"/>
      <c r="C572" s="62" t="s">
        <v>168</v>
      </c>
      <c r="D572" s="65">
        <v>2</v>
      </c>
      <c r="E572" s="64">
        <v>0</v>
      </c>
    </row>
    <row r="573" spans="2:5" ht="15" customHeight="1">
      <c r="B573" s="97"/>
      <c r="C573" s="62" t="s">
        <v>155</v>
      </c>
      <c r="D573" s="65">
        <v>2</v>
      </c>
      <c r="E573" s="64">
        <v>0</v>
      </c>
    </row>
    <row r="574" spans="2:5" ht="15" customHeight="1">
      <c r="B574" s="97"/>
      <c r="C574" s="62" t="s">
        <v>143</v>
      </c>
      <c r="D574" s="65">
        <v>2</v>
      </c>
      <c r="E574" s="64">
        <v>0</v>
      </c>
    </row>
    <row r="575" spans="2:5" ht="15" customHeight="1">
      <c r="B575" s="97"/>
      <c r="C575" s="62" t="s">
        <v>145</v>
      </c>
      <c r="D575" s="65">
        <v>2</v>
      </c>
      <c r="E575" s="64">
        <v>0</v>
      </c>
    </row>
    <row r="576" spans="2:5" ht="15" customHeight="1">
      <c r="B576" s="97"/>
      <c r="C576" s="62" t="s">
        <v>161</v>
      </c>
      <c r="D576" s="65">
        <v>1</v>
      </c>
      <c r="E576" s="64">
        <v>0</v>
      </c>
    </row>
    <row r="577" spans="2:5" ht="15" customHeight="1">
      <c r="B577" s="97"/>
      <c r="C577" s="62" t="s">
        <v>163</v>
      </c>
      <c r="D577" s="65">
        <v>1</v>
      </c>
      <c r="E577" s="64">
        <v>0</v>
      </c>
    </row>
    <row r="578" spans="2:5" ht="15" customHeight="1">
      <c r="B578" s="97"/>
      <c r="C578" s="62" t="s">
        <v>133</v>
      </c>
      <c r="D578" s="65">
        <v>1</v>
      </c>
      <c r="E578" s="64">
        <v>0</v>
      </c>
    </row>
    <row r="579" spans="2:5" ht="15" customHeight="1">
      <c r="B579" s="97"/>
      <c r="C579" s="62" t="s">
        <v>146</v>
      </c>
      <c r="D579" s="65">
        <v>1</v>
      </c>
      <c r="E579" s="64">
        <v>0</v>
      </c>
    </row>
    <row r="580" spans="2:5" ht="15" customHeight="1">
      <c r="B580" s="97"/>
      <c r="C580" s="62" t="s">
        <v>261</v>
      </c>
      <c r="D580" s="65">
        <v>1</v>
      </c>
      <c r="E580" s="64">
        <v>0</v>
      </c>
    </row>
    <row r="581" spans="2:5" ht="15" customHeight="1">
      <c r="B581" s="97"/>
      <c r="C581" s="62" t="s">
        <v>135</v>
      </c>
      <c r="D581" s="65">
        <v>1</v>
      </c>
      <c r="E581" s="64">
        <v>0</v>
      </c>
    </row>
    <row r="582" spans="2:5" ht="15" customHeight="1">
      <c r="B582" s="97"/>
      <c r="C582" s="62" t="s">
        <v>167</v>
      </c>
      <c r="D582" s="65">
        <v>1</v>
      </c>
      <c r="E582" s="64">
        <v>0</v>
      </c>
    </row>
    <row r="583" spans="2:5" ht="15" customHeight="1">
      <c r="B583" s="97"/>
      <c r="C583" s="62" t="s">
        <v>174</v>
      </c>
      <c r="D583" s="65">
        <v>1</v>
      </c>
      <c r="E583" s="64">
        <v>0</v>
      </c>
    </row>
    <row r="584" spans="2:5" ht="15" customHeight="1">
      <c r="B584" s="97"/>
      <c r="C584" s="62" t="s">
        <v>176</v>
      </c>
      <c r="D584" s="65">
        <v>1</v>
      </c>
      <c r="E584" s="64">
        <v>0</v>
      </c>
    </row>
    <row r="585" spans="2:5" ht="15" customHeight="1">
      <c r="B585" s="97"/>
      <c r="C585" s="62" t="s">
        <v>140</v>
      </c>
      <c r="D585" s="65">
        <v>1</v>
      </c>
      <c r="E585" s="64">
        <v>0</v>
      </c>
    </row>
    <row r="586" spans="2:5" ht="15" customHeight="1">
      <c r="B586" s="97"/>
      <c r="C586" s="62" t="s">
        <v>142</v>
      </c>
      <c r="D586" s="65">
        <v>1</v>
      </c>
      <c r="E586" s="64">
        <v>0</v>
      </c>
    </row>
    <row r="587" spans="2:5" ht="15" customHeight="1">
      <c r="B587" s="97"/>
      <c r="C587" s="62" t="s">
        <v>182</v>
      </c>
      <c r="D587" s="65">
        <v>1</v>
      </c>
      <c r="E587" s="64">
        <v>0</v>
      </c>
    </row>
    <row r="588" spans="2:5" ht="15" customHeight="1">
      <c r="B588" s="97"/>
      <c r="C588" s="62" t="s">
        <v>152</v>
      </c>
      <c r="D588" s="65">
        <v>1</v>
      </c>
      <c r="E588" s="64">
        <v>0</v>
      </c>
    </row>
    <row r="589" spans="2:5" ht="15" customHeight="1">
      <c r="B589" s="97"/>
      <c r="C589" s="73" t="s">
        <v>288</v>
      </c>
      <c r="D589" s="71">
        <v>48</v>
      </c>
      <c r="E589" s="72">
        <v>8.9999999999999993E-3</v>
      </c>
    </row>
    <row r="590" spans="2:5" ht="15" customHeight="1">
      <c r="B590" s="97" t="s">
        <v>111</v>
      </c>
      <c r="C590" s="62" t="s">
        <v>133</v>
      </c>
      <c r="D590" s="65">
        <v>5</v>
      </c>
      <c r="E590" s="64">
        <v>1E-3</v>
      </c>
    </row>
    <row r="591" spans="2:5" ht="15" customHeight="1">
      <c r="B591" s="97"/>
      <c r="C591" s="62" t="s">
        <v>138</v>
      </c>
      <c r="D591" s="65">
        <v>5</v>
      </c>
      <c r="E591" s="64">
        <v>1E-3</v>
      </c>
    </row>
    <row r="592" spans="2:5" ht="15" customHeight="1">
      <c r="B592" s="97"/>
      <c r="C592" s="62" t="s">
        <v>144</v>
      </c>
      <c r="D592" s="65">
        <v>5</v>
      </c>
      <c r="E592" s="64">
        <v>1E-3</v>
      </c>
    </row>
    <row r="593" spans="2:5" ht="15" customHeight="1">
      <c r="B593" s="97"/>
      <c r="C593" s="62" t="s">
        <v>153</v>
      </c>
      <c r="D593" s="65">
        <v>5</v>
      </c>
      <c r="E593" s="64">
        <v>1E-3</v>
      </c>
    </row>
    <row r="594" spans="2:5" ht="15" customHeight="1">
      <c r="B594" s="97"/>
      <c r="C594" s="62" t="s">
        <v>261</v>
      </c>
      <c r="D594" s="65">
        <v>4</v>
      </c>
      <c r="E594" s="64">
        <v>1E-3</v>
      </c>
    </row>
    <row r="595" spans="2:5" ht="15" customHeight="1">
      <c r="B595" s="97"/>
      <c r="C595" s="62" t="s">
        <v>134</v>
      </c>
      <c r="D595" s="65">
        <v>3</v>
      </c>
      <c r="E595" s="64">
        <v>1E-3</v>
      </c>
    </row>
    <row r="596" spans="2:5" ht="15" customHeight="1">
      <c r="B596" s="97"/>
      <c r="C596" s="62" t="s">
        <v>135</v>
      </c>
      <c r="D596" s="65">
        <v>3</v>
      </c>
      <c r="E596" s="64">
        <v>1E-3</v>
      </c>
    </row>
    <row r="597" spans="2:5" ht="15" customHeight="1">
      <c r="B597" s="97"/>
      <c r="C597" s="62" t="s">
        <v>131</v>
      </c>
      <c r="D597" s="65">
        <v>2</v>
      </c>
      <c r="E597" s="64">
        <v>0</v>
      </c>
    </row>
    <row r="598" spans="2:5" ht="15" customHeight="1">
      <c r="B598" s="97"/>
      <c r="C598" s="62" t="s">
        <v>155</v>
      </c>
      <c r="D598" s="65">
        <v>2</v>
      </c>
      <c r="E598" s="64">
        <v>0</v>
      </c>
    </row>
    <row r="599" spans="2:5" ht="15" customHeight="1">
      <c r="B599" s="97"/>
      <c r="C599" s="62" t="s">
        <v>143</v>
      </c>
      <c r="D599" s="65">
        <v>2</v>
      </c>
      <c r="E599" s="64">
        <v>0</v>
      </c>
    </row>
    <row r="600" spans="2:5" ht="15" customHeight="1">
      <c r="B600" s="97"/>
      <c r="C600" s="62" t="s">
        <v>188</v>
      </c>
      <c r="D600" s="65">
        <v>1</v>
      </c>
      <c r="E600" s="64">
        <v>0</v>
      </c>
    </row>
    <row r="601" spans="2:5" ht="15" customHeight="1">
      <c r="B601" s="97"/>
      <c r="C601" s="62" t="s">
        <v>136</v>
      </c>
      <c r="D601" s="65">
        <v>1</v>
      </c>
      <c r="E601" s="64">
        <v>0</v>
      </c>
    </row>
    <row r="602" spans="2:5" ht="15" customHeight="1">
      <c r="B602" s="97"/>
      <c r="C602" s="62" t="s">
        <v>168</v>
      </c>
      <c r="D602" s="65">
        <v>1</v>
      </c>
      <c r="E602" s="64">
        <v>0</v>
      </c>
    </row>
    <row r="603" spans="2:5" ht="15" customHeight="1">
      <c r="B603" s="97"/>
      <c r="C603" s="62" t="s">
        <v>182</v>
      </c>
      <c r="D603" s="65">
        <v>1</v>
      </c>
      <c r="E603" s="64">
        <v>0</v>
      </c>
    </row>
    <row r="604" spans="2:5" ht="15" customHeight="1">
      <c r="B604" s="97"/>
      <c r="C604" s="62" t="s">
        <v>145</v>
      </c>
      <c r="D604" s="65">
        <v>1</v>
      </c>
      <c r="E604" s="64">
        <v>0</v>
      </c>
    </row>
    <row r="605" spans="2:5" ht="15" customHeight="1">
      <c r="B605" s="97"/>
      <c r="C605" s="62" t="s">
        <v>183</v>
      </c>
      <c r="D605" s="65">
        <v>1</v>
      </c>
      <c r="E605" s="64">
        <v>0</v>
      </c>
    </row>
    <row r="606" spans="2:5" ht="15" customHeight="1">
      <c r="B606" s="97"/>
      <c r="C606" s="62" t="s">
        <v>150</v>
      </c>
      <c r="D606" s="65">
        <v>1</v>
      </c>
      <c r="E606" s="64">
        <v>0</v>
      </c>
    </row>
    <row r="607" spans="2:5" ht="15" customHeight="1">
      <c r="B607" s="97"/>
      <c r="C607" s="62" t="s">
        <v>152</v>
      </c>
      <c r="D607" s="65">
        <v>1</v>
      </c>
      <c r="E607" s="64">
        <v>0</v>
      </c>
    </row>
    <row r="608" spans="2:5" ht="15" customHeight="1">
      <c r="B608" s="97"/>
      <c r="C608" s="62" t="s">
        <v>184</v>
      </c>
      <c r="D608" s="65">
        <v>1</v>
      </c>
      <c r="E608" s="64">
        <v>0</v>
      </c>
    </row>
    <row r="609" spans="2:5" ht="15" customHeight="1">
      <c r="B609" s="97"/>
      <c r="C609" s="73" t="s">
        <v>288</v>
      </c>
      <c r="D609" s="71">
        <v>45</v>
      </c>
      <c r="E609" s="72">
        <v>8.0000000000000002E-3</v>
      </c>
    </row>
    <row r="610" spans="2:5" ht="15" customHeight="1">
      <c r="B610" s="97" t="s">
        <v>117</v>
      </c>
      <c r="C610" s="62" t="s">
        <v>153</v>
      </c>
      <c r="D610" s="65">
        <v>9</v>
      </c>
      <c r="E610" s="64">
        <v>2E-3</v>
      </c>
    </row>
    <row r="611" spans="2:5" ht="15" customHeight="1">
      <c r="B611" s="97"/>
      <c r="C611" s="62" t="s">
        <v>136</v>
      </c>
      <c r="D611" s="65">
        <v>8</v>
      </c>
      <c r="E611" s="64">
        <v>1E-3</v>
      </c>
    </row>
    <row r="612" spans="2:5" ht="15" customHeight="1">
      <c r="B612" s="97"/>
      <c r="C612" s="62" t="s">
        <v>135</v>
      </c>
      <c r="D612" s="65">
        <v>6</v>
      </c>
      <c r="E612" s="64">
        <v>1E-3</v>
      </c>
    </row>
    <row r="613" spans="2:5" ht="15" customHeight="1">
      <c r="B613" s="97"/>
      <c r="C613" s="62" t="s">
        <v>134</v>
      </c>
      <c r="D613" s="65">
        <v>4</v>
      </c>
      <c r="E613" s="64">
        <v>1E-3</v>
      </c>
    </row>
    <row r="614" spans="2:5" ht="15" customHeight="1">
      <c r="B614" s="97"/>
      <c r="C614" s="62" t="s">
        <v>131</v>
      </c>
      <c r="D614" s="65">
        <v>3</v>
      </c>
      <c r="E614" s="64">
        <v>1E-3</v>
      </c>
    </row>
    <row r="615" spans="2:5" ht="15" customHeight="1">
      <c r="B615" s="97"/>
      <c r="C615" s="62" t="s">
        <v>145</v>
      </c>
      <c r="D615" s="65">
        <v>2</v>
      </c>
      <c r="E615" s="64">
        <v>0</v>
      </c>
    </row>
    <row r="616" spans="2:5" ht="15" customHeight="1">
      <c r="B616" s="97"/>
      <c r="C616" s="62" t="s">
        <v>162</v>
      </c>
      <c r="D616" s="65">
        <v>1</v>
      </c>
      <c r="E616" s="64">
        <v>0</v>
      </c>
    </row>
    <row r="617" spans="2:5" ht="15" customHeight="1">
      <c r="B617" s="97"/>
      <c r="C617" s="62" t="s">
        <v>133</v>
      </c>
      <c r="D617" s="65">
        <v>1</v>
      </c>
      <c r="E617" s="64">
        <v>0</v>
      </c>
    </row>
    <row r="618" spans="2:5" ht="15" customHeight="1">
      <c r="B618" s="97"/>
      <c r="C618" s="62" t="s">
        <v>165</v>
      </c>
      <c r="D618" s="65">
        <v>1</v>
      </c>
      <c r="E618" s="64">
        <v>0</v>
      </c>
    </row>
    <row r="619" spans="2:5" ht="15" customHeight="1">
      <c r="B619" s="97"/>
      <c r="C619" s="62" t="s">
        <v>147</v>
      </c>
      <c r="D619" s="65">
        <v>1</v>
      </c>
      <c r="E619" s="64">
        <v>0</v>
      </c>
    </row>
    <row r="620" spans="2:5" ht="15" customHeight="1">
      <c r="B620" s="97"/>
      <c r="C620" s="62" t="s">
        <v>138</v>
      </c>
      <c r="D620" s="65">
        <v>1</v>
      </c>
      <c r="E620" s="64">
        <v>0</v>
      </c>
    </row>
    <row r="621" spans="2:5" ht="15" customHeight="1">
      <c r="B621" s="97"/>
      <c r="C621" s="62" t="s">
        <v>189</v>
      </c>
      <c r="D621" s="65">
        <v>1</v>
      </c>
      <c r="E621" s="64">
        <v>0</v>
      </c>
    </row>
    <row r="622" spans="2:5" ht="15" customHeight="1">
      <c r="B622" s="97"/>
      <c r="C622" s="62" t="s">
        <v>178</v>
      </c>
      <c r="D622" s="65">
        <v>1</v>
      </c>
      <c r="E622" s="64">
        <v>0</v>
      </c>
    </row>
    <row r="623" spans="2:5" ht="15" customHeight="1">
      <c r="B623" s="97"/>
      <c r="C623" s="62" t="s">
        <v>180</v>
      </c>
      <c r="D623" s="65">
        <v>1</v>
      </c>
      <c r="E623" s="64">
        <v>0</v>
      </c>
    </row>
    <row r="624" spans="2:5" ht="15" customHeight="1">
      <c r="B624" s="97"/>
      <c r="C624" s="62" t="s">
        <v>144</v>
      </c>
      <c r="D624" s="65">
        <v>1</v>
      </c>
      <c r="E624" s="64">
        <v>0</v>
      </c>
    </row>
    <row r="625" spans="2:5" ht="15" customHeight="1">
      <c r="B625" s="97"/>
      <c r="C625" s="62" t="s">
        <v>150</v>
      </c>
      <c r="D625" s="65">
        <v>1</v>
      </c>
      <c r="E625" s="64">
        <v>0</v>
      </c>
    </row>
    <row r="626" spans="2:5" ht="15" customHeight="1">
      <c r="B626" s="97"/>
      <c r="C626" s="62" t="s">
        <v>151</v>
      </c>
      <c r="D626" s="65">
        <v>1</v>
      </c>
      <c r="E626" s="64">
        <v>0</v>
      </c>
    </row>
    <row r="627" spans="2:5" ht="15" customHeight="1">
      <c r="B627" s="97"/>
      <c r="C627" s="73" t="s">
        <v>288</v>
      </c>
      <c r="D627" s="71">
        <v>43</v>
      </c>
      <c r="E627" s="72">
        <v>8.0000000000000002E-3</v>
      </c>
    </row>
    <row r="628" spans="2:5" ht="15" customHeight="1">
      <c r="B628" s="97" t="s">
        <v>121</v>
      </c>
      <c r="C628" s="62" t="s">
        <v>144</v>
      </c>
      <c r="D628" s="65">
        <v>7</v>
      </c>
      <c r="E628" s="64">
        <v>1E-3</v>
      </c>
    </row>
    <row r="629" spans="2:5" ht="15" customHeight="1">
      <c r="B629" s="97"/>
      <c r="C629" s="62" t="s">
        <v>135</v>
      </c>
      <c r="D629" s="65">
        <v>6</v>
      </c>
      <c r="E629" s="64">
        <v>1E-3</v>
      </c>
    </row>
    <row r="630" spans="2:5" ht="15" customHeight="1">
      <c r="B630" s="97"/>
      <c r="C630" s="62" t="s">
        <v>138</v>
      </c>
      <c r="D630" s="65">
        <v>4</v>
      </c>
      <c r="E630" s="64">
        <v>1E-3</v>
      </c>
    </row>
    <row r="631" spans="2:5" ht="15" customHeight="1">
      <c r="B631" s="97"/>
      <c r="C631" s="62" t="s">
        <v>139</v>
      </c>
      <c r="D631" s="65">
        <v>4</v>
      </c>
      <c r="E631" s="64">
        <v>1E-3</v>
      </c>
    </row>
    <row r="632" spans="2:5" ht="15" customHeight="1">
      <c r="B632" s="97"/>
      <c r="C632" s="62" t="s">
        <v>133</v>
      </c>
      <c r="D632" s="65">
        <v>2</v>
      </c>
      <c r="E632" s="64">
        <v>0</v>
      </c>
    </row>
    <row r="633" spans="2:5" ht="15" customHeight="1">
      <c r="B633" s="97"/>
      <c r="C633" s="62" t="s">
        <v>134</v>
      </c>
      <c r="D633" s="65">
        <v>2</v>
      </c>
      <c r="E633" s="64">
        <v>0</v>
      </c>
    </row>
    <row r="634" spans="2:5" ht="15" customHeight="1">
      <c r="B634" s="97"/>
      <c r="C634" s="62" t="s">
        <v>136</v>
      </c>
      <c r="D634" s="65">
        <v>2</v>
      </c>
      <c r="E634" s="64">
        <v>0</v>
      </c>
    </row>
    <row r="635" spans="2:5" ht="15" customHeight="1">
      <c r="B635" s="97"/>
      <c r="C635" s="62" t="s">
        <v>155</v>
      </c>
      <c r="D635" s="65">
        <v>2</v>
      </c>
      <c r="E635" s="64">
        <v>0</v>
      </c>
    </row>
    <row r="636" spans="2:5" ht="15" customHeight="1">
      <c r="B636" s="97"/>
      <c r="C636" s="62" t="s">
        <v>175</v>
      </c>
      <c r="D636" s="65">
        <v>2</v>
      </c>
      <c r="E636" s="64">
        <v>0</v>
      </c>
    </row>
    <row r="637" spans="2:5" ht="15" customHeight="1">
      <c r="B637" s="97"/>
      <c r="C637" s="62" t="s">
        <v>160</v>
      </c>
      <c r="D637" s="65">
        <v>1</v>
      </c>
      <c r="E637" s="64">
        <v>0</v>
      </c>
    </row>
    <row r="638" spans="2:5" ht="15" customHeight="1">
      <c r="B638" s="97"/>
      <c r="C638" s="62" t="s">
        <v>131</v>
      </c>
      <c r="D638" s="65">
        <v>1</v>
      </c>
      <c r="E638" s="64">
        <v>0</v>
      </c>
    </row>
    <row r="639" spans="2:5" ht="15" customHeight="1">
      <c r="B639" s="97"/>
      <c r="C639" s="62" t="s">
        <v>163</v>
      </c>
      <c r="D639" s="65">
        <v>1</v>
      </c>
      <c r="E639" s="64">
        <v>0</v>
      </c>
    </row>
    <row r="640" spans="2:5" ht="15" customHeight="1">
      <c r="B640" s="97"/>
      <c r="C640" s="62" t="s">
        <v>164</v>
      </c>
      <c r="D640" s="65">
        <v>1</v>
      </c>
      <c r="E640" s="64">
        <v>0</v>
      </c>
    </row>
    <row r="641" spans="2:5" ht="15" customHeight="1">
      <c r="B641" s="97"/>
      <c r="C641" s="62" t="s">
        <v>188</v>
      </c>
      <c r="D641" s="65">
        <v>1</v>
      </c>
      <c r="E641" s="64">
        <v>0</v>
      </c>
    </row>
    <row r="642" spans="2:5" ht="15" customHeight="1">
      <c r="B642" s="97"/>
      <c r="C642" s="62" t="s">
        <v>148</v>
      </c>
      <c r="D642" s="65">
        <v>1</v>
      </c>
      <c r="E642" s="64">
        <v>0</v>
      </c>
    </row>
    <row r="643" spans="2:5" ht="15" customHeight="1">
      <c r="B643" s="97"/>
      <c r="C643" s="62" t="s">
        <v>180</v>
      </c>
      <c r="D643" s="65">
        <v>1</v>
      </c>
      <c r="E643" s="64">
        <v>0</v>
      </c>
    </row>
    <row r="644" spans="2:5" ht="15" customHeight="1">
      <c r="B644" s="97"/>
      <c r="C644" s="62" t="s">
        <v>143</v>
      </c>
      <c r="D644" s="65">
        <v>1</v>
      </c>
      <c r="E644" s="64">
        <v>0</v>
      </c>
    </row>
    <row r="645" spans="2:5" ht="15" customHeight="1">
      <c r="B645" s="97"/>
      <c r="C645" s="62" t="s">
        <v>182</v>
      </c>
      <c r="D645" s="65">
        <v>1</v>
      </c>
      <c r="E645" s="64">
        <v>0</v>
      </c>
    </row>
    <row r="646" spans="2:5" ht="15" customHeight="1">
      <c r="B646" s="97"/>
      <c r="C646" s="62" t="s">
        <v>153</v>
      </c>
      <c r="D646" s="65">
        <v>1</v>
      </c>
      <c r="E646" s="64">
        <v>0</v>
      </c>
    </row>
    <row r="647" spans="2:5" ht="15" customHeight="1">
      <c r="B647" s="97"/>
      <c r="C647" s="73" t="s">
        <v>288</v>
      </c>
      <c r="D647" s="71">
        <v>41</v>
      </c>
      <c r="E647" s="72">
        <v>7.0000000000000001E-3</v>
      </c>
    </row>
    <row r="648" spans="2:5" ht="15" customHeight="1">
      <c r="B648" s="97" t="s">
        <v>118</v>
      </c>
      <c r="C648" s="62" t="s">
        <v>145</v>
      </c>
      <c r="D648" s="65">
        <v>10</v>
      </c>
      <c r="E648" s="64">
        <v>2E-3</v>
      </c>
    </row>
    <row r="649" spans="2:5" ht="15" customHeight="1">
      <c r="B649" s="97"/>
      <c r="C649" s="62" t="s">
        <v>131</v>
      </c>
      <c r="D649" s="65">
        <v>5</v>
      </c>
      <c r="E649" s="64">
        <v>1E-3</v>
      </c>
    </row>
    <row r="650" spans="2:5" ht="15" customHeight="1">
      <c r="B650" s="97"/>
      <c r="C650" s="62" t="s">
        <v>158</v>
      </c>
      <c r="D650" s="65">
        <v>4</v>
      </c>
      <c r="E650" s="64">
        <v>1E-3</v>
      </c>
    </row>
    <row r="651" spans="2:5" ht="15" customHeight="1">
      <c r="B651" s="97"/>
      <c r="C651" s="62" t="s">
        <v>135</v>
      </c>
      <c r="D651" s="65">
        <v>3</v>
      </c>
      <c r="E651" s="64">
        <v>1E-3</v>
      </c>
    </row>
    <row r="652" spans="2:5" ht="15" customHeight="1">
      <c r="B652" s="97"/>
      <c r="C652" s="62" t="s">
        <v>144</v>
      </c>
      <c r="D652" s="65">
        <v>3</v>
      </c>
      <c r="E652" s="64">
        <v>1E-3</v>
      </c>
    </row>
    <row r="653" spans="2:5" ht="15" customHeight="1">
      <c r="B653" s="97"/>
      <c r="C653" s="62" t="s">
        <v>133</v>
      </c>
      <c r="D653" s="65">
        <v>2</v>
      </c>
      <c r="E653" s="64">
        <v>0</v>
      </c>
    </row>
    <row r="654" spans="2:5" ht="15" customHeight="1">
      <c r="B654" s="97"/>
      <c r="C654" s="62" t="s">
        <v>134</v>
      </c>
      <c r="D654" s="65">
        <v>2</v>
      </c>
      <c r="E654" s="64">
        <v>0</v>
      </c>
    </row>
    <row r="655" spans="2:5" ht="15" customHeight="1">
      <c r="B655" s="97"/>
      <c r="C655" s="62" t="s">
        <v>167</v>
      </c>
      <c r="D655" s="65">
        <v>2</v>
      </c>
      <c r="E655" s="64">
        <v>0</v>
      </c>
    </row>
    <row r="656" spans="2:5" ht="15" customHeight="1">
      <c r="B656" s="97"/>
      <c r="C656" s="62" t="s">
        <v>139</v>
      </c>
      <c r="D656" s="65">
        <v>2</v>
      </c>
      <c r="E656" s="64">
        <v>0</v>
      </c>
    </row>
    <row r="657" spans="2:5" ht="15" customHeight="1">
      <c r="B657" s="97"/>
      <c r="C657" s="62" t="s">
        <v>165</v>
      </c>
      <c r="D657" s="65">
        <v>1</v>
      </c>
      <c r="E657" s="64">
        <v>0</v>
      </c>
    </row>
    <row r="658" spans="2:5" ht="15" customHeight="1">
      <c r="B658" s="97"/>
      <c r="C658" s="62" t="s">
        <v>136</v>
      </c>
      <c r="D658" s="65">
        <v>1</v>
      </c>
      <c r="E658" s="64">
        <v>0</v>
      </c>
    </row>
    <row r="659" spans="2:5" ht="15" customHeight="1">
      <c r="B659" s="97"/>
      <c r="C659" s="62" t="s">
        <v>143</v>
      </c>
      <c r="D659" s="65">
        <v>1</v>
      </c>
      <c r="E659" s="64">
        <v>0</v>
      </c>
    </row>
    <row r="660" spans="2:5" ht="15" customHeight="1">
      <c r="B660" s="97"/>
      <c r="C660" s="62" t="s">
        <v>157</v>
      </c>
      <c r="D660" s="65">
        <v>1</v>
      </c>
      <c r="E660" s="64">
        <v>0</v>
      </c>
    </row>
    <row r="661" spans="2:5" ht="15" customHeight="1">
      <c r="B661" s="97"/>
      <c r="C661" s="62" t="s">
        <v>150</v>
      </c>
      <c r="D661" s="65">
        <v>1</v>
      </c>
      <c r="E661" s="64">
        <v>0</v>
      </c>
    </row>
    <row r="662" spans="2:5" ht="15" customHeight="1">
      <c r="B662" s="97"/>
      <c r="C662" s="62" t="s">
        <v>151</v>
      </c>
      <c r="D662" s="65">
        <v>1</v>
      </c>
      <c r="E662" s="64">
        <v>0</v>
      </c>
    </row>
    <row r="663" spans="2:5" ht="15" customHeight="1">
      <c r="B663" s="97"/>
      <c r="C663" s="73" t="s">
        <v>288</v>
      </c>
      <c r="D663" s="71">
        <v>39</v>
      </c>
      <c r="E663" s="72">
        <v>7.0000000000000001E-3</v>
      </c>
    </row>
    <row r="664" spans="2:5" ht="15" customHeight="1">
      <c r="B664" s="97" t="s">
        <v>88</v>
      </c>
      <c r="C664" s="62" t="s">
        <v>144</v>
      </c>
      <c r="D664" s="65">
        <v>6</v>
      </c>
      <c r="E664" s="64">
        <v>1E-3</v>
      </c>
    </row>
    <row r="665" spans="2:5" ht="15" customHeight="1">
      <c r="B665" s="97"/>
      <c r="C665" s="62" t="s">
        <v>134</v>
      </c>
      <c r="D665" s="65">
        <v>4</v>
      </c>
      <c r="E665" s="64">
        <v>1E-3</v>
      </c>
    </row>
    <row r="666" spans="2:5" ht="15" customHeight="1">
      <c r="B666" s="97"/>
      <c r="C666" s="62" t="s">
        <v>170</v>
      </c>
      <c r="D666" s="65">
        <v>4</v>
      </c>
      <c r="E666" s="64">
        <v>1E-3</v>
      </c>
    </row>
    <row r="667" spans="2:5" ht="15" customHeight="1">
      <c r="B667" s="97"/>
      <c r="C667" s="62" t="s">
        <v>133</v>
      </c>
      <c r="D667" s="65">
        <v>3</v>
      </c>
      <c r="E667" s="64">
        <v>1E-3</v>
      </c>
    </row>
    <row r="668" spans="2:5" ht="15" customHeight="1">
      <c r="B668" s="97"/>
      <c r="C668" s="62" t="s">
        <v>261</v>
      </c>
      <c r="D668" s="65">
        <v>2</v>
      </c>
      <c r="E668" s="64">
        <v>0</v>
      </c>
    </row>
    <row r="669" spans="2:5" ht="15" customHeight="1">
      <c r="B669" s="97"/>
      <c r="C669" s="62" t="s">
        <v>139</v>
      </c>
      <c r="D669" s="65">
        <v>2</v>
      </c>
      <c r="E669" s="64">
        <v>0</v>
      </c>
    </row>
    <row r="670" spans="2:5" ht="15" customHeight="1">
      <c r="B670" s="97"/>
      <c r="C670" s="62" t="s">
        <v>141</v>
      </c>
      <c r="D670" s="65">
        <v>2</v>
      </c>
      <c r="E670" s="64">
        <v>0</v>
      </c>
    </row>
    <row r="671" spans="2:5" ht="15" customHeight="1">
      <c r="B671" s="97"/>
      <c r="C671" s="62" t="s">
        <v>143</v>
      </c>
      <c r="D671" s="65">
        <v>2</v>
      </c>
      <c r="E671" s="64">
        <v>0</v>
      </c>
    </row>
    <row r="672" spans="2:5" ht="15" customHeight="1">
      <c r="B672" s="97"/>
      <c r="C672" s="62" t="s">
        <v>183</v>
      </c>
      <c r="D672" s="65">
        <v>2</v>
      </c>
      <c r="E672" s="64">
        <v>0</v>
      </c>
    </row>
    <row r="673" spans="2:5" ht="15" customHeight="1">
      <c r="B673" s="97"/>
      <c r="C673" s="62" t="s">
        <v>150</v>
      </c>
      <c r="D673" s="65">
        <v>2</v>
      </c>
      <c r="E673" s="64">
        <v>0</v>
      </c>
    </row>
    <row r="674" spans="2:5" ht="15" customHeight="1">
      <c r="B674" s="97"/>
      <c r="C674" s="62" t="s">
        <v>153</v>
      </c>
      <c r="D674" s="65">
        <v>2</v>
      </c>
      <c r="E674" s="64">
        <v>0</v>
      </c>
    </row>
    <row r="675" spans="2:5" ht="15" customHeight="1">
      <c r="B675" s="97"/>
      <c r="C675" s="62" t="s">
        <v>131</v>
      </c>
      <c r="D675" s="65">
        <v>1</v>
      </c>
      <c r="E675" s="64">
        <v>0</v>
      </c>
    </row>
    <row r="676" spans="2:5" ht="15" customHeight="1">
      <c r="B676" s="97"/>
      <c r="C676" s="62" t="s">
        <v>162</v>
      </c>
      <c r="D676" s="65">
        <v>1</v>
      </c>
      <c r="E676" s="64">
        <v>0</v>
      </c>
    </row>
    <row r="677" spans="2:5" ht="15" customHeight="1">
      <c r="B677" s="97"/>
      <c r="C677" s="62" t="s">
        <v>135</v>
      </c>
      <c r="D677" s="65">
        <v>1</v>
      </c>
      <c r="E677" s="64">
        <v>0</v>
      </c>
    </row>
    <row r="678" spans="2:5" ht="15" customHeight="1">
      <c r="B678" s="97"/>
      <c r="C678" s="62" t="s">
        <v>136</v>
      </c>
      <c r="D678" s="65">
        <v>1</v>
      </c>
      <c r="E678" s="64">
        <v>0</v>
      </c>
    </row>
    <row r="679" spans="2:5" ht="15" customHeight="1">
      <c r="B679" s="97"/>
      <c r="C679" s="62" t="s">
        <v>177</v>
      </c>
      <c r="D679" s="65">
        <v>1</v>
      </c>
      <c r="E679" s="64">
        <v>0</v>
      </c>
    </row>
    <row r="680" spans="2:5" ht="15" customHeight="1">
      <c r="B680" s="97"/>
      <c r="C680" s="62" t="s">
        <v>180</v>
      </c>
      <c r="D680" s="65">
        <v>1</v>
      </c>
      <c r="E680" s="64">
        <v>0</v>
      </c>
    </row>
    <row r="681" spans="2:5" ht="15" customHeight="1">
      <c r="B681" s="97"/>
      <c r="C681" s="62" t="s">
        <v>145</v>
      </c>
      <c r="D681" s="65">
        <v>1</v>
      </c>
      <c r="E681" s="64">
        <v>0</v>
      </c>
    </row>
    <row r="682" spans="2:5" ht="15" customHeight="1">
      <c r="B682" s="97"/>
      <c r="C682" s="73" t="s">
        <v>288</v>
      </c>
      <c r="D682" s="71">
        <v>38</v>
      </c>
      <c r="E682" s="72">
        <v>7.0000000000000001E-3</v>
      </c>
    </row>
    <row r="683" spans="2:5" ht="15" customHeight="1">
      <c r="B683" s="97" t="s">
        <v>102</v>
      </c>
      <c r="C683" s="62" t="s">
        <v>144</v>
      </c>
      <c r="D683" s="65">
        <v>12</v>
      </c>
      <c r="E683" s="64">
        <v>2E-3</v>
      </c>
    </row>
    <row r="684" spans="2:5" ht="15" customHeight="1">
      <c r="B684" s="97"/>
      <c r="C684" s="62" t="s">
        <v>175</v>
      </c>
      <c r="D684" s="65">
        <v>4</v>
      </c>
      <c r="E684" s="64">
        <v>1E-3</v>
      </c>
    </row>
    <row r="685" spans="2:5" ht="15" customHeight="1">
      <c r="B685" s="97"/>
      <c r="C685" s="62" t="s">
        <v>131</v>
      </c>
      <c r="D685" s="65">
        <v>2</v>
      </c>
      <c r="E685" s="64">
        <v>0</v>
      </c>
    </row>
    <row r="686" spans="2:5" ht="15" customHeight="1">
      <c r="B686" s="97"/>
      <c r="C686" s="62" t="s">
        <v>133</v>
      </c>
      <c r="D686" s="65">
        <v>2</v>
      </c>
      <c r="E686" s="64">
        <v>0</v>
      </c>
    </row>
    <row r="687" spans="2:5" ht="15" customHeight="1">
      <c r="B687" s="97"/>
      <c r="C687" s="62" t="s">
        <v>167</v>
      </c>
      <c r="D687" s="65">
        <v>2</v>
      </c>
      <c r="E687" s="64">
        <v>0</v>
      </c>
    </row>
    <row r="688" spans="2:5" ht="15" customHeight="1">
      <c r="B688" s="97"/>
      <c r="C688" s="62" t="s">
        <v>148</v>
      </c>
      <c r="D688" s="65">
        <v>2</v>
      </c>
      <c r="E688" s="64">
        <v>0</v>
      </c>
    </row>
    <row r="689" spans="2:5" ht="15" customHeight="1">
      <c r="B689" s="97"/>
      <c r="C689" s="62" t="s">
        <v>153</v>
      </c>
      <c r="D689" s="65">
        <v>2</v>
      </c>
      <c r="E689" s="64">
        <v>0</v>
      </c>
    </row>
    <row r="690" spans="2:5" ht="15" customHeight="1">
      <c r="B690" s="97"/>
      <c r="C690" s="62" t="s">
        <v>159</v>
      </c>
      <c r="D690" s="65">
        <v>1</v>
      </c>
      <c r="E690" s="64">
        <v>0</v>
      </c>
    </row>
    <row r="691" spans="2:5" ht="15" customHeight="1">
      <c r="B691" s="97"/>
      <c r="C691" s="62" t="s">
        <v>160</v>
      </c>
      <c r="D691" s="65">
        <v>1</v>
      </c>
      <c r="E691" s="64">
        <v>0</v>
      </c>
    </row>
    <row r="692" spans="2:5" ht="15" customHeight="1">
      <c r="B692" s="97"/>
      <c r="C692" s="62" t="s">
        <v>134</v>
      </c>
      <c r="D692" s="65">
        <v>1</v>
      </c>
      <c r="E692" s="64">
        <v>0</v>
      </c>
    </row>
    <row r="693" spans="2:5" ht="15" customHeight="1">
      <c r="B693" s="97"/>
      <c r="C693" s="62" t="s">
        <v>136</v>
      </c>
      <c r="D693" s="65">
        <v>1</v>
      </c>
      <c r="E693" s="64">
        <v>0</v>
      </c>
    </row>
    <row r="694" spans="2:5" ht="15" customHeight="1">
      <c r="B694" s="97"/>
      <c r="C694" s="62" t="s">
        <v>155</v>
      </c>
      <c r="D694" s="65">
        <v>1</v>
      </c>
      <c r="E694" s="64">
        <v>0</v>
      </c>
    </row>
    <row r="695" spans="2:5" ht="15" customHeight="1">
      <c r="B695" s="97"/>
      <c r="C695" s="62" t="s">
        <v>156</v>
      </c>
      <c r="D695" s="65">
        <v>1</v>
      </c>
      <c r="E695" s="64">
        <v>0</v>
      </c>
    </row>
    <row r="696" spans="2:5" ht="15" customHeight="1">
      <c r="B696" s="97"/>
      <c r="C696" s="62" t="s">
        <v>187</v>
      </c>
      <c r="D696" s="65">
        <v>1</v>
      </c>
      <c r="E696" s="64">
        <v>0</v>
      </c>
    </row>
    <row r="697" spans="2:5" ht="15" customHeight="1">
      <c r="B697" s="97"/>
      <c r="C697" s="62" t="s">
        <v>178</v>
      </c>
      <c r="D697" s="65">
        <v>1</v>
      </c>
      <c r="E697" s="64">
        <v>0</v>
      </c>
    </row>
    <row r="698" spans="2:5" ht="15" customHeight="1">
      <c r="B698" s="97"/>
      <c r="C698" s="62" t="s">
        <v>140</v>
      </c>
      <c r="D698" s="65">
        <v>1</v>
      </c>
      <c r="E698" s="64">
        <v>0</v>
      </c>
    </row>
    <row r="699" spans="2:5" ht="15" customHeight="1">
      <c r="B699" s="97"/>
      <c r="C699" s="62" t="s">
        <v>181</v>
      </c>
      <c r="D699" s="65">
        <v>1</v>
      </c>
      <c r="E699" s="64">
        <v>0</v>
      </c>
    </row>
    <row r="700" spans="2:5" ht="15" customHeight="1">
      <c r="B700" s="97"/>
      <c r="C700" s="62" t="s">
        <v>182</v>
      </c>
      <c r="D700" s="65">
        <v>1</v>
      </c>
      <c r="E700" s="64">
        <v>0</v>
      </c>
    </row>
    <row r="701" spans="2:5" ht="15" customHeight="1">
      <c r="B701" s="97"/>
      <c r="C701" s="62" t="s">
        <v>145</v>
      </c>
      <c r="D701" s="65">
        <v>1</v>
      </c>
      <c r="E701" s="64">
        <v>0</v>
      </c>
    </row>
    <row r="702" spans="2:5" ht="15" customHeight="1">
      <c r="B702" s="97"/>
      <c r="C702" s="73" t="s">
        <v>288</v>
      </c>
      <c r="D702" s="71">
        <v>38</v>
      </c>
      <c r="E702" s="72">
        <v>7.0000000000000001E-3</v>
      </c>
    </row>
    <row r="703" spans="2:5" ht="15" customHeight="1">
      <c r="B703" s="97" t="s">
        <v>87</v>
      </c>
      <c r="C703" s="62" t="s">
        <v>144</v>
      </c>
      <c r="D703" s="65">
        <v>8</v>
      </c>
      <c r="E703" s="64">
        <v>1E-3</v>
      </c>
    </row>
    <row r="704" spans="2:5" ht="15" customHeight="1">
      <c r="B704" s="97"/>
      <c r="C704" s="62" t="s">
        <v>133</v>
      </c>
      <c r="D704" s="65">
        <v>7</v>
      </c>
      <c r="E704" s="64">
        <v>1E-3</v>
      </c>
    </row>
    <row r="705" spans="2:5" ht="15" customHeight="1">
      <c r="B705" s="97"/>
      <c r="C705" s="62" t="s">
        <v>156</v>
      </c>
      <c r="D705" s="65">
        <v>4</v>
      </c>
      <c r="E705" s="64">
        <v>1E-3</v>
      </c>
    </row>
    <row r="706" spans="2:5" ht="15" customHeight="1">
      <c r="B706" s="97"/>
      <c r="C706" s="62" t="s">
        <v>145</v>
      </c>
      <c r="D706" s="65">
        <v>4</v>
      </c>
      <c r="E706" s="64">
        <v>1E-3</v>
      </c>
    </row>
    <row r="707" spans="2:5" ht="15" customHeight="1">
      <c r="B707" s="97"/>
      <c r="C707" s="62" t="s">
        <v>155</v>
      </c>
      <c r="D707" s="65">
        <v>3</v>
      </c>
      <c r="E707" s="64">
        <v>1E-3</v>
      </c>
    </row>
    <row r="708" spans="2:5" ht="15" customHeight="1">
      <c r="B708" s="97"/>
      <c r="C708" s="62" t="s">
        <v>147</v>
      </c>
      <c r="D708" s="65">
        <v>2</v>
      </c>
      <c r="E708" s="64">
        <v>0</v>
      </c>
    </row>
    <row r="709" spans="2:5" ht="15" customHeight="1">
      <c r="B709" s="97"/>
      <c r="C709" s="62" t="s">
        <v>143</v>
      </c>
      <c r="D709" s="65">
        <v>2</v>
      </c>
      <c r="E709" s="64">
        <v>0</v>
      </c>
    </row>
    <row r="710" spans="2:5" ht="15" customHeight="1">
      <c r="B710" s="97"/>
      <c r="C710" s="62" t="s">
        <v>153</v>
      </c>
      <c r="D710" s="65">
        <v>2</v>
      </c>
      <c r="E710" s="64">
        <v>0</v>
      </c>
    </row>
    <row r="711" spans="2:5" ht="15" customHeight="1">
      <c r="B711" s="97"/>
      <c r="C711" s="62" t="s">
        <v>131</v>
      </c>
      <c r="D711" s="65">
        <v>1</v>
      </c>
      <c r="E711" s="64">
        <v>0</v>
      </c>
    </row>
    <row r="712" spans="2:5" ht="15" customHeight="1">
      <c r="B712" s="97"/>
      <c r="C712" s="62" t="s">
        <v>188</v>
      </c>
      <c r="D712" s="65">
        <v>1</v>
      </c>
      <c r="E712" s="64">
        <v>0</v>
      </c>
    </row>
    <row r="713" spans="2:5" ht="15" customHeight="1">
      <c r="B713" s="97"/>
      <c r="C713" s="62" t="s">
        <v>165</v>
      </c>
      <c r="D713" s="65">
        <v>1</v>
      </c>
      <c r="E713" s="64">
        <v>0</v>
      </c>
    </row>
    <row r="714" spans="2:5" ht="15" customHeight="1">
      <c r="B714" s="97"/>
      <c r="C714" s="62" t="s">
        <v>183</v>
      </c>
      <c r="D714" s="65">
        <v>1</v>
      </c>
      <c r="E714" s="64">
        <v>0</v>
      </c>
    </row>
    <row r="715" spans="2:5" ht="15" customHeight="1">
      <c r="B715" s="97"/>
      <c r="C715" s="73" t="s">
        <v>288</v>
      </c>
      <c r="D715" s="71">
        <v>36</v>
      </c>
      <c r="E715" s="72">
        <v>6.0000000000000001E-3</v>
      </c>
    </row>
    <row r="716" spans="2:5" ht="15" customHeight="1">
      <c r="B716" s="97" t="s">
        <v>67</v>
      </c>
      <c r="C716" s="62" t="s">
        <v>131</v>
      </c>
      <c r="D716" s="65">
        <v>6</v>
      </c>
      <c r="E716" s="64">
        <v>1E-3</v>
      </c>
    </row>
    <row r="717" spans="2:5" ht="15" customHeight="1">
      <c r="B717" s="97"/>
      <c r="C717" s="62" t="s">
        <v>133</v>
      </c>
      <c r="D717" s="65">
        <v>6</v>
      </c>
      <c r="E717" s="64">
        <v>1E-3</v>
      </c>
    </row>
    <row r="718" spans="2:5" ht="15" customHeight="1">
      <c r="B718" s="97"/>
      <c r="C718" s="62" t="s">
        <v>135</v>
      </c>
      <c r="D718" s="65">
        <v>4</v>
      </c>
      <c r="E718" s="64">
        <v>1E-3</v>
      </c>
    </row>
    <row r="719" spans="2:5" ht="15" customHeight="1">
      <c r="B719" s="97"/>
      <c r="C719" s="62" t="s">
        <v>144</v>
      </c>
      <c r="D719" s="65">
        <v>3</v>
      </c>
      <c r="E719" s="64">
        <v>1E-3</v>
      </c>
    </row>
    <row r="720" spans="2:5" ht="15" customHeight="1">
      <c r="B720" s="97"/>
      <c r="C720" s="62" t="s">
        <v>134</v>
      </c>
      <c r="D720" s="65">
        <v>2</v>
      </c>
      <c r="E720" s="64">
        <v>0</v>
      </c>
    </row>
    <row r="721" spans="2:5" ht="15" customHeight="1">
      <c r="B721" s="97"/>
      <c r="C721" s="62" t="s">
        <v>139</v>
      </c>
      <c r="D721" s="65">
        <v>2</v>
      </c>
      <c r="E721" s="64">
        <v>0</v>
      </c>
    </row>
    <row r="722" spans="2:5" ht="15" customHeight="1">
      <c r="B722" s="97"/>
      <c r="C722" s="62" t="s">
        <v>146</v>
      </c>
      <c r="D722" s="65">
        <v>1</v>
      </c>
      <c r="E722" s="64">
        <v>0</v>
      </c>
    </row>
    <row r="723" spans="2:5" ht="15" customHeight="1">
      <c r="B723" s="97"/>
      <c r="C723" s="62" t="s">
        <v>147</v>
      </c>
      <c r="D723" s="65">
        <v>1</v>
      </c>
      <c r="E723" s="64">
        <v>0</v>
      </c>
    </row>
    <row r="724" spans="2:5" ht="15" customHeight="1">
      <c r="B724" s="97"/>
      <c r="C724" s="62" t="s">
        <v>136</v>
      </c>
      <c r="D724" s="65">
        <v>1</v>
      </c>
      <c r="E724" s="64">
        <v>0</v>
      </c>
    </row>
    <row r="725" spans="2:5" ht="15" customHeight="1">
      <c r="B725" s="97"/>
      <c r="C725" s="62" t="s">
        <v>137</v>
      </c>
      <c r="D725" s="65">
        <v>1</v>
      </c>
      <c r="E725" s="64">
        <v>0</v>
      </c>
    </row>
    <row r="726" spans="2:5" ht="15" customHeight="1">
      <c r="B726" s="97"/>
      <c r="C726" s="62" t="s">
        <v>156</v>
      </c>
      <c r="D726" s="65">
        <v>1</v>
      </c>
      <c r="E726" s="64">
        <v>0</v>
      </c>
    </row>
    <row r="727" spans="2:5" ht="15" customHeight="1">
      <c r="B727" s="97"/>
      <c r="C727" s="62" t="s">
        <v>180</v>
      </c>
      <c r="D727" s="65">
        <v>1</v>
      </c>
      <c r="E727" s="64">
        <v>0</v>
      </c>
    </row>
    <row r="728" spans="2:5" ht="15" customHeight="1">
      <c r="B728" s="97"/>
      <c r="C728" s="62" t="s">
        <v>142</v>
      </c>
      <c r="D728" s="65">
        <v>1</v>
      </c>
      <c r="E728" s="64">
        <v>0</v>
      </c>
    </row>
    <row r="729" spans="2:5" ht="15" customHeight="1">
      <c r="B729" s="97"/>
      <c r="C729" s="62" t="s">
        <v>143</v>
      </c>
      <c r="D729" s="65">
        <v>1</v>
      </c>
      <c r="E729" s="64">
        <v>0</v>
      </c>
    </row>
    <row r="730" spans="2:5" ht="15" customHeight="1">
      <c r="B730" s="97"/>
      <c r="C730" s="62" t="s">
        <v>145</v>
      </c>
      <c r="D730" s="65">
        <v>1</v>
      </c>
      <c r="E730" s="64">
        <v>0</v>
      </c>
    </row>
    <row r="731" spans="2:5" ht="15" customHeight="1">
      <c r="B731" s="97"/>
      <c r="C731" s="73" t="s">
        <v>288</v>
      </c>
      <c r="D731" s="71">
        <v>32</v>
      </c>
      <c r="E731" s="72">
        <v>6.0000000000000001E-3</v>
      </c>
    </row>
    <row r="732" spans="2:5" ht="15" customHeight="1">
      <c r="B732" s="97" t="s">
        <v>122</v>
      </c>
      <c r="C732" s="62" t="s">
        <v>144</v>
      </c>
      <c r="D732" s="65">
        <v>7</v>
      </c>
      <c r="E732" s="64">
        <v>1E-3</v>
      </c>
    </row>
    <row r="733" spans="2:5" ht="15" customHeight="1">
      <c r="B733" s="97"/>
      <c r="C733" s="62" t="s">
        <v>134</v>
      </c>
      <c r="D733" s="65">
        <v>6</v>
      </c>
      <c r="E733" s="64">
        <v>1E-3</v>
      </c>
    </row>
    <row r="734" spans="2:5" ht="15" customHeight="1">
      <c r="B734" s="97"/>
      <c r="C734" s="62" t="s">
        <v>133</v>
      </c>
      <c r="D734" s="65">
        <v>5</v>
      </c>
      <c r="E734" s="64">
        <v>1E-3</v>
      </c>
    </row>
    <row r="735" spans="2:5" ht="15" customHeight="1">
      <c r="B735" s="97"/>
      <c r="C735" s="62" t="s">
        <v>145</v>
      </c>
      <c r="D735" s="65">
        <v>3</v>
      </c>
      <c r="E735" s="64">
        <v>1E-3</v>
      </c>
    </row>
    <row r="736" spans="2:5" ht="15" customHeight="1">
      <c r="B736" s="97"/>
      <c r="C736" s="62" t="s">
        <v>165</v>
      </c>
      <c r="D736" s="65">
        <v>2</v>
      </c>
      <c r="E736" s="64">
        <v>0</v>
      </c>
    </row>
    <row r="737" spans="2:5" ht="15" customHeight="1">
      <c r="B737" s="97"/>
      <c r="C737" s="62" t="s">
        <v>142</v>
      </c>
      <c r="D737" s="65">
        <v>2</v>
      </c>
      <c r="E737" s="64">
        <v>0</v>
      </c>
    </row>
    <row r="738" spans="2:5" ht="15" customHeight="1">
      <c r="B738" s="97"/>
      <c r="C738" s="62" t="s">
        <v>161</v>
      </c>
      <c r="D738" s="65">
        <v>1</v>
      </c>
      <c r="E738" s="64">
        <v>0</v>
      </c>
    </row>
    <row r="739" spans="2:5" ht="15" customHeight="1">
      <c r="B739" s="97"/>
      <c r="C739" s="62" t="s">
        <v>131</v>
      </c>
      <c r="D739" s="65">
        <v>1</v>
      </c>
      <c r="E739" s="64">
        <v>0</v>
      </c>
    </row>
    <row r="740" spans="2:5" ht="15" customHeight="1">
      <c r="B740" s="97"/>
      <c r="C740" s="62" t="s">
        <v>155</v>
      </c>
      <c r="D740" s="65">
        <v>1</v>
      </c>
      <c r="E740" s="64">
        <v>0</v>
      </c>
    </row>
    <row r="741" spans="2:5" ht="15" customHeight="1">
      <c r="B741" s="97"/>
      <c r="C741" s="62" t="s">
        <v>139</v>
      </c>
      <c r="D741" s="65">
        <v>1</v>
      </c>
      <c r="E741" s="64">
        <v>0</v>
      </c>
    </row>
    <row r="742" spans="2:5" ht="15" customHeight="1">
      <c r="B742" s="97"/>
      <c r="C742" s="62" t="s">
        <v>183</v>
      </c>
      <c r="D742" s="65">
        <v>1</v>
      </c>
      <c r="E742" s="64">
        <v>0</v>
      </c>
    </row>
    <row r="743" spans="2:5" ht="15" customHeight="1">
      <c r="B743" s="97"/>
      <c r="C743" s="62" t="s">
        <v>152</v>
      </c>
      <c r="D743" s="65">
        <v>1</v>
      </c>
      <c r="E743" s="64">
        <v>0</v>
      </c>
    </row>
    <row r="744" spans="2:5" ht="15" customHeight="1">
      <c r="B744" s="97"/>
      <c r="C744" s="73" t="s">
        <v>288</v>
      </c>
      <c r="D744" s="71">
        <v>31</v>
      </c>
      <c r="E744" s="72">
        <v>6.0000000000000001E-3</v>
      </c>
    </row>
    <row r="745" spans="2:5" ht="15" customHeight="1">
      <c r="B745" s="97" t="s">
        <v>93</v>
      </c>
      <c r="C745" s="62" t="s">
        <v>133</v>
      </c>
      <c r="D745" s="65">
        <v>16</v>
      </c>
      <c r="E745" s="64">
        <v>3.0000000000000001E-3</v>
      </c>
    </row>
    <row r="746" spans="2:5" ht="15" customHeight="1">
      <c r="B746" s="97"/>
      <c r="C746" s="62" t="s">
        <v>135</v>
      </c>
      <c r="D746" s="65">
        <v>3</v>
      </c>
      <c r="E746" s="64">
        <v>1E-3</v>
      </c>
    </row>
    <row r="747" spans="2:5" ht="15" customHeight="1">
      <c r="B747" s="97"/>
      <c r="C747" s="62" t="s">
        <v>144</v>
      </c>
      <c r="D747" s="65">
        <v>3</v>
      </c>
      <c r="E747" s="64">
        <v>1E-3</v>
      </c>
    </row>
    <row r="748" spans="2:5" ht="15" customHeight="1">
      <c r="B748" s="97"/>
      <c r="C748" s="62" t="s">
        <v>183</v>
      </c>
      <c r="D748" s="65">
        <v>3</v>
      </c>
      <c r="E748" s="64">
        <v>1E-3</v>
      </c>
    </row>
    <row r="749" spans="2:5" ht="15" customHeight="1">
      <c r="B749" s="97"/>
      <c r="C749" s="62" t="s">
        <v>159</v>
      </c>
      <c r="D749" s="65">
        <v>1</v>
      </c>
      <c r="E749" s="64">
        <v>0</v>
      </c>
    </row>
    <row r="750" spans="2:5" ht="15" customHeight="1">
      <c r="B750" s="97"/>
      <c r="C750" s="62" t="s">
        <v>131</v>
      </c>
      <c r="D750" s="65">
        <v>1</v>
      </c>
      <c r="E750" s="64">
        <v>0</v>
      </c>
    </row>
    <row r="751" spans="2:5" ht="15" customHeight="1">
      <c r="B751" s="97"/>
      <c r="C751" s="62" t="s">
        <v>136</v>
      </c>
      <c r="D751" s="65">
        <v>1</v>
      </c>
      <c r="E751" s="64">
        <v>0</v>
      </c>
    </row>
    <row r="752" spans="2:5" ht="15" customHeight="1">
      <c r="B752" s="97"/>
      <c r="C752" s="62" t="s">
        <v>156</v>
      </c>
      <c r="D752" s="65">
        <v>1</v>
      </c>
      <c r="E752" s="64">
        <v>0</v>
      </c>
    </row>
    <row r="753" spans="2:5" ht="15" customHeight="1">
      <c r="B753" s="97"/>
      <c r="C753" s="73" t="s">
        <v>288</v>
      </c>
      <c r="D753" s="71">
        <v>29</v>
      </c>
      <c r="E753" s="72">
        <v>5.0000000000000001E-3</v>
      </c>
    </row>
    <row r="754" spans="2:5" ht="15" customHeight="1">
      <c r="B754" s="97" t="s">
        <v>106</v>
      </c>
      <c r="C754" s="62" t="s">
        <v>144</v>
      </c>
      <c r="D754" s="65">
        <v>6</v>
      </c>
      <c r="E754" s="64">
        <v>1E-3</v>
      </c>
    </row>
    <row r="755" spans="2:5" ht="15" customHeight="1">
      <c r="B755" s="97"/>
      <c r="C755" s="62" t="s">
        <v>133</v>
      </c>
      <c r="D755" s="65">
        <v>4</v>
      </c>
      <c r="E755" s="64">
        <v>1E-3</v>
      </c>
    </row>
    <row r="756" spans="2:5" ht="15" customHeight="1">
      <c r="B756" s="97"/>
      <c r="C756" s="62" t="s">
        <v>138</v>
      </c>
      <c r="D756" s="65">
        <v>3</v>
      </c>
      <c r="E756" s="64">
        <v>1E-3</v>
      </c>
    </row>
    <row r="757" spans="2:5" ht="15" customHeight="1">
      <c r="B757" s="97"/>
      <c r="C757" s="62" t="s">
        <v>180</v>
      </c>
      <c r="D757" s="65">
        <v>3</v>
      </c>
      <c r="E757" s="64">
        <v>1E-3</v>
      </c>
    </row>
    <row r="758" spans="2:5" ht="15" customHeight="1">
      <c r="B758" s="97"/>
      <c r="C758" s="62" t="s">
        <v>182</v>
      </c>
      <c r="D758" s="65">
        <v>3</v>
      </c>
      <c r="E758" s="64">
        <v>1E-3</v>
      </c>
    </row>
    <row r="759" spans="2:5" ht="15" customHeight="1">
      <c r="B759" s="97"/>
      <c r="C759" s="62" t="s">
        <v>153</v>
      </c>
      <c r="D759" s="65">
        <v>2</v>
      </c>
      <c r="E759" s="64">
        <v>0</v>
      </c>
    </row>
    <row r="760" spans="2:5" ht="15" customHeight="1">
      <c r="B760" s="97"/>
      <c r="C760" s="62" t="s">
        <v>134</v>
      </c>
      <c r="D760" s="65">
        <v>1</v>
      </c>
      <c r="E760" s="64">
        <v>0</v>
      </c>
    </row>
    <row r="761" spans="2:5" ht="15" customHeight="1">
      <c r="B761" s="97"/>
      <c r="C761" s="62" t="s">
        <v>261</v>
      </c>
      <c r="D761" s="65">
        <v>1</v>
      </c>
      <c r="E761" s="64">
        <v>0</v>
      </c>
    </row>
    <row r="762" spans="2:5" ht="15" customHeight="1">
      <c r="B762" s="97"/>
      <c r="C762" s="62" t="s">
        <v>135</v>
      </c>
      <c r="D762" s="65">
        <v>1</v>
      </c>
      <c r="E762" s="64">
        <v>0</v>
      </c>
    </row>
    <row r="763" spans="2:5" ht="15" customHeight="1">
      <c r="B763" s="97"/>
      <c r="C763" s="62" t="s">
        <v>136</v>
      </c>
      <c r="D763" s="65">
        <v>1</v>
      </c>
      <c r="E763" s="64">
        <v>0</v>
      </c>
    </row>
    <row r="764" spans="2:5" ht="15" customHeight="1">
      <c r="B764" s="97"/>
      <c r="C764" s="62" t="s">
        <v>170</v>
      </c>
      <c r="D764" s="65">
        <v>1</v>
      </c>
      <c r="E764" s="64">
        <v>0</v>
      </c>
    </row>
    <row r="765" spans="2:5" ht="15" customHeight="1">
      <c r="B765" s="97"/>
      <c r="C765" s="62" t="s">
        <v>145</v>
      </c>
      <c r="D765" s="65">
        <v>1</v>
      </c>
      <c r="E765" s="64">
        <v>0</v>
      </c>
    </row>
    <row r="766" spans="2:5" ht="15" customHeight="1">
      <c r="B766" s="97"/>
      <c r="C766" s="73" t="s">
        <v>288</v>
      </c>
      <c r="D766" s="71">
        <v>27</v>
      </c>
      <c r="E766" s="72">
        <v>5.0000000000000001E-3</v>
      </c>
    </row>
    <row r="767" spans="2:5" ht="15" customHeight="1">
      <c r="B767" s="97" t="s">
        <v>101</v>
      </c>
      <c r="C767" s="62" t="s">
        <v>133</v>
      </c>
      <c r="D767" s="65">
        <v>5</v>
      </c>
      <c r="E767" s="64">
        <v>1E-3</v>
      </c>
    </row>
    <row r="768" spans="2:5" ht="15" customHeight="1">
      <c r="B768" s="97"/>
      <c r="C768" s="62" t="s">
        <v>136</v>
      </c>
      <c r="D768" s="65">
        <v>3</v>
      </c>
      <c r="E768" s="64">
        <v>1E-3</v>
      </c>
    </row>
    <row r="769" spans="2:5" ht="15" customHeight="1">
      <c r="B769" s="97"/>
      <c r="C769" s="62" t="s">
        <v>170</v>
      </c>
      <c r="D769" s="65">
        <v>3</v>
      </c>
      <c r="E769" s="64">
        <v>1E-3</v>
      </c>
    </row>
    <row r="770" spans="2:5" ht="15" customHeight="1">
      <c r="B770" s="97"/>
      <c r="C770" s="62" t="s">
        <v>144</v>
      </c>
      <c r="D770" s="65">
        <v>3</v>
      </c>
      <c r="E770" s="64">
        <v>1E-3</v>
      </c>
    </row>
    <row r="771" spans="2:5" ht="15" customHeight="1">
      <c r="B771" s="97"/>
      <c r="C771" s="62" t="s">
        <v>132</v>
      </c>
      <c r="D771" s="65">
        <v>2</v>
      </c>
      <c r="E771" s="64">
        <v>0</v>
      </c>
    </row>
    <row r="772" spans="2:5" ht="15" customHeight="1">
      <c r="B772" s="97"/>
      <c r="C772" s="62" t="s">
        <v>188</v>
      </c>
      <c r="D772" s="65">
        <v>1</v>
      </c>
      <c r="E772" s="64">
        <v>0</v>
      </c>
    </row>
    <row r="773" spans="2:5" ht="15" customHeight="1">
      <c r="B773" s="97"/>
      <c r="C773" s="62" t="s">
        <v>261</v>
      </c>
      <c r="D773" s="65">
        <v>1</v>
      </c>
      <c r="E773" s="64">
        <v>0</v>
      </c>
    </row>
    <row r="774" spans="2:5" ht="15" customHeight="1">
      <c r="B774" s="97"/>
      <c r="C774" s="62" t="s">
        <v>168</v>
      </c>
      <c r="D774" s="65">
        <v>1</v>
      </c>
      <c r="E774" s="64">
        <v>0</v>
      </c>
    </row>
    <row r="775" spans="2:5" ht="15" customHeight="1">
      <c r="B775" s="97"/>
      <c r="C775" s="62" t="s">
        <v>149</v>
      </c>
      <c r="D775" s="65">
        <v>1</v>
      </c>
      <c r="E775" s="64">
        <v>0</v>
      </c>
    </row>
    <row r="776" spans="2:5" ht="15" customHeight="1">
      <c r="B776" s="97"/>
      <c r="C776" s="62" t="s">
        <v>138</v>
      </c>
      <c r="D776" s="65">
        <v>1</v>
      </c>
      <c r="E776" s="64">
        <v>0</v>
      </c>
    </row>
    <row r="777" spans="2:5" ht="15" customHeight="1">
      <c r="B777" s="97"/>
      <c r="C777" s="62" t="s">
        <v>140</v>
      </c>
      <c r="D777" s="65">
        <v>1</v>
      </c>
      <c r="E777" s="64">
        <v>0</v>
      </c>
    </row>
    <row r="778" spans="2:5" ht="15" customHeight="1">
      <c r="B778" s="97"/>
      <c r="C778" s="62" t="s">
        <v>143</v>
      </c>
      <c r="D778" s="65">
        <v>1</v>
      </c>
      <c r="E778" s="64">
        <v>0</v>
      </c>
    </row>
    <row r="779" spans="2:5" ht="15" customHeight="1">
      <c r="B779" s="97"/>
      <c r="C779" s="62" t="s">
        <v>182</v>
      </c>
      <c r="D779" s="65">
        <v>1</v>
      </c>
      <c r="E779" s="64">
        <v>0</v>
      </c>
    </row>
    <row r="780" spans="2:5" ht="15" customHeight="1">
      <c r="B780" s="97"/>
      <c r="C780" s="62" t="s">
        <v>145</v>
      </c>
      <c r="D780" s="65">
        <v>1</v>
      </c>
      <c r="E780" s="64">
        <v>0</v>
      </c>
    </row>
    <row r="781" spans="2:5" ht="15" customHeight="1">
      <c r="B781" s="97"/>
      <c r="C781" s="62" t="s">
        <v>151</v>
      </c>
      <c r="D781" s="65">
        <v>1</v>
      </c>
      <c r="E781" s="64">
        <v>0</v>
      </c>
    </row>
    <row r="782" spans="2:5" ht="15" customHeight="1">
      <c r="B782" s="97"/>
      <c r="C782" s="73" t="s">
        <v>288</v>
      </c>
      <c r="D782" s="71">
        <v>26</v>
      </c>
      <c r="E782" s="72">
        <v>5.0000000000000001E-3</v>
      </c>
    </row>
    <row r="783" spans="2:5" ht="15" customHeight="1">
      <c r="B783" s="97" t="s">
        <v>104</v>
      </c>
      <c r="C783" s="62" t="s">
        <v>144</v>
      </c>
      <c r="D783" s="65">
        <v>7</v>
      </c>
      <c r="E783" s="64">
        <v>1E-3</v>
      </c>
    </row>
    <row r="784" spans="2:5" ht="15" customHeight="1">
      <c r="B784" s="97"/>
      <c r="C784" s="62" t="s">
        <v>135</v>
      </c>
      <c r="D784" s="65">
        <v>5</v>
      </c>
      <c r="E784" s="64">
        <v>1E-3</v>
      </c>
    </row>
    <row r="785" spans="2:5" ht="15" customHeight="1">
      <c r="B785" s="97"/>
      <c r="C785" s="62" t="s">
        <v>136</v>
      </c>
      <c r="D785" s="65">
        <v>2</v>
      </c>
      <c r="E785" s="64">
        <v>0</v>
      </c>
    </row>
    <row r="786" spans="2:5" ht="15" customHeight="1">
      <c r="B786" s="97"/>
      <c r="C786" s="62" t="s">
        <v>180</v>
      </c>
      <c r="D786" s="65">
        <v>2</v>
      </c>
      <c r="E786" s="64">
        <v>0</v>
      </c>
    </row>
    <row r="787" spans="2:5" ht="15" customHeight="1">
      <c r="B787" s="97"/>
      <c r="C787" s="62" t="s">
        <v>142</v>
      </c>
      <c r="D787" s="65">
        <v>2</v>
      </c>
      <c r="E787" s="64">
        <v>0</v>
      </c>
    </row>
    <row r="788" spans="2:5" ht="15" customHeight="1">
      <c r="B788" s="97"/>
      <c r="C788" s="62" t="s">
        <v>153</v>
      </c>
      <c r="D788" s="65">
        <v>2</v>
      </c>
      <c r="E788" s="64">
        <v>0</v>
      </c>
    </row>
    <row r="789" spans="2:5" ht="15" customHeight="1">
      <c r="B789" s="97"/>
      <c r="C789" s="62" t="s">
        <v>131</v>
      </c>
      <c r="D789" s="65">
        <v>1</v>
      </c>
      <c r="E789" s="64">
        <v>0</v>
      </c>
    </row>
    <row r="790" spans="2:5" ht="15" customHeight="1">
      <c r="B790" s="97"/>
      <c r="C790" s="62" t="s">
        <v>133</v>
      </c>
      <c r="D790" s="65">
        <v>1</v>
      </c>
      <c r="E790" s="64">
        <v>0</v>
      </c>
    </row>
    <row r="791" spans="2:5" ht="15" customHeight="1">
      <c r="B791" s="97"/>
      <c r="C791" s="62" t="s">
        <v>156</v>
      </c>
      <c r="D791" s="65">
        <v>1</v>
      </c>
      <c r="E791" s="64">
        <v>0</v>
      </c>
    </row>
    <row r="792" spans="2:5" ht="15" customHeight="1">
      <c r="B792" s="97"/>
      <c r="C792" s="62" t="s">
        <v>170</v>
      </c>
      <c r="D792" s="65">
        <v>1</v>
      </c>
      <c r="E792" s="64">
        <v>0</v>
      </c>
    </row>
    <row r="793" spans="2:5" ht="15" customHeight="1">
      <c r="B793" s="97"/>
      <c r="C793" s="62" t="s">
        <v>172</v>
      </c>
      <c r="D793" s="65">
        <v>1</v>
      </c>
      <c r="E793" s="64">
        <v>0</v>
      </c>
    </row>
    <row r="794" spans="2:5" ht="15" customHeight="1">
      <c r="B794" s="97"/>
      <c r="C794" s="62" t="s">
        <v>150</v>
      </c>
      <c r="D794" s="65">
        <v>1</v>
      </c>
      <c r="E794" s="64">
        <v>0</v>
      </c>
    </row>
    <row r="795" spans="2:5" ht="15" customHeight="1">
      <c r="B795" s="97"/>
      <c r="C795" s="73" t="s">
        <v>288</v>
      </c>
      <c r="D795" s="71">
        <v>26</v>
      </c>
      <c r="E795" s="72">
        <v>5.0000000000000001E-3</v>
      </c>
    </row>
    <row r="796" spans="2:5" ht="15" customHeight="1">
      <c r="B796" s="97" t="s">
        <v>125</v>
      </c>
      <c r="C796" s="62" t="s">
        <v>142</v>
      </c>
      <c r="D796" s="65">
        <v>6</v>
      </c>
      <c r="E796" s="64">
        <v>1E-3</v>
      </c>
    </row>
    <row r="797" spans="2:5" ht="15" customHeight="1">
      <c r="B797" s="97"/>
      <c r="C797" s="62" t="s">
        <v>131</v>
      </c>
      <c r="D797" s="65">
        <v>5</v>
      </c>
      <c r="E797" s="64">
        <v>1E-3</v>
      </c>
    </row>
    <row r="798" spans="2:5" ht="15" customHeight="1">
      <c r="B798" s="97"/>
      <c r="C798" s="62" t="s">
        <v>134</v>
      </c>
      <c r="D798" s="65">
        <v>3</v>
      </c>
      <c r="E798" s="64">
        <v>1E-3</v>
      </c>
    </row>
    <row r="799" spans="2:5" ht="15" customHeight="1">
      <c r="B799" s="97"/>
      <c r="C799" s="62" t="s">
        <v>144</v>
      </c>
      <c r="D799" s="65">
        <v>3</v>
      </c>
      <c r="E799" s="64">
        <v>1E-3</v>
      </c>
    </row>
    <row r="800" spans="2:5" ht="15" customHeight="1">
      <c r="B800" s="97"/>
      <c r="C800" s="62" t="s">
        <v>150</v>
      </c>
      <c r="D800" s="65">
        <v>3</v>
      </c>
      <c r="E800" s="64">
        <v>1E-3</v>
      </c>
    </row>
    <row r="801" spans="2:5" ht="15" customHeight="1">
      <c r="B801" s="97"/>
      <c r="C801" s="62" t="s">
        <v>261</v>
      </c>
      <c r="D801" s="65">
        <v>2</v>
      </c>
      <c r="E801" s="64">
        <v>0</v>
      </c>
    </row>
    <row r="802" spans="2:5" ht="15" customHeight="1">
      <c r="B802" s="97"/>
      <c r="C802" s="62" t="s">
        <v>158</v>
      </c>
      <c r="D802" s="65">
        <v>2</v>
      </c>
      <c r="E802" s="64">
        <v>0</v>
      </c>
    </row>
    <row r="803" spans="2:5" ht="15" customHeight="1">
      <c r="B803" s="97"/>
      <c r="C803" s="62" t="s">
        <v>162</v>
      </c>
      <c r="D803" s="65">
        <v>1</v>
      </c>
      <c r="E803" s="64">
        <v>0</v>
      </c>
    </row>
    <row r="804" spans="2:5" ht="15" customHeight="1">
      <c r="B804" s="97"/>
      <c r="C804" s="62" t="s">
        <v>148</v>
      </c>
      <c r="D804" s="65">
        <v>1</v>
      </c>
      <c r="E804" s="64">
        <v>0</v>
      </c>
    </row>
    <row r="805" spans="2:5" ht="15" customHeight="1">
      <c r="B805" s="97"/>
      <c r="C805" s="73" t="s">
        <v>288</v>
      </c>
      <c r="D805" s="71">
        <v>26</v>
      </c>
      <c r="E805" s="72">
        <v>5.0000000000000001E-3</v>
      </c>
    </row>
    <row r="806" spans="2:5" ht="15" customHeight="1">
      <c r="B806" s="97" t="s">
        <v>89</v>
      </c>
      <c r="C806" s="62" t="s">
        <v>136</v>
      </c>
      <c r="D806" s="65">
        <v>5</v>
      </c>
      <c r="E806" s="64">
        <v>1E-3</v>
      </c>
    </row>
    <row r="807" spans="2:5" ht="15" customHeight="1">
      <c r="B807" s="97"/>
      <c r="C807" s="62" t="s">
        <v>135</v>
      </c>
      <c r="D807" s="65">
        <v>3</v>
      </c>
      <c r="E807" s="64">
        <v>1E-3</v>
      </c>
    </row>
    <row r="808" spans="2:5" ht="15" customHeight="1">
      <c r="B808" s="97"/>
      <c r="C808" s="62" t="s">
        <v>167</v>
      </c>
      <c r="D808" s="65">
        <v>3</v>
      </c>
      <c r="E808" s="64">
        <v>1E-3</v>
      </c>
    </row>
    <row r="809" spans="2:5" ht="15" customHeight="1">
      <c r="B809" s="97"/>
      <c r="C809" s="62" t="s">
        <v>142</v>
      </c>
      <c r="D809" s="65">
        <v>2</v>
      </c>
      <c r="E809" s="64">
        <v>0</v>
      </c>
    </row>
    <row r="810" spans="2:5" ht="15" customHeight="1">
      <c r="B810" s="97"/>
      <c r="C810" s="62" t="s">
        <v>131</v>
      </c>
      <c r="D810" s="65">
        <v>1</v>
      </c>
      <c r="E810" s="64">
        <v>0</v>
      </c>
    </row>
    <row r="811" spans="2:5" ht="15" customHeight="1">
      <c r="B811" s="97"/>
      <c r="C811" s="62" t="s">
        <v>188</v>
      </c>
      <c r="D811" s="65">
        <v>1</v>
      </c>
      <c r="E811" s="64">
        <v>0</v>
      </c>
    </row>
    <row r="812" spans="2:5" ht="15" customHeight="1">
      <c r="B812" s="97"/>
      <c r="C812" s="62" t="s">
        <v>147</v>
      </c>
      <c r="D812" s="65">
        <v>1</v>
      </c>
      <c r="E812" s="64">
        <v>0</v>
      </c>
    </row>
    <row r="813" spans="2:5" ht="15" customHeight="1">
      <c r="B813" s="97"/>
      <c r="C813" s="62" t="s">
        <v>155</v>
      </c>
      <c r="D813" s="65">
        <v>1</v>
      </c>
      <c r="E813" s="64">
        <v>0</v>
      </c>
    </row>
    <row r="814" spans="2:5" ht="15" customHeight="1">
      <c r="B814" s="97"/>
      <c r="C814" s="62" t="s">
        <v>156</v>
      </c>
      <c r="D814" s="65">
        <v>1</v>
      </c>
      <c r="E814" s="64">
        <v>0</v>
      </c>
    </row>
    <row r="815" spans="2:5" ht="15" customHeight="1">
      <c r="B815" s="97"/>
      <c r="C815" s="62" t="s">
        <v>178</v>
      </c>
      <c r="D815" s="65">
        <v>1</v>
      </c>
      <c r="E815" s="64">
        <v>0</v>
      </c>
    </row>
    <row r="816" spans="2:5" ht="15" customHeight="1">
      <c r="B816" s="97"/>
      <c r="C816" s="62" t="s">
        <v>180</v>
      </c>
      <c r="D816" s="65">
        <v>1</v>
      </c>
      <c r="E816" s="64">
        <v>0</v>
      </c>
    </row>
    <row r="817" spans="2:5" ht="15" customHeight="1">
      <c r="B817" s="97"/>
      <c r="C817" s="62" t="s">
        <v>145</v>
      </c>
      <c r="D817" s="65">
        <v>1</v>
      </c>
      <c r="E817" s="64">
        <v>0</v>
      </c>
    </row>
    <row r="818" spans="2:5" ht="15" customHeight="1">
      <c r="B818" s="97"/>
      <c r="C818" s="62" t="s">
        <v>152</v>
      </c>
      <c r="D818" s="65">
        <v>1</v>
      </c>
      <c r="E818" s="64">
        <v>0</v>
      </c>
    </row>
    <row r="819" spans="2:5" ht="15" customHeight="1">
      <c r="B819" s="97"/>
      <c r="C819" s="73" t="s">
        <v>288</v>
      </c>
      <c r="D819" s="71">
        <v>22</v>
      </c>
      <c r="E819" s="72">
        <v>4.0000000000000001E-3</v>
      </c>
    </row>
    <row r="820" spans="2:5" ht="15" customHeight="1">
      <c r="B820" s="97" t="s">
        <v>103</v>
      </c>
      <c r="C820" s="62" t="s">
        <v>135</v>
      </c>
      <c r="D820" s="65">
        <v>7</v>
      </c>
      <c r="E820" s="64">
        <v>1E-3</v>
      </c>
    </row>
    <row r="821" spans="2:5" ht="15" customHeight="1">
      <c r="B821" s="97"/>
      <c r="C821" s="62" t="s">
        <v>142</v>
      </c>
      <c r="D821" s="65">
        <v>4</v>
      </c>
      <c r="E821" s="64">
        <v>1E-3</v>
      </c>
    </row>
    <row r="822" spans="2:5" ht="15" customHeight="1">
      <c r="B822" s="97"/>
      <c r="C822" s="62" t="s">
        <v>144</v>
      </c>
      <c r="D822" s="65">
        <v>3</v>
      </c>
      <c r="E822" s="64">
        <v>1E-3</v>
      </c>
    </row>
    <row r="823" spans="2:5" ht="15" customHeight="1">
      <c r="B823" s="97"/>
      <c r="C823" s="62" t="s">
        <v>143</v>
      </c>
      <c r="D823" s="65">
        <v>2</v>
      </c>
      <c r="E823" s="64">
        <v>0</v>
      </c>
    </row>
    <row r="824" spans="2:5" ht="15" customHeight="1">
      <c r="B824" s="97"/>
      <c r="C824" s="62" t="s">
        <v>157</v>
      </c>
      <c r="D824" s="65">
        <v>2</v>
      </c>
      <c r="E824" s="64">
        <v>0</v>
      </c>
    </row>
    <row r="825" spans="2:5" ht="15" customHeight="1">
      <c r="B825" s="97"/>
      <c r="C825" s="62" t="s">
        <v>134</v>
      </c>
      <c r="D825" s="65">
        <v>1</v>
      </c>
      <c r="E825" s="64">
        <v>0</v>
      </c>
    </row>
    <row r="826" spans="2:5" ht="15" customHeight="1">
      <c r="B826" s="97"/>
      <c r="C826" s="62" t="s">
        <v>167</v>
      </c>
      <c r="D826" s="65">
        <v>1</v>
      </c>
      <c r="E826" s="64">
        <v>0</v>
      </c>
    </row>
    <row r="827" spans="2:5" ht="15" customHeight="1">
      <c r="B827" s="97"/>
      <c r="C827" s="62" t="s">
        <v>136</v>
      </c>
      <c r="D827" s="65">
        <v>1</v>
      </c>
      <c r="E827" s="64">
        <v>0</v>
      </c>
    </row>
    <row r="828" spans="2:5" ht="15" customHeight="1">
      <c r="B828" s="97"/>
      <c r="C828" s="73" t="s">
        <v>288</v>
      </c>
      <c r="D828" s="71">
        <v>21</v>
      </c>
      <c r="E828" s="72">
        <v>4.0000000000000001E-3</v>
      </c>
    </row>
    <row r="829" spans="2:5" ht="15" customHeight="1">
      <c r="B829" s="97" t="s">
        <v>116</v>
      </c>
      <c r="C829" s="62" t="s">
        <v>133</v>
      </c>
      <c r="D829" s="65">
        <v>5</v>
      </c>
      <c r="E829" s="64">
        <v>1E-3</v>
      </c>
    </row>
    <row r="830" spans="2:5" ht="15" customHeight="1">
      <c r="B830" s="97"/>
      <c r="C830" s="62" t="s">
        <v>131</v>
      </c>
      <c r="D830" s="65">
        <v>2</v>
      </c>
      <c r="E830" s="64">
        <v>0</v>
      </c>
    </row>
    <row r="831" spans="2:5" ht="15" customHeight="1">
      <c r="B831" s="97"/>
      <c r="C831" s="62" t="s">
        <v>134</v>
      </c>
      <c r="D831" s="65">
        <v>2</v>
      </c>
      <c r="E831" s="64">
        <v>0</v>
      </c>
    </row>
    <row r="832" spans="2:5" ht="15" customHeight="1">
      <c r="B832" s="97"/>
      <c r="C832" s="62" t="s">
        <v>162</v>
      </c>
      <c r="D832" s="65">
        <v>1</v>
      </c>
      <c r="E832" s="64">
        <v>0</v>
      </c>
    </row>
    <row r="833" spans="2:5" ht="15" customHeight="1">
      <c r="B833" s="97"/>
      <c r="C833" s="62" t="s">
        <v>166</v>
      </c>
      <c r="D833" s="65">
        <v>1</v>
      </c>
      <c r="E833" s="64">
        <v>0</v>
      </c>
    </row>
    <row r="834" spans="2:5" ht="15" customHeight="1">
      <c r="B834" s="97"/>
      <c r="C834" s="62" t="s">
        <v>136</v>
      </c>
      <c r="D834" s="65">
        <v>1</v>
      </c>
      <c r="E834" s="64">
        <v>0</v>
      </c>
    </row>
    <row r="835" spans="2:5" ht="15" customHeight="1">
      <c r="B835" s="97"/>
      <c r="C835" s="62" t="s">
        <v>172</v>
      </c>
      <c r="D835" s="65">
        <v>1</v>
      </c>
      <c r="E835" s="64">
        <v>0</v>
      </c>
    </row>
    <row r="836" spans="2:5" ht="15" customHeight="1">
      <c r="B836" s="97"/>
      <c r="C836" s="62" t="s">
        <v>182</v>
      </c>
      <c r="D836" s="65">
        <v>1</v>
      </c>
      <c r="E836" s="64">
        <v>0</v>
      </c>
    </row>
    <row r="837" spans="2:5" ht="15" customHeight="1">
      <c r="B837" s="97"/>
      <c r="C837" s="62" t="s">
        <v>145</v>
      </c>
      <c r="D837" s="65">
        <v>1</v>
      </c>
      <c r="E837" s="64">
        <v>0</v>
      </c>
    </row>
    <row r="838" spans="2:5" ht="15" customHeight="1">
      <c r="B838" s="97"/>
      <c r="C838" s="62" t="s">
        <v>150</v>
      </c>
      <c r="D838" s="65">
        <v>1</v>
      </c>
      <c r="E838" s="64">
        <v>0</v>
      </c>
    </row>
    <row r="839" spans="2:5" ht="15" customHeight="1">
      <c r="B839" s="97"/>
      <c r="C839" s="62" t="s">
        <v>151</v>
      </c>
      <c r="D839" s="65">
        <v>1</v>
      </c>
      <c r="E839" s="64">
        <v>0</v>
      </c>
    </row>
    <row r="840" spans="2:5" ht="15" customHeight="1">
      <c r="B840" s="97"/>
      <c r="C840" s="62" t="s">
        <v>152</v>
      </c>
      <c r="D840" s="65">
        <v>1</v>
      </c>
      <c r="E840" s="64">
        <v>0</v>
      </c>
    </row>
    <row r="841" spans="2:5" ht="15" customHeight="1">
      <c r="B841" s="97"/>
      <c r="C841" s="73" t="s">
        <v>288</v>
      </c>
      <c r="D841" s="71">
        <v>18</v>
      </c>
      <c r="E841" s="72">
        <v>3.0000000000000001E-3</v>
      </c>
    </row>
    <row r="842" spans="2:5" ht="15" customHeight="1">
      <c r="B842" s="97" t="s">
        <v>100</v>
      </c>
      <c r="C842" s="62" t="s">
        <v>144</v>
      </c>
      <c r="D842" s="65">
        <v>7</v>
      </c>
      <c r="E842" s="64">
        <v>1E-3</v>
      </c>
    </row>
    <row r="843" spans="2:5" ht="15" customHeight="1">
      <c r="B843" s="97"/>
      <c r="C843" s="62" t="s">
        <v>131</v>
      </c>
      <c r="D843" s="65">
        <v>2</v>
      </c>
      <c r="E843" s="64">
        <v>0</v>
      </c>
    </row>
    <row r="844" spans="2:5" ht="15" customHeight="1">
      <c r="B844" s="97"/>
      <c r="C844" s="62" t="s">
        <v>135</v>
      </c>
      <c r="D844" s="65">
        <v>2</v>
      </c>
      <c r="E844" s="64">
        <v>0</v>
      </c>
    </row>
    <row r="845" spans="2:5" ht="15" customHeight="1">
      <c r="B845" s="97"/>
      <c r="C845" s="62" t="s">
        <v>143</v>
      </c>
      <c r="D845" s="65">
        <v>2</v>
      </c>
      <c r="E845" s="64">
        <v>0</v>
      </c>
    </row>
    <row r="846" spans="2:5" ht="15" customHeight="1">
      <c r="B846" s="97"/>
      <c r="C846" s="62" t="s">
        <v>159</v>
      </c>
      <c r="D846" s="65">
        <v>1</v>
      </c>
      <c r="E846" s="64">
        <v>0</v>
      </c>
    </row>
    <row r="847" spans="2:5" ht="15" customHeight="1">
      <c r="B847" s="97"/>
      <c r="C847" s="62" t="s">
        <v>261</v>
      </c>
      <c r="D847" s="65">
        <v>1</v>
      </c>
      <c r="E847" s="64">
        <v>0</v>
      </c>
    </row>
    <row r="848" spans="2:5" ht="15" customHeight="1">
      <c r="B848" s="97"/>
      <c r="C848" s="62" t="s">
        <v>158</v>
      </c>
      <c r="D848" s="65">
        <v>1</v>
      </c>
      <c r="E848" s="64">
        <v>0</v>
      </c>
    </row>
    <row r="849" spans="2:5" ht="15" customHeight="1">
      <c r="B849" s="97"/>
      <c r="C849" s="73" t="s">
        <v>288</v>
      </c>
      <c r="D849" s="71">
        <v>16</v>
      </c>
      <c r="E849" s="72">
        <v>3.0000000000000001E-3</v>
      </c>
    </row>
    <row r="850" spans="2:5" ht="15" customHeight="1">
      <c r="B850" s="97" t="s">
        <v>113</v>
      </c>
      <c r="C850" s="62" t="s">
        <v>134</v>
      </c>
      <c r="D850" s="65">
        <v>3</v>
      </c>
      <c r="E850" s="64">
        <v>1E-3</v>
      </c>
    </row>
    <row r="851" spans="2:5" ht="15" customHeight="1">
      <c r="B851" s="97"/>
      <c r="C851" s="62" t="s">
        <v>144</v>
      </c>
      <c r="D851" s="65">
        <v>2</v>
      </c>
      <c r="E851" s="64">
        <v>0</v>
      </c>
    </row>
    <row r="852" spans="2:5" ht="15" customHeight="1">
      <c r="B852" s="97"/>
      <c r="C852" s="62" t="s">
        <v>153</v>
      </c>
      <c r="D852" s="65">
        <v>2</v>
      </c>
      <c r="E852" s="64">
        <v>0</v>
      </c>
    </row>
    <row r="853" spans="2:5" ht="15" customHeight="1">
      <c r="B853" s="97"/>
      <c r="C853" s="62" t="s">
        <v>146</v>
      </c>
      <c r="D853" s="65">
        <v>1</v>
      </c>
      <c r="E853" s="64">
        <v>0</v>
      </c>
    </row>
    <row r="854" spans="2:5" ht="15" customHeight="1">
      <c r="B854" s="97"/>
      <c r="C854" s="62" t="s">
        <v>136</v>
      </c>
      <c r="D854" s="65">
        <v>1</v>
      </c>
      <c r="E854" s="64">
        <v>0</v>
      </c>
    </row>
    <row r="855" spans="2:5" ht="15" customHeight="1">
      <c r="B855" s="97"/>
      <c r="C855" s="62" t="s">
        <v>155</v>
      </c>
      <c r="D855" s="65">
        <v>1</v>
      </c>
      <c r="E855" s="64">
        <v>0</v>
      </c>
    </row>
    <row r="856" spans="2:5" ht="15" customHeight="1">
      <c r="B856" s="97"/>
      <c r="C856" s="62" t="s">
        <v>181</v>
      </c>
      <c r="D856" s="65">
        <v>1</v>
      </c>
      <c r="E856" s="64">
        <v>0</v>
      </c>
    </row>
    <row r="857" spans="2:5" ht="15" customHeight="1">
      <c r="B857" s="97"/>
      <c r="C857" s="62" t="s">
        <v>145</v>
      </c>
      <c r="D857" s="65">
        <v>1</v>
      </c>
      <c r="E857" s="64">
        <v>0</v>
      </c>
    </row>
    <row r="858" spans="2:5" ht="15" customHeight="1">
      <c r="B858" s="97"/>
      <c r="C858" s="62" t="s">
        <v>157</v>
      </c>
      <c r="D858" s="65">
        <v>1</v>
      </c>
      <c r="E858" s="64">
        <v>0</v>
      </c>
    </row>
    <row r="859" spans="2:5" ht="15" customHeight="1">
      <c r="B859" s="97"/>
      <c r="C859" s="62" t="s">
        <v>151</v>
      </c>
      <c r="D859" s="65">
        <v>1</v>
      </c>
      <c r="E859" s="64">
        <v>0</v>
      </c>
    </row>
    <row r="860" spans="2:5" ht="15" customHeight="1">
      <c r="B860" s="97"/>
      <c r="C860" s="73" t="s">
        <v>288</v>
      </c>
      <c r="D860" s="71">
        <v>14</v>
      </c>
      <c r="E860" s="72">
        <v>2E-3</v>
      </c>
    </row>
    <row r="861" spans="2:5" ht="15" customHeight="1">
      <c r="B861" s="97" t="s">
        <v>108</v>
      </c>
      <c r="C861" s="62" t="s">
        <v>136</v>
      </c>
      <c r="D861" s="65">
        <v>3</v>
      </c>
      <c r="E861" s="64">
        <v>1E-3</v>
      </c>
    </row>
    <row r="862" spans="2:5" ht="15" customHeight="1">
      <c r="B862" s="97"/>
      <c r="C862" s="62" t="s">
        <v>161</v>
      </c>
      <c r="D862" s="65">
        <v>1</v>
      </c>
      <c r="E862" s="64">
        <v>0</v>
      </c>
    </row>
    <row r="863" spans="2:5" ht="15" customHeight="1">
      <c r="B863" s="97"/>
      <c r="C863" s="62" t="s">
        <v>131</v>
      </c>
      <c r="D863" s="65">
        <v>1</v>
      </c>
      <c r="E863" s="64">
        <v>0</v>
      </c>
    </row>
    <row r="864" spans="2:5" ht="15" customHeight="1">
      <c r="B864" s="97"/>
      <c r="C864" s="62" t="s">
        <v>134</v>
      </c>
      <c r="D864" s="65">
        <v>1</v>
      </c>
      <c r="E864" s="64">
        <v>0</v>
      </c>
    </row>
    <row r="865" spans="2:5" ht="15" customHeight="1">
      <c r="B865" s="97"/>
      <c r="C865" s="62" t="s">
        <v>142</v>
      </c>
      <c r="D865" s="65">
        <v>1</v>
      </c>
      <c r="E865" s="64">
        <v>0</v>
      </c>
    </row>
    <row r="866" spans="2:5" ht="15" customHeight="1">
      <c r="B866" s="97"/>
      <c r="C866" s="62" t="s">
        <v>144</v>
      </c>
      <c r="D866" s="65">
        <v>1</v>
      </c>
      <c r="E866" s="64">
        <v>0</v>
      </c>
    </row>
    <row r="867" spans="2:5" ht="15" customHeight="1">
      <c r="B867" s="97"/>
      <c r="C867" s="62" t="s">
        <v>145</v>
      </c>
      <c r="D867" s="65">
        <v>1</v>
      </c>
      <c r="E867" s="64">
        <v>0</v>
      </c>
    </row>
    <row r="868" spans="2:5" ht="15" customHeight="1">
      <c r="B868" s="97"/>
      <c r="C868" s="73" t="s">
        <v>288</v>
      </c>
      <c r="D868" s="71">
        <v>9</v>
      </c>
      <c r="E868" s="72">
        <v>2E-3</v>
      </c>
    </row>
    <row r="869" spans="2:5" ht="15" customHeight="1">
      <c r="B869" s="97" t="s">
        <v>105</v>
      </c>
      <c r="C869" s="62" t="s">
        <v>133</v>
      </c>
      <c r="D869" s="65">
        <v>1</v>
      </c>
      <c r="E869" s="64">
        <v>0</v>
      </c>
    </row>
    <row r="870" spans="2:5" ht="15" customHeight="1">
      <c r="B870" s="97"/>
      <c r="C870" s="62" t="s">
        <v>136</v>
      </c>
      <c r="D870" s="65">
        <v>1</v>
      </c>
      <c r="E870" s="64">
        <v>0</v>
      </c>
    </row>
    <row r="871" spans="2:5" ht="15" customHeight="1">
      <c r="B871" s="97"/>
      <c r="C871" s="62" t="s">
        <v>169</v>
      </c>
      <c r="D871" s="65">
        <v>1</v>
      </c>
      <c r="E871" s="64">
        <v>0</v>
      </c>
    </row>
    <row r="872" spans="2:5" ht="15" customHeight="1">
      <c r="B872" s="97"/>
      <c r="C872" s="62" t="s">
        <v>156</v>
      </c>
      <c r="D872" s="65">
        <v>1</v>
      </c>
      <c r="E872" s="64">
        <v>0</v>
      </c>
    </row>
    <row r="873" spans="2:5" ht="15" customHeight="1">
      <c r="B873" s="97"/>
      <c r="C873" s="62" t="s">
        <v>179</v>
      </c>
      <c r="D873" s="65">
        <v>1</v>
      </c>
      <c r="E873" s="64">
        <v>0</v>
      </c>
    </row>
    <row r="874" spans="2:5" ht="15" customHeight="1">
      <c r="B874" s="97"/>
      <c r="C874" s="62" t="s">
        <v>180</v>
      </c>
      <c r="D874" s="65">
        <v>1</v>
      </c>
      <c r="E874" s="64">
        <v>0</v>
      </c>
    </row>
    <row r="875" spans="2:5" ht="15" customHeight="1">
      <c r="B875" s="97"/>
      <c r="C875" s="73" t="s">
        <v>288</v>
      </c>
      <c r="D875" s="71">
        <v>6</v>
      </c>
      <c r="E875" s="72">
        <v>1E-3</v>
      </c>
    </row>
    <row r="876" spans="2:5" ht="15" customHeight="1">
      <c r="B876" s="97" t="s">
        <v>110</v>
      </c>
      <c r="C876" s="62" t="s">
        <v>162</v>
      </c>
      <c r="D876" s="65">
        <v>1</v>
      </c>
      <c r="E876" s="64">
        <v>0</v>
      </c>
    </row>
    <row r="877" spans="2:5" ht="15" customHeight="1">
      <c r="B877" s="97"/>
      <c r="C877" s="62" t="s">
        <v>165</v>
      </c>
      <c r="D877" s="65">
        <v>1</v>
      </c>
      <c r="E877" s="64">
        <v>0</v>
      </c>
    </row>
    <row r="878" spans="2:5" ht="15" customHeight="1">
      <c r="B878" s="97"/>
      <c r="C878" s="62" t="s">
        <v>138</v>
      </c>
      <c r="D878" s="65">
        <v>1</v>
      </c>
      <c r="E878" s="64">
        <v>0</v>
      </c>
    </row>
    <row r="879" spans="2:5" ht="15" customHeight="1">
      <c r="B879" s="97"/>
      <c r="C879" s="62" t="s">
        <v>141</v>
      </c>
      <c r="D879" s="65">
        <v>1</v>
      </c>
      <c r="E879" s="64">
        <v>0</v>
      </c>
    </row>
    <row r="880" spans="2:5" ht="15" customHeight="1">
      <c r="B880" s="97"/>
      <c r="C880" s="62" t="s">
        <v>144</v>
      </c>
      <c r="D880" s="65">
        <v>1</v>
      </c>
      <c r="E880" s="64">
        <v>0</v>
      </c>
    </row>
    <row r="881" spans="2:5" ht="15" customHeight="1">
      <c r="B881" s="97"/>
      <c r="C881" s="62" t="s">
        <v>153</v>
      </c>
      <c r="D881" s="65">
        <v>1</v>
      </c>
      <c r="E881" s="64">
        <v>0</v>
      </c>
    </row>
    <row r="882" spans="2:5" ht="15" customHeight="1">
      <c r="B882" s="97"/>
      <c r="C882" s="73" t="s">
        <v>288</v>
      </c>
      <c r="D882" s="71">
        <v>6</v>
      </c>
      <c r="E882" s="72">
        <v>1E-3</v>
      </c>
    </row>
    <row r="883" spans="2:5" ht="15" customHeight="1">
      <c r="B883" s="97" t="s">
        <v>260</v>
      </c>
      <c r="C883" s="62" t="s">
        <v>167</v>
      </c>
      <c r="D883" s="65">
        <v>2</v>
      </c>
      <c r="E883" s="64">
        <v>0</v>
      </c>
    </row>
    <row r="884" spans="2:5" ht="15" customHeight="1">
      <c r="B884" s="97"/>
      <c r="C884" s="62" t="s">
        <v>131</v>
      </c>
      <c r="D884" s="65">
        <v>1</v>
      </c>
      <c r="E884" s="64">
        <v>0</v>
      </c>
    </row>
    <row r="885" spans="2:5" ht="15" customHeight="1">
      <c r="B885" s="97"/>
      <c r="C885" s="62" t="s">
        <v>144</v>
      </c>
      <c r="D885" s="65">
        <v>1</v>
      </c>
      <c r="E885" s="64">
        <v>0</v>
      </c>
    </row>
    <row r="886" spans="2:5" ht="15" customHeight="1">
      <c r="B886" s="97"/>
      <c r="C886" s="73" t="s">
        <v>288</v>
      </c>
      <c r="D886" s="71">
        <v>4</v>
      </c>
      <c r="E886" s="72">
        <v>1E-3</v>
      </c>
    </row>
    <row r="887" spans="2:5" ht="15" customHeight="1">
      <c r="B887" s="97" t="s">
        <v>94</v>
      </c>
      <c r="C887" s="62" t="s">
        <v>131</v>
      </c>
      <c r="D887" s="65">
        <v>2</v>
      </c>
      <c r="E887" s="64">
        <v>0</v>
      </c>
    </row>
    <row r="888" spans="2:5" ht="15" customHeight="1">
      <c r="B888" s="97"/>
      <c r="C888" s="62" t="s">
        <v>155</v>
      </c>
      <c r="D888" s="65">
        <v>1</v>
      </c>
      <c r="E888" s="64">
        <v>0</v>
      </c>
    </row>
    <row r="889" spans="2:5" ht="15" customHeight="1">
      <c r="B889" s="97"/>
      <c r="C889" s="73" t="s">
        <v>288</v>
      </c>
      <c r="D889" s="71">
        <v>3</v>
      </c>
      <c r="E889" s="72">
        <v>1E-3</v>
      </c>
    </row>
    <row r="890" spans="2:5" ht="15" customHeight="1">
      <c r="B890" s="97" t="s">
        <v>259</v>
      </c>
      <c r="C890" s="62" t="s">
        <v>167</v>
      </c>
      <c r="D890" s="65">
        <v>2</v>
      </c>
      <c r="E890" s="64">
        <v>0</v>
      </c>
    </row>
    <row r="891" spans="2:5" ht="15" customHeight="1">
      <c r="B891" s="97"/>
      <c r="C891" s="62" t="s">
        <v>151</v>
      </c>
      <c r="D891" s="65">
        <v>1</v>
      </c>
      <c r="E891" s="64">
        <v>0</v>
      </c>
    </row>
    <row r="892" spans="2:5" ht="15" customHeight="1">
      <c r="B892" s="97"/>
      <c r="C892" s="73" t="s">
        <v>288</v>
      </c>
      <c r="D892" s="74">
        <v>3</v>
      </c>
      <c r="E892" s="72">
        <v>1E-3</v>
      </c>
    </row>
    <row r="893" spans="2:5" ht="15" customHeight="1">
      <c r="B893" s="97" t="s">
        <v>120</v>
      </c>
      <c r="C893" s="62" t="s">
        <v>156</v>
      </c>
      <c r="D893" s="65">
        <v>1</v>
      </c>
      <c r="E893" s="64">
        <v>0</v>
      </c>
    </row>
    <row r="894" spans="2:5" ht="15" customHeight="1">
      <c r="B894" s="97"/>
      <c r="C894" s="62" t="s">
        <v>180</v>
      </c>
      <c r="D894" s="65">
        <v>1</v>
      </c>
      <c r="E894" s="64">
        <v>0</v>
      </c>
    </row>
    <row r="895" spans="2:5" ht="15" customHeight="1">
      <c r="B895" s="97"/>
      <c r="C895" s="75" t="s">
        <v>288</v>
      </c>
      <c r="D895" s="74">
        <v>2</v>
      </c>
      <c r="E895" s="72">
        <v>0</v>
      </c>
    </row>
    <row r="896" spans="2:5" ht="15" customHeight="1">
      <c r="B896" s="98" t="s">
        <v>288</v>
      </c>
      <c r="C896" s="98"/>
      <c r="D896" s="40">
        <v>5612</v>
      </c>
      <c r="E896" s="67">
        <v>1</v>
      </c>
    </row>
    <row r="897" spans="2:5" ht="15" customHeight="1">
      <c r="B897" s="49"/>
      <c r="C897" s="49"/>
      <c r="D897" s="49"/>
      <c r="E897" s="49"/>
    </row>
    <row r="898" spans="2:5" ht="15" customHeight="1">
      <c r="B898" s="35" t="s">
        <v>255</v>
      </c>
      <c r="C898" s="49"/>
      <c r="D898" s="49"/>
      <c r="E898" s="49"/>
    </row>
    <row r="899" spans="2:5" ht="15" customHeight="1">
      <c r="B899" s="37" t="s">
        <v>18</v>
      </c>
      <c r="C899" s="49"/>
      <c r="D899" s="49"/>
      <c r="E899" s="49"/>
    </row>
    <row r="900" spans="2:5" ht="15" customHeight="1">
      <c r="B900" s="38" t="s">
        <v>128</v>
      </c>
      <c r="C900" s="49"/>
      <c r="D900" s="49"/>
      <c r="E900" s="49"/>
    </row>
    <row r="901" spans="2:5" ht="15" customHeight="1">
      <c r="B901" s="35" t="s">
        <v>17</v>
      </c>
      <c r="C901" s="49"/>
      <c r="D901" s="49"/>
      <c r="E901" s="49"/>
    </row>
    <row r="902" spans="2:5" ht="15" customHeight="1">
      <c r="B902" s="35" t="s">
        <v>290</v>
      </c>
      <c r="C902" s="49"/>
      <c r="D902" s="49"/>
      <c r="E902" s="49"/>
    </row>
  </sheetData>
  <mergeCells count="46">
    <mergeCell ref="B829:B841"/>
    <mergeCell ref="B842:B849"/>
    <mergeCell ref="B850:B860"/>
    <mergeCell ref="B861:B868"/>
    <mergeCell ref="B869:B875"/>
    <mergeCell ref="B767:B782"/>
    <mergeCell ref="B783:B795"/>
    <mergeCell ref="B796:B805"/>
    <mergeCell ref="B806:B819"/>
    <mergeCell ref="B820:B828"/>
    <mergeCell ref="B703:B715"/>
    <mergeCell ref="B716:B731"/>
    <mergeCell ref="B732:B744"/>
    <mergeCell ref="B745:B753"/>
    <mergeCell ref="B754:B766"/>
    <mergeCell ref="B610:B627"/>
    <mergeCell ref="B683:B702"/>
    <mergeCell ref="B628:B647"/>
    <mergeCell ref="B648:B663"/>
    <mergeCell ref="B213:B258"/>
    <mergeCell ref="B259:B290"/>
    <mergeCell ref="B291:B313"/>
    <mergeCell ref="B314:B343"/>
    <mergeCell ref="B344:B371"/>
    <mergeCell ref="B664:B682"/>
    <mergeCell ref="B472:B503"/>
    <mergeCell ref="B504:B522"/>
    <mergeCell ref="B523:B547"/>
    <mergeCell ref="B548:B567"/>
    <mergeCell ref="B568:B589"/>
    <mergeCell ref="B590:B609"/>
    <mergeCell ref="B896:C896"/>
    <mergeCell ref="B887:B889"/>
    <mergeCell ref="B890:B892"/>
    <mergeCell ref="B893:B895"/>
    <mergeCell ref="B876:B882"/>
    <mergeCell ref="B883:B886"/>
    <mergeCell ref="B7:E8"/>
    <mergeCell ref="B372:B401"/>
    <mergeCell ref="B402:B423"/>
    <mergeCell ref="B424:B443"/>
    <mergeCell ref="B444:B471"/>
    <mergeCell ref="B10:B64"/>
    <mergeCell ref="B65:B116"/>
    <mergeCell ref="B117:B166"/>
    <mergeCell ref="B167:B21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092"/>
  <sheetViews>
    <sheetView showGridLines="0" view="pageBreakPreview" zoomScaleNormal="100" zoomScaleSheetLayoutView="100" workbookViewId="0">
      <selection activeCell="F7" sqref="F7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6.5703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A6" s="45"/>
      <c r="B6" s="44"/>
      <c r="C6" s="45"/>
      <c r="D6" s="45"/>
      <c r="E6" s="45"/>
    </row>
    <row r="7" spans="1:5" s="24" customFormat="1" ht="26.25" customHeight="1">
      <c r="A7" s="50"/>
      <c r="B7" s="96"/>
      <c r="C7" s="96"/>
      <c r="D7" s="96"/>
      <c r="E7" s="96"/>
    </row>
    <row r="8" spans="1:5" s="24" customFormat="1" ht="33" customHeight="1">
      <c r="A8" s="50"/>
      <c r="B8" s="96"/>
      <c r="C8" s="96"/>
      <c r="D8" s="96"/>
      <c r="E8" s="96"/>
    </row>
    <row r="9" spans="1:5" s="18" customFormat="1" ht="40.5" customHeight="1">
      <c r="A9" s="32"/>
      <c r="B9" s="46" t="s">
        <v>22</v>
      </c>
      <c r="C9" s="47" t="s">
        <v>24</v>
      </c>
      <c r="D9" s="48" t="s">
        <v>20</v>
      </c>
      <c r="E9" s="46" t="s">
        <v>19</v>
      </c>
    </row>
    <row r="10" spans="1:5" ht="14.45" customHeight="1">
      <c r="A10" s="49"/>
      <c r="B10" s="97" t="s">
        <v>80</v>
      </c>
      <c r="C10" s="62" t="s">
        <v>134</v>
      </c>
      <c r="D10" s="65">
        <v>3</v>
      </c>
      <c r="E10" s="64">
        <v>1E-3</v>
      </c>
    </row>
    <row r="11" spans="1:5" ht="14.45" customHeight="1">
      <c r="A11" s="49"/>
      <c r="B11" s="97"/>
      <c r="C11" s="62" t="s">
        <v>146</v>
      </c>
      <c r="D11" s="65">
        <v>1</v>
      </c>
      <c r="E11" s="64">
        <v>0</v>
      </c>
    </row>
    <row r="12" spans="1:5" ht="14.45" customHeight="1">
      <c r="A12" s="49"/>
      <c r="B12" s="97"/>
      <c r="C12" s="62" t="s">
        <v>136</v>
      </c>
      <c r="D12" s="65">
        <v>1</v>
      </c>
      <c r="E12" s="64">
        <v>0</v>
      </c>
    </row>
    <row r="13" spans="1:5" ht="14.45" customHeight="1">
      <c r="A13" s="49"/>
      <c r="B13" s="97"/>
      <c r="C13" s="62" t="s">
        <v>155</v>
      </c>
      <c r="D13" s="65">
        <v>3</v>
      </c>
      <c r="E13" s="64">
        <v>1E-3</v>
      </c>
    </row>
    <row r="14" spans="1:5" ht="14.45" customHeight="1">
      <c r="A14" s="49"/>
      <c r="B14" s="97"/>
      <c r="C14" s="62" t="s">
        <v>181</v>
      </c>
      <c r="D14" s="65">
        <v>1</v>
      </c>
      <c r="E14" s="64">
        <v>0</v>
      </c>
    </row>
    <row r="15" spans="1:5" ht="14.45" customHeight="1">
      <c r="A15" s="49"/>
      <c r="B15" s="97"/>
      <c r="C15" s="62" t="s">
        <v>144</v>
      </c>
      <c r="D15" s="65">
        <v>3</v>
      </c>
      <c r="E15" s="64">
        <v>1E-3</v>
      </c>
    </row>
    <row r="16" spans="1:5" ht="14.45" customHeight="1">
      <c r="A16" s="49"/>
      <c r="B16" s="97"/>
      <c r="C16" s="62" t="s">
        <v>157</v>
      </c>
      <c r="D16" s="65">
        <v>1</v>
      </c>
      <c r="E16" s="64">
        <v>0</v>
      </c>
    </row>
    <row r="17" spans="1:5" ht="14.45" customHeight="1">
      <c r="A17" s="49"/>
      <c r="B17" s="97"/>
      <c r="C17" s="62" t="s">
        <v>151</v>
      </c>
      <c r="D17" s="65">
        <v>1</v>
      </c>
      <c r="E17" s="64">
        <v>0</v>
      </c>
    </row>
    <row r="18" spans="1:5" ht="14.45" customHeight="1">
      <c r="A18" s="49"/>
      <c r="B18" s="97"/>
      <c r="C18" s="62" t="s">
        <v>153</v>
      </c>
      <c r="D18" s="65">
        <v>2</v>
      </c>
      <c r="E18" s="64">
        <v>0</v>
      </c>
    </row>
    <row r="19" spans="1:5" ht="14.45" customHeight="1">
      <c r="A19" s="49"/>
      <c r="B19" s="97"/>
      <c r="C19" s="73" t="s">
        <v>288</v>
      </c>
      <c r="D19" s="74">
        <v>16</v>
      </c>
      <c r="E19" s="72">
        <v>3.0000000000000001E-3</v>
      </c>
    </row>
    <row r="20" spans="1:5" ht="14.45" customHeight="1">
      <c r="A20" s="49"/>
      <c r="B20" s="97" t="s">
        <v>50</v>
      </c>
      <c r="C20" s="62" t="s">
        <v>161</v>
      </c>
      <c r="D20" s="65">
        <v>1</v>
      </c>
      <c r="E20" s="64">
        <v>0</v>
      </c>
    </row>
    <row r="21" spans="1:5" ht="14.45" customHeight="1">
      <c r="A21" s="49"/>
      <c r="B21" s="97"/>
      <c r="C21" s="62" t="s">
        <v>131</v>
      </c>
      <c r="D21" s="65">
        <v>6</v>
      </c>
      <c r="E21" s="64">
        <v>1E-3</v>
      </c>
    </row>
    <row r="22" spans="1:5" ht="14.45" customHeight="1">
      <c r="A22" s="49"/>
      <c r="B22" s="97"/>
      <c r="C22" s="62" t="s">
        <v>162</v>
      </c>
      <c r="D22" s="65">
        <v>1</v>
      </c>
      <c r="E22" s="64">
        <v>0</v>
      </c>
    </row>
    <row r="23" spans="1:5" ht="14.45" customHeight="1">
      <c r="A23" s="49"/>
      <c r="B23" s="97"/>
      <c r="C23" s="62" t="s">
        <v>133</v>
      </c>
      <c r="D23" s="65">
        <v>10</v>
      </c>
      <c r="E23" s="64">
        <v>2E-3</v>
      </c>
    </row>
    <row r="24" spans="1:5" ht="14.45" customHeight="1">
      <c r="A24" s="49"/>
      <c r="B24" s="97"/>
      <c r="C24" s="62" t="s">
        <v>134</v>
      </c>
      <c r="D24" s="65">
        <v>9</v>
      </c>
      <c r="E24" s="64">
        <v>2E-3</v>
      </c>
    </row>
    <row r="25" spans="1:5" ht="14.45" customHeight="1">
      <c r="A25" s="49"/>
      <c r="B25" s="97"/>
      <c r="C25" s="62" t="s">
        <v>146</v>
      </c>
      <c r="D25" s="65">
        <v>1</v>
      </c>
      <c r="E25" s="64">
        <v>0</v>
      </c>
    </row>
    <row r="26" spans="1:5" ht="14.45" customHeight="1">
      <c r="A26" s="49"/>
      <c r="B26" s="97"/>
      <c r="C26" s="62" t="s">
        <v>188</v>
      </c>
      <c r="D26" s="65">
        <v>1</v>
      </c>
      <c r="E26" s="64">
        <v>0</v>
      </c>
    </row>
    <row r="27" spans="1:5" ht="14.45" customHeight="1">
      <c r="A27" s="49"/>
      <c r="B27" s="97"/>
      <c r="C27" s="62" t="s">
        <v>261</v>
      </c>
      <c r="D27" s="65">
        <v>3</v>
      </c>
      <c r="E27" s="64">
        <v>1E-3</v>
      </c>
    </row>
    <row r="28" spans="1:5" ht="14.45" customHeight="1">
      <c r="A28" s="49"/>
      <c r="B28" s="97"/>
      <c r="C28" s="62" t="s">
        <v>147</v>
      </c>
      <c r="D28" s="65">
        <v>4</v>
      </c>
      <c r="E28" s="64">
        <v>1E-3</v>
      </c>
    </row>
    <row r="29" spans="1:5" ht="14.45" customHeight="1">
      <c r="A29" s="49"/>
      <c r="B29" s="97"/>
      <c r="C29" s="62" t="s">
        <v>135</v>
      </c>
      <c r="D29" s="65">
        <v>4</v>
      </c>
      <c r="E29" s="64">
        <v>1E-3</v>
      </c>
    </row>
    <row r="30" spans="1:5" ht="14.45" customHeight="1">
      <c r="A30" s="49"/>
      <c r="B30" s="97"/>
      <c r="C30" s="62" t="s">
        <v>138</v>
      </c>
      <c r="D30" s="65">
        <v>16</v>
      </c>
      <c r="E30" s="64">
        <v>3.0000000000000001E-3</v>
      </c>
    </row>
    <row r="31" spans="1:5" ht="14.45" customHeight="1">
      <c r="A31" s="49"/>
      <c r="B31" s="97"/>
      <c r="C31" s="62" t="s">
        <v>155</v>
      </c>
      <c r="D31" s="65">
        <v>3</v>
      </c>
      <c r="E31" s="64">
        <v>1E-3</v>
      </c>
    </row>
    <row r="32" spans="1:5" ht="14.45" customHeight="1">
      <c r="A32" s="49"/>
      <c r="B32" s="97"/>
      <c r="C32" s="62" t="s">
        <v>156</v>
      </c>
      <c r="D32" s="65">
        <v>4</v>
      </c>
      <c r="E32" s="64">
        <v>1E-3</v>
      </c>
    </row>
    <row r="33" spans="1:5" ht="27.95" customHeight="1">
      <c r="A33" s="49"/>
      <c r="B33" s="97"/>
      <c r="C33" s="62" t="s">
        <v>170</v>
      </c>
      <c r="D33" s="65">
        <v>5</v>
      </c>
      <c r="E33" s="64">
        <v>1E-3</v>
      </c>
    </row>
    <row r="34" spans="1:5" ht="14.45" customHeight="1">
      <c r="A34" s="49"/>
      <c r="B34" s="97"/>
      <c r="C34" s="62" t="s">
        <v>173</v>
      </c>
      <c r="D34" s="65">
        <v>1</v>
      </c>
      <c r="E34" s="64">
        <v>0</v>
      </c>
    </row>
    <row r="35" spans="1:5" ht="14.45" customHeight="1">
      <c r="A35" s="49"/>
      <c r="B35" s="97"/>
      <c r="C35" s="62" t="s">
        <v>139</v>
      </c>
      <c r="D35" s="65">
        <v>12</v>
      </c>
      <c r="E35" s="64">
        <v>2E-3</v>
      </c>
    </row>
    <row r="36" spans="1:5" ht="14.45" customHeight="1">
      <c r="A36" s="49"/>
      <c r="B36" s="97"/>
      <c r="C36" s="62" t="s">
        <v>175</v>
      </c>
      <c r="D36" s="65">
        <v>1</v>
      </c>
      <c r="E36" s="64">
        <v>0</v>
      </c>
    </row>
    <row r="37" spans="1:5" ht="14.45" customHeight="1">
      <c r="A37" s="49"/>
      <c r="B37" s="97"/>
      <c r="C37" s="62" t="s">
        <v>178</v>
      </c>
      <c r="D37" s="65">
        <v>2</v>
      </c>
      <c r="E37" s="64">
        <v>0</v>
      </c>
    </row>
    <row r="38" spans="1:5" ht="14.45" customHeight="1">
      <c r="A38" s="49"/>
      <c r="B38" s="97"/>
      <c r="C38" s="62" t="s">
        <v>180</v>
      </c>
      <c r="D38" s="65">
        <v>12</v>
      </c>
      <c r="E38" s="64">
        <v>2E-3</v>
      </c>
    </row>
    <row r="39" spans="1:5" ht="14.45" customHeight="1">
      <c r="A39" s="49"/>
      <c r="B39" s="97"/>
      <c r="C39" s="62" t="s">
        <v>181</v>
      </c>
      <c r="D39" s="65">
        <v>1</v>
      </c>
      <c r="E39" s="64">
        <v>0</v>
      </c>
    </row>
    <row r="40" spans="1:5" ht="14.45" customHeight="1">
      <c r="A40" s="49"/>
      <c r="B40" s="97"/>
      <c r="C40" s="62" t="s">
        <v>142</v>
      </c>
      <c r="D40" s="65">
        <v>3</v>
      </c>
      <c r="E40" s="64">
        <v>1E-3</v>
      </c>
    </row>
    <row r="41" spans="1:5" ht="14.45" customHeight="1">
      <c r="A41" s="49"/>
      <c r="B41" s="97"/>
      <c r="C41" s="62" t="s">
        <v>143</v>
      </c>
      <c r="D41" s="65">
        <v>3</v>
      </c>
      <c r="E41" s="64">
        <v>1E-3</v>
      </c>
    </row>
    <row r="42" spans="1:5" ht="14.45" customHeight="1">
      <c r="A42" s="49"/>
      <c r="B42" s="97"/>
      <c r="C42" s="62" t="s">
        <v>182</v>
      </c>
      <c r="D42" s="65">
        <v>1</v>
      </c>
      <c r="E42" s="64">
        <v>0</v>
      </c>
    </row>
    <row r="43" spans="1:5" ht="14.45" customHeight="1">
      <c r="A43" s="49"/>
      <c r="B43" s="97"/>
      <c r="C43" s="62" t="s">
        <v>144</v>
      </c>
      <c r="D43" s="65">
        <v>32</v>
      </c>
      <c r="E43" s="64">
        <v>6.0000000000000001E-3</v>
      </c>
    </row>
    <row r="44" spans="1:5" ht="14.45" customHeight="1">
      <c r="A44" s="49"/>
      <c r="B44" s="97"/>
      <c r="C44" s="62" t="s">
        <v>145</v>
      </c>
      <c r="D44" s="65">
        <v>6</v>
      </c>
      <c r="E44" s="64">
        <v>1E-3</v>
      </c>
    </row>
    <row r="45" spans="1:5" ht="14.45" customHeight="1">
      <c r="A45" s="49"/>
      <c r="B45" s="97"/>
      <c r="C45" s="62" t="s">
        <v>183</v>
      </c>
      <c r="D45" s="65">
        <v>1</v>
      </c>
      <c r="E45" s="64">
        <v>0</v>
      </c>
    </row>
    <row r="46" spans="1:5" ht="14.45" customHeight="1">
      <c r="A46" s="49"/>
      <c r="B46" s="97"/>
      <c r="C46" s="62" t="s">
        <v>158</v>
      </c>
      <c r="D46" s="65">
        <v>1</v>
      </c>
      <c r="E46" s="64">
        <v>0</v>
      </c>
    </row>
    <row r="47" spans="1:5" ht="14.45" customHeight="1">
      <c r="A47" s="49"/>
      <c r="B47" s="97"/>
      <c r="C47" s="62" t="s">
        <v>150</v>
      </c>
      <c r="D47" s="65">
        <v>4</v>
      </c>
      <c r="E47" s="64">
        <v>1E-3</v>
      </c>
    </row>
    <row r="48" spans="1:5" ht="14.45" customHeight="1">
      <c r="A48" s="49"/>
      <c r="B48" s="97"/>
      <c r="C48" s="62" t="s">
        <v>152</v>
      </c>
      <c r="D48" s="65">
        <v>3</v>
      </c>
      <c r="E48" s="64">
        <v>1E-3</v>
      </c>
    </row>
    <row r="49" spans="1:5" ht="14.45" customHeight="1">
      <c r="A49" s="49"/>
      <c r="B49" s="97"/>
      <c r="C49" s="62" t="s">
        <v>153</v>
      </c>
      <c r="D49" s="65">
        <v>31</v>
      </c>
      <c r="E49" s="64">
        <v>6.0000000000000001E-3</v>
      </c>
    </row>
    <row r="50" spans="1:5" ht="14.45" customHeight="1">
      <c r="A50" s="49"/>
      <c r="B50" s="97"/>
      <c r="C50" s="73" t="s">
        <v>288</v>
      </c>
      <c r="D50" s="74">
        <v>182</v>
      </c>
      <c r="E50" s="72">
        <v>3.2000000000000001E-2</v>
      </c>
    </row>
    <row r="51" spans="1:5" ht="14.45" customHeight="1">
      <c r="A51" s="49"/>
      <c r="B51" s="97" t="s">
        <v>78</v>
      </c>
      <c r="C51" s="62" t="s">
        <v>161</v>
      </c>
      <c r="D51" s="65">
        <v>3</v>
      </c>
      <c r="E51" s="64">
        <v>1E-3</v>
      </c>
    </row>
    <row r="52" spans="1:5" ht="14.45" customHeight="1">
      <c r="A52" s="49"/>
      <c r="B52" s="97"/>
      <c r="C52" s="62" t="s">
        <v>131</v>
      </c>
      <c r="D52" s="65">
        <v>2</v>
      </c>
      <c r="E52" s="64">
        <v>0</v>
      </c>
    </row>
    <row r="53" spans="1:5" ht="14.45" customHeight="1">
      <c r="A53" s="49"/>
      <c r="B53" s="97"/>
      <c r="C53" s="62" t="s">
        <v>132</v>
      </c>
      <c r="D53" s="65">
        <v>2</v>
      </c>
      <c r="E53" s="64">
        <v>0</v>
      </c>
    </row>
    <row r="54" spans="1:5" ht="14.45" customHeight="1">
      <c r="A54" s="49"/>
      <c r="B54" s="97"/>
      <c r="C54" s="62" t="s">
        <v>162</v>
      </c>
      <c r="D54" s="65">
        <v>1</v>
      </c>
      <c r="E54" s="64">
        <v>0</v>
      </c>
    </row>
    <row r="55" spans="1:5" ht="14.45" customHeight="1">
      <c r="A55" s="49"/>
      <c r="B55" s="97"/>
      <c r="C55" s="62" t="s">
        <v>133</v>
      </c>
      <c r="D55" s="65">
        <v>5</v>
      </c>
      <c r="E55" s="64">
        <v>1E-3</v>
      </c>
    </row>
    <row r="56" spans="1:5" ht="14.45" customHeight="1">
      <c r="A56" s="49"/>
      <c r="B56" s="97"/>
      <c r="C56" s="62" t="s">
        <v>261</v>
      </c>
      <c r="D56" s="65">
        <v>3</v>
      </c>
      <c r="E56" s="64">
        <v>1E-3</v>
      </c>
    </row>
    <row r="57" spans="1:5" ht="14.45" customHeight="1">
      <c r="A57" s="49"/>
      <c r="B57" s="97"/>
      <c r="C57" s="62" t="s">
        <v>165</v>
      </c>
      <c r="D57" s="65">
        <v>2</v>
      </c>
      <c r="E57" s="64">
        <v>0</v>
      </c>
    </row>
    <row r="58" spans="1:5" ht="14.45" customHeight="1">
      <c r="A58" s="49"/>
      <c r="B58" s="97"/>
      <c r="C58" s="62" t="s">
        <v>135</v>
      </c>
      <c r="D58" s="65">
        <v>1</v>
      </c>
      <c r="E58" s="64">
        <v>0</v>
      </c>
    </row>
    <row r="59" spans="1:5" ht="14.45" customHeight="1">
      <c r="A59" s="49"/>
      <c r="B59" s="97"/>
      <c r="C59" s="62" t="s">
        <v>136</v>
      </c>
      <c r="D59" s="65">
        <v>2</v>
      </c>
      <c r="E59" s="64">
        <v>0</v>
      </c>
    </row>
    <row r="60" spans="1:5" ht="14.45" customHeight="1">
      <c r="A60" s="49"/>
      <c r="B60" s="97"/>
      <c r="C60" s="62" t="s">
        <v>139</v>
      </c>
      <c r="D60" s="65">
        <v>2</v>
      </c>
      <c r="E60" s="64">
        <v>0</v>
      </c>
    </row>
    <row r="61" spans="1:5" ht="14.45" customHeight="1">
      <c r="A61" s="49"/>
      <c r="B61" s="97"/>
      <c r="C61" s="62" t="s">
        <v>178</v>
      </c>
      <c r="D61" s="65">
        <v>1</v>
      </c>
      <c r="E61" s="64">
        <v>0</v>
      </c>
    </row>
    <row r="62" spans="1:5" ht="14.45" customHeight="1">
      <c r="A62" s="49"/>
      <c r="B62" s="97"/>
      <c r="C62" s="62" t="s">
        <v>140</v>
      </c>
      <c r="D62" s="65">
        <v>1</v>
      </c>
      <c r="E62" s="64">
        <v>0</v>
      </c>
    </row>
    <row r="63" spans="1:5" ht="14.45" customHeight="1">
      <c r="A63" s="49"/>
      <c r="B63" s="97"/>
      <c r="C63" s="62" t="s">
        <v>143</v>
      </c>
      <c r="D63" s="65">
        <v>2</v>
      </c>
      <c r="E63" s="64">
        <v>0</v>
      </c>
    </row>
    <row r="64" spans="1:5" ht="14.45" customHeight="1">
      <c r="A64" s="49"/>
      <c r="B64" s="97"/>
      <c r="C64" s="62" t="s">
        <v>182</v>
      </c>
      <c r="D64" s="65">
        <v>1</v>
      </c>
      <c r="E64" s="64">
        <v>0</v>
      </c>
    </row>
    <row r="65" spans="1:5" ht="14.45" customHeight="1">
      <c r="A65" s="49"/>
      <c r="B65" s="97"/>
      <c r="C65" s="62" t="s">
        <v>144</v>
      </c>
      <c r="D65" s="65">
        <v>4</v>
      </c>
      <c r="E65" s="64">
        <v>1E-3</v>
      </c>
    </row>
    <row r="66" spans="1:5" ht="14.45" customHeight="1">
      <c r="A66" s="49"/>
      <c r="B66" s="97"/>
      <c r="C66" s="62" t="s">
        <v>157</v>
      </c>
      <c r="D66" s="65">
        <v>1</v>
      </c>
      <c r="E66" s="64">
        <v>0</v>
      </c>
    </row>
    <row r="67" spans="1:5" ht="14.45" customHeight="1">
      <c r="A67" s="49"/>
      <c r="B67" s="97"/>
      <c r="C67" s="62" t="s">
        <v>152</v>
      </c>
      <c r="D67" s="65">
        <v>1</v>
      </c>
      <c r="E67" s="64">
        <v>0</v>
      </c>
    </row>
    <row r="68" spans="1:5" ht="14.45" customHeight="1">
      <c r="A68" s="49"/>
      <c r="B68" s="97"/>
      <c r="C68" s="62" t="s">
        <v>153</v>
      </c>
      <c r="D68" s="65">
        <v>2</v>
      </c>
      <c r="E68" s="64">
        <v>0</v>
      </c>
    </row>
    <row r="69" spans="1:5" ht="14.45" customHeight="1">
      <c r="A69" s="49"/>
      <c r="B69" s="97"/>
      <c r="C69" s="75" t="s">
        <v>288</v>
      </c>
      <c r="D69" s="74">
        <v>36</v>
      </c>
      <c r="E69" s="72">
        <v>6.0000000000000001E-3</v>
      </c>
    </row>
    <row r="70" spans="1:5" ht="14.45" customHeight="1">
      <c r="A70" s="49"/>
      <c r="B70" s="97" t="s">
        <v>54</v>
      </c>
      <c r="C70" s="62" t="s">
        <v>161</v>
      </c>
      <c r="D70" s="65">
        <v>1</v>
      </c>
      <c r="E70" s="64">
        <v>0</v>
      </c>
    </row>
    <row r="71" spans="1:5" ht="14.45" customHeight="1">
      <c r="A71" s="49"/>
      <c r="B71" s="97"/>
      <c r="C71" s="62" t="s">
        <v>131</v>
      </c>
      <c r="D71" s="65">
        <v>38</v>
      </c>
      <c r="E71" s="64">
        <v>7.0000000000000001E-3</v>
      </c>
    </row>
    <row r="72" spans="1:5" ht="14.45" customHeight="1">
      <c r="A72" s="49"/>
      <c r="B72" s="97"/>
      <c r="C72" s="62" t="s">
        <v>132</v>
      </c>
      <c r="D72" s="65">
        <v>3</v>
      </c>
      <c r="E72" s="64">
        <v>1E-3</v>
      </c>
    </row>
    <row r="73" spans="1:5" ht="14.45" customHeight="1">
      <c r="A73" s="49"/>
      <c r="B73" s="97"/>
      <c r="C73" s="62" t="s">
        <v>133</v>
      </c>
      <c r="D73" s="65">
        <v>9</v>
      </c>
      <c r="E73" s="64">
        <v>2E-3</v>
      </c>
    </row>
    <row r="74" spans="1:5" ht="14.45" customHeight="1">
      <c r="A74" s="49"/>
      <c r="B74" s="97"/>
      <c r="C74" s="62" t="s">
        <v>134</v>
      </c>
      <c r="D74" s="65">
        <v>7</v>
      </c>
      <c r="E74" s="64">
        <v>1E-3</v>
      </c>
    </row>
    <row r="75" spans="1:5" ht="14.45" customHeight="1">
      <c r="A75" s="49"/>
      <c r="B75" s="97"/>
      <c r="C75" s="62" t="s">
        <v>188</v>
      </c>
      <c r="D75" s="65">
        <v>2</v>
      </c>
      <c r="E75" s="64">
        <v>0</v>
      </c>
    </row>
    <row r="76" spans="1:5" ht="14.45" customHeight="1">
      <c r="A76" s="49"/>
      <c r="B76" s="97"/>
      <c r="C76" s="62" t="s">
        <v>147</v>
      </c>
      <c r="D76" s="65">
        <v>2</v>
      </c>
      <c r="E76" s="64">
        <v>0</v>
      </c>
    </row>
    <row r="77" spans="1:5" ht="14.45" customHeight="1">
      <c r="A77" s="49"/>
      <c r="B77" s="97"/>
      <c r="C77" s="62" t="s">
        <v>135</v>
      </c>
      <c r="D77" s="65">
        <v>4</v>
      </c>
      <c r="E77" s="64">
        <v>1E-3</v>
      </c>
    </row>
    <row r="78" spans="1:5" ht="27.95" customHeight="1">
      <c r="A78" s="49"/>
      <c r="B78" s="97"/>
      <c r="C78" s="62" t="s">
        <v>167</v>
      </c>
      <c r="D78" s="65">
        <v>81</v>
      </c>
      <c r="E78" s="64">
        <v>1.4E-2</v>
      </c>
    </row>
    <row r="79" spans="1:5" ht="14.45" customHeight="1">
      <c r="A79" s="49"/>
      <c r="B79" s="97"/>
      <c r="C79" s="62" t="s">
        <v>136</v>
      </c>
      <c r="D79" s="65">
        <v>5</v>
      </c>
      <c r="E79" s="64">
        <v>1E-3</v>
      </c>
    </row>
    <row r="80" spans="1:5" ht="14.45" customHeight="1">
      <c r="A80" s="49"/>
      <c r="B80" s="97"/>
      <c r="C80" s="62" t="s">
        <v>169</v>
      </c>
      <c r="D80" s="65">
        <v>5</v>
      </c>
      <c r="E80" s="64">
        <v>1E-3</v>
      </c>
    </row>
    <row r="81" spans="1:5" ht="14.45" customHeight="1">
      <c r="A81" s="49"/>
      <c r="B81" s="97"/>
      <c r="C81" s="62" t="s">
        <v>156</v>
      </c>
      <c r="D81" s="65">
        <v>3</v>
      </c>
      <c r="E81" s="64">
        <v>1E-3</v>
      </c>
    </row>
    <row r="82" spans="1:5" ht="14.45" customHeight="1">
      <c r="A82" s="49"/>
      <c r="B82" s="97"/>
      <c r="C82" s="62" t="s">
        <v>174</v>
      </c>
      <c r="D82" s="65">
        <v>1</v>
      </c>
      <c r="E82" s="64">
        <v>0</v>
      </c>
    </row>
    <row r="83" spans="1:5" ht="14.45" customHeight="1">
      <c r="A83" s="49"/>
      <c r="B83" s="97"/>
      <c r="C83" s="62" t="s">
        <v>139</v>
      </c>
      <c r="D83" s="65">
        <v>1</v>
      </c>
      <c r="E83" s="64">
        <v>0</v>
      </c>
    </row>
    <row r="84" spans="1:5" ht="14.45" customHeight="1">
      <c r="A84" s="49"/>
      <c r="B84" s="97"/>
      <c r="C84" s="62" t="s">
        <v>180</v>
      </c>
      <c r="D84" s="65">
        <v>1</v>
      </c>
      <c r="E84" s="64">
        <v>0</v>
      </c>
    </row>
    <row r="85" spans="1:5" ht="14.45" customHeight="1">
      <c r="A85" s="49"/>
      <c r="B85" s="97"/>
      <c r="C85" s="62" t="s">
        <v>140</v>
      </c>
      <c r="D85" s="65">
        <v>1</v>
      </c>
      <c r="E85" s="64">
        <v>0</v>
      </c>
    </row>
    <row r="86" spans="1:5" ht="14.45" customHeight="1">
      <c r="A86" s="49"/>
      <c r="B86" s="97"/>
      <c r="C86" s="62" t="s">
        <v>181</v>
      </c>
      <c r="D86" s="65">
        <v>1</v>
      </c>
      <c r="E86" s="64">
        <v>0</v>
      </c>
    </row>
    <row r="87" spans="1:5" ht="14.45" customHeight="1">
      <c r="A87" s="49"/>
      <c r="B87" s="97"/>
      <c r="C87" s="62" t="s">
        <v>142</v>
      </c>
      <c r="D87" s="65">
        <v>2</v>
      </c>
      <c r="E87" s="64">
        <v>0</v>
      </c>
    </row>
    <row r="88" spans="1:5" ht="14.45" customHeight="1">
      <c r="A88" s="49"/>
      <c r="B88" s="97"/>
      <c r="C88" s="62" t="s">
        <v>143</v>
      </c>
      <c r="D88" s="65">
        <v>1</v>
      </c>
      <c r="E88" s="64">
        <v>0</v>
      </c>
    </row>
    <row r="89" spans="1:5" ht="14.45" customHeight="1">
      <c r="A89" s="49"/>
      <c r="B89" s="97"/>
      <c r="C89" s="62" t="s">
        <v>144</v>
      </c>
      <c r="D89" s="65">
        <v>25</v>
      </c>
      <c r="E89" s="64">
        <v>4.0000000000000001E-3</v>
      </c>
    </row>
    <row r="90" spans="1:5" ht="14.45" customHeight="1">
      <c r="A90" s="49"/>
      <c r="B90" s="97"/>
      <c r="C90" s="62" t="s">
        <v>145</v>
      </c>
      <c r="D90" s="65">
        <v>12</v>
      </c>
      <c r="E90" s="64">
        <v>2E-3</v>
      </c>
    </row>
    <row r="91" spans="1:5" ht="14.45" customHeight="1">
      <c r="A91" s="49"/>
      <c r="B91" s="97"/>
      <c r="C91" s="62" t="s">
        <v>150</v>
      </c>
      <c r="D91" s="65">
        <v>2</v>
      </c>
      <c r="E91" s="64">
        <v>0</v>
      </c>
    </row>
    <row r="92" spans="1:5" ht="14.45" customHeight="1">
      <c r="A92" s="49"/>
      <c r="B92" s="97"/>
      <c r="C92" s="62" t="s">
        <v>151</v>
      </c>
      <c r="D92" s="65">
        <v>13</v>
      </c>
      <c r="E92" s="64">
        <v>2E-3</v>
      </c>
    </row>
    <row r="93" spans="1:5" ht="14.45" customHeight="1">
      <c r="A93" s="49"/>
      <c r="B93" s="97"/>
      <c r="C93" s="62" t="s">
        <v>184</v>
      </c>
      <c r="D93" s="65">
        <v>2</v>
      </c>
      <c r="E93" s="64">
        <v>0</v>
      </c>
    </row>
    <row r="94" spans="1:5" ht="14.45" customHeight="1">
      <c r="A94" s="49"/>
      <c r="B94" s="97"/>
      <c r="C94" s="62" t="s">
        <v>154</v>
      </c>
      <c r="D94" s="65">
        <v>1</v>
      </c>
      <c r="E94" s="64">
        <v>0</v>
      </c>
    </row>
    <row r="95" spans="1:5" ht="14.45" customHeight="1">
      <c r="A95" s="49"/>
      <c r="B95" s="97"/>
      <c r="C95" s="73" t="s">
        <v>288</v>
      </c>
      <c r="D95" s="74">
        <v>223</v>
      </c>
      <c r="E95" s="72">
        <v>0.04</v>
      </c>
    </row>
    <row r="96" spans="1:5" ht="14.45" customHeight="1">
      <c r="A96" s="49"/>
      <c r="B96" s="97" t="s">
        <v>49</v>
      </c>
      <c r="C96" s="62" t="s">
        <v>159</v>
      </c>
      <c r="D96" s="65">
        <v>1</v>
      </c>
      <c r="E96" s="64">
        <v>0</v>
      </c>
    </row>
    <row r="97" spans="1:5" ht="14.45" customHeight="1">
      <c r="A97" s="49"/>
      <c r="B97" s="97"/>
      <c r="C97" s="62" t="s">
        <v>131</v>
      </c>
      <c r="D97" s="65">
        <v>3</v>
      </c>
      <c r="E97" s="64">
        <v>1E-3</v>
      </c>
    </row>
    <row r="98" spans="1:5" ht="27.95" customHeight="1">
      <c r="A98" s="49"/>
      <c r="B98" s="97"/>
      <c r="C98" s="62" t="s">
        <v>132</v>
      </c>
      <c r="D98" s="65">
        <v>1</v>
      </c>
      <c r="E98" s="64">
        <v>0</v>
      </c>
    </row>
    <row r="99" spans="1:5" ht="14.45" customHeight="1">
      <c r="A99" s="49"/>
      <c r="B99" s="97"/>
      <c r="C99" s="62" t="s">
        <v>163</v>
      </c>
      <c r="D99" s="65">
        <v>1</v>
      </c>
      <c r="E99" s="64">
        <v>0</v>
      </c>
    </row>
    <row r="100" spans="1:5" ht="27.95" customHeight="1">
      <c r="A100" s="49"/>
      <c r="B100" s="97"/>
      <c r="C100" s="62" t="s">
        <v>133</v>
      </c>
      <c r="D100" s="65">
        <v>1</v>
      </c>
      <c r="E100" s="64">
        <v>0</v>
      </c>
    </row>
    <row r="101" spans="1:5" ht="14.45" customHeight="1">
      <c r="A101" s="49"/>
      <c r="B101" s="97"/>
      <c r="C101" s="62" t="s">
        <v>134</v>
      </c>
      <c r="D101" s="65">
        <v>11</v>
      </c>
      <c r="E101" s="64">
        <v>2E-3</v>
      </c>
    </row>
    <row r="102" spans="1:5" ht="14.45" customHeight="1">
      <c r="A102" s="49"/>
      <c r="B102" s="97"/>
      <c r="C102" s="62" t="s">
        <v>146</v>
      </c>
      <c r="D102" s="65">
        <v>3</v>
      </c>
      <c r="E102" s="64">
        <v>1E-3</v>
      </c>
    </row>
    <row r="103" spans="1:5" ht="14.45" customHeight="1">
      <c r="A103" s="49"/>
      <c r="B103" s="97"/>
      <c r="C103" s="62" t="s">
        <v>135</v>
      </c>
      <c r="D103" s="65">
        <v>2</v>
      </c>
      <c r="E103" s="64">
        <v>0</v>
      </c>
    </row>
    <row r="104" spans="1:5" ht="14.45" customHeight="1">
      <c r="A104" s="49"/>
      <c r="B104" s="97"/>
      <c r="C104" s="62" t="s">
        <v>167</v>
      </c>
      <c r="D104" s="65">
        <v>1</v>
      </c>
      <c r="E104" s="64">
        <v>0</v>
      </c>
    </row>
    <row r="105" spans="1:5" ht="14.45" customHeight="1">
      <c r="A105" s="49"/>
      <c r="B105" s="97"/>
      <c r="C105" s="62" t="s">
        <v>136</v>
      </c>
      <c r="D105" s="65">
        <v>2</v>
      </c>
      <c r="E105" s="64">
        <v>0</v>
      </c>
    </row>
    <row r="106" spans="1:5" ht="14.45" customHeight="1">
      <c r="A106" s="49"/>
      <c r="B106" s="97"/>
      <c r="C106" s="62" t="s">
        <v>149</v>
      </c>
      <c r="D106" s="65">
        <v>10</v>
      </c>
      <c r="E106" s="64">
        <v>2E-3</v>
      </c>
    </row>
    <row r="107" spans="1:5" ht="14.45" customHeight="1">
      <c r="A107" s="49"/>
      <c r="B107" s="97"/>
      <c r="C107" s="62" t="s">
        <v>169</v>
      </c>
      <c r="D107" s="65">
        <v>1</v>
      </c>
      <c r="E107" s="64">
        <v>0</v>
      </c>
    </row>
    <row r="108" spans="1:5" ht="14.45" customHeight="1">
      <c r="A108" s="49"/>
      <c r="B108" s="97"/>
      <c r="C108" s="62" t="s">
        <v>155</v>
      </c>
      <c r="D108" s="65">
        <v>18</v>
      </c>
      <c r="E108" s="64">
        <v>3.0000000000000001E-3</v>
      </c>
    </row>
    <row r="109" spans="1:5" ht="14.45" customHeight="1">
      <c r="A109" s="49"/>
      <c r="B109" s="97"/>
      <c r="C109" s="62" t="s">
        <v>156</v>
      </c>
      <c r="D109" s="65">
        <v>2</v>
      </c>
      <c r="E109" s="64">
        <v>0</v>
      </c>
    </row>
    <row r="110" spans="1:5" ht="14.45" customHeight="1">
      <c r="A110" s="49"/>
      <c r="B110" s="97"/>
      <c r="C110" s="62" t="s">
        <v>170</v>
      </c>
      <c r="D110" s="65">
        <v>6</v>
      </c>
      <c r="E110" s="64">
        <v>1E-3</v>
      </c>
    </row>
    <row r="111" spans="1:5" ht="14.45" customHeight="1">
      <c r="A111" s="49"/>
      <c r="B111" s="97"/>
      <c r="C111" s="62" t="s">
        <v>171</v>
      </c>
      <c r="D111" s="65">
        <v>4</v>
      </c>
      <c r="E111" s="64">
        <v>1E-3</v>
      </c>
    </row>
    <row r="112" spans="1:5" ht="14.45" customHeight="1">
      <c r="A112" s="49"/>
      <c r="B112" s="97"/>
      <c r="C112" s="62" t="s">
        <v>186</v>
      </c>
      <c r="D112" s="65">
        <v>4</v>
      </c>
      <c r="E112" s="64">
        <v>1E-3</v>
      </c>
    </row>
    <row r="113" spans="1:5" ht="14.45" customHeight="1">
      <c r="A113" s="49"/>
      <c r="B113" s="97"/>
      <c r="C113" s="62" t="s">
        <v>139</v>
      </c>
      <c r="D113" s="65">
        <v>11</v>
      </c>
      <c r="E113" s="64">
        <v>2E-3</v>
      </c>
    </row>
    <row r="114" spans="1:5" ht="14.45" customHeight="1">
      <c r="A114" s="49"/>
      <c r="B114" s="97"/>
      <c r="C114" s="62" t="s">
        <v>187</v>
      </c>
      <c r="D114" s="65">
        <v>2</v>
      </c>
      <c r="E114" s="64">
        <v>0</v>
      </c>
    </row>
    <row r="115" spans="1:5" ht="14.45" customHeight="1">
      <c r="A115" s="49"/>
      <c r="B115" s="97"/>
      <c r="C115" s="62" t="s">
        <v>176</v>
      </c>
      <c r="D115" s="65">
        <v>1</v>
      </c>
      <c r="E115" s="64">
        <v>0</v>
      </c>
    </row>
    <row r="116" spans="1:5" ht="14.45" customHeight="1">
      <c r="A116" s="49"/>
      <c r="B116" s="97"/>
      <c r="C116" s="62" t="s">
        <v>179</v>
      </c>
      <c r="D116" s="65">
        <v>1</v>
      </c>
      <c r="E116" s="64">
        <v>0</v>
      </c>
    </row>
    <row r="117" spans="1:5" ht="14.45" customHeight="1">
      <c r="A117" s="49"/>
      <c r="B117" s="97"/>
      <c r="C117" s="62" t="s">
        <v>180</v>
      </c>
      <c r="D117" s="65">
        <v>3</v>
      </c>
      <c r="E117" s="64">
        <v>1E-3</v>
      </c>
    </row>
    <row r="118" spans="1:5" ht="14.45" customHeight="1">
      <c r="A118" s="49"/>
      <c r="B118" s="97"/>
      <c r="C118" s="62" t="s">
        <v>140</v>
      </c>
      <c r="D118" s="65">
        <v>7</v>
      </c>
      <c r="E118" s="64">
        <v>1E-3</v>
      </c>
    </row>
    <row r="119" spans="1:5" ht="14.45" customHeight="1">
      <c r="A119" s="49"/>
      <c r="B119" s="97"/>
      <c r="C119" s="62" t="s">
        <v>141</v>
      </c>
      <c r="D119" s="65">
        <v>5</v>
      </c>
      <c r="E119" s="64">
        <v>1E-3</v>
      </c>
    </row>
    <row r="120" spans="1:5" ht="14.45" customHeight="1">
      <c r="A120" s="49"/>
      <c r="B120" s="97"/>
      <c r="C120" s="62" t="s">
        <v>142</v>
      </c>
      <c r="D120" s="65">
        <v>1</v>
      </c>
      <c r="E120" s="64">
        <v>0</v>
      </c>
    </row>
    <row r="121" spans="1:5" ht="14.45" customHeight="1">
      <c r="A121" s="49"/>
      <c r="B121" s="97"/>
      <c r="C121" s="62" t="s">
        <v>143</v>
      </c>
      <c r="D121" s="65">
        <v>1</v>
      </c>
      <c r="E121" s="64">
        <v>0</v>
      </c>
    </row>
    <row r="122" spans="1:5" ht="14.45" customHeight="1">
      <c r="A122" s="49"/>
      <c r="B122" s="97"/>
      <c r="C122" s="62" t="s">
        <v>182</v>
      </c>
      <c r="D122" s="65">
        <v>24</v>
      </c>
      <c r="E122" s="64">
        <v>4.0000000000000001E-3</v>
      </c>
    </row>
    <row r="123" spans="1:5" ht="14.45" customHeight="1">
      <c r="A123" s="49"/>
      <c r="B123" s="97"/>
      <c r="C123" s="62" t="s">
        <v>144</v>
      </c>
      <c r="D123" s="65">
        <v>30</v>
      </c>
      <c r="E123" s="64">
        <v>5.0000000000000001E-3</v>
      </c>
    </row>
    <row r="124" spans="1:5" ht="14.45" customHeight="1">
      <c r="A124" s="49"/>
      <c r="B124" s="97"/>
      <c r="C124" s="62" t="s">
        <v>145</v>
      </c>
      <c r="D124" s="65">
        <v>2</v>
      </c>
      <c r="E124" s="64">
        <v>0</v>
      </c>
    </row>
    <row r="125" spans="1:5" ht="14.45" customHeight="1">
      <c r="A125" s="49"/>
      <c r="B125" s="97"/>
      <c r="C125" s="62" t="s">
        <v>157</v>
      </c>
      <c r="D125" s="65">
        <v>1</v>
      </c>
      <c r="E125" s="64">
        <v>0</v>
      </c>
    </row>
    <row r="126" spans="1:5" ht="14.45" customHeight="1">
      <c r="A126" s="49"/>
      <c r="B126" s="97"/>
      <c r="C126" s="62" t="s">
        <v>153</v>
      </c>
      <c r="D126" s="65">
        <v>27</v>
      </c>
      <c r="E126" s="64">
        <v>5.0000000000000001E-3</v>
      </c>
    </row>
    <row r="127" spans="1:5" ht="14.45" customHeight="1">
      <c r="A127" s="49"/>
      <c r="B127" s="97"/>
      <c r="C127" s="62" t="s">
        <v>154</v>
      </c>
      <c r="D127" s="65">
        <v>1</v>
      </c>
      <c r="E127" s="64">
        <v>0</v>
      </c>
    </row>
    <row r="128" spans="1:5" ht="14.45" customHeight="1">
      <c r="A128" s="49"/>
      <c r="B128" s="97"/>
      <c r="C128" s="73" t="s">
        <v>288</v>
      </c>
      <c r="D128" s="74">
        <v>188</v>
      </c>
      <c r="E128" s="72">
        <v>3.3000000000000002E-2</v>
      </c>
    </row>
    <row r="129" spans="1:5" ht="14.45" customHeight="1">
      <c r="A129" s="49"/>
      <c r="B129" s="97" t="s">
        <v>84</v>
      </c>
      <c r="C129" s="62" t="s">
        <v>131</v>
      </c>
      <c r="D129" s="65">
        <v>1</v>
      </c>
      <c r="E129" s="64">
        <v>0</v>
      </c>
    </row>
    <row r="130" spans="1:5" ht="14.45" customHeight="1">
      <c r="A130" s="49"/>
      <c r="B130" s="97"/>
      <c r="C130" s="62" t="s">
        <v>133</v>
      </c>
      <c r="D130" s="65">
        <v>1</v>
      </c>
      <c r="E130" s="64">
        <v>0</v>
      </c>
    </row>
    <row r="131" spans="1:5" ht="14.45" customHeight="1">
      <c r="A131" s="49"/>
      <c r="B131" s="97"/>
      <c r="C131" s="62" t="s">
        <v>135</v>
      </c>
      <c r="D131" s="65">
        <v>2</v>
      </c>
      <c r="E131" s="64">
        <v>0</v>
      </c>
    </row>
    <row r="132" spans="1:5" ht="14.45" customHeight="1">
      <c r="A132" s="49"/>
      <c r="B132" s="97"/>
      <c r="C132" s="62" t="s">
        <v>155</v>
      </c>
      <c r="D132" s="65">
        <v>2</v>
      </c>
      <c r="E132" s="64">
        <v>0</v>
      </c>
    </row>
    <row r="133" spans="1:5" ht="14.45" customHeight="1">
      <c r="A133" s="49"/>
      <c r="B133" s="97"/>
      <c r="C133" s="62" t="s">
        <v>144</v>
      </c>
      <c r="D133" s="65">
        <v>1</v>
      </c>
      <c r="E133" s="64">
        <v>0</v>
      </c>
    </row>
    <row r="134" spans="1:5" ht="14.45" customHeight="1">
      <c r="A134" s="49"/>
      <c r="B134" s="97"/>
      <c r="C134" s="73" t="s">
        <v>288</v>
      </c>
      <c r="D134" s="74">
        <v>7</v>
      </c>
      <c r="E134" s="72">
        <v>1E-3</v>
      </c>
    </row>
    <row r="135" spans="1:5" ht="14.45" customHeight="1">
      <c r="A135" s="49"/>
      <c r="B135" s="97" t="s">
        <v>44</v>
      </c>
      <c r="C135" s="62" t="s">
        <v>159</v>
      </c>
      <c r="D135" s="65">
        <v>25</v>
      </c>
      <c r="E135" s="64">
        <v>4.0000000000000001E-3</v>
      </c>
    </row>
    <row r="136" spans="1:5" ht="14.45" customHeight="1">
      <c r="A136" s="49"/>
      <c r="B136" s="97"/>
      <c r="C136" s="62" t="s">
        <v>160</v>
      </c>
      <c r="D136" s="65">
        <v>5</v>
      </c>
      <c r="E136" s="64">
        <v>1E-3</v>
      </c>
    </row>
    <row r="137" spans="1:5" ht="14.45" customHeight="1">
      <c r="A137" s="49"/>
      <c r="B137" s="97"/>
      <c r="C137" s="62" t="s">
        <v>161</v>
      </c>
      <c r="D137" s="65">
        <v>7</v>
      </c>
      <c r="E137" s="64">
        <v>1E-3</v>
      </c>
    </row>
    <row r="138" spans="1:5" ht="14.45" customHeight="1">
      <c r="A138" s="49"/>
      <c r="B138" s="97"/>
      <c r="C138" s="62" t="s">
        <v>131</v>
      </c>
      <c r="D138" s="65">
        <v>45</v>
      </c>
      <c r="E138" s="64">
        <v>8.0000000000000002E-3</v>
      </c>
    </row>
    <row r="139" spans="1:5" ht="14.45" customHeight="1">
      <c r="A139" s="49"/>
      <c r="B139" s="97"/>
      <c r="C139" s="62" t="s">
        <v>162</v>
      </c>
      <c r="D139" s="65">
        <v>11</v>
      </c>
      <c r="E139" s="64">
        <v>2E-3</v>
      </c>
    </row>
    <row r="140" spans="1:5" ht="27.95" customHeight="1">
      <c r="A140" s="49"/>
      <c r="B140" s="97"/>
      <c r="C140" s="62" t="s">
        <v>163</v>
      </c>
      <c r="D140" s="65">
        <v>1</v>
      </c>
      <c r="E140" s="64">
        <v>0</v>
      </c>
    </row>
    <row r="141" spans="1:5" ht="14.45" customHeight="1">
      <c r="A141" s="49"/>
      <c r="B141" s="97"/>
      <c r="C141" s="62" t="s">
        <v>133</v>
      </c>
      <c r="D141" s="65">
        <v>37</v>
      </c>
      <c r="E141" s="64">
        <v>7.0000000000000001E-3</v>
      </c>
    </row>
    <row r="142" spans="1:5" ht="14.45" customHeight="1">
      <c r="A142" s="49"/>
      <c r="B142" s="97"/>
      <c r="C142" s="62" t="s">
        <v>134</v>
      </c>
      <c r="D142" s="65">
        <v>41</v>
      </c>
      <c r="E142" s="64">
        <v>7.0000000000000001E-3</v>
      </c>
    </row>
    <row r="143" spans="1:5" ht="14.45" customHeight="1">
      <c r="A143" s="49"/>
      <c r="B143" s="97"/>
      <c r="C143" s="62" t="s">
        <v>146</v>
      </c>
      <c r="D143" s="65">
        <v>2</v>
      </c>
      <c r="E143" s="64">
        <v>0</v>
      </c>
    </row>
    <row r="144" spans="1:5" ht="14.45" customHeight="1">
      <c r="A144" s="49"/>
      <c r="B144" s="97"/>
      <c r="C144" s="62" t="s">
        <v>164</v>
      </c>
      <c r="D144" s="65">
        <v>2</v>
      </c>
      <c r="E144" s="64">
        <v>0</v>
      </c>
    </row>
    <row r="145" spans="1:5" ht="14.45" customHeight="1">
      <c r="A145" s="49"/>
      <c r="B145" s="97"/>
      <c r="C145" s="62" t="s">
        <v>188</v>
      </c>
      <c r="D145" s="65">
        <v>4</v>
      </c>
      <c r="E145" s="64">
        <v>1E-3</v>
      </c>
    </row>
    <row r="146" spans="1:5" ht="14.45" customHeight="1">
      <c r="A146" s="49"/>
      <c r="B146" s="97"/>
      <c r="C146" s="62" t="s">
        <v>261</v>
      </c>
      <c r="D146" s="65">
        <v>1</v>
      </c>
      <c r="E146" s="64">
        <v>0</v>
      </c>
    </row>
    <row r="147" spans="1:5" ht="14.45" customHeight="1">
      <c r="A147" s="49"/>
      <c r="B147" s="97"/>
      <c r="C147" s="62" t="s">
        <v>165</v>
      </c>
      <c r="D147" s="65">
        <v>3</v>
      </c>
      <c r="E147" s="64">
        <v>1E-3</v>
      </c>
    </row>
    <row r="148" spans="1:5" ht="14.45" customHeight="1">
      <c r="A148" s="49"/>
      <c r="B148" s="97"/>
      <c r="C148" s="62" t="s">
        <v>166</v>
      </c>
      <c r="D148" s="65">
        <v>2</v>
      </c>
      <c r="E148" s="64">
        <v>0</v>
      </c>
    </row>
    <row r="149" spans="1:5" ht="14.45" customHeight="1">
      <c r="A149" s="49"/>
      <c r="B149" s="97"/>
      <c r="C149" s="62" t="s">
        <v>147</v>
      </c>
      <c r="D149" s="65">
        <v>3</v>
      </c>
      <c r="E149" s="64">
        <v>1E-3</v>
      </c>
    </row>
    <row r="150" spans="1:5" ht="14.45" customHeight="1">
      <c r="A150" s="49"/>
      <c r="B150" s="97"/>
      <c r="C150" s="62" t="s">
        <v>135</v>
      </c>
      <c r="D150" s="65">
        <v>33</v>
      </c>
      <c r="E150" s="64">
        <v>6.0000000000000001E-3</v>
      </c>
    </row>
    <row r="151" spans="1:5" ht="14.45" customHeight="1">
      <c r="A151" s="49"/>
      <c r="B151" s="97"/>
      <c r="C151" s="62" t="s">
        <v>167</v>
      </c>
      <c r="D151" s="65">
        <v>8</v>
      </c>
      <c r="E151" s="64">
        <v>1E-3</v>
      </c>
    </row>
    <row r="152" spans="1:5" ht="14.45" customHeight="1">
      <c r="A152" s="49"/>
      <c r="B152" s="97"/>
      <c r="C152" s="62" t="s">
        <v>136</v>
      </c>
      <c r="D152" s="65">
        <v>21</v>
      </c>
      <c r="E152" s="64">
        <v>4.0000000000000001E-3</v>
      </c>
    </row>
    <row r="153" spans="1:5" ht="14.45" customHeight="1">
      <c r="A153" s="49"/>
      <c r="B153" s="97"/>
      <c r="C153" s="62" t="s">
        <v>137</v>
      </c>
      <c r="D153" s="65">
        <v>4</v>
      </c>
      <c r="E153" s="64">
        <v>1E-3</v>
      </c>
    </row>
    <row r="154" spans="1:5" ht="14.45" customHeight="1">
      <c r="A154" s="49"/>
      <c r="B154" s="97"/>
      <c r="C154" s="62" t="s">
        <v>148</v>
      </c>
      <c r="D154" s="65">
        <v>4</v>
      </c>
      <c r="E154" s="64">
        <v>1E-3</v>
      </c>
    </row>
    <row r="155" spans="1:5" ht="14.45" customHeight="1">
      <c r="A155" s="49"/>
      <c r="B155" s="97"/>
      <c r="C155" s="62" t="s">
        <v>149</v>
      </c>
      <c r="D155" s="65">
        <v>4</v>
      </c>
      <c r="E155" s="64">
        <v>1E-3</v>
      </c>
    </row>
    <row r="156" spans="1:5" ht="14.45" customHeight="1">
      <c r="A156" s="49"/>
      <c r="B156" s="97"/>
      <c r="C156" s="62" t="s">
        <v>169</v>
      </c>
      <c r="D156" s="65">
        <v>2</v>
      </c>
      <c r="E156" s="64">
        <v>0</v>
      </c>
    </row>
    <row r="157" spans="1:5" ht="14.45" customHeight="1">
      <c r="A157" s="49"/>
      <c r="B157" s="97"/>
      <c r="C157" s="62" t="s">
        <v>138</v>
      </c>
      <c r="D157" s="65">
        <v>3</v>
      </c>
      <c r="E157" s="64">
        <v>1E-3</v>
      </c>
    </row>
    <row r="158" spans="1:5" ht="14.45" customHeight="1">
      <c r="A158" s="49"/>
      <c r="B158" s="97"/>
      <c r="C158" s="62" t="s">
        <v>155</v>
      </c>
      <c r="D158" s="65">
        <v>28</v>
      </c>
      <c r="E158" s="64">
        <v>5.0000000000000001E-3</v>
      </c>
    </row>
    <row r="159" spans="1:5" ht="14.45" customHeight="1">
      <c r="A159" s="49"/>
      <c r="B159" s="97"/>
      <c r="C159" s="62" t="s">
        <v>156</v>
      </c>
      <c r="D159" s="65">
        <v>6</v>
      </c>
      <c r="E159" s="64">
        <v>1E-3</v>
      </c>
    </row>
    <row r="160" spans="1:5" ht="14.45" customHeight="1">
      <c r="A160" s="49"/>
      <c r="B160" s="97"/>
      <c r="C160" s="62" t="s">
        <v>170</v>
      </c>
      <c r="D160" s="65">
        <v>4</v>
      </c>
      <c r="E160" s="64">
        <v>1E-3</v>
      </c>
    </row>
    <row r="161" spans="1:5" ht="14.45" customHeight="1">
      <c r="A161" s="49"/>
      <c r="B161" s="97"/>
      <c r="C161" s="62" t="s">
        <v>171</v>
      </c>
      <c r="D161" s="65">
        <v>1</v>
      </c>
      <c r="E161" s="64">
        <v>0</v>
      </c>
    </row>
    <row r="162" spans="1:5" ht="14.45" customHeight="1">
      <c r="A162" s="49"/>
      <c r="B162" s="97"/>
      <c r="C162" s="62" t="s">
        <v>174</v>
      </c>
      <c r="D162" s="65">
        <v>4</v>
      </c>
      <c r="E162" s="64">
        <v>1E-3</v>
      </c>
    </row>
    <row r="163" spans="1:5" ht="14.45" customHeight="1">
      <c r="A163" s="49"/>
      <c r="B163" s="97"/>
      <c r="C163" s="62" t="s">
        <v>139</v>
      </c>
      <c r="D163" s="65">
        <v>8</v>
      </c>
      <c r="E163" s="64">
        <v>1E-3</v>
      </c>
    </row>
    <row r="164" spans="1:5" ht="14.45" customHeight="1">
      <c r="A164" s="49"/>
      <c r="B164" s="97"/>
      <c r="C164" s="62" t="s">
        <v>175</v>
      </c>
      <c r="D164" s="65">
        <v>1</v>
      </c>
      <c r="E164" s="64">
        <v>0</v>
      </c>
    </row>
    <row r="165" spans="1:5" ht="14.45" customHeight="1">
      <c r="A165" s="49"/>
      <c r="B165" s="97"/>
      <c r="C165" s="62" t="s">
        <v>189</v>
      </c>
      <c r="D165" s="65">
        <v>1</v>
      </c>
      <c r="E165" s="64">
        <v>0</v>
      </c>
    </row>
    <row r="166" spans="1:5" ht="14.45" customHeight="1">
      <c r="A166" s="49"/>
      <c r="B166" s="97"/>
      <c r="C166" s="62" t="s">
        <v>178</v>
      </c>
      <c r="D166" s="65">
        <v>2</v>
      </c>
      <c r="E166" s="64">
        <v>0</v>
      </c>
    </row>
    <row r="167" spans="1:5" ht="14.45" customHeight="1">
      <c r="A167" s="49"/>
      <c r="B167" s="97"/>
      <c r="C167" s="62" t="s">
        <v>179</v>
      </c>
      <c r="D167" s="65">
        <v>1</v>
      </c>
      <c r="E167" s="64">
        <v>0</v>
      </c>
    </row>
    <row r="168" spans="1:5" ht="17.100000000000001" customHeight="1">
      <c r="A168" s="49"/>
      <c r="B168" s="97"/>
      <c r="C168" s="62" t="s">
        <v>180</v>
      </c>
      <c r="D168" s="65">
        <v>1</v>
      </c>
      <c r="E168" s="64">
        <v>0</v>
      </c>
    </row>
    <row r="169" spans="1:5" ht="14.45" customHeight="1">
      <c r="A169" s="49"/>
      <c r="B169" s="97"/>
      <c r="C169" s="62" t="s">
        <v>140</v>
      </c>
      <c r="D169" s="65">
        <v>11</v>
      </c>
      <c r="E169" s="64">
        <v>2E-3</v>
      </c>
    </row>
    <row r="170" spans="1:5" ht="14.45" customHeight="1">
      <c r="A170" s="49"/>
      <c r="B170" s="97"/>
      <c r="C170" s="62" t="s">
        <v>181</v>
      </c>
      <c r="D170" s="65">
        <v>6</v>
      </c>
      <c r="E170" s="64">
        <v>1E-3</v>
      </c>
    </row>
    <row r="171" spans="1:5" ht="14.45" customHeight="1">
      <c r="A171" s="49"/>
      <c r="B171" s="97"/>
      <c r="C171" s="62" t="s">
        <v>141</v>
      </c>
      <c r="D171" s="65">
        <v>4</v>
      </c>
      <c r="E171" s="64">
        <v>1E-3</v>
      </c>
    </row>
    <row r="172" spans="1:5" ht="14.45" customHeight="1">
      <c r="A172" s="49"/>
      <c r="B172" s="97"/>
      <c r="C172" s="62" t="s">
        <v>142</v>
      </c>
      <c r="D172" s="65">
        <v>10</v>
      </c>
      <c r="E172" s="64">
        <v>2E-3</v>
      </c>
    </row>
    <row r="173" spans="1:5" ht="14.45" customHeight="1">
      <c r="A173" s="49"/>
      <c r="B173" s="97"/>
      <c r="C173" s="62" t="s">
        <v>143</v>
      </c>
      <c r="D173" s="65">
        <v>6</v>
      </c>
      <c r="E173" s="64">
        <v>1E-3</v>
      </c>
    </row>
    <row r="174" spans="1:5" ht="14.45" customHeight="1">
      <c r="A174" s="49"/>
      <c r="B174" s="97"/>
      <c r="C174" s="62" t="s">
        <v>182</v>
      </c>
      <c r="D174" s="65">
        <v>2</v>
      </c>
      <c r="E174" s="64">
        <v>0</v>
      </c>
    </row>
    <row r="175" spans="1:5" ht="14.45" customHeight="1">
      <c r="A175" s="49"/>
      <c r="B175" s="97"/>
      <c r="C175" s="62" t="s">
        <v>144</v>
      </c>
      <c r="D175" s="65">
        <v>95</v>
      </c>
      <c r="E175" s="64">
        <v>1.7000000000000001E-2</v>
      </c>
    </row>
    <row r="176" spans="1:5" ht="14.45" customHeight="1">
      <c r="A176" s="49"/>
      <c r="B176" s="97"/>
      <c r="C176" s="62" t="s">
        <v>145</v>
      </c>
      <c r="D176" s="65">
        <v>20</v>
      </c>
      <c r="E176" s="64">
        <v>4.0000000000000001E-3</v>
      </c>
    </row>
    <row r="177" spans="1:5" ht="14.45" customHeight="1">
      <c r="A177" s="49"/>
      <c r="B177" s="97"/>
      <c r="C177" s="62" t="s">
        <v>158</v>
      </c>
      <c r="D177" s="65">
        <v>2</v>
      </c>
      <c r="E177" s="64">
        <v>0</v>
      </c>
    </row>
    <row r="178" spans="1:5" ht="14.45" customHeight="1">
      <c r="A178" s="49"/>
      <c r="B178" s="97"/>
      <c r="C178" s="62" t="s">
        <v>150</v>
      </c>
      <c r="D178" s="65">
        <v>10</v>
      </c>
      <c r="E178" s="64">
        <v>2E-3</v>
      </c>
    </row>
    <row r="179" spans="1:5" ht="14.45" customHeight="1">
      <c r="A179" s="49"/>
      <c r="B179" s="97"/>
      <c r="C179" s="62" t="s">
        <v>151</v>
      </c>
      <c r="D179" s="65">
        <v>20</v>
      </c>
      <c r="E179" s="64">
        <v>4.0000000000000001E-3</v>
      </c>
    </row>
    <row r="180" spans="1:5" ht="14.45" customHeight="1">
      <c r="A180" s="49"/>
      <c r="B180" s="97"/>
      <c r="C180" s="62" t="s">
        <v>152</v>
      </c>
      <c r="D180" s="65">
        <v>1</v>
      </c>
      <c r="E180" s="64">
        <v>0</v>
      </c>
    </row>
    <row r="181" spans="1:5" ht="14.45" customHeight="1">
      <c r="A181" s="49"/>
      <c r="B181" s="97"/>
      <c r="C181" s="62" t="s">
        <v>184</v>
      </c>
      <c r="D181" s="65">
        <v>10</v>
      </c>
      <c r="E181" s="64">
        <v>2E-3</v>
      </c>
    </row>
    <row r="182" spans="1:5" ht="14.45" customHeight="1">
      <c r="A182" s="49"/>
      <c r="B182" s="97"/>
      <c r="C182" s="62" t="s">
        <v>153</v>
      </c>
      <c r="D182" s="65">
        <v>20</v>
      </c>
      <c r="E182" s="64">
        <v>4.0000000000000001E-3</v>
      </c>
    </row>
    <row r="183" spans="1:5" ht="14.45" customHeight="1">
      <c r="A183" s="49"/>
      <c r="B183" s="97"/>
      <c r="C183" s="62" t="s">
        <v>154</v>
      </c>
      <c r="D183" s="65">
        <v>1</v>
      </c>
      <c r="E183" s="64">
        <v>0</v>
      </c>
    </row>
    <row r="184" spans="1:5" ht="14.45" customHeight="1">
      <c r="A184" s="49"/>
      <c r="B184" s="97"/>
      <c r="C184" s="73" t="s">
        <v>288</v>
      </c>
      <c r="D184" s="74">
        <v>543</v>
      </c>
      <c r="E184" s="72">
        <v>9.7000000000000003E-2</v>
      </c>
    </row>
    <row r="185" spans="1:5" ht="14.45" customHeight="1">
      <c r="A185" s="49"/>
      <c r="B185" s="97" t="s">
        <v>51</v>
      </c>
      <c r="C185" s="62" t="s">
        <v>159</v>
      </c>
      <c r="D185" s="65">
        <v>1</v>
      </c>
      <c r="E185" s="64">
        <v>0</v>
      </c>
    </row>
    <row r="186" spans="1:5" ht="14.45" customHeight="1">
      <c r="A186" s="49"/>
      <c r="B186" s="97"/>
      <c r="C186" s="62" t="s">
        <v>161</v>
      </c>
      <c r="D186" s="65">
        <v>1</v>
      </c>
      <c r="E186" s="64">
        <v>0</v>
      </c>
    </row>
    <row r="187" spans="1:5" ht="14.45" customHeight="1">
      <c r="A187" s="49"/>
      <c r="B187" s="97"/>
      <c r="C187" s="62" t="s">
        <v>131</v>
      </c>
      <c r="D187" s="65">
        <v>1</v>
      </c>
      <c r="E187" s="64">
        <v>0</v>
      </c>
    </row>
    <row r="188" spans="1:5" ht="14.45" customHeight="1">
      <c r="A188" s="49"/>
      <c r="B188" s="97"/>
      <c r="C188" s="62" t="s">
        <v>132</v>
      </c>
      <c r="D188" s="65">
        <v>2</v>
      </c>
      <c r="E188" s="64">
        <v>0</v>
      </c>
    </row>
    <row r="189" spans="1:5" ht="14.45" customHeight="1">
      <c r="A189" s="49"/>
      <c r="B189" s="97"/>
      <c r="C189" s="62" t="s">
        <v>162</v>
      </c>
      <c r="D189" s="65">
        <v>3</v>
      </c>
      <c r="E189" s="64">
        <v>1E-3</v>
      </c>
    </row>
    <row r="190" spans="1:5" ht="14.45" customHeight="1">
      <c r="A190" s="49"/>
      <c r="B190" s="97"/>
      <c r="C190" s="62" t="s">
        <v>133</v>
      </c>
      <c r="D190" s="65">
        <v>5</v>
      </c>
      <c r="E190" s="64">
        <v>1E-3</v>
      </c>
    </row>
    <row r="191" spans="1:5" ht="14.45" customHeight="1">
      <c r="A191" s="49"/>
      <c r="B191" s="97"/>
      <c r="C191" s="62" t="s">
        <v>134</v>
      </c>
      <c r="D191" s="65">
        <v>11</v>
      </c>
      <c r="E191" s="64">
        <v>2E-3</v>
      </c>
    </row>
    <row r="192" spans="1:5" ht="14.45" customHeight="1">
      <c r="A192" s="49"/>
      <c r="B192" s="97"/>
      <c r="C192" s="62" t="s">
        <v>146</v>
      </c>
      <c r="D192" s="65">
        <v>2</v>
      </c>
      <c r="E192" s="64">
        <v>0</v>
      </c>
    </row>
    <row r="193" spans="1:5" ht="14.45" customHeight="1">
      <c r="A193" s="49"/>
      <c r="B193" s="97"/>
      <c r="C193" s="62" t="s">
        <v>188</v>
      </c>
      <c r="D193" s="65">
        <v>2</v>
      </c>
      <c r="E193" s="64">
        <v>0</v>
      </c>
    </row>
    <row r="194" spans="1:5" ht="14.45" customHeight="1">
      <c r="A194" s="49"/>
      <c r="B194" s="97"/>
      <c r="C194" s="62" t="s">
        <v>165</v>
      </c>
      <c r="D194" s="65">
        <v>2</v>
      </c>
      <c r="E194" s="64">
        <v>0</v>
      </c>
    </row>
    <row r="195" spans="1:5" ht="14.45" customHeight="1">
      <c r="A195" s="49"/>
      <c r="B195" s="97"/>
      <c r="C195" s="62" t="s">
        <v>135</v>
      </c>
      <c r="D195" s="65">
        <v>13</v>
      </c>
      <c r="E195" s="64">
        <v>2E-3</v>
      </c>
    </row>
    <row r="196" spans="1:5" ht="14.45" customHeight="1">
      <c r="A196" s="49"/>
      <c r="B196" s="97"/>
      <c r="C196" s="62" t="s">
        <v>167</v>
      </c>
      <c r="D196" s="65">
        <v>2</v>
      </c>
      <c r="E196" s="64">
        <v>0</v>
      </c>
    </row>
    <row r="197" spans="1:5" ht="14.45" customHeight="1">
      <c r="A197" s="49"/>
      <c r="B197" s="97"/>
      <c r="C197" s="62" t="s">
        <v>136</v>
      </c>
      <c r="D197" s="65">
        <v>35</v>
      </c>
      <c r="E197" s="64">
        <v>6.0000000000000001E-3</v>
      </c>
    </row>
    <row r="198" spans="1:5" ht="14.45" customHeight="1">
      <c r="A198" s="49"/>
      <c r="B198" s="97"/>
      <c r="C198" s="62" t="s">
        <v>169</v>
      </c>
      <c r="D198" s="65">
        <v>1</v>
      </c>
      <c r="E198" s="64">
        <v>0</v>
      </c>
    </row>
    <row r="199" spans="1:5" ht="18" customHeight="1">
      <c r="A199" s="49"/>
      <c r="B199" s="97"/>
      <c r="C199" s="62" t="s">
        <v>138</v>
      </c>
      <c r="D199" s="65">
        <v>1</v>
      </c>
      <c r="E199" s="64">
        <v>0</v>
      </c>
    </row>
    <row r="200" spans="1:5" ht="14.45" customHeight="1">
      <c r="A200" s="49"/>
      <c r="B200" s="97"/>
      <c r="C200" s="62" t="s">
        <v>155</v>
      </c>
      <c r="D200" s="65">
        <v>6</v>
      </c>
      <c r="E200" s="64">
        <v>1E-3</v>
      </c>
    </row>
    <row r="201" spans="1:5" ht="14.45" customHeight="1">
      <c r="A201" s="49"/>
      <c r="B201" s="97"/>
      <c r="C201" s="62" t="s">
        <v>156</v>
      </c>
      <c r="D201" s="65">
        <v>6</v>
      </c>
      <c r="E201" s="64">
        <v>1E-3</v>
      </c>
    </row>
    <row r="202" spans="1:5" ht="14.45" customHeight="1">
      <c r="A202" s="49"/>
      <c r="B202" s="97"/>
      <c r="C202" s="62" t="s">
        <v>170</v>
      </c>
      <c r="D202" s="65">
        <v>1</v>
      </c>
      <c r="E202" s="64">
        <v>0</v>
      </c>
    </row>
    <row r="203" spans="1:5" ht="14.45" customHeight="1">
      <c r="A203" s="49"/>
      <c r="B203" s="97"/>
      <c r="C203" s="62" t="s">
        <v>186</v>
      </c>
      <c r="D203" s="65">
        <v>1</v>
      </c>
      <c r="E203" s="64">
        <v>0</v>
      </c>
    </row>
    <row r="204" spans="1:5" ht="14.45" customHeight="1">
      <c r="A204" s="49"/>
      <c r="B204" s="97"/>
      <c r="C204" s="62" t="s">
        <v>172</v>
      </c>
      <c r="D204" s="65">
        <v>1</v>
      </c>
      <c r="E204" s="64">
        <v>0</v>
      </c>
    </row>
    <row r="205" spans="1:5" ht="14.45" customHeight="1">
      <c r="A205" s="49"/>
      <c r="B205" s="97"/>
      <c r="C205" s="62" t="s">
        <v>180</v>
      </c>
      <c r="D205" s="65">
        <v>1</v>
      </c>
      <c r="E205" s="64">
        <v>0</v>
      </c>
    </row>
    <row r="206" spans="1:5" ht="14.45" customHeight="1">
      <c r="A206" s="49"/>
      <c r="B206" s="97"/>
      <c r="C206" s="62" t="s">
        <v>181</v>
      </c>
      <c r="D206" s="65">
        <v>1</v>
      </c>
      <c r="E206" s="64">
        <v>0</v>
      </c>
    </row>
    <row r="207" spans="1:5" ht="14.45" customHeight="1">
      <c r="A207" s="49"/>
      <c r="B207" s="97"/>
      <c r="C207" s="62" t="s">
        <v>143</v>
      </c>
      <c r="D207" s="65">
        <v>2</v>
      </c>
      <c r="E207" s="64">
        <v>0</v>
      </c>
    </row>
    <row r="208" spans="1:5" ht="14.45" customHeight="1">
      <c r="A208" s="49"/>
      <c r="B208" s="97"/>
      <c r="C208" s="62" t="s">
        <v>182</v>
      </c>
      <c r="D208" s="65">
        <v>5</v>
      </c>
      <c r="E208" s="64">
        <v>1E-3</v>
      </c>
    </row>
    <row r="209" spans="1:5" ht="14.45" customHeight="1">
      <c r="A209" s="49"/>
      <c r="B209" s="97"/>
      <c r="C209" s="62" t="s">
        <v>144</v>
      </c>
      <c r="D209" s="65">
        <v>31</v>
      </c>
      <c r="E209" s="64">
        <v>6.0000000000000001E-3</v>
      </c>
    </row>
    <row r="210" spans="1:5" ht="14.45" customHeight="1">
      <c r="A210" s="49"/>
      <c r="B210" s="97"/>
      <c r="C210" s="62" t="s">
        <v>145</v>
      </c>
      <c r="D210" s="65">
        <v>1</v>
      </c>
      <c r="E210" s="64">
        <v>0</v>
      </c>
    </row>
    <row r="211" spans="1:5" ht="14.45" customHeight="1">
      <c r="A211" s="49"/>
      <c r="B211" s="97"/>
      <c r="C211" s="62" t="s">
        <v>183</v>
      </c>
      <c r="D211" s="65">
        <v>5</v>
      </c>
      <c r="E211" s="64">
        <v>1E-3</v>
      </c>
    </row>
    <row r="212" spans="1:5" ht="14.45" customHeight="1">
      <c r="A212" s="49"/>
      <c r="B212" s="97"/>
      <c r="C212" s="62" t="s">
        <v>158</v>
      </c>
      <c r="D212" s="65">
        <v>1</v>
      </c>
      <c r="E212" s="64">
        <v>0</v>
      </c>
    </row>
    <row r="213" spans="1:5" ht="14.45" customHeight="1">
      <c r="A213" s="49"/>
      <c r="B213" s="97"/>
      <c r="C213" s="62" t="s">
        <v>151</v>
      </c>
      <c r="D213" s="65">
        <v>7</v>
      </c>
      <c r="E213" s="64">
        <v>1E-3</v>
      </c>
    </row>
    <row r="214" spans="1:5" ht="14.45" customHeight="1">
      <c r="A214" s="49"/>
      <c r="B214" s="97"/>
      <c r="C214" s="62" t="s">
        <v>184</v>
      </c>
      <c r="D214" s="65">
        <v>3</v>
      </c>
      <c r="E214" s="64">
        <v>1E-3</v>
      </c>
    </row>
    <row r="215" spans="1:5" ht="14.45" customHeight="1">
      <c r="A215" s="49"/>
      <c r="B215" s="97"/>
      <c r="C215" s="62" t="s">
        <v>153</v>
      </c>
      <c r="D215" s="65">
        <v>6</v>
      </c>
      <c r="E215" s="64">
        <v>1E-3</v>
      </c>
    </row>
    <row r="216" spans="1:5" ht="14.45" customHeight="1">
      <c r="A216" s="49"/>
      <c r="B216" s="97"/>
      <c r="C216" s="73" t="s">
        <v>288</v>
      </c>
      <c r="D216" s="74">
        <v>160</v>
      </c>
      <c r="E216" s="72">
        <v>2.9000000000000001E-2</v>
      </c>
    </row>
    <row r="217" spans="1:5" ht="14.45" customHeight="1">
      <c r="A217" s="49"/>
      <c r="B217" s="97" t="s">
        <v>72</v>
      </c>
      <c r="C217" s="62" t="s">
        <v>161</v>
      </c>
      <c r="D217" s="65">
        <v>1</v>
      </c>
      <c r="E217" s="64">
        <v>0</v>
      </c>
    </row>
    <row r="218" spans="1:5" ht="14.45" customHeight="1">
      <c r="A218" s="49"/>
      <c r="B218" s="97"/>
      <c r="C218" s="62" t="s">
        <v>131</v>
      </c>
      <c r="D218" s="65">
        <v>7</v>
      </c>
      <c r="E218" s="64">
        <v>1E-3</v>
      </c>
    </row>
    <row r="219" spans="1:5" ht="14.45" customHeight="1">
      <c r="A219" s="49"/>
      <c r="B219" s="97"/>
      <c r="C219" s="62" t="s">
        <v>163</v>
      </c>
      <c r="D219" s="65">
        <v>1</v>
      </c>
      <c r="E219" s="64">
        <v>0</v>
      </c>
    </row>
    <row r="220" spans="1:5" ht="14.45" customHeight="1">
      <c r="A220" s="49"/>
      <c r="B220" s="97"/>
      <c r="C220" s="62" t="s">
        <v>133</v>
      </c>
      <c r="D220" s="65">
        <v>1</v>
      </c>
      <c r="E220" s="64">
        <v>0</v>
      </c>
    </row>
    <row r="221" spans="1:5" ht="14.45" customHeight="1">
      <c r="A221" s="49"/>
      <c r="B221" s="97"/>
      <c r="C221" s="62" t="s">
        <v>134</v>
      </c>
      <c r="D221" s="65">
        <v>5</v>
      </c>
      <c r="E221" s="64">
        <v>1E-3</v>
      </c>
    </row>
    <row r="222" spans="1:5" ht="14.45" customHeight="1">
      <c r="A222" s="49"/>
      <c r="B222" s="97"/>
      <c r="C222" s="62" t="s">
        <v>146</v>
      </c>
      <c r="D222" s="65">
        <v>1</v>
      </c>
      <c r="E222" s="64">
        <v>0</v>
      </c>
    </row>
    <row r="223" spans="1:5" ht="14.45" customHeight="1">
      <c r="A223" s="49"/>
      <c r="B223" s="97"/>
      <c r="C223" s="62" t="s">
        <v>261</v>
      </c>
      <c r="D223" s="65">
        <v>1</v>
      </c>
      <c r="E223" s="64">
        <v>0</v>
      </c>
    </row>
    <row r="224" spans="1:5" ht="14.45" customHeight="1">
      <c r="A224" s="49"/>
      <c r="B224" s="97"/>
      <c r="C224" s="62" t="s">
        <v>135</v>
      </c>
      <c r="D224" s="65">
        <v>1</v>
      </c>
      <c r="E224" s="64">
        <v>0</v>
      </c>
    </row>
    <row r="225" spans="1:5" ht="17.100000000000001" customHeight="1">
      <c r="A225" s="49"/>
      <c r="B225" s="97"/>
      <c r="C225" s="62" t="s">
        <v>167</v>
      </c>
      <c r="D225" s="65">
        <v>1</v>
      </c>
      <c r="E225" s="64">
        <v>0</v>
      </c>
    </row>
    <row r="226" spans="1:5" ht="14.45" customHeight="1">
      <c r="A226" s="49"/>
      <c r="B226" s="97"/>
      <c r="C226" s="62" t="s">
        <v>168</v>
      </c>
      <c r="D226" s="65">
        <v>2</v>
      </c>
      <c r="E226" s="64">
        <v>0</v>
      </c>
    </row>
    <row r="227" spans="1:5" ht="14.45" customHeight="1">
      <c r="A227" s="49"/>
      <c r="B227" s="97"/>
      <c r="C227" s="62" t="s">
        <v>155</v>
      </c>
      <c r="D227" s="65">
        <v>2</v>
      </c>
      <c r="E227" s="64">
        <v>0</v>
      </c>
    </row>
    <row r="228" spans="1:5" ht="14.45" customHeight="1">
      <c r="A228" s="49"/>
      <c r="B228" s="97"/>
      <c r="C228" s="62" t="s">
        <v>174</v>
      </c>
      <c r="D228" s="65">
        <v>1</v>
      </c>
      <c r="E228" s="64">
        <v>0</v>
      </c>
    </row>
    <row r="229" spans="1:5" ht="14.45" customHeight="1">
      <c r="A229" s="49"/>
      <c r="B229" s="97"/>
      <c r="C229" s="62" t="s">
        <v>176</v>
      </c>
      <c r="D229" s="65">
        <v>1</v>
      </c>
      <c r="E229" s="64">
        <v>0</v>
      </c>
    </row>
    <row r="230" spans="1:5" ht="14.45" customHeight="1">
      <c r="A230" s="49"/>
      <c r="B230" s="97"/>
      <c r="C230" s="62" t="s">
        <v>140</v>
      </c>
      <c r="D230" s="65">
        <v>1</v>
      </c>
      <c r="E230" s="64">
        <v>0</v>
      </c>
    </row>
    <row r="231" spans="1:5" ht="14.45" customHeight="1">
      <c r="A231" s="49"/>
      <c r="B231" s="97"/>
      <c r="C231" s="62" t="s">
        <v>142</v>
      </c>
      <c r="D231" s="65">
        <v>1</v>
      </c>
      <c r="E231" s="64">
        <v>0</v>
      </c>
    </row>
    <row r="232" spans="1:5" ht="14.45" customHeight="1">
      <c r="A232" s="49"/>
      <c r="B232" s="97"/>
      <c r="C232" s="62" t="s">
        <v>143</v>
      </c>
      <c r="D232" s="65">
        <v>2</v>
      </c>
      <c r="E232" s="64">
        <v>0</v>
      </c>
    </row>
    <row r="233" spans="1:5" ht="14.45" customHeight="1">
      <c r="A233" s="49"/>
      <c r="B233" s="97"/>
      <c r="C233" s="62" t="s">
        <v>182</v>
      </c>
      <c r="D233" s="65">
        <v>1</v>
      </c>
      <c r="E233" s="64">
        <v>0</v>
      </c>
    </row>
    <row r="234" spans="1:5" ht="14.45" customHeight="1">
      <c r="A234" s="49"/>
      <c r="B234" s="97"/>
      <c r="C234" s="62" t="s">
        <v>144</v>
      </c>
      <c r="D234" s="65">
        <v>11</v>
      </c>
      <c r="E234" s="64">
        <v>2E-3</v>
      </c>
    </row>
    <row r="235" spans="1:5" ht="14.45" customHeight="1">
      <c r="A235" s="49"/>
      <c r="B235" s="97"/>
      <c r="C235" s="62" t="s">
        <v>145</v>
      </c>
      <c r="D235" s="65">
        <v>2</v>
      </c>
      <c r="E235" s="64">
        <v>0</v>
      </c>
    </row>
    <row r="236" spans="1:5" ht="14.45" customHeight="1">
      <c r="A236" s="49"/>
      <c r="B236" s="97"/>
      <c r="C236" s="62" t="s">
        <v>152</v>
      </c>
      <c r="D236" s="65">
        <v>1</v>
      </c>
      <c r="E236" s="64">
        <v>0</v>
      </c>
    </row>
    <row r="237" spans="1:5" ht="14.45" customHeight="1">
      <c r="A237" s="49"/>
      <c r="B237" s="97"/>
      <c r="C237" s="62" t="s">
        <v>153</v>
      </c>
      <c r="D237" s="65">
        <v>3</v>
      </c>
      <c r="E237" s="64">
        <v>1E-3</v>
      </c>
    </row>
    <row r="238" spans="1:5" ht="14.45" customHeight="1">
      <c r="A238" s="49"/>
      <c r="B238" s="97"/>
      <c r="C238" s="73" t="s">
        <v>288</v>
      </c>
      <c r="D238" s="74">
        <v>47</v>
      </c>
      <c r="E238" s="72">
        <v>8.0000000000000002E-3</v>
      </c>
    </row>
    <row r="239" spans="1:5" ht="14.45" customHeight="1">
      <c r="A239" s="49"/>
      <c r="B239" s="97" t="s">
        <v>69</v>
      </c>
      <c r="C239" s="62" t="s">
        <v>131</v>
      </c>
      <c r="D239" s="65">
        <v>1</v>
      </c>
      <c r="E239" s="64">
        <v>0</v>
      </c>
    </row>
    <row r="240" spans="1:5" ht="14.45" customHeight="1">
      <c r="A240" s="49"/>
      <c r="B240" s="97"/>
      <c r="C240" s="62" t="s">
        <v>162</v>
      </c>
      <c r="D240" s="65">
        <v>1</v>
      </c>
      <c r="E240" s="64">
        <v>0</v>
      </c>
    </row>
    <row r="241" spans="1:5" ht="14.45" customHeight="1">
      <c r="A241" s="49"/>
      <c r="B241" s="97"/>
      <c r="C241" s="62" t="s">
        <v>133</v>
      </c>
      <c r="D241" s="65">
        <v>5</v>
      </c>
      <c r="E241" s="64">
        <v>1E-3</v>
      </c>
    </row>
    <row r="242" spans="1:5" ht="14.45" customHeight="1">
      <c r="A242" s="49"/>
      <c r="B242" s="97"/>
      <c r="C242" s="62" t="s">
        <v>134</v>
      </c>
      <c r="D242" s="65">
        <v>4</v>
      </c>
      <c r="E242" s="64">
        <v>1E-3</v>
      </c>
    </row>
    <row r="243" spans="1:5" ht="14.45" customHeight="1">
      <c r="A243" s="49"/>
      <c r="B243" s="97"/>
      <c r="C243" s="62" t="s">
        <v>261</v>
      </c>
      <c r="D243" s="65">
        <v>2</v>
      </c>
      <c r="E243" s="64">
        <v>0</v>
      </c>
    </row>
    <row r="244" spans="1:5" ht="14.45" customHeight="1">
      <c r="A244" s="49"/>
      <c r="B244" s="97"/>
      <c r="C244" s="62" t="s">
        <v>135</v>
      </c>
      <c r="D244" s="65">
        <v>8</v>
      </c>
      <c r="E244" s="64">
        <v>1E-3</v>
      </c>
    </row>
    <row r="245" spans="1:5" ht="14.45" customHeight="1">
      <c r="A245" s="49"/>
      <c r="B245" s="97"/>
      <c r="C245" s="62" t="s">
        <v>136</v>
      </c>
      <c r="D245" s="65">
        <v>3</v>
      </c>
      <c r="E245" s="64">
        <v>1E-3</v>
      </c>
    </row>
    <row r="246" spans="1:5" ht="14.45" customHeight="1">
      <c r="A246" s="49"/>
      <c r="B246" s="97"/>
      <c r="C246" s="62" t="s">
        <v>138</v>
      </c>
      <c r="D246" s="65">
        <v>3</v>
      </c>
      <c r="E246" s="64">
        <v>1E-3</v>
      </c>
    </row>
    <row r="247" spans="1:5" ht="14.45" customHeight="1">
      <c r="A247" s="49"/>
      <c r="B247" s="97"/>
      <c r="C247" s="62" t="s">
        <v>170</v>
      </c>
      <c r="D247" s="65">
        <v>1</v>
      </c>
      <c r="E247" s="64">
        <v>0</v>
      </c>
    </row>
    <row r="248" spans="1:5" ht="14.45" customHeight="1">
      <c r="A248" s="49"/>
      <c r="B248" s="97"/>
      <c r="C248" s="62" t="s">
        <v>172</v>
      </c>
      <c r="D248" s="65">
        <v>1</v>
      </c>
      <c r="E248" s="64">
        <v>0</v>
      </c>
    </row>
    <row r="249" spans="1:5" ht="14.45" customHeight="1">
      <c r="A249" s="49"/>
      <c r="B249" s="97"/>
      <c r="C249" s="62" t="s">
        <v>175</v>
      </c>
      <c r="D249" s="65">
        <v>1</v>
      </c>
      <c r="E249" s="64">
        <v>0</v>
      </c>
    </row>
    <row r="250" spans="1:5" ht="14.45" customHeight="1">
      <c r="A250" s="49"/>
      <c r="B250" s="97"/>
      <c r="C250" s="62" t="s">
        <v>180</v>
      </c>
      <c r="D250" s="65">
        <v>3</v>
      </c>
      <c r="E250" s="64">
        <v>1E-3</v>
      </c>
    </row>
    <row r="251" spans="1:5" ht="14.45" customHeight="1">
      <c r="A251" s="49"/>
      <c r="B251" s="97"/>
      <c r="C251" s="62" t="s">
        <v>182</v>
      </c>
      <c r="D251" s="65">
        <v>4</v>
      </c>
      <c r="E251" s="64">
        <v>1E-3</v>
      </c>
    </row>
    <row r="252" spans="1:5" ht="14.45" customHeight="1">
      <c r="A252" s="49"/>
      <c r="B252" s="97"/>
      <c r="C252" s="62" t="s">
        <v>144</v>
      </c>
      <c r="D252" s="65">
        <v>9</v>
      </c>
      <c r="E252" s="64">
        <v>2E-3</v>
      </c>
    </row>
    <row r="253" spans="1:5" ht="20.45" customHeight="1">
      <c r="A253" s="49"/>
      <c r="B253" s="97"/>
      <c r="C253" s="62" t="s">
        <v>145</v>
      </c>
      <c r="D253" s="65">
        <v>1</v>
      </c>
      <c r="E253" s="64">
        <v>0</v>
      </c>
    </row>
    <row r="254" spans="1:5" ht="14.45" customHeight="1">
      <c r="A254" s="49"/>
      <c r="B254" s="97"/>
      <c r="C254" s="62" t="s">
        <v>150</v>
      </c>
      <c r="D254" s="65">
        <v>1</v>
      </c>
      <c r="E254" s="64">
        <v>0</v>
      </c>
    </row>
    <row r="255" spans="1:5" ht="14.45" customHeight="1">
      <c r="A255" s="49"/>
      <c r="B255" s="97"/>
      <c r="C255" s="62" t="s">
        <v>152</v>
      </c>
      <c r="D255" s="65">
        <v>1</v>
      </c>
      <c r="E255" s="64">
        <v>0</v>
      </c>
    </row>
    <row r="256" spans="1:5" ht="18.600000000000001" customHeight="1">
      <c r="A256" s="49"/>
      <c r="B256" s="97"/>
      <c r="C256" s="62" t="s">
        <v>153</v>
      </c>
      <c r="D256" s="65">
        <v>2</v>
      </c>
      <c r="E256" s="64">
        <v>0</v>
      </c>
    </row>
    <row r="257" spans="1:5" ht="14.45" customHeight="1">
      <c r="A257" s="49"/>
      <c r="B257" s="97"/>
      <c r="C257" s="73" t="s">
        <v>288</v>
      </c>
      <c r="D257" s="74">
        <v>51</v>
      </c>
      <c r="E257" s="72">
        <v>8.9999999999999993E-3</v>
      </c>
    </row>
    <row r="258" spans="1:5" ht="14.45" customHeight="1">
      <c r="A258" s="49"/>
      <c r="B258" s="97" t="s">
        <v>256</v>
      </c>
      <c r="C258" s="62" t="s">
        <v>133</v>
      </c>
      <c r="D258" s="65">
        <v>1</v>
      </c>
      <c r="E258" s="64">
        <v>0</v>
      </c>
    </row>
    <row r="259" spans="1:5" ht="14.45" customHeight="1">
      <c r="A259" s="49"/>
      <c r="B259" s="97"/>
      <c r="C259" s="62" t="s">
        <v>170</v>
      </c>
      <c r="D259" s="65">
        <v>1</v>
      </c>
      <c r="E259" s="64">
        <v>0</v>
      </c>
    </row>
    <row r="260" spans="1:5" ht="14.45" customHeight="1">
      <c r="A260" s="49"/>
      <c r="B260" s="97"/>
      <c r="C260" s="62" t="s">
        <v>142</v>
      </c>
      <c r="D260" s="65">
        <v>1</v>
      </c>
      <c r="E260" s="64">
        <v>0</v>
      </c>
    </row>
    <row r="261" spans="1:5" ht="14.45" customHeight="1">
      <c r="A261" s="49"/>
      <c r="B261" s="97"/>
      <c r="C261" s="62" t="s">
        <v>144</v>
      </c>
      <c r="D261" s="65">
        <v>2</v>
      </c>
      <c r="E261" s="64">
        <v>0</v>
      </c>
    </row>
    <row r="262" spans="1:5" ht="14.45" customHeight="1">
      <c r="A262" s="49"/>
      <c r="B262" s="97"/>
      <c r="C262" s="62" t="s">
        <v>145</v>
      </c>
      <c r="D262" s="65">
        <v>1</v>
      </c>
      <c r="E262" s="64">
        <v>0</v>
      </c>
    </row>
    <row r="263" spans="1:5" ht="14.45" customHeight="1">
      <c r="A263" s="49"/>
      <c r="B263" s="97"/>
      <c r="C263" s="73" t="s">
        <v>288</v>
      </c>
      <c r="D263" s="74">
        <v>6</v>
      </c>
      <c r="E263" s="72">
        <v>1E-3</v>
      </c>
    </row>
    <row r="264" spans="1:5" ht="14.45" customHeight="1">
      <c r="A264" s="49"/>
      <c r="B264" s="62" t="s">
        <v>47</v>
      </c>
      <c r="C264" s="62" t="s">
        <v>159</v>
      </c>
      <c r="D264" s="65">
        <v>1</v>
      </c>
      <c r="E264" s="64">
        <v>0</v>
      </c>
    </row>
    <row r="265" spans="1:5" ht="14.45" customHeight="1">
      <c r="A265" s="49"/>
      <c r="B265" s="62"/>
      <c r="C265" s="62" t="s">
        <v>161</v>
      </c>
      <c r="D265" s="65">
        <v>1</v>
      </c>
      <c r="E265" s="64">
        <v>0</v>
      </c>
    </row>
    <row r="266" spans="1:5" ht="14.45" customHeight="1">
      <c r="A266" s="49"/>
      <c r="B266" s="62"/>
      <c r="C266" s="62" t="s">
        <v>131</v>
      </c>
      <c r="D266" s="65">
        <v>11</v>
      </c>
      <c r="E266" s="64">
        <v>2E-3</v>
      </c>
    </row>
    <row r="267" spans="1:5" ht="14.45" customHeight="1">
      <c r="A267" s="49"/>
      <c r="B267" s="62"/>
      <c r="C267" s="62" t="s">
        <v>162</v>
      </c>
      <c r="D267" s="65">
        <v>1</v>
      </c>
      <c r="E267" s="64">
        <v>0</v>
      </c>
    </row>
    <row r="268" spans="1:5" ht="14.45" customHeight="1">
      <c r="A268" s="49"/>
      <c r="B268" s="62"/>
      <c r="C268" s="62" t="s">
        <v>133</v>
      </c>
      <c r="D268" s="65">
        <v>21</v>
      </c>
      <c r="E268" s="64">
        <v>4.0000000000000001E-3</v>
      </c>
    </row>
    <row r="269" spans="1:5" ht="14.45" customHeight="1">
      <c r="A269" s="49"/>
      <c r="B269" s="62"/>
      <c r="C269" s="62" t="s">
        <v>134</v>
      </c>
      <c r="D269" s="65">
        <v>21</v>
      </c>
      <c r="E269" s="64">
        <v>4.0000000000000001E-3</v>
      </c>
    </row>
    <row r="270" spans="1:5" ht="14.45" customHeight="1">
      <c r="A270" s="49"/>
      <c r="B270" s="62"/>
      <c r="C270" s="62" t="s">
        <v>146</v>
      </c>
      <c r="D270" s="65">
        <v>1</v>
      </c>
      <c r="E270" s="64">
        <v>0</v>
      </c>
    </row>
    <row r="271" spans="1:5" ht="14.45" customHeight="1">
      <c r="A271" s="49"/>
      <c r="B271" s="62"/>
      <c r="C271" s="62" t="s">
        <v>164</v>
      </c>
      <c r="D271" s="65">
        <v>1</v>
      </c>
      <c r="E271" s="64">
        <v>0</v>
      </c>
    </row>
    <row r="272" spans="1:5" ht="14.45" customHeight="1">
      <c r="A272" s="49"/>
      <c r="B272" s="62"/>
      <c r="C272" s="62" t="s">
        <v>188</v>
      </c>
      <c r="D272" s="65">
        <v>1</v>
      </c>
      <c r="E272" s="64">
        <v>0</v>
      </c>
    </row>
    <row r="273" spans="1:5" ht="14.45" customHeight="1">
      <c r="A273" s="49"/>
      <c r="B273" s="62"/>
      <c r="C273" s="62" t="s">
        <v>261</v>
      </c>
      <c r="D273" s="65">
        <v>2</v>
      </c>
      <c r="E273" s="64">
        <v>0</v>
      </c>
    </row>
    <row r="274" spans="1:5" ht="14.45" customHeight="1">
      <c r="A274" s="49"/>
      <c r="B274" s="62"/>
      <c r="C274" s="62" t="s">
        <v>165</v>
      </c>
      <c r="D274" s="65">
        <v>1</v>
      </c>
      <c r="E274" s="64">
        <v>0</v>
      </c>
    </row>
    <row r="275" spans="1:5" ht="14.45" customHeight="1">
      <c r="A275" s="49"/>
      <c r="B275" s="62"/>
      <c r="C275" s="62" t="s">
        <v>166</v>
      </c>
      <c r="D275" s="65">
        <v>1</v>
      </c>
      <c r="E275" s="64">
        <v>0</v>
      </c>
    </row>
    <row r="276" spans="1:5" ht="14.45" customHeight="1">
      <c r="A276" s="49"/>
      <c r="B276" s="62"/>
      <c r="C276" s="62" t="s">
        <v>147</v>
      </c>
      <c r="D276" s="65">
        <v>1</v>
      </c>
      <c r="E276" s="64">
        <v>0</v>
      </c>
    </row>
    <row r="277" spans="1:5" ht="14.45" customHeight="1">
      <c r="A277" s="49"/>
      <c r="B277" s="62"/>
      <c r="C277" s="62" t="s">
        <v>135</v>
      </c>
      <c r="D277" s="65">
        <v>23</v>
      </c>
      <c r="E277" s="64">
        <v>4.0000000000000001E-3</v>
      </c>
    </row>
    <row r="278" spans="1:5" ht="14.45" customHeight="1">
      <c r="A278" s="49"/>
      <c r="B278" s="62"/>
      <c r="C278" s="62" t="s">
        <v>167</v>
      </c>
      <c r="D278" s="65">
        <v>5</v>
      </c>
      <c r="E278" s="64">
        <v>1E-3</v>
      </c>
    </row>
    <row r="279" spans="1:5" ht="14.45" customHeight="1">
      <c r="A279" s="49"/>
      <c r="B279" s="62"/>
      <c r="C279" s="62" t="s">
        <v>136</v>
      </c>
      <c r="D279" s="65">
        <v>5</v>
      </c>
      <c r="E279" s="64">
        <v>1E-3</v>
      </c>
    </row>
    <row r="280" spans="1:5" ht="14.45" customHeight="1">
      <c r="A280" s="49"/>
      <c r="B280" s="62"/>
      <c r="C280" s="62" t="s">
        <v>168</v>
      </c>
      <c r="D280" s="65">
        <v>1</v>
      </c>
      <c r="E280" s="64">
        <v>0</v>
      </c>
    </row>
    <row r="281" spans="1:5" ht="14.45" customHeight="1">
      <c r="A281" s="49"/>
      <c r="B281" s="62"/>
      <c r="C281" s="62" t="s">
        <v>148</v>
      </c>
      <c r="D281" s="65">
        <v>1</v>
      </c>
      <c r="E281" s="64">
        <v>0</v>
      </c>
    </row>
    <row r="282" spans="1:5" ht="14.45" customHeight="1">
      <c r="A282" s="49"/>
      <c r="B282" s="62"/>
      <c r="C282" s="62" t="s">
        <v>149</v>
      </c>
      <c r="D282" s="65">
        <v>11</v>
      </c>
      <c r="E282" s="64">
        <v>2E-3</v>
      </c>
    </row>
    <row r="283" spans="1:5" ht="14.45" customHeight="1">
      <c r="A283" s="49"/>
      <c r="B283" s="62"/>
      <c r="C283" s="62" t="s">
        <v>138</v>
      </c>
      <c r="D283" s="65">
        <v>1</v>
      </c>
      <c r="E283" s="64">
        <v>0</v>
      </c>
    </row>
    <row r="284" spans="1:5" ht="14.45" customHeight="1">
      <c r="A284" s="49"/>
      <c r="B284" s="62"/>
      <c r="C284" s="62" t="s">
        <v>155</v>
      </c>
      <c r="D284" s="65">
        <v>14</v>
      </c>
      <c r="E284" s="64">
        <v>2E-3</v>
      </c>
    </row>
    <row r="285" spans="1:5" ht="14.45" customHeight="1">
      <c r="A285" s="49"/>
      <c r="B285" s="62"/>
      <c r="C285" s="62" t="s">
        <v>156</v>
      </c>
      <c r="D285" s="65">
        <v>4</v>
      </c>
      <c r="E285" s="64">
        <v>1E-3</v>
      </c>
    </row>
    <row r="286" spans="1:5" ht="14.45" customHeight="1">
      <c r="A286" s="49"/>
      <c r="B286" s="62"/>
      <c r="C286" s="62" t="s">
        <v>170</v>
      </c>
      <c r="D286" s="65">
        <v>2</v>
      </c>
      <c r="E286" s="64">
        <v>0</v>
      </c>
    </row>
    <row r="287" spans="1:5" ht="14.45" customHeight="1">
      <c r="A287" s="49"/>
      <c r="B287" s="62"/>
      <c r="C287" s="62" t="s">
        <v>171</v>
      </c>
      <c r="D287" s="65">
        <v>4</v>
      </c>
      <c r="E287" s="64">
        <v>1E-3</v>
      </c>
    </row>
    <row r="288" spans="1:5" ht="14.45" customHeight="1">
      <c r="A288" s="49"/>
      <c r="B288" s="62"/>
      <c r="C288" s="62" t="s">
        <v>186</v>
      </c>
      <c r="D288" s="65">
        <v>1</v>
      </c>
      <c r="E288" s="64">
        <v>0</v>
      </c>
    </row>
    <row r="289" spans="1:5" ht="14.45" customHeight="1">
      <c r="A289" s="49"/>
      <c r="B289" s="62"/>
      <c r="C289" s="62" t="s">
        <v>172</v>
      </c>
      <c r="D289" s="65">
        <v>1</v>
      </c>
      <c r="E289" s="64">
        <v>0</v>
      </c>
    </row>
    <row r="290" spans="1:5" ht="14.45" customHeight="1">
      <c r="A290" s="49"/>
      <c r="B290" s="62"/>
      <c r="C290" s="62" t="s">
        <v>139</v>
      </c>
      <c r="D290" s="65">
        <v>3</v>
      </c>
      <c r="E290" s="64">
        <v>1E-3</v>
      </c>
    </row>
    <row r="291" spans="1:5" ht="27.95" customHeight="1">
      <c r="A291" s="49"/>
      <c r="B291" s="62"/>
      <c r="C291" s="62" t="s">
        <v>176</v>
      </c>
      <c r="D291" s="65">
        <v>1</v>
      </c>
      <c r="E291" s="64">
        <v>0</v>
      </c>
    </row>
    <row r="292" spans="1:5" ht="14.45" customHeight="1">
      <c r="A292" s="49"/>
      <c r="B292" s="62"/>
      <c r="C292" s="62" t="s">
        <v>180</v>
      </c>
      <c r="D292" s="65">
        <v>4</v>
      </c>
      <c r="E292" s="64">
        <v>1E-3</v>
      </c>
    </row>
    <row r="293" spans="1:5" ht="14.45" customHeight="1">
      <c r="A293" s="49"/>
      <c r="B293" s="62"/>
      <c r="C293" s="62" t="s">
        <v>140</v>
      </c>
      <c r="D293" s="65">
        <v>10</v>
      </c>
      <c r="E293" s="64">
        <v>2E-3</v>
      </c>
    </row>
    <row r="294" spans="1:5" ht="14.45" customHeight="1">
      <c r="A294" s="49"/>
      <c r="B294" s="62"/>
      <c r="C294" s="62" t="s">
        <v>181</v>
      </c>
      <c r="D294" s="65">
        <v>6</v>
      </c>
      <c r="E294" s="64">
        <v>1E-3</v>
      </c>
    </row>
    <row r="295" spans="1:5" ht="14.45" customHeight="1">
      <c r="A295" s="49"/>
      <c r="B295" s="62"/>
      <c r="C295" s="62" t="s">
        <v>141</v>
      </c>
      <c r="D295" s="65">
        <v>4</v>
      </c>
      <c r="E295" s="64">
        <v>1E-3</v>
      </c>
    </row>
    <row r="296" spans="1:5" ht="14.45" customHeight="1">
      <c r="A296" s="49"/>
      <c r="B296" s="62"/>
      <c r="C296" s="62" t="s">
        <v>142</v>
      </c>
      <c r="D296" s="65">
        <v>4</v>
      </c>
      <c r="E296" s="64">
        <v>1E-3</v>
      </c>
    </row>
    <row r="297" spans="1:5" ht="14.45" customHeight="1">
      <c r="A297" s="49"/>
      <c r="B297" s="62"/>
      <c r="C297" s="62" t="s">
        <v>143</v>
      </c>
      <c r="D297" s="65">
        <v>1</v>
      </c>
      <c r="E297" s="64">
        <v>0</v>
      </c>
    </row>
    <row r="298" spans="1:5" ht="14.45" customHeight="1">
      <c r="A298" s="49"/>
      <c r="B298" s="62"/>
      <c r="C298" s="62" t="s">
        <v>182</v>
      </c>
      <c r="D298" s="65">
        <v>1</v>
      </c>
      <c r="E298" s="64">
        <v>0</v>
      </c>
    </row>
    <row r="299" spans="1:5" ht="14.45" customHeight="1">
      <c r="A299" s="49"/>
      <c r="B299" s="62"/>
      <c r="C299" s="62" t="s">
        <v>144</v>
      </c>
      <c r="D299" s="65">
        <v>49</v>
      </c>
      <c r="E299" s="64">
        <v>8.9999999999999993E-3</v>
      </c>
    </row>
    <row r="300" spans="1:5" ht="14.45" customHeight="1">
      <c r="A300" s="49"/>
      <c r="B300" s="62"/>
      <c r="C300" s="62" t="s">
        <v>145</v>
      </c>
      <c r="D300" s="65">
        <v>2</v>
      </c>
      <c r="E300" s="64">
        <v>0</v>
      </c>
    </row>
    <row r="301" spans="1:5" ht="14.45" customHeight="1">
      <c r="A301" s="49"/>
      <c r="B301" s="62"/>
      <c r="C301" s="62" t="s">
        <v>183</v>
      </c>
      <c r="D301" s="65">
        <v>4</v>
      </c>
      <c r="E301" s="64">
        <v>1E-3</v>
      </c>
    </row>
    <row r="302" spans="1:5" ht="14.45" customHeight="1">
      <c r="A302" s="49"/>
      <c r="B302" s="62"/>
      <c r="C302" s="62" t="s">
        <v>158</v>
      </c>
      <c r="D302" s="65">
        <v>2</v>
      </c>
      <c r="E302" s="64">
        <v>0</v>
      </c>
    </row>
    <row r="303" spans="1:5" ht="14.45" customHeight="1">
      <c r="A303" s="49"/>
      <c r="B303" s="62"/>
      <c r="C303" s="62" t="s">
        <v>150</v>
      </c>
      <c r="D303" s="65">
        <v>1</v>
      </c>
      <c r="E303" s="64">
        <v>0</v>
      </c>
    </row>
    <row r="304" spans="1:5" ht="14.45" customHeight="1">
      <c r="A304" s="49"/>
      <c r="B304" s="62"/>
      <c r="C304" s="62" t="s">
        <v>152</v>
      </c>
      <c r="D304" s="65">
        <v>2</v>
      </c>
      <c r="E304" s="64">
        <v>0</v>
      </c>
    </row>
    <row r="305" spans="1:5" ht="14.45" customHeight="1">
      <c r="A305" s="49"/>
      <c r="B305" s="62"/>
      <c r="C305" s="62" t="s">
        <v>184</v>
      </c>
      <c r="D305" s="65">
        <v>1</v>
      </c>
      <c r="E305" s="64">
        <v>0</v>
      </c>
    </row>
    <row r="306" spans="1:5" ht="14.45" customHeight="1">
      <c r="A306" s="49"/>
      <c r="B306" s="62"/>
      <c r="C306" s="62" t="s">
        <v>153</v>
      </c>
      <c r="D306" s="65">
        <v>6</v>
      </c>
      <c r="E306" s="64">
        <v>1E-3</v>
      </c>
    </row>
    <row r="307" spans="1:5" ht="14.45" customHeight="1">
      <c r="A307" s="49"/>
      <c r="B307" s="62"/>
      <c r="C307" s="73" t="s">
        <v>286</v>
      </c>
      <c r="D307" s="74">
        <v>238</v>
      </c>
      <c r="E307" s="72">
        <v>4.2000000000000003E-2</v>
      </c>
    </row>
    <row r="308" spans="1:5" ht="27.95" customHeight="1">
      <c r="A308" s="49"/>
      <c r="B308" s="97" t="s">
        <v>73</v>
      </c>
      <c r="C308" s="62" t="s">
        <v>131</v>
      </c>
      <c r="D308" s="65">
        <v>2</v>
      </c>
      <c r="E308" s="64">
        <v>0</v>
      </c>
    </row>
    <row r="309" spans="1:5" ht="14.45" customHeight="1">
      <c r="A309" s="49"/>
      <c r="B309" s="97"/>
      <c r="C309" s="62" t="s">
        <v>133</v>
      </c>
      <c r="D309" s="65">
        <v>4</v>
      </c>
      <c r="E309" s="64">
        <v>1E-3</v>
      </c>
    </row>
    <row r="310" spans="1:5" ht="14.45" customHeight="1">
      <c r="A310" s="49"/>
      <c r="B310" s="97"/>
      <c r="C310" s="62" t="s">
        <v>134</v>
      </c>
      <c r="D310" s="65">
        <v>1</v>
      </c>
      <c r="E310" s="64">
        <v>0</v>
      </c>
    </row>
    <row r="311" spans="1:5" ht="14.45" customHeight="1">
      <c r="A311" s="49"/>
      <c r="B311" s="97"/>
      <c r="C311" s="62" t="s">
        <v>155</v>
      </c>
      <c r="D311" s="65">
        <v>1</v>
      </c>
      <c r="E311" s="64">
        <v>0</v>
      </c>
    </row>
    <row r="312" spans="1:5" ht="27.95" customHeight="1">
      <c r="A312" s="49"/>
      <c r="B312" s="97"/>
      <c r="C312" s="62" t="s">
        <v>177</v>
      </c>
      <c r="D312" s="65">
        <v>1</v>
      </c>
      <c r="E312" s="64">
        <v>0</v>
      </c>
    </row>
    <row r="313" spans="1:5" ht="14.45" customHeight="1">
      <c r="A313" s="49"/>
      <c r="B313" s="97"/>
      <c r="C313" s="62" t="s">
        <v>180</v>
      </c>
      <c r="D313" s="65">
        <v>4</v>
      </c>
      <c r="E313" s="64">
        <v>1E-3</v>
      </c>
    </row>
    <row r="314" spans="1:5" ht="14.45" customHeight="1">
      <c r="A314" s="49"/>
      <c r="B314" s="97"/>
      <c r="C314" s="62" t="s">
        <v>141</v>
      </c>
      <c r="D314" s="65">
        <v>1</v>
      </c>
      <c r="E314" s="64">
        <v>0</v>
      </c>
    </row>
    <row r="315" spans="1:5" ht="14.45" customHeight="1">
      <c r="A315" s="49"/>
      <c r="B315" s="97"/>
      <c r="C315" s="62" t="s">
        <v>143</v>
      </c>
      <c r="D315" s="65">
        <v>2</v>
      </c>
      <c r="E315" s="64">
        <v>0</v>
      </c>
    </row>
    <row r="316" spans="1:5" ht="14.45" customHeight="1">
      <c r="A316" s="49"/>
      <c r="B316" s="97"/>
      <c r="C316" s="62" t="s">
        <v>144</v>
      </c>
      <c r="D316" s="65">
        <v>7</v>
      </c>
      <c r="E316" s="64">
        <v>1E-3</v>
      </c>
    </row>
    <row r="317" spans="1:5" ht="14.45" customHeight="1">
      <c r="A317" s="49"/>
      <c r="B317" s="97"/>
      <c r="C317" s="62" t="s">
        <v>145</v>
      </c>
      <c r="D317" s="65">
        <v>2</v>
      </c>
      <c r="E317" s="64">
        <v>0</v>
      </c>
    </row>
    <row r="318" spans="1:5" ht="14.45" customHeight="1">
      <c r="A318" s="49"/>
      <c r="B318" s="97"/>
      <c r="C318" s="62" t="s">
        <v>150</v>
      </c>
      <c r="D318" s="65">
        <v>2</v>
      </c>
      <c r="E318" s="64">
        <v>0</v>
      </c>
    </row>
    <row r="319" spans="1:5" ht="14.45" customHeight="1">
      <c r="A319" s="49"/>
      <c r="B319" s="97"/>
      <c r="C319" s="62" t="s">
        <v>184</v>
      </c>
      <c r="D319" s="65">
        <v>1</v>
      </c>
      <c r="E319" s="64">
        <v>0</v>
      </c>
    </row>
    <row r="320" spans="1:5" ht="14.45" customHeight="1">
      <c r="A320" s="49"/>
      <c r="B320" s="97"/>
      <c r="C320" s="62" t="s">
        <v>153</v>
      </c>
      <c r="D320" s="65">
        <v>2</v>
      </c>
      <c r="E320" s="64">
        <v>0</v>
      </c>
    </row>
    <row r="321" spans="1:5" ht="14.45" customHeight="1">
      <c r="A321" s="49"/>
      <c r="B321" s="97"/>
      <c r="C321" s="62" t="s">
        <v>154</v>
      </c>
      <c r="D321" s="65">
        <v>4</v>
      </c>
      <c r="E321" s="64">
        <v>1E-3</v>
      </c>
    </row>
    <row r="322" spans="1:5" ht="14.45" customHeight="1">
      <c r="A322" s="49"/>
      <c r="B322" s="97"/>
      <c r="C322" s="73" t="s">
        <v>286</v>
      </c>
      <c r="D322" s="74">
        <v>34</v>
      </c>
      <c r="E322" s="72">
        <v>6.0000000000000001E-3</v>
      </c>
    </row>
    <row r="323" spans="1:5" ht="14.45" customHeight="1">
      <c r="A323" s="49"/>
      <c r="B323" s="97" t="s">
        <v>46</v>
      </c>
      <c r="C323" s="62" t="s">
        <v>160</v>
      </c>
      <c r="D323" s="65">
        <v>2</v>
      </c>
      <c r="E323" s="64">
        <v>0</v>
      </c>
    </row>
    <row r="324" spans="1:5" ht="14.45" customHeight="1">
      <c r="A324" s="49"/>
      <c r="B324" s="97"/>
      <c r="C324" s="62" t="s">
        <v>131</v>
      </c>
      <c r="D324" s="65">
        <v>18</v>
      </c>
      <c r="E324" s="64">
        <v>3.0000000000000001E-3</v>
      </c>
    </row>
    <row r="325" spans="1:5" ht="14.45" customHeight="1">
      <c r="A325" s="49"/>
      <c r="B325" s="97"/>
      <c r="C325" s="62" t="s">
        <v>132</v>
      </c>
      <c r="D325" s="65">
        <v>1</v>
      </c>
      <c r="E325" s="64">
        <v>0</v>
      </c>
    </row>
    <row r="326" spans="1:5" ht="14.45" customHeight="1">
      <c r="A326" s="49"/>
      <c r="B326" s="97"/>
      <c r="C326" s="62" t="s">
        <v>162</v>
      </c>
      <c r="D326" s="65">
        <v>3</v>
      </c>
      <c r="E326" s="64">
        <v>1E-3</v>
      </c>
    </row>
    <row r="327" spans="1:5" ht="14.45" customHeight="1">
      <c r="A327" s="49"/>
      <c r="B327" s="97"/>
      <c r="C327" s="62" t="s">
        <v>133</v>
      </c>
      <c r="D327" s="65">
        <v>19</v>
      </c>
      <c r="E327" s="64">
        <v>3.0000000000000001E-3</v>
      </c>
    </row>
    <row r="328" spans="1:5" ht="14.45" customHeight="1">
      <c r="A328" s="49"/>
      <c r="B328" s="97"/>
      <c r="C328" s="62" t="s">
        <v>134</v>
      </c>
      <c r="D328" s="65">
        <v>28</v>
      </c>
      <c r="E328" s="64">
        <v>5.0000000000000001E-3</v>
      </c>
    </row>
    <row r="329" spans="1:5" ht="14.45" customHeight="1">
      <c r="A329" s="49"/>
      <c r="B329" s="97"/>
      <c r="C329" s="62" t="s">
        <v>146</v>
      </c>
      <c r="D329" s="65">
        <v>2</v>
      </c>
      <c r="E329" s="64">
        <v>0</v>
      </c>
    </row>
    <row r="330" spans="1:5" ht="14.45" customHeight="1">
      <c r="A330" s="49"/>
      <c r="B330" s="97"/>
      <c r="C330" s="62" t="s">
        <v>165</v>
      </c>
      <c r="D330" s="65">
        <v>2</v>
      </c>
      <c r="E330" s="64">
        <v>0</v>
      </c>
    </row>
    <row r="331" spans="1:5" ht="14.45" customHeight="1">
      <c r="A331" s="49"/>
      <c r="B331" s="97"/>
      <c r="C331" s="62" t="s">
        <v>147</v>
      </c>
      <c r="D331" s="65">
        <v>2</v>
      </c>
      <c r="E331" s="64">
        <v>0</v>
      </c>
    </row>
    <row r="332" spans="1:5" ht="14.45" customHeight="1">
      <c r="A332" s="49"/>
      <c r="B332" s="97"/>
      <c r="C332" s="62" t="s">
        <v>135</v>
      </c>
      <c r="D332" s="65">
        <v>5</v>
      </c>
      <c r="E332" s="64">
        <v>1E-3</v>
      </c>
    </row>
    <row r="333" spans="1:5" ht="14.45" customHeight="1">
      <c r="A333" s="49"/>
      <c r="B333" s="97"/>
      <c r="C333" s="62" t="s">
        <v>136</v>
      </c>
      <c r="D333" s="65">
        <v>5</v>
      </c>
      <c r="E333" s="64">
        <v>1E-3</v>
      </c>
    </row>
    <row r="334" spans="1:5" ht="14.45" customHeight="1">
      <c r="A334" s="49"/>
      <c r="B334" s="97"/>
      <c r="C334" s="62" t="s">
        <v>168</v>
      </c>
      <c r="D334" s="65">
        <v>1</v>
      </c>
      <c r="E334" s="64">
        <v>0</v>
      </c>
    </row>
    <row r="335" spans="1:5" ht="14.45" customHeight="1">
      <c r="A335" s="49"/>
      <c r="B335" s="97"/>
      <c r="C335" s="62" t="s">
        <v>137</v>
      </c>
      <c r="D335" s="65">
        <v>2</v>
      </c>
      <c r="E335" s="64">
        <v>0</v>
      </c>
    </row>
    <row r="336" spans="1:5" ht="14.45" customHeight="1">
      <c r="A336" s="49"/>
      <c r="B336" s="97"/>
      <c r="C336" s="62" t="s">
        <v>148</v>
      </c>
      <c r="D336" s="65">
        <v>1</v>
      </c>
      <c r="E336" s="64">
        <v>0</v>
      </c>
    </row>
    <row r="337" spans="1:5" ht="14.45" customHeight="1">
      <c r="A337" s="49"/>
      <c r="B337" s="97"/>
      <c r="C337" s="62" t="s">
        <v>149</v>
      </c>
      <c r="D337" s="65">
        <v>1</v>
      </c>
      <c r="E337" s="64">
        <v>0</v>
      </c>
    </row>
    <row r="338" spans="1:5" ht="14.45" customHeight="1">
      <c r="A338" s="49"/>
      <c r="B338" s="97"/>
      <c r="C338" s="62" t="s">
        <v>138</v>
      </c>
      <c r="D338" s="65">
        <v>3</v>
      </c>
      <c r="E338" s="64">
        <v>1E-3</v>
      </c>
    </row>
    <row r="339" spans="1:5" ht="14.45" customHeight="1">
      <c r="A339" s="49"/>
      <c r="B339" s="97"/>
      <c r="C339" s="62" t="s">
        <v>155</v>
      </c>
      <c r="D339" s="65">
        <v>5</v>
      </c>
      <c r="E339" s="64">
        <v>1E-3</v>
      </c>
    </row>
    <row r="340" spans="1:5" ht="14.45" customHeight="1">
      <c r="A340" s="49"/>
      <c r="B340" s="97"/>
      <c r="C340" s="62" t="s">
        <v>156</v>
      </c>
      <c r="D340" s="65">
        <v>2</v>
      </c>
      <c r="E340" s="64">
        <v>0</v>
      </c>
    </row>
    <row r="341" spans="1:5" ht="14.45" customHeight="1">
      <c r="A341" s="49"/>
      <c r="B341" s="97"/>
      <c r="C341" s="62" t="s">
        <v>170</v>
      </c>
      <c r="D341" s="65">
        <v>1</v>
      </c>
      <c r="E341" s="64">
        <v>0</v>
      </c>
    </row>
    <row r="342" spans="1:5" ht="14.45" customHeight="1">
      <c r="A342" s="49"/>
      <c r="B342" s="97"/>
      <c r="C342" s="62" t="s">
        <v>171</v>
      </c>
      <c r="D342" s="65">
        <v>2</v>
      </c>
      <c r="E342" s="64">
        <v>0</v>
      </c>
    </row>
    <row r="343" spans="1:5" ht="14.45" customHeight="1">
      <c r="A343" s="49"/>
      <c r="B343" s="97"/>
      <c r="C343" s="62" t="s">
        <v>139</v>
      </c>
      <c r="D343" s="65">
        <v>5</v>
      </c>
      <c r="E343" s="64">
        <v>1E-3</v>
      </c>
    </row>
    <row r="344" spans="1:5" ht="14.45" customHeight="1">
      <c r="A344" s="49"/>
      <c r="B344" s="97"/>
      <c r="C344" s="62" t="s">
        <v>175</v>
      </c>
      <c r="D344" s="65">
        <v>1</v>
      </c>
      <c r="E344" s="64">
        <v>0</v>
      </c>
    </row>
    <row r="345" spans="1:5" ht="14.45" customHeight="1">
      <c r="A345" s="49"/>
      <c r="B345" s="97"/>
      <c r="C345" s="62" t="s">
        <v>178</v>
      </c>
      <c r="D345" s="65">
        <v>8</v>
      </c>
      <c r="E345" s="64">
        <v>1E-3</v>
      </c>
    </row>
    <row r="346" spans="1:5" ht="14.45" customHeight="1">
      <c r="A346" s="49"/>
      <c r="B346" s="97"/>
      <c r="C346" s="62" t="s">
        <v>180</v>
      </c>
      <c r="D346" s="65">
        <v>3</v>
      </c>
      <c r="E346" s="64">
        <v>1E-3</v>
      </c>
    </row>
    <row r="347" spans="1:5" ht="14.45" customHeight="1">
      <c r="A347" s="49"/>
      <c r="B347" s="97"/>
      <c r="C347" s="62" t="s">
        <v>140</v>
      </c>
      <c r="D347" s="65">
        <v>27</v>
      </c>
      <c r="E347" s="64">
        <v>5.0000000000000001E-3</v>
      </c>
    </row>
    <row r="348" spans="1:5" ht="14.45" customHeight="1">
      <c r="A348" s="49"/>
      <c r="B348" s="97"/>
      <c r="C348" s="62" t="s">
        <v>181</v>
      </c>
      <c r="D348" s="65">
        <v>1</v>
      </c>
      <c r="E348" s="64">
        <v>0</v>
      </c>
    </row>
    <row r="349" spans="1:5" ht="14.45" customHeight="1">
      <c r="A349" s="49"/>
      <c r="B349" s="97"/>
      <c r="C349" s="62" t="s">
        <v>142</v>
      </c>
      <c r="D349" s="65">
        <v>8</v>
      </c>
      <c r="E349" s="64">
        <v>1E-3</v>
      </c>
    </row>
    <row r="350" spans="1:5" ht="14.45" customHeight="1">
      <c r="A350" s="49"/>
      <c r="B350" s="97"/>
      <c r="C350" s="62" t="s">
        <v>143</v>
      </c>
      <c r="D350" s="65">
        <v>4</v>
      </c>
      <c r="E350" s="64">
        <v>1E-3</v>
      </c>
    </row>
    <row r="351" spans="1:5" ht="14.45" customHeight="1">
      <c r="A351" s="49"/>
      <c r="B351" s="97"/>
      <c r="C351" s="62" t="s">
        <v>182</v>
      </c>
      <c r="D351" s="65">
        <v>2</v>
      </c>
      <c r="E351" s="64">
        <v>0</v>
      </c>
    </row>
    <row r="352" spans="1:5" ht="14.45" customHeight="1">
      <c r="A352" s="49"/>
      <c r="B352" s="97"/>
      <c r="C352" s="62" t="s">
        <v>144</v>
      </c>
      <c r="D352" s="65">
        <v>57</v>
      </c>
      <c r="E352" s="64">
        <v>0.01</v>
      </c>
    </row>
    <row r="353" spans="1:5" ht="14.45" customHeight="1">
      <c r="A353" s="49"/>
      <c r="B353" s="97"/>
      <c r="C353" s="62" t="s">
        <v>145</v>
      </c>
      <c r="D353" s="65">
        <v>54</v>
      </c>
      <c r="E353" s="64">
        <v>0.01</v>
      </c>
    </row>
    <row r="354" spans="1:5" ht="14.45" customHeight="1">
      <c r="A354" s="49"/>
      <c r="B354" s="97"/>
      <c r="C354" s="62" t="s">
        <v>157</v>
      </c>
      <c r="D354" s="65">
        <v>1</v>
      </c>
      <c r="E354" s="64">
        <v>0</v>
      </c>
    </row>
    <row r="355" spans="1:5" ht="14.45" customHeight="1">
      <c r="A355" s="49"/>
      <c r="B355" s="97"/>
      <c r="C355" s="62" t="s">
        <v>158</v>
      </c>
      <c r="D355" s="65">
        <v>1</v>
      </c>
      <c r="E355" s="64">
        <v>0</v>
      </c>
    </row>
    <row r="356" spans="1:5" ht="14.45" customHeight="1">
      <c r="A356" s="49"/>
      <c r="B356" s="97"/>
      <c r="C356" s="62" t="s">
        <v>150</v>
      </c>
      <c r="D356" s="65">
        <v>2</v>
      </c>
      <c r="E356" s="64">
        <v>0</v>
      </c>
    </row>
    <row r="357" spans="1:5" ht="14.45" customHeight="1">
      <c r="A357" s="49"/>
      <c r="B357" s="97"/>
      <c r="C357" s="62" t="s">
        <v>151</v>
      </c>
      <c r="D357" s="65">
        <v>5</v>
      </c>
      <c r="E357" s="64">
        <v>1E-3</v>
      </c>
    </row>
    <row r="358" spans="1:5" ht="14.45" customHeight="1">
      <c r="A358" s="49"/>
      <c r="B358" s="97"/>
      <c r="C358" s="62" t="s">
        <v>184</v>
      </c>
      <c r="D358" s="65">
        <v>1</v>
      </c>
      <c r="E358" s="64">
        <v>0</v>
      </c>
    </row>
    <row r="359" spans="1:5" ht="14.45" customHeight="1">
      <c r="A359" s="49"/>
      <c r="B359" s="97"/>
      <c r="C359" s="62" t="s">
        <v>153</v>
      </c>
      <c r="D359" s="65">
        <v>6</v>
      </c>
      <c r="E359" s="64">
        <v>1E-3</v>
      </c>
    </row>
    <row r="360" spans="1:5" ht="14.45" customHeight="1">
      <c r="A360" s="49"/>
      <c r="B360" s="97"/>
      <c r="C360" s="73" t="s">
        <v>288</v>
      </c>
      <c r="D360" s="74">
        <v>291</v>
      </c>
      <c r="E360" s="72">
        <v>5.1999999999999998E-2</v>
      </c>
    </row>
    <row r="361" spans="1:5" ht="14.45" customHeight="1">
      <c r="A361" s="49"/>
      <c r="B361" s="97" t="s">
        <v>55</v>
      </c>
      <c r="C361" s="62" t="s">
        <v>159</v>
      </c>
      <c r="D361" s="65">
        <v>1</v>
      </c>
      <c r="E361" s="64">
        <v>0</v>
      </c>
    </row>
    <row r="362" spans="1:5" ht="14.45" customHeight="1">
      <c r="A362" s="49"/>
      <c r="B362" s="97"/>
      <c r="C362" s="62" t="s">
        <v>160</v>
      </c>
      <c r="D362" s="65">
        <v>1</v>
      </c>
      <c r="E362" s="64">
        <v>0</v>
      </c>
    </row>
    <row r="363" spans="1:5" ht="14.45" customHeight="1">
      <c r="A363" s="49"/>
      <c r="B363" s="97"/>
      <c r="C363" s="62" t="s">
        <v>131</v>
      </c>
      <c r="D363" s="65">
        <v>12</v>
      </c>
      <c r="E363" s="64">
        <v>2E-3</v>
      </c>
    </row>
    <row r="364" spans="1:5" ht="14.45" customHeight="1">
      <c r="A364" s="49"/>
      <c r="B364" s="97"/>
      <c r="C364" s="62" t="s">
        <v>132</v>
      </c>
      <c r="D364" s="65">
        <v>1</v>
      </c>
      <c r="E364" s="64">
        <v>0</v>
      </c>
    </row>
    <row r="365" spans="1:5" ht="14.45" customHeight="1">
      <c r="A365" s="49"/>
      <c r="B365" s="97"/>
      <c r="C365" s="62" t="s">
        <v>162</v>
      </c>
      <c r="D365" s="65">
        <v>1</v>
      </c>
      <c r="E365" s="64">
        <v>0</v>
      </c>
    </row>
    <row r="366" spans="1:5" ht="14.45" customHeight="1">
      <c r="A366" s="49"/>
      <c r="B366" s="97"/>
      <c r="C366" s="62" t="s">
        <v>133</v>
      </c>
      <c r="D366" s="65">
        <v>3</v>
      </c>
      <c r="E366" s="64">
        <v>1E-3</v>
      </c>
    </row>
    <row r="367" spans="1:5" ht="14.45" customHeight="1">
      <c r="A367" s="49"/>
      <c r="B367" s="97"/>
      <c r="C367" s="62" t="s">
        <v>134</v>
      </c>
      <c r="D367" s="65">
        <v>1</v>
      </c>
      <c r="E367" s="64">
        <v>0</v>
      </c>
    </row>
    <row r="368" spans="1:5" ht="14.45" customHeight="1">
      <c r="A368" s="49"/>
      <c r="B368" s="97"/>
      <c r="C368" s="62" t="s">
        <v>261</v>
      </c>
      <c r="D368" s="65">
        <v>1</v>
      </c>
      <c r="E368" s="64">
        <v>0</v>
      </c>
    </row>
    <row r="369" spans="1:5" ht="14.45" customHeight="1">
      <c r="A369" s="49"/>
      <c r="B369" s="97"/>
      <c r="C369" s="62" t="s">
        <v>165</v>
      </c>
      <c r="D369" s="65">
        <v>2</v>
      </c>
      <c r="E369" s="64">
        <v>0</v>
      </c>
    </row>
    <row r="370" spans="1:5" ht="14.45" customHeight="1">
      <c r="A370" s="49"/>
      <c r="B370" s="97"/>
      <c r="C370" s="62" t="s">
        <v>166</v>
      </c>
      <c r="D370" s="65">
        <v>1</v>
      </c>
      <c r="E370" s="64">
        <v>0</v>
      </c>
    </row>
    <row r="371" spans="1:5" ht="14.45" customHeight="1">
      <c r="A371" s="49"/>
      <c r="B371" s="97"/>
      <c r="C371" s="62" t="s">
        <v>147</v>
      </c>
      <c r="D371" s="65">
        <v>2</v>
      </c>
      <c r="E371" s="64">
        <v>0</v>
      </c>
    </row>
    <row r="372" spans="1:5" ht="14.45" customHeight="1">
      <c r="A372" s="49"/>
      <c r="B372" s="97"/>
      <c r="C372" s="62" t="s">
        <v>135</v>
      </c>
      <c r="D372" s="65">
        <v>3</v>
      </c>
      <c r="E372" s="64">
        <v>1E-3</v>
      </c>
    </row>
    <row r="373" spans="1:5" ht="14.45" customHeight="1">
      <c r="A373" s="49"/>
      <c r="B373" s="97"/>
      <c r="C373" s="62" t="s">
        <v>136</v>
      </c>
      <c r="D373" s="65">
        <v>12</v>
      </c>
      <c r="E373" s="64">
        <v>2E-3</v>
      </c>
    </row>
    <row r="374" spans="1:5" ht="14.45" customHeight="1">
      <c r="A374" s="49"/>
      <c r="B374" s="97"/>
      <c r="C374" s="62" t="s">
        <v>137</v>
      </c>
      <c r="D374" s="65">
        <v>2</v>
      </c>
      <c r="E374" s="64">
        <v>0</v>
      </c>
    </row>
    <row r="375" spans="1:5" ht="14.45" customHeight="1">
      <c r="A375" s="49"/>
      <c r="B375" s="97"/>
      <c r="C375" s="62" t="s">
        <v>155</v>
      </c>
      <c r="D375" s="65">
        <v>15</v>
      </c>
      <c r="E375" s="64">
        <v>3.0000000000000001E-3</v>
      </c>
    </row>
    <row r="376" spans="1:5" ht="14.45" customHeight="1">
      <c r="A376" s="49"/>
      <c r="B376" s="97"/>
      <c r="C376" s="62" t="s">
        <v>156</v>
      </c>
      <c r="D376" s="65">
        <v>5</v>
      </c>
      <c r="E376" s="64">
        <v>1E-3</v>
      </c>
    </row>
    <row r="377" spans="1:5" ht="14.45" customHeight="1">
      <c r="A377" s="49"/>
      <c r="B377" s="97"/>
      <c r="C377" s="62" t="s">
        <v>170</v>
      </c>
      <c r="D377" s="65">
        <v>1</v>
      </c>
      <c r="E377" s="64">
        <v>0</v>
      </c>
    </row>
    <row r="378" spans="1:5" ht="14.45" customHeight="1">
      <c r="A378" s="49"/>
      <c r="B378" s="97"/>
      <c r="C378" s="62" t="s">
        <v>139</v>
      </c>
      <c r="D378" s="65">
        <v>4</v>
      </c>
      <c r="E378" s="64">
        <v>1E-3</v>
      </c>
    </row>
    <row r="379" spans="1:5" ht="14.45" customHeight="1">
      <c r="A379" s="49"/>
      <c r="B379" s="97"/>
      <c r="C379" s="62" t="s">
        <v>175</v>
      </c>
      <c r="D379" s="65">
        <v>2</v>
      </c>
      <c r="E379" s="64">
        <v>0</v>
      </c>
    </row>
    <row r="380" spans="1:5" ht="14.45" customHeight="1">
      <c r="A380" s="49"/>
      <c r="B380" s="97"/>
      <c r="C380" s="62" t="s">
        <v>187</v>
      </c>
      <c r="D380" s="65">
        <v>1</v>
      </c>
      <c r="E380" s="64">
        <v>0</v>
      </c>
    </row>
    <row r="381" spans="1:5" ht="14.45" customHeight="1">
      <c r="A381" s="49"/>
      <c r="B381" s="97"/>
      <c r="C381" s="62" t="s">
        <v>178</v>
      </c>
      <c r="D381" s="65">
        <v>1</v>
      </c>
      <c r="E381" s="64">
        <v>0</v>
      </c>
    </row>
    <row r="382" spans="1:5" ht="14.45" customHeight="1">
      <c r="A382" s="49"/>
      <c r="B382" s="97"/>
      <c r="C382" s="62" t="s">
        <v>140</v>
      </c>
      <c r="D382" s="65">
        <v>4</v>
      </c>
      <c r="E382" s="64">
        <v>1E-3</v>
      </c>
    </row>
    <row r="383" spans="1:5" ht="14.45" customHeight="1">
      <c r="A383" s="49"/>
      <c r="B383" s="97"/>
      <c r="C383" s="62" t="s">
        <v>181</v>
      </c>
      <c r="D383" s="65">
        <v>2</v>
      </c>
      <c r="E383" s="64">
        <v>0</v>
      </c>
    </row>
    <row r="384" spans="1:5" ht="14.45" customHeight="1">
      <c r="A384" s="49"/>
      <c r="B384" s="97"/>
      <c r="C384" s="62" t="s">
        <v>141</v>
      </c>
      <c r="D384" s="65">
        <v>2</v>
      </c>
      <c r="E384" s="64">
        <v>0</v>
      </c>
    </row>
    <row r="385" spans="1:5" ht="14.45" customHeight="1">
      <c r="A385" s="49"/>
      <c r="B385" s="97"/>
      <c r="C385" s="62" t="s">
        <v>182</v>
      </c>
      <c r="D385" s="65">
        <v>1</v>
      </c>
      <c r="E385" s="64">
        <v>0</v>
      </c>
    </row>
    <row r="386" spans="1:5" ht="14.45" customHeight="1">
      <c r="A386" s="49"/>
      <c r="B386" s="97"/>
      <c r="C386" s="62" t="s">
        <v>144</v>
      </c>
      <c r="D386" s="65">
        <v>18</v>
      </c>
      <c r="E386" s="64">
        <v>3.0000000000000001E-3</v>
      </c>
    </row>
    <row r="387" spans="1:5" ht="14.45" customHeight="1">
      <c r="A387" s="49"/>
      <c r="B387" s="97"/>
      <c r="C387" s="62" t="s">
        <v>145</v>
      </c>
      <c r="D387" s="65">
        <v>1</v>
      </c>
      <c r="E387" s="64">
        <v>0</v>
      </c>
    </row>
    <row r="388" spans="1:5" ht="14.45" customHeight="1">
      <c r="A388" s="49"/>
      <c r="B388" s="97"/>
      <c r="C388" s="62" t="s">
        <v>157</v>
      </c>
      <c r="D388" s="65">
        <v>2</v>
      </c>
      <c r="E388" s="64">
        <v>0</v>
      </c>
    </row>
    <row r="389" spans="1:5" ht="14.45" customHeight="1">
      <c r="A389" s="49"/>
      <c r="B389" s="97"/>
      <c r="C389" s="62" t="s">
        <v>183</v>
      </c>
      <c r="D389" s="65">
        <v>1</v>
      </c>
      <c r="E389" s="64">
        <v>0</v>
      </c>
    </row>
    <row r="390" spans="1:5" ht="14.45" customHeight="1">
      <c r="A390" s="49"/>
      <c r="B390" s="97"/>
      <c r="C390" s="62" t="s">
        <v>158</v>
      </c>
      <c r="D390" s="65">
        <v>1</v>
      </c>
      <c r="E390" s="64">
        <v>0</v>
      </c>
    </row>
    <row r="391" spans="1:5" ht="14.45" customHeight="1">
      <c r="A391" s="49"/>
      <c r="B391" s="97"/>
      <c r="C391" s="62" t="s">
        <v>151</v>
      </c>
      <c r="D391" s="65">
        <v>1</v>
      </c>
      <c r="E391" s="64">
        <v>0</v>
      </c>
    </row>
    <row r="392" spans="1:5" ht="14.45" customHeight="1">
      <c r="A392" s="49"/>
      <c r="B392" s="97"/>
      <c r="C392" s="73" t="s">
        <v>288</v>
      </c>
      <c r="D392" s="74">
        <v>105</v>
      </c>
      <c r="E392" s="72">
        <v>1.9E-2</v>
      </c>
    </row>
    <row r="393" spans="1:5" ht="14.45" customHeight="1">
      <c r="A393" s="49"/>
      <c r="B393" s="97" t="s">
        <v>57</v>
      </c>
      <c r="C393" s="62" t="s">
        <v>159</v>
      </c>
      <c r="D393" s="65">
        <v>1</v>
      </c>
      <c r="E393" s="64">
        <v>0</v>
      </c>
    </row>
    <row r="394" spans="1:5" ht="14.45" customHeight="1">
      <c r="A394" s="49"/>
      <c r="B394" s="97"/>
      <c r="C394" s="62" t="s">
        <v>131</v>
      </c>
      <c r="D394" s="65">
        <v>1</v>
      </c>
      <c r="E394" s="64">
        <v>0</v>
      </c>
    </row>
    <row r="395" spans="1:5" ht="14.45" customHeight="1">
      <c r="A395" s="49"/>
      <c r="B395" s="97"/>
      <c r="C395" s="62" t="s">
        <v>132</v>
      </c>
      <c r="D395" s="65">
        <v>2</v>
      </c>
      <c r="E395" s="64">
        <v>0</v>
      </c>
    </row>
    <row r="396" spans="1:5" ht="14.45" customHeight="1">
      <c r="A396" s="49"/>
      <c r="B396" s="97"/>
      <c r="C396" s="62" t="s">
        <v>162</v>
      </c>
      <c r="D396" s="65">
        <v>1</v>
      </c>
      <c r="E396" s="64">
        <v>0</v>
      </c>
    </row>
    <row r="397" spans="1:5" ht="14.45" customHeight="1">
      <c r="A397" s="49"/>
      <c r="B397" s="97"/>
      <c r="C397" s="62" t="s">
        <v>133</v>
      </c>
      <c r="D397" s="65">
        <v>7</v>
      </c>
      <c r="E397" s="64">
        <v>1E-3</v>
      </c>
    </row>
    <row r="398" spans="1:5" ht="14.45" customHeight="1">
      <c r="A398" s="49"/>
      <c r="B398" s="97"/>
      <c r="C398" s="62" t="s">
        <v>134</v>
      </c>
      <c r="D398" s="65">
        <v>25</v>
      </c>
      <c r="E398" s="64">
        <v>4.0000000000000001E-3</v>
      </c>
    </row>
    <row r="399" spans="1:5" ht="14.45" customHeight="1">
      <c r="A399" s="49"/>
      <c r="B399" s="97"/>
      <c r="C399" s="62" t="s">
        <v>146</v>
      </c>
      <c r="D399" s="65">
        <v>1</v>
      </c>
      <c r="E399" s="64">
        <v>0</v>
      </c>
    </row>
    <row r="400" spans="1:5" ht="14.45" customHeight="1">
      <c r="A400" s="49"/>
      <c r="B400" s="97"/>
      <c r="C400" s="62" t="s">
        <v>188</v>
      </c>
      <c r="D400" s="65">
        <v>1</v>
      </c>
      <c r="E400" s="64">
        <v>0</v>
      </c>
    </row>
    <row r="401" spans="1:5" ht="14.45" customHeight="1">
      <c r="A401" s="49"/>
      <c r="B401" s="97"/>
      <c r="C401" s="62" t="s">
        <v>261</v>
      </c>
      <c r="D401" s="65">
        <v>3</v>
      </c>
      <c r="E401" s="64">
        <v>1E-3</v>
      </c>
    </row>
    <row r="402" spans="1:5" ht="14.45" customHeight="1">
      <c r="A402" s="49"/>
      <c r="B402" s="97"/>
      <c r="C402" s="62" t="s">
        <v>135</v>
      </c>
      <c r="D402" s="65">
        <v>1</v>
      </c>
      <c r="E402" s="64">
        <v>0</v>
      </c>
    </row>
    <row r="403" spans="1:5" ht="14.45" customHeight="1">
      <c r="A403" s="49"/>
      <c r="B403" s="97"/>
      <c r="C403" s="62" t="s">
        <v>136</v>
      </c>
      <c r="D403" s="65">
        <v>5</v>
      </c>
      <c r="E403" s="64">
        <v>1E-3</v>
      </c>
    </row>
    <row r="404" spans="1:5" ht="14.45" customHeight="1">
      <c r="A404" s="49"/>
      <c r="B404" s="97"/>
      <c r="C404" s="62" t="s">
        <v>168</v>
      </c>
      <c r="D404" s="65">
        <v>1</v>
      </c>
      <c r="E404" s="64">
        <v>0</v>
      </c>
    </row>
    <row r="405" spans="1:5" ht="14.45" customHeight="1">
      <c r="A405" s="49"/>
      <c r="B405" s="97"/>
      <c r="C405" s="62" t="s">
        <v>137</v>
      </c>
      <c r="D405" s="65">
        <v>2</v>
      </c>
      <c r="E405" s="64">
        <v>0</v>
      </c>
    </row>
    <row r="406" spans="1:5" ht="27.95" customHeight="1">
      <c r="A406" s="49"/>
      <c r="B406" s="97"/>
      <c r="C406" s="62" t="s">
        <v>138</v>
      </c>
      <c r="D406" s="65">
        <v>1</v>
      </c>
      <c r="E406" s="64">
        <v>0</v>
      </c>
    </row>
    <row r="407" spans="1:5" ht="14.45" customHeight="1">
      <c r="A407" s="49"/>
      <c r="B407" s="97"/>
      <c r="C407" s="62" t="s">
        <v>156</v>
      </c>
      <c r="D407" s="65">
        <v>2</v>
      </c>
      <c r="E407" s="64">
        <v>0</v>
      </c>
    </row>
    <row r="408" spans="1:5" ht="14.45" customHeight="1">
      <c r="A408" s="49"/>
      <c r="B408" s="97"/>
      <c r="C408" s="62" t="s">
        <v>170</v>
      </c>
      <c r="D408" s="65">
        <v>3</v>
      </c>
      <c r="E408" s="64">
        <v>1E-3</v>
      </c>
    </row>
    <row r="409" spans="1:5" ht="14.45" customHeight="1">
      <c r="A409" s="49"/>
      <c r="B409" s="97"/>
      <c r="C409" s="62" t="s">
        <v>171</v>
      </c>
      <c r="D409" s="65">
        <v>3</v>
      </c>
      <c r="E409" s="64">
        <v>1E-3</v>
      </c>
    </row>
    <row r="410" spans="1:5" ht="14.45" customHeight="1">
      <c r="A410" s="49"/>
      <c r="B410" s="97"/>
      <c r="C410" s="62" t="s">
        <v>140</v>
      </c>
      <c r="D410" s="65">
        <v>5</v>
      </c>
      <c r="E410" s="64">
        <v>1E-3</v>
      </c>
    </row>
    <row r="411" spans="1:5" ht="14.45" customHeight="1">
      <c r="A411" s="49"/>
      <c r="B411" s="97"/>
      <c r="C411" s="62" t="s">
        <v>141</v>
      </c>
      <c r="D411" s="65">
        <v>1</v>
      </c>
      <c r="E411" s="64">
        <v>0</v>
      </c>
    </row>
    <row r="412" spans="1:5" ht="14.45" customHeight="1">
      <c r="A412" s="49"/>
      <c r="B412" s="97"/>
      <c r="C412" s="62" t="s">
        <v>143</v>
      </c>
      <c r="D412" s="65">
        <v>2</v>
      </c>
      <c r="E412" s="64">
        <v>0</v>
      </c>
    </row>
    <row r="413" spans="1:5" ht="14.45" customHeight="1">
      <c r="A413" s="49"/>
      <c r="B413" s="97"/>
      <c r="C413" s="62" t="s">
        <v>182</v>
      </c>
      <c r="D413" s="65">
        <v>2</v>
      </c>
      <c r="E413" s="64">
        <v>0</v>
      </c>
    </row>
    <row r="414" spans="1:5" ht="14.45" customHeight="1">
      <c r="A414" s="49"/>
      <c r="B414" s="97"/>
      <c r="C414" s="62" t="s">
        <v>144</v>
      </c>
      <c r="D414" s="65">
        <v>18</v>
      </c>
      <c r="E414" s="64">
        <v>3.0000000000000001E-3</v>
      </c>
    </row>
    <row r="415" spans="1:5" ht="14.45" customHeight="1">
      <c r="A415" s="49"/>
      <c r="B415" s="97"/>
      <c r="C415" s="62" t="s">
        <v>145</v>
      </c>
      <c r="D415" s="65">
        <v>3</v>
      </c>
      <c r="E415" s="64">
        <v>1E-3</v>
      </c>
    </row>
    <row r="416" spans="1:5" ht="14.45" customHeight="1">
      <c r="A416" s="49"/>
      <c r="B416" s="97"/>
      <c r="C416" s="62" t="s">
        <v>151</v>
      </c>
      <c r="D416" s="65">
        <v>1</v>
      </c>
      <c r="E416" s="64">
        <v>0</v>
      </c>
    </row>
    <row r="417" spans="1:5" ht="14.45" customHeight="1">
      <c r="A417" s="49"/>
      <c r="B417" s="97"/>
      <c r="C417" s="62" t="s">
        <v>184</v>
      </c>
      <c r="D417" s="65">
        <v>3</v>
      </c>
      <c r="E417" s="64">
        <v>1E-3</v>
      </c>
    </row>
    <row r="418" spans="1:5" ht="14.45" customHeight="1">
      <c r="A418" s="49"/>
      <c r="B418" s="97"/>
      <c r="C418" s="73" t="s">
        <v>288</v>
      </c>
      <c r="D418" s="74">
        <v>95</v>
      </c>
      <c r="E418" s="72">
        <v>1.7000000000000001E-2</v>
      </c>
    </row>
    <row r="419" spans="1:5" ht="14.45" customHeight="1">
      <c r="A419" s="49"/>
      <c r="B419" s="97" t="s">
        <v>85</v>
      </c>
      <c r="C419" s="62" t="s">
        <v>140</v>
      </c>
      <c r="D419" s="65">
        <v>1</v>
      </c>
      <c r="E419" s="64">
        <v>0</v>
      </c>
    </row>
    <row r="420" spans="1:5" ht="14.45" customHeight="1">
      <c r="A420" s="49"/>
      <c r="B420" s="97"/>
      <c r="C420" s="73" t="s">
        <v>288</v>
      </c>
      <c r="D420" s="74">
        <v>1</v>
      </c>
      <c r="E420" s="72">
        <v>0</v>
      </c>
    </row>
    <row r="421" spans="1:5" ht="14.45" customHeight="1">
      <c r="A421" s="49"/>
      <c r="B421" s="97" t="s">
        <v>61</v>
      </c>
      <c r="C421" s="62" t="s">
        <v>131</v>
      </c>
      <c r="D421" s="65">
        <v>2</v>
      </c>
      <c r="E421" s="64">
        <v>0</v>
      </c>
    </row>
    <row r="422" spans="1:5" ht="14.45" customHeight="1">
      <c r="A422" s="49"/>
      <c r="B422" s="97"/>
      <c r="C422" s="62" t="s">
        <v>133</v>
      </c>
      <c r="D422" s="65">
        <v>4</v>
      </c>
      <c r="E422" s="64">
        <v>1E-3</v>
      </c>
    </row>
    <row r="423" spans="1:5" ht="14.45" customHeight="1">
      <c r="A423" s="49"/>
      <c r="B423" s="97"/>
      <c r="C423" s="62" t="s">
        <v>134</v>
      </c>
      <c r="D423" s="65">
        <v>3</v>
      </c>
      <c r="E423" s="64">
        <v>1E-3</v>
      </c>
    </row>
    <row r="424" spans="1:5" ht="14.45" customHeight="1">
      <c r="A424" s="49"/>
      <c r="B424" s="97"/>
      <c r="C424" s="62" t="s">
        <v>188</v>
      </c>
      <c r="D424" s="65">
        <v>1</v>
      </c>
      <c r="E424" s="64">
        <v>0</v>
      </c>
    </row>
    <row r="425" spans="1:5" ht="14.45" customHeight="1">
      <c r="A425" s="49"/>
      <c r="B425" s="97"/>
      <c r="C425" s="62" t="s">
        <v>261</v>
      </c>
      <c r="D425" s="65">
        <v>4</v>
      </c>
      <c r="E425" s="64">
        <v>1E-3</v>
      </c>
    </row>
    <row r="426" spans="1:5" ht="14.45" customHeight="1">
      <c r="A426" s="49"/>
      <c r="B426" s="97"/>
      <c r="C426" s="62" t="s">
        <v>135</v>
      </c>
      <c r="D426" s="65">
        <v>3</v>
      </c>
      <c r="E426" s="64">
        <v>1E-3</v>
      </c>
    </row>
    <row r="427" spans="1:5" ht="14.45" customHeight="1">
      <c r="A427" s="49"/>
      <c r="B427" s="97"/>
      <c r="C427" s="62" t="s">
        <v>136</v>
      </c>
      <c r="D427" s="65">
        <v>1</v>
      </c>
      <c r="E427" s="64">
        <v>0</v>
      </c>
    </row>
    <row r="428" spans="1:5" ht="14.45" customHeight="1">
      <c r="A428" s="49"/>
      <c r="B428" s="97"/>
      <c r="C428" s="62" t="s">
        <v>168</v>
      </c>
      <c r="D428" s="65">
        <v>1</v>
      </c>
      <c r="E428" s="64">
        <v>0</v>
      </c>
    </row>
    <row r="429" spans="1:5" ht="14.45" customHeight="1">
      <c r="A429" s="49"/>
      <c r="B429" s="97"/>
      <c r="C429" s="62" t="s">
        <v>138</v>
      </c>
      <c r="D429" s="65">
        <v>3</v>
      </c>
      <c r="E429" s="64">
        <v>1E-3</v>
      </c>
    </row>
    <row r="430" spans="1:5" ht="14.45" customHeight="1">
      <c r="A430" s="49"/>
      <c r="B430" s="97"/>
      <c r="C430" s="62" t="s">
        <v>155</v>
      </c>
      <c r="D430" s="65">
        <v>1</v>
      </c>
      <c r="E430" s="64">
        <v>0</v>
      </c>
    </row>
    <row r="431" spans="1:5" ht="14.45" customHeight="1">
      <c r="A431" s="49"/>
      <c r="B431" s="97"/>
      <c r="C431" s="62" t="s">
        <v>143</v>
      </c>
      <c r="D431" s="65">
        <v>2</v>
      </c>
      <c r="E431" s="64">
        <v>0</v>
      </c>
    </row>
    <row r="432" spans="1:5" ht="14.45" customHeight="1">
      <c r="A432" s="49"/>
      <c r="B432" s="97"/>
      <c r="C432" s="62" t="s">
        <v>182</v>
      </c>
      <c r="D432" s="65">
        <v>1</v>
      </c>
      <c r="E432" s="64">
        <v>0</v>
      </c>
    </row>
    <row r="433" spans="1:5" ht="14.45" customHeight="1">
      <c r="A433" s="49"/>
      <c r="B433" s="97"/>
      <c r="C433" s="62" t="s">
        <v>144</v>
      </c>
      <c r="D433" s="65">
        <v>5</v>
      </c>
      <c r="E433" s="64">
        <v>1E-3</v>
      </c>
    </row>
    <row r="434" spans="1:5" ht="14.45" customHeight="1">
      <c r="A434" s="49"/>
      <c r="B434" s="97"/>
      <c r="C434" s="62" t="s">
        <v>183</v>
      </c>
      <c r="D434" s="65">
        <v>1</v>
      </c>
      <c r="E434" s="64">
        <v>0</v>
      </c>
    </row>
    <row r="435" spans="1:5" ht="14.45" customHeight="1">
      <c r="A435" s="49"/>
      <c r="B435" s="97"/>
      <c r="C435" s="62" t="s">
        <v>150</v>
      </c>
      <c r="D435" s="65">
        <v>1</v>
      </c>
      <c r="E435" s="64">
        <v>0</v>
      </c>
    </row>
    <row r="436" spans="1:5" ht="14.45" customHeight="1">
      <c r="A436" s="49"/>
      <c r="B436" s="97"/>
      <c r="C436" s="62" t="s">
        <v>152</v>
      </c>
      <c r="D436" s="65">
        <v>1</v>
      </c>
      <c r="E436" s="64">
        <v>0</v>
      </c>
    </row>
    <row r="437" spans="1:5" ht="14.45" customHeight="1">
      <c r="A437" s="49"/>
      <c r="B437" s="97"/>
      <c r="C437" s="62" t="s">
        <v>153</v>
      </c>
      <c r="D437" s="65">
        <v>4</v>
      </c>
      <c r="E437" s="64">
        <v>1E-3</v>
      </c>
    </row>
    <row r="438" spans="1:5" ht="14.45" customHeight="1">
      <c r="A438" s="49"/>
      <c r="B438" s="97"/>
      <c r="C438" s="73" t="s">
        <v>288</v>
      </c>
      <c r="D438" s="74">
        <v>38</v>
      </c>
      <c r="E438" s="72">
        <v>7.0000000000000001E-3</v>
      </c>
    </row>
    <row r="439" spans="1:5" ht="14.45" customHeight="1">
      <c r="A439" s="49"/>
      <c r="B439" s="97" t="s">
        <v>63</v>
      </c>
      <c r="C439" s="62" t="s">
        <v>131</v>
      </c>
      <c r="D439" s="65">
        <v>1</v>
      </c>
      <c r="E439" s="64">
        <v>0</v>
      </c>
    </row>
    <row r="440" spans="1:5" ht="14.45" customHeight="1">
      <c r="A440" s="49"/>
      <c r="B440" s="97"/>
      <c r="C440" s="62" t="s">
        <v>133</v>
      </c>
      <c r="D440" s="65">
        <v>4</v>
      </c>
      <c r="E440" s="64">
        <v>1E-3</v>
      </c>
    </row>
    <row r="441" spans="1:5" ht="14.45" customHeight="1">
      <c r="A441" s="49"/>
      <c r="B441" s="97"/>
      <c r="C441" s="62" t="s">
        <v>134</v>
      </c>
      <c r="D441" s="65">
        <v>4</v>
      </c>
      <c r="E441" s="64">
        <v>1E-3</v>
      </c>
    </row>
    <row r="442" spans="1:5" ht="14.45" customHeight="1">
      <c r="A442" s="49"/>
      <c r="B442" s="97"/>
      <c r="C442" s="62" t="s">
        <v>188</v>
      </c>
      <c r="D442" s="65">
        <v>1</v>
      </c>
      <c r="E442" s="64">
        <v>0</v>
      </c>
    </row>
    <row r="443" spans="1:5" ht="14.45" customHeight="1">
      <c r="A443" s="49"/>
      <c r="B443" s="97"/>
      <c r="C443" s="62" t="s">
        <v>147</v>
      </c>
      <c r="D443" s="65">
        <v>1</v>
      </c>
      <c r="E443" s="64">
        <v>0</v>
      </c>
    </row>
    <row r="444" spans="1:5" ht="14.45" customHeight="1">
      <c r="A444" s="49"/>
      <c r="B444" s="97"/>
      <c r="C444" s="62" t="s">
        <v>135</v>
      </c>
      <c r="D444" s="65">
        <v>3</v>
      </c>
      <c r="E444" s="64">
        <v>1E-3</v>
      </c>
    </row>
    <row r="445" spans="1:5" ht="14.45" customHeight="1">
      <c r="A445" s="49"/>
      <c r="B445" s="97"/>
      <c r="C445" s="62" t="s">
        <v>167</v>
      </c>
      <c r="D445" s="65">
        <v>3</v>
      </c>
      <c r="E445" s="64">
        <v>1E-3</v>
      </c>
    </row>
    <row r="446" spans="1:5" ht="14.45" customHeight="1">
      <c r="A446" s="49"/>
      <c r="B446" s="97"/>
      <c r="C446" s="62" t="s">
        <v>136</v>
      </c>
      <c r="D446" s="65">
        <v>5</v>
      </c>
      <c r="E446" s="64">
        <v>1E-3</v>
      </c>
    </row>
    <row r="447" spans="1:5" ht="14.45" customHeight="1">
      <c r="A447" s="49"/>
      <c r="B447" s="97"/>
      <c r="C447" s="62" t="s">
        <v>155</v>
      </c>
      <c r="D447" s="65">
        <v>2</v>
      </c>
      <c r="E447" s="64">
        <v>0</v>
      </c>
    </row>
    <row r="448" spans="1:5" ht="14.45" customHeight="1">
      <c r="A448" s="49"/>
      <c r="B448" s="97"/>
      <c r="C448" s="62" t="s">
        <v>156</v>
      </c>
      <c r="D448" s="65">
        <v>1</v>
      </c>
      <c r="E448" s="64">
        <v>0</v>
      </c>
    </row>
    <row r="449" spans="1:5" ht="14.45" customHeight="1">
      <c r="A449" s="49"/>
      <c r="B449" s="97"/>
      <c r="C449" s="62" t="s">
        <v>178</v>
      </c>
      <c r="D449" s="65">
        <v>1</v>
      </c>
      <c r="E449" s="64">
        <v>0</v>
      </c>
    </row>
    <row r="450" spans="1:5" ht="14.45" customHeight="1">
      <c r="A450" s="49"/>
      <c r="B450" s="97"/>
      <c r="C450" s="62" t="s">
        <v>180</v>
      </c>
      <c r="D450" s="65">
        <v>1</v>
      </c>
      <c r="E450" s="64">
        <v>0</v>
      </c>
    </row>
    <row r="451" spans="1:5" ht="14.45" customHeight="1">
      <c r="A451" s="49"/>
      <c r="B451" s="97"/>
      <c r="C451" s="62" t="s">
        <v>142</v>
      </c>
      <c r="D451" s="65">
        <v>3</v>
      </c>
      <c r="E451" s="64">
        <v>1E-3</v>
      </c>
    </row>
    <row r="452" spans="1:5" ht="14.45" customHeight="1">
      <c r="A452" s="49"/>
      <c r="B452" s="97"/>
      <c r="C452" s="62" t="s">
        <v>143</v>
      </c>
      <c r="D452" s="65">
        <v>1</v>
      </c>
      <c r="E452" s="64">
        <v>0</v>
      </c>
    </row>
    <row r="453" spans="1:5" ht="14.45" customHeight="1">
      <c r="A453" s="49"/>
      <c r="B453" s="97"/>
      <c r="C453" s="62" t="s">
        <v>144</v>
      </c>
      <c r="D453" s="65">
        <v>3</v>
      </c>
      <c r="E453" s="64">
        <v>1E-3</v>
      </c>
    </row>
    <row r="454" spans="1:5" ht="14.45" customHeight="1">
      <c r="A454" s="49"/>
      <c r="B454" s="97"/>
      <c r="C454" s="62" t="s">
        <v>145</v>
      </c>
      <c r="D454" s="65">
        <v>2</v>
      </c>
      <c r="E454" s="64">
        <v>0</v>
      </c>
    </row>
    <row r="455" spans="1:5" ht="14.45" customHeight="1">
      <c r="A455" s="49"/>
      <c r="B455" s="97"/>
      <c r="C455" s="62" t="s">
        <v>183</v>
      </c>
      <c r="D455" s="65">
        <v>1</v>
      </c>
      <c r="E455" s="64">
        <v>0</v>
      </c>
    </row>
    <row r="456" spans="1:5" ht="14.45" customHeight="1">
      <c r="A456" s="49"/>
      <c r="B456" s="97"/>
      <c r="C456" s="62" t="s">
        <v>152</v>
      </c>
      <c r="D456" s="65">
        <v>1</v>
      </c>
      <c r="E456" s="64">
        <v>0</v>
      </c>
    </row>
    <row r="457" spans="1:5" ht="14.45" customHeight="1">
      <c r="A457" s="49"/>
      <c r="B457" s="97"/>
      <c r="C457" s="73" t="s">
        <v>288</v>
      </c>
      <c r="D457" s="74">
        <v>38</v>
      </c>
      <c r="E457" s="72">
        <v>7.0000000000000001E-3</v>
      </c>
    </row>
    <row r="458" spans="1:5" ht="27.95" customHeight="1">
      <c r="A458" s="49"/>
      <c r="B458" s="97" t="s">
        <v>45</v>
      </c>
      <c r="C458" s="62" t="s">
        <v>161</v>
      </c>
      <c r="D458" s="65">
        <v>3</v>
      </c>
      <c r="E458" s="64">
        <v>1E-3</v>
      </c>
    </row>
    <row r="459" spans="1:5" ht="14.45" customHeight="1">
      <c r="A459" s="49"/>
      <c r="B459" s="97"/>
      <c r="C459" s="62" t="s">
        <v>131</v>
      </c>
      <c r="D459" s="65">
        <v>21</v>
      </c>
      <c r="E459" s="64">
        <v>4.0000000000000001E-3</v>
      </c>
    </row>
    <row r="460" spans="1:5" ht="14.45" customHeight="1">
      <c r="A460" s="49"/>
      <c r="B460" s="97"/>
      <c r="C460" s="62" t="s">
        <v>132</v>
      </c>
      <c r="D460" s="65">
        <v>1</v>
      </c>
      <c r="E460" s="64">
        <v>0</v>
      </c>
    </row>
    <row r="461" spans="1:5" ht="14.45" customHeight="1">
      <c r="A461" s="49"/>
      <c r="B461" s="97"/>
      <c r="C461" s="62" t="s">
        <v>133</v>
      </c>
      <c r="D461" s="65">
        <v>31</v>
      </c>
      <c r="E461" s="64">
        <v>6.0000000000000001E-3</v>
      </c>
    </row>
    <row r="462" spans="1:5" ht="14.45" customHeight="1">
      <c r="A462" s="49"/>
      <c r="B462" s="97"/>
      <c r="C462" s="62" t="s">
        <v>134</v>
      </c>
      <c r="D462" s="65">
        <v>36</v>
      </c>
      <c r="E462" s="64">
        <v>6.0000000000000001E-3</v>
      </c>
    </row>
    <row r="463" spans="1:5" ht="14.45" customHeight="1">
      <c r="A463" s="49"/>
      <c r="B463" s="97"/>
      <c r="C463" s="62" t="s">
        <v>146</v>
      </c>
      <c r="D463" s="65">
        <v>6</v>
      </c>
      <c r="E463" s="64">
        <v>1E-3</v>
      </c>
    </row>
    <row r="464" spans="1:5" ht="14.45" customHeight="1">
      <c r="A464" s="49"/>
      <c r="B464" s="97"/>
      <c r="C464" s="62" t="s">
        <v>164</v>
      </c>
      <c r="D464" s="65">
        <v>2</v>
      </c>
      <c r="E464" s="64">
        <v>0</v>
      </c>
    </row>
    <row r="465" spans="1:5" ht="14.45" customHeight="1">
      <c r="A465" s="49"/>
      <c r="B465" s="97"/>
      <c r="C465" s="62" t="s">
        <v>147</v>
      </c>
      <c r="D465" s="65">
        <v>1</v>
      </c>
      <c r="E465" s="64">
        <v>0</v>
      </c>
    </row>
    <row r="466" spans="1:5" ht="14.45" customHeight="1">
      <c r="A466" s="49"/>
      <c r="B466" s="97"/>
      <c r="C466" s="62" t="s">
        <v>135</v>
      </c>
      <c r="D466" s="65">
        <v>38</v>
      </c>
      <c r="E466" s="64">
        <v>7.0000000000000001E-3</v>
      </c>
    </row>
    <row r="467" spans="1:5" ht="14.45" customHeight="1">
      <c r="A467" s="49"/>
      <c r="B467" s="97"/>
      <c r="C467" s="62" t="s">
        <v>167</v>
      </c>
      <c r="D467" s="65">
        <v>9</v>
      </c>
      <c r="E467" s="64">
        <v>2E-3</v>
      </c>
    </row>
    <row r="468" spans="1:5" ht="14.45" customHeight="1">
      <c r="A468" s="49"/>
      <c r="B468" s="97"/>
      <c r="C468" s="62" t="s">
        <v>136</v>
      </c>
      <c r="D468" s="65">
        <v>12</v>
      </c>
      <c r="E468" s="64">
        <v>2E-3</v>
      </c>
    </row>
    <row r="469" spans="1:5" ht="14.45" customHeight="1">
      <c r="A469" s="49"/>
      <c r="B469" s="97"/>
      <c r="C469" s="62" t="s">
        <v>168</v>
      </c>
      <c r="D469" s="65">
        <v>2</v>
      </c>
      <c r="E469" s="64">
        <v>0</v>
      </c>
    </row>
    <row r="470" spans="1:5" ht="14.45" customHeight="1">
      <c r="A470" s="49"/>
      <c r="B470" s="97"/>
      <c r="C470" s="62" t="s">
        <v>137</v>
      </c>
      <c r="D470" s="65">
        <v>2</v>
      </c>
      <c r="E470" s="64">
        <v>0</v>
      </c>
    </row>
    <row r="471" spans="1:5" ht="14.45" customHeight="1">
      <c r="A471" s="49"/>
      <c r="B471" s="97"/>
      <c r="C471" s="62" t="s">
        <v>148</v>
      </c>
      <c r="D471" s="65">
        <v>1</v>
      </c>
      <c r="E471" s="64">
        <v>0</v>
      </c>
    </row>
    <row r="472" spans="1:5" ht="14.45" customHeight="1">
      <c r="A472" s="49"/>
      <c r="B472" s="97"/>
      <c r="C472" s="62" t="s">
        <v>169</v>
      </c>
      <c r="D472" s="65">
        <v>1</v>
      </c>
      <c r="E472" s="64">
        <v>0</v>
      </c>
    </row>
    <row r="473" spans="1:5" ht="14.45" customHeight="1">
      <c r="A473" s="49"/>
      <c r="B473" s="97"/>
      <c r="C473" s="62" t="s">
        <v>138</v>
      </c>
      <c r="D473" s="65">
        <v>5</v>
      </c>
      <c r="E473" s="64">
        <v>1E-3</v>
      </c>
    </row>
    <row r="474" spans="1:5" ht="14.45" customHeight="1">
      <c r="A474" s="49"/>
      <c r="B474" s="97"/>
      <c r="C474" s="62" t="s">
        <v>155</v>
      </c>
      <c r="D474" s="65">
        <v>35</v>
      </c>
      <c r="E474" s="64">
        <v>6.0000000000000001E-3</v>
      </c>
    </row>
    <row r="475" spans="1:5" ht="14.45" customHeight="1">
      <c r="A475" s="49"/>
      <c r="B475" s="97"/>
      <c r="C475" s="62" t="s">
        <v>156</v>
      </c>
      <c r="D475" s="65">
        <v>6</v>
      </c>
      <c r="E475" s="64">
        <v>1E-3</v>
      </c>
    </row>
    <row r="476" spans="1:5" ht="14.45" customHeight="1">
      <c r="A476" s="49"/>
      <c r="B476" s="97"/>
      <c r="C476" s="62" t="s">
        <v>170</v>
      </c>
      <c r="D476" s="65">
        <v>6</v>
      </c>
      <c r="E476" s="64">
        <v>1E-3</v>
      </c>
    </row>
    <row r="477" spans="1:5" ht="14.45" customHeight="1">
      <c r="A477" s="49"/>
      <c r="B477" s="97"/>
      <c r="C477" s="62" t="s">
        <v>172</v>
      </c>
      <c r="D477" s="65">
        <v>1</v>
      </c>
      <c r="E477" s="64">
        <v>0</v>
      </c>
    </row>
    <row r="478" spans="1:5" ht="14.45" customHeight="1">
      <c r="A478" s="49"/>
      <c r="B478" s="97"/>
      <c r="C478" s="62" t="s">
        <v>139</v>
      </c>
      <c r="D478" s="65">
        <v>6</v>
      </c>
      <c r="E478" s="64">
        <v>1E-3</v>
      </c>
    </row>
    <row r="479" spans="1:5" ht="14.45" customHeight="1">
      <c r="A479" s="49"/>
      <c r="B479" s="97"/>
      <c r="C479" s="62" t="s">
        <v>175</v>
      </c>
      <c r="D479" s="65">
        <v>2</v>
      </c>
      <c r="E479" s="64">
        <v>0</v>
      </c>
    </row>
    <row r="480" spans="1:5" ht="14.45" customHeight="1">
      <c r="A480" s="49"/>
      <c r="B480" s="97"/>
      <c r="C480" s="62" t="s">
        <v>187</v>
      </c>
      <c r="D480" s="65">
        <v>1</v>
      </c>
      <c r="E480" s="64">
        <v>0</v>
      </c>
    </row>
    <row r="481" spans="1:5" ht="14.45" customHeight="1">
      <c r="A481" s="49"/>
      <c r="B481" s="97"/>
      <c r="C481" s="62" t="s">
        <v>177</v>
      </c>
      <c r="D481" s="65">
        <v>1</v>
      </c>
      <c r="E481" s="64">
        <v>0</v>
      </c>
    </row>
    <row r="482" spans="1:5" ht="14.45" customHeight="1">
      <c r="A482" s="49"/>
      <c r="B482" s="97"/>
      <c r="C482" s="62" t="s">
        <v>178</v>
      </c>
      <c r="D482" s="65">
        <v>2</v>
      </c>
      <c r="E482" s="64">
        <v>0</v>
      </c>
    </row>
    <row r="483" spans="1:5" ht="14.45" customHeight="1">
      <c r="A483" s="49"/>
      <c r="B483" s="97"/>
      <c r="C483" s="62" t="s">
        <v>179</v>
      </c>
      <c r="D483" s="65">
        <v>1</v>
      </c>
      <c r="E483" s="64">
        <v>0</v>
      </c>
    </row>
    <row r="484" spans="1:5" ht="14.45" customHeight="1">
      <c r="A484" s="49"/>
      <c r="B484" s="97"/>
      <c r="C484" s="62" t="s">
        <v>180</v>
      </c>
      <c r="D484" s="65">
        <v>11</v>
      </c>
      <c r="E484" s="64">
        <v>2E-3</v>
      </c>
    </row>
    <row r="485" spans="1:5" ht="14.45" customHeight="1">
      <c r="A485" s="49"/>
      <c r="B485" s="97"/>
      <c r="C485" s="62" t="s">
        <v>140</v>
      </c>
      <c r="D485" s="65">
        <v>4</v>
      </c>
      <c r="E485" s="64">
        <v>1E-3</v>
      </c>
    </row>
    <row r="486" spans="1:5" ht="14.45" customHeight="1">
      <c r="A486" s="49"/>
      <c r="B486" s="97"/>
      <c r="C486" s="62" t="s">
        <v>181</v>
      </c>
      <c r="D486" s="65">
        <v>14</v>
      </c>
      <c r="E486" s="64">
        <v>2E-3</v>
      </c>
    </row>
    <row r="487" spans="1:5" ht="14.45" customHeight="1">
      <c r="A487" s="49"/>
      <c r="B487" s="97"/>
      <c r="C487" s="62" t="s">
        <v>141</v>
      </c>
      <c r="D487" s="65">
        <v>5</v>
      </c>
      <c r="E487" s="64">
        <v>1E-3</v>
      </c>
    </row>
    <row r="488" spans="1:5" ht="14.45" customHeight="1">
      <c r="A488" s="49"/>
      <c r="B488" s="97"/>
      <c r="C488" s="62" t="s">
        <v>142</v>
      </c>
      <c r="D488" s="65">
        <v>7</v>
      </c>
      <c r="E488" s="64">
        <v>1E-3</v>
      </c>
    </row>
    <row r="489" spans="1:5" ht="14.45" customHeight="1">
      <c r="A489" s="49"/>
      <c r="B489" s="97"/>
      <c r="C489" s="62" t="s">
        <v>143</v>
      </c>
      <c r="D489" s="65">
        <v>1</v>
      </c>
      <c r="E489" s="64">
        <v>0</v>
      </c>
    </row>
    <row r="490" spans="1:5" ht="27.95" customHeight="1">
      <c r="A490" s="49"/>
      <c r="B490" s="97"/>
      <c r="C490" s="62" t="s">
        <v>182</v>
      </c>
      <c r="D490" s="65">
        <v>9</v>
      </c>
      <c r="E490" s="64">
        <v>2E-3</v>
      </c>
    </row>
    <row r="491" spans="1:5" ht="14.45" customHeight="1">
      <c r="A491" s="49"/>
      <c r="B491" s="97"/>
      <c r="C491" s="62" t="s">
        <v>144</v>
      </c>
      <c r="D491" s="65">
        <v>72</v>
      </c>
      <c r="E491" s="64">
        <v>1.2999999999999999E-2</v>
      </c>
    </row>
    <row r="492" spans="1:5" ht="14.45" customHeight="1">
      <c r="A492" s="49"/>
      <c r="B492" s="97"/>
      <c r="C492" s="62" t="s">
        <v>145</v>
      </c>
      <c r="D492" s="65">
        <v>23</v>
      </c>
      <c r="E492" s="64">
        <v>4.0000000000000001E-3</v>
      </c>
    </row>
    <row r="493" spans="1:5" ht="14.45" customHeight="1">
      <c r="A493" s="49"/>
      <c r="B493" s="97"/>
      <c r="C493" s="62" t="s">
        <v>157</v>
      </c>
      <c r="D493" s="65">
        <v>3</v>
      </c>
      <c r="E493" s="64">
        <v>1E-3</v>
      </c>
    </row>
    <row r="494" spans="1:5" ht="14.45" customHeight="1">
      <c r="A494" s="49"/>
      <c r="B494" s="97"/>
      <c r="C494" s="62" t="s">
        <v>183</v>
      </c>
      <c r="D494" s="65">
        <v>1</v>
      </c>
      <c r="E494" s="64">
        <v>0</v>
      </c>
    </row>
    <row r="495" spans="1:5" ht="14.45" customHeight="1">
      <c r="A495" s="49"/>
      <c r="B495" s="97"/>
      <c r="C495" s="62" t="s">
        <v>158</v>
      </c>
      <c r="D495" s="65">
        <v>6</v>
      </c>
      <c r="E495" s="64">
        <v>1E-3</v>
      </c>
    </row>
    <row r="496" spans="1:5" ht="14.45" customHeight="1">
      <c r="A496" s="49"/>
      <c r="B496" s="97"/>
      <c r="C496" s="62" t="s">
        <v>150</v>
      </c>
      <c r="D496" s="65">
        <v>5</v>
      </c>
      <c r="E496" s="64">
        <v>1E-3</v>
      </c>
    </row>
    <row r="497" spans="1:5" ht="14.45" customHeight="1">
      <c r="A497" s="49"/>
      <c r="B497" s="97"/>
      <c r="C497" s="62" t="s">
        <v>151</v>
      </c>
      <c r="D497" s="65">
        <v>3</v>
      </c>
      <c r="E497" s="64">
        <v>1E-3</v>
      </c>
    </row>
    <row r="498" spans="1:5" ht="14.45" customHeight="1">
      <c r="A498" s="49"/>
      <c r="B498" s="97"/>
      <c r="C498" s="62" t="s">
        <v>152</v>
      </c>
      <c r="D498" s="65">
        <v>2</v>
      </c>
      <c r="E498" s="64">
        <v>0</v>
      </c>
    </row>
    <row r="499" spans="1:5" ht="14.45" customHeight="1">
      <c r="A499" s="49"/>
      <c r="B499" s="97"/>
      <c r="C499" s="62" t="s">
        <v>184</v>
      </c>
      <c r="D499" s="65">
        <v>2</v>
      </c>
      <c r="E499" s="64">
        <v>0</v>
      </c>
    </row>
    <row r="500" spans="1:5" ht="14.45" customHeight="1">
      <c r="A500" s="49"/>
      <c r="B500" s="97"/>
      <c r="C500" s="62" t="s">
        <v>153</v>
      </c>
      <c r="D500" s="65">
        <v>42</v>
      </c>
      <c r="E500" s="64">
        <v>7.0000000000000001E-3</v>
      </c>
    </row>
    <row r="501" spans="1:5" ht="14.45" customHeight="1">
      <c r="A501" s="49"/>
      <c r="B501" s="97"/>
      <c r="C501" s="62" t="s">
        <v>154</v>
      </c>
      <c r="D501" s="65">
        <v>3</v>
      </c>
      <c r="E501" s="64">
        <v>1E-3</v>
      </c>
    </row>
    <row r="502" spans="1:5" ht="14.45" customHeight="1">
      <c r="A502" s="49"/>
      <c r="B502" s="97"/>
      <c r="C502" s="73" t="s">
        <v>288</v>
      </c>
      <c r="D502" s="74">
        <v>445</v>
      </c>
      <c r="E502" s="72">
        <v>7.9000000000000001E-2</v>
      </c>
    </row>
    <row r="503" spans="1:5" ht="14.45" customHeight="1">
      <c r="A503" s="49"/>
      <c r="B503" s="97" t="s">
        <v>74</v>
      </c>
      <c r="C503" s="62" t="s">
        <v>131</v>
      </c>
      <c r="D503" s="65">
        <v>2</v>
      </c>
      <c r="E503" s="64">
        <v>0</v>
      </c>
    </row>
    <row r="504" spans="1:5" ht="14.45" customHeight="1">
      <c r="A504" s="49"/>
      <c r="B504" s="97"/>
      <c r="C504" s="62" t="s">
        <v>133</v>
      </c>
      <c r="D504" s="65">
        <v>5</v>
      </c>
      <c r="E504" s="64">
        <v>1E-3</v>
      </c>
    </row>
    <row r="505" spans="1:5" ht="14.45" customHeight="1">
      <c r="A505" s="49"/>
      <c r="B505" s="97"/>
      <c r="C505" s="62" t="s">
        <v>134</v>
      </c>
      <c r="D505" s="65">
        <v>2</v>
      </c>
      <c r="E505" s="64">
        <v>0</v>
      </c>
    </row>
    <row r="506" spans="1:5" ht="14.45" customHeight="1">
      <c r="A506" s="49"/>
      <c r="B506" s="97"/>
      <c r="C506" s="62" t="s">
        <v>167</v>
      </c>
      <c r="D506" s="65">
        <v>2</v>
      </c>
      <c r="E506" s="64">
        <v>0</v>
      </c>
    </row>
    <row r="507" spans="1:5" ht="14.45" customHeight="1">
      <c r="A507" s="49"/>
      <c r="B507" s="97"/>
      <c r="C507" s="62" t="s">
        <v>138</v>
      </c>
      <c r="D507" s="65">
        <v>1</v>
      </c>
      <c r="E507" s="64">
        <v>0</v>
      </c>
    </row>
    <row r="508" spans="1:5" ht="14.45" customHeight="1">
      <c r="A508" s="49"/>
      <c r="B508" s="97"/>
      <c r="C508" s="62" t="s">
        <v>170</v>
      </c>
      <c r="D508" s="65">
        <v>1</v>
      </c>
      <c r="E508" s="64">
        <v>0</v>
      </c>
    </row>
    <row r="509" spans="1:5" ht="14.45" customHeight="1">
      <c r="A509" s="49"/>
      <c r="B509" s="97"/>
      <c r="C509" s="62" t="s">
        <v>175</v>
      </c>
      <c r="D509" s="65">
        <v>1</v>
      </c>
      <c r="E509" s="64">
        <v>0</v>
      </c>
    </row>
    <row r="510" spans="1:5" ht="14.45" customHeight="1">
      <c r="A510" s="49"/>
      <c r="B510" s="97"/>
      <c r="C510" s="62" t="s">
        <v>181</v>
      </c>
      <c r="D510" s="65">
        <v>1</v>
      </c>
      <c r="E510" s="64">
        <v>0</v>
      </c>
    </row>
    <row r="511" spans="1:5" ht="14.45" customHeight="1">
      <c r="A511" s="49"/>
      <c r="B511" s="97"/>
      <c r="C511" s="62" t="s">
        <v>182</v>
      </c>
      <c r="D511" s="65">
        <v>6</v>
      </c>
      <c r="E511" s="64">
        <v>1E-3</v>
      </c>
    </row>
    <row r="512" spans="1:5" ht="14.45" customHeight="1">
      <c r="A512" s="49"/>
      <c r="B512" s="97"/>
      <c r="C512" s="62" t="s">
        <v>144</v>
      </c>
      <c r="D512" s="65">
        <v>2</v>
      </c>
      <c r="E512" s="64">
        <v>0</v>
      </c>
    </row>
    <row r="513" spans="1:5" ht="14.45" customHeight="1">
      <c r="A513" s="49"/>
      <c r="B513" s="97"/>
      <c r="C513" s="62" t="s">
        <v>153</v>
      </c>
      <c r="D513" s="65">
        <v>2</v>
      </c>
      <c r="E513" s="64">
        <v>0</v>
      </c>
    </row>
    <row r="514" spans="1:5" ht="14.45" customHeight="1">
      <c r="A514" s="49"/>
      <c r="B514" s="97"/>
      <c r="C514" s="73" t="s">
        <v>288</v>
      </c>
      <c r="D514" s="74">
        <v>25</v>
      </c>
      <c r="E514" s="72">
        <v>4.0000000000000001E-3</v>
      </c>
    </row>
    <row r="515" spans="1:5" ht="14.45" customHeight="1">
      <c r="A515" s="49"/>
      <c r="B515" s="97" t="s">
        <v>71</v>
      </c>
      <c r="C515" s="62" t="s">
        <v>131</v>
      </c>
      <c r="D515" s="65">
        <v>1</v>
      </c>
      <c r="E515" s="64">
        <v>0</v>
      </c>
    </row>
    <row r="516" spans="1:5" ht="14.45" customHeight="1">
      <c r="A516" s="49"/>
      <c r="B516" s="97"/>
      <c r="C516" s="62" t="s">
        <v>134</v>
      </c>
      <c r="D516" s="65">
        <v>1</v>
      </c>
      <c r="E516" s="64">
        <v>0</v>
      </c>
    </row>
    <row r="517" spans="1:5" ht="14.45" customHeight="1">
      <c r="A517" s="49"/>
      <c r="B517" s="97"/>
      <c r="C517" s="62" t="s">
        <v>146</v>
      </c>
      <c r="D517" s="65">
        <v>1</v>
      </c>
      <c r="E517" s="64">
        <v>0</v>
      </c>
    </row>
    <row r="518" spans="1:5" ht="14.45" customHeight="1">
      <c r="A518" s="49"/>
      <c r="B518" s="97"/>
      <c r="C518" s="62" t="s">
        <v>165</v>
      </c>
      <c r="D518" s="65">
        <v>2</v>
      </c>
      <c r="E518" s="64">
        <v>0</v>
      </c>
    </row>
    <row r="519" spans="1:5" ht="14.45" customHeight="1">
      <c r="A519" s="49"/>
      <c r="B519" s="97"/>
      <c r="C519" s="62" t="s">
        <v>167</v>
      </c>
      <c r="D519" s="65">
        <v>2</v>
      </c>
      <c r="E519" s="64">
        <v>0</v>
      </c>
    </row>
    <row r="520" spans="1:5" ht="14.45" customHeight="1">
      <c r="A520" s="49"/>
      <c r="B520" s="97"/>
      <c r="C520" s="62" t="s">
        <v>136</v>
      </c>
      <c r="D520" s="65">
        <v>3</v>
      </c>
      <c r="E520" s="64">
        <v>1E-3</v>
      </c>
    </row>
    <row r="521" spans="1:5" ht="14.45" customHeight="1">
      <c r="A521" s="49"/>
      <c r="B521" s="97"/>
      <c r="C521" s="62" t="s">
        <v>168</v>
      </c>
      <c r="D521" s="65">
        <v>1</v>
      </c>
      <c r="E521" s="64">
        <v>0</v>
      </c>
    </row>
    <row r="522" spans="1:5" ht="14.45" customHeight="1">
      <c r="A522" s="49"/>
      <c r="B522" s="97"/>
      <c r="C522" s="62" t="s">
        <v>155</v>
      </c>
      <c r="D522" s="65">
        <v>1</v>
      </c>
      <c r="E522" s="64">
        <v>0</v>
      </c>
    </row>
    <row r="523" spans="1:5" ht="14.45" customHeight="1">
      <c r="A523" s="49"/>
      <c r="B523" s="97"/>
      <c r="C523" s="62" t="s">
        <v>170</v>
      </c>
      <c r="D523" s="65">
        <v>2</v>
      </c>
      <c r="E523" s="64">
        <v>0</v>
      </c>
    </row>
    <row r="524" spans="1:5" ht="14.45" customHeight="1">
      <c r="A524" s="49"/>
      <c r="B524" s="97"/>
      <c r="C524" s="62" t="s">
        <v>185</v>
      </c>
      <c r="D524" s="65">
        <v>1</v>
      </c>
      <c r="E524" s="64">
        <v>0</v>
      </c>
    </row>
    <row r="525" spans="1:5" ht="14.45" customHeight="1">
      <c r="A525" s="49"/>
      <c r="B525" s="97"/>
      <c r="C525" s="62" t="s">
        <v>186</v>
      </c>
      <c r="D525" s="65">
        <v>1</v>
      </c>
      <c r="E525" s="64">
        <v>0</v>
      </c>
    </row>
    <row r="526" spans="1:5" ht="14.45" customHeight="1">
      <c r="A526" s="49"/>
      <c r="B526" s="97"/>
      <c r="C526" s="62" t="s">
        <v>180</v>
      </c>
      <c r="D526" s="65">
        <v>1</v>
      </c>
      <c r="E526" s="64">
        <v>0</v>
      </c>
    </row>
    <row r="527" spans="1:5" ht="14.45" customHeight="1">
      <c r="A527" s="49"/>
      <c r="B527" s="97"/>
      <c r="C527" s="62" t="s">
        <v>141</v>
      </c>
      <c r="D527" s="65">
        <v>1</v>
      </c>
      <c r="E527" s="64">
        <v>0</v>
      </c>
    </row>
    <row r="528" spans="1:5" ht="14.45" customHeight="1">
      <c r="A528" s="49"/>
      <c r="B528" s="97"/>
      <c r="C528" s="62" t="s">
        <v>182</v>
      </c>
      <c r="D528" s="65">
        <v>1</v>
      </c>
      <c r="E528" s="64">
        <v>0</v>
      </c>
    </row>
    <row r="529" spans="1:5" ht="14.45" customHeight="1">
      <c r="A529" s="49"/>
      <c r="B529" s="97"/>
      <c r="C529" s="62" t="s">
        <v>144</v>
      </c>
      <c r="D529" s="65">
        <v>6</v>
      </c>
      <c r="E529" s="64">
        <v>1E-3</v>
      </c>
    </row>
    <row r="530" spans="1:5" ht="14.45" customHeight="1">
      <c r="A530" s="49"/>
      <c r="B530" s="97"/>
      <c r="C530" s="62" t="s">
        <v>145</v>
      </c>
      <c r="D530" s="65">
        <v>4</v>
      </c>
      <c r="E530" s="64">
        <v>1E-3</v>
      </c>
    </row>
    <row r="531" spans="1:5" ht="14.45" customHeight="1">
      <c r="A531" s="49"/>
      <c r="B531" s="97"/>
      <c r="C531" s="62" t="s">
        <v>150</v>
      </c>
      <c r="D531" s="65">
        <v>1</v>
      </c>
      <c r="E531" s="64">
        <v>0</v>
      </c>
    </row>
    <row r="532" spans="1:5" ht="14.45" customHeight="1">
      <c r="A532" s="49"/>
      <c r="B532" s="97"/>
      <c r="C532" s="62" t="s">
        <v>153</v>
      </c>
      <c r="D532" s="65">
        <v>3</v>
      </c>
      <c r="E532" s="64">
        <v>1E-3</v>
      </c>
    </row>
    <row r="533" spans="1:5" ht="14.45" customHeight="1">
      <c r="A533" s="49"/>
      <c r="B533" s="97"/>
      <c r="C533" s="73" t="s">
        <v>288</v>
      </c>
      <c r="D533" s="74">
        <v>33</v>
      </c>
      <c r="E533" s="72">
        <v>6.0000000000000001E-3</v>
      </c>
    </row>
    <row r="534" spans="1:5" ht="14.45" customHeight="1">
      <c r="A534" s="49"/>
      <c r="B534" s="97" t="s">
        <v>70</v>
      </c>
      <c r="C534" s="62" t="s">
        <v>159</v>
      </c>
      <c r="D534" s="65">
        <v>3</v>
      </c>
      <c r="E534" s="64">
        <v>1E-3</v>
      </c>
    </row>
    <row r="535" spans="1:5" ht="14.45" customHeight="1">
      <c r="A535" s="49"/>
      <c r="B535" s="97"/>
      <c r="C535" s="62" t="s">
        <v>131</v>
      </c>
      <c r="D535" s="65">
        <v>1</v>
      </c>
      <c r="E535" s="64">
        <v>0</v>
      </c>
    </row>
    <row r="536" spans="1:5" ht="14.45" customHeight="1">
      <c r="A536" s="49"/>
      <c r="B536" s="97"/>
      <c r="C536" s="62" t="s">
        <v>162</v>
      </c>
      <c r="D536" s="65">
        <v>1</v>
      </c>
      <c r="E536" s="64">
        <v>0</v>
      </c>
    </row>
    <row r="537" spans="1:5" ht="14.45" customHeight="1">
      <c r="A537" s="49"/>
      <c r="B537" s="97"/>
      <c r="C537" s="62" t="s">
        <v>163</v>
      </c>
      <c r="D537" s="65">
        <v>1</v>
      </c>
      <c r="E537" s="64">
        <v>0</v>
      </c>
    </row>
    <row r="538" spans="1:5" ht="14.45" customHeight="1">
      <c r="A538" s="49"/>
      <c r="B538" s="97"/>
      <c r="C538" s="62" t="s">
        <v>133</v>
      </c>
      <c r="D538" s="65">
        <v>5</v>
      </c>
      <c r="E538" s="64">
        <v>1E-3</v>
      </c>
    </row>
    <row r="539" spans="1:5" ht="14.45" customHeight="1">
      <c r="A539" s="49"/>
      <c r="B539" s="97"/>
      <c r="C539" s="62" t="s">
        <v>134</v>
      </c>
      <c r="D539" s="65">
        <v>3</v>
      </c>
      <c r="E539" s="64">
        <v>1E-3</v>
      </c>
    </row>
    <row r="540" spans="1:5" ht="14.45" customHeight="1">
      <c r="A540" s="49"/>
      <c r="B540" s="97"/>
      <c r="C540" s="62" t="s">
        <v>147</v>
      </c>
      <c r="D540" s="65">
        <v>2</v>
      </c>
      <c r="E540" s="64">
        <v>0</v>
      </c>
    </row>
    <row r="541" spans="1:5" ht="14.45" customHeight="1">
      <c r="A541" s="49"/>
      <c r="B541" s="97"/>
      <c r="C541" s="62" t="s">
        <v>135</v>
      </c>
      <c r="D541" s="65">
        <v>5</v>
      </c>
      <c r="E541" s="64">
        <v>1E-3</v>
      </c>
    </row>
    <row r="542" spans="1:5" ht="14.45" customHeight="1">
      <c r="A542" s="49"/>
      <c r="B542" s="97"/>
      <c r="C542" s="62" t="s">
        <v>149</v>
      </c>
      <c r="D542" s="65">
        <v>1</v>
      </c>
      <c r="E542" s="64">
        <v>0</v>
      </c>
    </row>
    <row r="543" spans="1:5" ht="14.45" customHeight="1">
      <c r="A543" s="49"/>
      <c r="B543" s="97"/>
      <c r="C543" s="62" t="s">
        <v>138</v>
      </c>
      <c r="D543" s="65">
        <v>1</v>
      </c>
      <c r="E543" s="64">
        <v>0</v>
      </c>
    </row>
    <row r="544" spans="1:5" ht="14.45" customHeight="1">
      <c r="A544" s="49"/>
      <c r="B544" s="97"/>
      <c r="C544" s="62" t="s">
        <v>155</v>
      </c>
      <c r="D544" s="65">
        <v>1</v>
      </c>
      <c r="E544" s="64">
        <v>0</v>
      </c>
    </row>
    <row r="545" spans="1:5" ht="14.45" customHeight="1">
      <c r="A545" s="49"/>
      <c r="B545" s="97"/>
      <c r="C545" s="62" t="s">
        <v>156</v>
      </c>
      <c r="D545" s="65">
        <v>1</v>
      </c>
      <c r="E545" s="64">
        <v>0</v>
      </c>
    </row>
    <row r="546" spans="1:5" ht="14.45" customHeight="1">
      <c r="A546" s="49"/>
      <c r="B546" s="97"/>
      <c r="C546" s="62" t="s">
        <v>170</v>
      </c>
      <c r="D546" s="65">
        <v>5</v>
      </c>
      <c r="E546" s="64">
        <v>1E-3</v>
      </c>
    </row>
    <row r="547" spans="1:5" ht="14.45" customHeight="1">
      <c r="A547" s="49"/>
      <c r="B547" s="97"/>
      <c r="C547" s="62" t="s">
        <v>176</v>
      </c>
      <c r="D547" s="65">
        <v>2</v>
      </c>
      <c r="E547" s="64">
        <v>0</v>
      </c>
    </row>
    <row r="548" spans="1:5" ht="14.45" customHeight="1">
      <c r="A548" s="49"/>
      <c r="B548" s="97"/>
      <c r="C548" s="62" t="s">
        <v>180</v>
      </c>
      <c r="D548" s="65">
        <v>1</v>
      </c>
      <c r="E548" s="64">
        <v>0</v>
      </c>
    </row>
    <row r="549" spans="1:5" ht="14.45" customHeight="1">
      <c r="A549" s="49"/>
      <c r="B549" s="97"/>
      <c r="C549" s="62" t="s">
        <v>143</v>
      </c>
      <c r="D549" s="65">
        <v>1</v>
      </c>
      <c r="E549" s="64">
        <v>0</v>
      </c>
    </row>
    <row r="550" spans="1:5" ht="14.45" customHeight="1">
      <c r="A550" s="49"/>
      <c r="B550" s="97"/>
      <c r="C550" s="62" t="s">
        <v>144</v>
      </c>
      <c r="D550" s="65">
        <v>6</v>
      </c>
      <c r="E550" s="64">
        <v>1E-3</v>
      </c>
    </row>
    <row r="551" spans="1:5" ht="14.45" customHeight="1">
      <c r="A551" s="49"/>
      <c r="B551" s="97"/>
      <c r="C551" s="62" t="s">
        <v>152</v>
      </c>
      <c r="D551" s="65">
        <v>1</v>
      </c>
      <c r="E551" s="64">
        <v>0</v>
      </c>
    </row>
    <row r="552" spans="1:5" ht="14.45" customHeight="1">
      <c r="A552" s="49"/>
      <c r="B552" s="97"/>
      <c r="C552" s="62" t="s">
        <v>184</v>
      </c>
      <c r="D552" s="65">
        <v>3</v>
      </c>
      <c r="E552" s="64">
        <v>1E-3</v>
      </c>
    </row>
    <row r="553" spans="1:5" ht="14.45" customHeight="1">
      <c r="A553" s="49"/>
      <c r="B553" s="97"/>
      <c r="C553" s="62" t="s">
        <v>153</v>
      </c>
      <c r="D553" s="65">
        <v>1</v>
      </c>
      <c r="E553" s="64">
        <v>0</v>
      </c>
    </row>
    <row r="554" spans="1:5" ht="14.45" customHeight="1">
      <c r="A554" s="49"/>
      <c r="B554" s="97"/>
      <c r="C554" s="73" t="s">
        <v>288</v>
      </c>
      <c r="D554" s="74">
        <v>45</v>
      </c>
      <c r="E554" s="72">
        <v>8.0000000000000002E-3</v>
      </c>
    </row>
    <row r="555" spans="1:5" ht="14.45" customHeight="1">
      <c r="A555" s="49"/>
      <c r="B555" s="97" t="s">
        <v>77</v>
      </c>
      <c r="C555" s="62" t="s">
        <v>159</v>
      </c>
      <c r="D555" s="65">
        <v>4</v>
      </c>
      <c r="E555" s="64">
        <v>1E-3</v>
      </c>
    </row>
    <row r="556" spans="1:5" ht="14.45" customHeight="1">
      <c r="A556" s="49"/>
      <c r="B556" s="97"/>
      <c r="C556" s="62" t="s">
        <v>160</v>
      </c>
      <c r="D556" s="65">
        <v>1</v>
      </c>
      <c r="E556" s="64">
        <v>0</v>
      </c>
    </row>
    <row r="557" spans="1:5" ht="14.45" customHeight="1">
      <c r="A557" s="49"/>
      <c r="B557" s="97"/>
      <c r="C557" s="62" t="s">
        <v>131</v>
      </c>
      <c r="D557" s="65">
        <v>1</v>
      </c>
      <c r="E557" s="64">
        <v>0</v>
      </c>
    </row>
    <row r="558" spans="1:5" ht="14.45" customHeight="1">
      <c r="A558" s="49"/>
      <c r="B558" s="97"/>
      <c r="C558" s="62" t="s">
        <v>162</v>
      </c>
      <c r="D558" s="65">
        <v>2</v>
      </c>
      <c r="E558" s="64">
        <v>0</v>
      </c>
    </row>
    <row r="559" spans="1:5" ht="14.45" customHeight="1">
      <c r="A559" s="49"/>
      <c r="B559" s="97"/>
      <c r="C559" s="62" t="s">
        <v>133</v>
      </c>
      <c r="D559" s="65">
        <v>4</v>
      </c>
      <c r="E559" s="64">
        <v>1E-3</v>
      </c>
    </row>
    <row r="560" spans="1:5" ht="14.45" customHeight="1">
      <c r="A560" s="49"/>
      <c r="B560" s="97"/>
      <c r="C560" s="62" t="s">
        <v>134</v>
      </c>
      <c r="D560" s="65">
        <v>7</v>
      </c>
      <c r="E560" s="64">
        <v>1E-3</v>
      </c>
    </row>
    <row r="561" spans="1:5" ht="14.45" customHeight="1">
      <c r="A561" s="49"/>
      <c r="B561" s="97"/>
      <c r="C561" s="62" t="s">
        <v>146</v>
      </c>
      <c r="D561" s="65">
        <v>1</v>
      </c>
      <c r="E561" s="64">
        <v>0</v>
      </c>
    </row>
    <row r="562" spans="1:5" ht="14.45" customHeight="1">
      <c r="A562" s="49"/>
      <c r="B562" s="97"/>
      <c r="C562" s="62" t="s">
        <v>261</v>
      </c>
      <c r="D562" s="65">
        <v>3</v>
      </c>
      <c r="E562" s="64">
        <v>1E-3</v>
      </c>
    </row>
    <row r="563" spans="1:5" ht="14.45" customHeight="1">
      <c r="A563" s="49"/>
      <c r="B563" s="97"/>
      <c r="C563" s="62" t="s">
        <v>165</v>
      </c>
      <c r="D563" s="65">
        <v>3</v>
      </c>
      <c r="E563" s="64">
        <v>1E-3</v>
      </c>
    </row>
    <row r="564" spans="1:5" ht="14.45" customHeight="1">
      <c r="A564" s="49"/>
      <c r="B564" s="97"/>
      <c r="C564" s="62" t="s">
        <v>135</v>
      </c>
      <c r="D564" s="65">
        <v>10</v>
      </c>
      <c r="E564" s="64">
        <v>2E-3</v>
      </c>
    </row>
    <row r="565" spans="1:5" ht="14.45" customHeight="1">
      <c r="A565" s="49"/>
      <c r="B565" s="97"/>
      <c r="C565" s="62" t="s">
        <v>136</v>
      </c>
      <c r="D565" s="65">
        <v>11</v>
      </c>
      <c r="E565" s="64">
        <v>2E-3</v>
      </c>
    </row>
    <row r="566" spans="1:5" ht="14.45" customHeight="1">
      <c r="A566" s="49"/>
      <c r="B566" s="97"/>
      <c r="C566" s="62" t="s">
        <v>149</v>
      </c>
      <c r="D566" s="65">
        <v>2</v>
      </c>
      <c r="E566" s="64">
        <v>0</v>
      </c>
    </row>
    <row r="567" spans="1:5" ht="14.45" customHeight="1">
      <c r="A567" s="49"/>
      <c r="B567" s="97"/>
      <c r="C567" s="62" t="s">
        <v>138</v>
      </c>
      <c r="D567" s="65">
        <v>1</v>
      </c>
      <c r="E567" s="64">
        <v>0</v>
      </c>
    </row>
    <row r="568" spans="1:5" ht="14.45" customHeight="1">
      <c r="A568" s="49"/>
      <c r="B568" s="97"/>
      <c r="C568" s="62" t="s">
        <v>155</v>
      </c>
      <c r="D568" s="65">
        <v>3</v>
      </c>
      <c r="E568" s="64">
        <v>1E-3</v>
      </c>
    </row>
    <row r="569" spans="1:5" ht="14.45" customHeight="1">
      <c r="A569" s="49"/>
      <c r="B569" s="97"/>
      <c r="C569" s="62" t="s">
        <v>156</v>
      </c>
      <c r="D569" s="65">
        <v>2</v>
      </c>
      <c r="E569" s="64">
        <v>0</v>
      </c>
    </row>
    <row r="570" spans="1:5" ht="14.45" customHeight="1">
      <c r="A570" s="49"/>
      <c r="B570" s="97"/>
      <c r="C570" s="62" t="s">
        <v>170</v>
      </c>
      <c r="D570" s="65">
        <v>9</v>
      </c>
      <c r="E570" s="64">
        <v>2E-3</v>
      </c>
    </row>
    <row r="571" spans="1:5" ht="14.45" customHeight="1">
      <c r="A571" s="49"/>
      <c r="B571" s="97"/>
      <c r="C571" s="62" t="s">
        <v>139</v>
      </c>
      <c r="D571" s="65">
        <v>2</v>
      </c>
      <c r="E571" s="64">
        <v>0</v>
      </c>
    </row>
    <row r="572" spans="1:5" ht="14.45" customHeight="1">
      <c r="A572" s="49"/>
      <c r="B572" s="97"/>
      <c r="C572" s="62" t="s">
        <v>189</v>
      </c>
      <c r="D572" s="65">
        <v>1</v>
      </c>
      <c r="E572" s="64">
        <v>0</v>
      </c>
    </row>
    <row r="573" spans="1:5" ht="14.45" customHeight="1">
      <c r="A573" s="49"/>
      <c r="B573" s="97"/>
      <c r="C573" s="62" t="s">
        <v>187</v>
      </c>
      <c r="D573" s="65">
        <v>1</v>
      </c>
      <c r="E573" s="64">
        <v>0</v>
      </c>
    </row>
    <row r="574" spans="1:5" ht="14.45" customHeight="1">
      <c r="A574" s="49"/>
      <c r="B574" s="97"/>
      <c r="C574" s="62" t="s">
        <v>177</v>
      </c>
      <c r="D574" s="65">
        <v>4</v>
      </c>
      <c r="E574" s="64">
        <v>1E-3</v>
      </c>
    </row>
    <row r="575" spans="1:5" ht="14.45" customHeight="1">
      <c r="A575" s="49"/>
      <c r="B575" s="97"/>
      <c r="C575" s="62" t="s">
        <v>180</v>
      </c>
      <c r="D575" s="65">
        <v>7</v>
      </c>
      <c r="E575" s="64">
        <v>1E-3</v>
      </c>
    </row>
    <row r="576" spans="1:5" ht="14.45" customHeight="1">
      <c r="A576" s="49"/>
      <c r="B576" s="97"/>
      <c r="C576" s="62" t="s">
        <v>140</v>
      </c>
      <c r="D576" s="65">
        <v>2</v>
      </c>
      <c r="E576" s="64">
        <v>0</v>
      </c>
    </row>
    <row r="577" spans="1:5" ht="14.45" customHeight="1">
      <c r="A577" s="49"/>
      <c r="B577" s="97"/>
      <c r="C577" s="62" t="s">
        <v>142</v>
      </c>
      <c r="D577" s="65">
        <v>1</v>
      </c>
      <c r="E577" s="64">
        <v>0</v>
      </c>
    </row>
    <row r="578" spans="1:5" ht="14.45" customHeight="1">
      <c r="A578" s="49"/>
      <c r="B578" s="97"/>
      <c r="C578" s="62" t="s">
        <v>182</v>
      </c>
      <c r="D578" s="65">
        <v>1</v>
      </c>
      <c r="E578" s="64">
        <v>0</v>
      </c>
    </row>
    <row r="579" spans="1:5" ht="14.45" customHeight="1">
      <c r="A579" s="49"/>
      <c r="B579" s="97"/>
      <c r="C579" s="62" t="s">
        <v>144</v>
      </c>
      <c r="D579" s="65">
        <v>14</v>
      </c>
      <c r="E579" s="64">
        <v>2E-3</v>
      </c>
    </row>
    <row r="580" spans="1:5" ht="14.45" customHeight="1">
      <c r="A580" s="49"/>
      <c r="B580" s="97"/>
      <c r="C580" s="62" t="s">
        <v>157</v>
      </c>
      <c r="D580" s="65">
        <v>1</v>
      </c>
      <c r="E580" s="64">
        <v>0</v>
      </c>
    </row>
    <row r="581" spans="1:5" ht="14.45" customHeight="1">
      <c r="A581" s="49"/>
      <c r="B581" s="97"/>
      <c r="C581" s="62" t="s">
        <v>183</v>
      </c>
      <c r="D581" s="65">
        <v>1</v>
      </c>
      <c r="E581" s="64">
        <v>0</v>
      </c>
    </row>
    <row r="582" spans="1:5" ht="14.45" customHeight="1">
      <c r="A582" s="49"/>
      <c r="B582" s="97"/>
      <c r="C582" s="62" t="s">
        <v>150</v>
      </c>
      <c r="D582" s="65">
        <v>2</v>
      </c>
      <c r="E582" s="64">
        <v>0</v>
      </c>
    </row>
    <row r="583" spans="1:5" ht="14.45" customHeight="1">
      <c r="A583" s="49"/>
      <c r="B583" s="97"/>
      <c r="C583" s="62" t="s">
        <v>151</v>
      </c>
      <c r="D583" s="65">
        <v>1</v>
      </c>
      <c r="E583" s="64">
        <v>0</v>
      </c>
    </row>
    <row r="584" spans="1:5" ht="14.45" customHeight="1">
      <c r="A584" s="49"/>
      <c r="B584" s="97"/>
      <c r="C584" s="62" t="s">
        <v>152</v>
      </c>
      <c r="D584" s="65">
        <v>2</v>
      </c>
      <c r="E584" s="64">
        <v>0</v>
      </c>
    </row>
    <row r="585" spans="1:5" ht="14.45" customHeight="1">
      <c r="A585" s="49"/>
      <c r="B585" s="97"/>
      <c r="C585" s="62" t="s">
        <v>153</v>
      </c>
      <c r="D585" s="65">
        <v>12</v>
      </c>
      <c r="E585" s="64">
        <v>2E-3</v>
      </c>
    </row>
    <row r="586" spans="1:5" ht="14.45" customHeight="1">
      <c r="A586" s="49"/>
      <c r="B586" s="97"/>
      <c r="C586" s="73" t="s">
        <v>288</v>
      </c>
      <c r="D586" s="74">
        <v>116</v>
      </c>
      <c r="E586" s="72">
        <v>2.1000000000000001E-2</v>
      </c>
    </row>
    <row r="587" spans="1:5" ht="14.45" customHeight="1">
      <c r="A587" s="49"/>
      <c r="B587" s="97" t="s">
        <v>76</v>
      </c>
      <c r="C587" s="62" t="s">
        <v>161</v>
      </c>
      <c r="D587" s="65">
        <v>1</v>
      </c>
      <c r="E587" s="64">
        <v>0</v>
      </c>
    </row>
    <row r="588" spans="1:5" ht="14.45" customHeight="1">
      <c r="A588" s="49"/>
      <c r="B588" s="97"/>
      <c r="C588" s="62" t="s">
        <v>131</v>
      </c>
      <c r="D588" s="65">
        <v>1</v>
      </c>
      <c r="E588" s="64">
        <v>0</v>
      </c>
    </row>
    <row r="589" spans="1:5" ht="14.45" customHeight="1">
      <c r="A589" s="49"/>
      <c r="B589" s="97"/>
      <c r="C589" s="62" t="s">
        <v>133</v>
      </c>
      <c r="D589" s="65">
        <v>1</v>
      </c>
      <c r="E589" s="64">
        <v>0</v>
      </c>
    </row>
    <row r="590" spans="1:5" ht="14.45" customHeight="1">
      <c r="A590" s="49"/>
      <c r="B590" s="97"/>
      <c r="C590" s="62" t="s">
        <v>134</v>
      </c>
      <c r="D590" s="65">
        <v>2</v>
      </c>
      <c r="E590" s="64">
        <v>0</v>
      </c>
    </row>
    <row r="591" spans="1:5" ht="14.45" customHeight="1">
      <c r="A591" s="49"/>
      <c r="B591" s="97"/>
      <c r="C591" s="62" t="s">
        <v>165</v>
      </c>
      <c r="D591" s="65">
        <v>1</v>
      </c>
      <c r="E591" s="64">
        <v>0</v>
      </c>
    </row>
    <row r="592" spans="1:5" ht="14.45" customHeight="1">
      <c r="A592" s="49"/>
      <c r="B592" s="97"/>
      <c r="C592" s="62" t="s">
        <v>135</v>
      </c>
      <c r="D592" s="65">
        <v>7</v>
      </c>
      <c r="E592" s="64">
        <v>1E-3</v>
      </c>
    </row>
    <row r="593" spans="1:5" ht="14.45" customHeight="1">
      <c r="A593" s="49"/>
      <c r="B593" s="97"/>
      <c r="C593" s="62" t="s">
        <v>167</v>
      </c>
      <c r="D593" s="65">
        <v>1</v>
      </c>
      <c r="E593" s="64">
        <v>0</v>
      </c>
    </row>
    <row r="594" spans="1:5" ht="14.45" customHeight="1">
      <c r="A594" s="49"/>
      <c r="B594" s="97"/>
      <c r="C594" s="62" t="s">
        <v>136</v>
      </c>
      <c r="D594" s="65">
        <v>4</v>
      </c>
      <c r="E594" s="64">
        <v>1E-3</v>
      </c>
    </row>
    <row r="595" spans="1:5" ht="27.95" customHeight="1">
      <c r="A595" s="49"/>
      <c r="B595" s="97"/>
      <c r="C595" s="62" t="s">
        <v>155</v>
      </c>
      <c r="D595" s="65">
        <v>1</v>
      </c>
      <c r="E595" s="64">
        <v>0</v>
      </c>
    </row>
    <row r="596" spans="1:5" ht="14.45" customHeight="1">
      <c r="A596" s="49"/>
      <c r="B596" s="97"/>
      <c r="C596" s="62" t="s">
        <v>142</v>
      </c>
      <c r="D596" s="65">
        <v>5</v>
      </c>
      <c r="E596" s="64">
        <v>1E-3</v>
      </c>
    </row>
    <row r="597" spans="1:5" ht="14.45" customHeight="1">
      <c r="A597" s="49"/>
      <c r="B597" s="97"/>
      <c r="C597" s="62" t="s">
        <v>143</v>
      </c>
      <c r="D597" s="65">
        <v>2</v>
      </c>
      <c r="E597" s="64">
        <v>0</v>
      </c>
    </row>
    <row r="598" spans="1:5" ht="14.45" customHeight="1">
      <c r="A598" s="49"/>
      <c r="B598" s="97"/>
      <c r="C598" s="62" t="s">
        <v>144</v>
      </c>
      <c r="D598" s="65">
        <v>4</v>
      </c>
      <c r="E598" s="64">
        <v>1E-3</v>
      </c>
    </row>
    <row r="599" spans="1:5" ht="14.45" customHeight="1">
      <c r="A599" s="49"/>
      <c r="B599" s="97"/>
      <c r="C599" s="62" t="s">
        <v>145</v>
      </c>
      <c r="D599" s="65">
        <v>1</v>
      </c>
      <c r="E599" s="64">
        <v>0</v>
      </c>
    </row>
    <row r="600" spans="1:5" ht="14.45" customHeight="1">
      <c r="A600" s="49"/>
      <c r="B600" s="97"/>
      <c r="C600" s="62" t="s">
        <v>157</v>
      </c>
      <c r="D600" s="65">
        <v>2</v>
      </c>
      <c r="E600" s="64">
        <v>0</v>
      </c>
    </row>
    <row r="601" spans="1:5" ht="14.45" customHeight="1">
      <c r="A601" s="49"/>
      <c r="B601" s="97"/>
      <c r="C601" s="62" t="s">
        <v>153</v>
      </c>
      <c r="D601" s="65">
        <v>1</v>
      </c>
      <c r="E601" s="64">
        <v>0</v>
      </c>
    </row>
    <row r="602" spans="1:5" ht="14.45" customHeight="1">
      <c r="A602" s="49"/>
      <c r="B602" s="97"/>
      <c r="C602" s="73" t="s">
        <v>288</v>
      </c>
      <c r="D602" s="74">
        <v>34</v>
      </c>
      <c r="E602" s="72">
        <v>6.0000000000000001E-3</v>
      </c>
    </row>
    <row r="603" spans="1:5" ht="14.45" customHeight="1">
      <c r="A603" s="49"/>
      <c r="B603" s="97" t="s">
        <v>43</v>
      </c>
      <c r="C603" s="62" t="s">
        <v>159</v>
      </c>
      <c r="D603" s="65">
        <v>9</v>
      </c>
      <c r="E603" s="64">
        <v>2E-3</v>
      </c>
    </row>
    <row r="604" spans="1:5" ht="14.45" customHeight="1">
      <c r="A604" s="49"/>
      <c r="B604" s="97"/>
      <c r="C604" s="62" t="s">
        <v>160</v>
      </c>
      <c r="D604" s="65">
        <v>1</v>
      </c>
      <c r="E604" s="64">
        <v>0</v>
      </c>
    </row>
    <row r="605" spans="1:5" ht="14.45" customHeight="1">
      <c r="A605" s="49"/>
      <c r="B605" s="97"/>
      <c r="C605" s="62" t="s">
        <v>161</v>
      </c>
      <c r="D605" s="65">
        <v>2</v>
      </c>
      <c r="E605" s="64">
        <v>0</v>
      </c>
    </row>
    <row r="606" spans="1:5" ht="14.45" customHeight="1">
      <c r="A606" s="49"/>
      <c r="B606" s="97"/>
      <c r="C606" s="62" t="s">
        <v>131</v>
      </c>
      <c r="D606" s="65">
        <v>23</v>
      </c>
      <c r="E606" s="64">
        <v>4.0000000000000001E-3</v>
      </c>
    </row>
    <row r="607" spans="1:5" ht="14.45" customHeight="1">
      <c r="A607" s="49"/>
      <c r="B607" s="97"/>
      <c r="C607" s="62" t="s">
        <v>132</v>
      </c>
      <c r="D607" s="65">
        <v>2</v>
      </c>
      <c r="E607" s="64">
        <v>0</v>
      </c>
    </row>
    <row r="608" spans="1:5" ht="14.45" customHeight="1">
      <c r="A608" s="49"/>
      <c r="B608" s="97"/>
      <c r="C608" s="62" t="s">
        <v>162</v>
      </c>
      <c r="D608" s="65">
        <v>2</v>
      </c>
      <c r="E608" s="64">
        <v>0</v>
      </c>
    </row>
    <row r="609" spans="1:5" ht="14.45" customHeight="1">
      <c r="A609" s="49"/>
      <c r="B609" s="97"/>
      <c r="C609" s="62" t="s">
        <v>163</v>
      </c>
      <c r="D609" s="65">
        <v>1</v>
      </c>
      <c r="E609" s="64">
        <v>0</v>
      </c>
    </row>
    <row r="610" spans="1:5" ht="14.45" customHeight="1">
      <c r="A610" s="49"/>
      <c r="B610" s="97"/>
      <c r="C610" s="62" t="s">
        <v>133</v>
      </c>
      <c r="D610" s="65">
        <v>8</v>
      </c>
      <c r="E610" s="64">
        <v>1E-3</v>
      </c>
    </row>
    <row r="611" spans="1:5" ht="14.45" customHeight="1">
      <c r="A611" s="49"/>
      <c r="B611" s="97"/>
      <c r="C611" s="62" t="s">
        <v>134</v>
      </c>
      <c r="D611" s="65">
        <v>82</v>
      </c>
      <c r="E611" s="64">
        <v>1.4999999999999999E-2</v>
      </c>
    </row>
    <row r="612" spans="1:5" ht="14.45" customHeight="1">
      <c r="A612" s="49"/>
      <c r="B612" s="97"/>
      <c r="C612" s="62" t="s">
        <v>146</v>
      </c>
      <c r="D612" s="65">
        <v>12</v>
      </c>
      <c r="E612" s="64">
        <v>2E-3</v>
      </c>
    </row>
    <row r="613" spans="1:5" ht="14.45" customHeight="1">
      <c r="A613" s="49"/>
      <c r="B613" s="97"/>
      <c r="C613" s="62" t="s">
        <v>188</v>
      </c>
      <c r="D613" s="65">
        <v>1</v>
      </c>
      <c r="E613" s="64">
        <v>0</v>
      </c>
    </row>
    <row r="614" spans="1:5" ht="14.45" customHeight="1">
      <c r="A614" s="49"/>
      <c r="B614" s="97"/>
      <c r="C614" s="62" t="s">
        <v>261</v>
      </c>
      <c r="D614" s="65">
        <v>20</v>
      </c>
      <c r="E614" s="64">
        <v>4.0000000000000001E-3</v>
      </c>
    </row>
    <row r="615" spans="1:5" ht="14.45" customHeight="1">
      <c r="A615" s="49"/>
      <c r="B615" s="97"/>
      <c r="C615" s="62" t="s">
        <v>165</v>
      </c>
      <c r="D615" s="65">
        <v>16</v>
      </c>
      <c r="E615" s="64">
        <v>3.0000000000000001E-3</v>
      </c>
    </row>
    <row r="616" spans="1:5" ht="14.45" customHeight="1">
      <c r="A616" s="49"/>
      <c r="B616" s="97"/>
      <c r="C616" s="62" t="s">
        <v>147</v>
      </c>
      <c r="D616" s="65">
        <v>3</v>
      </c>
      <c r="E616" s="64">
        <v>1E-3</v>
      </c>
    </row>
    <row r="617" spans="1:5" ht="14.45" customHeight="1">
      <c r="A617" s="49"/>
      <c r="B617" s="97"/>
      <c r="C617" s="62" t="s">
        <v>135</v>
      </c>
      <c r="D617" s="65">
        <v>23</v>
      </c>
      <c r="E617" s="64">
        <v>4.0000000000000001E-3</v>
      </c>
    </row>
    <row r="618" spans="1:5" ht="14.45" customHeight="1">
      <c r="A618" s="49"/>
      <c r="B618" s="97"/>
      <c r="C618" s="62" t="s">
        <v>167</v>
      </c>
      <c r="D618" s="65">
        <v>9</v>
      </c>
      <c r="E618" s="64">
        <v>2E-3</v>
      </c>
    </row>
    <row r="619" spans="1:5" ht="14.45" customHeight="1">
      <c r="A619" s="49"/>
      <c r="B619" s="97"/>
      <c r="C619" s="62" t="s">
        <v>136</v>
      </c>
      <c r="D619" s="65">
        <v>61</v>
      </c>
      <c r="E619" s="64">
        <v>1.0999999999999999E-2</v>
      </c>
    </row>
    <row r="620" spans="1:5" ht="14.45" customHeight="1">
      <c r="A620" s="49"/>
      <c r="B620" s="97"/>
      <c r="C620" s="62" t="s">
        <v>137</v>
      </c>
      <c r="D620" s="65">
        <v>2</v>
      </c>
      <c r="E620" s="64">
        <v>0</v>
      </c>
    </row>
    <row r="621" spans="1:5" ht="14.45" customHeight="1">
      <c r="A621" s="49"/>
      <c r="B621" s="97"/>
      <c r="C621" s="62" t="s">
        <v>148</v>
      </c>
      <c r="D621" s="65">
        <v>1</v>
      </c>
      <c r="E621" s="64">
        <v>0</v>
      </c>
    </row>
    <row r="622" spans="1:5" ht="14.45" customHeight="1">
      <c r="A622" s="49"/>
      <c r="B622" s="97"/>
      <c r="C622" s="62" t="s">
        <v>149</v>
      </c>
      <c r="D622" s="65">
        <v>9</v>
      </c>
      <c r="E622" s="64">
        <v>2E-3</v>
      </c>
    </row>
    <row r="623" spans="1:5" ht="14.45" customHeight="1">
      <c r="A623" s="49"/>
      <c r="B623" s="97"/>
      <c r="C623" s="62" t="s">
        <v>138</v>
      </c>
      <c r="D623" s="65">
        <v>3</v>
      </c>
      <c r="E623" s="64">
        <v>1E-3</v>
      </c>
    </row>
    <row r="624" spans="1:5" ht="14.45" customHeight="1">
      <c r="A624" s="49"/>
      <c r="B624" s="97"/>
      <c r="C624" s="62" t="s">
        <v>155</v>
      </c>
      <c r="D624" s="65">
        <v>39</v>
      </c>
      <c r="E624" s="64">
        <v>7.0000000000000001E-3</v>
      </c>
    </row>
    <row r="625" spans="1:5" ht="14.45" customHeight="1">
      <c r="A625" s="49"/>
      <c r="B625" s="97"/>
      <c r="C625" s="62" t="s">
        <v>156</v>
      </c>
      <c r="D625" s="65">
        <v>7</v>
      </c>
      <c r="E625" s="64">
        <v>1E-3</v>
      </c>
    </row>
    <row r="626" spans="1:5" ht="27.95" customHeight="1">
      <c r="A626" s="49"/>
      <c r="B626" s="97"/>
      <c r="C626" s="62" t="s">
        <v>170</v>
      </c>
      <c r="D626" s="65">
        <v>43</v>
      </c>
      <c r="E626" s="64">
        <v>8.0000000000000002E-3</v>
      </c>
    </row>
    <row r="627" spans="1:5" ht="14.45" customHeight="1">
      <c r="A627" s="49"/>
      <c r="B627" s="97"/>
      <c r="C627" s="62" t="s">
        <v>185</v>
      </c>
      <c r="D627" s="65">
        <v>2</v>
      </c>
      <c r="E627" s="64">
        <v>0</v>
      </c>
    </row>
    <row r="628" spans="1:5" ht="14.45" customHeight="1">
      <c r="A628" s="49"/>
      <c r="B628" s="97"/>
      <c r="C628" s="62" t="s">
        <v>171</v>
      </c>
      <c r="D628" s="65">
        <v>6</v>
      </c>
      <c r="E628" s="64">
        <v>1E-3</v>
      </c>
    </row>
    <row r="629" spans="1:5" ht="14.45" customHeight="1">
      <c r="A629" s="49"/>
      <c r="B629" s="97"/>
      <c r="C629" s="62" t="s">
        <v>186</v>
      </c>
      <c r="D629" s="65">
        <v>2</v>
      </c>
      <c r="E629" s="64">
        <v>0</v>
      </c>
    </row>
    <row r="630" spans="1:5" ht="14.45" customHeight="1">
      <c r="A630" s="49"/>
      <c r="B630" s="97"/>
      <c r="C630" s="62" t="s">
        <v>173</v>
      </c>
      <c r="D630" s="65">
        <v>1</v>
      </c>
      <c r="E630" s="64">
        <v>0</v>
      </c>
    </row>
    <row r="631" spans="1:5" ht="14.45" customHeight="1">
      <c r="A631" s="49"/>
      <c r="B631" s="97"/>
      <c r="C631" s="62" t="s">
        <v>174</v>
      </c>
      <c r="D631" s="65">
        <v>1</v>
      </c>
      <c r="E631" s="64">
        <v>0</v>
      </c>
    </row>
    <row r="632" spans="1:5" ht="14.45" customHeight="1">
      <c r="A632" s="49"/>
      <c r="B632" s="97"/>
      <c r="C632" s="62" t="s">
        <v>139</v>
      </c>
      <c r="D632" s="65">
        <v>77</v>
      </c>
      <c r="E632" s="64">
        <v>1.4E-2</v>
      </c>
    </row>
    <row r="633" spans="1:5" ht="14.45" customHeight="1">
      <c r="A633" s="49"/>
      <c r="B633" s="97"/>
      <c r="C633" s="62" t="s">
        <v>175</v>
      </c>
      <c r="D633" s="65">
        <v>2</v>
      </c>
      <c r="E633" s="64">
        <v>0</v>
      </c>
    </row>
    <row r="634" spans="1:5" ht="27.95" customHeight="1">
      <c r="A634" s="49"/>
      <c r="B634" s="97"/>
      <c r="C634" s="62" t="s">
        <v>189</v>
      </c>
      <c r="D634" s="65">
        <v>2</v>
      </c>
      <c r="E634" s="64">
        <v>0</v>
      </c>
    </row>
    <row r="635" spans="1:5" ht="14.45" customHeight="1">
      <c r="A635" s="49"/>
      <c r="B635" s="97"/>
      <c r="C635" s="62" t="s">
        <v>187</v>
      </c>
      <c r="D635" s="65">
        <v>3</v>
      </c>
      <c r="E635" s="64">
        <v>1E-3</v>
      </c>
    </row>
    <row r="636" spans="1:5" ht="14.45" customHeight="1">
      <c r="A636" s="49"/>
      <c r="B636" s="97"/>
      <c r="C636" s="62" t="s">
        <v>176</v>
      </c>
      <c r="D636" s="65">
        <v>12</v>
      </c>
      <c r="E636" s="64">
        <v>2E-3</v>
      </c>
    </row>
    <row r="637" spans="1:5" ht="14.45" customHeight="1">
      <c r="A637" s="49"/>
      <c r="B637" s="97"/>
      <c r="C637" s="62" t="s">
        <v>177</v>
      </c>
      <c r="D637" s="65">
        <v>12</v>
      </c>
      <c r="E637" s="64">
        <v>2E-3</v>
      </c>
    </row>
    <row r="638" spans="1:5" ht="14.45" customHeight="1">
      <c r="A638" s="49"/>
      <c r="B638" s="97"/>
      <c r="C638" s="62" t="s">
        <v>178</v>
      </c>
      <c r="D638" s="65">
        <v>7</v>
      </c>
      <c r="E638" s="64">
        <v>1E-3</v>
      </c>
    </row>
    <row r="639" spans="1:5" ht="14.45" customHeight="1">
      <c r="A639" s="49"/>
      <c r="B639" s="97"/>
      <c r="C639" s="62" t="s">
        <v>180</v>
      </c>
      <c r="D639" s="65">
        <v>88</v>
      </c>
      <c r="E639" s="64">
        <v>1.6E-2</v>
      </c>
    </row>
    <row r="640" spans="1:5" ht="14.45" customHeight="1">
      <c r="A640" s="49"/>
      <c r="B640" s="97"/>
      <c r="C640" s="62" t="s">
        <v>140</v>
      </c>
      <c r="D640" s="65">
        <v>28</v>
      </c>
      <c r="E640" s="64">
        <v>5.0000000000000001E-3</v>
      </c>
    </row>
    <row r="641" spans="1:5" ht="14.45" customHeight="1">
      <c r="A641" s="49"/>
      <c r="B641" s="97"/>
      <c r="C641" s="62" t="s">
        <v>181</v>
      </c>
      <c r="D641" s="65">
        <v>7</v>
      </c>
      <c r="E641" s="64">
        <v>1E-3</v>
      </c>
    </row>
    <row r="642" spans="1:5" ht="14.45" customHeight="1">
      <c r="A642" s="49"/>
      <c r="B642" s="97"/>
      <c r="C642" s="62" t="s">
        <v>141</v>
      </c>
      <c r="D642" s="65">
        <v>44</v>
      </c>
      <c r="E642" s="64">
        <v>8.0000000000000002E-3</v>
      </c>
    </row>
    <row r="643" spans="1:5" ht="14.45" customHeight="1">
      <c r="A643" s="49"/>
      <c r="B643" s="97"/>
      <c r="C643" s="62" t="s">
        <v>142</v>
      </c>
      <c r="D643" s="65">
        <v>15</v>
      </c>
      <c r="E643" s="64">
        <v>3.0000000000000001E-3</v>
      </c>
    </row>
    <row r="644" spans="1:5" ht="14.45" customHeight="1">
      <c r="A644" s="49"/>
      <c r="B644" s="97"/>
      <c r="C644" s="62" t="s">
        <v>143</v>
      </c>
      <c r="D644" s="65">
        <v>3</v>
      </c>
      <c r="E644" s="64">
        <v>1E-3</v>
      </c>
    </row>
    <row r="645" spans="1:5" ht="14.45" customHeight="1">
      <c r="A645" s="49"/>
      <c r="B645" s="97"/>
      <c r="C645" s="62" t="s">
        <v>182</v>
      </c>
      <c r="D645" s="65">
        <v>24</v>
      </c>
      <c r="E645" s="64">
        <v>4.0000000000000001E-3</v>
      </c>
    </row>
    <row r="646" spans="1:5" ht="14.45" customHeight="1">
      <c r="A646" s="49"/>
      <c r="B646" s="97"/>
      <c r="C646" s="62" t="s">
        <v>144</v>
      </c>
      <c r="D646" s="65">
        <v>192</v>
      </c>
      <c r="E646" s="64">
        <v>3.4000000000000002E-2</v>
      </c>
    </row>
    <row r="647" spans="1:5" ht="14.45" customHeight="1">
      <c r="A647" s="49"/>
      <c r="B647" s="97"/>
      <c r="C647" s="62" t="s">
        <v>145</v>
      </c>
      <c r="D647" s="65">
        <v>13</v>
      </c>
      <c r="E647" s="64">
        <v>2E-3</v>
      </c>
    </row>
    <row r="648" spans="1:5" ht="14.45" customHeight="1">
      <c r="A648" s="49"/>
      <c r="B648" s="97"/>
      <c r="C648" s="62" t="s">
        <v>183</v>
      </c>
      <c r="D648" s="65">
        <v>5</v>
      </c>
      <c r="E648" s="64">
        <v>1E-3</v>
      </c>
    </row>
    <row r="649" spans="1:5" ht="14.45" customHeight="1">
      <c r="A649" s="49"/>
      <c r="B649" s="97"/>
      <c r="C649" s="62" t="s">
        <v>158</v>
      </c>
      <c r="D649" s="65">
        <v>3</v>
      </c>
      <c r="E649" s="64">
        <v>1E-3</v>
      </c>
    </row>
    <row r="650" spans="1:5" ht="14.45" customHeight="1">
      <c r="A650" s="49"/>
      <c r="B650" s="97"/>
      <c r="C650" s="62" t="s">
        <v>150</v>
      </c>
      <c r="D650" s="65">
        <v>6</v>
      </c>
      <c r="E650" s="64">
        <v>1E-3</v>
      </c>
    </row>
    <row r="651" spans="1:5" ht="14.45" customHeight="1">
      <c r="A651" s="49"/>
      <c r="B651" s="97"/>
      <c r="C651" s="62" t="s">
        <v>151</v>
      </c>
      <c r="D651" s="65">
        <v>1</v>
      </c>
      <c r="E651" s="64">
        <v>0</v>
      </c>
    </row>
    <row r="652" spans="1:5" ht="14.45" customHeight="1">
      <c r="A652" s="49"/>
      <c r="B652" s="97"/>
      <c r="C652" s="62" t="s">
        <v>152</v>
      </c>
      <c r="D652" s="65">
        <v>26</v>
      </c>
      <c r="E652" s="64">
        <v>5.0000000000000001E-3</v>
      </c>
    </row>
    <row r="653" spans="1:5" ht="14.45" customHeight="1">
      <c r="A653" s="49"/>
      <c r="B653" s="97"/>
      <c r="C653" s="62" t="s">
        <v>184</v>
      </c>
      <c r="D653" s="65">
        <v>2</v>
      </c>
      <c r="E653" s="64">
        <v>0</v>
      </c>
    </row>
    <row r="654" spans="1:5" ht="14.45" customHeight="1">
      <c r="A654" s="49"/>
      <c r="B654" s="97"/>
      <c r="C654" s="62" t="s">
        <v>153</v>
      </c>
      <c r="D654" s="65">
        <v>161</v>
      </c>
      <c r="E654" s="64">
        <v>2.9000000000000001E-2</v>
      </c>
    </row>
    <row r="655" spans="1:5" ht="14.45" customHeight="1">
      <c r="A655" s="49"/>
      <c r="B655" s="97"/>
      <c r="C655" s="62" t="s">
        <v>154</v>
      </c>
      <c r="D655" s="65">
        <v>2</v>
      </c>
      <c r="E655" s="64">
        <v>0</v>
      </c>
    </row>
    <row r="656" spans="1:5" ht="14.45" customHeight="1">
      <c r="A656" s="49"/>
      <c r="B656" s="97"/>
      <c r="C656" s="73" t="s">
        <v>288</v>
      </c>
      <c r="D656" s="74">
        <v>1126</v>
      </c>
      <c r="E656" s="72">
        <v>0.20100000000000001</v>
      </c>
    </row>
    <row r="657" spans="1:5" ht="14.45" customHeight="1">
      <c r="A657" s="49"/>
      <c r="B657" s="97" t="s">
        <v>79</v>
      </c>
      <c r="C657" s="62" t="s">
        <v>131</v>
      </c>
      <c r="D657" s="65">
        <v>3</v>
      </c>
      <c r="E657" s="64">
        <v>1E-3</v>
      </c>
    </row>
    <row r="658" spans="1:5" ht="14.45" customHeight="1">
      <c r="A658" s="49"/>
      <c r="B658" s="97"/>
      <c r="C658" s="62" t="s">
        <v>162</v>
      </c>
      <c r="D658" s="65">
        <v>1</v>
      </c>
      <c r="E658" s="64">
        <v>0</v>
      </c>
    </row>
    <row r="659" spans="1:5" ht="14.45" customHeight="1">
      <c r="A659" s="49"/>
      <c r="B659" s="97"/>
      <c r="C659" s="62" t="s">
        <v>133</v>
      </c>
      <c r="D659" s="65">
        <v>1</v>
      </c>
      <c r="E659" s="64">
        <v>0</v>
      </c>
    </row>
    <row r="660" spans="1:5" ht="14.45" customHeight="1">
      <c r="A660" s="49"/>
      <c r="B660" s="97"/>
      <c r="C660" s="62" t="s">
        <v>134</v>
      </c>
      <c r="D660" s="65">
        <v>4</v>
      </c>
      <c r="E660" s="64">
        <v>1E-3</v>
      </c>
    </row>
    <row r="661" spans="1:5" ht="14.45" customHeight="1">
      <c r="A661" s="49"/>
      <c r="B661" s="97"/>
      <c r="C661" s="62" t="s">
        <v>165</v>
      </c>
      <c r="D661" s="65">
        <v>1</v>
      </c>
      <c r="E661" s="64">
        <v>0</v>
      </c>
    </row>
    <row r="662" spans="1:5" ht="14.45" customHeight="1">
      <c r="A662" s="49"/>
      <c r="B662" s="97"/>
      <c r="C662" s="62" t="s">
        <v>147</v>
      </c>
      <c r="D662" s="65">
        <v>1</v>
      </c>
      <c r="E662" s="64">
        <v>0</v>
      </c>
    </row>
    <row r="663" spans="1:5" ht="14.45" customHeight="1">
      <c r="A663" s="49"/>
      <c r="B663" s="97"/>
      <c r="C663" s="62" t="s">
        <v>135</v>
      </c>
      <c r="D663" s="65">
        <v>7</v>
      </c>
      <c r="E663" s="64">
        <v>1E-3</v>
      </c>
    </row>
    <row r="664" spans="1:5" ht="14.45" customHeight="1">
      <c r="A664" s="49"/>
      <c r="B664" s="97"/>
      <c r="C664" s="62" t="s">
        <v>136</v>
      </c>
      <c r="D664" s="65">
        <v>8</v>
      </c>
      <c r="E664" s="64">
        <v>1E-3</v>
      </c>
    </row>
    <row r="665" spans="1:5" ht="14.45" customHeight="1">
      <c r="A665" s="49"/>
      <c r="B665" s="97"/>
      <c r="C665" s="62" t="s">
        <v>168</v>
      </c>
      <c r="D665" s="65">
        <v>1</v>
      </c>
      <c r="E665" s="64">
        <v>0</v>
      </c>
    </row>
    <row r="666" spans="1:5" ht="14.45" customHeight="1">
      <c r="A666" s="49"/>
      <c r="B666" s="97"/>
      <c r="C666" s="62" t="s">
        <v>149</v>
      </c>
      <c r="D666" s="65">
        <v>1</v>
      </c>
      <c r="E666" s="64">
        <v>0</v>
      </c>
    </row>
    <row r="667" spans="1:5" ht="14.45" customHeight="1">
      <c r="A667" s="49"/>
      <c r="B667" s="97"/>
      <c r="C667" s="62" t="s">
        <v>138</v>
      </c>
      <c r="D667" s="65">
        <v>1</v>
      </c>
      <c r="E667" s="64">
        <v>0</v>
      </c>
    </row>
    <row r="668" spans="1:5" ht="14.45" customHeight="1">
      <c r="A668" s="49"/>
      <c r="B668" s="97"/>
      <c r="C668" s="62" t="s">
        <v>189</v>
      </c>
      <c r="D668" s="65">
        <v>1</v>
      </c>
      <c r="E668" s="64">
        <v>0</v>
      </c>
    </row>
    <row r="669" spans="1:5" ht="14.45" customHeight="1">
      <c r="A669" s="49"/>
      <c r="B669" s="97"/>
      <c r="C669" s="62" t="s">
        <v>178</v>
      </c>
      <c r="D669" s="65">
        <v>1</v>
      </c>
      <c r="E669" s="64">
        <v>0</v>
      </c>
    </row>
    <row r="670" spans="1:5" ht="14.45" customHeight="1">
      <c r="A670" s="49"/>
      <c r="B670" s="97"/>
      <c r="C670" s="62" t="s">
        <v>180</v>
      </c>
      <c r="D670" s="65">
        <v>1</v>
      </c>
      <c r="E670" s="64">
        <v>0</v>
      </c>
    </row>
    <row r="671" spans="1:5" ht="14.45" customHeight="1">
      <c r="A671" s="49"/>
      <c r="B671" s="97"/>
      <c r="C671" s="62" t="s">
        <v>144</v>
      </c>
      <c r="D671" s="65">
        <v>2</v>
      </c>
      <c r="E671" s="64">
        <v>0</v>
      </c>
    </row>
    <row r="672" spans="1:5" ht="14.45" customHeight="1">
      <c r="A672" s="49"/>
      <c r="B672" s="97"/>
      <c r="C672" s="62" t="s">
        <v>145</v>
      </c>
      <c r="D672" s="65">
        <v>2</v>
      </c>
      <c r="E672" s="64">
        <v>0</v>
      </c>
    </row>
    <row r="673" spans="1:5" ht="14.45" customHeight="1">
      <c r="A673" s="49"/>
      <c r="B673" s="97"/>
      <c r="C673" s="62" t="s">
        <v>150</v>
      </c>
      <c r="D673" s="65">
        <v>1</v>
      </c>
      <c r="E673" s="64">
        <v>0</v>
      </c>
    </row>
    <row r="674" spans="1:5" ht="14.45" customHeight="1">
      <c r="A674" s="49"/>
      <c r="B674" s="97"/>
      <c r="C674" s="62" t="s">
        <v>151</v>
      </c>
      <c r="D674" s="65">
        <v>1</v>
      </c>
      <c r="E674" s="64">
        <v>0</v>
      </c>
    </row>
    <row r="675" spans="1:5" ht="14.45" customHeight="1">
      <c r="A675" s="49"/>
      <c r="B675" s="97"/>
      <c r="C675" s="62" t="s">
        <v>153</v>
      </c>
      <c r="D675" s="65">
        <v>8</v>
      </c>
      <c r="E675" s="64">
        <v>1E-3</v>
      </c>
    </row>
    <row r="676" spans="1:5" ht="14.45" customHeight="1">
      <c r="A676" s="49"/>
      <c r="B676" s="97"/>
      <c r="C676" s="73" t="s">
        <v>288</v>
      </c>
      <c r="D676" s="74">
        <v>46</v>
      </c>
      <c r="E676" s="72">
        <v>8.0000000000000002E-3</v>
      </c>
    </row>
    <row r="677" spans="1:5" ht="14.45" customHeight="1">
      <c r="A677" s="49"/>
      <c r="B677" s="97" t="s">
        <v>83</v>
      </c>
      <c r="C677" s="62" t="s">
        <v>159</v>
      </c>
      <c r="D677" s="65">
        <v>1</v>
      </c>
      <c r="E677" s="64">
        <v>0</v>
      </c>
    </row>
    <row r="678" spans="1:5" ht="14.45" customHeight="1">
      <c r="A678" s="49"/>
      <c r="B678" s="97"/>
      <c r="C678" s="62" t="s">
        <v>131</v>
      </c>
      <c r="D678" s="65">
        <v>2</v>
      </c>
      <c r="E678" s="64">
        <v>0</v>
      </c>
    </row>
    <row r="679" spans="1:5" ht="14.45" customHeight="1">
      <c r="A679" s="49"/>
      <c r="B679" s="97"/>
      <c r="C679" s="62" t="s">
        <v>261</v>
      </c>
      <c r="D679" s="65">
        <v>1</v>
      </c>
      <c r="E679" s="64">
        <v>0</v>
      </c>
    </row>
    <row r="680" spans="1:5" ht="14.45" customHeight="1">
      <c r="A680" s="49"/>
      <c r="B680" s="97"/>
      <c r="C680" s="62" t="s">
        <v>165</v>
      </c>
      <c r="D680" s="65">
        <v>1</v>
      </c>
      <c r="E680" s="64">
        <v>0</v>
      </c>
    </row>
    <row r="681" spans="1:5" ht="14.45" customHeight="1">
      <c r="A681" s="49"/>
      <c r="B681" s="97"/>
      <c r="C681" s="62" t="s">
        <v>135</v>
      </c>
      <c r="D681" s="65">
        <v>2</v>
      </c>
      <c r="E681" s="64">
        <v>0</v>
      </c>
    </row>
    <row r="682" spans="1:5" ht="14.45" customHeight="1">
      <c r="A682" s="49"/>
      <c r="B682" s="97"/>
      <c r="C682" s="62" t="s">
        <v>138</v>
      </c>
      <c r="D682" s="65">
        <v>1</v>
      </c>
      <c r="E682" s="64">
        <v>0</v>
      </c>
    </row>
    <row r="683" spans="1:5" ht="14.45" customHeight="1">
      <c r="A683" s="49"/>
      <c r="B683" s="97"/>
      <c r="C683" s="62" t="s">
        <v>141</v>
      </c>
      <c r="D683" s="65">
        <v>1</v>
      </c>
      <c r="E683" s="64">
        <v>0</v>
      </c>
    </row>
    <row r="684" spans="1:5" ht="14.45" customHeight="1">
      <c r="A684" s="49"/>
      <c r="B684" s="97"/>
      <c r="C684" s="62" t="s">
        <v>143</v>
      </c>
      <c r="D684" s="65">
        <v>1</v>
      </c>
      <c r="E684" s="64">
        <v>0</v>
      </c>
    </row>
    <row r="685" spans="1:5" ht="14.45" customHeight="1">
      <c r="A685" s="49"/>
      <c r="B685" s="97"/>
      <c r="C685" s="62" t="s">
        <v>144</v>
      </c>
      <c r="D685" s="65">
        <v>8</v>
      </c>
      <c r="E685" s="64">
        <v>1E-3</v>
      </c>
    </row>
    <row r="686" spans="1:5" ht="14.45" customHeight="1">
      <c r="A686" s="49"/>
      <c r="B686" s="97"/>
      <c r="C686" s="62" t="s">
        <v>158</v>
      </c>
      <c r="D686" s="65">
        <v>1</v>
      </c>
      <c r="E686" s="64">
        <v>0</v>
      </c>
    </row>
    <row r="687" spans="1:5" ht="14.45" customHeight="1">
      <c r="A687" s="49"/>
      <c r="B687" s="97"/>
      <c r="C687" s="62" t="s">
        <v>153</v>
      </c>
      <c r="D687" s="65">
        <v>1</v>
      </c>
      <c r="E687" s="64">
        <v>0</v>
      </c>
    </row>
    <row r="688" spans="1:5" ht="14.45" customHeight="1">
      <c r="A688" s="49"/>
      <c r="B688" s="97"/>
      <c r="C688" s="73" t="s">
        <v>288</v>
      </c>
      <c r="D688" s="74">
        <v>20</v>
      </c>
      <c r="E688" s="72">
        <v>4.0000000000000001E-3</v>
      </c>
    </row>
    <row r="689" spans="1:5" ht="14.45" customHeight="1">
      <c r="A689" s="49"/>
      <c r="B689" s="97" t="s">
        <v>75</v>
      </c>
      <c r="C689" s="62" t="s">
        <v>131</v>
      </c>
      <c r="D689" s="65">
        <v>4</v>
      </c>
      <c r="E689" s="64">
        <v>1E-3</v>
      </c>
    </row>
    <row r="690" spans="1:5" ht="27.95" customHeight="1">
      <c r="A690" s="49"/>
      <c r="B690" s="97"/>
      <c r="C690" s="62" t="s">
        <v>132</v>
      </c>
      <c r="D690" s="65">
        <v>1</v>
      </c>
      <c r="E690" s="64">
        <v>0</v>
      </c>
    </row>
    <row r="691" spans="1:5" ht="14.45" customHeight="1">
      <c r="A691" s="49"/>
      <c r="B691" s="97"/>
      <c r="C691" s="62" t="s">
        <v>133</v>
      </c>
      <c r="D691" s="65">
        <v>2</v>
      </c>
      <c r="E691" s="64">
        <v>0</v>
      </c>
    </row>
    <row r="692" spans="1:5" ht="14.45" customHeight="1">
      <c r="A692" s="49"/>
      <c r="B692" s="97"/>
      <c r="C692" s="62" t="s">
        <v>165</v>
      </c>
      <c r="D692" s="65">
        <v>3</v>
      </c>
      <c r="E692" s="64">
        <v>1E-3</v>
      </c>
    </row>
    <row r="693" spans="1:5" ht="14.45" customHeight="1">
      <c r="A693" s="49"/>
      <c r="B693" s="97"/>
      <c r="C693" s="62" t="s">
        <v>166</v>
      </c>
      <c r="D693" s="65">
        <v>2</v>
      </c>
      <c r="E693" s="64">
        <v>0</v>
      </c>
    </row>
    <row r="694" spans="1:5" ht="14.45" customHeight="1">
      <c r="A694" s="49"/>
      <c r="B694" s="97"/>
      <c r="C694" s="62" t="s">
        <v>147</v>
      </c>
      <c r="D694" s="65">
        <v>2</v>
      </c>
      <c r="E694" s="64">
        <v>0</v>
      </c>
    </row>
    <row r="695" spans="1:5" ht="14.45" customHeight="1">
      <c r="A695" s="49"/>
      <c r="B695" s="97"/>
      <c r="C695" s="62" t="s">
        <v>135</v>
      </c>
      <c r="D695" s="65">
        <v>1</v>
      </c>
      <c r="E695" s="64">
        <v>0</v>
      </c>
    </row>
    <row r="696" spans="1:5" ht="14.45" customHeight="1">
      <c r="A696" s="49"/>
      <c r="B696" s="97"/>
      <c r="C696" s="62" t="s">
        <v>155</v>
      </c>
      <c r="D696" s="65">
        <v>1</v>
      </c>
      <c r="E696" s="64">
        <v>0</v>
      </c>
    </row>
    <row r="697" spans="1:5" ht="14.45" customHeight="1">
      <c r="A697" s="49"/>
      <c r="B697" s="97"/>
      <c r="C697" s="62" t="s">
        <v>139</v>
      </c>
      <c r="D697" s="65">
        <v>4</v>
      </c>
      <c r="E697" s="64">
        <v>1E-3</v>
      </c>
    </row>
    <row r="698" spans="1:5" ht="14.45" customHeight="1">
      <c r="A698" s="49"/>
      <c r="B698" s="97"/>
      <c r="C698" s="62" t="s">
        <v>140</v>
      </c>
      <c r="D698" s="65">
        <v>1</v>
      </c>
      <c r="E698" s="64">
        <v>0</v>
      </c>
    </row>
    <row r="699" spans="1:5" ht="27.95" customHeight="1">
      <c r="A699" s="49"/>
      <c r="B699" s="97"/>
      <c r="C699" s="62" t="s">
        <v>141</v>
      </c>
      <c r="D699" s="65">
        <v>1</v>
      </c>
      <c r="E699" s="64">
        <v>0</v>
      </c>
    </row>
    <row r="700" spans="1:5" ht="14.45" customHeight="1">
      <c r="A700" s="49"/>
      <c r="B700" s="97"/>
      <c r="C700" s="62" t="s">
        <v>142</v>
      </c>
      <c r="D700" s="65">
        <v>1</v>
      </c>
      <c r="E700" s="64">
        <v>0</v>
      </c>
    </row>
    <row r="701" spans="1:5" ht="14.45" customHeight="1">
      <c r="A701" s="49"/>
      <c r="B701" s="97"/>
      <c r="C701" s="62" t="s">
        <v>143</v>
      </c>
      <c r="D701" s="65">
        <v>1</v>
      </c>
      <c r="E701" s="64">
        <v>0</v>
      </c>
    </row>
    <row r="702" spans="1:5" ht="14.45" customHeight="1">
      <c r="A702" s="49"/>
      <c r="B702" s="97"/>
      <c r="C702" s="62" t="s">
        <v>182</v>
      </c>
      <c r="D702" s="65">
        <v>1</v>
      </c>
      <c r="E702" s="64">
        <v>0</v>
      </c>
    </row>
    <row r="703" spans="1:5" ht="14.45" customHeight="1">
      <c r="A703" s="49"/>
      <c r="B703" s="97"/>
      <c r="C703" s="62" t="s">
        <v>144</v>
      </c>
      <c r="D703" s="65">
        <v>7</v>
      </c>
      <c r="E703" s="64">
        <v>1E-3</v>
      </c>
    </row>
    <row r="704" spans="1:5" ht="14.45" customHeight="1">
      <c r="A704" s="49"/>
      <c r="B704" s="97"/>
      <c r="C704" s="62" t="s">
        <v>145</v>
      </c>
      <c r="D704" s="65">
        <v>12</v>
      </c>
      <c r="E704" s="64">
        <v>2E-3</v>
      </c>
    </row>
    <row r="705" spans="1:5" ht="14.45" customHeight="1">
      <c r="A705" s="49"/>
      <c r="B705" s="97"/>
      <c r="C705" s="62" t="s">
        <v>157</v>
      </c>
      <c r="D705" s="65">
        <v>1</v>
      </c>
      <c r="E705" s="64">
        <v>0</v>
      </c>
    </row>
    <row r="706" spans="1:5" ht="14.45" customHeight="1">
      <c r="A706" s="49"/>
      <c r="B706" s="97"/>
      <c r="C706" s="62" t="s">
        <v>158</v>
      </c>
      <c r="D706" s="65">
        <v>1</v>
      </c>
      <c r="E706" s="64">
        <v>0</v>
      </c>
    </row>
    <row r="707" spans="1:5" ht="14.45" customHeight="1">
      <c r="A707" s="49"/>
      <c r="B707" s="97"/>
      <c r="C707" s="62" t="s">
        <v>150</v>
      </c>
      <c r="D707" s="65">
        <v>2</v>
      </c>
      <c r="E707" s="64">
        <v>0</v>
      </c>
    </row>
    <row r="708" spans="1:5" ht="14.45" customHeight="1">
      <c r="A708" s="49"/>
      <c r="B708" s="97"/>
      <c r="C708" s="62" t="s">
        <v>151</v>
      </c>
      <c r="D708" s="65">
        <v>2</v>
      </c>
      <c r="E708" s="64">
        <v>0</v>
      </c>
    </row>
    <row r="709" spans="1:5" ht="14.45" customHeight="1">
      <c r="A709" s="49"/>
      <c r="B709" s="97"/>
      <c r="C709" s="62" t="s">
        <v>184</v>
      </c>
      <c r="D709" s="65">
        <v>1</v>
      </c>
      <c r="E709" s="64">
        <v>0</v>
      </c>
    </row>
    <row r="710" spans="1:5" ht="14.45" customHeight="1">
      <c r="A710" s="49"/>
      <c r="B710" s="97"/>
      <c r="C710" s="73" t="s">
        <v>288</v>
      </c>
      <c r="D710" s="74">
        <v>51</v>
      </c>
      <c r="E710" s="72">
        <v>8.9999999999999993E-3</v>
      </c>
    </row>
    <row r="711" spans="1:5" ht="14.45" customHeight="1">
      <c r="A711" s="49"/>
      <c r="B711" s="97" t="s">
        <v>56</v>
      </c>
      <c r="C711" s="62" t="s">
        <v>159</v>
      </c>
      <c r="D711" s="65">
        <v>1</v>
      </c>
      <c r="E711" s="64">
        <v>0</v>
      </c>
    </row>
    <row r="712" spans="1:5" ht="14.45" customHeight="1">
      <c r="A712" s="49"/>
      <c r="B712" s="97"/>
      <c r="C712" s="62" t="s">
        <v>131</v>
      </c>
      <c r="D712" s="65">
        <v>4</v>
      </c>
      <c r="E712" s="64">
        <v>1E-3</v>
      </c>
    </row>
    <row r="713" spans="1:5" ht="14.45" customHeight="1">
      <c r="A713" s="49"/>
      <c r="B713" s="97"/>
      <c r="C713" s="62" t="s">
        <v>132</v>
      </c>
      <c r="D713" s="65">
        <v>2</v>
      </c>
      <c r="E713" s="64">
        <v>0</v>
      </c>
    </row>
    <row r="714" spans="1:5" ht="14.45" customHeight="1">
      <c r="A714" s="49"/>
      <c r="B714" s="97"/>
      <c r="C714" s="62" t="s">
        <v>162</v>
      </c>
      <c r="D714" s="65">
        <v>2</v>
      </c>
      <c r="E714" s="64">
        <v>0</v>
      </c>
    </row>
    <row r="715" spans="1:5" ht="14.45" customHeight="1">
      <c r="A715" s="49"/>
      <c r="B715" s="97"/>
      <c r="C715" s="62" t="s">
        <v>133</v>
      </c>
      <c r="D715" s="65">
        <v>4</v>
      </c>
      <c r="E715" s="64">
        <v>1E-3</v>
      </c>
    </row>
    <row r="716" spans="1:5" ht="14.45" customHeight="1">
      <c r="A716" s="49"/>
      <c r="B716" s="97"/>
      <c r="C716" s="62" t="s">
        <v>134</v>
      </c>
      <c r="D716" s="65">
        <v>77</v>
      </c>
      <c r="E716" s="64">
        <v>1.4E-2</v>
      </c>
    </row>
    <row r="717" spans="1:5" ht="14.45" customHeight="1">
      <c r="A717" s="49"/>
      <c r="B717" s="97"/>
      <c r="C717" s="62" t="s">
        <v>146</v>
      </c>
      <c r="D717" s="65">
        <v>5</v>
      </c>
      <c r="E717" s="64">
        <v>1E-3</v>
      </c>
    </row>
    <row r="718" spans="1:5" ht="14.45" customHeight="1">
      <c r="A718" s="49"/>
      <c r="B718" s="97"/>
      <c r="C718" s="62" t="s">
        <v>164</v>
      </c>
      <c r="D718" s="65">
        <v>1</v>
      </c>
      <c r="E718" s="64">
        <v>0</v>
      </c>
    </row>
    <row r="719" spans="1:5" ht="14.45" customHeight="1">
      <c r="A719" s="49"/>
      <c r="B719" s="97"/>
      <c r="C719" s="62" t="s">
        <v>188</v>
      </c>
      <c r="D719" s="65">
        <v>1</v>
      </c>
      <c r="E719" s="64">
        <v>0</v>
      </c>
    </row>
    <row r="720" spans="1:5" ht="14.45" customHeight="1">
      <c r="A720" s="49"/>
      <c r="B720" s="97"/>
      <c r="C720" s="62" t="s">
        <v>135</v>
      </c>
      <c r="D720" s="65">
        <v>4</v>
      </c>
      <c r="E720" s="64">
        <v>1E-3</v>
      </c>
    </row>
    <row r="721" spans="1:5" ht="14.45" customHeight="1">
      <c r="A721" s="49"/>
      <c r="B721" s="97"/>
      <c r="C721" s="62" t="s">
        <v>136</v>
      </c>
      <c r="D721" s="65">
        <v>2</v>
      </c>
      <c r="E721" s="64">
        <v>0</v>
      </c>
    </row>
    <row r="722" spans="1:5" ht="14.45" customHeight="1">
      <c r="A722" s="49"/>
      <c r="B722" s="97"/>
      <c r="C722" s="62" t="s">
        <v>168</v>
      </c>
      <c r="D722" s="65">
        <v>1</v>
      </c>
      <c r="E722" s="64">
        <v>0</v>
      </c>
    </row>
    <row r="723" spans="1:5" ht="14.45" customHeight="1">
      <c r="A723" s="49"/>
      <c r="B723" s="97"/>
      <c r="C723" s="62" t="s">
        <v>155</v>
      </c>
      <c r="D723" s="65">
        <v>1</v>
      </c>
      <c r="E723" s="64">
        <v>0</v>
      </c>
    </row>
    <row r="724" spans="1:5" ht="14.45" customHeight="1">
      <c r="A724" s="49"/>
      <c r="B724" s="97"/>
      <c r="C724" s="62" t="s">
        <v>170</v>
      </c>
      <c r="D724" s="65">
        <v>1</v>
      </c>
      <c r="E724" s="64">
        <v>0</v>
      </c>
    </row>
    <row r="725" spans="1:5" ht="14.45" customHeight="1">
      <c r="A725" s="49"/>
      <c r="B725" s="97"/>
      <c r="C725" s="62" t="s">
        <v>171</v>
      </c>
      <c r="D725" s="65">
        <v>2</v>
      </c>
      <c r="E725" s="64">
        <v>0</v>
      </c>
    </row>
    <row r="726" spans="1:5" ht="14.45" customHeight="1">
      <c r="A726" s="49"/>
      <c r="B726" s="97"/>
      <c r="C726" s="62" t="s">
        <v>139</v>
      </c>
      <c r="D726" s="65">
        <v>1</v>
      </c>
      <c r="E726" s="64">
        <v>0</v>
      </c>
    </row>
    <row r="727" spans="1:5" ht="14.45" customHeight="1">
      <c r="A727" s="49"/>
      <c r="B727" s="97"/>
      <c r="C727" s="62" t="s">
        <v>178</v>
      </c>
      <c r="D727" s="65">
        <v>1</v>
      </c>
      <c r="E727" s="64">
        <v>0</v>
      </c>
    </row>
    <row r="728" spans="1:5" ht="14.45" customHeight="1">
      <c r="A728" s="49"/>
      <c r="B728" s="97"/>
      <c r="C728" s="62" t="s">
        <v>180</v>
      </c>
      <c r="D728" s="65">
        <v>2</v>
      </c>
      <c r="E728" s="64">
        <v>0</v>
      </c>
    </row>
    <row r="729" spans="1:5" ht="14.45" customHeight="1">
      <c r="A729" s="49"/>
      <c r="B729" s="97"/>
      <c r="C729" s="62" t="s">
        <v>140</v>
      </c>
      <c r="D729" s="65">
        <v>1</v>
      </c>
      <c r="E729" s="64">
        <v>0</v>
      </c>
    </row>
    <row r="730" spans="1:5" ht="14.45" customHeight="1">
      <c r="A730" s="49"/>
      <c r="B730" s="97"/>
      <c r="C730" s="62" t="s">
        <v>142</v>
      </c>
      <c r="D730" s="65">
        <v>1</v>
      </c>
      <c r="E730" s="64">
        <v>0</v>
      </c>
    </row>
    <row r="731" spans="1:5" ht="14.45" customHeight="1">
      <c r="A731" s="49"/>
      <c r="B731" s="97"/>
      <c r="C731" s="62" t="s">
        <v>182</v>
      </c>
      <c r="D731" s="65">
        <v>1</v>
      </c>
      <c r="E731" s="64">
        <v>0</v>
      </c>
    </row>
    <row r="732" spans="1:5" ht="14.45" customHeight="1">
      <c r="A732" s="49"/>
      <c r="B732" s="97"/>
      <c r="C732" s="62" t="s">
        <v>144</v>
      </c>
      <c r="D732" s="65">
        <v>36</v>
      </c>
      <c r="E732" s="64">
        <v>6.0000000000000001E-3</v>
      </c>
    </row>
    <row r="733" spans="1:5" ht="14.45" customHeight="1">
      <c r="A733" s="49"/>
      <c r="B733" s="97"/>
      <c r="C733" s="62" t="s">
        <v>145</v>
      </c>
      <c r="D733" s="65">
        <v>4</v>
      </c>
      <c r="E733" s="64">
        <v>1E-3</v>
      </c>
    </row>
    <row r="734" spans="1:5" ht="14.45" customHeight="1">
      <c r="A734" s="49"/>
      <c r="B734" s="97"/>
      <c r="C734" s="62" t="s">
        <v>183</v>
      </c>
      <c r="D734" s="65">
        <v>1</v>
      </c>
      <c r="E734" s="64">
        <v>0</v>
      </c>
    </row>
    <row r="735" spans="1:5" ht="14.45" customHeight="1">
      <c r="A735" s="49"/>
      <c r="B735" s="97"/>
      <c r="C735" s="62" t="s">
        <v>151</v>
      </c>
      <c r="D735" s="65">
        <v>1</v>
      </c>
      <c r="E735" s="64">
        <v>0</v>
      </c>
    </row>
    <row r="736" spans="1:5" ht="14.45" customHeight="1">
      <c r="A736" s="49"/>
      <c r="B736" s="97"/>
      <c r="C736" s="62" t="s">
        <v>184</v>
      </c>
      <c r="D736" s="65">
        <v>1</v>
      </c>
      <c r="E736" s="64">
        <v>0</v>
      </c>
    </row>
    <row r="737" spans="1:5" ht="14.45" customHeight="1">
      <c r="A737" s="49"/>
      <c r="B737" s="97"/>
      <c r="C737" s="62" t="s">
        <v>153</v>
      </c>
      <c r="D737" s="65">
        <v>1</v>
      </c>
      <c r="E737" s="64">
        <v>0</v>
      </c>
    </row>
    <row r="738" spans="1:5" ht="14.45" customHeight="1">
      <c r="A738" s="49"/>
      <c r="B738" s="97"/>
      <c r="C738" s="73" t="s">
        <v>288</v>
      </c>
      <c r="D738" s="74">
        <v>159</v>
      </c>
      <c r="E738" s="72">
        <v>2.8000000000000001E-2</v>
      </c>
    </row>
    <row r="739" spans="1:5" ht="14.45" customHeight="1">
      <c r="A739" s="49"/>
      <c r="B739" s="97" t="s">
        <v>66</v>
      </c>
      <c r="C739" s="62" t="s">
        <v>131</v>
      </c>
      <c r="D739" s="65">
        <v>1</v>
      </c>
      <c r="E739" s="64">
        <v>0</v>
      </c>
    </row>
    <row r="740" spans="1:5" ht="14.45" customHeight="1">
      <c r="A740" s="49"/>
      <c r="B740" s="97"/>
      <c r="C740" s="62" t="s">
        <v>162</v>
      </c>
      <c r="D740" s="65">
        <v>1</v>
      </c>
      <c r="E740" s="64">
        <v>0</v>
      </c>
    </row>
    <row r="741" spans="1:5" ht="14.45" customHeight="1">
      <c r="A741" s="49"/>
      <c r="B741" s="97"/>
      <c r="C741" s="62" t="s">
        <v>133</v>
      </c>
      <c r="D741" s="65">
        <v>3</v>
      </c>
      <c r="E741" s="64">
        <v>1E-3</v>
      </c>
    </row>
    <row r="742" spans="1:5" ht="14.45" customHeight="1">
      <c r="A742" s="49"/>
      <c r="B742" s="97"/>
      <c r="C742" s="62" t="s">
        <v>134</v>
      </c>
      <c r="D742" s="65">
        <v>3</v>
      </c>
      <c r="E742" s="64">
        <v>1E-3</v>
      </c>
    </row>
    <row r="743" spans="1:5" ht="14.45" customHeight="1">
      <c r="A743" s="49"/>
      <c r="B743" s="97"/>
      <c r="C743" s="62" t="s">
        <v>261</v>
      </c>
      <c r="D743" s="65">
        <v>2</v>
      </c>
      <c r="E743" s="64">
        <v>0</v>
      </c>
    </row>
    <row r="744" spans="1:5" ht="14.45" customHeight="1">
      <c r="A744" s="49"/>
      <c r="B744" s="97"/>
      <c r="C744" s="62" t="s">
        <v>135</v>
      </c>
      <c r="D744" s="65">
        <v>1</v>
      </c>
      <c r="E744" s="64">
        <v>0</v>
      </c>
    </row>
    <row r="745" spans="1:5" ht="14.45" customHeight="1">
      <c r="A745" s="49"/>
      <c r="B745" s="97"/>
      <c r="C745" s="62" t="s">
        <v>136</v>
      </c>
      <c r="D745" s="65">
        <v>1</v>
      </c>
      <c r="E745" s="64">
        <v>0</v>
      </c>
    </row>
    <row r="746" spans="1:5" ht="14.45" customHeight="1">
      <c r="A746" s="49"/>
      <c r="B746" s="97"/>
      <c r="C746" s="62" t="s">
        <v>170</v>
      </c>
      <c r="D746" s="65">
        <v>4</v>
      </c>
      <c r="E746" s="64">
        <v>1E-3</v>
      </c>
    </row>
    <row r="747" spans="1:5" ht="14.45" customHeight="1">
      <c r="A747" s="49"/>
      <c r="B747" s="97"/>
      <c r="C747" s="62" t="s">
        <v>139</v>
      </c>
      <c r="D747" s="65">
        <v>2</v>
      </c>
      <c r="E747" s="64">
        <v>0</v>
      </c>
    </row>
    <row r="748" spans="1:5" ht="27.95" customHeight="1">
      <c r="A748" s="49"/>
      <c r="B748" s="97"/>
      <c r="C748" s="62" t="s">
        <v>177</v>
      </c>
      <c r="D748" s="65">
        <v>1</v>
      </c>
      <c r="E748" s="64">
        <v>0</v>
      </c>
    </row>
    <row r="749" spans="1:5" ht="14.45" customHeight="1">
      <c r="A749" s="49"/>
      <c r="B749" s="97"/>
      <c r="C749" s="62" t="s">
        <v>180</v>
      </c>
      <c r="D749" s="65">
        <v>1</v>
      </c>
      <c r="E749" s="64">
        <v>0</v>
      </c>
    </row>
    <row r="750" spans="1:5" ht="14.45" customHeight="1">
      <c r="A750" s="49"/>
      <c r="B750" s="97"/>
      <c r="C750" s="62" t="s">
        <v>141</v>
      </c>
      <c r="D750" s="65">
        <v>2</v>
      </c>
      <c r="E750" s="64">
        <v>0</v>
      </c>
    </row>
    <row r="751" spans="1:5" ht="14.45" customHeight="1">
      <c r="A751" s="49"/>
      <c r="B751" s="97"/>
      <c r="C751" s="62" t="s">
        <v>143</v>
      </c>
      <c r="D751" s="65">
        <v>1</v>
      </c>
      <c r="E751" s="64">
        <v>0</v>
      </c>
    </row>
    <row r="752" spans="1:5" ht="14.45" customHeight="1">
      <c r="A752" s="49"/>
      <c r="B752" s="97"/>
      <c r="C752" s="62" t="s">
        <v>144</v>
      </c>
      <c r="D752" s="65">
        <v>6</v>
      </c>
      <c r="E752" s="64">
        <v>1E-3</v>
      </c>
    </row>
    <row r="753" spans="1:5" ht="14.45" customHeight="1">
      <c r="A753" s="49"/>
      <c r="B753" s="97"/>
      <c r="C753" s="62" t="s">
        <v>145</v>
      </c>
      <c r="D753" s="65">
        <v>1</v>
      </c>
      <c r="E753" s="64">
        <v>0</v>
      </c>
    </row>
    <row r="754" spans="1:5" ht="14.45" customHeight="1">
      <c r="A754" s="49"/>
      <c r="B754" s="97"/>
      <c r="C754" s="62" t="s">
        <v>183</v>
      </c>
      <c r="D754" s="65">
        <v>1</v>
      </c>
      <c r="E754" s="64">
        <v>0</v>
      </c>
    </row>
    <row r="755" spans="1:5" ht="14.45" customHeight="1">
      <c r="A755" s="49"/>
      <c r="B755" s="97"/>
      <c r="C755" s="62" t="s">
        <v>150</v>
      </c>
      <c r="D755" s="65">
        <v>1</v>
      </c>
      <c r="E755" s="64">
        <v>0</v>
      </c>
    </row>
    <row r="756" spans="1:5" ht="27.95" customHeight="1">
      <c r="A756" s="49"/>
      <c r="B756" s="97"/>
      <c r="C756" s="62" t="s">
        <v>153</v>
      </c>
      <c r="D756" s="65">
        <v>2</v>
      </c>
      <c r="E756" s="64">
        <v>0</v>
      </c>
    </row>
    <row r="757" spans="1:5" ht="14.45" customHeight="1">
      <c r="A757" s="49"/>
      <c r="B757" s="97"/>
      <c r="C757" s="73" t="s">
        <v>288</v>
      </c>
      <c r="D757" s="74">
        <v>34</v>
      </c>
      <c r="E757" s="72">
        <v>6.0000000000000001E-3</v>
      </c>
    </row>
    <row r="758" spans="1:5" ht="14.45" customHeight="1">
      <c r="A758" s="49"/>
      <c r="B758" s="97" t="s">
        <v>68</v>
      </c>
      <c r="C758" s="62" t="s">
        <v>131</v>
      </c>
      <c r="D758" s="65">
        <v>7</v>
      </c>
      <c r="E758" s="64">
        <v>1E-3</v>
      </c>
    </row>
    <row r="759" spans="1:5" ht="14.45" customHeight="1">
      <c r="A759" s="49"/>
      <c r="B759" s="97"/>
      <c r="C759" s="62" t="s">
        <v>133</v>
      </c>
      <c r="D759" s="65">
        <v>2</v>
      </c>
      <c r="E759" s="64">
        <v>0</v>
      </c>
    </row>
    <row r="760" spans="1:5" ht="14.45" customHeight="1">
      <c r="A760" s="49"/>
      <c r="B760" s="97"/>
      <c r="C760" s="62" t="s">
        <v>134</v>
      </c>
      <c r="D760" s="65">
        <v>2</v>
      </c>
      <c r="E760" s="64">
        <v>0</v>
      </c>
    </row>
    <row r="761" spans="1:5" ht="14.45" customHeight="1">
      <c r="A761" s="49"/>
      <c r="B761" s="97"/>
      <c r="C761" s="62" t="s">
        <v>165</v>
      </c>
      <c r="D761" s="65">
        <v>1</v>
      </c>
      <c r="E761" s="64">
        <v>0</v>
      </c>
    </row>
    <row r="762" spans="1:5" ht="14.45" customHeight="1">
      <c r="A762" s="49"/>
      <c r="B762" s="97"/>
      <c r="C762" s="62" t="s">
        <v>135</v>
      </c>
      <c r="D762" s="65">
        <v>3</v>
      </c>
      <c r="E762" s="64">
        <v>1E-3</v>
      </c>
    </row>
    <row r="763" spans="1:5" ht="14.45" customHeight="1">
      <c r="A763" s="49"/>
      <c r="B763" s="97"/>
      <c r="C763" s="62" t="s">
        <v>167</v>
      </c>
      <c r="D763" s="65">
        <v>2</v>
      </c>
      <c r="E763" s="64">
        <v>0</v>
      </c>
    </row>
    <row r="764" spans="1:5" ht="14.45" customHeight="1">
      <c r="A764" s="49"/>
      <c r="B764" s="97"/>
      <c r="C764" s="62" t="s">
        <v>136</v>
      </c>
      <c r="D764" s="65">
        <v>1</v>
      </c>
      <c r="E764" s="64">
        <v>0</v>
      </c>
    </row>
    <row r="765" spans="1:5" ht="14.45" customHeight="1">
      <c r="A765" s="49"/>
      <c r="B765" s="97"/>
      <c r="C765" s="62" t="s">
        <v>139</v>
      </c>
      <c r="D765" s="65">
        <v>3</v>
      </c>
      <c r="E765" s="64">
        <v>1E-3</v>
      </c>
    </row>
    <row r="766" spans="1:5" ht="14.45" customHeight="1">
      <c r="A766" s="49"/>
      <c r="B766" s="97"/>
      <c r="C766" s="62" t="s">
        <v>143</v>
      </c>
      <c r="D766" s="65">
        <v>1</v>
      </c>
      <c r="E766" s="64">
        <v>0</v>
      </c>
    </row>
    <row r="767" spans="1:5" ht="14.45" customHeight="1">
      <c r="A767" s="49"/>
      <c r="B767" s="97"/>
      <c r="C767" s="62" t="s">
        <v>144</v>
      </c>
      <c r="D767" s="65">
        <v>3</v>
      </c>
      <c r="E767" s="64">
        <v>1E-3</v>
      </c>
    </row>
    <row r="768" spans="1:5" ht="14.45" customHeight="1">
      <c r="A768" s="49"/>
      <c r="B768" s="97"/>
      <c r="C768" s="62" t="s">
        <v>145</v>
      </c>
      <c r="D768" s="65">
        <v>10</v>
      </c>
      <c r="E768" s="64">
        <v>2E-3</v>
      </c>
    </row>
    <row r="769" spans="1:5" ht="14.45" customHeight="1">
      <c r="A769" s="49"/>
      <c r="B769" s="97"/>
      <c r="C769" s="62" t="s">
        <v>157</v>
      </c>
      <c r="D769" s="65">
        <v>1</v>
      </c>
      <c r="E769" s="64">
        <v>0</v>
      </c>
    </row>
    <row r="770" spans="1:5" ht="14.45" customHeight="1">
      <c r="A770" s="49"/>
      <c r="B770" s="97"/>
      <c r="C770" s="62" t="s">
        <v>158</v>
      </c>
      <c r="D770" s="65">
        <v>4</v>
      </c>
      <c r="E770" s="64">
        <v>1E-3</v>
      </c>
    </row>
    <row r="771" spans="1:5" ht="14.45" customHeight="1">
      <c r="A771" s="49"/>
      <c r="B771" s="97"/>
      <c r="C771" s="62" t="s">
        <v>150</v>
      </c>
      <c r="D771" s="65">
        <v>1</v>
      </c>
      <c r="E771" s="64">
        <v>0</v>
      </c>
    </row>
    <row r="772" spans="1:5" ht="14.45" customHeight="1">
      <c r="A772" s="49"/>
      <c r="B772" s="97"/>
      <c r="C772" s="62" t="s">
        <v>151</v>
      </c>
      <c r="D772" s="65">
        <v>1</v>
      </c>
      <c r="E772" s="64">
        <v>0</v>
      </c>
    </row>
    <row r="773" spans="1:5" ht="17.100000000000001" customHeight="1">
      <c r="A773" s="49"/>
      <c r="B773" s="97"/>
      <c r="C773" s="73" t="s">
        <v>288</v>
      </c>
      <c r="D773" s="74">
        <v>42</v>
      </c>
      <c r="E773" s="72">
        <v>7.0000000000000001E-3</v>
      </c>
    </row>
    <row r="774" spans="1:5" ht="14.45" customHeight="1">
      <c r="A774" s="49"/>
      <c r="B774" s="97" t="s">
        <v>258</v>
      </c>
      <c r="C774" s="62" t="s">
        <v>144</v>
      </c>
      <c r="D774" s="65">
        <v>1</v>
      </c>
      <c r="E774" s="64">
        <v>0</v>
      </c>
    </row>
    <row r="775" spans="1:5" ht="14.45" customHeight="1">
      <c r="A775" s="49"/>
      <c r="B775" s="97"/>
      <c r="C775" s="73" t="s">
        <v>288</v>
      </c>
      <c r="D775" s="74">
        <v>1</v>
      </c>
      <c r="E775" s="72">
        <v>0</v>
      </c>
    </row>
    <row r="776" spans="1:5" ht="14.45" customHeight="1">
      <c r="A776" s="49"/>
      <c r="B776" s="97" t="s">
        <v>52</v>
      </c>
      <c r="C776" s="62" t="s">
        <v>160</v>
      </c>
      <c r="D776" s="65">
        <v>1</v>
      </c>
      <c r="E776" s="64">
        <v>0</v>
      </c>
    </row>
    <row r="777" spans="1:5" ht="14.45" customHeight="1">
      <c r="A777" s="49"/>
      <c r="B777" s="97"/>
      <c r="C777" s="62" t="s">
        <v>131</v>
      </c>
      <c r="D777" s="65">
        <v>8</v>
      </c>
      <c r="E777" s="64">
        <v>1E-3</v>
      </c>
    </row>
    <row r="778" spans="1:5" ht="14.45" customHeight="1">
      <c r="A778" s="49"/>
      <c r="B778" s="97"/>
      <c r="C778" s="62" t="s">
        <v>162</v>
      </c>
      <c r="D778" s="65">
        <v>1</v>
      </c>
      <c r="E778" s="64">
        <v>0</v>
      </c>
    </row>
    <row r="779" spans="1:5" ht="14.45" customHeight="1">
      <c r="A779" s="49"/>
      <c r="B779" s="97"/>
      <c r="C779" s="62" t="s">
        <v>163</v>
      </c>
      <c r="D779" s="65">
        <v>1</v>
      </c>
      <c r="E779" s="64">
        <v>0</v>
      </c>
    </row>
    <row r="780" spans="1:5" ht="14.45" customHeight="1">
      <c r="A780" s="49"/>
      <c r="B780" s="97"/>
      <c r="C780" s="62" t="s">
        <v>133</v>
      </c>
      <c r="D780" s="65">
        <v>11</v>
      </c>
      <c r="E780" s="64">
        <v>2E-3</v>
      </c>
    </row>
    <row r="781" spans="1:5" ht="27.95" customHeight="1">
      <c r="A781" s="49"/>
      <c r="B781" s="97"/>
      <c r="C781" s="62" t="s">
        <v>134</v>
      </c>
      <c r="D781" s="65">
        <v>9</v>
      </c>
      <c r="E781" s="64">
        <v>2E-3</v>
      </c>
    </row>
    <row r="782" spans="1:5" ht="14.45" customHeight="1">
      <c r="A782" s="49"/>
      <c r="B782" s="97"/>
      <c r="C782" s="62" t="s">
        <v>164</v>
      </c>
      <c r="D782" s="65">
        <v>1</v>
      </c>
      <c r="E782" s="64">
        <v>0</v>
      </c>
    </row>
    <row r="783" spans="1:5" ht="14.45" customHeight="1">
      <c r="A783" s="49"/>
      <c r="B783" s="97"/>
      <c r="C783" s="62" t="s">
        <v>188</v>
      </c>
      <c r="D783" s="65">
        <v>1</v>
      </c>
      <c r="E783" s="64">
        <v>0</v>
      </c>
    </row>
    <row r="784" spans="1:5" ht="14.45" customHeight="1">
      <c r="A784" s="49"/>
      <c r="B784" s="97"/>
      <c r="C784" s="62" t="s">
        <v>165</v>
      </c>
      <c r="D784" s="65">
        <v>3</v>
      </c>
      <c r="E784" s="64">
        <v>1E-3</v>
      </c>
    </row>
    <row r="785" spans="1:5" ht="14.45" customHeight="1">
      <c r="A785" s="49"/>
      <c r="B785" s="97"/>
      <c r="C785" s="62" t="s">
        <v>135</v>
      </c>
      <c r="D785" s="65">
        <v>8</v>
      </c>
      <c r="E785" s="64">
        <v>1E-3</v>
      </c>
    </row>
    <row r="786" spans="1:5" ht="14.45" customHeight="1">
      <c r="A786" s="49"/>
      <c r="B786" s="97"/>
      <c r="C786" s="62" t="s">
        <v>167</v>
      </c>
      <c r="D786" s="65">
        <v>4</v>
      </c>
      <c r="E786" s="64">
        <v>1E-3</v>
      </c>
    </row>
    <row r="787" spans="1:5" ht="14.45" customHeight="1">
      <c r="A787" s="49"/>
      <c r="B787" s="97"/>
      <c r="C787" s="62" t="s">
        <v>136</v>
      </c>
      <c r="D787" s="65">
        <v>5</v>
      </c>
      <c r="E787" s="64">
        <v>1E-3</v>
      </c>
    </row>
    <row r="788" spans="1:5" ht="14.45" customHeight="1">
      <c r="A788" s="49"/>
      <c r="B788" s="97"/>
      <c r="C788" s="62" t="s">
        <v>148</v>
      </c>
      <c r="D788" s="65">
        <v>1</v>
      </c>
      <c r="E788" s="64">
        <v>0</v>
      </c>
    </row>
    <row r="789" spans="1:5" ht="14.45" customHeight="1">
      <c r="A789" s="49"/>
      <c r="B789" s="97"/>
      <c r="C789" s="62" t="s">
        <v>169</v>
      </c>
      <c r="D789" s="65">
        <v>2</v>
      </c>
      <c r="E789" s="64">
        <v>0</v>
      </c>
    </row>
    <row r="790" spans="1:5" ht="14.45" customHeight="1">
      <c r="A790" s="49"/>
      <c r="B790" s="97"/>
      <c r="C790" s="62" t="s">
        <v>138</v>
      </c>
      <c r="D790" s="65">
        <v>8</v>
      </c>
      <c r="E790" s="64">
        <v>1E-3</v>
      </c>
    </row>
    <row r="791" spans="1:5" ht="14.45" customHeight="1">
      <c r="A791" s="49"/>
      <c r="B791" s="97"/>
      <c r="C791" s="62" t="s">
        <v>155</v>
      </c>
      <c r="D791" s="65">
        <v>6</v>
      </c>
      <c r="E791" s="64">
        <v>1E-3</v>
      </c>
    </row>
    <row r="792" spans="1:5" ht="14.45" customHeight="1">
      <c r="A792" s="49"/>
      <c r="B792" s="97"/>
      <c r="C792" s="62" t="s">
        <v>170</v>
      </c>
      <c r="D792" s="65">
        <v>2</v>
      </c>
      <c r="E792" s="64">
        <v>0</v>
      </c>
    </row>
    <row r="793" spans="1:5" ht="14.45" customHeight="1">
      <c r="A793" s="49"/>
      <c r="B793" s="97"/>
      <c r="C793" s="62" t="s">
        <v>139</v>
      </c>
      <c r="D793" s="65">
        <v>8</v>
      </c>
      <c r="E793" s="64">
        <v>1E-3</v>
      </c>
    </row>
    <row r="794" spans="1:5" ht="14.45" customHeight="1">
      <c r="A794" s="49"/>
      <c r="B794" s="97"/>
      <c r="C794" s="62" t="s">
        <v>175</v>
      </c>
      <c r="D794" s="65">
        <v>3</v>
      </c>
      <c r="E794" s="64">
        <v>1E-3</v>
      </c>
    </row>
    <row r="795" spans="1:5" ht="14.45" customHeight="1">
      <c r="A795" s="49"/>
      <c r="B795" s="97"/>
      <c r="C795" s="62" t="s">
        <v>180</v>
      </c>
      <c r="D795" s="65">
        <v>4</v>
      </c>
      <c r="E795" s="64">
        <v>1E-3</v>
      </c>
    </row>
    <row r="796" spans="1:5" ht="14.45" customHeight="1">
      <c r="A796" s="49"/>
      <c r="B796" s="97"/>
      <c r="C796" s="62" t="s">
        <v>181</v>
      </c>
      <c r="D796" s="65">
        <v>1</v>
      </c>
      <c r="E796" s="64">
        <v>0</v>
      </c>
    </row>
    <row r="797" spans="1:5" ht="14.45" customHeight="1">
      <c r="A797" s="49"/>
      <c r="B797" s="97"/>
      <c r="C797" s="62" t="s">
        <v>141</v>
      </c>
      <c r="D797" s="65">
        <v>1</v>
      </c>
      <c r="E797" s="64">
        <v>0</v>
      </c>
    </row>
    <row r="798" spans="1:5" ht="14.45" customHeight="1">
      <c r="A798" s="49"/>
      <c r="B798" s="97"/>
      <c r="C798" s="62" t="s">
        <v>142</v>
      </c>
      <c r="D798" s="65">
        <v>9</v>
      </c>
      <c r="E798" s="64">
        <v>2E-3</v>
      </c>
    </row>
    <row r="799" spans="1:5" ht="14.45" customHeight="1">
      <c r="A799" s="49"/>
      <c r="B799" s="97"/>
      <c r="C799" s="62" t="s">
        <v>143</v>
      </c>
      <c r="D799" s="65">
        <v>2</v>
      </c>
      <c r="E799" s="64">
        <v>0</v>
      </c>
    </row>
    <row r="800" spans="1:5" ht="14.45" customHeight="1">
      <c r="A800" s="49"/>
      <c r="B800" s="97"/>
      <c r="C800" s="62" t="s">
        <v>182</v>
      </c>
      <c r="D800" s="65">
        <v>2</v>
      </c>
      <c r="E800" s="64">
        <v>0</v>
      </c>
    </row>
    <row r="801" spans="1:5" ht="14.45" customHeight="1">
      <c r="A801" s="49"/>
      <c r="B801" s="97"/>
      <c r="C801" s="62" t="s">
        <v>144</v>
      </c>
      <c r="D801" s="65">
        <v>20</v>
      </c>
      <c r="E801" s="64">
        <v>4.0000000000000001E-3</v>
      </c>
    </row>
    <row r="802" spans="1:5" ht="14.45" customHeight="1">
      <c r="A802" s="49"/>
      <c r="B802" s="97"/>
      <c r="C802" s="62" t="s">
        <v>145</v>
      </c>
      <c r="D802" s="65">
        <v>2</v>
      </c>
      <c r="E802" s="64">
        <v>0</v>
      </c>
    </row>
    <row r="803" spans="1:5" ht="27.95" customHeight="1">
      <c r="A803" s="49"/>
      <c r="B803" s="97"/>
      <c r="C803" s="62" t="s">
        <v>183</v>
      </c>
      <c r="D803" s="65">
        <v>1</v>
      </c>
      <c r="E803" s="64">
        <v>0</v>
      </c>
    </row>
    <row r="804" spans="1:5" ht="14.45" customHeight="1">
      <c r="A804" s="49"/>
      <c r="B804" s="97"/>
      <c r="C804" s="62" t="s">
        <v>158</v>
      </c>
      <c r="D804" s="65">
        <v>1</v>
      </c>
      <c r="E804" s="64">
        <v>0</v>
      </c>
    </row>
    <row r="805" spans="1:5" ht="14.45" customHeight="1">
      <c r="A805" s="49"/>
      <c r="B805" s="97"/>
      <c r="C805" s="62" t="s">
        <v>150</v>
      </c>
      <c r="D805" s="65">
        <v>2</v>
      </c>
      <c r="E805" s="64">
        <v>0</v>
      </c>
    </row>
    <row r="806" spans="1:5" ht="14.45" customHeight="1">
      <c r="A806" s="49"/>
      <c r="B806" s="97"/>
      <c r="C806" s="62" t="s">
        <v>151</v>
      </c>
      <c r="D806" s="65">
        <v>5</v>
      </c>
      <c r="E806" s="64">
        <v>1E-3</v>
      </c>
    </row>
    <row r="807" spans="1:5" ht="14.45" customHeight="1">
      <c r="A807" s="49"/>
      <c r="B807" s="97"/>
      <c r="C807" s="62" t="s">
        <v>152</v>
      </c>
      <c r="D807" s="65">
        <v>2</v>
      </c>
      <c r="E807" s="64">
        <v>0</v>
      </c>
    </row>
    <row r="808" spans="1:5" ht="14.45" customHeight="1">
      <c r="A808" s="49"/>
      <c r="B808" s="97"/>
      <c r="C808" s="62" t="s">
        <v>153</v>
      </c>
      <c r="D808" s="65">
        <v>5</v>
      </c>
      <c r="E808" s="64">
        <v>1E-3</v>
      </c>
    </row>
    <row r="809" spans="1:5" ht="14.45" customHeight="1">
      <c r="A809" s="49"/>
      <c r="B809" s="97"/>
      <c r="C809" s="73" t="s">
        <v>288</v>
      </c>
      <c r="D809" s="74">
        <v>140</v>
      </c>
      <c r="E809" s="72">
        <v>2.5000000000000001E-2</v>
      </c>
    </row>
    <row r="810" spans="1:5" ht="14.45" customHeight="1">
      <c r="A810" s="49"/>
      <c r="B810" s="97" t="s">
        <v>64</v>
      </c>
      <c r="C810" s="62" t="s">
        <v>161</v>
      </c>
      <c r="D810" s="65">
        <v>1</v>
      </c>
      <c r="E810" s="64">
        <v>0</v>
      </c>
    </row>
    <row r="811" spans="1:5" ht="14.45" customHeight="1">
      <c r="A811" s="49"/>
      <c r="B811" s="97"/>
      <c r="C811" s="62" t="s">
        <v>131</v>
      </c>
      <c r="D811" s="65">
        <v>7</v>
      </c>
      <c r="E811" s="64">
        <v>1E-3</v>
      </c>
    </row>
    <row r="812" spans="1:5" ht="14.45" customHeight="1">
      <c r="A812" s="49"/>
      <c r="B812" s="97"/>
      <c r="C812" s="62" t="s">
        <v>132</v>
      </c>
      <c r="D812" s="65">
        <v>1</v>
      </c>
      <c r="E812" s="64">
        <v>0</v>
      </c>
    </row>
    <row r="813" spans="1:5" ht="14.45" customHeight="1">
      <c r="A813" s="49"/>
      <c r="B813" s="97"/>
      <c r="C813" s="62" t="s">
        <v>162</v>
      </c>
      <c r="D813" s="65">
        <v>1</v>
      </c>
      <c r="E813" s="64">
        <v>0</v>
      </c>
    </row>
    <row r="814" spans="1:5" ht="14.45" customHeight="1">
      <c r="A814" s="49"/>
      <c r="B814" s="97"/>
      <c r="C814" s="62" t="s">
        <v>133</v>
      </c>
      <c r="D814" s="65">
        <v>8</v>
      </c>
      <c r="E814" s="64">
        <v>1E-3</v>
      </c>
    </row>
    <row r="815" spans="1:5" ht="14.45" customHeight="1">
      <c r="A815" s="49"/>
      <c r="B815" s="97"/>
      <c r="C815" s="62" t="s">
        <v>134</v>
      </c>
      <c r="D815" s="65">
        <v>3</v>
      </c>
      <c r="E815" s="64">
        <v>1E-3</v>
      </c>
    </row>
    <row r="816" spans="1:5" ht="14.45" customHeight="1">
      <c r="A816" s="49"/>
      <c r="B816" s="97"/>
      <c r="C816" s="62" t="s">
        <v>146</v>
      </c>
      <c r="D816" s="65">
        <v>2</v>
      </c>
      <c r="E816" s="64">
        <v>0</v>
      </c>
    </row>
    <row r="817" spans="1:5" ht="14.45" customHeight="1">
      <c r="A817" s="49"/>
      <c r="B817" s="97"/>
      <c r="C817" s="62" t="s">
        <v>166</v>
      </c>
      <c r="D817" s="65">
        <v>1</v>
      </c>
      <c r="E817" s="64">
        <v>0</v>
      </c>
    </row>
    <row r="818" spans="1:5" ht="14.45" customHeight="1">
      <c r="A818" s="49"/>
      <c r="B818" s="97"/>
      <c r="C818" s="62" t="s">
        <v>135</v>
      </c>
      <c r="D818" s="65">
        <v>5</v>
      </c>
      <c r="E818" s="64">
        <v>1E-3</v>
      </c>
    </row>
    <row r="819" spans="1:5" ht="14.45" customHeight="1">
      <c r="A819" s="49"/>
      <c r="B819" s="97"/>
      <c r="C819" s="62" t="s">
        <v>138</v>
      </c>
      <c r="D819" s="65">
        <v>1</v>
      </c>
      <c r="E819" s="64">
        <v>0</v>
      </c>
    </row>
    <row r="820" spans="1:5" ht="14.45" customHeight="1">
      <c r="A820" s="49"/>
      <c r="B820" s="97"/>
      <c r="C820" s="62" t="s">
        <v>155</v>
      </c>
      <c r="D820" s="65">
        <v>1</v>
      </c>
      <c r="E820" s="64">
        <v>0</v>
      </c>
    </row>
    <row r="821" spans="1:5" ht="14.45" customHeight="1">
      <c r="A821" s="49"/>
      <c r="B821" s="97"/>
      <c r="C821" s="62" t="s">
        <v>156</v>
      </c>
      <c r="D821" s="65">
        <v>1</v>
      </c>
      <c r="E821" s="64">
        <v>0</v>
      </c>
    </row>
    <row r="822" spans="1:5" ht="14.45" customHeight="1">
      <c r="A822" s="49"/>
      <c r="B822" s="97"/>
      <c r="C822" s="62" t="s">
        <v>173</v>
      </c>
      <c r="D822" s="65">
        <v>1</v>
      </c>
      <c r="E822" s="64">
        <v>0</v>
      </c>
    </row>
    <row r="823" spans="1:5" ht="14.45" customHeight="1">
      <c r="A823" s="49"/>
      <c r="B823" s="97"/>
      <c r="C823" s="62" t="s">
        <v>142</v>
      </c>
      <c r="D823" s="65">
        <v>1</v>
      </c>
      <c r="E823" s="64">
        <v>0</v>
      </c>
    </row>
    <row r="824" spans="1:5" ht="14.45" customHeight="1">
      <c r="A824" s="49"/>
      <c r="B824" s="97"/>
      <c r="C824" s="62" t="s">
        <v>182</v>
      </c>
      <c r="D824" s="65">
        <v>1</v>
      </c>
      <c r="E824" s="64">
        <v>0</v>
      </c>
    </row>
    <row r="825" spans="1:5" ht="14.45" customHeight="1">
      <c r="A825" s="49"/>
      <c r="B825" s="97"/>
      <c r="C825" s="62" t="s">
        <v>144</v>
      </c>
      <c r="D825" s="65">
        <v>12</v>
      </c>
      <c r="E825" s="64">
        <v>2E-3</v>
      </c>
    </row>
    <row r="826" spans="1:5" ht="14.45" customHeight="1">
      <c r="A826" s="49"/>
      <c r="B826" s="97"/>
      <c r="C826" s="62" t="s">
        <v>145</v>
      </c>
      <c r="D826" s="65">
        <v>5</v>
      </c>
      <c r="E826" s="64">
        <v>1E-3</v>
      </c>
    </row>
    <row r="827" spans="1:5" ht="14.45" customHeight="1">
      <c r="A827" s="49"/>
      <c r="B827" s="97"/>
      <c r="C827" s="62" t="s">
        <v>153</v>
      </c>
      <c r="D827" s="65">
        <v>1</v>
      </c>
      <c r="E827" s="64">
        <v>0</v>
      </c>
    </row>
    <row r="828" spans="1:5" ht="14.45" customHeight="1">
      <c r="A828" s="49"/>
      <c r="B828" s="97"/>
      <c r="C828" s="73" t="s">
        <v>288</v>
      </c>
      <c r="D828" s="74">
        <v>53</v>
      </c>
      <c r="E828" s="72">
        <v>8.9999999999999993E-3</v>
      </c>
    </row>
    <row r="829" spans="1:5" ht="14.45" customHeight="1">
      <c r="A829" s="49"/>
      <c r="B829" s="97" t="s">
        <v>62</v>
      </c>
      <c r="C829" s="62" t="s">
        <v>161</v>
      </c>
      <c r="D829" s="65">
        <v>1</v>
      </c>
      <c r="E829" s="64">
        <v>0</v>
      </c>
    </row>
    <row r="830" spans="1:5" ht="14.45" customHeight="1">
      <c r="A830" s="49"/>
      <c r="B830" s="97"/>
      <c r="C830" s="62" t="s">
        <v>131</v>
      </c>
      <c r="D830" s="65">
        <v>4</v>
      </c>
      <c r="E830" s="64">
        <v>1E-3</v>
      </c>
    </row>
    <row r="831" spans="1:5" ht="27.95" customHeight="1">
      <c r="A831" s="49"/>
      <c r="B831" s="97"/>
      <c r="C831" s="62" t="s">
        <v>133</v>
      </c>
      <c r="D831" s="65">
        <v>9</v>
      </c>
      <c r="E831" s="64">
        <v>2E-3</v>
      </c>
    </row>
    <row r="832" spans="1:5" ht="14.45" customHeight="1">
      <c r="A832" s="49"/>
      <c r="B832" s="97"/>
      <c r="C832" s="62" t="s">
        <v>134</v>
      </c>
      <c r="D832" s="65">
        <v>7</v>
      </c>
      <c r="E832" s="64">
        <v>1E-3</v>
      </c>
    </row>
    <row r="833" spans="1:5" ht="14.45" customHeight="1">
      <c r="A833" s="49"/>
      <c r="B833" s="97"/>
      <c r="C833" s="62" t="s">
        <v>146</v>
      </c>
      <c r="D833" s="65">
        <v>1</v>
      </c>
      <c r="E833" s="64">
        <v>0</v>
      </c>
    </row>
    <row r="834" spans="1:5" ht="14.45" customHeight="1">
      <c r="A834" s="49"/>
      <c r="B834" s="97"/>
      <c r="C834" s="62" t="s">
        <v>164</v>
      </c>
      <c r="D834" s="65">
        <v>1</v>
      </c>
      <c r="E834" s="64">
        <v>0</v>
      </c>
    </row>
    <row r="835" spans="1:5" ht="14.45" customHeight="1">
      <c r="A835" s="49"/>
      <c r="B835" s="97"/>
      <c r="C835" s="62" t="s">
        <v>135</v>
      </c>
      <c r="D835" s="65">
        <v>7</v>
      </c>
      <c r="E835" s="64">
        <v>1E-3</v>
      </c>
    </row>
    <row r="836" spans="1:5" ht="14.45" customHeight="1">
      <c r="A836" s="49"/>
      <c r="B836" s="97"/>
      <c r="C836" s="62" t="s">
        <v>167</v>
      </c>
      <c r="D836" s="65">
        <v>3</v>
      </c>
      <c r="E836" s="64">
        <v>1E-3</v>
      </c>
    </row>
    <row r="837" spans="1:5" ht="14.45" customHeight="1">
      <c r="A837" s="49"/>
      <c r="B837" s="97"/>
      <c r="C837" s="62" t="s">
        <v>136</v>
      </c>
      <c r="D837" s="65">
        <v>2</v>
      </c>
      <c r="E837" s="64">
        <v>0</v>
      </c>
    </row>
    <row r="838" spans="1:5" ht="14.45" customHeight="1">
      <c r="A838" s="49"/>
      <c r="B838" s="97"/>
      <c r="C838" s="62" t="s">
        <v>137</v>
      </c>
      <c r="D838" s="65">
        <v>1</v>
      </c>
      <c r="E838" s="64">
        <v>0</v>
      </c>
    </row>
    <row r="839" spans="1:5" ht="14.45" customHeight="1">
      <c r="A839" s="49"/>
      <c r="B839" s="97"/>
      <c r="C839" s="62" t="s">
        <v>149</v>
      </c>
      <c r="D839" s="65">
        <v>1</v>
      </c>
      <c r="E839" s="64">
        <v>0</v>
      </c>
    </row>
    <row r="840" spans="1:5" ht="14.45" customHeight="1">
      <c r="A840" s="49"/>
      <c r="B840" s="97"/>
      <c r="C840" s="62" t="s">
        <v>138</v>
      </c>
      <c r="D840" s="65">
        <v>1</v>
      </c>
      <c r="E840" s="64">
        <v>0</v>
      </c>
    </row>
    <row r="841" spans="1:5" ht="14.45" customHeight="1">
      <c r="A841" s="49"/>
      <c r="B841" s="97"/>
      <c r="C841" s="62" t="s">
        <v>170</v>
      </c>
      <c r="D841" s="65">
        <v>1</v>
      </c>
      <c r="E841" s="64">
        <v>0</v>
      </c>
    </row>
    <row r="842" spans="1:5" ht="14.45" customHeight="1">
      <c r="A842" s="49"/>
      <c r="B842" s="97"/>
      <c r="C842" s="62" t="s">
        <v>139</v>
      </c>
      <c r="D842" s="65">
        <v>3</v>
      </c>
      <c r="E842" s="64">
        <v>1E-3</v>
      </c>
    </row>
    <row r="843" spans="1:5" ht="14.45" customHeight="1">
      <c r="A843" s="49"/>
      <c r="B843" s="97"/>
      <c r="C843" s="62" t="s">
        <v>142</v>
      </c>
      <c r="D843" s="65">
        <v>3</v>
      </c>
      <c r="E843" s="64">
        <v>1E-3</v>
      </c>
    </row>
    <row r="844" spans="1:5" ht="14.45" customHeight="1">
      <c r="A844" s="49"/>
      <c r="B844" s="97"/>
      <c r="C844" s="62" t="s">
        <v>144</v>
      </c>
      <c r="D844" s="65">
        <v>10</v>
      </c>
      <c r="E844" s="64">
        <v>2E-3</v>
      </c>
    </row>
    <row r="845" spans="1:5" ht="14.45" customHeight="1">
      <c r="A845" s="49"/>
      <c r="B845" s="97"/>
      <c r="C845" s="62" t="s">
        <v>145</v>
      </c>
      <c r="D845" s="65">
        <v>1</v>
      </c>
      <c r="E845" s="64">
        <v>0</v>
      </c>
    </row>
    <row r="846" spans="1:5" ht="14.45" customHeight="1">
      <c r="A846" s="49"/>
      <c r="B846" s="97"/>
      <c r="C846" s="62" t="s">
        <v>150</v>
      </c>
      <c r="D846" s="65">
        <v>2</v>
      </c>
      <c r="E846" s="64">
        <v>0</v>
      </c>
    </row>
    <row r="847" spans="1:5" ht="14.45" customHeight="1">
      <c r="A847" s="49"/>
      <c r="B847" s="97"/>
      <c r="C847" s="62" t="s">
        <v>153</v>
      </c>
      <c r="D847" s="65">
        <v>4</v>
      </c>
      <c r="E847" s="64">
        <v>1E-3</v>
      </c>
    </row>
    <row r="848" spans="1:5" ht="14.45" customHeight="1">
      <c r="A848" s="49"/>
      <c r="B848" s="97"/>
      <c r="C848" s="73" t="s">
        <v>288</v>
      </c>
      <c r="D848" s="74">
        <v>62</v>
      </c>
      <c r="E848" s="72">
        <v>1.0999999999999999E-2</v>
      </c>
    </row>
    <row r="849" spans="1:5" ht="14.45" customHeight="1">
      <c r="A849" s="49"/>
      <c r="B849" s="97" t="s">
        <v>53</v>
      </c>
      <c r="C849" s="62" t="s">
        <v>131</v>
      </c>
      <c r="D849" s="65">
        <v>30</v>
      </c>
      <c r="E849" s="64">
        <v>5.0000000000000001E-3</v>
      </c>
    </row>
    <row r="850" spans="1:5" ht="14.45" customHeight="1">
      <c r="A850" s="49"/>
      <c r="B850" s="97"/>
      <c r="C850" s="62" t="s">
        <v>133</v>
      </c>
      <c r="D850" s="65">
        <v>13</v>
      </c>
      <c r="E850" s="64">
        <v>2E-3</v>
      </c>
    </row>
    <row r="851" spans="1:5" ht="14.45" customHeight="1">
      <c r="A851" s="49"/>
      <c r="B851" s="97"/>
      <c r="C851" s="62" t="s">
        <v>134</v>
      </c>
      <c r="D851" s="65">
        <v>10</v>
      </c>
      <c r="E851" s="64">
        <v>2E-3</v>
      </c>
    </row>
    <row r="852" spans="1:5" ht="14.45" customHeight="1">
      <c r="A852" s="49"/>
      <c r="B852" s="97"/>
      <c r="C852" s="62" t="s">
        <v>146</v>
      </c>
      <c r="D852" s="65">
        <v>1</v>
      </c>
      <c r="E852" s="64">
        <v>0</v>
      </c>
    </row>
    <row r="853" spans="1:5" ht="14.45" customHeight="1">
      <c r="A853" s="49"/>
      <c r="B853" s="97"/>
      <c r="C853" s="62" t="s">
        <v>164</v>
      </c>
      <c r="D853" s="65">
        <v>1</v>
      </c>
      <c r="E853" s="64">
        <v>0</v>
      </c>
    </row>
    <row r="854" spans="1:5" ht="14.45" customHeight="1">
      <c r="A854" s="49"/>
      <c r="B854" s="97"/>
      <c r="C854" s="62" t="s">
        <v>188</v>
      </c>
      <c r="D854" s="65">
        <v>4</v>
      </c>
      <c r="E854" s="64">
        <v>1E-3</v>
      </c>
    </row>
    <row r="855" spans="1:5" ht="14.45" customHeight="1">
      <c r="A855" s="49"/>
      <c r="B855" s="97"/>
      <c r="C855" s="62" t="s">
        <v>147</v>
      </c>
      <c r="D855" s="65">
        <v>5</v>
      </c>
      <c r="E855" s="64">
        <v>1E-3</v>
      </c>
    </row>
    <row r="856" spans="1:5" ht="14.45" customHeight="1">
      <c r="A856" s="49"/>
      <c r="B856" s="97"/>
      <c r="C856" s="62" t="s">
        <v>135</v>
      </c>
      <c r="D856" s="65">
        <v>5</v>
      </c>
      <c r="E856" s="64">
        <v>1E-3</v>
      </c>
    </row>
    <row r="857" spans="1:5" ht="14.45" customHeight="1">
      <c r="A857" s="49"/>
      <c r="B857" s="97"/>
      <c r="C857" s="62" t="s">
        <v>167</v>
      </c>
      <c r="D857" s="65">
        <v>50</v>
      </c>
      <c r="E857" s="64">
        <v>8.9999999999999993E-3</v>
      </c>
    </row>
    <row r="858" spans="1:5" ht="14.45" customHeight="1">
      <c r="A858" s="49"/>
      <c r="B858" s="97"/>
      <c r="C858" s="62" t="s">
        <v>136</v>
      </c>
      <c r="D858" s="65">
        <v>14</v>
      </c>
      <c r="E858" s="64">
        <v>2E-3</v>
      </c>
    </row>
    <row r="859" spans="1:5" ht="14.45" customHeight="1">
      <c r="A859" s="49"/>
      <c r="B859" s="97"/>
      <c r="C859" s="62" t="s">
        <v>169</v>
      </c>
      <c r="D859" s="65">
        <v>11</v>
      </c>
      <c r="E859" s="64">
        <v>2E-3</v>
      </c>
    </row>
    <row r="860" spans="1:5" ht="14.45" customHeight="1">
      <c r="A860" s="49"/>
      <c r="B860" s="97"/>
      <c r="C860" s="62" t="s">
        <v>155</v>
      </c>
      <c r="D860" s="65">
        <v>8</v>
      </c>
      <c r="E860" s="64">
        <v>1E-3</v>
      </c>
    </row>
    <row r="861" spans="1:5" ht="14.45" customHeight="1">
      <c r="A861" s="49"/>
      <c r="B861" s="97"/>
      <c r="C861" s="62" t="s">
        <v>156</v>
      </c>
      <c r="D861" s="65">
        <v>4</v>
      </c>
      <c r="E861" s="64">
        <v>1E-3</v>
      </c>
    </row>
    <row r="862" spans="1:5" ht="14.45" customHeight="1">
      <c r="A862" s="49"/>
      <c r="B862" s="97"/>
      <c r="C862" s="62" t="s">
        <v>174</v>
      </c>
      <c r="D862" s="65">
        <v>2</v>
      </c>
      <c r="E862" s="64">
        <v>0</v>
      </c>
    </row>
    <row r="863" spans="1:5" ht="14.45" customHeight="1">
      <c r="A863" s="49"/>
      <c r="B863" s="97"/>
      <c r="C863" s="62" t="s">
        <v>175</v>
      </c>
      <c r="D863" s="65">
        <v>3</v>
      </c>
      <c r="E863" s="64">
        <v>1E-3</v>
      </c>
    </row>
    <row r="864" spans="1:5" ht="14.45" customHeight="1">
      <c r="A864" s="49"/>
      <c r="B864" s="97"/>
      <c r="C864" s="62" t="s">
        <v>178</v>
      </c>
      <c r="D864" s="65">
        <v>1</v>
      </c>
      <c r="E864" s="64">
        <v>0</v>
      </c>
    </row>
    <row r="865" spans="1:5" ht="14.45" customHeight="1">
      <c r="A865" s="49"/>
      <c r="B865" s="97"/>
      <c r="C865" s="62" t="s">
        <v>180</v>
      </c>
      <c r="D865" s="65">
        <v>1</v>
      </c>
      <c r="E865" s="64">
        <v>0</v>
      </c>
    </row>
    <row r="866" spans="1:5" ht="14.45" customHeight="1">
      <c r="A866" s="49"/>
      <c r="B866" s="97"/>
      <c r="C866" s="62" t="s">
        <v>181</v>
      </c>
      <c r="D866" s="65">
        <v>1</v>
      </c>
      <c r="E866" s="64">
        <v>0</v>
      </c>
    </row>
    <row r="867" spans="1:5" ht="14.45" customHeight="1">
      <c r="A867" s="49"/>
      <c r="B867" s="97"/>
      <c r="C867" s="62" t="s">
        <v>142</v>
      </c>
      <c r="D867" s="65">
        <v>1</v>
      </c>
      <c r="E867" s="64">
        <v>0</v>
      </c>
    </row>
    <row r="868" spans="1:5" ht="14.45" customHeight="1">
      <c r="A868" s="49"/>
      <c r="B868" s="97"/>
      <c r="C868" s="62" t="s">
        <v>144</v>
      </c>
      <c r="D868" s="65">
        <v>18</v>
      </c>
      <c r="E868" s="64">
        <v>3.0000000000000001E-3</v>
      </c>
    </row>
    <row r="869" spans="1:5" ht="14.45" customHeight="1">
      <c r="A869" s="49"/>
      <c r="B869" s="97"/>
      <c r="C869" s="62" t="s">
        <v>145</v>
      </c>
      <c r="D869" s="65">
        <v>10</v>
      </c>
      <c r="E869" s="64">
        <v>2E-3</v>
      </c>
    </row>
    <row r="870" spans="1:5" ht="14.45" customHeight="1">
      <c r="A870" s="49"/>
      <c r="B870" s="97"/>
      <c r="C870" s="62" t="s">
        <v>150</v>
      </c>
      <c r="D870" s="65">
        <v>2</v>
      </c>
      <c r="E870" s="64">
        <v>0</v>
      </c>
    </row>
    <row r="871" spans="1:5" ht="14.45" customHeight="1">
      <c r="A871" s="49"/>
      <c r="B871" s="97"/>
      <c r="C871" s="62" t="s">
        <v>151</v>
      </c>
      <c r="D871" s="65">
        <v>6</v>
      </c>
      <c r="E871" s="64">
        <v>1E-3</v>
      </c>
    </row>
    <row r="872" spans="1:5" ht="14.45" customHeight="1">
      <c r="A872" s="49"/>
      <c r="B872" s="97"/>
      <c r="C872" s="62" t="s">
        <v>152</v>
      </c>
      <c r="D872" s="65">
        <v>1</v>
      </c>
      <c r="E872" s="64">
        <v>0</v>
      </c>
    </row>
    <row r="873" spans="1:5" ht="27.95" customHeight="1">
      <c r="A873" s="49"/>
      <c r="B873" s="97"/>
      <c r="C873" s="62" t="s">
        <v>184</v>
      </c>
      <c r="D873" s="65">
        <v>1</v>
      </c>
      <c r="E873" s="64">
        <v>0</v>
      </c>
    </row>
    <row r="874" spans="1:5" ht="14.45" customHeight="1">
      <c r="A874" s="49"/>
      <c r="B874" s="97"/>
      <c r="C874" s="62" t="s">
        <v>153</v>
      </c>
      <c r="D874" s="65">
        <v>2</v>
      </c>
      <c r="E874" s="64">
        <v>0</v>
      </c>
    </row>
    <row r="875" spans="1:5" ht="14.45" customHeight="1">
      <c r="A875" s="49"/>
      <c r="B875" s="97"/>
      <c r="C875" s="73" t="s">
        <v>288</v>
      </c>
      <c r="D875" s="74">
        <v>205</v>
      </c>
      <c r="E875" s="72">
        <v>3.6999999999999998E-2</v>
      </c>
    </row>
    <row r="876" spans="1:5" ht="14.45" customHeight="1">
      <c r="A876" s="49"/>
      <c r="B876" s="97" t="s">
        <v>81</v>
      </c>
      <c r="C876" s="62" t="s">
        <v>131</v>
      </c>
      <c r="D876" s="65">
        <v>2</v>
      </c>
      <c r="E876" s="64">
        <v>0</v>
      </c>
    </row>
    <row r="877" spans="1:5" ht="14.45" customHeight="1">
      <c r="A877" s="49"/>
      <c r="B877" s="97"/>
      <c r="C877" s="62" t="s">
        <v>163</v>
      </c>
      <c r="D877" s="65">
        <v>1</v>
      </c>
      <c r="E877" s="64">
        <v>0</v>
      </c>
    </row>
    <row r="878" spans="1:5" ht="14.45" customHeight="1">
      <c r="A878" s="49"/>
      <c r="B878" s="97"/>
      <c r="C878" s="62" t="s">
        <v>133</v>
      </c>
      <c r="D878" s="65">
        <v>3</v>
      </c>
      <c r="E878" s="64">
        <v>1E-3</v>
      </c>
    </row>
    <row r="879" spans="1:5" ht="14.45" customHeight="1">
      <c r="A879" s="49"/>
      <c r="B879" s="97"/>
      <c r="C879" s="62" t="s">
        <v>134</v>
      </c>
      <c r="D879" s="65">
        <v>2</v>
      </c>
      <c r="E879" s="64">
        <v>0</v>
      </c>
    </row>
    <row r="880" spans="1:5" ht="14.45" customHeight="1">
      <c r="A880" s="49"/>
      <c r="B880" s="97"/>
      <c r="C880" s="62" t="s">
        <v>165</v>
      </c>
      <c r="D880" s="65">
        <v>1</v>
      </c>
      <c r="E880" s="64">
        <v>0</v>
      </c>
    </row>
    <row r="881" spans="1:5" ht="14.45" customHeight="1">
      <c r="A881" s="49"/>
      <c r="B881" s="97"/>
      <c r="C881" s="62" t="s">
        <v>147</v>
      </c>
      <c r="D881" s="65">
        <v>1</v>
      </c>
      <c r="E881" s="64">
        <v>0</v>
      </c>
    </row>
    <row r="882" spans="1:5" ht="14.45" customHeight="1">
      <c r="A882" s="49"/>
      <c r="B882" s="97"/>
      <c r="C882" s="62" t="s">
        <v>136</v>
      </c>
      <c r="D882" s="65">
        <v>1</v>
      </c>
      <c r="E882" s="64">
        <v>0</v>
      </c>
    </row>
    <row r="883" spans="1:5" ht="14.45" customHeight="1">
      <c r="A883" s="49"/>
      <c r="B883" s="97"/>
      <c r="C883" s="62" t="s">
        <v>138</v>
      </c>
      <c r="D883" s="65">
        <v>1</v>
      </c>
      <c r="E883" s="64">
        <v>0</v>
      </c>
    </row>
    <row r="884" spans="1:5" ht="27.95" customHeight="1">
      <c r="A884" s="49"/>
      <c r="B884" s="97"/>
      <c r="C884" s="62" t="s">
        <v>155</v>
      </c>
      <c r="D884" s="65">
        <v>2</v>
      </c>
      <c r="E884" s="64">
        <v>0</v>
      </c>
    </row>
    <row r="885" spans="1:5" ht="14.45" customHeight="1">
      <c r="A885" s="49"/>
      <c r="B885" s="97"/>
      <c r="C885" s="62" t="s">
        <v>156</v>
      </c>
      <c r="D885" s="65">
        <v>1</v>
      </c>
      <c r="E885" s="64">
        <v>0</v>
      </c>
    </row>
    <row r="886" spans="1:5" ht="14.45" customHeight="1">
      <c r="A886" s="49"/>
      <c r="B886" s="97"/>
      <c r="C886" s="62" t="s">
        <v>175</v>
      </c>
      <c r="D886" s="65">
        <v>2</v>
      </c>
      <c r="E886" s="64">
        <v>0</v>
      </c>
    </row>
    <row r="887" spans="1:5" ht="14.45" customHeight="1">
      <c r="A887" s="49"/>
      <c r="B887" s="97"/>
      <c r="C887" s="62" t="s">
        <v>189</v>
      </c>
      <c r="D887" s="65">
        <v>1</v>
      </c>
      <c r="E887" s="64">
        <v>0</v>
      </c>
    </row>
    <row r="888" spans="1:5" ht="14.45" customHeight="1">
      <c r="A888" s="49"/>
      <c r="B888" s="97"/>
      <c r="C888" s="62" t="s">
        <v>142</v>
      </c>
      <c r="D888" s="65">
        <v>1</v>
      </c>
      <c r="E888" s="64">
        <v>0</v>
      </c>
    </row>
    <row r="889" spans="1:5" ht="14.45" customHeight="1">
      <c r="A889" s="49"/>
      <c r="B889" s="97"/>
      <c r="C889" s="62" t="s">
        <v>182</v>
      </c>
      <c r="D889" s="65">
        <v>1</v>
      </c>
      <c r="E889" s="64">
        <v>0</v>
      </c>
    </row>
    <row r="890" spans="1:5" ht="14.45" customHeight="1">
      <c r="A890" s="49"/>
      <c r="B890" s="97"/>
      <c r="C890" s="62" t="s">
        <v>144</v>
      </c>
      <c r="D890" s="65">
        <v>5</v>
      </c>
      <c r="E890" s="64">
        <v>1E-3</v>
      </c>
    </row>
    <row r="891" spans="1:5" ht="14.45" customHeight="1">
      <c r="A891" s="49"/>
      <c r="B891" s="97"/>
      <c r="C891" s="62" t="s">
        <v>145</v>
      </c>
      <c r="D891" s="65">
        <v>1</v>
      </c>
      <c r="E891" s="64">
        <v>0</v>
      </c>
    </row>
    <row r="892" spans="1:5" ht="14.45" customHeight="1">
      <c r="A892" s="49"/>
      <c r="B892" s="97"/>
      <c r="C892" s="73" t="s">
        <v>288</v>
      </c>
      <c r="D892" s="74">
        <v>26</v>
      </c>
      <c r="E892" s="72">
        <v>5.0000000000000001E-3</v>
      </c>
    </row>
    <row r="893" spans="1:5" ht="14.45" customHeight="1">
      <c r="A893" s="49"/>
      <c r="B893" s="97" t="s">
        <v>60</v>
      </c>
      <c r="C893" s="62" t="s">
        <v>161</v>
      </c>
      <c r="D893" s="65">
        <v>1</v>
      </c>
      <c r="E893" s="64">
        <v>0</v>
      </c>
    </row>
    <row r="894" spans="1:5" ht="14.45" customHeight="1">
      <c r="A894" s="49"/>
      <c r="B894" s="97"/>
      <c r="C894" s="62" t="s">
        <v>131</v>
      </c>
      <c r="D894" s="65">
        <v>2</v>
      </c>
      <c r="E894" s="64">
        <v>0</v>
      </c>
    </row>
    <row r="895" spans="1:5" ht="14.45" customHeight="1">
      <c r="A895" s="49"/>
      <c r="B895" s="97"/>
      <c r="C895" s="62" t="s">
        <v>133</v>
      </c>
      <c r="D895" s="65">
        <v>9</v>
      </c>
      <c r="E895" s="64">
        <v>2E-3</v>
      </c>
    </row>
    <row r="896" spans="1:5" ht="14.45" customHeight="1">
      <c r="A896" s="49"/>
      <c r="B896" s="97"/>
      <c r="C896" s="62" t="s">
        <v>134</v>
      </c>
      <c r="D896" s="65">
        <v>3</v>
      </c>
      <c r="E896" s="64">
        <v>1E-3</v>
      </c>
    </row>
    <row r="897" spans="1:5" ht="14.45" customHeight="1">
      <c r="A897" s="49"/>
      <c r="B897" s="97"/>
      <c r="C897" s="62" t="s">
        <v>146</v>
      </c>
      <c r="D897" s="65">
        <v>1</v>
      </c>
      <c r="E897" s="64">
        <v>0</v>
      </c>
    </row>
    <row r="898" spans="1:5" ht="14.45" customHeight="1">
      <c r="A898" s="49"/>
      <c r="B898" s="97"/>
      <c r="C898" s="62" t="s">
        <v>165</v>
      </c>
      <c r="D898" s="65">
        <v>1</v>
      </c>
      <c r="E898" s="64">
        <v>0</v>
      </c>
    </row>
    <row r="899" spans="1:5" ht="14.45" customHeight="1">
      <c r="A899" s="49"/>
      <c r="B899" s="97"/>
      <c r="C899" s="62" t="s">
        <v>147</v>
      </c>
      <c r="D899" s="65">
        <v>1</v>
      </c>
      <c r="E899" s="64">
        <v>0</v>
      </c>
    </row>
    <row r="900" spans="1:5" ht="14.45" customHeight="1">
      <c r="A900" s="49"/>
      <c r="B900" s="97"/>
      <c r="C900" s="62" t="s">
        <v>135</v>
      </c>
      <c r="D900" s="65">
        <v>10</v>
      </c>
      <c r="E900" s="64">
        <v>2E-3</v>
      </c>
    </row>
    <row r="901" spans="1:5" ht="27.95" customHeight="1">
      <c r="A901" s="49"/>
      <c r="B901" s="97"/>
      <c r="C901" s="62" t="s">
        <v>136</v>
      </c>
      <c r="D901" s="65">
        <v>3</v>
      </c>
      <c r="E901" s="64">
        <v>1E-3</v>
      </c>
    </row>
    <row r="902" spans="1:5" ht="14.45" customHeight="1">
      <c r="A902" s="49"/>
      <c r="B902" s="97"/>
      <c r="C902" s="62" t="s">
        <v>168</v>
      </c>
      <c r="D902" s="65">
        <v>2</v>
      </c>
      <c r="E902" s="64">
        <v>0</v>
      </c>
    </row>
    <row r="903" spans="1:5" ht="14.45" customHeight="1">
      <c r="A903" s="49"/>
      <c r="B903" s="97"/>
      <c r="C903" s="62" t="s">
        <v>137</v>
      </c>
      <c r="D903" s="65">
        <v>1</v>
      </c>
      <c r="E903" s="64">
        <v>0</v>
      </c>
    </row>
    <row r="904" spans="1:5" ht="14.45" customHeight="1">
      <c r="A904" s="49"/>
      <c r="B904" s="97"/>
      <c r="C904" s="62" t="s">
        <v>169</v>
      </c>
      <c r="D904" s="65">
        <v>1</v>
      </c>
      <c r="E904" s="64">
        <v>0</v>
      </c>
    </row>
    <row r="905" spans="1:5" ht="14.45" customHeight="1">
      <c r="A905" s="49"/>
      <c r="B905" s="97"/>
      <c r="C905" s="62" t="s">
        <v>138</v>
      </c>
      <c r="D905" s="65">
        <v>1</v>
      </c>
      <c r="E905" s="64">
        <v>0</v>
      </c>
    </row>
    <row r="906" spans="1:5" ht="14.45" customHeight="1">
      <c r="A906" s="49"/>
      <c r="B906" s="97"/>
      <c r="C906" s="62" t="s">
        <v>155</v>
      </c>
      <c r="D906" s="65">
        <v>3</v>
      </c>
      <c r="E906" s="64">
        <v>1E-3</v>
      </c>
    </row>
    <row r="907" spans="1:5" ht="14.45" customHeight="1">
      <c r="A907" s="49"/>
      <c r="B907" s="97"/>
      <c r="C907" s="62" t="s">
        <v>156</v>
      </c>
      <c r="D907" s="65">
        <v>1</v>
      </c>
      <c r="E907" s="64">
        <v>0</v>
      </c>
    </row>
    <row r="908" spans="1:5" ht="14.45" customHeight="1">
      <c r="A908" s="49"/>
      <c r="B908" s="97"/>
      <c r="C908" s="62" t="s">
        <v>170</v>
      </c>
      <c r="D908" s="65">
        <v>3</v>
      </c>
      <c r="E908" s="64">
        <v>1E-3</v>
      </c>
    </row>
    <row r="909" spans="1:5" ht="14.45" customHeight="1">
      <c r="A909" s="49"/>
      <c r="B909" s="97"/>
      <c r="C909" s="62" t="s">
        <v>175</v>
      </c>
      <c r="D909" s="65">
        <v>1</v>
      </c>
      <c r="E909" s="64">
        <v>0</v>
      </c>
    </row>
    <row r="910" spans="1:5" ht="14.45" customHeight="1">
      <c r="A910" s="49"/>
      <c r="B910" s="97"/>
      <c r="C910" s="62" t="s">
        <v>180</v>
      </c>
      <c r="D910" s="65">
        <v>1</v>
      </c>
      <c r="E910" s="64">
        <v>0</v>
      </c>
    </row>
    <row r="911" spans="1:5" ht="14.45" customHeight="1">
      <c r="A911" s="49"/>
      <c r="B911" s="97"/>
      <c r="C911" s="62" t="s">
        <v>140</v>
      </c>
      <c r="D911" s="65">
        <v>5</v>
      </c>
      <c r="E911" s="64">
        <v>1E-3</v>
      </c>
    </row>
    <row r="912" spans="1:5" ht="14.45" customHeight="1">
      <c r="A912" s="49"/>
      <c r="B912" s="97"/>
      <c r="C912" s="62" t="s">
        <v>181</v>
      </c>
      <c r="D912" s="65">
        <v>4</v>
      </c>
      <c r="E912" s="64">
        <v>1E-3</v>
      </c>
    </row>
    <row r="913" spans="1:5" ht="14.45" customHeight="1">
      <c r="A913" s="49"/>
      <c r="B913" s="97"/>
      <c r="C913" s="62" t="s">
        <v>141</v>
      </c>
      <c r="D913" s="65">
        <v>2</v>
      </c>
      <c r="E913" s="64">
        <v>0</v>
      </c>
    </row>
    <row r="914" spans="1:5" ht="14.45" customHeight="1">
      <c r="A914" s="49"/>
      <c r="B914" s="97"/>
      <c r="C914" s="62" t="s">
        <v>142</v>
      </c>
      <c r="D914" s="65">
        <v>1</v>
      </c>
      <c r="E914" s="64">
        <v>0</v>
      </c>
    </row>
    <row r="915" spans="1:5" ht="14.45" customHeight="1">
      <c r="A915" s="49"/>
      <c r="B915" s="97"/>
      <c r="C915" s="62" t="s">
        <v>143</v>
      </c>
      <c r="D915" s="65">
        <v>2</v>
      </c>
      <c r="E915" s="64">
        <v>0</v>
      </c>
    </row>
    <row r="916" spans="1:5" ht="14.45" customHeight="1">
      <c r="A916" s="49"/>
      <c r="B916" s="97"/>
      <c r="C916" s="62" t="s">
        <v>144</v>
      </c>
      <c r="D916" s="65">
        <v>6</v>
      </c>
      <c r="E916" s="64">
        <v>1E-3</v>
      </c>
    </row>
    <row r="917" spans="1:5" ht="14.45" customHeight="1">
      <c r="A917" s="49"/>
      <c r="B917" s="97"/>
      <c r="C917" s="62" t="s">
        <v>145</v>
      </c>
      <c r="D917" s="65">
        <v>2</v>
      </c>
      <c r="E917" s="64">
        <v>0</v>
      </c>
    </row>
    <row r="918" spans="1:5" ht="14.45" customHeight="1">
      <c r="A918" s="49"/>
      <c r="B918" s="97"/>
      <c r="C918" s="62" t="s">
        <v>158</v>
      </c>
      <c r="D918" s="65">
        <v>3</v>
      </c>
      <c r="E918" s="64">
        <v>1E-3</v>
      </c>
    </row>
    <row r="919" spans="1:5" ht="14.45" customHeight="1">
      <c r="A919" s="49"/>
      <c r="B919" s="97"/>
      <c r="C919" s="62" t="s">
        <v>150</v>
      </c>
      <c r="D919" s="65">
        <v>1</v>
      </c>
      <c r="E919" s="64">
        <v>0</v>
      </c>
    </row>
    <row r="920" spans="1:5" ht="14.45" customHeight="1">
      <c r="A920" s="49"/>
      <c r="B920" s="97"/>
      <c r="C920" s="62" t="s">
        <v>153</v>
      </c>
      <c r="D920" s="65">
        <v>2</v>
      </c>
      <c r="E920" s="64">
        <v>0</v>
      </c>
    </row>
    <row r="921" spans="1:5" ht="14.45" customHeight="1">
      <c r="A921" s="49"/>
      <c r="B921" s="97"/>
      <c r="C921" s="62" t="s">
        <v>154</v>
      </c>
      <c r="D921" s="65">
        <v>1</v>
      </c>
      <c r="E921" s="64">
        <v>0</v>
      </c>
    </row>
    <row r="922" spans="1:5" ht="14.45" customHeight="1">
      <c r="A922" s="49"/>
      <c r="B922" s="97"/>
      <c r="C922" s="73" t="s">
        <v>288</v>
      </c>
      <c r="D922" s="74">
        <v>74</v>
      </c>
      <c r="E922" s="72">
        <v>1.2999999999999999E-2</v>
      </c>
    </row>
    <row r="923" spans="1:5" ht="14.45" customHeight="1">
      <c r="A923" s="49"/>
      <c r="B923" s="97" t="s">
        <v>59</v>
      </c>
      <c r="C923" s="62" t="s">
        <v>159</v>
      </c>
      <c r="D923" s="65">
        <v>1</v>
      </c>
      <c r="E923" s="64">
        <v>0</v>
      </c>
    </row>
    <row r="924" spans="1:5" ht="14.45" customHeight="1">
      <c r="A924" s="49"/>
      <c r="B924" s="97"/>
      <c r="C924" s="62" t="s">
        <v>160</v>
      </c>
      <c r="D924" s="65">
        <v>2</v>
      </c>
      <c r="E924" s="64">
        <v>0</v>
      </c>
    </row>
    <row r="925" spans="1:5" ht="14.45" customHeight="1">
      <c r="A925" s="49"/>
      <c r="B925" s="97"/>
      <c r="C925" s="62" t="s">
        <v>161</v>
      </c>
      <c r="D925" s="65">
        <v>2</v>
      </c>
      <c r="E925" s="64">
        <v>0</v>
      </c>
    </row>
    <row r="926" spans="1:5" ht="14.45" customHeight="1">
      <c r="A926" s="49"/>
      <c r="B926" s="97"/>
      <c r="C926" s="62" t="s">
        <v>131</v>
      </c>
      <c r="D926" s="65">
        <v>8</v>
      </c>
      <c r="E926" s="64">
        <v>1E-3</v>
      </c>
    </row>
    <row r="927" spans="1:5" ht="14.45" customHeight="1">
      <c r="A927" s="49"/>
      <c r="B927" s="97"/>
      <c r="C927" s="62" t="s">
        <v>133</v>
      </c>
      <c r="D927" s="65">
        <v>6</v>
      </c>
      <c r="E927" s="64">
        <v>1E-3</v>
      </c>
    </row>
    <row r="928" spans="1:5" ht="14.45" customHeight="1">
      <c r="A928" s="49"/>
      <c r="B928" s="97"/>
      <c r="C928" s="62" t="s">
        <v>134</v>
      </c>
      <c r="D928" s="65">
        <v>1</v>
      </c>
      <c r="E928" s="64">
        <v>0</v>
      </c>
    </row>
    <row r="929" spans="1:5" ht="14.45" customHeight="1">
      <c r="A929" s="49"/>
      <c r="B929" s="97"/>
      <c r="C929" s="62" t="s">
        <v>188</v>
      </c>
      <c r="D929" s="65">
        <v>2</v>
      </c>
      <c r="E929" s="64">
        <v>0</v>
      </c>
    </row>
    <row r="930" spans="1:5" ht="14.45" customHeight="1">
      <c r="A930" s="49"/>
      <c r="B930" s="97"/>
      <c r="C930" s="62" t="s">
        <v>165</v>
      </c>
      <c r="D930" s="65">
        <v>2</v>
      </c>
      <c r="E930" s="64">
        <v>0</v>
      </c>
    </row>
    <row r="931" spans="1:5" ht="14.45" customHeight="1">
      <c r="A931" s="49"/>
      <c r="B931" s="97"/>
      <c r="C931" s="62" t="s">
        <v>166</v>
      </c>
      <c r="D931" s="65">
        <v>1</v>
      </c>
      <c r="E931" s="64">
        <v>0</v>
      </c>
    </row>
    <row r="932" spans="1:5" ht="14.45" customHeight="1">
      <c r="A932" s="49"/>
      <c r="B932" s="97"/>
      <c r="C932" s="62" t="s">
        <v>135</v>
      </c>
      <c r="D932" s="65">
        <v>7</v>
      </c>
      <c r="E932" s="64">
        <v>1E-3</v>
      </c>
    </row>
    <row r="933" spans="1:5" ht="14.45" customHeight="1">
      <c r="A933" s="49"/>
      <c r="B933" s="97"/>
      <c r="C933" s="62" t="s">
        <v>167</v>
      </c>
      <c r="D933" s="65">
        <v>1</v>
      </c>
      <c r="E933" s="64">
        <v>0</v>
      </c>
    </row>
    <row r="934" spans="1:5" ht="14.45" customHeight="1">
      <c r="A934" s="49"/>
      <c r="B934" s="97"/>
      <c r="C934" s="62" t="s">
        <v>136</v>
      </c>
      <c r="D934" s="65">
        <v>2</v>
      </c>
      <c r="E934" s="64">
        <v>0</v>
      </c>
    </row>
    <row r="935" spans="1:5" ht="14.45" customHeight="1">
      <c r="A935" s="49"/>
      <c r="B935" s="97"/>
      <c r="C935" s="62" t="s">
        <v>168</v>
      </c>
      <c r="D935" s="65">
        <v>2</v>
      </c>
      <c r="E935" s="64">
        <v>0</v>
      </c>
    </row>
    <row r="936" spans="1:5" ht="14.45" customHeight="1">
      <c r="A936" s="49"/>
      <c r="B936" s="97"/>
      <c r="C936" s="62" t="s">
        <v>138</v>
      </c>
      <c r="D936" s="65">
        <v>3</v>
      </c>
      <c r="E936" s="64">
        <v>1E-3</v>
      </c>
    </row>
    <row r="937" spans="1:5" ht="14.45" customHeight="1">
      <c r="A937" s="49"/>
      <c r="B937" s="97"/>
      <c r="C937" s="62" t="s">
        <v>155</v>
      </c>
      <c r="D937" s="65">
        <v>3</v>
      </c>
      <c r="E937" s="64">
        <v>1E-3</v>
      </c>
    </row>
    <row r="938" spans="1:5" ht="14.45" customHeight="1">
      <c r="A938" s="49"/>
      <c r="B938" s="97"/>
      <c r="C938" s="62" t="s">
        <v>156</v>
      </c>
      <c r="D938" s="65">
        <v>1</v>
      </c>
      <c r="E938" s="64">
        <v>0</v>
      </c>
    </row>
    <row r="939" spans="1:5" ht="14.45" customHeight="1">
      <c r="A939" s="49"/>
      <c r="B939" s="97"/>
      <c r="C939" s="62" t="s">
        <v>170</v>
      </c>
      <c r="D939" s="65">
        <v>1</v>
      </c>
      <c r="E939" s="64">
        <v>0</v>
      </c>
    </row>
    <row r="940" spans="1:5" ht="14.45" customHeight="1">
      <c r="A940" s="49"/>
      <c r="B940" s="97"/>
      <c r="C940" s="62" t="s">
        <v>139</v>
      </c>
      <c r="D940" s="65">
        <v>1</v>
      </c>
      <c r="E940" s="64">
        <v>0</v>
      </c>
    </row>
    <row r="941" spans="1:5" ht="14.45" customHeight="1">
      <c r="A941" s="49"/>
      <c r="B941" s="97"/>
      <c r="C941" s="62" t="s">
        <v>178</v>
      </c>
      <c r="D941" s="65">
        <v>1</v>
      </c>
      <c r="E941" s="64">
        <v>0</v>
      </c>
    </row>
    <row r="942" spans="1:5" ht="14.45" customHeight="1">
      <c r="A942" s="49"/>
      <c r="B942" s="97"/>
      <c r="C942" s="62" t="s">
        <v>180</v>
      </c>
      <c r="D942" s="65">
        <v>4</v>
      </c>
      <c r="E942" s="64">
        <v>1E-3</v>
      </c>
    </row>
    <row r="943" spans="1:5" ht="14.45" customHeight="1">
      <c r="A943" s="49"/>
      <c r="B943" s="97"/>
      <c r="C943" s="62" t="s">
        <v>140</v>
      </c>
      <c r="D943" s="65">
        <v>2</v>
      </c>
      <c r="E943" s="64">
        <v>0</v>
      </c>
    </row>
    <row r="944" spans="1:5" ht="14.45" customHeight="1">
      <c r="A944" s="49"/>
      <c r="B944" s="97"/>
      <c r="C944" s="62" t="s">
        <v>143</v>
      </c>
      <c r="D944" s="65">
        <v>2</v>
      </c>
      <c r="E944" s="64">
        <v>0</v>
      </c>
    </row>
    <row r="945" spans="1:5" ht="14.45" customHeight="1">
      <c r="A945" s="49"/>
      <c r="B945" s="97"/>
      <c r="C945" s="62" t="s">
        <v>182</v>
      </c>
      <c r="D945" s="65">
        <v>2</v>
      </c>
      <c r="E945" s="64">
        <v>0</v>
      </c>
    </row>
    <row r="946" spans="1:5" ht="14.45" customHeight="1">
      <c r="A946" s="49"/>
      <c r="B946" s="97"/>
      <c r="C946" s="62" t="s">
        <v>144</v>
      </c>
      <c r="D946" s="65">
        <v>12</v>
      </c>
      <c r="E946" s="64">
        <v>2E-3</v>
      </c>
    </row>
    <row r="947" spans="1:5" ht="14.45" customHeight="1">
      <c r="A947" s="49"/>
      <c r="B947" s="97"/>
      <c r="C947" s="62" t="s">
        <v>145</v>
      </c>
      <c r="D947" s="65">
        <v>1</v>
      </c>
      <c r="E947" s="64">
        <v>0</v>
      </c>
    </row>
    <row r="948" spans="1:5" ht="14.45" customHeight="1">
      <c r="A948" s="49"/>
      <c r="B948" s="97"/>
      <c r="C948" s="62" t="s">
        <v>157</v>
      </c>
      <c r="D948" s="65">
        <v>4</v>
      </c>
      <c r="E948" s="64">
        <v>1E-3</v>
      </c>
    </row>
    <row r="949" spans="1:5" ht="14.45" customHeight="1">
      <c r="A949" s="49"/>
      <c r="B949" s="97"/>
      <c r="C949" s="62" t="s">
        <v>183</v>
      </c>
      <c r="D949" s="65">
        <v>1</v>
      </c>
      <c r="E949" s="64">
        <v>0</v>
      </c>
    </row>
    <row r="950" spans="1:5" ht="14.45" customHeight="1">
      <c r="A950" s="49"/>
      <c r="B950" s="97"/>
      <c r="C950" s="62" t="s">
        <v>153</v>
      </c>
      <c r="D950" s="65">
        <v>1</v>
      </c>
      <c r="E950" s="64">
        <v>0</v>
      </c>
    </row>
    <row r="951" spans="1:5" ht="14.45" customHeight="1">
      <c r="A951" s="49"/>
      <c r="B951" s="97"/>
      <c r="C951" s="62" t="s">
        <v>154</v>
      </c>
      <c r="D951" s="65">
        <v>36</v>
      </c>
      <c r="E951" s="64">
        <v>6.0000000000000001E-3</v>
      </c>
    </row>
    <row r="952" spans="1:5" ht="14.45" customHeight="1">
      <c r="A952" s="49"/>
      <c r="B952" s="97"/>
      <c r="C952" s="73" t="s">
        <v>288</v>
      </c>
      <c r="D952" s="74">
        <v>112</v>
      </c>
      <c r="E952" s="72">
        <v>0.02</v>
      </c>
    </row>
    <row r="953" spans="1:5" ht="14.45" customHeight="1">
      <c r="A953" s="49"/>
      <c r="B953" s="97" t="s">
        <v>58</v>
      </c>
      <c r="C953" s="62" t="s">
        <v>161</v>
      </c>
      <c r="D953" s="65">
        <v>1</v>
      </c>
      <c r="E953" s="64">
        <v>0</v>
      </c>
    </row>
    <row r="954" spans="1:5" ht="14.45" customHeight="1">
      <c r="A954" s="49"/>
      <c r="B954" s="97"/>
      <c r="C954" s="62" t="s">
        <v>131</v>
      </c>
      <c r="D954" s="65">
        <v>3</v>
      </c>
      <c r="E954" s="64">
        <v>1E-3</v>
      </c>
    </row>
    <row r="955" spans="1:5" ht="14.45" customHeight="1">
      <c r="A955" s="49"/>
      <c r="B955" s="97"/>
      <c r="C955" s="62" t="s">
        <v>133</v>
      </c>
      <c r="D955" s="65">
        <v>3</v>
      </c>
      <c r="E955" s="64">
        <v>1E-3</v>
      </c>
    </row>
    <row r="956" spans="1:5" ht="14.45" customHeight="1">
      <c r="A956" s="49"/>
      <c r="B956" s="97"/>
      <c r="C956" s="62" t="s">
        <v>134</v>
      </c>
      <c r="D956" s="65">
        <v>14</v>
      </c>
      <c r="E956" s="64">
        <v>2E-3</v>
      </c>
    </row>
    <row r="957" spans="1:5" ht="14.45" customHeight="1">
      <c r="A957" s="49"/>
      <c r="B957" s="97"/>
      <c r="C957" s="62" t="s">
        <v>261</v>
      </c>
      <c r="D957" s="65">
        <v>5</v>
      </c>
      <c r="E957" s="64">
        <v>1E-3</v>
      </c>
    </row>
    <row r="958" spans="1:5" ht="14.45" customHeight="1">
      <c r="A958" s="49"/>
      <c r="B958" s="97"/>
      <c r="C958" s="62" t="s">
        <v>165</v>
      </c>
      <c r="D958" s="65">
        <v>1</v>
      </c>
      <c r="E958" s="64">
        <v>0</v>
      </c>
    </row>
    <row r="959" spans="1:5" ht="14.45" customHeight="1">
      <c r="A959" s="49"/>
      <c r="B959" s="97"/>
      <c r="C959" s="62" t="s">
        <v>166</v>
      </c>
      <c r="D959" s="65">
        <v>1</v>
      </c>
      <c r="E959" s="64">
        <v>0</v>
      </c>
    </row>
    <row r="960" spans="1:5" ht="27.95" customHeight="1">
      <c r="A960" s="49"/>
      <c r="B960" s="97"/>
      <c r="C960" s="62" t="s">
        <v>147</v>
      </c>
      <c r="D960" s="65">
        <v>2</v>
      </c>
      <c r="E960" s="64">
        <v>0</v>
      </c>
    </row>
    <row r="961" spans="1:5" ht="14.45" customHeight="1">
      <c r="A961" s="49"/>
      <c r="B961" s="97"/>
      <c r="C961" s="62" t="s">
        <v>135</v>
      </c>
      <c r="D961" s="65">
        <v>1</v>
      </c>
      <c r="E961" s="64">
        <v>0</v>
      </c>
    </row>
    <row r="962" spans="1:5" ht="14.45" customHeight="1">
      <c r="A962" s="49"/>
      <c r="B962" s="97"/>
      <c r="C962" s="62" t="s">
        <v>136</v>
      </c>
      <c r="D962" s="65">
        <v>1</v>
      </c>
      <c r="E962" s="64">
        <v>0</v>
      </c>
    </row>
    <row r="963" spans="1:5" ht="14.45" customHeight="1">
      <c r="A963" s="49"/>
      <c r="B963" s="97"/>
      <c r="C963" s="62" t="s">
        <v>138</v>
      </c>
      <c r="D963" s="65">
        <v>1</v>
      </c>
      <c r="E963" s="64">
        <v>0</v>
      </c>
    </row>
    <row r="964" spans="1:5" ht="14.45" customHeight="1">
      <c r="A964" s="49"/>
      <c r="B964" s="97"/>
      <c r="C964" s="62" t="s">
        <v>155</v>
      </c>
      <c r="D964" s="65">
        <v>1</v>
      </c>
      <c r="E964" s="64">
        <v>0</v>
      </c>
    </row>
    <row r="965" spans="1:5" ht="14.45" customHeight="1">
      <c r="A965" s="49"/>
      <c r="B965" s="97"/>
      <c r="C965" s="62" t="s">
        <v>156</v>
      </c>
      <c r="D965" s="65">
        <v>1</v>
      </c>
      <c r="E965" s="64">
        <v>0</v>
      </c>
    </row>
    <row r="966" spans="1:5" ht="14.45" customHeight="1">
      <c r="A966" s="49"/>
      <c r="B966" s="97"/>
      <c r="C966" s="62" t="s">
        <v>171</v>
      </c>
      <c r="D966" s="65">
        <v>3</v>
      </c>
      <c r="E966" s="64">
        <v>1E-3</v>
      </c>
    </row>
    <row r="967" spans="1:5" ht="14.45" customHeight="1">
      <c r="A967" s="49"/>
      <c r="B967" s="97"/>
      <c r="C967" s="62" t="s">
        <v>139</v>
      </c>
      <c r="D967" s="65">
        <v>1</v>
      </c>
      <c r="E967" s="64">
        <v>0</v>
      </c>
    </row>
    <row r="968" spans="1:5" ht="14.45" customHeight="1">
      <c r="A968" s="49"/>
      <c r="B968" s="97"/>
      <c r="C968" s="62" t="s">
        <v>142</v>
      </c>
      <c r="D968" s="65">
        <v>4</v>
      </c>
      <c r="E968" s="64">
        <v>1E-3</v>
      </c>
    </row>
    <row r="969" spans="1:5" ht="14.45" customHeight="1">
      <c r="A969" s="49"/>
      <c r="B969" s="97"/>
      <c r="C969" s="62" t="s">
        <v>143</v>
      </c>
      <c r="D969" s="65">
        <v>2</v>
      </c>
      <c r="E969" s="64">
        <v>0</v>
      </c>
    </row>
    <row r="970" spans="1:5" ht="14.45" customHeight="1">
      <c r="A970" s="49"/>
      <c r="B970" s="97"/>
      <c r="C970" s="62" t="s">
        <v>144</v>
      </c>
      <c r="D970" s="65">
        <v>9</v>
      </c>
      <c r="E970" s="64">
        <v>2E-3</v>
      </c>
    </row>
    <row r="971" spans="1:5" ht="14.45" customHeight="1">
      <c r="A971" s="49"/>
      <c r="B971" s="97"/>
      <c r="C971" s="62" t="s">
        <v>145</v>
      </c>
      <c r="D971" s="65">
        <v>5</v>
      </c>
      <c r="E971" s="64">
        <v>1E-3</v>
      </c>
    </row>
    <row r="972" spans="1:5" ht="14.45" customHeight="1">
      <c r="A972" s="49"/>
      <c r="B972" s="97"/>
      <c r="C972" s="62" t="s">
        <v>183</v>
      </c>
      <c r="D972" s="65">
        <v>5</v>
      </c>
      <c r="E972" s="64">
        <v>1E-3</v>
      </c>
    </row>
    <row r="973" spans="1:5" ht="14.45" customHeight="1">
      <c r="A973" s="49"/>
      <c r="B973" s="97"/>
      <c r="C973" s="62" t="s">
        <v>158</v>
      </c>
      <c r="D973" s="65">
        <v>1</v>
      </c>
      <c r="E973" s="64">
        <v>0</v>
      </c>
    </row>
    <row r="974" spans="1:5" ht="14.45" customHeight="1">
      <c r="A974" s="49"/>
      <c r="B974" s="97"/>
      <c r="C974" s="62" t="s">
        <v>184</v>
      </c>
      <c r="D974" s="65">
        <v>2</v>
      </c>
      <c r="E974" s="64">
        <v>0</v>
      </c>
    </row>
    <row r="975" spans="1:5" ht="14.45" customHeight="1">
      <c r="A975" s="49"/>
      <c r="B975" s="97"/>
      <c r="C975" s="62" t="s">
        <v>153</v>
      </c>
      <c r="D975" s="65">
        <v>2</v>
      </c>
      <c r="E975" s="64">
        <v>0</v>
      </c>
    </row>
    <row r="976" spans="1:5" ht="14.45" customHeight="1">
      <c r="A976" s="49"/>
      <c r="B976" s="97"/>
      <c r="C976" s="73" t="s">
        <v>288</v>
      </c>
      <c r="D976" s="74">
        <v>69</v>
      </c>
      <c r="E976" s="72">
        <v>1.2E-2</v>
      </c>
    </row>
    <row r="977" spans="1:5" ht="14.45" customHeight="1">
      <c r="A977" s="49"/>
      <c r="B977" s="97" t="s">
        <v>65</v>
      </c>
      <c r="C977" s="62" t="s">
        <v>131</v>
      </c>
      <c r="D977" s="65">
        <v>1</v>
      </c>
      <c r="E977" s="64">
        <v>0</v>
      </c>
    </row>
    <row r="978" spans="1:5" ht="14.45" customHeight="1">
      <c r="A978" s="49"/>
      <c r="B978" s="97"/>
      <c r="C978" s="62" t="s">
        <v>162</v>
      </c>
      <c r="D978" s="65">
        <v>1</v>
      </c>
      <c r="E978" s="64">
        <v>0</v>
      </c>
    </row>
    <row r="979" spans="1:5" ht="14.45" customHeight="1">
      <c r="A979" s="49"/>
      <c r="B979" s="97"/>
      <c r="C979" s="62" t="s">
        <v>133</v>
      </c>
      <c r="D979" s="65">
        <v>3</v>
      </c>
      <c r="E979" s="64">
        <v>1E-3</v>
      </c>
    </row>
    <row r="980" spans="1:5" ht="14.45" customHeight="1">
      <c r="A980" s="49"/>
      <c r="B980" s="97"/>
      <c r="C980" s="62" t="s">
        <v>134</v>
      </c>
      <c r="D980" s="65">
        <v>4</v>
      </c>
      <c r="E980" s="64">
        <v>1E-3</v>
      </c>
    </row>
    <row r="981" spans="1:5" ht="14.45" customHeight="1">
      <c r="A981" s="49"/>
      <c r="B981" s="97"/>
      <c r="C981" s="62" t="s">
        <v>165</v>
      </c>
      <c r="D981" s="65">
        <v>2</v>
      </c>
      <c r="E981" s="64">
        <v>0</v>
      </c>
    </row>
    <row r="982" spans="1:5" ht="14.45" customHeight="1">
      <c r="A982" s="49"/>
      <c r="B982" s="97"/>
      <c r="C982" s="62" t="s">
        <v>147</v>
      </c>
      <c r="D982" s="65">
        <v>1</v>
      </c>
      <c r="E982" s="64">
        <v>0</v>
      </c>
    </row>
    <row r="983" spans="1:5" ht="15" customHeight="1">
      <c r="A983" s="49"/>
      <c r="B983" s="97"/>
      <c r="C983" s="62" t="s">
        <v>135</v>
      </c>
      <c r="D983" s="65">
        <v>5</v>
      </c>
      <c r="E983" s="64">
        <v>1E-3</v>
      </c>
    </row>
    <row r="984" spans="1:5" ht="15" customHeight="1">
      <c r="A984" s="49"/>
      <c r="B984" s="97"/>
      <c r="C984" s="62" t="s">
        <v>136</v>
      </c>
      <c r="D984" s="65">
        <v>1</v>
      </c>
      <c r="E984" s="64">
        <v>0</v>
      </c>
    </row>
    <row r="985" spans="1:5" ht="15" customHeight="1">
      <c r="A985" s="49"/>
      <c r="B985" s="97"/>
      <c r="C985" s="62" t="s">
        <v>138</v>
      </c>
      <c r="D985" s="65">
        <v>2</v>
      </c>
      <c r="E985" s="64">
        <v>0</v>
      </c>
    </row>
    <row r="986" spans="1:5" ht="15" customHeight="1">
      <c r="A986" s="49"/>
      <c r="B986" s="97"/>
      <c r="C986" s="62" t="s">
        <v>171</v>
      </c>
      <c r="D986" s="65">
        <v>1</v>
      </c>
      <c r="E986" s="64">
        <v>0</v>
      </c>
    </row>
    <row r="987" spans="1:5" ht="15" customHeight="1">
      <c r="A987" s="49"/>
      <c r="B987" s="97"/>
      <c r="C987" s="62" t="s">
        <v>139</v>
      </c>
      <c r="D987" s="65">
        <v>5</v>
      </c>
      <c r="E987" s="64">
        <v>1E-3</v>
      </c>
    </row>
    <row r="988" spans="1:5" ht="15" customHeight="1">
      <c r="A988" s="49"/>
      <c r="B988" s="97"/>
      <c r="C988" s="62" t="s">
        <v>180</v>
      </c>
      <c r="D988" s="65">
        <v>2</v>
      </c>
      <c r="E988" s="64">
        <v>0</v>
      </c>
    </row>
    <row r="989" spans="1:5" ht="15" customHeight="1">
      <c r="A989" s="49"/>
      <c r="B989" s="97"/>
      <c r="C989" s="62" t="s">
        <v>140</v>
      </c>
      <c r="D989" s="65">
        <v>1</v>
      </c>
      <c r="E989" s="64">
        <v>0</v>
      </c>
    </row>
    <row r="990" spans="1:5" ht="15" customHeight="1">
      <c r="A990" s="49"/>
      <c r="B990" s="97"/>
      <c r="C990" s="62" t="s">
        <v>142</v>
      </c>
      <c r="D990" s="65">
        <v>2</v>
      </c>
      <c r="E990" s="64">
        <v>0</v>
      </c>
    </row>
    <row r="991" spans="1:5" ht="15" customHeight="1">
      <c r="A991" s="49"/>
      <c r="B991" s="97"/>
      <c r="C991" s="62" t="s">
        <v>143</v>
      </c>
      <c r="D991" s="65">
        <v>1</v>
      </c>
      <c r="E991" s="64">
        <v>0</v>
      </c>
    </row>
    <row r="992" spans="1:5" ht="15" customHeight="1">
      <c r="A992" s="49"/>
      <c r="B992" s="97"/>
      <c r="C992" s="62" t="s">
        <v>182</v>
      </c>
      <c r="D992" s="65">
        <v>1</v>
      </c>
      <c r="E992" s="64">
        <v>0</v>
      </c>
    </row>
    <row r="993" spans="1:5" ht="15" customHeight="1">
      <c r="A993" s="49"/>
      <c r="B993" s="97"/>
      <c r="C993" s="62" t="s">
        <v>144</v>
      </c>
      <c r="D993" s="65">
        <v>12</v>
      </c>
      <c r="E993" s="64">
        <v>2E-3</v>
      </c>
    </row>
    <row r="994" spans="1:5" ht="15" customHeight="1">
      <c r="A994" s="49"/>
      <c r="B994" s="97"/>
      <c r="C994" s="62" t="s">
        <v>145</v>
      </c>
      <c r="D994" s="65">
        <v>2</v>
      </c>
      <c r="E994" s="64">
        <v>0</v>
      </c>
    </row>
    <row r="995" spans="1:5" ht="15" customHeight="1">
      <c r="A995" s="49"/>
      <c r="B995" s="97"/>
      <c r="C995" s="62" t="s">
        <v>150</v>
      </c>
      <c r="D995" s="65">
        <v>1</v>
      </c>
      <c r="E995" s="64">
        <v>0</v>
      </c>
    </row>
    <row r="996" spans="1:5" ht="15" customHeight="1">
      <c r="A996" s="49"/>
      <c r="B996" s="97"/>
      <c r="C996" s="62" t="s">
        <v>151</v>
      </c>
      <c r="D996" s="65">
        <v>1</v>
      </c>
      <c r="E996" s="64">
        <v>0</v>
      </c>
    </row>
    <row r="997" spans="1:5" ht="15" customHeight="1">
      <c r="A997" s="49"/>
      <c r="B997" s="97"/>
      <c r="C997" s="62" t="s">
        <v>152</v>
      </c>
      <c r="D997" s="65">
        <v>3</v>
      </c>
      <c r="E997" s="64">
        <v>1E-3</v>
      </c>
    </row>
    <row r="998" spans="1:5" ht="15" customHeight="1">
      <c r="A998" s="49"/>
      <c r="B998" s="97"/>
      <c r="C998" s="62" t="s">
        <v>153</v>
      </c>
      <c r="D998" s="65">
        <v>1</v>
      </c>
      <c r="E998" s="64">
        <v>0</v>
      </c>
    </row>
    <row r="999" spans="1:5" ht="15" customHeight="1">
      <c r="A999" s="49"/>
      <c r="B999" s="97"/>
      <c r="C999" s="62" t="s">
        <v>154</v>
      </c>
      <c r="D999" s="65">
        <v>1</v>
      </c>
      <c r="E999" s="64">
        <v>0</v>
      </c>
    </row>
    <row r="1000" spans="1:5" ht="15" customHeight="1">
      <c r="A1000" s="49"/>
      <c r="B1000" s="97"/>
      <c r="C1000" s="73" t="s">
        <v>288</v>
      </c>
      <c r="D1000" s="74">
        <v>54</v>
      </c>
      <c r="E1000" s="72">
        <v>0.01</v>
      </c>
    </row>
    <row r="1001" spans="1:5" ht="15" customHeight="1">
      <c r="A1001" s="49"/>
      <c r="B1001" s="97" t="s">
        <v>48</v>
      </c>
      <c r="C1001" s="62" t="s">
        <v>160</v>
      </c>
      <c r="D1001" s="65">
        <v>3</v>
      </c>
      <c r="E1001" s="64">
        <v>1E-3</v>
      </c>
    </row>
    <row r="1002" spans="1:5" ht="15" customHeight="1">
      <c r="A1002" s="49"/>
      <c r="B1002" s="97"/>
      <c r="C1002" s="62" t="s">
        <v>161</v>
      </c>
      <c r="D1002" s="65">
        <v>1</v>
      </c>
      <c r="E1002" s="64">
        <v>0</v>
      </c>
    </row>
    <row r="1003" spans="1:5" ht="15" customHeight="1">
      <c r="A1003" s="49"/>
      <c r="B1003" s="97"/>
      <c r="C1003" s="62" t="s">
        <v>131</v>
      </c>
      <c r="D1003" s="65">
        <v>5</v>
      </c>
      <c r="E1003" s="64">
        <v>1E-3</v>
      </c>
    </row>
    <row r="1004" spans="1:5" ht="15" customHeight="1">
      <c r="A1004" s="49"/>
      <c r="B1004" s="97"/>
      <c r="C1004" s="62" t="s">
        <v>132</v>
      </c>
      <c r="D1004" s="65">
        <v>1</v>
      </c>
      <c r="E1004" s="64">
        <v>0</v>
      </c>
    </row>
    <row r="1005" spans="1:5" ht="15" customHeight="1">
      <c r="A1005" s="49"/>
      <c r="B1005" s="97"/>
      <c r="C1005" s="62" t="s">
        <v>162</v>
      </c>
      <c r="D1005" s="65">
        <v>2</v>
      </c>
      <c r="E1005" s="64">
        <v>0</v>
      </c>
    </row>
    <row r="1006" spans="1:5" ht="15" customHeight="1">
      <c r="A1006" s="49"/>
      <c r="B1006" s="97"/>
      <c r="C1006" s="62" t="s">
        <v>133</v>
      </c>
      <c r="D1006" s="65">
        <v>8</v>
      </c>
      <c r="E1006" s="64">
        <v>1E-3</v>
      </c>
    </row>
    <row r="1007" spans="1:5" ht="15" customHeight="1">
      <c r="A1007" s="49"/>
      <c r="B1007" s="97"/>
      <c r="C1007" s="62" t="s">
        <v>134</v>
      </c>
      <c r="D1007" s="65">
        <v>56</v>
      </c>
      <c r="E1007" s="64">
        <v>0.01</v>
      </c>
    </row>
    <row r="1008" spans="1:5" ht="15" customHeight="1">
      <c r="A1008" s="49"/>
      <c r="B1008" s="97"/>
      <c r="C1008" s="62" t="s">
        <v>146</v>
      </c>
      <c r="D1008" s="65">
        <v>14</v>
      </c>
      <c r="E1008" s="64">
        <v>2E-3</v>
      </c>
    </row>
    <row r="1009" spans="1:5" ht="15" customHeight="1">
      <c r="A1009" s="49"/>
      <c r="B1009" s="97"/>
      <c r="C1009" s="62" t="s">
        <v>164</v>
      </c>
      <c r="D1009" s="65">
        <v>1</v>
      </c>
      <c r="E1009" s="64">
        <v>0</v>
      </c>
    </row>
    <row r="1010" spans="1:5" ht="15" customHeight="1">
      <c r="A1010" s="49"/>
      <c r="B1010" s="97"/>
      <c r="C1010" s="62" t="s">
        <v>188</v>
      </c>
      <c r="D1010" s="65">
        <v>1</v>
      </c>
      <c r="E1010" s="64">
        <v>0</v>
      </c>
    </row>
    <row r="1011" spans="1:5" ht="15" customHeight="1">
      <c r="A1011" s="49"/>
      <c r="B1011" s="97"/>
      <c r="C1011" s="62" t="s">
        <v>261</v>
      </c>
      <c r="D1011" s="65">
        <v>5</v>
      </c>
      <c r="E1011" s="64">
        <v>1E-3</v>
      </c>
    </row>
    <row r="1012" spans="1:5" ht="15" customHeight="1">
      <c r="A1012" s="49"/>
      <c r="B1012" s="97"/>
      <c r="C1012" s="62" t="s">
        <v>165</v>
      </c>
      <c r="D1012" s="65">
        <v>1</v>
      </c>
      <c r="E1012" s="64">
        <v>0</v>
      </c>
    </row>
    <row r="1013" spans="1:5" ht="15" customHeight="1">
      <c r="A1013" s="49"/>
      <c r="B1013" s="97"/>
      <c r="C1013" s="62" t="s">
        <v>135</v>
      </c>
      <c r="D1013" s="65">
        <v>30</v>
      </c>
      <c r="E1013" s="64">
        <v>5.0000000000000001E-3</v>
      </c>
    </row>
    <row r="1014" spans="1:5" ht="15" customHeight="1">
      <c r="A1014" s="49"/>
      <c r="B1014" s="97"/>
      <c r="C1014" s="62" t="s">
        <v>167</v>
      </c>
      <c r="D1014" s="65">
        <v>1</v>
      </c>
      <c r="E1014" s="64">
        <v>0</v>
      </c>
    </row>
    <row r="1015" spans="1:5" ht="15" customHeight="1">
      <c r="A1015" s="49"/>
      <c r="B1015" s="97"/>
      <c r="C1015" s="62" t="s">
        <v>136</v>
      </c>
      <c r="D1015" s="65">
        <v>1</v>
      </c>
      <c r="E1015" s="64">
        <v>0</v>
      </c>
    </row>
    <row r="1016" spans="1:5" ht="15" customHeight="1">
      <c r="A1016" s="49"/>
      <c r="B1016" s="97"/>
      <c r="C1016" s="62" t="s">
        <v>169</v>
      </c>
      <c r="D1016" s="65">
        <v>1</v>
      </c>
      <c r="E1016" s="64">
        <v>0</v>
      </c>
    </row>
    <row r="1017" spans="1:5" ht="15" customHeight="1">
      <c r="A1017" s="49"/>
      <c r="B1017" s="97"/>
      <c r="C1017" s="62" t="s">
        <v>155</v>
      </c>
      <c r="D1017" s="65">
        <v>8</v>
      </c>
      <c r="E1017" s="64">
        <v>1E-3</v>
      </c>
    </row>
    <row r="1018" spans="1:5" ht="15" customHeight="1">
      <c r="A1018" s="49"/>
      <c r="B1018" s="97"/>
      <c r="C1018" s="62" t="s">
        <v>156</v>
      </c>
      <c r="D1018" s="65">
        <v>2</v>
      </c>
      <c r="E1018" s="64">
        <v>0</v>
      </c>
    </row>
    <row r="1019" spans="1:5" ht="15" customHeight="1">
      <c r="A1019" s="49"/>
      <c r="B1019" s="97"/>
      <c r="C1019" s="62" t="s">
        <v>170</v>
      </c>
      <c r="D1019" s="65">
        <v>2</v>
      </c>
      <c r="E1019" s="64">
        <v>0</v>
      </c>
    </row>
    <row r="1020" spans="1:5" ht="15" customHeight="1">
      <c r="A1020" s="49"/>
      <c r="B1020" s="97"/>
      <c r="C1020" s="62" t="s">
        <v>171</v>
      </c>
      <c r="D1020" s="65">
        <v>2</v>
      </c>
      <c r="E1020" s="64">
        <v>0</v>
      </c>
    </row>
    <row r="1021" spans="1:5" ht="15" customHeight="1">
      <c r="A1021" s="49"/>
      <c r="B1021" s="97"/>
      <c r="C1021" s="62" t="s">
        <v>139</v>
      </c>
      <c r="D1021" s="65">
        <v>1</v>
      </c>
      <c r="E1021" s="64">
        <v>0</v>
      </c>
    </row>
    <row r="1022" spans="1:5" ht="15" customHeight="1">
      <c r="A1022" s="49"/>
      <c r="B1022" s="97"/>
      <c r="C1022" s="62" t="s">
        <v>187</v>
      </c>
      <c r="D1022" s="65">
        <v>1</v>
      </c>
      <c r="E1022" s="64">
        <v>0</v>
      </c>
    </row>
    <row r="1023" spans="1:5" ht="15" customHeight="1">
      <c r="A1023" s="49"/>
      <c r="B1023" s="97"/>
      <c r="C1023" s="62" t="s">
        <v>176</v>
      </c>
      <c r="D1023" s="65">
        <v>2</v>
      </c>
      <c r="E1023" s="64">
        <v>0</v>
      </c>
    </row>
    <row r="1024" spans="1:5" ht="15" customHeight="1">
      <c r="A1024" s="49"/>
      <c r="B1024" s="97"/>
      <c r="C1024" s="62" t="s">
        <v>177</v>
      </c>
      <c r="D1024" s="65">
        <v>1</v>
      </c>
      <c r="E1024" s="64">
        <v>0</v>
      </c>
    </row>
    <row r="1025" spans="1:5" ht="15" customHeight="1">
      <c r="A1025" s="49"/>
      <c r="B1025" s="97"/>
      <c r="C1025" s="62" t="s">
        <v>178</v>
      </c>
      <c r="D1025" s="65">
        <v>4</v>
      </c>
      <c r="E1025" s="64">
        <v>1E-3</v>
      </c>
    </row>
    <row r="1026" spans="1:5" ht="15" customHeight="1">
      <c r="A1026" s="49"/>
      <c r="B1026" s="97"/>
      <c r="C1026" s="62" t="s">
        <v>179</v>
      </c>
      <c r="D1026" s="65">
        <v>3</v>
      </c>
      <c r="E1026" s="64">
        <v>1E-3</v>
      </c>
    </row>
    <row r="1027" spans="1:5" ht="15" customHeight="1">
      <c r="A1027" s="49"/>
      <c r="B1027" s="97"/>
      <c r="C1027" s="62" t="s">
        <v>180</v>
      </c>
      <c r="D1027" s="65">
        <v>2</v>
      </c>
      <c r="E1027" s="64">
        <v>0</v>
      </c>
    </row>
    <row r="1028" spans="1:5" ht="15" customHeight="1">
      <c r="A1028" s="49"/>
      <c r="B1028" s="97"/>
      <c r="C1028" s="62" t="s">
        <v>140</v>
      </c>
      <c r="D1028" s="65">
        <v>2</v>
      </c>
      <c r="E1028" s="64">
        <v>0</v>
      </c>
    </row>
    <row r="1029" spans="1:5" ht="15" customHeight="1">
      <c r="A1029" s="49"/>
      <c r="B1029" s="97"/>
      <c r="C1029" s="62" t="s">
        <v>181</v>
      </c>
      <c r="D1029" s="65">
        <v>12</v>
      </c>
      <c r="E1029" s="64">
        <v>2E-3</v>
      </c>
    </row>
    <row r="1030" spans="1:5" ht="15" customHeight="1">
      <c r="A1030" s="49"/>
      <c r="B1030" s="97"/>
      <c r="C1030" s="62" t="s">
        <v>141</v>
      </c>
      <c r="D1030" s="65">
        <v>3</v>
      </c>
      <c r="E1030" s="64">
        <v>1E-3</v>
      </c>
    </row>
    <row r="1031" spans="1:5" ht="15" customHeight="1">
      <c r="A1031" s="49"/>
      <c r="B1031" s="97"/>
      <c r="C1031" s="62" t="s">
        <v>142</v>
      </c>
      <c r="D1031" s="65">
        <v>2</v>
      </c>
      <c r="E1031" s="64">
        <v>0</v>
      </c>
    </row>
    <row r="1032" spans="1:5" ht="15" customHeight="1">
      <c r="A1032" s="49"/>
      <c r="B1032" s="97"/>
      <c r="C1032" s="62" t="s">
        <v>182</v>
      </c>
      <c r="D1032" s="65">
        <v>5</v>
      </c>
      <c r="E1032" s="64">
        <v>1E-3</v>
      </c>
    </row>
    <row r="1033" spans="1:5" ht="15" customHeight="1">
      <c r="A1033" s="49"/>
      <c r="B1033" s="97"/>
      <c r="C1033" s="62" t="s">
        <v>144</v>
      </c>
      <c r="D1033" s="65">
        <v>56</v>
      </c>
      <c r="E1033" s="64">
        <v>0.01</v>
      </c>
    </row>
    <row r="1034" spans="1:5" ht="15" customHeight="1">
      <c r="A1034" s="49"/>
      <c r="B1034" s="97"/>
      <c r="C1034" s="62" t="s">
        <v>145</v>
      </c>
      <c r="D1034" s="65">
        <v>5</v>
      </c>
      <c r="E1034" s="64">
        <v>1E-3</v>
      </c>
    </row>
    <row r="1035" spans="1:5" ht="15" customHeight="1">
      <c r="A1035" s="49"/>
      <c r="B1035" s="97"/>
      <c r="C1035" s="62" t="s">
        <v>158</v>
      </c>
      <c r="D1035" s="65">
        <v>2</v>
      </c>
      <c r="E1035" s="64">
        <v>0</v>
      </c>
    </row>
    <row r="1036" spans="1:5" ht="15" customHeight="1">
      <c r="A1036" s="49"/>
      <c r="B1036" s="97"/>
      <c r="C1036" s="62" t="s">
        <v>150</v>
      </c>
      <c r="D1036" s="65">
        <v>1</v>
      </c>
      <c r="E1036" s="64">
        <v>0</v>
      </c>
    </row>
    <row r="1037" spans="1:5" ht="15" customHeight="1">
      <c r="A1037" s="49"/>
      <c r="B1037" s="97"/>
      <c r="C1037" s="62" t="s">
        <v>151</v>
      </c>
      <c r="D1037" s="65">
        <v>3</v>
      </c>
      <c r="E1037" s="64">
        <v>1E-3</v>
      </c>
    </row>
    <row r="1038" spans="1:5" ht="15" customHeight="1">
      <c r="A1038" s="49"/>
      <c r="B1038" s="97"/>
      <c r="C1038" s="62" t="s">
        <v>152</v>
      </c>
      <c r="D1038" s="65">
        <v>1</v>
      </c>
      <c r="E1038" s="64">
        <v>0</v>
      </c>
    </row>
    <row r="1039" spans="1:5" ht="15" customHeight="1">
      <c r="A1039" s="49"/>
      <c r="B1039" s="97"/>
      <c r="C1039" s="62" t="s">
        <v>184</v>
      </c>
      <c r="D1039" s="65">
        <v>2</v>
      </c>
      <c r="E1039" s="64">
        <v>0</v>
      </c>
    </row>
    <row r="1040" spans="1:5" ht="15" customHeight="1">
      <c r="A1040" s="49"/>
      <c r="B1040" s="97"/>
      <c r="C1040" s="62" t="s">
        <v>153</v>
      </c>
      <c r="D1040" s="65">
        <v>4</v>
      </c>
      <c r="E1040" s="64">
        <v>1E-3</v>
      </c>
    </row>
    <row r="1041" spans="1:5" ht="15" customHeight="1">
      <c r="A1041" s="49"/>
      <c r="B1041" s="97"/>
      <c r="C1041" s="73" t="s">
        <v>288</v>
      </c>
      <c r="D1041" s="74">
        <v>257</v>
      </c>
      <c r="E1041" s="72">
        <v>4.5999999999999999E-2</v>
      </c>
    </row>
    <row r="1042" spans="1:5" ht="15" customHeight="1">
      <c r="A1042" s="49"/>
      <c r="B1042" s="97" t="s">
        <v>82</v>
      </c>
      <c r="C1042" s="62" t="s">
        <v>131</v>
      </c>
      <c r="D1042" s="65">
        <v>4</v>
      </c>
      <c r="E1042" s="64">
        <v>1E-3</v>
      </c>
    </row>
    <row r="1043" spans="1:5" ht="15" customHeight="1">
      <c r="A1043" s="49"/>
      <c r="B1043" s="97"/>
      <c r="C1043" s="62" t="s">
        <v>133</v>
      </c>
      <c r="D1043" s="65">
        <v>5</v>
      </c>
      <c r="E1043" s="64">
        <v>1E-3</v>
      </c>
    </row>
    <row r="1044" spans="1:5" ht="15" customHeight="1">
      <c r="A1044" s="49"/>
      <c r="B1044" s="97"/>
      <c r="C1044" s="62" t="s">
        <v>134</v>
      </c>
      <c r="D1044" s="65">
        <v>2</v>
      </c>
      <c r="E1044" s="64">
        <v>0</v>
      </c>
    </row>
    <row r="1045" spans="1:5" ht="15" customHeight="1">
      <c r="A1045" s="49"/>
      <c r="B1045" s="97"/>
      <c r="C1045" s="62" t="s">
        <v>146</v>
      </c>
      <c r="D1045" s="65">
        <v>1</v>
      </c>
      <c r="E1045" s="64">
        <v>0</v>
      </c>
    </row>
    <row r="1046" spans="1:5" ht="15" customHeight="1">
      <c r="A1046" s="49"/>
      <c r="B1046" s="97"/>
      <c r="C1046" s="62" t="s">
        <v>147</v>
      </c>
      <c r="D1046" s="65">
        <v>1</v>
      </c>
      <c r="E1046" s="64">
        <v>0</v>
      </c>
    </row>
    <row r="1047" spans="1:5" ht="15" customHeight="1">
      <c r="A1047" s="49"/>
      <c r="B1047" s="97"/>
      <c r="C1047" s="62" t="s">
        <v>135</v>
      </c>
      <c r="D1047" s="65">
        <v>4</v>
      </c>
      <c r="E1047" s="64">
        <v>1E-3</v>
      </c>
    </row>
    <row r="1048" spans="1:5" ht="15" customHeight="1">
      <c r="A1048" s="49"/>
      <c r="B1048" s="97"/>
      <c r="C1048" s="62" t="s">
        <v>136</v>
      </c>
      <c r="D1048" s="65">
        <v>1</v>
      </c>
      <c r="E1048" s="64">
        <v>0</v>
      </c>
    </row>
    <row r="1049" spans="1:5" ht="15" customHeight="1">
      <c r="A1049" s="49"/>
      <c r="B1049" s="97"/>
      <c r="C1049" s="62" t="s">
        <v>137</v>
      </c>
      <c r="D1049" s="65">
        <v>1</v>
      </c>
      <c r="E1049" s="64">
        <v>0</v>
      </c>
    </row>
    <row r="1050" spans="1:5" ht="15" customHeight="1">
      <c r="A1050" s="49"/>
      <c r="B1050" s="97"/>
      <c r="C1050" s="62" t="s">
        <v>156</v>
      </c>
      <c r="D1050" s="65">
        <v>1</v>
      </c>
      <c r="E1050" s="64">
        <v>0</v>
      </c>
    </row>
    <row r="1051" spans="1:5" ht="15" customHeight="1">
      <c r="A1051" s="49"/>
      <c r="B1051" s="97"/>
      <c r="C1051" s="62" t="s">
        <v>139</v>
      </c>
      <c r="D1051" s="65">
        <v>1</v>
      </c>
      <c r="E1051" s="64">
        <v>0</v>
      </c>
    </row>
    <row r="1052" spans="1:5" ht="15" customHeight="1">
      <c r="A1052" s="49"/>
      <c r="B1052" s="97"/>
      <c r="C1052" s="62" t="s">
        <v>180</v>
      </c>
      <c r="D1052" s="65">
        <v>1</v>
      </c>
      <c r="E1052" s="64">
        <v>0</v>
      </c>
    </row>
    <row r="1053" spans="1:5" ht="15" customHeight="1">
      <c r="A1053" s="49"/>
      <c r="B1053" s="97"/>
      <c r="C1053" s="62" t="s">
        <v>142</v>
      </c>
      <c r="D1053" s="65">
        <v>1</v>
      </c>
      <c r="E1053" s="64">
        <v>0</v>
      </c>
    </row>
    <row r="1054" spans="1:5" ht="15" customHeight="1">
      <c r="A1054" s="49"/>
      <c r="B1054" s="97"/>
      <c r="C1054" s="62" t="s">
        <v>143</v>
      </c>
      <c r="D1054" s="65">
        <v>1</v>
      </c>
      <c r="E1054" s="64">
        <v>0</v>
      </c>
    </row>
    <row r="1055" spans="1:5" ht="15" customHeight="1">
      <c r="A1055" s="49"/>
      <c r="B1055" s="97"/>
      <c r="C1055" s="62" t="s">
        <v>144</v>
      </c>
      <c r="D1055" s="65">
        <v>3</v>
      </c>
      <c r="E1055" s="64">
        <v>1E-3</v>
      </c>
    </row>
    <row r="1056" spans="1:5" ht="15" customHeight="1">
      <c r="A1056" s="49"/>
      <c r="B1056" s="97"/>
      <c r="C1056" s="62" t="s">
        <v>145</v>
      </c>
      <c r="D1056" s="65">
        <v>1</v>
      </c>
      <c r="E1056" s="64">
        <v>0</v>
      </c>
    </row>
    <row r="1057" spans="1:5" ht="15" customHeight="1">
      <c r="A1057" s="49"/>
      <c r="B1057" s="97"/>
      <c r="C1057" s="73" t="s">
        <v>288</v>
      </c>
      <c r="D1057" s="74">
        <v>28</v>
      </c>
      <c r="E1057" s="72">
        <v>5.0000000000000001E-3</v>
      </c>
    </row>
    <row r="1058" spans="1:5" ht="15" customHeight="1">
      <c r="A1058" s="49"/>
      <c r="B1058" s="97" t="s">
        <v>86</v>
      </c>
      <c r="C1058" s="62" t="s">
        <v>134</v>
      </c>
      <c r="D1058" s="65">
        <v>1</v>
      </c>
      <c r="E1058" s="64">
        <v>0</v>
      </c>
    </row>
    <row r="1059" spans="1:5" ht="15" customHeight="1">
      <c r="A1059" s="49"/>
      <c r="B1059" s="97"/>
      <c r="C1059" s="62" t="s">
        <v>143</v>
      </c>
      <c r="D1059" s="65">
        <v>1</v>
      </c>
      <c r="E1059" s="64">
        <v>0</v>
      </c>
    </row>
    <row r="1060" spans="1:5" ht="15" customHeight="1">
      <c r="A1060" s="49"/>
      <c r="B1060" s="97"/>
      <c r="C1060" s="62" t="s">
        <v>183</v>
      </c>
      <c r="D1060" s="65">
        <v>1</v>
      </c>
      <c r="E1060" s="64">
        <v>0</v>
      </c>
    </row>
    <row r="1061" spans="1:5" ht="15" customHeight="1">
      <c r="A1061" s="49"/>
      <c r="B1061" s="97"/>
      <c r="C1061" s="62" t="s">
        <v>150</v>
      </c>
      <c r="D1061" s="65">
        <v>1</v>
      </c>
      <c r="E1061" s="64">
        <v>0</v>
      </c>
    </row>
    <row r="1062" spans="1:5" ht="15" customHeight="1">
      <c r="A1062" s="49"/>
      <c r="B1062" s="97"/>
      <c r="C1062" s="73" t="s">
        <v>288</v>
      </c>
      <c r="D1062" s="74">
        <v>4</v>
      </c>
      <c r="E1062" s="72">
        <v>1E-3</v>
      </c>
    </row>
    <row r="1063" spans="1:5" ht="15" customHeight="1">
      <c r="A1063" s="49"/>
      <c r="B1063" s="97" t="s">
        <v>67</v>
      </c>
      <c r="C1063" s="62" t="s">
        <v>131</v>
      </c>
      <c r="D1063" s="65">
        <v>7</v>
      </c>
      <c r="E1063" s="64">
        <v>1E-3</v>
      </c>
    </row>
    <row r="1064" spans="1:5" ht="15" customHeight="1">
      <c r="A1064" s="49"/>
      <c r="B1064" s="97"/>
      <c r="C1064" s="62" t="s">
        <v>162</v>
      </c>
      <c r="D1064" s="65">
        <v>1</v>
      </c>
      <c r="E1064" s="64">
        <v>0</v>
      </c>
    </row>
    <row r="1065" spans="1:5" ht="15" customHeight="1">
      <c r="A1065" s="49"/>
      <c r="B1065" s="97"/>
      <c r="C1065" s="62" t="s">
        <v>133</v>
      </c>
      <c r="D1065" s="65">
        <v>3</v>
      </c>
      <c r="E1065" s="64">
        <v>1E-3</v>
      </c>
    </row>
    <row r="1066" spans="1:5" ht="15" customHeight="1">
      <c r="A1066" s="49"/>
      <c r="B1066" s="97"/>
      <c r="C1066" s="62" t="s">
        <v>134</v>
      </c>
      <c r="D1066" s="65">
        <v>2</v>
      </c>
      <c r="E1066" s="64">
        <v>0</v>
      </c>
    </row>
    <row r="1067" spans="1:5" ht="15" customHeight="1">
      <c r="A1067" s="49"/>
      <c r="B1067" s="97"/>
      <c r="C1067" s="62" t="s">
        <v>261</v>
      </c>
      <c r="D1067" s="65">
        <v>2</v>
      </c>
      <c r="E1067" s="64">
        <v>0</v>
      </c>
    </row>
    <row r="1068" spans="1:5" ht="15" customHeight="1">
      <c r="A1068" s="49"/>
      <c r="B1068" s="97"/>
      <c r="C1068" s="62" t="s">
        <v>135</v>
      </c>
      <c r="D1068" s="65">
        <v>4</v>
      </c>
      <c r="E1068" s="64">
        <v>1E-3</v>
      </c>
    </row>
    <row r="1069" spans="1:5" ht="15" customHeight="1">
      <c r="A1069" s="49"/>
      <c r="B1069" s="97"/>
      <c r="C1069" s="62" t="s">
        <v>136</v>
      </c>
      <c r="D1069" s="65">
        <v>2</v>
      </c>
      <c r="E1069" s="64">
        <v>0</v>
      </c>
    </row>
    <row r="1070" spans="1:5" ht="15" customHeight="1">
      <c r="A1070" s="49"/>
      <c r="B1070" s="97"/>
      <c r="C1070" s="62" t="s">
        <v>148</v>
      </c>
      <c r="D1070" s="65">
        <v>1</v>
      </c>
      <c r="E1070" s="64">
        <v>0</v>
      </c>
    </row>
    <row r="1071" spans="1:5" ht="15" customHeight="1">
      <c r="A1071" s="49"/>
      <c r="B1071" s="97"/>
      <c r="C1071" s="62" t="s">
        <v>155</v>
      </c>
      <c r="D1071" s="65">
        <v>1</v>
      </c>
      <c r="E1071" s="64">
        <v>0</v>
      </c>
    </row>
    <row r="1072" spans="1:5" ht="15" customHeight="1">
      <c r="A1072" s="49"/>
      <c r="B1072" s="97"/>
      <c r="C1072" s="62" t="s">
        <v>156</v>
      </c>
      <c r="D1072" s="65">
        <v>1</v>
      </c>
      <c r="E1072" s="64">
        <v>0</v>
      </c>
    </row>
    <row r="1073" spans="1:5" ht="15" customHeight="1">
      <c r="A1073" s="49"/>
      <c r="B1073" s="97"/>
      <c r="C1073" s="62" t="s">
        <v>170</v>
      </c>
      <c r="D1073" s="65">
        <v>1</v>
      </c>
      <c r="E1073" s="64">
        <v>0</v>
      </c>
    </row>
    <row r="1074" spans="1:5" ht="15" customHeight="1">
      <c r="A1074" s="49"/>
      <c r="B1074" s="97"/>
      <c r="C1074" s="62" t="s">
        <v>172</v>
      </c>
      <c r="D1074" s="65">
        <v>1</v>
      </c>
      <c r="E1074" s="64">
        <v>0</v>
      </c>
    </row>
    <row r="1075" spans="1:5" ht="15" customHeight="1">
      <c r="A1075" s="49"/>
      <c r="B1075" s="97"/>
      <c r="C1075" s="62" t="s">
        <v>180</v>
      </c>
      <c r="D1075" s="65">
        <v>2</v>
      </c>
      <c r="E1075" s="64">
        <v>0</v>
      </c>
    </row>
    <row r="1076" spans="1:5" ht="15" customHeight="1">
      <c r="A1076" s="49"/>
      <c r="B1076" s="97"/>
      <c r="C1076" s="62" t="s">
        <v>142</v>
      </c>
      <c r="D1076" s="65">
        <v>6</v>
      </c>
      <c r="E1076" s="64">
        <v>1E-3</v>
      </c>
    </row>
    <row r="1077" spans="1:5" ht="15" customHeight="1">
      <c r="A1077" s="49"/>
      <c r="B1077" s="97"/>
      <c r="C1077" s="62" t="s">
        <v>144</v>
      </c>
      <c r="D1077" s="65">
        <v>9</v>
      </c>
      <c r="E1077" s="64">
        <v>2E-3</v>
      </c>
    </row>
    <row r="1078" spans="1:5" ht="15" customHeight="1">
      <c r="A1078" s="49"/>
      <c r="B1078" s="97"/>
      <c r="C1078" s="62" t="s">
        <v>158</v>
      </c>
      <c r="D1078" s="65">
        <v>1</v>
      </c>
      <c r="E1078" s="64">
        <v>0</v>
      </c>
    </row>
    <row r="1079" spans="1:5" ht="15" customHeight="1">
      <c r="A1079" s="49"/>
      <c r="B1079" s="97"/>
      <c r="C1079" s="62" t="s">
        <v>150</v>
      </c>
      <c r="D1079" s="65">
        <v>4</v>
      </c>
      <c r="E1079" s="64">
        <v>1E-3</v>
      </c>
    </row>
    <row r="1080" spans="1:5" ht="15" customHeight="1">
      <c r="A1080" s="49"/>
      <c r="B1080" s="97"/>
      <c r="C1080" s="62" t="s">
        <v>153</v>
      </c>
      <c r="D1080" s="65">
        <v>2</v>
      </c>
      <c r="E1080" s="64">
        <v>0</v>
      </c>
    </row>
    <row r="1081" spans="1:5" ht="15" customHeight="1">
      <c r="A1081" s="49"/>
      <c r="B1081" s="97"/>
      <c r="C1081" s="73" t="s">
        <v>288</v>
      </c>
      <c r="D1081" s="74">
        <v>50</v>
      </c>
      <c r="E1081" s="72">
        <v>8.9999999999999993E-3</v>
      </c>
    </row>
    <row r="1082" spans="1:5" ht="15" customHeight="1">
      <c r="A1082" s="49"/>
      <c r="B1082" s="97" t="s">
        <v>257</v>
      </c>
      <c r="C1082" s="62" t="s">
        <v>133</v>
      </c>
      <c r="D1082" s="65">
        <v>1</v>
      </c>
      <c r="E1082" s="64">
        <v>0</v>
      </c>
    </row>
    <row r="1083" spans="1:5" ht="15" customHeight="1">
      <c r="A1083" s="49"/>
      <c r="B1083" s="97"/>
      <c r="C1083" s="62" t="s">
        <v>144</v>
      </c>
      <c r="D1083" s="65">
        <v>1</v>
      </c>
      <c r="E1083" s="64">
        <v>0</v>
      </c>
    </row>
    <row r="1084" spans="1:5" ht="15" customHeight="1">
      <c r="A1084" s="49"/>
      <c r="B1084" s="97"/>
      <c r="C1084" s="73" t="s">
        <v>288</v>
      </c>
      <c r="D1084" s="74">
        <v>2</v>
      </c>
      <c r="E1084" s="72">
        <v>0</v>
      </c>
    </row>
    <row r="1085" spans="1:5" ht="15" customHeight="1">
      <c r="A1085" s="49"/>
      <c r="B1085" s="99" t="s">
        <v>288</v>
      </c>
      <c r="C1085" s="99"/>
      <c r="D1085" s="110">
        <v>5612</v>
      </c>
      <c r="E1085" s="76">
        <v>1</v>
      </c>
    </row>
    <row r="1086" spans="1:5" ht="15" customHeight="1">
      <c r="A1086" s="49"/>
      <c r="B1086" s="49"/>
      <c r="C1086" s="49"/>
      <c r="D1086" s="49"/>
      <c r="E1086" s="49"/>
    </row>
    <row r="1087" spans="1:5" ht="15" customHeight="1">
      <c r="A1087" s="49"/>
      <c r="B1087" s="35" t="s">
        <v>255</v>
      </c>
      <c r="C1087" s="49"/>
      <c r="D1087" s="49"/>
      <c r="E1087" s="49"/>
    </row>
    <row r="1088" spans="1:5" ht="15" customHeight="1">
      <c r="A1088" s="49"/>
      <c r="B1088" s="37" t="s">
        <v>18</v>
      </c>
      <c r="C1088" s="49"/>
      <c r="D1088" s="49"/>
      <c r="E1088" s="49"/>
    </row>
    <row r="1089" spans="1:5" ht="15" customHeight="1">
      <c r="A1089" s="49"/>
      <c r="B1089" s="38" t="s">
        <v>128</v>
      </c>
      <c r="C1089" s="49"/>
      <c r="D1089" s="49"/>
      <c r="E1089" s="49"/>
    </row>
    <row r="1090" spans="1:5" ht="15" customHeight="1">
      <c r="A1090" s="49"/>
      <c r="B1090" s="35" t="s">
        <v>17</v>
      </c>
      <c r="C1090" s="49"/>
      <c r="D1090" s="49"/>
      <c r="E1090" s="49"/>
    </row>
    <row r="1091" spans="1:5" ht="15" customHeight="1">
      <c r="A1091" s="49"/>
      <c r="B1091" s="35" t="s">
        <v>290</v>
      </c>
      <c r="C1091" s="49"/>
      <c r="D1091" s="49"/>
      <c r="E1091" s="49"/>
    </row>
    <row r="1092" spans="1:5" ht="15" customHeight="1">
      <c r="A1092" s="49"/>
      <c r="B1092" s="49"/>
      <c r="C1092" s="49"/>
      <c r="D1092" s="49"/>
      <c r="E1092" s="49"/>
    </row>
  </sheetData>
  <mergeCells count="48">
    <mergeCell ref="B239:B257"/>
    <mergeCell ref="B258:B263"/>
    <mergeCell ref="B308:B322"/>
    <mergeCell ref="B1085:C1085"/>
    <mergeCell ref="B1042:B1057"/>
    <mergeCell ref="B1058:B1062"/>
    <mergeCell ref="B1063:B1081"/>
    <mergeCell ref="B1082:B1084"/>
    <mergeCell ref="B323:B360"/>
    <mergeCell ref="B361:B392"/>
    <mergeCell ref="B393:B418"/>
    <mergeCell ref="B419:B420"/>
    <mergeCell ref="B421:B438"/>
    <mergeCell ref="B439:B457"/>
    <mergeCell ref="B458:B502"/>
    <mergeCell ref="B503:B514"/>
    <mergeCell ref="B96:B128"/>
    <mergeCell ref="B129:B134"/>
    <mergeCell ref="B135:B184"/>
    <mergeCell ref="B185:B216"/>
    <mergeCell ref="B217:B238"/>
    <mergeCell ref="B7:E8"/>
    <mergeCell ref="B10:B19"/>
    <mergeCell ref="B20:B50"/>
    <mergeCell ref="B51:B69"/>
    <mergeCell ref="B70:B95"/>
    <mergeCell ref="B515:B533"/>
    <mergeCell ref="B534:B554"/>
    <mergeCell ref="B555:B586"/>
    <mergeCell ref="B587:B602"/>
    <mergeCell ref="B603:B656"/>
    <mergeCell ref="B657:B676"/>
    <mergeCell ref="B677:B688"/>
    <mergeCell ref="B689:B710"/>
    <mergeCell ref="B711:B738"/>
    <mergeCell ref="B739:B757"/>
    <mergeCell ref="B758:B773"/>
    <mergeCell ref="B774:B775"/>
    <mergeCell ref="B776:B809"/>
    <mergeCell ref="B810:B828"/>
    <mergeCell ref="B829:B848"/>
    <mergeCell ref="B977:B1000"/>
    <mergeCell ref="B1001:B1041"/>
    <mergeCell ref="B849:B875"/>
    <mergeCell ref="B876:B892"/>
    <mergeCell ref="B893:B922"/>
    <mergeCell ref="B923:B952"/>
    <mergeCell ref="B953:B97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43"/>
  <sheetViews>
    <sheetView showGridLines="0" view="pageBreakPreview" zoomScaleNormal="100" zoomScaleSheetLayoutView="100" workbookViewId="0">
      <selection activeCell="B38" sqref="B38"/>
    </sheetView>
  </sheetViews>
  <sheetFormatPr baseColWidth="10" defaultColWidth="11.42578125" defaultRowHeight="15"/>
  <cols>
    <col min="1" max="1" width="9.28515625" style="13" customWidth="1"/>
    <col min="2" max="2" width="41.140625" style="13" customWidth="1"/>
    <col min="3" max="3" width="17.7109375" style="14" customWidth="1"/>
    <col min="4" max="4" width="17.7109375" style="13" customWidth="1"/>
    <col min="5" max="5" width="8.7109375" style="13" customWidth="1"/>
    <col min="6" max="6" width="5.7109375" style="13" customWidth="1"/>
    <col min="7" max="16384" width="11.42578125" style="13"/>
  </cols>
  <sheetData>
    <row r="1" spans="1:5" s="18" customFormat="1" ht="15" customHeight="1">
      <c r="C1" s="20"/>
    </row>
    <row r="2" spans="1:5" s="18" customFormat="1" ht="15" customHeight="1">
      <c r="C2" s="20"/>
    </row>
    <row r="3" spans="1:5" s="18" customFormat="1" ht="15" customHeight="1">
      <c r="C3" s="20"/>
    </row>
    <row r="4" spans="1:5" s="18" customFormat="1" ht="30" customHeight="1">
      <c r="C4" s="20"/>
      <c r="D4" s="19"/>
    </row>
    <row r="5" spans="1:5" s="18" customFormat="1" ht="15" customHeight="1">
      <c r="C5" s="20"/>
      <c r="D5" s="19"/>
    </row>
    <row r="6" spans="1:5" s="18" customFormat="1" ht="15" customHeight="1">
      <c r="C6" s="20"/>
      <c r="D6" s="19"/>
    </row>
    <row r="7" spans="1:5" s="18" customFormat="1" ht="15" customHeight="1">
      <c r="A7" s="32"/>
      <c r="B7" s="95" t="s">
        <v>38</v>
      </c>
      <c r="C7" s="95"/>
      <c r="D7" s="95"/>
      <c r="E7" s="32"/>
    </row>
    <row r="8" spans="1:5" s="18" customFormat="1" ht="15" customHeight="1">
      <c r="A8" s="32"/>
      <c r="B8" s="95"/>
      <c r="C8" s="95"/>
      <c r="D8" s="95"/>
      <c r="E8" s="32"/>
    </row>
    <row r="9" spans="1:5" s="18" customFormat="1" ht="33" customHeight="1">
      <c r="A9" s="32"/>
      <c r="B9" s="95"/>
      <c r="C9" s="95"/>
      <c r="D9" s="95"/>
      <c r="E9" s="32"/>
    </row>
    <row r="10" spans="1:5" s="18" customFormat="1" ht="4.5" customHeight="1">
      <c r="A10" s="32"/>
      <c r="B10" s="33"/>
      <c r="C10" s="33"/>
      <c r="D10" s="33"/>
      <c r="E10" s="32"/>
    </row>
    <row r="11" spans="1:5" s="18" customFormat="1" ht="33" customHeight="1">
      <c r="A11" s="32"/>
      <c r="B11" s="41" t="s">
        <v>27</v>
      </c>
      <c r="C11" s="42" t="s">
        <v>26</v>
      </c>
      <c r="D11" s="43" t="s">
        <v>19</v>
      </c>
      <c r="E11" s="32"/>
    </row>
    <row r="12" spans="1:5" ht="14.45" customHeight="1">
      <c r="A12" s="34"/>
      <c r="B12" s="56" t="s">
        <v>190</v>
      </c>
      <c r="C12" s="57">
        <v>43</v>
      </c>
      <c r="D12" s="58">
        <v>7.6621525302919997E-3</v>
      </c>
      <c r="E12" s="34"/>
    </row>
    <row r="13" spans="1:5" ht="14.45" customHeight="1">
      <c r="A13" s="34"/>
      <c r="B13" s="56" t="s">
        <v>191</v>
      </c>
      <c r="C13" s="57">
        <v>16</v>
      </c>
      <c r="D13" s="58">
        <v>2.851033499644E-3</v>
      </c>
      <c r="E13" s="34"/>
    </row>
    <row r="14" spans="1:5" ht="14.45" customHeight="1">
      <c r="A14" s="34"/>
      <c r="B14" s="56" t="s">
        <v>192</v>
      </c>
      <c r="C14" s="57">
        <v>25</v>
      </c>
      <c r="D14" s="58">
        <v>4.4547398431929999E-3</v>
      </c>
      <c r="E14" s="34"/>
    </row>
    <row r="15" spans="1:5" ht="14.45" customHeight="1">
      <c r="A15" s="34"/>
      <c r="B15" s="56" t="s">
        <v>193</v>
      </c>
      <c r="C15" s="57">
        <v>33</v>
      </c>
      <c r="D15" s="58">
        <v>5.8802565930150003E-3</v>
      </c>
      <c r="E15" s="34"/>
    </row>
    <row r="16" spans="1:5" ht="14.45" customHeight="1">
      <c r="A16" s="34"/>
      <c r="B16" s="56" t="s">
        <v>194</v>
      </c>
      <c r="C16" s="57">
        <v>27</v>
      </c>
      <c r="D16" s="58">
        <v>4.8111190306489998E-3</v>
      </c>
      <c r="E16" s="34"/>
    </row>
    <row r="17" spans="1:5" ht="14.45" customHeight="1">
      <c r="A17" s="34"/>
      <c r="B17" s="56" t="s">
        <v>195</v>
      </c>
      <c r="C17" s="57">
        <v>37</v>
      </c>
      <c r="D17" s="58">
        <v>6.5930149679260001E-3</v>
      </c>
      <c r="E17" s="34"/>
    </row>
    <row r="18" spans="1:5" ht="14.45" customHeight="1">
      <c r="A18" s="34"/>
      <c r="B18" s="56" t="s">
        <v>196</v>
      </c>
      <c r="C18" s="57">
        <v>328</v>
      </c>
      <c r="D18" s="58">
        <v>5.8446186742694001E-2</v>
      </c>
      <c r="E18" s="34"/>
    </row>
    <row r="19" spans="1:5" ht="14.45" customHeight="1">
      <c r="A19" s="34"/>
      <c r="B19" s="56" t="s">
        <v>197</v>
      </c>
      <c r="C19" s="57">
        <v>682</v>
      </c>
      <c r="D19" s="58">
        <v>0.12152530292230899</v>
      </c>
      <c r="E19" s="34"/>
    </row>
    <row r="20" spans="1:5" ht="14.45" customHeight="1">
      <c r="A20" s="34"/>
      <c r="B20" s="56" t="s">
        <v>198</v>
      </c>
      <c r="C20" s="57">
        <v>42</v>
      </c>
      <c r="D20" s="58">
        <v>7.4839629365650003E-3</v>
      </c>
      <c r="E20" s="34"/>
    </row>
    <row r="21" spans="1:5" ht="14.45" customHeight="1">
      <c r="A21" s="34"/>
      <c r="B21" s="56" t="s">
        <v>199</v>
      </c>
      <c r="C21" s="57">
        <v>103</v>
      </c>
      <c r="D21" s="58">
        <v>1.8353528153956002E-2</v>
      </c>
      <c r="E21" s="34"/>
    </row>
    <row r="22" spans="1:5" ht="14.45" customHeight="1">
      <c r="A22" s="34"/>
      <c r="B22" s="56" t="s">
        <v>200</v>
      </c>
      <c r="C22" s="57">
        <v>247</v>
      </c>
      <c r="D22" s="58">
        <v>4.4012829650748E-2</v>
      </c>
      <c r="E22" s="34"/>
    </row>
    <row r="23" spans="1:5" ht="14.45" customHeight="1">
      <c r="A23" s="34"/>
      <c r="B23" s="56" t="s">
        <v>201</v>
      </c>
      <c r="C23" s="57">
        <v>2190</v>
      </c>
      <c r="D23" s="58">
        <v>0.39023521026372099</v>
      </c>
      <c r="E23" s="34"/>
    </row>
    <row r="24" spans="1:5" ht="14.45" customHeight="1">
      <c r="A24" s="34"/>
      <c r="B24" s="56" t="s">
        <v>202</v>
      </c>
      <c r="C24" s="57">
        <v>63</v>
      </c>
      <c r="D24" s="58">
        <v>1.1225944404847E-2</v>
      </c>
      <c r="E24" s="34"/>
    </row>
    <row r="25" spans="1:5" ht="14.45" customHeight="1">
      <c r="A25" s="34"/>
      <c r="B25" s="56" t="s">
        <v>203</v>
      </c>
      <c r="C25" s="57">
        <v>263</v>
      </c>
      <c r="D25" s="58">
        <v>4.6863863150392003E-2</v>
      </c>
      <c r="E25" s="34"/>
    </row>
    <row r="26" spans="1:5" ht="14.45" customHeight="1">
      <c r="A26" s="34"/>
      <c r="B26" s="56" t="s">
        <v>204</v>
      </c>
      <c r="C26" s="57">
        <v>1200</v>
      </c>
      <c r="D26" s="58">
        <v>0.213827512473272</v>
      </c>
      <c r="E26" s="34"/>
    </row>
    <row r="27" spans="1:5" ht="14.45" customHeight="1">
      <c r="A27" s="34"/>
      <c r="B27" s="56" t="s">
        <v>205</v>
      </c>
      <c r="C27" s="57">
        <v>26</v>
      </c>
      <c r="D27" s="58">
        <v>4.6329294369210003E-3</v>
      </c>
      <c r="E27" s="34"/>
    </row>
    <row r="28" spans="1:5" ht="14.45" customHeight="1">
      <c r="A28" s="34"/>
      <c r="B28" s="56" t="s">
        <v>206</v>
      </c>
      <c r="C28" s="57">
        <v>22</v>
      </c>
      <c r="D28" s="58">
        <v>3.9201710620099996E-3</v>
      </c>
      <c r="E28" s="34"/>
    </row>
    <row r="29" spans="1:5" ht="14.45" customHeight="1">
      <c r="A29" s="34"/>
      <c r="B29" s="56" t="s">
        <v>207</v>
      </c>
      <c r="C29" s="57">
        <v>8</v>
      </c>
      <c r="D29" s="58">
        <v>1.425516749822E-3</v>
      </c>
      <c r="E29" s="34"/>
    </row>
    <row r="30" spans="1:5" ht="14.45" customHeight="1">
      <c r="A30" s="34"/>
      <c r="B30" s="56" t="s">
        <v>208</v>
      </c>
      <c r="C30" s="57">
        <v>8</v>
      </c>
      <c r="D30" s="58">
        <v>1.425516749822E-3</v>
      </c>
      <c r="E30" s="34"/>
    </row>
    <row r="31" spans="1:5" ht="14.45" customHeight="1">
      <c r="A31" s="34"/>
      <c r="B31" s="56" t="s">
        <v>209</v>
      </c>
      <c r="C31" s="57">
        <v>50</v>
      </c>
      <c r="D31" s="58">
        <v>8.9094796863859998E-3</v>
      </c>
      <c r="E31" s="34"/>
    </row>
    <row r="32" spans="1:5" ht="14.45" customHeight="1">
      <c r="A32" s="34"/>
      <c r="B32" s="56" t="s">
        <v>210</v>
      </c>
      <c r="C32" s="57">
        <v>186</v>
      </c>
      <c r="D32" s="58">
        <v>3.3143264433357002E-2</v>
      </c>
      <c r="E32" s="34"/>
    </row>
    <row r="33" spans="1:5" ht="14.45" customHeight="1">
      <c r="A33" s="34"/>
      <c r="B33" s="56" t="s">
        <v>211</v>
      </c>
      <c r="C33" s="57">
        <v>2</v>
      </c>
      <c r="D33" s="58">
        <v>3.5637918745500002E-4</v>
      </c>
      <c r="E33" s="34"/>
    </row>
    <row r="34" spans="1:5" ht="14.45" customHeight="1">
      <c r="A34" s="34"/>
      <c r="B34" s="56" t="s">
        <v>212</v>
      </c>
      <c r="C34" s="57">
        <v>9</v>
      </c>
      <c r="D34" s="58">
        <v>1.60370634355E-3</v>
      </c>
      <c r="E34" s="34"/>
    </row>
    <row r="35" spans="1:5" ht="14.45" customHeight="1">
      <c r="A35" s="34"/>
      <c r="B35" s="56" t="s">
        <v>213</v>
      </c>
      <c r="C35" s="57">
        <v>2</v>
      </c>
      <c r="D35" s="58">
        <v>3.5637918745500002E-4</v>
      </c>
      <c r="E35" s="34"/>
    </row>
    <row r="36" spans="1:5" ht="14.45" customHeight="1">
      <c r="A36" s="34"/>
      <c r="B36" s="77" t="s">
        <v>289</v>
      </c>
      <c r="C36" s="59">
        <v>5612</v>
      </c>
      <c r="D36" s="60">
        <v>1</v>
      </c>
      <c r="E36" s="34"/>
    </row>
    <row r="37" spans="1:5" ht="14.45" customHeight="1">
      <c r="A37" s="34"/>
      <c r="B37" s="45"/>
      <c r="C37" s="36"/>
      <c r="D37" s="34"/>
      <c r="E37" s="34"/>
    </row>
    <row r="38" spans="1:5" ht="14.45" customHeight="1">
      <c r="A38" s="34"/>
      <c r="B38" s="35" t="s">
        <v>255</v>
      </c>
      <c r="C38" s="36"/>
      <c r="D38" s="34"/>
      <c r="E38" s="34"/>
    </row>
    <row r="39" spans="1:5" ht="14.45" customHeight="1">
      <c r="A39" s="34"/>
      <c r="B39" s="37" t="s">
        <v>18</v>
      </c>
      <c r="C39" s="36"/>
      <c r="D39" s="34"/>
      <c r="E39" s="34"/>
    </row>
    <row r="40" spans="1:5" ht="14.45" customHeight="1">
      <c r="A40" s="34"/>
      <c r="B40" s="38" t="s">
        <v>128</v>
      </c>
      <c r="C40" s="36"/>
      <c r="D40" s="34"/>
      <c r="E40" s="34"/>
    </row>
    <row r="41" spans="1:5" ht="14.45" customHeight="1">
      <c r="A41" s="34"/>
      <c r="B41" s="35" t="s">
        <v>17</v>
      </c>
      <c r="C41" s="36"/>
      <c r="D41" s="34"/>
      <c r="E41" s="34"/>
    </row>
    <row r="42" spans="1:5" ht="14.45" customHeight="1">
      <c r="A42" s="34"/>
      <c r="B42" s="35" t="s">
        <v>290</v>
      </c>
      <c r="C42" s="36"/>
      <c r="D42" s="34"/>
      <c r="E42" s="34"/>
    </row>
    <row r="43" spans="1:5" ht="16.5">
      <c r="A43" s="34"/>
      <c r="B43" s="34"/>
      <c r="C43" s="36"/>
      <c r="D43" s="34"/>
      <c r="E43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88"/>
  <sheetViews>
    <sheetView showGridLines="0" view="pageBreakPreview" zoomScale="90" zoomScaleNormal="100" zoomScaleSheetLayoutView="90" workbookViewId="0">
      <selection activeCell="C10" sqref="C10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4"/>
      <c r="C6" s="45"/>
      <c r="D6" s="45"/>
      <c r="E6" s="45"/>
    </row>
    <row r="7" spans="1:5" s="24" customFormat="1" ht="26.25" customHeight="1">
      <c r="A7" s="25"/>
      <c r="B7" s="96"/>
      <c r="C7" s="96"/>
      <c r="D7" s="96"/>
      <c r="E7" s="96"/>
    </row>
    <row r="8" spans="1:5" s="24" customFormat="1" ht="33" customHeight="1">
      <c r="A8" s="25"/>
      <c r="B8" s="96"/>
      <c r="C8" s="96"/>
      <c r="D8" s="96"/>
      <c r="E8" s="96"/>
    </row>
    <row r="9" spans="1:5" s="18" customFormat="1" ht="40.5" customHeight="1">
      <c r="B9" s="111" t="s">
        <v>28</v>
      </c>
      <c r="C9" s="112" t="s">
        <v>25</v>
      </c>
      <c r="D9" s="113" t="s">
        <v>20</v>
      </c>
      <c r="E9" s="111" t="s">
        <v>19</v>
      </c>
    </row>
    <row r="10" spans="1:5" ht="15" customHeight="1">
      <c r="B10" s="97" t="s">
        <v>190</v>
      </c>
      <c r="C10" s="62" t="s">
        <v>88</v>
      </c>
      <c r="D10" s="65">
        <v>1</v>
      </c>
      <c r="E10" s="64">
        <v>0</v>
      </c>
    </row>
    <row r="11" spans="1:5">
      <c r="B11" s="97"/>
      <c r="C11" s="62" t="s">
        <v>90</v>
      </c>
      <c r="D11" s="65">
        <v>13</v>
      </c>
      <c r="E11" s="64">
        <v>2E-3</v>
      </c>
    </row>
    <row r="12" spans="1:5">
      <c r="B12" s="97"/>
      <c r="C12" s="62" t="s">
        <v>97</v>
      </c>
      <c r="D12" s="65">
        <v>2</v>
      </c>
      <c r="E12" s="64">
        <v>0</v>
      </c>
    </row>
    <row r="13" spans="1:5">
      <c r="B13" s="97"/>
      <c r="C13" s="62" t="s">
        <v>98</v>
      </c>
      <c r="D13" s="65">
        <v>1</v>
      </c>
      <c r="E13" s="64">
        <v>0</v>
      </c>
    </row>
    <row r="14" spans="1:5">
      <c r="B14" s="97"/>
      <c r="C14" s="62" t="s">
        <v>99</v>
      </c>
      <c r="D14" s="65">
        <v>2</v>
      </c>
      <c r="E14" s="64">
        <v>0</v>
      </c>
    </row>
    <row r="15" spans="1:5">
      <c r="B15" s="97"/>
      <c r="C15" s="62" t="s">
        <v>112</v>
      </c>
      <c r="D15" s="65">
        <v>2</v>
      </c>
      <c r="E15" s="64">
        <v>0</v>
      </c>
    </row>
    <row r="16" spans="1:5">
      <c r="B16" s="97"/>
      <c r="C16" s="62" t="s">
        <v>114</v>
      </c>
      <c r="D16" s="65">
        <v>9</v>
      </c>
      <c r="E16" s="64">
        <v>2E-3</v>
      </c>
    </row>
    <row r="17" spans="2:5">
      <c r="B17" s="97"/>
      <c r="C17" s="62" t="s">
        <v>115</v>
      </c>
      <c r="D17" s="65">
        <v>1</v>
      </c>
      <c r="E17" s="64">
        <v>0</v>
      </c>
    </row>
    <row r="18" spans="2:5">
      <c r="B18" s="97"/>
      <c r="C18" s="62" t="s">
        <v>118</v>
      </c>
      <c r="D18" s="65">
        <v>1</v>
      </c>
      <c r="E18" s="64">
        <v>0</v>
      </c>
    </row>
    <row r="19" spans="2:5">
      <c r="B19" s="97"/>
      <c r="C19" s="62" t="s">
        <v>119</v>
      </c>
      <c r="D19" s="65">
        <v>1</v>
      </c>
      <c r="E19" s="64">
        <v>0</v>
      </c>
    </row>
    <row r="20" spans="2:5">
      <c r="B20" s="97"/>
      <c r="C20" s="62" t="s">
        <v>121</v>
      </c>
      <c r="D20" s="65">
        <v>1</v>
      </c>
      <c r="E20" s="64">
        <v>0</v>
      </c>
    </row>
    <row r="21" spans="2:5">
      <c r="B21" s="97"/>
      <c r="C21" s="62" t="s">
        <v>122</v>
      </c>
      <c r="D21" s="65">
        <v>1</v>
      </c>
      <c r="E21" s="64">
        <v>0</v>
      </c>
    </row>
    <row r="22" spans="2:5">
      <c r="B22" s="97"/>
      <c r="C22" s="62" t="s">
        <v>123</v>
      </c>
      <c r="D22" s="65">
        <v>6</v>
      </c>
      <c r="E22" s="64">
        <v>1E-3</v>
      </c>
    </row>
    <row r="23" spans="2:5">
      <c r="B23" s="97"/>
      <c r="C23" s="62" t="s">
        <v>67</v>
      </c>
      <c r="D23" s="65">
        <v>2</v>
      </c>
      <c r="E23" s="64">
        <v>0</v>
      </c>
    </row>
    <row r="24" spans="2:5">
      <c r="B24" s="97"/>
      <c r="C24" s="80" t="s">
        <v>288</v>
      </c>
      <c r="D24" s="78">
        <v>43</v>
      </c>
      <c r="E24" s="79">
        <v>8.0000000000000002E-3</v>
      </c>
    </row>
    <row r="25" spans="2:5">
      <c r="B25" s="97" t="s">
        <v>262</v>
      </c>
      <c r="C25" s="62" t="s">
        <v>90</v>
      </c>
      <c r="D25" s="65">
        <v>6</v>
      </c>
      <c r="E25" s="64">
        <v>1E-3</v>
      </c>
    </row>
    <row r="26" spans="2:5">
      <c r="B26" s="97"/>
      <c r="C26" s="62" t="s">
        <v>96</v>
      </c>
      <c r="D26" s="65">
        <v>1</v>
      </c>
      <c r="E26" s="64">
        <v>0</v>
      </c>
    </row>
    <row r="27" spans="2:5">
      <c r="B27" s="97"/>
      <c r="C27" s="62" t="s">
        <v>112</v>
      </c>
      <c r="D27" s="65">
        <v>1</v>
      </c>
      <c r="E27" s="64">
        <v>0</v>
      </c>
    </row>
    <row r="28" spans="2:5">
      <c r="B28" s="97"/>
      <c r="C28" s="62" t="s">
        <v>114</v>
      </c>
      <c r="D28" s="65">
        <v>6</v>
      </c>
      <c r="E28" s="64">
        <v>1E-3</v>
      </c>
    </row>
    <row r="29" spans="2:5">
      <c r="B29" s="97"/>
      <c r="C29" s="62" t="s">
        <v>115</v>
      </c>
      <c r="D29" s="65">
        <v>1</v>
      </c>
      <c r="E29" s="64">
        <v>0</v>
      </c>
    </row>
    <row r="30" spans="2:5">
      <c r="B30" s="97"/>
      <c r="C30" s="62" t="s">
        <v>123</v>
      </c>
      <c r="D30" s="65">
        <v>1</v>
      </c>
      <c r="E30" s="64">
        <v>0</v>
      </c>
    </row>
    <row r="31" spans="2:5">
      <c r="B31" s="97"/>
      <c r="C31" s="80" t="s">
        <v>288</v>
      </c>
      <c r="D31" s="78">
        <v>16</v>
      </c>
      <c r="E31" s="79">
        <v>3.0000000000000001E-3</v>
      </c>
    </row>
    <row r="32" spans="2:5">
      <c r="B32" s="97" t="s">
        <v>263</v>
      </c>
      <c r="C32" s="62" t="s">
        <v>87</v>
      </c>
      <c r="D32" s="65">
        <v>1</v>
      </c>
      <c r="E32" s="64">
        <v>0</v>
      </c>
    </row>
    <row r="33" spans="2:5">
      <c r="B33" s="97"/>
      <c r="C33" s="62" t="s">
        <v>88</v>
      </c>
      <c r="D33" s="65">
        <v>1</v>
      </c>
      <c r="E33" s="64">
        <v>0</v>
      </c>
    </row>
    <row r="34" spans="2:5">
      <c r="B34" s="97"/>
      <c r="C34" s="62" t="s">
        <v>90</v>
      </c>
      <c r="D34" s="65">
        <v>7</v>
      </c>
      <c r="E34" s="64">
        <v>1E-3</v>
      </c>
    </row>
    <row r="35" spans="2:5">
      <c r="B35" s="97"/>
      <c r="C35" s="62" t="s">
        <v>95</v>
      </c>
      <c r="D35" s="65">
        <v>1</v>
      </c>
      <c r="E35" s="64">
        <v>0</v>
      </c>
    </row>
    <row r="36" spans="2:5">
      <c r="B36" s="97"/>
      <c r="C36" s="62" t="s">
        <v>98</v>
      </c>
      <c r="D36" s="65">
        <v>1</v>
      </c>
      <c r="E36" s="64">
        <v>0</v>
      </c>
    </row>
    <row r="37" spans="2:5">
      <c r="B37" s="97"/>
      <c r="C37" s="62" t="s">
        <v>112</v>
      </c>
      <c r="D37" s="65">
        <v>2</v>
      </c>
      <c r="E37" s="64">
        <v>0</v>
      </c>
    </row>
    <row r="38" spans="2:5">
      <c r="B38" s="97"/>
      <c r="C38" s="62" t="s">
        <v>114</v>
      </c>
      <c r="D38" s="65">
        <v>4</v>
      </c>
      <c r="E38" s="64">
        <v>1E-3</v>
      </c>
    </row>
    <row r="39" spans="2:5">
      <c r="B39" s="97"/>
      <c r="C39" s="62" t="s">
        <v>118</v>
      </c>
      <c r="D39" s="65">
        <v>2</v>
      </c>
      <c r="E39" s="64">
        <v>0</v>
      </c>
    </row>
    <row r="40" spans="2:5">
      <c r="B40" s="97"/>
      <c r="C40" s="62" t="s">
        <v>122</v>
      </c>
      <c r="D40" s="65">
        <v>1</v>
      </c>
      <c r="E40" s="64">
        <v>0</v>
      </c>
    </row>
    <row r="41" spans="2:5">
      <c r="B41" s="97"/>
      <c r="C41" s="62" t="s">
        <v>123</v>
      </c>
      <c r="D41" s="65">
        <v>4</v>
      </c>
      <c r="E41" s="64">
        <v>1E-3</v>
      </c>
    </row>
    <row r="42" spans="2:5">
      <c r="B42" s="97"/>
      <c r="C42" s="62" t="s">
        <v>67</v>
      </c>
      <c r="D42" s="65">
        <v>1</v>
      </c>
      <c r="E42" s="64">
        <v>0</v>
      </c>
    </row>
    <row r="43" spans="2:5">
      <c r="B43" s="97"/>
      <c r="C43" s="80" t="s">
        <v>288</v>
      </c>
      <c r="D43" s="78">
        <v>25</v>
      </c>
      <c r="E43" s="79">
        <v>4.0000000000000001E-3</v>
      </c>
    </row>
    <row r="44" spans="2:5">
      <c r="B44" s="97" t="s">
        <v>264</v>
      </c>
      <c r="C44" s="62" t="s">
        <v>89</v>
      </c>
      <c r="D44" s="65">
        <v>1</v>
      </c>
      <c r="E44" s="64">
        <v>0</v>
      </c>
    </row>
    <row r="45" spans="2:5">
      <c r="B45" s="97"/>
      <c r="C45" s="62" t="s">
        <v>90</v>
      </c>
      <c r="D45" s="65">
        <v>7</v>
      </c>
      <c r="E45" s="64">
        <v>1E-3</v>
      </c>
    </row>
    <row r="46" spans="2:5">
      <c r="B46" s="97"/>
      <c r="C46" s="62" t="s">
        <v>92</v>
      </c>
      <c r="D46" s="65">
        <v>2</v>
      </c>
      <c r="E46" s="64">
        <v>0</v>
      </c>
    </row>
    <row r="47" spans="2:5">
      <c r="B47" s="97"/>
      <c r="C47" s="62" t="s">
        <v>93</v>
      </c>
      <c r="D47" s="65">
        <v>1</v>
      </c>
      <c r="E47" s="64">
        <v>0</v>
      </c>
    </row>
    <row r="48" spans="2:5">
      <c r="B48" s="97"/>
      <c r="C48" s="62" t="s">
        <v>95</v>
      </c>
      <c r="D48" s="65">
        <v>1</v>
      </c>
      <c r="E48" s="64">
        <v>0</v>
      </c>
    </row>
    <row r="49" spans="2:5">
      <c r="B49" s="97"/>
      <c r="C49" s="62" t="s">
        <v>98</v>
      </c>
      <c r="D49" s="65">
        <v>1</v>
      </c>
      <c r="E49" s="64">
        <v>0</v>
      </c>
    </row>
    <row r="50" spans="2:5">
      <c r="B50" s="97"/>
      <c r="C50" s="62" t="s">
        <v>101</v>
      </c>
      <c r="D50" s="65">
        <v>2</v>
      </c>
      <c r="E50" s="64">
        <v>0</v>
      </c>
    </row>
    <row r="51" spans="2:5">
      <c r="B51" s="97"/>
      <c r="C51" s="62" t="s">
        <v>102</v>
      </c>
      <c r="D51" s="65">
        <v>1</v>
      </c>
      <c r="E51" s="64">
        <v>0</v>
      </c>
    </row>
    <row r="52" spans="2:5">
      <c r="B52" s="97"/>
      <c r="C52" s="62" t="s">
        <v>111</v>
      </c>
      <c r="D52" s="65">
        <v>1</v>
      </c>
      <c r="E52" s="64">
        <v>0</v>
      </c>
    </row>
    <row r="53" spans="2:5">
      <c r="B53" s="97"/>
      <c r="C53" s="62" t="s">
        <v>112</v>
      </c>
      <c r="D53" s="65">
        <v>5</v>
      </c>
      <c r="E53" s="64">
        <v>1E-3</v>
      </c>
    </row>
    <row r="54" spans="2:5">
      <c r="B54" s="97"/>
      <c r="C54" s="62" t="s">
        <v>114</v>
      </c>
      <c r="D54" s="65">
        <v>6</v>
      </c>
      <c r="E54" s="64">
        <v>1E-3</v>
      </c>
    </row>
    <row r="55" spans="2:5">
      <c r="B55" s="97"/>
      <c r="C55" s="62" t="s">
        <v>115</v>
      </c>
      <c r="D55" s="65">
        <v>1</v>
      </c>
      <c r="E55" s="64">
        <v>0</v>
      </c>
    </row>
    <row r="56" spans="2:5">
      <c r="B56" s="97"/>
      <c r="C56" s="62" t="s">
        <v>118</v>
      </c>
      <c r="D56" s="65">
        <v>1</v>
      </c>
      <c r="E56" s="64">
        <v>0</v>
      </c>
    </row>
    <row r="57" spans="2:5">
      <c r="B57" s="97"/>
      <c r="C57" s="62" t="s">
        <v>123</v>
      </c>
      <c r="D57" s="65">
        <v>2</v>
      </c>
      <c r="E57" s="64">
        <v>0</v>
      </c>
    </row>
    <row r="58" spans="2:5">
      <c r="B58" s="97"/>
      <c r="C58" s="62" t="s">
        <v>126</v>
      </c>
      <c r="D58" s="65">
        <v>1</v>
      </c>
      <c r="E58" s="64">
        <v>0</v>
      </c>
    </row>
    <row r="59" spans="2:5">
      <c r="B59" s="97"/>
      <c r="C59" s="80" t="s">
        <v>288</v>
      </c>
      <c r="D59" s="78">
        <v>33</v>
      </c>
      <c r="E59" s="79">
        <v>6.0000000000000001E-3</v>
      </c>
    </row>
    <row r="60" spans="2:5">
      <c r="B60" s="97" t="s">
        <v>265</v>
      </c>
      <c r="C60" s="62" t="s">
        <v>88</v>
      </c>
      <c r="D60" s="65">
        <v>1</v>
      </c>
      <c r="E60" s="64">
        <v>0</v>
      </c>
    </row>
    <row r="61" spans="2:5">
      <c r="B61" s="97"/>
      <c r="C61" s="62" t="s">
        <v>90</v>
      </c>
      <c r="D61" s="65">
        <v>8</v>
      </c>
      <c r="E61" s="64">
        <v>1E-3</v>
      </c>
    </row>
    <row r="62" spans="2:5">
      <c r="B62" s="97"/>
      <c r="C62" s="62" t="s">
        <v>92</v>
      </c>
      <c r="D62" s="65">
        <v>4</v>
      </c>
      <c r="E62" s="64">
        <v>1E-3</v>
      </c>
    </row>
    <row r="63" spans="2:5">
      <c r="B63" s="97"/>
      <c r="C63" s="62" t="s">
        <v>95</v>
      </c>
      <c r="D63" s="65">
        <v>1</v>
      </c>
      <c r="E63" s="64">
        <v>0</v>
      </c>
    </row>
    <row r="64" spans="2:5">
      <c r="B64" s="97"/>
      <c r="C64" s="62" t="s">
        <v>97</v>
      </c>
      <c r="D64" s="65">
        <v>2</v>
      </c>
      <c r="E64" s="64">
        <v>0</v>
      </c>
    </row>
    <row r="65" spans="2:5">
      <c r="B65" s="97"/>
      <c r="C65" s="62" t="s">
        <v>99</v>
      </c>
      <c r="D65" s="65">
        <v>1</v>
      </c>
      <c r="E65" s="64">
        <v>0</v>
      </c>
    </row>
    <row r="66" spans="2:5">
      <c r="B66" s="97"/>
      <c r="C66" s="62" t="s">
        <v>107</v>
      </c>
      <c r="D66" s="65">
        <v>1</v>
      </c>
      <c r="E66" s="64">
        <v>0</v>
      </c>
    </row>
    <row r="67" spans="2:5">
      <c r="B67" s="97"/>
      <c r="C67" s="62" t="s">
        <v>109</v>
      </c>
      <c r="D67" s="65">
        <v>1</v>
      </c>
      <c r="E67" s="64">
        <v>0</v>
      </c>
    </row>
    <row r="68" spans="2:5">
      <c r="B68" s="97"/>
      <c r="C68" s="62" t="s">
        <v>112</v>
      </c>
      <c r="D68" s="65">
        <v>1</v>
      </c>
      <c r="E68" s="64">
        <v>0</v>
      </c>
    </row>
    <row r="69" spans="2:5">
      <c r="B69" s="97"/>
      <c r="C69" s="62" t="s">
        <v>114</v>
      </c>
      <c r="D69" s="65">
        <v>4</v>
      </c>
      <c r="E69" s="64">
        <v>1E-3</v>
      </c>
    </row>
    <row r="70" spans="2:5">
      <c r="B70" s="97"/>
      <c r="C70" s="62" t="s">
        <v>115</v>
      </c>
      <c r="D70" s="65">
        <v>1</v>
      </c>
      <c r="E70" s="64">
        <v>0</v>
      </c>
    </row>
    <row r="71" spans="2:5">
      <c r="B71" s="97"/>
      <c r="C71" s="62" t="s">
        <v>121</v>
      </c>
      <c r="D71" s="65">
        <v>1</v>
      </c>
      <c r="E71" s="64">
        <v>0</v>
      </c>
    </row>
    <row r="72" spans="2:5">
      <c r="B72" s="97"/>
      <c r="C72" s="62" t="s">
        <v>123</v>
      </c>
      <c r="D72" s="65">
        <v>1</v>
      </c>
      <c r="E72" s="64">
        <v>0</v>
      </c>
    </row>
    <row r="73" spans="2:5">
      <c r="B73" s="97"/>
      <c r="C73" s="80" t="s">
        <v>288</v>
      </c>
      <c r="D73" s="78">
        <v>27</v>
      </c>
      <c r="E73" s="79">
        <v>5.0000000000000001E-3</v>
      </c>
    </row>
    <row r="74" spans="2:5">
      <c r="B74" s="97" t="s">
        <v>266</v>
      </c>
      <c r="C74" s="62" t="s">
        <v>90</v>
      </c>
      <c r="D74" s="65">
        <v>13</v>
      </c>
      <c r="E74" s="64">
        <v>2E-3</v>
      </c>
    </row>
    <row r="75" spans="2:5">
      <c r="B75" s="97"/>
      <c r="C75" s="62" t="s">
        <v>95</v>
      </c>
      <c r="D75" s="65">
        <v>1</v>
      </c>
      <c r="E75" s="64">
        <v>0</v>
      </c>
    </row>
    <row r="76" spans="2:5">
      <c r="B76" s="97"/>
      <c r="C76" s="62" t="s">
        <v>98</v>
      </c>
      <c r="D76" s="65">
        <v>2</v>
      </c>
      <c r="E76" s="64">
        <v>0</v>
      </c>
    </row>
    <row r="77" spans="2:5">
      <c r="B77" s="97"/>
      <c r="C77" s="62" t="s">
        <v>106</v>
      </c>
      <c r="D77" s="65">
        <v>2</v>
      </c>
      <c r="E77" s="64">
        <v>0</v>
      </c>
    </row>
    <row r="78" spans="2:5">
      <c r="B78" s="97"/>
      <c r="C78" s="62" t="s">
        <v>111</v>
      </c>
      <c r="D78" s="65">
        <v>2</v>
      </c>
      <c r="E78" s="64">
        <v>0</v>
      </c>
    </row>
    <row r="79" spans="2:5">
      <c r="B79" s="97"/>
      <c r="C79" s="62" t="s">
        <v>114</v>
      </c>
      <c r="D79" s="65">
        <v>9</v>
      </c>
      <c r="E79" s="64">
        <v>2E-3</v>
      </c>
    </row>
    <row r="80" spans="2:5">
      <c r="B80" s="97"/>
      <c r="C80" s="62" t="s">
        <v>115</v>
      </c>
      <c r="D80" s="65">
        <v>1</v>
      </c>
      <c r="E80" s="64">
        <v>0</v>
      </c>
    </row>
    <row r="81" spans="2:5">
      <c r="B81" s="97"/>
      <c r="C81" s="62" t="s">
        <v>116</v>
      </c>
      <c r="D81" s="65">
        <v>1</v>
      </c>
      <c r="E81" s="64">
        <v>0</v>
      </c>
    </row>
    <row r="82" spans="2:5">
      <c r="B82" s="97"/>
      <c r="C82" s="62" t="s">
        <v>119</v>
      </c>
      <c r="D82" s="65">
        <v>1</v>
      </c>
      <c r="E82" s="64">
        <v>0</v>
      </c>
    </row>
    <row r="83" spans="2:5">
      <c r="B83" s="97"/>
      <c r="C83" s="62" t="s">
        <v>123</v>
      </c>
      <c r="D83" s="65">
        <v>2</v>
      </c>
      <c r="E83" s="64">
        <v>0</v>
      </c>
    </row>
    <row r="84" spans="2:5">
      <c r="B84" s="97"/>
      <c r="C84" s="62" t="s">
        <v>127</v>
      </c>
      <c r="D84" s="65">
        <v>3</v>
      </c>
      <c r="E84" s="64">
        <v>1E-3</v>
      </c>
    </row>
    <row r="85" spans="2:5">
      <c r="B85" s="97"/>
      <c r="C85" s="80" t="s">
        <v>288</v>
      </c>
      <c r="D85" s="78">
        <v>37</v>
      </c>
      <c r="E85" s="79">
        <v>7.0000000000000001E-3</v>
      </c>
    </row>
    <row r="86" spans="2:5">
      <c r="B86" s="97" t="s">
        <v>267</v>
      </c>
      <c r="C86" s="62" t="s">
        <v>87</v>
      </c>
      <c r="D86" s="65">
        <v>2</v>
      </c>
      <c r="E86" s="64">
        <v>0</v>
      </c>
    </row>
    <row r="87" spans="2:5">
      <c r="B87" s="97"/>
      <c r="C87" s="62" t="s">
        <v>88</v>
      </c>
      <c r="D87" s="65">
        <v>1</v>
      </c>
      <c r="E87" s="64">
        <v>0</v>
      </c>
    </row>
    <row r="88" spans="2:5">
      <c r="B88" s="97"/>
      <c r="C88" s="62" t="s">
        <v>90</v>
      </c>
      <c r="D88" s="65">
        <v>100</v>
      </c>
      <c r="E88" s="64">
        <v>1.7999999999999999E-2</v>
      </c>
    </row>
    <row r="89" spans="2:5">
      <c r="B89" s="97"/>
      <c r="C89" s="62" t="s">
        <v>92</v>
      </c>
      <c r="D89" s="65">
        <v>11</v>
      </c>
      <c r="E89" s="64">
        <v>2E-3</v>
      </c>
    </row>
    <row r="90" spans="2:5">
      <c r="B90" s="97"/>
      <c r="C90" s="62" t="s">
        <v>95</v>
      </c>
      <c r="D90" s="65">
        <v>6</v>
      </c>
      <c r="E90" s="64">
        <v>1E-3</v>
      </c>
    </row>
    <row r="91" spans="2:5">
      <c r="B91" s="97"/>
      <c r="C91" s="62" t="s">
        <v>96</v>
      </c>
      <c r="D91" s="65">
        <v>2</v>
      </c>
      <c r="E91" s="64">
        <v>0</v>
      </c>
    </row>
    <row r="92" spans="2:5">
      <c r="B92" s="97"/>
      <c r="C92" s="62" t="s">
        <v>97</v>
      </c>
      <c r="D92" s="65">
        <v>8</v>
      </c>
      <c r="E92" s="64">
        <v>1E-3</v>
      </c>
    </row>
    <row r="93" spans="2:5">
      <c r="B93" s="97"/>
      <c r="C93" s="62" t="s">
        <v>98</v>
      </c>
      <c r="D93" s="65">
        <v>11</v>
      </c>
      <c r="E93" s="64">
        <v>2E-3</v>
      </c>
    </row>
    <row r="94" spans="2:5">
      <c r="B94" s="97"/>
      <c r="C94" s="62" t="s">
        <v>99</v>
      </c>
      <c r="D94" s="65">
        <v>11</v>
      </c>
      <c r="E94" s="64">
        <v>2E-3</v>
      </c>
    </row>
    <row r="95" spans="2:5">
      <c r="B95" s="97"/>
      <c r="C95" s="62" t="s">
        <v>102</v>
      </c>
      <c r="D95" s="65">
        <v>3</v>
      </c>
      <c r="E95" s="64">
        <v>1E-3</v>
      </c>
    </row>
    <row r="96" spans="2:5">
      <c r="B96" s="97"/>
      <c r="C96" s="62" t="s">
        <v>106</v>
      </c>
      <c r="D96" s="65">
        <v>1</v>
      </c>
      <c r="E96" s="64">
        <v>0</v>
      </c>
    </row>
    <row r="97" spans="2:5">
      <c r="B97" s="97"/>
      <c r="C97" s="62" t="s">
        <v>109</v>
      </c>
      <c r="D97" s="65">
        <v>7</v>
      </c>
      <c r="E97" s="64">
        <v>1E-3</v>
      </c>
    </row>
    <row r="98" spans="2:5">
      <c r="B98" s="97"/>
      <c r="C98" s="62" t="s">
        <v>111</v>
      </c>
      <c r="D98" s="65">
        <v>3</v>
      </c>
      <c r="E98" s="64">
        <v>1E-3</v>
      </c>
    </row>
    <row r="99" spans="2:5">
      <c r="B99" s="97"/>
      <c r="C99" s="62" t="s">
        <v>112</v>
      </c>
      <c r="D99" s="65">
        <v>22</v>
      </c>
      <c r="E99" s="64">
        <v>4.0000000000000001E-3</v>
      </c>
    </row>
    <row r="100" spans="2:5">
      <c r="B100" s="97"/>
      <c r="C100" s="62" t="s">
        <v>114</v>
      </c>
      <c r="D100" s="65">
        <v>73</v>
      </c>
      <c r="E100" s="64">
        <v>1.2999999999999999E-2</v>
      </c>
    </row>
    <row r="101" spans="2:5">
      <c r="B101" s="97"/>
      <c r="C101" s="62" t="s">
        <v>115</v>
      </c>
      <c r="D101" s="65">
        <v>3</v>
      </c>
      <c r="E101" s="64">
        <v>1E-3</v>
      </c>
    </row>
    <row r="102" spans="2:5">
      <c r="B102" s="97"/>
      <c r="C102" s="62" t="s">
        <v>117</v>
      </c>
      <c r="D102" s="65">
        <v>1</v>
      </c>
      <c r="E102" s="64">
        <v>0</v>
      </c>
    </row>
    <row r="103" spans="2:5">
      <c r="B103" s="97"/>
      <c r="C103" s="62" t="s">
        <v>118</v>
      </c>
      <c r="D103" s="65">
        <v>3</v>
      </c>
      <c r="E103" s="64">
        <v>1E-3</v>
      </c>
    </row>
    <row r="104" spans="2:5">
      <c r="B104" s="97"/>
      <c r="C104" s="62" t="s">
        <v>119</v>
      </c>
      <c r="D104" s="65">
        <v>11</v>
      </c>
      <c r="E104" s="64">
        <v>2E-3</v>
      </c>
    </row>
    <row r="105" spans="2:5">
      <c r="B105" s="97"/>
      <c r="C105" s="62" t="s">
        <v>120</v>
      </c>
      <c r="D105" s="65">
        <v>1</v>
      </c>
      <c r="E105" s="64">
        <v>0</v>
      </c>
    </row>
    <row r="106" spans="2:5">
      <c r="B106" s="97"/>
      <c r="C106" s="62" t="s">
        <v>121</v>
      </c>
      <c r="D106" s="65">
        <v>1</v>
      </c>
      <c r="E106" s="64">
        <v>0</v>
      </c>
    </row>
    <row r="107" spans="2:5">
      <c r="B107" s="97"/>
      <c r="C107" s="62" t="s">
        <v>123</v>
      </c>
      <c r="D107" s="65">
        <v>27</v>
      </c>
      <c r="E107" s="64">
        <v>5.0000000000000001E-3</v>
      </c>
    </row>
    <row r="108" spans="2:5">
      <c r="B108" s="97"/>
      <c r="C108" s="62" t="s">
        <v>124</v>
      </c>
      <c r="D108" s="65">
        <v>1</v>
      </c>
      <c r="E108" s="64">
        <v>0</v>
      </c>
    </row>
    <row r="109" spans="2:5">
      <c r="B109" s="97"/>
      <c r="C109" s="62" t="s">
        <v>125</v>
      </c>
      <c r="D109" s="65">
        <v>1</v>
      </c>
      <c r="E109" s="64">
        <v>0</v>
      </c>
    </row>
    <row r="110" spans="2:5">
      <c r="B110" s="97"/>
      <c r="C110" s="62" t="s">
        <v>67</v>
      </c>
      <c r="D110" s="65">
        <v>1</v>
      </c>
      <c r="E110" s="64">
        <v>0</v>
      </c>
    </row>
    <row r="111" spans="2:5">
      <c r="B111" s="97"/>
      <c r="C111" s="62" t="s">
        <v>126</v>
      </c>
      <c r="D111" s="65">
        <v>1</v>
      </c>
      <c r="E111" s="64">
        <v>0</v>
      </c>
    </row>
    <row r="112" spans="2:5" ht="15" customHeight="1">
      <c r="B112" s="97"/>
      <c r="C112" s="62" t="s">
        <v>127</v>
      </c>
      <c r="D112" s="65">
        <v>16</v>
      </c>
      <c r="E112" s="64">
        <v>3.0000000000000001E-3</v>
      </c>
    </row>
    <row r="113" spans="2:5">
      <c r="B113" s="97"/>
      <c r="C113" s="80" t="s">
        <v>288</v>
      </c>
      <c r="D113" s="78">
        <v>328</v>
      </c>
      <c r="E113" s="79">
        <v>5.8000000000000003E-2</v>
      </c>
    </row>
    <row r="114" spans="2:5" ht="14.45" customHeight="1">
      <c r="B114" s="97" t="s">
        <v>197</v>
      </c>
      <c r="C114" s="62" t="s">
        <v>88</v>
      </c>
      <c r="D114" s="65">
        <v>6</v>
      </c>
      <c r="E114" s="64">
        <v>1E-3</v>
      </c>
    </row>
    <row r="115" spans="2:5">
      <c r="B115" s="97"/>
      <c r="C115" s="62" t="s">
        <v>89</v>
      </c>
      <c r="D115" s="65">
        <v>3</v>
      </c>
      <c r="E115" s="64">
        <v>1E-3</v>
      </c>
    </row>
    <row r="116" spans="2:5">
      <c r="B116" s="97"/>
      <c r="C116" s="62" t="s">
        <v>90</v>
      </c>
      <c r="D116" s="65">
        <v>155</v>
      </c>
      <c r="E116" s="64">
        <v>2.8000000000000001E-2</v>
      </c>
    </row>
    <row r="117" spans="2:5">
      <c r="B117" s="97"/>
      <c r="C117" s="62" t="s">
        <v>91</v>
      </c>
      <c r="D117" s="65">
        <v>7</v>
      </c>
      <c r="E117" s="64">
        <v>1E-3</v>
      </c>
    </row>
    <row r="118" spans="2:5">
      <c r="B118" s="97"/>
      <c r="C118" s="62" t="s">
        <v>92</v>
      </c>
      <c r="D118" s="65">
        <v>36</v>
      </c>
      <c r="E118" s="64">
        <v>6.0000000000000001E-3</v>
      </c>
    </row>
    <row r="119" spans="2:5">
      <c r="B119" s="97"/>
      <c r="C119" s="62" t="s">
        <v>93</v>
      </c>
      <c r="D119" s="65">
        <v>1</v>
      </c>
      <c r="E119" s="64">
        <v>0</v>
      </c>
    </row>
    <row r="120" spans="2:5">
      <c r="B120" s="97"/>
      <c r="C120" s="62" t="s">
        <v>95</v>
      </c>
      <c r="D120" s="65">
        <v>17</v>
      </c>
      <c r="E120" s="64">
        <v>3.0000000000000001E-3</v>
      </c>
    </row>
    <row r="121" spans="2:5">
      <c r="B121" s="97"/>
      <c r="C121" s="62" t="s">
        <v>96</v>
      </c>
      <c r="D121" s="65">
        <v>17</v>
      </c>
      <c r="E121" s="64">
        <v>3.0000000000000001E-3</v>
      </c>
    </row>
    <row r="122" spans="2:5">
      <c r="B122" s="97"/>
      <c r="C122" s="62" t="s">
        <v>97</v>
      </c>
      <c r="D122" s="65">
        <v>17</v>
      </c>
      <c r="E122" s="64">
        <v>3.0000000000000001E-3</v>
      </c>
    </row>
    <row r="123" spans="2:5">
      <c r="B123" s="97"/>
      <c r="C123" s="62" t="s">
        <v>98</v>
      </c>
      <c r="D123" s="65">
        <v>56</v>
      </c>
      <c r="E123" s="64">
        <v>0.01</v>
      </c>
    </row>
    <row r="124" spans="2:5">
      <c r="B124" s="97"/>
      <c r="C124" s="62" t="s">
        <v>99</v>
      </c>
      <c r="D124" s="65">
        <v>23</v>
      </c>
      <c r="E124" s="64">
        <v>4.0000000000000001E-3</v>
      </c>
    </row>
    <row r="125" spans="2:5">
      <c r="B125" s="97"/>
      <c r="C125" s="62" t="s">
        <v>100</v>
      </c>
      <c r="D125" s="65">
        <v>1</v>
      </c>
      <c r="E125" s="64">
        <v>0</v>
      </c>
    </row>
    <row r="126" spans="2:5">
      <c r="B126" s="97"/>
      <c r="C126" s="62" t="s">
        <v>101</v>
      </c>
      <c r="D126" s="65">
        <v>4</v>
      </c>
      <c r="E126" s="64">
        <v>1E-3</v>
      </c>
    </row>
    <row r="127" spans="2:5">
      <c r="B127" s="97"/>
      <c r="C127" s="62" t="s">
        <v>102</v>
      </c>
      <c r="D127" s="65">
        <v>3</v>
      </c>
      <c r="E127" s="64">
        <v>1E-3</v>
      </c>
    </row>
    <row r="128" spans="2:5">
      <c r="B128" s="97"/>
      <c r="C128" s="62" t="s">
        <v>103</v>
      </c>
      <c r="D128" s="65">
        <v>3</v>
      </c>
      <c r="E128" s="64">
        <v>1E-3</v>
      </c>
    </row>
    <row r="129" spans="2:5">
      <c r="B129" s="97"/>
      <c r="C129" s="62" t="s">
        <v>104</v>
      </c>
      <c r="D129" s="65">
        <v>2</v>
      </c>
      <c r="E129" s="64">
        <v>0</v>
      </c>
    </row>
    <row r="130" spans="2:5">
      <c r="B130" s="97"/>
      <c r="C130" s="62" t="s">
        <v>106</v>
      </c>
      <c r="D130" s="65">
        <v>3</v>
      </c>
      <c r="E130" s="64">
        <v>1E-3</v>
      </c>
    </row>
    <row r="131" spans="2:5">
      <c r="B131" s="97"/>
      <c r="C131" s="62" t="s">
        <v>107</v>
      </c>
      <c r="D131" s="65">
        <v>8</v>
      </c>
      <c r="E131" s="64">
        <v>1E-3</v>
      </c>
    </row>
    <row r="132" spans="2:5">
      <c r="B132" s="97"/>
      <c r="C132" s="62" t="s">
        <v>108</v>
      </c>
      <c r="D132" s="65">
        <v>1</v>
      </c>
      <c r="E132" s="64">
        <v>0</v>
      </c>
    </row>
    <row r="133" spans="2:5">
      <c r="B133" s="97"/>
      <c r="C133" s="62" t="s">
        <v>109</v>
      </c>
      <c r="D133" s="65">
        <v>4</v>
      </c>
      <c r="E133" s="64">
        <v>1E-3</v>
      </c>
    </row>
    <row r="134" spans="2:5">
      <c r="B134" s="97"/>
      <c r="C134" s="62" t="s">
        <v>259</v>
      </c>
      <c r="D134" s="65">
        <v>1</v>
      </c>
      <c r="E134" s="64">
        <v>0</v>
      </c>
    </row>
    <row r="135" spans="2:5">
      <c r="B135" s="97"/>
      <c r="C135" s="62" t="s">
        <v>110</v>
      </c>
      <c r="D135" s="65">
        <v>1</v>
      </c>
      <c r="E135" s="64">
        <v>0</v>
      </c>
    </row>
    <row r="136" spans="2:5">
      <c r="B136" s="97"/>
      <c r="C136" s="62" t="s">
        <v>111</v>
      </c>
      <c r="D136" s="65">
        <v>9</v>
      </c>
      <c r="E136" s="64">
        <v>2E-3</v>
      </c>
    </row>
    <row r="137" spans="2:5">
      <c r="B137" s="97"/>
      <c r="C137" s="62" t="s">
        <v>112</v>
      </c>
      <c r="D137" s="65">
        <v>33</v>
      </c>
      <c r="E137" s="64">
        <v>6.0000000000000001E-3</v>
      </c>
    </row>
    <row r="138" spans="2:5">
      <c r="B138" s="97"/>
      <c r="C138" s="62" t="s">
        <v>113</v>
      </c>
      <c r="D138" s="65">
        <v>1</v>
      </c>
      <c r="E138" s="64">
        <v>0</v>
      </c>
    </row>
    <row r="139" spans="2:5">
      <c r="B139" s="97"/>
      <c r="C139" s="62" t="s">
        <v>114</v>
      </c>
      <c r="D139" s="65">
        <v>115</v>
      </c>
      <c r="E139" s="64">
        <v>0.02</v>
      </c>
    </row>
    <row r="140" spans="2:5">
      <c r="B140" s="97"/>
      <c r="C140" s="62" t="s">
        <v>115</v>
      </c>
      <c r="D140" s="65">
        <v>13</v>
      </c>
      <c r="E140" s="64">
        <v>2E-3</v>
      </c>
    </row>
    <row r="141" spans="2:5">
      <c r="B141" s="97"/>
      <c r="C141" s="62" t="s">
        <v>116</v>
      </c>
      <c r="D141" s="65">
        <v>2</v>
      </c>
      <c r="E141" s="64">
        <v>0</v>
      </c>
    </row>
    <row r="142" spans="2:5">
      <c r="B142" s="97"/>
      <c r="C142" s="62" t="s">
        <v>117</v>
      </c>
      <c r="D142" s="65">
        <v>8</v>
      </c>
      <c r="E142" s="64">
        <v>1E-3</v>
      </c>
    </row>
    <row r="143" spans="2:5">
      <c r="B143" s="97"/>
      <c r="C143" s="62" t="s">
        <v>118</v>
      </c>
      <c r="D143" s="65">
        <v>4</v>
      </c>
      <c r="E143" s="64">
        <v>1E-3</v>
      </c>
    </row>
    <row r="144" spans="2:5">
      <c r="B144" s="97"/>
      <c r="C144" s="62" t="s">
        <v>119</v>
      </c>
      <c r="D144" s="65">
        <v>13</v>
      </c>
      <c r="E144" s="64">
        <v>2E-3</v>
      </c>
    </row>
    <row r="145" spans="2:5">
      <c r="B145" s="97"/>
      <c r="C145" s="62" t="s">
        <v>121</v>
      </c>
      <c r="D145" s="65">
        <v>4</v>
      </c>
      <c r="E145" s="64">
        <v>1E-3</v>
      </c>
    </row>
    <row r="146" spans="2:5">
      <c r="B146" s="97"/>
      <c r="C146" s="62" t="s">
        <v>123</v>
      </c>
      <c r="D146" s="65">
        <v>67</v>
      </c>
      <c r="E146" s="64">
        <v>1.2E-2</v>
      </c>
    </row>
    <row r="147" spans="2:5">
      <c r="B147" s="97"/>
      <c r="C147" s="62" t="s">
        <v>124</v>
      </c>
      <c r="D147" s="65">
        <v>6</v>
      </c>
      <c r="E147" s="64">
        <v>1E-3</v>
      </c>
    </row>
    <row r="148" spans="2:5">
      <c r="B148" s="97"/>
      <c r="C148" s="62" t="s">
        <v>125</v>
      </c>
      <c r="D148" s="65">
        <v>2</v>
      </c>
      <c r="E148" s="64">
        <v>0</v>
      </c>
    </row>
    <row r="149" spans="2:5">
      <c r="B149" s="97"/>
      <c r="C149" s="62" t="s">
        <v>67</v>
      </c>
      <c r="D149" s="65">
        <v>4</v>
      </c>
      <c r="E149" s="64">
        <v>1E-3</v>
      </c>
    </row>
    <row r="150" spans="2:5">
      <c r="B150" s="97"/>
      <c r="C150" s="62" t="s">
        <v>126</v>
      </c>
      <c r="D150" s="65">
        <v>8</v>
      </c>
      <c r="E150" s="64">
        <v>1E-3</v>
      </c>
    </row>
    <row r="151" spans="2:5">
      <c r="B151" s="97"/>
      <c r="C151" s="62" t="s">
        <v>127</v>
      </c>
      <c r="D151" s="65">
        <v>24</v>
      </c>
      <c r="E151" s="64">
        <v>4.0000000000000001E-3</v>
      </c>
    </row>
    <row r="152" spans="2:5" ht="14.45" customHeight="1">
      <c r="B152" s="97"/>
      <c r="C152" s="80" t="s">
        <v>288</v>
      </c>
      <c r="D152" s="78">
        <v>682</v>
      </c>
      <c r="E152" s="79">
        <v>0.122</v>
      </c>
    </row>
    <row r="153" spans="2:5">
      <c r="B153" s="97" t="s">
        <v>268</v>
      </c>
      <c r="C153" s="62" t="s">
        <v>89</v>
      </c>
      <c r="D153" s="65">
        <v>1</v>
      </c>
      <c r="E153" s="64">
        <v>0</v>
      </c>
    </row>
    <row r="154" spans="2:5">
      <c r="B154" s="97"/>
      <c r="C154" s="62" t="s">
        <v>90</v>
      </c>
      <c r="D154" s="65">
        <v>11</v>
      </c>
      <c r="E154" s="64">
        <v>2E-3</v>
      </c>
    </row>
    <row r="155" spans="2:5">
      <c r="B155" s="97"/>
      <c r="C155" s="62" t="s">
        <v>91</v>
      </c>
      <c r="D155" s="65">
        <v>2</v>
      </c>
      <c r="E155" s="64">
        <v>0</v>
      </c>
    </row>
    <row r="156" spans="2:5">
      <c r="B156" s="97"/>
      <c r="C156" s="62" t="s">
        <v>92</v>
      </c>
      <c r="D156" s="65">
        <v>2</v>
      </c>
      <c r="E156" s="64">
        <v>0</v>
      </c>
    </row>
    <row r="157" spans="2:5">
      <c r="B157" s="97"/>
      <c r="C157" s="62" t="s">
        <v>95</v>
      </c>
      <c r="D157" s="65">
        <v>2</v>
      </c>
      <c r="E157" s="64">
        <v>0</v>
      </c>
    </row>
    <row r="158" spans="2:5">
      <c r="B158" s="97"/>
      <c r="C158" s="62" t="s">
        <v>96</v>
      </c>
      <c r="D158" s="65">
        <v>1</v>
      </c>
      <c r="E158" s="64">
        <v>0</v>
      </c>
    </row>
    <row r="159" spans="2:5">
      <c r="B159" s="97"/>
      <c r="C159" s="62" t="s">
        <v>98</v>
      </c>
      <c r="D159" s="65">
        <v>2</v>
      </c>
      <c r="E159" s="64">
        <v>0</v>
      </c>
    </row>
    <row r="160" spans="2:5">
      <c r="B160" s="97"/>
      <c r="C160" s="62" t="s">
        <v>99</v>
      </c>
      <c r="D160" s="65">
        <v>1</v>
      </c>
      <c r="E160" s="64">
        <v>0</v>
      </c>
    </row>
    <row r="161" spans="2:5">
      <c r="B161" s="97"/>
      <c r="C161" s="62" t="s">
        <v>101</v>
      </c>
      <c r="D161" s="65">
        <v>1</v>
      </c>
      <c r="E161" s="64">
        <v>0</v>
      </c>
    </row>
    <row r="162" spans="2:5">
      <c r="B162" s="97"/>
      <c r="C162" s="62" t="s">
        <v>102</v>
      </c>
      <c r="D162" s="65">
        <v>1</v>
      </c>
      <c r="E162" s="64">
        <v>0</v>
      </c>
    </row>
    <row r="163" spans="2:5">
      <c r="B163" s="97"/>
      <c r="C163" s="62" t="s">
        <v>104</v>
      </c>
      <c r="D163" s="65">
        <v>1</v>
      </c>
      <c r="E163" s="64">
        <v>0</v>
      </c>
    </row>
    <row r="164" spans="2:5">
      <c r="B164" s="97"/>
      <c r="C164" s="62" t="s">
        <v>107</v>
      </c>
      <c r="D164" s="65">
        <v>1</v>
      </c>
      <c r="E164" s="64">
        <v>0</v>
      </c>
    </row>
    <row r="165" spans="2:5">
      <c r="B165" s="97"/>
      <c r="C165" s="62" t="s">
        <v>109</v>
      </c>
      <c r="D165" s="65">
        <v>2</v>
      </c>
      <c r="E165" s="64">
        <v>0</v>
      </c>
    </row>
    <row r="166" spans="2:5">
      <c r="B166" s="97"/>
      <c r="C166" s="62" t="s">
        <v>112</v>
      </c>
      <c r="D166" s="65">
        <v>3</v>
      </c>
      <c r="E166" s="64">
        <v>1E-3</v>
      </c>
    </row>
    <row r="167" spans="2:5">
      <c r="B167" s="97"/>
      <c r="C167" s="62" t="s">
        <v>114</v>
      </c>
      <c r="D167" s="65">
        <v>5</v>
      </c>
      <c r="E167" s="64">
        <v>1E-3</v>
      </c>
    </row>
    <row r="168" spans="2:5">
      <c r="B168" s="97"/>
      <c r="C168" s="62" t="s">
        <v>119</v>
      </c>
      <c r="D168" s="65">
        <v>1</v>
      </c>
      <c r="E168" s="64">
        <v>0</v>
      </c>
    </row>
    <row r="169" spans="2:5">
      <c r="B169" s="97"/>
      <c r="C169" s="62" t="s">
        <v>123</v>
      </c>
      <c r="D169" s="65">
        <v>2</v>
      </c>
      <c r="E169" s="64">
        <v>0</v>
      </c>
    </row>
    <row r="170" spans="2:5">
      <c r="B170" s="97"/>
      <c r="C170" s="62" t="s">
        <v>124</v>
      </c>
      <c r="D170" s="65">
        <v>1</v>
      </c>
      <c r="E170" s="64">
        <v>0</v>
      </c>
    </row>
    <row r="171" spans="2:5">
      <c r="B171" s="97"/>
      <c r="C171" s="62" t="s">
        <v>127</v>
      </c>
      <c r="D171" s="65">
        <v>2</v>
      </c>
      <c r="E171" s="64">
        <v>0</v>
      </c>
    </row>
    <row r="172" spans="2:5">
      <c r="B172" s="97"/>
      <c r="C172" s="80" t="s">
        <v>288</v>
      </c>
      <c r="D172" s="78">
        <v>42</v>
      </c>
      <c r="E172" s="79">
        <v>7.0000000000000001E-3</v>
      </c>
    </row>
    <row r="173" spans="2:5">
      <c r="B173" s="97" t="s">
        <v>269</v>
      </c>
      <c r="C173" s="62" t="s">
        <v>87</v>
      </c>
      <c r="D173" s="65">
        <v>1</v>
      </c>
      <c r="E173" s="64">
        <v>0</v>
      </c>
    </row>
    <row r="174" spans="2:5">
      <c r="B174" s="97"/>
      <c r="C174" s="62" t="s">
        <v>88</v>
      </c>
      <c r="D174" s="65">
        <v>1</v>
      </c>
      <c r="E174" s="64">
        <v>0</v>
      </c>
    </row>
    <row r="175" spans="2:5">
      <c r="B175" s="97"/>
      <c r="C175" s="62" t="s">
        <v>89</v>
      </c>
      <c r="D175" s="65">
        <v>1</v>
      </c>
      <c r="E175" s="64">
        <v>0</v>
      </c>
    </row>
    <row r="176" spans="2:5">
      <c r="B176" s="97"/>
      <c r="C176" s="62" t="s">
        <v>90</v>
      </c>
      <c r="D176" s="65">
        <v>22</v>
      </c>
      <c r="E176" s="64">
        <v>4.0000000000000001E-3</v>
      </c>
    </row>
    <row r="177" spans="2:5">
      <c r="B177" s="97"/>
      <c r="C177" s="62" t="s">
        <v>91</v>
      </c>
      <c r="D177" s="65">
        <v>1</v>
      </c>
      <c r="E177" s="64">
        <v>0</v>
      </c>
    </row>
    <row r="178" spans="2:5">
      <c r="B178" s="97"/>
      <c r="C178" s="62" t="s">
        <v>92</v>
      </c>
      <c r="D178" s="65">
        <v>8</v>
      </c>
      <c r="E178" s="64">
        <v>1E-3</v>
      </c>
    </row>
    <row r="179" spans="2:5">
      <c r="B179" s="97"/>
      <c r="C179" s="62" t="s">
        <v>95</v>
      </c>
      <c r="D179" s="65">
        <v>1</v>
      </c>
      <c r="E179" s="64">
        <v>0</v>
      </c>
    </row>
    <row r="180" spans="2:5">
      <c r="B180" s="97"/>
      <c r="C180" s="62" t="s">
        <v>96</v>
      </c>
      <c r="D180" s="65">
        <v>2</v>
      </c>
      <c r="E180" s="64">
        <v>0</v>
      </c>
    </row>
    <row r="181" spans="2:5">
      <c r="B181" s="97"/>
      <c r="C181" s="62" t="s">
        <v>97</v>
      </c>
      <c r="D181" s="65">
        <v>2</v>
      </c>
      <c r="E181" s="64">
        <v>0</v>
      </c>
    </row>
    <row r="182" spans="2:5">
      <c r="B182" s="97"/>
      <c r="C182" s="62" t="s">
        <v>98</v>
      </c>
      <c r="D182" s="65">
        <v>7</v>
      </c>
      <c r="E182" s="64">
        <v>1E-3</v>
      </c>
    </row>
    <row r="183" spans="2:5">
      <c r="B183" s="97"/>
      <c r="C183" s="62" t="s">
        <v>99</v>
      </c>
      <c r="D183" s="65">
        <v>3</v>
      </c>
      <c r="E183" s="64">
        <v>1E-3</v>
      </c>
    </row>
    <row r="184" spans="2:5">
      <c r="B184" s="97"/>
      <c r="C184" s="62" t="s">
        <v>101</v>
      </c>
      <c r="D184" s="65">
        <v>1</v>
      </c>
      <c r="E184" s="64">
        <v>0</v>
      </c>
    </row>
    <row r="185" spans="2:5">
      <c r="B185" s="97"/>
      <c r="C185" s="62" t="s">
        <v>104</v>
      </c>
      <c r="D185" s="65">
        <v>1</v>
      </c>
      <c r="E185" s="64">
        <v>0</v>
      </c>
    </row>
    <row r="186" spans="2:5">
      <c r="B186" s="97"/>
      <c r="C186" s="62" t="s">
        <v>106</v>
      </c>
      <c r="D186" s="65">
        <v>1</v>
      </c>
      <c r="E186" s="64">
        <v>0</v>
      </c>
    </row>
    <row r="187" spans="2:5">
      <c r="B187" s="97"/>
      <c r="C187" s="62" t="s">
        <v>107</v>
      </c>
      <c r="D187" s="65">
        <v>1</v>
      </c>
      <c r="E187" s="64">
        <v>0</v>
      </c>
    </row>
    <row r="188" spans="2:5">
      <c r="B188" s="97"/>
      <c r="C188" s="62" t="s">
        <v>109</v>
      </c>
      <c r="D188" s="65">
        <v>2</v>
      </c>
      <c r="E188" s="64">
        <v>0</v>
      </c>
    </row>
    <row r="189" spans="2:5">
      <c r="B189" s="97"/>
      <c r="C189" s="62" t="s">
        <v>110</v>
      </c>
      <c r="D189" s="65">
        <v>1</v>
      </c>
      <c r="E189" s="64">
        <v>0</v>
      </c>
    </row>
    <row r="190" spans="2:5">
      <c r="B190" s="97"/>
      <c r="C190" s="62" t="s">
        <v>112</v>
      </c>
      <c r="D190" s="65">
        <v>7</v>
      </c>
      <c r="E190" s="64">
        <v>1E-3</v>
      </c>
    </row>
    <row r="191" spans="2:5">
      <c r="B191" s="97"/>
      <c r="C191" s="62" t="s">
        <v>114</v>
      </c>
      <c r="D191" s="65">
        <v>16</v>
      </c>
      <c r="E191" s="64">
        <v>3.0000000000000001E-3</v>
      </c>
    </row>
    <row r="192" spans="2:5">
      <c r="B192" s="97"/>
      <c r="C192" s="62" t="s">
        <v>115</v>
      </c>
      <c r="D192" s="65">
        <v>1</v>
      </c>
      <c r="E192" s="64">
        <v>0</v>
      </c>
    </row>
    <row r="193" spans="2:5">
      <c r="B193" s="97"/>
      <c r="C193" s="62" t="s">
        <v>116</v>
      </c>
      <c r="D193" s="65">
        <v>1</v>
      </c>
      <c r="E193" s="64">
        <v>0</v>
      </c>
    </row>
    <row r="194" spans="2:5">
      <c r="B194" s="97"/>
      <c r="C194" s="62" t="s">
        <v>119</v>
      </c>
      <c r="D194" s="65">
        <v>4</v>
      </c>
      <c r="E194" s="64">
        <v>1E-3</v>
      </c>
    </row>
    <row r="195" spans="2:5">
      <c r="B195" s="97"/>
      <c r="C195" s="62" t="s">
        <v>121</v>
      </c>
      <c r="D195" s="65">
        <v>2</v>
      </c>
      <c r="E195" s="64">
        <v>0</v>
      </c>
    </row>
    <row r="196" spans="2:5">
      <c r="B196" s="97"/>
      <c r="C196" s="62" t="s">
        <v>122</v>
      </c>
      <c r="D196" s="65">
        <v>1</v>
      </c>
      <c r="E196" s="64">
        <v>0</v>
      </c>
    </row>
    <row r="197" spans="2:5">
      <c r="B197" s="97"/>
      <c r="C197" s="62" t="s">
        <v>123</v>
      </c>
      <c r="D197" s="65">
        <v>8</v>
      </c>
      <c r="E197" s="64">
        <v>1E-3</v>
      </c>
    </row>
    <row r="198" spans="2:5">
      <c r="B198" s="97"/>
      <c r="C198" s="62" t="s">
        <v>124</v>
      </c>
      <c r="D198" s="65">
        <v>3</v>
      </c>
      <c r="E198" s="64">
        <v>1E-3</v>
      </c>
    </row>
    <row r="199" spans="2:5">
      <c r="B199" s="97"/>
      <c r="C199" s="62" t="s">
        <v>125</v>
      </c>
      <c r="D199" s="65">
        <v>1</v>
      </c>
      <c r="E199" s="64">
        <v>0</v>
      </c>
    </row>
    <row r="200" spans="2:5">
      <c r="B200" s="97"/>
      <c r="C200" s="62" t="s">
        <v>67</v>
      </c>
      <c r="D200" s="65">
        <v>1</v>
      </c>
      <c r="E200" s="64">
        <v>0</v>
      </c>
    </row>
    <row r="201" spans="2:5">
      <c r="B201" s="97"/>
      <c r="C201" s="62" t="s">
        <v>127</v>
      </c>
      <c r="D201" s="65">
        <v>2</v>
      </c>
      <c r="E201" s="64">
        <v>0</v>
      </c>
    </row>
    <row r="202" spans="2:5">
      <c r="B202" s="97"/>
      <c r="C202" s="80" t="s">
        <v>288</v>
      </c>
      <c r="D202" s="78">
        <v>103</v>
      </c>
      <c r="E202" s="79">
        <v>1.7999999999999999E-2</v>
      </c>
    </row>
    <row r="203" spans="2:5">
      <c r="B203" s="97" t="s">
        <v>270</v>
      </c>
      <c r="C203" s="62" t="s">
        <v>87</v>
      </c>
      <c r="D203" s="65">
        <v>3</v>
      </c>
      <c r="E203" s="64">
        <v>1E-3</v>
      </c>
    </row>
    <row r="204" spans="2:5">
      <c r="B204" s="97"/>
      <c r="C204" s="62" t="s">
        <v>88</v>
      </c>
      <c r="D204" s="65">
        <v>3</v>
      </c>
      <c r="E204" s="64">
        <v>1E-3</v>
      </c>
    </row>
    <row r="205" spans="2:5">
      <c r="B205" s="97"/>
      <c r="C205" s="62" t="s">
        <v>89</v>
      </c>
      <c r="D205" s="65">
        <v>1</v>
      </c>
      <c r="E205" s="64">
        <v>0</v>
      </c>
    </row>
    <row r="206" spans="2:5">
      <c r="B206" s="97"/>
      <c r="C206" s="62" t="s">
        <v>90</v>
      </c>
      <c r="D206" s="65">
        <v>59</v>
      </c>
      <c r="E206" s="64">
        <v>1.0999999999999999E-2</v>
      </c>
    </row>
    <row r="207" spans="2:5">
      <c r="B207" s="97"/>
      <c r="C207" s="62" t="s">
        <v>91</v>
      </c>
      <c r="D207" s="65">
        <v>3</v>
      </c>
      <c r="E207" s="64">
        <v>1E-3</v>
      </c>
    </row>
    <row r="208" spans="2:5">
      <c r="B208" s="97"/>
      <c r="C208" s="62" t="s">
        <v>92</v>
      </c>
      <c r="D208" s="65">
        <v>5</v>
      </c>
      <c r="E208" s="64">
        <v>1E-3</v>
      </c>
    </row>
    <row r="209" spans="2:5">
      <c r="B209" s="97"/>
      <c r="C209" s="62" t="s">
        <v>93</v>
      </c>
      <c r="D209" s="65">
        <v>1</v>
      </c>
      <c r="E209" s="64">
        <v>0</v>
      </c>
    </row>
    <row r="210" spans="2:5">
      <c r="B210" s="97"/>
      <c r="C210" s="62" t="s">
        <v>94</v>
      </c>
      <c r="D210" s="65">
        <v>2</v>
      </c>
      <c r="E210" s="64">
        <v>0</v>
      </c>
    </row>
    <row r="211" spans="2:5">
      <c r="B211" s="97"/>
      <c r="C211" s="62" t="s">
        <v>96</v>
      </c>
      <c r="D211" s="65">
        <v>2</v>
      </c>
      <c r="E211" s="64">
        <v>0</v>
      </c>
    </row>
    <row r="212" spans="2:5">
      <c r="B212" s="97"/>
      <c r="C212" s="62" t="s">
        <v>97</v>
      </c>
      <c r="D212" s="65">
        <v>5</v>
      </c>
      <c r="E212" s="64">
        <v>1E-3</v>
      </c>
    </row>
    <row r="213" spans="2:5">
      <c r="B213" s="97"/>
      <c r="C213" s="62" t="s">
        <v>98</v>
      </c>
      <c r="D213" s="65">
        <v>14</v>
      </c>
      <c r="E213" s="64">
        <v>2E-3</v>
      </c>
    </row>
    <row r="214" spans="2:5">
      <c r="B214" s="97"/>
      <c r="C214" s="62" t="s">
        <v>99</v>
      </c>
      <c r="D214" s="65">
        <v>11</v>
      </c>
      <c r="E214" s="64">
        <v>2E-3</v>
      </c>
    </row>
    <row r="215" spans="2:5">
      <c r="B215" s="97"/>
      <c r="C215" s="62" t="s">
        <v>100</v>
      </c>
      <c r="D215" s="65">
        <v>1</v>
      </c>
      <c r="E215" s="64">
        <v>0</v>
      </c>
    </row>
    <row r="216" spans="2:5">
      <c r="B216" s="97"/>
      <c r="C216" s="62" t="s">
        <v>101</v>
      </c>
      <c r="D216" s="65">
        <v>1</v>
      </c>
      <c r="E216" s="64">
        <v>0</v>
      </c>
    </row>
    <row r="217" spans="2:5">
      <c r="B217" s="97"/>
      <c r="C217" s="62" t="s">
        <v>102</v>
      </c>
      <c r="D217" s="65">
        <v>2</v>
      </c>
      <c r="E217" s="64">
        <v>0</v>
      </c>
    </row>
    <row r="218" spans="2:5">
      <c r="B218" s="97"/>
      <c r="C218" s="62" t="s">
        <v>104</v>
      </c>
      <c r="D218" s="65">
        <v>1</v>
      </c>
      <c r="E218" s="64">
        <v>0</v>
      </c>
    </row>
    <row r="219" spans="2:5" ht="15" customHeight="1">
      <c r="B219" s="97"/>
      <c r="C219" s="62" t="s">
        <v>107</v>
      </c>
      <c r="D219" s="65">
        <v>2</v>
      </c>
      <c r="E219" s="64">
        <v>0</v>
      </c>
    </row>
    <row r="220" spans="2:5">
      <c r="B220" s="97"/>
      <c r="C220" s="62" t="s">
        <v>109</v>
      </c>
      <c r="D220" s="65">
        <v>6</v>
      </c>
      <c r="E220" s="64">
        <v>1E-3</v>
      </c>
    </row>
    <row r="221" spans="2:5">
      <c r="B221" s="97"/>
      <c r="C221" s="62" t="s">
        <v>111</v>
      </c>
      <c r="D221" s="65">
        <v>3</v>
      </c>
      <c r="E221" s="64">
        <v>1E-3</v>
      </c>
    </row>
    <row r="222" spans="2:5">
      <c r="B222" s="97"/>
      <c r="C222" s="62" t="s">
        <v>112</v>
      </c>
      <c r="D222" s="65">
        <v>11</v>
      </c>
      <c r="E222" s="64">
        <v>2E-3</v>
      </c>
    </row>
    <row r="223" spans="2:5">
      <c r="B223" s="97"/>
      <c r="C223" s="62" t="s">
        <v>114</v>
      </c>
      <c r="D223" s="65">
        <v>45</v>
      </c>
      <c r="E223" s="64">
        <v>8.0000000000000002E-3</v>
      </c>
    </row>
    <row r="224" spans="2:5">
      <c r="B224" s="97"/>
      <c r="C224" s="62" t="s">
        <v>115</v>
      </c>
      <c r="D224" s="65">
        <v>7</v>
      </c>
      <c r="E224" s="64">
        <v>1E-3</v>
      </c>
    </row>
    <row r="225" spans="2:5">
      <c r="B225" s="97"/>
      <c r="C225" s="62" t="s">
        <v>116</v>
      </c>
      <c r="D225" s="65">
        <v>3</v>
      </c>
      <c r="E225" s="64">
        <v>1E-3</v>
      </c>
    </row>
    <row r="226" spans="2:5">
      <c r="B226" s="97"/>
      <c r="C226" s="62" t="s">
        <v>117</v>
      </c>
      <c r="D226" s="65">
        <v>1</v>
      </c>
      <c r="E226" s="64">
        <v>0</v>
      </c>
    </row>
    <row r="227" spans="2:5">
      <c r="B227" s="97"/>
      <c r="C227" s="62" t="s">
        <v>119</v>
      </c>
      <c r="D227" s="65">
        <v>4</v>
      </c>
      <c r="E227" s="64">
        <v>1E-3</v>
      </c>
    </row>
    <row r="228" spans="2:5">
      <c r="B228" s="97"/>
      <c r="C228" s="62" t="s">
        <v>122</v>
      </c>
      <c r="D228" s="65">
        <v>1</v>
      </c>
      <c r="E228" s="64">
        <v>0</v>
      </c>
    </row>
    <row r="229" spans="2:5">
      <c r="B229" s="97"/>
      <c r="C229" s="62" t="s">
        <v>123</v>
      </c>
      <c r="D229" s="65">
        <v>31</v>
      </c>
      <c r="E229" s="64">
        <v>6.0000000000000001E-3</v>
      </c>
    </row>
    <row r="230" spans="2:5">
      <c r="B230" s="97"/>
      <c r="C230" s="62" t="s">
        <v>124</v>
      </c>
      <c r="D230" s="65">
        <v>7</v>
      </c>
      <c r="E230" s="64">
        <v>1E-3</v>
      </c>
    </row>
    <row r="231" spans="2:5">
      <c r="B231" s="97"/>
      <c r="C231" s="62" t="s">
        <v>67</v>
      </c>
      <c r="D231" s="65">
        <v>2</v>
      </c>
      <c r="E231" s="64">
        <v>0</v>
      </c>
    </row>
    <row r="232" spans="2:5">
      <c r="B232" s="97"/>
      <c r="C232" s="62" t="s">
        <v>126</v>
      </c>
      <c r="D232" s="65">
        <v>2</v>
      </c>
      <c r="E232" s="64">
        <v>0</v>
      </c>
    </row>
    <row r="233" spans="2:5">
      <c r="B233" s="97"/>
      <c r="C233" s="62" t="s">
        <v>127</v>
      </c>
      <c r="D233" s="65">
        <v>8</v>
      </c>
      <c r="E233" s="64">
        <v>1E-3</v>
      </c>
    </row>
    <row r="234" spans="2:5">
      <c r="B234" s="97"/>
      <c r="C234" s="80" t="s">
        <v>288</v>
      </c>
      <c r="D234" s="78">
        <v>247</v>
      </c>
      <c r="E234" s="79">
        <v>4.3999999999999997E-2</v>
      </c>
    </row>
    <row r="235" spans="2:5" ht="14.45" customHeight="1">
      <c r="B235" s="97" t="s">
        <v>201</v>
      </c>
      <c r="C235" s="62" t="s">
        <v>87</v>
      </c>
      <c r="D235" s="65">
        <v>18</v>
      </c>
      <c r="E235" s="64">
        <v>3.0000000000000001E-3</v>
      </c>
    </row>
    <row r="236" spans="2:5">
      <c r="B236" s="97"/>
      <c r="C236" s="62" t="s">
        <v>88</v>
      </c>
      <c r="D236" s="65">
        <v>16</v>
      </c>
      <c r="E236" s="64">
        <v>3.0000000000000001E-3</v>
      </c>
    </row>
    <row r="237" spans="2:5">
      <c r="B237" s="97"/>
      <c r="C237" s="62" t="s">
        <v>89</v>
      </c>
      <c r="D237" s="65">
        <v>7</v>
      </c>
      <c r="E237" s="64">
        <v>1E-3</v>
      </c>
    </row>
    <row r="238" spans="2:5">
      <c r="B238" s="97"/>
      <c r="C238" s="62" t="s">
        <v>90</v>
      </c>
      <c r="D238" s="65">
        <v>447</v>
      </c>
      <c r="E238" s="64">
        <v>0.08</v>
      </c>
    </row>
    <row r="239" spans="2:5">
      <c r="B239" s="97"/>
      <c r="C239" s="62" t="s">
        <v>91</v>
      </c>
      <c r="D239" s="65">
        <v>16</v>
      </c>
      <c r="E239" s="64">
        <v>3.0000000000000001E-3</v>
      </c>
    </row>
    <row r="240" spans="2:5">
      <c r="B240" s="97"/>
      <c r="C240" s="62" t="s">
        <v>92</v>
      </c>
      <c r="D240" s="65">
        <v>117</v>
      </c>
      <c r="E240" s="64">
        <v>2.1000000000000001E-2</v>
      </c>
    </row>
    <row r="241" spans="2:5">
      <c r="B241" s="97"/>
      <c r="C241" s="62" t="s">
        <v>93</v>
      </c>
      <c r="D241" s="65">
        <v>16</v>
      </c>
      <c r="E241" s="64">
        <v>3.0000000000000001E-3</v>
      </c>
    </row>
    <row r="242" spans="2:5">
      <c r="B242" s="97"/>
      <c r="C242" s="62" t="s">
        <v>95</v>
      </c>
      <c r="D242" s="65">
        <v>29</v>
      </c>
      <c r="E242" s="64">
        <v>5.0000000000000001E-3</v>
      </c>
    </row>
    <row r="243" spans="2:5">
      <c r="B243" s="97"/>
      <c r="C243" s="62" t="s">
        <v>96</v>
      </c>
      <c r="D243" s="65">
        <v>64</v>
      </c>
      <c r="E243" s="64">
        <v>1.0999999999999999E-2</v>
      </c>
    </row>
    <row r="244" spans="2:5">
      <c r="B244" s="97"/>
      <c r="C244" s="62" t="s">
        <v>97</v>
      </c>
      <c r="D244" s="65">
        <v>32</v>
      </c>
      <c r="E244" s="64">
        <v>6.0000000000000001E-3</v>
      </c>
    </row>
    <row r="245" spans="2:5">
      <c r="B245" s="97"/>
      <c r="C245" s="62" t="s">
        <v>98</v>
      </c>
      <c r="D245" s="65">
        <v>185</v>
      </c>
      <c r="E245" s="64">
        <v>3.3000000000000002E-2</v>
      </c>
    </row>
    <row r="246" spans="2:5">
      <c r="B246" s="97"/>
      <c r="C246" s="62" t="s">
        <v>99</v>
      </c>
      <c r="D246" s="65">
        <v>60</v>
      </c>
      <c r="E246" s="64">
        <v>1.0999999999999999E-2</v>
      </c>
    </row>
    <row r="247" spans="2:5">
      <c r="B247" s="97"/>
      <c r="C247" s="62" t="s">
        <v>100</v>
      </c>
      <c r="D247" s="65">
        <v>6</v>
      </c>
      <c r="E247" s="64">
        <v>1E-3</v>
      </c>
    </row>
    <row r="248" spans="2:5">
      <c r="B248" s="97"/>
      <c r="C248" s="62" t="s">
        <v>101</v>
      </c>
      <c r="D248" s="65">
        <v>4</v>
      </c>
      <c r="E248" s="64">
        <v>1E-3</v>
      </c>
    </row>
    <row r="249" spans="2:5">
      <c r="B249" s="97"/>
      <c r="C249" s="62" t="s">
        <v>102</v>
      </c>
      <c r="D249" s="65">
        <v>17</v>
      </c>
      <c r="E249" s="64">
        <v>3.0000000000000001E-3</v>
      </c>
    </row>
    <row r="250" spans="2:5">
      <c r="B250" s="97"/>
      <c r="C250" s="62" t="s">
        <v>103</v>
      </c>
      <c r="D250" s="65">
        <v>10</v>
      </c>
      <c r="E250" s="64">
        <v>2E-3</v>
      </c>
    </row>
    <row r="251" spans="2:5">
      <c r="B251" s="97"/>
      <c r="C251" s="62" t="s">
        <v>104</v>
      </c>
      <c r="D251" s="65">
        <v>10</v>
      </c>
      <c r="E251" s="64">
        <v>2E-3</v>
      </c>
    </row>
    <row r="252" spans="2:5">
      <c r="B252" s="97"/>
      <c r="C252" s="62" t="s">
        <v>105</v>
      </c>
      <c r="D252" s="65">
        <v>3</v>
      </c>
      <c r="E252" s="64">
        <v>1E-3</v>
      </c>
    </row>
    <row r="253" spans="2:5">
      <c r="B253" s="97"/>
      <c r="C253" s="62" t="s">
        <v>106</v>
      </c>
      <c r="D253" s="65">
        <v>12</v>
      </c>
      <c r="E253" s="64">
        <v>2E-3</v>
      </c>
    </row>
    <row r="254" spans="2:5">
      <c r="B254" s="97"/>
      <c r="C254" s="62" t="s">
        <v>107</v>
      </c>
      <c r="D254" s="65">
        <v>19</v>
      </c>
      <c r="E254" s="64">
        <v>3.0000000000000001E-3</v>
      </c>
    </row>
    <row r="255" spans="2:5">
      <c r="B255" s="97"/>
      <c r="C255" s="62" t="s">
        <v>108</v>
      </c>
      <c r="D255" s="65">
        <v>6</v>
      </c>
      <c r="E255" s="64">
        <v>1E-3</v>
      </c>
    </row>
    <row r="256" spans="2:5">
      <c r="B256" s="97"/>
      <c r="C256" s="62" t="s">
        <v>109</v>
      </c>
      <c r="D256" s="65">
        <v>37</v>
      </c>
      <c r="E256" s="64">
        <v>7.0000000000000001E-3</v>
      </c>
    </row>
    <row r="257" spans="2:5">
      <c r="B257" s="97"/>
      <c r="C257" s="62" t="s">
        <v>259</v>
      </c>
      <c r="D257" s="65">
        <v>1</v>
      </c>
      <c r="E257" s="64">
        <v>0</v>
      </c>
    </row>
    <row r="258" spans="2:5">
      <c r="B258" s="97"/>
      <c r="C258" s="62" t="s">
        <v>110</v>
      </c>
      <c r="D258" s="65">
        <v>2</v>
      </c>
      <c r="E258" s="64">
        <v>0</v>
      </c>
    </row>
    <row r="259" spans="2:5">
      <c r="B259" s="97"/>
      <c r="C259" s="62" t="s">
        <v>111</v>
      </c>
      <c r="D259" s="65">
        <v>12</v>
      </c>
      <c r="E259" s="64">
        <v>2E-3</v>
      </c>
    </row>
    <row r="260" spans="2:5">
      <c r="B260" s="97"/>
      <c r="C260" s="62" t="s">
        <v>112</v>
      </c>
      <c r="D260" s="65">
        <v>132</v>
      </c>
      <c r="E260" s="64">
        <v>2.4E-2</v>
      </c>
    </row>
    <row r="261" spans="2:5">
      <c r="B261" s="97"/>
      <c r="C261" s="62" t="s">
        <v>113</v>
      </c>
      <c r="D261" s="65">
        <v>5</v>
      </c>
      <c r="E261" s="64">
        <v>1E-3</v>
      </c>
    </row>
    <row r="262" spans="2:5">
      <c r="B262" s="97"/>
      <c r="C262" s="62" t="s">
        <v>114</v>
      </c>
      <c r="D262" s="65">
        <v>374</v>
      </c>
      <c r="E262" s="64">
        <v>6.7000000000000004E-2</v>
      </c>
    </row>
    <row r="263" spans="2:5">
      <c r="B263" s="97"/>
      <c r="C263" s="62" t="s">
        <v>115</v>
      </c>
      <c r="D263" s="65">
        <v>40</v>
      </c>
      <c r="E263" s="64">
        <v>7.0000000000000001E-3</v>
      </c>
    </row>
    <row r="264" spans="2:5" ht="15" customHeight="1">
      <c r="B264" s="97"/>
      <c r="C264" s="62" t="s">
        <v>116</v>
      </c>
      <c r="D264" s="65">
        <v>6</v>
      </c>
      <c r="E264" s="64">
        <v>1E-3</v>
      </c>
    </row>
    <row r="265" spans="2:5">
      <c r="B265" s="97"/>
      <c r="C265" s="62" t="s">
        <v>117</v>
      </c>
      <c r="D265" s="65">
        <v>19</v>
      </c>
      <c r="E265" s="64">
        <v>3.0000000000000001E-3</v>
      </c>
    </row>
    <row r="266" spans="2:5">
      <c r="B266" s="97"/>
      <c r="C266" s="62" t="s">
        <v>118</v>
      </c>
      <c r="D266" s="65">
        <v>16</v>
      </c>
      <c r="E266" s="64">
        <v>3.0000000000000001E-3</v>
      </c>
    </row>
    <row r="267" spans="2:5">
      <c r="B267" s="97"/>
      <c r="C267" s="62" t="s">
        <v>119</v>
      </c>
      <c r="D267" s="65">
        <v>58</v>
      </c>
      <c r="E267" s="64">
        <v>0.01</v>
      </c>
    </row>
    <row r="268" spans="2:5">
      <c r="B268" s="97"/>
      <c r="C268" s="62" t="s">
        <v>121</v>
      </c>
      <c r="D268" s="65">
        <v>21</v>
      </c>
      <c r="E268" s="64">
        <v>4.0000000000000001E-3</v>
      </c>
    </row>
    <row r="269" spans="2:5">
      <c r="B269" s="97"/>
      <c r="C269" s="62" t="s">
        <v>260</v>
      </c>
      <c r="D269" s="65">
        <v>2</v>
      </c>
      <c r="E269" s="64">
        <v>0</v>
      </c>
    </row>
    <row r="270" spans="2:5">
      <c r="B270" s="97"/>
      <c r="C270" s="62" t="s">
        <v>122</v>
      </c>
      <c r="D270" s="65">
        <v>16</v>
      </c>
      <c r="E270" s="64">
        <v>3.0000000000000001E-3</v>
      </c>
    </row>
    <row r="271" spans="2:5">
      <c r="B271" s="97"/>
      <c r="C271" s="62" t="s">
        <v>123</v>
      </c>
      <c r="D271" s="65">
        <v>199</v>
      </c>
      <c r="E271" s="64">
        <v>3.5000000000000003E-2</v>
      </c>
    </row>
    <row r="272" spans="2:5">
      <c r="B272" s="97"/>
      <c r="C272" s="62" t="s">
        <v>124</v>
      </c>
      <c r="D272" s="65">
        <v>24</v>
      </c>
      <c r="E272" s="64">
        <v>4.0000000000000001E-3</v>
      </c>
    </row>
    <row r="273" spans="2:5">
      <c r="B273" s="97"/>
      <c r="C273" s="62" t="s">
        <v>125</v>
      </c>
      <c r="D273" s="65">
        <v>11</v>
      </c>
      <c r="E273" s="64">
        <v>2E-3</v>
      </c>
    </row>
    <row r="274" spans="2:5">
      <c r="B274" s="97"/>
      <c r="C274" s="62" t="s">
        <v>67</v>
      </c>
      <c r="D274" s="65">
        <v>7</v>
      </c>
      <c r="E274" s="64">
        <v>1E-3</v>
      </c>
    </row>
    <row r="275" spans="2:5">
      <c r="B275" s="97"/>
      <c r="C275" s="62" t="s">
        <v>126</v>
      </c>
      <c r="D275" s="65">
        <v>25</v>
      </c>
      <c r="E275" s="64">
        <v>4.0000000000000001E-3</v>
      </c>
    </row>
    <row r="276" spans="2:5">
      <c r="B276" s="97"/>
      <c r="C276" s="62" t="s">
        <v>127</v>
      </c>
      <c r="D276" s="65">
        <v>89</v>
      </c>
      <c r="E276" s="64">
        <v>1.6E-2</v>
      </c>
    </row>
    <row r="277" spans="2:5" ht="14.45" customHeight="1">
      <c r="B277" s="97"/>
      <c r="C277" s="80" t="s">
        <v>288</v>
      </c>
      <c r="D277" s="78">
        <v>2190</v>
      </c>
      <c r="E277" s="79">
        <v>0.39</v>
      </c>
    </row>
    <row r="278" spans="2:5">
      <c r="B278" s="97" t="s">
        <v>202</v>
      </c>
      <c r="C278" s="62" t="s">
        <v>88</v>
      </c>
      <c r="D278" s="65">
        <v>3</v>
      </c>
      <c r="E278" s="64">
        <v>1E-3</v>
      </c>
    </row>
    <row r="279" spans="2:5">
      <c r="B279" s="97"/>
      <c r="C279" s="62" t="s">
        <v>90</v>
      </c>
      <c r="D279" s="65">
        <v>14</v>
      </c>
      <c r="E279" s="64">
        <v>2E-3</v>
      </c>
    </row>
    <row r="280" spans="2:5">
      <c r="B280" s="97"/>
      <c r="C280" s="62" t="s">
        <v>91</v>
      </c>
      <c r="D280" s="65">
        <v>1</v>
      </c>
      <c r="E280" s="64">
        <v>0</v>
      </c>
    </row>
    <row r="281" spans="2:5">
      <c r="B281" s="97"/>
      <c r="C281" s="62" t="s">
        <v>92</v>
      </c>
      <c r="D281" s="65">
        <v>1</v>
      </c>
      <c r="E281" s="64">
        <v>0</v>
      </c>
    </row>
    <row r="282" spans="2:5">
      <c r="B282" s="97"/>
      <c r="C282" s="62" t="s">
        <v>95</v>
      </c>
      <c r="D282" s="65">
        <v>1</v>
      </c>
      <c r="E282" s="64">
        <v>0</v>
      </c>
    </row>
    <row r="283" spans="2:5" ht="15" customHeight="1">
      <c r="B283" s="97"/>
      <c r="C283" s="62" t="s">
        <v>97</v>
      </c>
      <c r="D283" s="65">
        <v>1</v>
      </c>
      <c r="E283" s="64">
        <v>0</v>
      </c>
    </row>
    <row r="284" spans="2:5">
      <c r="B284" s="97"/>
      <c r="C284" s="62" t="s">
        <v>98</v>
      </c>
      <c r="D284" s="65">
        <v>9</v>
      </c>
      <c r="E284" s="64">
        <v>2E-3</v>
      </c>
    </row>
    <row r="285" spans="2:5">
      <c r="B285" s="97"/>
      <c r="C285" s="62" t="s">
        <v>99</v>
      </c>
      <c r="D285" s="65">
        <v>1</v>
      </c>
      <c r="E285" s="64">
        <v>0</v>
      </c>
    </row>
    <row r="286" spans="2:5">
      <c r="B286" s="97"/>
      <c r="C286" s="62" t="s">
        <v>107</v>
      </c>
      <c r="D286" s="65">
        <v>1</v>
      </c>
      <c r="E286" s="64">
        <v>0</v>
      </c>
    </row>
    <row r="287" spans="2:5">
      <c r="B287" s="97"/>
      <c r="C287" s="62" t="s">
        <v>110</v>
      </c>
      <c r="D287" s="65">
        <v>1</v>
      </c>
      <c r="E287" s="64">
        <v>0</v>
      </c>
    </row>
    <row r="288" spans="2:5">
      <c r="B288" s="97"/>
      <c r="C288" s="62" t="s">
        <v>111</v>
      </c>
      <c r="D288" s="65">
        <v>2</v>
      </c>
      <c r="E288" s="64">
        <v>0</v>
      </c>
    </row>
    <row r="289" spans="2:5">
      <c r="B289" s="97"/>
      <c r="C289" s="62" t="s">
        <v>112</v>
      </c>
      <c r="D289" s="65">
        <v>4</v>
      </c>
      <c r="E289" s="64">
        <v>1E-3</v>
      </c>
    </row>
    <row r="290" spans="2:5">
      <c r="B290" s="97"/>
      <c r="C290" s="62" t="s">
        <v>114</v>
      </c>
      <c r="D290" s="65">
        <v>5</v>
      </c>
      <c r="E290" s="64">
        <v>1E-3</v>
      </c>
    </row>
    <row r="291" spans="2:5">
      <c r="B291" s="97"/>
      <c r="C291" s="62" t="s">
        <v>115</v>
      </c>
      <c r="D291" s="65">
        <v>3</v>
      </c>
      <c r="E291" s="64">
        <v>1E-3</v>
      </c>
    </row>
    <row r="292" spans="2:5">
      <c r="B292" s="97"/>
      <c r="C292" s="62" t="s">
        <v>116</v>
      </c>
      <c r="D292" s="65">
        <v>1</v>
      </c>
      <c r="E292" s="64">
        <v>0</v>
      </c>
    </row>
    <row r="293" spans="2:5">
      <c r="B293" s="97"/>
      <c r="C293" s="62" t="s">
        <v>119</v>
      </c>
      <c r="D293" s="65">
        <v>1</v>
      </c>
      <c r="E293" s="64">
        <v>0</v>
      </c>
    </row>
    <row r="294" spans="2:5">
      <c r="B294" s="97"/>
      <c r="C294" s="62" t="s">
        <v>120</v>
      </c>
      <c r="D294" s="65">
        <v>1</v>
      </c>
      <c r="E294" s="64">
        <v>0</v>
      </c>
    </row>
    <row r="295" spans="2:5">
      <c r="B295" s="97"/>
      <c r="C295" s="62" t="s">
        <v>123</v>
      </c>
      <c r="D295" s="65">
        <v>9</v>
      </c>
      <c r="E295" s="64">
        <v>2E-3</v>
      </c>
    </row>
    <row r="296" spans="2:5">
      <c r="B296" s="97"/>
      <c r="C296" s="62" t="s">
        <v>126</v>
      </c>
      <c r="D296" s="65">
        <v>2</v>
      </c>
      <c r="E296" s="64">
        <v>0</v>
      </c>
    </row>
    <row r="297" spans="2:5">
      <c r="B297" s="97"/>
      <c r="C297" s="62" t="s">
        <v>127</v>
      </c>
      <c r="D297" s="65">
        <v>2</v>
      </c>
      <c r="E297" s="64">
        <v>0</v>
      </c>
    </row>
    <row r="298" spans="2:5" ht="14.45" customHeight="1">
      <c r="B298" s="97"/>
      <c r="C298" s="80" t="s">
        <v>288</v>
      </c>
      <c r="D298" s="78">
        <v>63</v>
      </c>
      <c r="E298" s="79">
        <v>1.0999999999999999E-2</v>
      </c>
    </row>
    <row r="299" spans="2:5" ht="14.45" customHeight="1">
      <c r="B299" s="97" t="s">
        <v>203</v>
      </c>
      <c r="C299" s="62" t="s">
        <v>87</v>
      </c>
      <c r="D299" s="65">
        <v>1</v>
      </c>
      <c r="E299" s="64">
        <v>0</v>
      </c>
    </row>
    <row r="300" spans="2:5">
      <c r="B300" s="97"/>
      <c r="C300" s="62" t="s">
        <v>88</v>
      </c>
      <c r="D300" s="65">
        <v>1</v>
      </c>
      <c r="E300" s="64">
        <v>0</v>
      </c>
    </row>
    <row r="301" spans="2:5">
      <c r="B301" s="97"/>
      <c r="C301" s="62" t="s">
        <v>89</v>
      </c>
      <c r="D301" s="65">
        <v>1</v>
      </c>
      <c r="E301" s="64">
        <v>0</v>
      </c>
    </row>
    <row r="302" spans="2:5">
      <c r="B302" s="97"/>
      <c r="C302" s="62" t="s">
        <v>90</v>
      </c>
      <c r="D302" s="65">
        <v>67</v>
      </c>
      <c r="E302" s="64">
        <v>1.2E-2</v>
      </c>
    </row>
    <row r="303" spans="2:5">
      <c r="B303" s="97"/>
      <c r="C303" s="62" t="s">
        <v>91</v>
      </c>
      <c r="D303" s="65">
        <v>1</v>
      </c>
      <c r="E303" s="64">
        <v>0</v>
      </c>
    </row>
    <row r="304" spans="2:5">
      <c r="B304" s="97"/>
      <c r="C304" s="62" t="s">
        <v>92</v>
      </c>
      <c r="D304" s="65">
        <v>11</v>
      </c>
      <c r="E304" s="64">
        <v>2E-3</v>
      </c>
    </row>
    <row r="305" spans="2:5">
      <c r="B305" s="97"/>
      <c r="C305" s="62" t="s">
        <v>93</v>
      </c>
      <c r="D305" s="65">
        <v>3</v>
      </c>
      <c r="E305" s="64">
        <v>1E-3</v>
      </c>
    </row>
    <row r="306" spans="2:5">
      <c r="B306" s="97"/>
      <c r="C306" s="62" t="s">
        <v>95</v>
      </c>
      <c r="D306" s="65">
        <v>4</v>
      </c>
      <c r="E306" s="64">
        <v>1E-3</v>
      </c>
    </row>
    <row r="307" spans="2:5">
      <c r="B307" s="97"/>
      <c r="C307" s="62" t="s">
        <v>96</v>
      </c>
      <c r="D307" s="65">
        <v>8</v>
      </c>
      <c r="E307" s="64">
        <v>1E-3</v>
      </c>
    </row>
    <row r="308" spans="2:5">
      <c r="B308" s="97"/>
      <c r="C308" s="62" t="s">
        <v>97</v>
      </c>
      <c r="D308" s="65">
        <v>6</v>
      </c>
      <c r="E308" s="64">
        <v>1E-3</v>
      </c>
    </row>
    <row r="309" spans="2:5">
      <c r="B309" s="97"/>
      <c r="C309" s="62" t="s">
        <v>98</v>
      </c>
      <c r="D309" s="65">
        <v>21</v>
      </c>
      <c r="E309" s="64">
        <v>4.0000000000000001E-3</v>
      </c>
    </row>
    <row r="310" spans="2:5">
      <c r="B310" s="97"/>
      <c r="C310" s="62" t="s">
        <v>99</v>
      </c>
      <c r="D310" s="65">
        <v>10</v>
      </c>
      <c r="E310" s="64">
        <v>2E-3</v>
      </c>
    </row>
    <row r="311" spans="2:5">
      <c r="B311" s="97"/>
      <c r="C311" s="62" t="s">
        <v>101</v>
      </c>
      <c r="D311" s="65">
        <v>4</v>
      </c>
      <c r="E311" s="64">
        <v>1E-3</v>
      </c>
    </row>
    <row r="312" spans="2:5">
      <c r="B312" s="97"/>
      <c r="C312" s="62" t="s">
        <v>103</v>
      </c>
      <c r="D312" s="65">
        <v>1</v>
      </c>
      <c r="E312" s="64">
        <v>0</v>
      </c>
    </row>
    <row r="313" spans="2:5">
      <c r="B313" s="97"/>
      <c r="C313" s="62" t="s">
        <v>104</v>
      </c>
      <c r="D313" s="65">
        <v>1</v>
      </c>
      <c r="E313" s="64">
        <v>0</v>
      </c>
    </row>
    <row r="314" spans="2:5">
      <c r="B314" s="97"/>
      <c r="C314" s="62" t="s">
        <v>107</v>
      </c>
      <c r="D314" s="65">
        <v>2</v>
      </c>
      <c r="E314" s="64">
        <v>0</v>
      </c>
    </row>
    <row r="315" spans="2:5">
      <c r="B315" s="97"/>
      <c r="C315" s="62" t="s">
        <v>109</v>
      </c>
      <c r="D315" s="65">
        <v>2</v>
      </c>
      <c r="E315" s="64">
        <v>0</v>
      </c>
    </row>
    <row r="316" spans="2:5">
      <c r="B316" s="97"/>
      <c r="C316" s="62" t="s">
        <v>111</v>
      </c>
      <c r="D316" s="65">
        <v>1</v>
      </c>
      <c r="E316" s="64">
        <v>0</v>
      </c>
    </row>
    <row r="317" spans="2:5" ht="15" customHeight="1">
      <c r="B317" s="97"/>
      <c r="C317" s="62" t="s">
        <v>112</v>
      </c>
      <c r="D317" s="65">
        <v>18</v>
      </c>
      <c r="E317" s="64">
        <v>3.0000000000000001E-3</v>
      </c>
    </row>
    <row r="318" spans="2:5">
      <c r="B318" s="97"/>
      <c r="C318" s="62" t="s">
        <v>114</v>
      </c>
      <c r="D318" s="65">
        <v>34</v>
      </c>
      <c r="E318" s="64">
        <v>6.0000000000000001E-3</v>
      </c>
    </row>
    <row r="319" spans="2:5">
      <c r="B319" s="97"/>
      <c r="C319" s="62" t="s">
        <v>115</v>
      </c>
      <c r="D319" s="65">
        <v>3</v>
      </c>
      <c r="E319" s="64">
        <v>1E-3</v>
      </c>
    </row>
    <row r="320" spans="2:5">
      <c r="B320" s="97"/>
      <c r="C320" s="62" t="s">
        <v>116</v>
      </c>
      <c r="D320" s="65">
        <v>1</v>
      </c>
      <c r="E320" s="64">
        <v>0</v>
      </c>
    </row>
    <row r="321" spans="2:5">
      <c r="B321" s="97"/>
      <c r="C321" s="62" t="s">
        <v>117</v>
      </c>
      <c r="D321" s="65">
        <v>4</v>
      </c>
      <c r="E321" s="64">
        <v>1E-3</v>
      </c>
    </row>
    <row r="322" spans="2:5">
      <c r="B322" s="97"/>
      <c r="C322" s="62" t="s">
        <v>118</v>
      </c>
      <c r="D322" s="65">
        <v>2</v>
      </c>
      <c r="E322" s="64">
        <v>0</v>
      </c>
    </row>
    <row r="323" spans="2:5">
      <c r="B323" s="97"/>
      <c r="C323" s="62" t="s">
        <v>119</v>
      </c>
      <c r="D323" s="65">
        <v>5</v>
      </c>
      <c r="E323" s="64">
        <v>1E-3</v>
      </c>
    </row>
    <row r="324" spans="2:5">
      <c r="B324" s="97"/>
      <c r="C324" s="62" t="s">
        <v>121</v>
      </c>
      <c r="D324" s="65">
        <v>4</v>
      </c>
      <c r="E324" s="64">
        <v>1E-3</v>
      </c>
    </row>
    <row r="325" spans="2:5">
      <c r="B325" s="97"/>
      <c r="C325" s="62" t="s">
        <v>123</v>
      </c>
      <c r="D325" s="65">
        <v>28</v>
      </c>
      <c r="E325" s="64">
        <v>5.0000000000000001E-3</v>
      </c>
    </row>
    <row r="326" spans="2:5">
      <c r="B326" s="97"/>
      <c r="C326" s="62" t="s">
        <v>124</v>
      </c>
      <c r="D326" s="65">
        <v>3</v>
      </c>
      <c r="E326" s="64">
        <v>1E-3</v>
      </c>
    </row>
    <row r="327" spans="2:5">
      <c r="B327" s="97"/>
      <c r="C327" s="62" t="s">
        <v>125</v>
      </c>
      <c r="D327" s="65">
        <v>4</v>
      </c>
      <c r="E327" s="64">
        <v>1E-3</v>
      </c>
    </row>
    <row r="328" spans="2:5">
      <c r="B328" s="97"/>
      <c r="C328" s="62" t="s">
        <v>67</v>
      </c>
      <c r="D328" s="65">
        <v>2</v>
      </c>
      <c r="E328" s="64">
        <v>0</v>
      </c>
    </row>
    <row r="329" spans="2:5">
      <c r="B329" s="97"/>
      <c r="C329" s="62" t="s">
        <v>126</v>
      </c>
      <c r="D329" s="65">
        <v>5</v>
      </c>
      <c r="E329" s="64">
        <v>1E-3</v>
      </c>
    </row>
    <row r="330" spans="2:5">
      <c r="B330" s="97"/>
      <c r="C330" s="62" t="s">
        <v>127</v>
      </c>
      <c r="D330" s="65">
        <v>5</v>
      </c>
      <c r="E330" s="64">
        <v>1E-3</v>
      </c>
    </row>
    <row r="331" spans="2:5" ht="14.45" customHeight="1">
      <c r="B331" s="97"/>
      <c r="C331" s="80" t="s">
        <v>288</v>
      </c>
      <c r="D331" s="78">
        <v>263</v>
      </c>
      <c r="E331" s="79">
        <v>4.7E-2</v>
      </c>
    </row>
    <row r="332" spans="2:5" ht="14.45" customHeight="1">
      <c r="B332" s="97" t="s">
        <v>204</v>
      </c>
      <c r="C332" s="62" t="s">
        <v>87</v>
      </c>
      <c r="D332" s="65">
        <v>8</v>
      </c>
      <c r="E332" s="64">
        <v>1E-3</v>
      </c>
    </row>
    <row r="333" spans="2:5">
      <c r="B333" s="97"/>
      <c r="C333" s="62" t="s">
        <v>88</v>
      </c>
      <c r="D333" s="65">
        <v>4</v>
      </c>
      <c r="E333" s="64">
        <v>1E-3</v>
      </c>
    </row>
    <row r="334" spans="2:5">
      <c r="B334" s="97"/>
      <c r="C334" s="62" t="s">
        <v>89</v>
      </c>
      <c r="D334" s="65">
        <v>6</v>
      </c>
      <c r="E334" s="64">
        <v>1E-3</v>
      </c>
    </row>
    <row r="335" spans="2:5">
      <c r="B335" s="97"/>
      <c r="C335" s="62" t="s">
        <v>90</v>
      </c>
      <c r="D335" s="65">
        <v>245</v>
      </c>
      <c r="E335" s="64">
        <v>4.3999999999999997E-2</v>
      </c>
    </row>
    <row r="336" spans="2:5">
      <c r="B336" s="97"/>
      <c r="C336" s="62" t="s">
        <v>91</v>
      </c>
      <c r="D336" s="65">
        <v>12</v>
      </c>
      <c r="E336" s="64">
        <v>2E-3</v>
      </c>
    </row>
    <row r="337" spans="2:5">
      <c r="B337" s="97"/>
      <c r="C337" s="62" t="s">
        <v>92</v>
      </c>
      <c r="D337" s="65">
        <v>44</v>
      </c>
      <c r="E337" s="64">
        <v>8.0000000000000002E-3</v>
      </c>
    </row>
    <row r="338" spans="2:5">
      <c r="B338" s="97"/>
      <c r="C338" s="62" t="s">
        <v>93</v>
      </c>
      <c r="D338" s="65">
        <v>4</v>
      </c>
      <c r="E338" s="64">
        <v>1E-3</v>
      </c>
    </row>
    <row r="339" spans="2:5">
      <c r="B339" s="97"/>
      <c r="C339" s="62" t="s">
        <v>94</v>
      </c>
      <c r="D339" s="65">
        <v>1</v>
      </c>
      <c r="E339" s="64">
        <v>0</v>
      </c>
    </row>
    <row r="340" spans="2:5">
      <c r="B340" s="97"/>
      <c r="C340" s="62" t="s">
        <v>95</v>
      </c>
      <c r="D340" s="65">
        <v>14</v>
      </c>
      <c r="E340" s="64">
        <v>2E-3</v>
      </c>
    </row>
    <row r="341" spans="2:5">
      <c r="B341" s="97"/>
      <c r="C341" s="62" t="s">
        <v>96</v>
      </c>
      <c r="D341" s="65">
        <v>44</v>
      </c>
      <c r="E341" s="64">
        <v>8.0000000000000002E-3</v>
      </c>
    </row>
    <row r="342" spans="2:5">
      <c r="B342" s="97"/>
      <c r="C342" s="62" t="s">
        <v>97</v>
      </c>
      <c r="D342" s="65">
        <v>40</v>
      </c>
      <c r="E342" s="64">
        <v>7.0000000000000001E-3</v>
      </c>
    </row>
    <row r="343" spans="2:5">
      <c r="B343" s="97"/>
      <c r="C343" s="62" t="s">
        <v>98</v>
      </c>
      <c r="D343" s="65">
        <v>88</v>
      </c>
      <c r="E343" s="64">
        <v>1.6E-2</v>
      </c>
    </row>
    <row r="344" spans="2:5">
      <c r="B344" s="97"/>
      <c r="C344" s="62" t="s">
        <v>99</v>
      </c>
      <c r="D344" s="65">
        <v>29</v>
      </c>
      <c r="E344" s="64">
        <v>5.0000000000000001E-3</v>
      </c>
    </row>
    <row r="345" spans="2:5">
      <c r="B345" s="97"/>
      <c r="C345" s="62" t="s">
        <v>100</v>
      </c>
      <c r="D345" s="65">
        <v>6</v>
      </c>
      <c r="E345" s="64">
        <v>1E-3</v>
      </c>
    </row>
    <row r="346" spans="2:5">
      <c r="B346" s="97"/>
      <c r="C346" s="62" t="s">
        <v>101</v>
      </c>
      <c r="D346" s="65">
        <v>5</v>
      </c>
      <c r="E346" s="64">
        <v>1E-3</v>
      </c>
    </row>
    <row r="347" spans="2:5">
      <c r="B347" s="97"/>
      <c r="C347" s="62" t="s">
        <v>102</v>
      </c>
      <c r="D347" s="65">
        <v>7</v>
      </c>
      <c r="E347" s="64">
        <v>1E-3</v>
      </c>
    </row>
    <row r="348" spans="2:5">
      <c r="B348" s="97"/>
      <c r="C348" s="62" t="s">
        <v>103</v>
      </c>
      <c r="D348" s="65">
        <v>7</v>
      </c>
      <c r="E348" s="64">
        <v>1E-3</v>
      </c>
    </row>
    <row r="349" spans="2:5">
      <c r="B349" s="97"/>
      <c r="C349" s="62" t="s">
        <v>104</v>
      </c>
      <c r="D349" s="65">
        <v>6</v>
      </c>
      <c r="E349" s="64">
        <v>1E-3</v>
      </c>
    </row>
    <row r="350" spans="2:5">
      <c r="B350" s="97"/>
      <c r="C350" s="62" t="s">
        <v>105</v>
      </c>
      <c r="D350" s="65">
        <v>1</v>
      </c>
      <c r="E350" s="64">
        <v>0</v>
      </c>
    </row>
    <row r="351" spans="2:5">
      <c r="B351" s="97"/>
      <c r="C351" s="62" t="s">
        <v>106</v>
      </c>
      <c r="D351" s="65">
        <v>3</v>
      </c>
      <c r="E351" s="64">
        <v>1E-3</v>
      </c>
    </row>
    <row r="352" spans="2:5">
      <c r="B352" s="97"/>
      <c r="C352" s="62" t="s">
        <v>107</v>
      </c>
      <c r="D352" s="65">
        <v>16</v>
      </c>
      <c r="E352" s="64">
        <v>3.0000000000000001E-3</v>
      </c>
    </row>
    <row r="353" spans="2:5">
      <c r="B353" s="97"/>
      <c r="C353" s="62" t="s">
        <v>108</v>
      </c>
      <c r="D353" s="65">
        <v>1</v>
      </c>
      <c r="E353" s="64">
        <v>0</v>
      </c>
    </row>
    <row r="354" spans="2:5">
      <c r="B354" s="97"/>
      <c r="C354" s="62" t="s">
        <v>109</v>
      </c>
      <c r="D354" s="65">
        <v>22</v>
      </c>
      <c r="E354" s="64">
        <v>4.0000000000000001E-3</v>
      </c>
    </row>
    <row r="355" spans="2:5">
      <c r="B355" s="97"/>
      <c r="C355" s="62" t="s">
        <v>259</v>
      </c>
      <c r="D355" s="65">
        <v>1</v>
      </c>
      <c r="E355" s="64">
        <v>0</v>
      </c>
    </row>
    <row r="356" spans="2:5">
      <c r="B356" s="97"/>
      <c r="C356" s="62" t="s">
        <v>110</v>
      </c>
      <c r="D356" s="65">
        <v>1</v>
      </c>
      <c r="E356" s="64">
        <v>0</v>
      </c>
    </row>
    <row r="357" spans="2:5">
      <c r="B357" s="97"/>
      <c r="C357" s="62" t="s">
        <v>111</v>
      </c>
      <c r="D357" s="65">
        <v>11</v>
      </c>
      <c r="E357" s="64">
        <v>2E-3</v>
      </c>
    </row>
    <row r="358" spans="2:5" ht="15" customHeight="1">
      <c r="B358" s="97"/>
      <c r="C358" s="62" t="s">
        <v>112</v>
      </c>
      <c r="D358" s="65">
        <v>45</v>
      </c>
      <c r="E358" s="64">
        <v>8.0000000000000002E-3</v>
      </c>
    </row>
    <row r="359" spans="2:5">
      <c r="B359" s="97"/>
      <c r="C359" s="62" t="s">
        <v>113</v>
      </c>
      <c r="D359" s="65">
        <v>6</v>
      </c>
      <c r="E359" s="64">
        <v>1E-3</v>
      </c>
    </row>
    <row r="360" spans="2:5">
      <c r="B360" s="97"/>
      <c r="C360" s="62" t="s">
        <v>114</v>
      </c>
      <c r="D360" s="65">
        <v>193</v>
      </c>
      <c r="E360" s="64">
        <v>3.4000000000000002E-2</v>
      </c>
    </row>
    <row r="361" spans="2:5">
      <c r="B361" s="97"/>
      <c r="C361" s="62" t="s">
        <v>115</v>
      </c>
      <c r="D361" s="65">
        <v>12</v>
      </c>
      <c r="E361" s="64">
        <v>2E-3</v>
      </c>
    </row>
    <row r="362" spans="2:5">
      <c r="B362" s="97"/>
      <c r="C362" s="62" t="s">
        <v>116</v>
      </c>
      <c r="D362" s="65">
        <v>3</v>
      </c>
      <c r="E362" s="64">
        <v>1E-3</v>
      </c>
    </row>
    <row r="363" spans="2:5">
      <c r="B363" s="97"/>
      <c r="C363" s="62" t="s">
        <v>117</v>
      </c>
      <c r="D363" s="65">
        <v>9</v>
      </c>
      <c r="E363" s="64">
        <v>2E-3</v>
      </c>
    </row>
    <row r="364" spans="2:5">
      <c r="B364" s="97"/>
      <c r="C364" s="62" t="s">
        <v>118</v>
      </c>
      <c r="D364" s="65">
        <v>8</v>
      </c>
      <c r="E364" s="64">
        <v>1E-3</v>
      </c>
    </row>
    <row r="365" spans="2:5">
      <c r="B365" s="97"/>
      <c r="C365" s="62" t="s">
        <v>119</v>
      </c>
      <c r="D365" s="65">
        <v>27</v>
      </c>
      <c r="E365" s="64">
        <v>5.0000000000000001E-3</v>
      </c>
    </row>
    <row r="366" spans="2:5">
      <c r="B366" s="97"/>
      <c r="C366" s="62" t="s">
        <v>121</v>
      </c>
      <c r="D366" s="65">
        <v>7</v>
      </c>
      <c r="E366" s="64">
        <v>1E-3</v>
      </c>
    </row>
    <row r="367" spans="2:5">
      <c r="B367" s="97"/>
      <c r="C367" s="62" t="s">
        <v>260</v>
      </c>
      <c r="D367" s="65">
        <v>2</v>
      </c>
      <c r="E367" s="64">
        <v>0</v>
      </c>
    </row>
    <row r="368" spans="2:5" ht="15" customHeight="1">
      <c r="B368" s="97"/>
      <c r="C368" s="62" t="s">
        <v>122</v>
      </c>
      <c r="D368" s="65">
        <v>9</v>
      </c>
      <c r="E368" s="64">
        <v>2E-3</v>
      </c>
    </row>
    <row r="369" spans="2:5">
      <c r="B369" s="97"/>
      <c r="C369" s="62" t="s">
        <v>123</v>
      </c>
      <c r="D369" s="65">
        <v>136</v>
      </c>
      <c r="E369" s="64">
        <v>2.4E-2</v>
      </c>
    </row>
    <row r="370" spans="2:5">
      <c r="B370" s="97"/>
      <c r="C370" s="62" t="s">
        <v>124</v>
      </c>
      <c r="D370" s="65">
        <v>15</v>
      </c>
      <c r="E370" s="64">
        <v>3.0000000000000001E-3</v>
      </c>
    </row>
    <row r="371" spans="2:5">
      <c r="B371" s="97"/>
      <c r="C371" s="62" t="s">
        <v>125</v>
      </c>
      <c r="D371" s="65">
        <v>7</v>
      </c>
      <c r="E371" s="64">
        <v>1E-3</v>
      </c>
    </row>
    <row r="372" spans="2:5">
      <c r="B372" s="97"/>
      <c r="C372" s="62" t="s">
        <v>67</v>
      </c>
      <c r="D372" s="65">
        <v>10</v>
      </c>
      <c r="E372" s="64">
        <v>2E-3</v>
      </c>
    </row>
    <row r="373" spans="2:5">
      <c r="B373" s="97"/>
      <c r="C373" s="62" t="s">
        <v>126</v>
      </c>
      <c r="D373" s="65">
        <v>13</v>
      </c>
      <c r="E373" s="64">
        <v>2E-3</v>
      </c>
    </row>
    <row r="374" spans="2:5">
      <c r="B374" s="97"/>
      <c r="C374" s="62" t="s">
        <v>127</v>
      </c>
      <c r="D374" s="65">
        <v>72</v>
      </c>
      <c r="E374" s="64">
        <v>1.2999999999999999E-2</v>
      </c>
    </row>
    <row r="375" spans="2:5" ht="14.45" customHeight="1">
      <c r="B375" s="97"/>
      <c r="C375" s="80" t="s">
        <v>288</v>
      </c>
      <c r="D375" s="78">
        <v>1200</v>
      </c>
      <c r="E375" s="79">
        <v>0.214</v>
      </c>
    </row>
    <row r="376" spans="2:5">
      <c r="B376" s="97" t="s">
        <v>271</v>
      </c>
      <c r="C376" s="62" t="s">
        <v>90</v>
      </c>
      <c r="D376" s="65">
        <v>13</v>
      </c>
      <c r="E376" s="64">
        <v>2E-3</v>
      </c>
    </row>
    <row r="377" spans="2:5">
      <c r="B377" s="97"/>
      <c r="C377" s="62" t="s">
        <v>92</v>
      </c>
      <c r="D377" s="65">
        <v>3</v>
      </c>
      <c r="E377" s="64">
        <v>1E-3</v>
      </c>
    </row>
    <row r="378" spans="2:5">
      <c r="B378" s="97"/>
      <c r="C378" s="62" t="s">
        <v>96</v>
      </c>
      <c r="D378" s="65">
        <v>1</v>
      </c>
      <c r="E378" s="64">
        <v>0</v>
      </c>
    </row>
    <row r="379" spans="2:5">
      <c r="B379" s="97"/>
      <c r="C379" s="62" t="s">
        <v>97</v>
      </c>
      <c r="D379" s="65">
        <v>1</v>
      </c>
      <c r="E379" s="64">
        <v>0</v>
      </c>
    </row>
    <row r="380" spans="2:5">
      <c r="B380" s="97"/>
      <c r="C380" s="62" t="s">
        <v>98</v>
      </c>
      <c r="D380" s="65">
        <v>1</v>
      </c>
      <c r="E380" s="64">
        <v>0</v>
      </c>
    </row>
    <row r="381" spans="2:5">
      <c r="B381" s="97"/>
      <c r="C381" s="62" t="s">
        <v>99</v>
      </c>
      <c r="D381" s="65">
        <v>1</v>
      </c>
      <c r="E381" s="64">
        <v>0</v>
      </c>
    </row>
    <row r="382" spans="2:5">
      <c r="B382" s="97"/>
      <c r="C382" s="62" t="s">
        <v>112</v>
      </c>
      <c r="D382" s="65">
        <v>1</v>
      </c>
      <c r="E382" s="64">
        <v>0</v>
      </c>
    </row>
    <row r="383" spans="2:5" ht="15" customHeight="1">
      <c r="B383" s="97"/>
      <c r="C383" s="62" t="s">
        <v>114</v>
      </c>
      <c r="D383" s="65">
        <v>2</v>
      </c>
      <c r="E383" s="64">
        <v>0</v>
      </c>
    </row>
    <row r="384" spans="2:5">
      <c r="B384" s="97"/>
      <c r="C384" s="62" t="s">
        <v>123</v>
      </c>
      <c r="D384" s="65">
        <v>3</v>
      </c>
      <c r="E384" s="64">
        <v>1E-3</v>
      </c>
    </row>
    <row r="385" spans="2:5" ht="14.45" customHeight="1">
      <c r="B385" s="97"/>
      <c r="C385" s="80" t="s">
        <v>288</v>
      </c>
      <c r="D385" s="78">
        <v>26</v>
      </c>
      <c r="E385" s="79">
        <v>5.0000000000000001E-3</v>
      </c>
    </row>
    <row r="386" spans="2:5">
      <c r="B386" s="97" t="s">
        <v>272</v>
      </c>
      <c r="C386" s="62" t="s">
        <v>90</v>
      </c>
      <c r="D386" s="65">
        <v>8</v>
      </c>
      <c r="E386" s="64">
        <v>1E-3</v>
      </c>
    </row>
    <row r="387" spans="2:5" ht="15" customHeight="1">
      <c r="B387" s="97"/>
      <c r="C387" s="62" t="s">
        <v>92</v>
      </c>
      <c r="D387" s="65">
        <v>1</v>
      </c>
      <c r="E387" s="64">
        <v>0</v>
      </c>
    </row>
    <row r="388" spans="2:5">
      <c r="B388" s="97"/>
      <c r="C388" s="62" t="s">
        <v>96</v>
      </c>
      <c r="D388" s="65">
        <v>1</v>
      </c>
      <c r="E388" s="64">
        <v>0</v>
      </c>
    </row>
    <row r="389" spans="2:5">
      <c r="B389" s="97"/>
      <c r="C389" s="62" t="s">
        <v>106</v>
      </c>
      <c r="D389" s="65">
        <v>1</v>
      </c>
      <c r="E389" s="64">
        <v>0</v>
      </c>
    </row>
    <row r="390" spans="2:5">
      <c r="B390" s="97"/>
      <c r="C390" s="62" t="s">
        <v>109</v>
      </c>
      <c r="D390" s="65">
        <v>3</v>
      </c>
      <c r="E390" s="64">
        <v>1E-3</v>
      </c>
    </row>
    <row r="391" spans="2:5">
      <c r="B391" s="97"/>
      <c r="C391" s="62" t="s">
        <v>112</v>
      </c>
      <c r="D391" s="65">
        <v>1</v>
      </c>
      <c r="E391" s="64">
        <v>0</v>
      </c>
    </row>
    <row r="392" spans="2:5">
      <c r="B392" s="97"/>
      <c r="C392" s="62" t="s">
        <v>114</v>
      </c>
      <c r="D392" s="65">
        <v>2</v>
      </c>
      <c r="E392" s="64">
        <v>0</v>
      </c>
    </row>
    <row r="393" spans="2:5" ht="15" customHeight="1">
      <c r="B393" s="97"/>
      <c r="C393" s="62" t="s">
        <v>119</v>
      </c>
      <c r="D393" s="65">
        <v>1</v>
      </c>
      <c r="E393" s="64">
        <v>0</v>
      </c>
    </row>
    <row r="394" spans="2:5">
      <c r="B394" s="97"/>
      <c r="C394" s="62" t="s">
        <v>123</v>
      </c>
      <c r="D394" s="65">
        <v>2</v>
      </c>
      <c r="E394" s="64">
        <v>0</v>
      </c>
    </row>
    <row r="395" spans="2:5">
      <c r="B395" s="97"/>
      <c r="C395" s="62" t="s">
        <v>126</v>
      </c>
      <c r="D395" s="65">
        <v>1</v>
      </c>
      <c r="E395" s="64">
        <v>0</v>
      </c>
    </row>
    <row r="396" spans="2:5">
      <c r="B396" s="97"/>
      <c r="C396" s="62" t="s">
        <v>127</v>
      </c>
      <c r="D396" s="65">
        <v>1</v>
      </c>
      <c r="E396" s="64">
        <v>0</v>
      </c>
    </row>
    <row r="397" spans="2:5" ht="14.45" customHeight="1">
      <c r="B397" s="97"/>
      <c r="C397" s="80" t="s">
        <v>288</v>
      </c>
      <c r="D397" s="78">
        <v>22</v>
      </c>
      <c r="E397" s="79">
        <v>4.0000000000000001E-3</v>
      </c>
    </row>
    <row r="398" spans="2:5">
      <c r="B398" s="97" t="s">
        <v>273</v>
      </c>
      <c r="C398" s="62" t="s">
        <v>90</v>
      </c>
      <c r="D398" s="65">
        <v>2</v>
      </c>
      <c r="E398" s="64">
        <v>0</v>
      </c>
    </row>
    <row r="399" spans="2:5">
      <c r="B399" s="97"/>
      <c r="C399" s="62" t="s">
        <v>92</v>
      </c>
      <c r="D399" s="65">
        <v>1</v>
      </c>
      <c r="E399" s="64">
        <v>0</v>
      </c>
    </row>
    <row r="400" spans="2:5">
      <c r="B400" s="97"/>
      <c r="C400" s="62" t="s">
        <v>105</v>
      </c>
      <c r="D400" s="65">
        <v>1</v>
      </c>
      <c r="E400" s="64">
        <v>0</v>
      </c>
    </row>
    <row r="401" spans="2:5">
      <c r="B401" s="97"/>
      <c r="C401" s="62" t="s">
        <v>112</v>
      </c>
      <c r="D401" s="65">
        <v>2</v>
      </c>
      <c r="E401" s="64">
        <v>0</v>
      </c>
    </row>
    <row r="402" spans="2:5">
      <c r="B402" s="97"/>
      <c r="C402" s="62" t="s">
        <v>119</v>
      </c>
      <c r="D402" s="65">
        <v>1</v>
      </c>
      <c r="E402" s="64">
        <v>0</v>
      </c>
    </row>
    <row r="403" spans="2:5">
      <c r="B403" s="97"/>
      <c r="C403" s="62" t="s">
        <v>67</v>
      </c>
      <c r="D403" s="65">
        <v>1</v>
      </c>
      <c r="E403" s="64">
        <v>0</v>
      </c>
    </row>
    <row r="404" spans="2:5" ht="14.45" customHeight="1">
      <c r="B404" s="97"/>
      <c r="C404" s="80" t="s">
        <v>288</v>
      </c>
      <c r="D404" s="78">
        <v>8</v>
      </c>
      <c r="E404" s="79">
        <v>1E-3</v>
      </c>
    </row>
    <row r="405" spans="2:5">
      <c r="B405" s="97" t="s">
        <v>274</v>
      </c>
      <c r="C405" s="62" t="s">
        <v>90</v>
      </c>
      <c r="D405" s="65">
        <v>4</v>
      </c>
      <c r="E405" s="64">
        <v>1E-3</v>
      </c>
    </row>
    <row r="406" spans="2:5">
      <c r="B406" s="97"/>
      <c r="C406" s="62" t="s">
        <v>91</v>
      </c>
      <c r="D406" s="65">
        <v>1</v>
      </c>
      <c r="E406" s="64">
        <v>0</v>
      </c>
    </row>
    <row r="407" spans="2:5">
      <c r="B407" s="97"/>
      <c r="C407" s="62" t="s">
        <v>92</v>
      </c>
      <c r="D407" s="65">
        <v>1</v>
      </c>
      <c r="E407" s="64">
        <v>0</v>
      </c>
    </row>
    <row r="408" spans="2:5">
      <c r="B408" s="97"/>
      <c r="C408" s="62" t="s">
        <v>100</v>
      </c>
      <c r="D408" s="65">
        <v>1</v>
      </c>
      <c r="E408" s="64">
        <v>0</v>
      </c>
    </row>
    <row r="409" spans="2:5">
      <c r="B409" s="97"/>
      <c r="C409" s="62" t="s">
        <v>114</v>
      </c>
      <c r="D409" s="65">
        <v>1</v>
      </c>
      <c r="E409" s="64">
        <v>0</v>
      </c>
    </row>
    <row r="410" spans="2:5" ht="14.45" customHeight="1">
      <c r="B410" s="97"/>
      <c r="C410" s="80" t="s">
        <v>288</v>
      </c>
      <c r="D410" s="78">
        <v>8</v>
      </c>
      <c r="E410" s="79">
        <v>1E-3</v>
      </c>
    </row>
    <row r="411" spans="2:5">
      <c r="B411" s="97" t="s">
        <v>209</v>
      </c>
      <c r="C411" s="62" t="s">
        <v>87</v>
      </c>
      <c r="D411" s="65">
        <v>1</v>
      </c>
      <c r="E411" s="64">
        <v>0</v>
      </c>
    </row>
    <row r="412" spans="2:5">
      <c r="B412" s="97"/>
      <c r="C412" s="62" t="s">
        <v>90</v>
      </c>
      <c r="D412" s="65">
        <v>8</v>
      </c>
      <c r="E412" s="64">
        <v>1E-3</v>
      </c>
    </row>
    <row r="413" spans="2:5">
      <c r="B413" s="97"/>
      <c r="C413" s="62" t="s">
        <v>91</v>
      </c>
      <c r="D413" s="65">
        <v>1</v>
      </c>
      <c r="E413" s="64">
        <v>0</v>
      </c>
    </row>
    <row r="414" spans="2:5">
      <c r="B414" s="97"/>
      <c r="C414" s="62" t="s">
        <v>92</v>
      </c>
      <c r="D414" s="65">
        <v>1</v>
      </c>
      <c r="E414" s="64">
        <v>0</v>
      </c>
    </row>
    <row r="415" spans="2:5">
      <c r="B415" s="97"/>
      <c r="C415" s="62" t="s">
        <v>95</v>
      </c>
      <c r="D415" s="65">
        <v>2</v>
      </c>
      <c r="E415" s="64">
        <v>0</v>
      </c>
    </row>
    <row r="416" spans="2:5" ht="15" customHeight="1">
      <c r="B416" s="97"/>
      <c r="C416" s="62" t="s">
        <v>96</v>
      </c>
      <c r="D416" s="65">
        <v>1</v>
      </c>
      <c r="E416" s="64">
        <v>0</v>
      </c>
    </row>
    <row r="417" spans="2:5">
      <c r="B417" s="97"/>
      <c r="C417" s="62" t="s">
        <v>97</v>
      </c>
      <c r="D417" s="65">
        <v>1</v>
      </c>
      <c r="E417" s="64">
        <v>0</v>
      </c>
    </row>
    <row r="418" spans="2:5">
      <c r="B418" s="97"/>
      <c r="C418" s="62" t="s">
        <v>98</v>
      </c>
      <c r="D418" s="65">
        <v>3</v>
      </c>
      <c r="E418" s="64">
        <v>1E-3</v>
      </c>
    </row>
    <row r="419" spans="2:5">
      <c r="B419" s="97"/>
      <c r="C419" s="62" t="s">
        <v>99</v>
      </c>
      <c r="D419" s="65">
        <v>1</v>
      </c>
      <c r="E419" s="64">
        <v>0</v>
      </c>
    </row>
    <row r="420" spans="2:5">
      <c r="B420" s="97"/>
      <c r="C420" s="62" t="s">
        <v>100</v>
      </c>
      <c r="D420" s="65">
        <v>1</v>
      </c>
      <c r="E420" s="64">
        <v>0</v>
      </c>
    </row>
    <row r="421" spans="2:5">
      <c r="B421" s="97"/>
      <c r="C421" s="62" t="s">
        <v>101</v>
      </c>
      <c r="D421" s="65">
        <v>1</v>
      </c>
      <c r="E421" s="64">
        <v>0</v>
      </c>
    </row>
    <row r="422" spans="2:5">
      <c r="B422" s="97"/>
      <c r="C422" s="62" t="s">
        <v>102</v>
      </c>
      <c r="D422" s="65">
        <v>1</v>
      </c>
      <c r="E422" s="64">
        <v>0</v>
      </c>
    </row>
    <row r="423" spans="2:5">
      <c r="B423" s="97"/>
      <c r="C423" s="62" t="s">
        <v>104</v>
      </c>
      <c r="D423" s="65">
        <v>2</v>
      </c>
      <c r="E423" s="64">
        <v>0</v>
      </c>
    </row>
    <row r="424" spans="2:5">
      <c r="B424" s="97"/>
      <c r="C424" s="62" t="s">
        <v>105</v>
      </c>
      <c r="D424" s="65">
        <v>1</v>
      </c>
      <c r="E424" s="64">
        <v>0</v>
      </c>
    </row>
    <row r="425" spans="2:5">
      <c r="B425" s="97"/>
      <c r="C425" s="62" t="s">
        <v>106</v>
      </c>
      <c r="D425" s="65">
        <v>1</v>
      </c>
      <c r="E425" s="64">
        <v>0</v>
      </c>
    </row>
    <row r="426" spans="2:5">
      <c r="B426" s="97"/>
      <c r="C426" s="62" t="s">
        <v>107</v>
      </c>
      <c r="D426" s="65">
        <v>1</v>
      </c>
      <c r="E426" s="64">
        <v>0</v>
      </c>
    </row>
    <row r="427" spans="2:5">
      <c r="B427" s="97"/>
      <c r="C427" s="62" t="s">
        <v>111</v>
      </c>
      <c r="D427" s="65">
        <v>1</v>
      </c>
      <c r="E427" s="64">
        <v>0</v>
      </c>
    </row>
    <row r="428" spans="2:5">
      <c r="B428" s="97"/>
      <c r="C428" s="62" t="s">
        <v>113</v>
      </c>
      <c r="D428" s="65">
        <v>1</v>
      </c>
      <c r="E428" s="64">
        <v>0</v>
      </c>
    </row>
    <row r="429" spans="2:5">
      <c r="B429" s="97"/>
      <c r="C429" s="62" t="s">
        <v>114</v>
      </c>
      <c r="D429" s="65">
        <v>7</v>
      </c>
      <c r="E429" s="64">
        <v>1E-3</v>
      </c>
    </row>
    <row r="430" spans="2:5">
      <c r="B430" s="97"/>
      <c r="C430" s="62" t="s">
        <v>115</v>
      </c>
      <c r="D430" s="65">
        <v>1</v>
      </c>
      <c r="E430" s="64">
        <v>0</v>
      </c>
    </row>
    <row r="431" spans="2:5">
      <c r="B431" s="97"/>
      <c r="C431" s="62" t="s">
        <v>118</v>
      </c>
      <c r="D431" s="65">
        <v>1</v>
      </c>
      <c r="E431" s="64">
        <v>0</v>
      </c>
    </row>
    <row r="432" spans="2:5">
      <c r="B432" s="97"/>
      <c r="C432" s="62" t="s">
        <v>123</v>
      </c>
      <c r="D432" s="65">
        <v>6</v>
      </c>
      <c r="E432" s="64">
        <v>1E-3</v>
      </c>
    </row>
    <row r="433" spans="2:5">
      <c r="B433" s="97"/>
      <c r="C433" s="62" t="s">
        <v>126</v>
      </c>
      <c r="D433" s="65">
        <v>2</v>
      </c>
      <c r="E433" s="64">
        <v>0</v>
      </c>
    </row>
    <row r="434" spans="2:5">
      <c r="B434" s="97"/>
      <c r="C434" s="62" t="s">
        <v>127</v>
      </c>
      <c r="D434" s="65">
        <v>4</v>
      </c>
      <c r="E434" s="64">
        <v>1E-3</v>
      </c>
    </row>
    <row r="435" spans="2:5" ht="14.45" customHeight="1">
      <c r="B435" s="97"/>
      <c r="C435" s="80" t="s">
        <v>288</v>
      </c>
      <c r="D435" s="78">
        <v>50</v>
      </c>
      <c r="E435" s="79">
        <v>8.9999999999999993E-3</v>
      </c>
    </row>
    <row r="436" spans="2:5" ht="15" customHeight="1">
      <c r="B436" s="97" t="s">
        <v>210</v>
      </c>
      <c r="C436" s="62" t="s">
        <v>87</v>
      </c>
      <c r="D436" s="65">
        <v>1</v>
      </c>
      <c r="E436" s="64">
        <v>0</v>
      </c>
    </row>
    <row r="437" spans="2:5" ht="15" customHeight="1">
      <c r="B437" s="97"/>
      <c r="C437" s="62" t="s">
        <v>89</v>
      </c>
      <c r="D437" s="65">
        <v>1</v>
      </c>
      <c r="E437" s="64">
        <v>0</v>
      </c>
    </row>
    <row r="438" spans="2:5" ht="15" customHeight="1">
      <c r="B438" s="97"/>
      <c r="C438" s="62" t="s">
        <v>90</v>
      </c>
      <c r="D438" s="65">
        <v>40</v>
      </c>
      <c r="E438" s="64">
        <v>7.0000000000000001E-3</v>
      </c>
    </row>
    <row r="439" spans="2:5" ht="15" customHeight="1">
      <c r="B439" s="97"/>
      <c r="C439" s="62" t="s">
        <v>91</v>
      </c>
      <c r="D439" s="65">
        <v>2</v>
      </c>
      <c r="E439" s="64">
        <v>0</v>
      </c>
    </row>
    <row r="440" spans="2:5" ht="15" customHeight="1">
      <c r="B440" s="97"/>
      <c r="C440" s="62" t="s">
        <v>92</v>
      </c>
      <c r="D440" s="65">
        <v>8</v>
      </c>
      <c r="E440" s="64">
        <v>1E-3</v>
      </c>
    </row>
    <row r="441" spans="2:5" ht="15" customHeight="1">
      <c r="B441" s="97"/>
      <c r="C441" s="62" t="s">
        <v>93</v>
      </c>
      <c r="D441" s="65">
        <v>3</v>
      </c>
      <c r="E441" s="64">
        <v>1E-3</v>
      </c>
    </row>
    <row r="442" spans="2:5" ht="15" customHeight="1">
      <c r="B442" s="97"/>
      <c r="C442" s="62" t="s">
        <v>95</v>
      </c>
      <c r="D442" s="65">
        <v>3</v>
      </c>
      <c r="E442" s="64">
        <v>1E-3</v>
      </c>
    </row>
    <row r="443" spans="2:5" ht="15" customHeight="1">
      <c r="B443" s="97"/>
      <c r="C443" s="62" t="s">
        <v>96</v>
      </c>
      <c r="D443" s="65">
        <v>3</v>
      </c>
      <c r="E443" s="64">
        <v>1E-3</v>
      </c>
    </row>
    <row r="444" spans="2:5" ht="15" customHeight="1">
      <c r="B444" s="97"/>
      <c r="C444" s="62" t="s">
        <v>97</v>
      </c>
      <c r="D444" s="65">
        <v>5</v>
      </c>
      <c r="E444" s="64">
        <v>1E-3</v>
      </c>
    </row>
    <row r="445" spans="2:5" ht="15" customHeight="1">
      <c r="B445" s="97"/>
      <c r="C445" s="62" t="s">
        <v>98</v>
      </c>
      <c r="D445" s="65">
        <v>13</v>
      </c>
      <c r="E445" s="64">
        <v>2E-3</v>
      </c>
    </row>
    <row r="446" spans="2:5" ht="15" customHeight="1">
      <c r="B446" s="97"/>
      <c r="C446" s="62" t="s">
        <v>99</v>
      </c>
      <c r="D446" s="65">
        <v>4</v>
      </c>
      <c r="E446" s="64">
        <v>1E-3</v>
      </c>
    </row>
    <row r="447" spans="2:5" ht="15" customHeight="1">
      <c r="B447" s="97"/>
      <c r="C447" s="62" t="s">
        <v>101</v>
      </c>
      <c r="D447" s="65">
        <v>3</v>
      </c>
      <c r="E447" s="64">
        <v>1E-3</v>
      </c>
    </row>
    <row r="448" spans="2:5" ht="15" customHeight="1">
      <c r="B448" s="97"/>
      <c r="C448" s="62" t="s">
        <v>102</v>
      </c>
      <c r="D448" s="65">
        <v>3</v>
      </c>
      <c r="E448" s="64">
        <v>1E-3</v>
      </c>
    </row>
    <row r="449" spans="2:5" ht="15" customHeight="1">
      <c r="B449" s="97"/>
      <c r="C449" s="62" t="s">
        <v>104</v>
      </c>
      <c r="D449" s="65">
        <v>2</v>
      </c>
      <c r="E449" s="64">
        <v>0</v>
      </c>
    </row>
    <row r="450" spans="2:5" ht="15" customHeight="1">
      <c r="B450" s="97"/>
      <c r="C450" s="62" t="s">
        <v>106</v>
      </c>
      <c r="D450" s="65">
        <v>2</v>
      </c>
      <c r="E450" s="64">
        <v>0</v>
      </c>
    </row>
    <row r="451" spans="2:5" ht="15" customHeight="1">
      <c r="B451" s="97"/>
      <c r="C451" s="62" t="s">
        <v>107</v>
      </c>
      <c r="D451" s="65">
        <v>3</v>
      </c>
      <c r="E451" s="64">
        <v>1E-3</v>
      </c>
    </row>
    <row r="452" spans="2:5" ht="15" customHeight="1">
      <c r="B452" s="97"/>
      <c r="C452" s="62" t="s">
        <v>108</v>
      </c>
      <c r="D452" s="65">
        <v>1</v>
      </c>
      <c r="E452" s="64">
        <v>0</v>
      </c>
    </row>
    <row r="453" spans="2:5" ht="15" customHeight="1">
      <c r="B453" s="97"/>
      <c r="C453" s="62" t="s">
        <v>109</v>
      </c>
      <c r="D453" s="65">
        <v>6</v>
      </c>
      <c r="E453" s="64">
        <v>1E-3</v>
      </c>
    </row>
    <row r="454" spans="2:5" ht="15" customHeight="1">
      <c r="B454" s="97"/>
      <c r="C454" s="62" t="s">
        <v>112</v>
      </c>
      <c r="D454" s="65">
        <v>8</v>
      </c>
      <c r="E454" s="64">
        <v>1E-3</v>
      </c>
    </row>
    <row r="455" spans="2:5" ht="15" customHeight="1">
      <c r="B455" s="97"/>
      <c r="C455" s="62" t="s">
        <v>113</v>
      </c>
      <c r="D455" s="65">
        <v>1</v>
      </c>
      <c r="E455" s="64">
        <v>0</v>
      </c>
    </row>
    <row r="456" spans="2:5" ht="15" customHeight="1">
      <c r="B456" s="97"/>
      <c r="C456" s="62" t="s">
        <v>114</v>
      </c>
      <c r="D456" s="65">
        <v>26</v>
      </c>
      <c r="E456" s="64">
        <v>5.0000000000000001E-3</v>
      </c>
    </row>
    <row r="457" spans="2:5" ht="15" customHeight="1">
      <c r="B457" s="97"/>
      <c r="C457" s="62" t="s">
        <v>115</v>
      </c>
      <c r="D457" s="65">
        <v>1</v>
      </c>
      <c r="E457" s="64">
        <v>0</v>
      </c>
    </row>
    <row r="458" spans="2:5" ht="15" customHeight="1">
      <c r="B458" s="97"/>
      <c r="C458" s="62" t="s">
        <v>117</v>
      </c>
      <c r="D458" s="65">
        <v>1</v>
      </c>
      <c r="E458" s="64">
        <v>0</v>
      </c>
    </row>
    <row r="459" spans="2:5" ht="15" customHeight="1">
      <c r="B459" s="97"/>
      <c r="C459" s="62" t="s">
        <v>118</v>
      </c>
      <c r="D459" s="65">
        <v>1</v>
      </c>
      <c r="E459" s="64">
        <v>0</v>
      </c>
    </row>
    <row r="460" spans="2:5" ht="15" customHeight="1">
      <c r="B460" s="97"/>
      <c r="C460" s="62" t="s">
        <v>119</v>
      </c>
      <c r="D460" s="65">
        <v>8</v>
      </c>
      <c r="E460" s="64">
        <v>1E-3</v>
      </c>
    </row>
    <row r="461" spans="2:5" ht="15" customHeight="1">
      <c r="B461" s="97"/>
      <c r="C461" s="62" t="s">
        <v>122</v>
      </c>
      <c r="D461" s="65">
        <v>2</v>
      </c>
      <c r="E461" s="64">
        <v>0</v>
      </c>
    </row>
    <row r="462" spans="2:5" ht="15" customHeight="1">
      <c r="B462" s="97"/>
      <c r="C462" s="62" t="s">
        <v>123</v>
      </c>
      <c r="D462" s="65">
        <v>21</v>
      </c>
      <c r="E462" s="64">
        <v>4.0000000000000001E-3</v>
      </c>
    </row>
    <row r="463" spans="2:5" ht="15" customHeight="1">
      <c r="B463" s="97"/>
      <c r="C463" s="62" t="s">
        <v>124</v>
      </c>
      <c r="D463" s="65">
        <v>5</v>
      </c>
      <c r="E463" s="64">
        <v>1E-3</v>
      </c>
    </row>
    <row r="464" spans="2:5" ht="15" customHeight="1">
      <c r="B464" s="97"/>
      <c r="C464" s="62" t="s">
        <v>67</v>
      </c>
      <c r="D464" s="65">
        <v>1</v>
      </c>
      <c r="E464" s="64">
        <v>0</v>
      </c>
    </row>
    <row r="465" spans="2:5" ht="15" customHeight="1">
      <c r="B465" s="97"/>
      <c r="C465" s="62" t="s">
        <v>126</v>
      </c>
      <c r="D465" s="65">
        <v>1</v>
      </c>
      <c r="E465" s="64">
        <v>0</v>
      </c>
    </row>
    <row r="466" spans="2:5" ht="15" customHeight="1">
      <c r="B466" s="97"/>
      <c r="C466" s="62" t="s">
        <v>127</v>
      </c>
      <c r="D466" s="65">
        <v>7</v>
      </c>
      <c r="E466" s="64">
        <v>1E-3</v>
      </c>
    </row>
    <row r="467" spans="2:5" ht="15" customHeight="1">
      <c r="B467" s="97"/>
      <c r="C467" s="80" t="s">
        <v>288</v>
      </c>
      <c r="D467" s="78">
        <v>186</v>
      </c>
      <c r="E467" s="79">
        <v>3.3000000000000002E-2</v>
      </c>
    </row>
    <row r="468" spans="2:5" ht="15" customHeight="1">
      <c r="B468" s="97" t="s">
        <v>211</v>
      </c>
      <c r="C468" s="62" t="s">
        <v>90</v>
      </c>
      <c r="D468" s="65">
        <v>1</v>
      </c>
      <c r="E468" s="64">
        <v>0</v>
      </c>
    </row>
    <row r="469" spans="2:5" ht="15" customHeight="1">
      <c r="B469" s="97"/>
      <c r="C469" s="62" t="s">
        <v>98</v>
      </c>
      <c r="D469" s="65">
        <v>1</v>
      </c>
      <c r="E469" s="64">
        <v>0</v>
      </c>
    </row>
    <row r="470" spans="2:5" ht="15" customHeight="1">
      <c r="B470" s="97"/>
      <c r="C470" s="80"/>
      <c r="D470" s="78">
        <v>2</v>
      </c>
      <c r="E470" s="79">
        <v>0</v>
      </c>
    </row>
    <row r="471" spans="2:5" ht="15" customHeight="1">
      <c r="B471" s="97" t="s">
        <v>212</v>
      </c>
      <c r="C471" s="62" t="s">
        <v>90</v>
      </c>
      <c r="D471" s="65">
        <v>2</v>
      </c>
      <c r="E471" s="64">
        <v>0</v>
      </c>
    </row>
    <row r="472" spans="2:5" ht="15" customHeight="1">
      <c r="B472" s="97"/>
      <c r="C472" s="62" t="s">
        <v>91</v>
      </c>
      <c r="D472" s="65">
        <v>1</v>
      </c>
      <c r="E472" s="64">
        <v>0</v>
      </c>
    </row>
    <row r="473" spans="2:5" ht="15" customHeight="1">
      <c r="B473" s="97"/>
      <c r="C473" s="62" t="s">
        <v>92</v>
      </c>
      <c r="D473" s="65">
        <v>1</v>
      </c>
      <c r="E473" s="64">
        <v>0</v>
      </c>
    </row>
    <row r="474" spans="2:5" ht="15" customHeight="1">
      <c r="B474" s="97"/>
      <c r="C474" s="62" t="s">
        <v>97</v>
      </c>
      <c r="D474" s="65">
        <v>2</v>
      </c>
      <c r="E474" s="64">
        <v>0</v>
      </c>
    </row>
    <row r="475" spans="2:5" ht="15" customHeight="1">
      <c r="B475" s="97"/>
      <c r="C475" s="62" t="s">
        <v>106</v>
      </c>
      <c r="D475" s="65">
        <v>1</v>
      </c>
      <c r="E475" s="64">
        <v>0</v>
      </c>
    </row>
    <row r="476" spans="2:5" ht="15" customHeight="1">
      <c r="B476" s="97"/>
      <c r="C476" s="62" t="s">
        <v>107</v>
      </c>
      <c r="D476" s="65">
        <v>1</v>
      </c>
      <c r="E476" s="64">
        <v>0</v>
      </c>
    </row>
    <row r="477" spans="2:5" ht="15" customHeight="1">
      <c r="B477" s="97"/>
      <c r="C477" s="62" t="s">
        <v>114</v>
      </c>
      <c r="D477" s="65">
        <v>1</v>
      </c>
      <c r="E477" s="64">
        <v>0</v>
      </c>
    </row>
    <row r="478" spans="2:5" ht="15" customHeight="1">
      <c r="B478" s="97"/>
      <c r="C478" s="80" t="s">
        <v>288</v>
      </c>
      <c r="D478" s="78">
        <v>9</v>
      </c>
      <c r="E478" s="79">
        <v>2E-3</v>
      </c>
    </row>
    <row r="479" spans="2:5" ht="15" customHeight="1">
      <c r="B479" s="97" t="s">
        <v>213</v>
      </c>
      <c r="C479" s="62" t="s">
        <v>90</v>
      </c>
      <c r="D479" s="65">
        <v>1</v>
      </c>
      <c r="E479" s="64">
        <v>0</v>
      </c>
    </row>
    <row r="480" spans="2:5" ht="15" customHeight="1">
      <c r="B480" s="97"/>
      <c r="C480" s="62" t="s">
        <v>123</v>
      </c>
      <c r="D480" s="65">
        <v>1</v>
      </c>
      <c r="E480" s="64">
        <v>0</v>
      </c>
    </row>
    <row r="481" spans="2:5" ht="15" customHeight="1">
      <c r="B481" s="97"/>
      <c r="C481" s="80" t="s">
        <v>288</v>
      </c>
      <c r="D481" s="78">
        <v>2</v>
      </c>
      <c r="E481" s="79">
        <v>0</v>
      </c>
    </row>
    <row r="482" spans="2:5" ht="15" customHeight="1">
      <c r="B482" s="103" t="s">
        <v>288</v>
      </c>
      <c r="C482" s="103"/>
      <c r="D482" s="40">
        <v>5612</v>
      </c>
      <c r="E482" s="67">
        <v>1</v>
      </c>
    </row>
    <row r="483" spans="2:5" ht="15" customHeight="1">
      <c r="B483" s="49"/>
      <c r="C483" s="49"/>
      <c r="D483" s="49"/>
      <c r="E483" s="49"/>
    </row>
    <row r="484" spans="2:5" ht="15" customHeight="1">
      <c r="B484" s="35" t="s">
        <v>255</v>
      </c>
      <c r="C484" s="49"/>
      <c r="D484" s="49"/>
      <c r="E484" s="49"/>
    </row>
    <row r="485" spans="2:5" ht="15" customHeight="1">
      <c r="B485" s="37" t="s">
        <v>18</v>
      </c>
      <c r="C485" s="49"/>
      <c r="D485" s="49"/>
      <c r="E485" s="49"/>
    </row>
    <row r="486" spans="2:5" ht="15" customHeight="1">
      <c r="B486" s="38" t="s">
        <v>128</v>
      </c>
      <c r="C486" s="49"/>
      <c r="D486" s="49"/>
      <c r="E486" s="49"/>
    </row>
    <row r="487" spans="2:5" ht="15" customHeight="1">
      <c r="B487" s="35" t="s">
        <v>17</v>
      </c>
      <c r="C487" s="49"/>
      <c r="D487" s="49"/>
      <c r="E487" s="49"/>
    </row>
    <row r="488" spans="2:5" ht="15" customHeight="1">
      <c r="B488" s="35" t="s">
        <v>290</v>
      </c>
      <c r="C488" s="49"/>
      <c r="D488" s="49"/>
      <c r="E488" s="49"/>
    </row>
  </sheetData>
  <mergeCells count="26">
    <mergeCell ref="B482:C482"/>
    <mergeCell ref="B405:B410"/>
    <mergeCell ref="B398:B404"/>
    <mergeCell ref="B386:B397"/>
    <mergeCell ref="B376:B385"/>
    <mergeCell ref="B479:B481"/>
    <mergeCell ref="B471:B478"/>
    <mergeCell ref="B468:B470"/>
    <mergeCell ref="B411:B435"/>
    <mergeCell ref="B436:B467"/>
    <mergeCell ref="B7:E8"/>
    <mergeCell ref="B332:B375"/>
    <mergeCell ref="B299:B331"/>
    <mergeCell ref="B278:B298"/>
    <mergeCell ref="B86:B113"/>
    <mergeCell ref="B74:B85"/>
    <mergeCell ref="B235:B277"/>
    <mergeCell ref="B203:B234"/>
    <mergeCell ref="B173:B202"/>
    <mergeCell ref="B153:B172"/>
    <mergeCell ref="B114:B152"/>
    <mergeCell ref="B60:B73"/>
    <mergeCell ref="B44:B59"/>
    <mergeCell ref="B32:B43"/>
    <mergeCell ref="B25:B31"/>
    <mergeCell ref="B10:B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593"/>
  <sheetViews>
    <sheetView showGridLines="0" view="pageBreakPreview" zoomScale="90" zoomScaleNormal="93" zoomScaleSheetLayoutView="90" workbookViewId="0">
      <selection activeCell="C12" sqref="C12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41.8554687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4"/>
      <c r="C6" s="45"/>
      <c r="D6" s="45"/>
      <c r="E6" s="45"/>
    </row>
    <row r="7" spans="1:5" s="24" customFormat="1" ht="26.25" customHeight="1">
      <c r="A7" s="25"/>
      <c r="B7" s="96"/>
      <c r="C7" s="96"/>
      <c r="D7" s="96"/>
      <c r="E7" s="96"/>
    </row>
    <row r="8" spans="1:5" s="24" customFormat="1" ht="33" customHeight="1">
      <c r="A8" s="25"/>
      <c r="B8" s="96"/>
      <c r="C8" s="96"/>
      <c r="D8" s="96"/>
      <c r="E8" s="96"/>
    </row>
    <row r="9" spans="1:5" s="18" customFormat="1" ht="40.5" customHeight="1">
      <c r="B9" s="46" t="s">
        <v>22</v>
      </c>
      <c r="C9" s="47" t="s">
        <v>27</v>
      </c>
      <c r="D9" s="48" t="s">
        <v>20</v>
      </c>
      <c r="E9" s="46" t="s">
        <v>19</v>
      </c>
    </row>
    <row r="10" spans="1:5">
      <c r="B10" s="97" t="s">
        <v>80</v>
      </c>
      <c r="C10" s="62" t="s">
        <v>201</v>
      </c>
      <c r="D10" s="65">
        <v>6</v>
      </c>
      <c r="E10" s="64">
        <v>1E-3</v>
      </c>
    </row>
    <row r="11" spans="1:5">
      <c r="B11" s="97"/>
      <c r="C11" s="62" t="s">
        <v>204</v>
      </c>
      <c r="D11" s="65">
        <v>8</v>
      </c>
      <c r="E11" s="64">
        <v>1E-3</v>
      </c>
    </row>
    <row r="12" spans="1:5">
      <c r="B12" s="97"/>
      <c r="C12" s="62" t="s">
        <v>209</v>
      </c>
      <c r="D12" s="65">
        <v>1</v>
      </c>
      <c r="E12" s="64">
        <v>0</v>
      </c>
    </row>
    <row r="13" spans="1:5">
      <c r="B13" s="97"/>
      <c r="C13" s="62" t="s">
        <v>210</v>
      </c>
      <c r="D13" s="65">
        <v>1</v>
      </c>
      <c r="E13" s="64">
        <v>0</v>
      </c>
    </row>
    <row r="14" spans="1:5">
      <c r="B14" s="97"/>
      <c r="C14" s="80" t="s">
        <v>288</v>
      </c>
      <c r="D14" s="78">
        <v>16</v>
      </c>
      <c r="E14" s="79">
        <v>3.0000000000000001E-3</v>
      </c>
    </row>
    <row r="15" spans="1:5">
      <c r="B15" s="104" t="s">
        <v>50</v>
      </c>
      <c r="C15" s="62" t="s">
        <v>262</v>
      </c>
      <c r="D15" s="65">
        <v>1</v>
      </c>
      <c r="E15" s="64">
        <v>0</v>
      </c>
    </row>
    <row r="16" spans="1:5">
      <c r="B16" s="104"/>
      <c r="C16" s="62" t="s">
        <v>263</v>
      </c>
      <c r="D16" s="65">
        <v>1</v>
      </c>
      <c r="E16" s="64">
        <v>0</v>
      </c>
    </row>
    <row r="17" spans="2:5">
      <c r="B17" s="104"/>
      <c r="C17" s="62" t="s">
        <v>267</v>
      </c>
      <c r="D17" s="65">
        <v>4</v>
      </c>
      <c r="E17" s="64">
        <v>1E-3</v>
      </c>
    </row>
    <row r="18" spans="2:5">
      <c r="B18" s="104"/>
      <c r="C18" s="62" t="s">
        <v>197</v>
      </c>
      <c r="D18" s="65">
        <v>18</v>
      </c>
      <c r="E18" s="64">
        <v>3.0000000000000001E-3</v>
      </c>
    </row>
    <row r="19" spans="2:5">
      <c r="B19" s="104"/>
      <c r="C19" s="62" t="s">
        <v>268</v>
      </c>
      <c r="D19" s="65">
        <v>1</v>
      </c>
      <c r="E19" s="64">
        <v>0</v>
      </c>
    </row>
    <row r="20" spans="2:5">
      <c r="B20" s="104"/>
      <c r="C20" s="62" t="s">
        <v>269</v>
      </c>
      <c r="D20" s="65">
        <v>3</v>
      </c>
      <c r="E20" s="64">
        <v>1E-3</v>
      </c>
    </row>
    <row r="21" spans="2:5">
      <c r="B21" s="104"/>
      <c r="C21" s="62" t="s">
        <v>270</v>
      </c>
      <c r="D21" s="65">
        <v>5</v>
      </c>
      <c r="E21" s="64">
        <v>1E-3</v>
      </c>
    </row>
    <row r="22" spans="2:5">
      <c r="B22" s="104"/>
      <c r="C22" s="62" t="s">
        <v>201</v>
      </c>
      <c r="D22" s="65">
        <v>85</v>
      </c>
      <c r="E22" s="64">
        <v>1.4999999999999999E-2</v>
      </c>
    </row>
    <row r="23" spans="2:5">
      <c r="B23" s="104"/>
      <c r="C23" s="62" t="s">
        <v>203</v>
      </c>
      <c r="D23" s="65">
        <v>9</v>
      </c>
      <c r="E23" s="64">
        <v>2E-3</v>
      </c>
    </row>
    <row r="24" spans="2:5">
      <c r="B24" s="104"/>
      <c r="C24" s="62" t="s">
        <v>204</v>
      </c>
      <c r="D24" s="65">
        <v>48</v>
      </c>
      <c r="E24" s="64">
        <v>8.9999999999999993E-3</v>
      </c>
    </row>
    <row r="25" spans="2:5">
      <c r="B25" s="104"/>
      <c r="C25" s="62" t="s">
        <v>271</v>
      </c>
      <c r="D25" s="65">
        <v>1</v>
      </c>
      <c r="E25" s="64">
        <v>0</v>
      </c>
    </row>
    <row r="26" spans="2:5">
      <c r="B26" s="104"/>
      <c r="C26" s="62" t="s">
        <v>272</v>
      </c>
      <c r="D26" s="65">
        <v>1</v>
      </c>
      <c r="E26" s="64">
        <v>0</v>
      </c>
    </row>
    <row r="27" spans="2:5">
      <c r="B27" s="104"/>
      <c r="C27" s="62" t="s">
        <v>209</v>
      </c>
      <c r="D27" s="65">
        <v>1</v>
      </c>
      <c r="E27" s="64">
        <v>0</v>
      </c>
    </row>
    <row r="28" spans="2:5">
      <c r="B28" s="104"/>
      <c r="C28" s="62" t="s">
        <v>210</v>
      </c>
      <c r="D28" s="65">
        <v>4</v>
      </c>
      <c r="E28" s="64">
        <v>1E-3</v>
      </c>
    </row>
    <row r="29" spans="2:5">
      <c r="B29" s="104"/>
      <c r="C29" s="80" t="s">
        <v>288</v>
      </c>
      <c r="D29" s="78">
        <v>182</v>
      </c>
      <c r="E29" s="79">
        <v>3.2000000000000001E-2</v>
      </c>
    </row>
    <row r="30" spans="2:5">
      <c r="B30" s="97" t="s">
        <v>78</v>
      </c>
      <c r="C30" s="62" t="s">
        <v>267</v>
      </c>
      <c r="D30" s="65">
        <v>2</v>
      </c>
      <c r="E30" s="64">
        <v>0</v>
      </c>
    </row>
    <row r="31" spans="2:5">
      <c r="B31" s="97"/>
      <c r="C31" s="62" t="s">
        <v>197</v>
      </c>
      <c r="D31" s="65">
        <v>5</v>
      </c>
      <c r="E31" s="64">
        <v>1E-3</v>
      </c>
    </row>
    <row r="32" spans="2:5">
      <c r="B32" s="97"/>
      <c r="C32" s="62" t="s">
        <v>270</v>
      </c>
      <c r="D32" s="65">
        <v>1</v>
      </c>
      <c r="E32" s="64">
        <v>0</v>
      </c>
    </row>
    <row r="33" spans="2:5">
      <c r="B33" s="97"/>
      <c r="C33" s="62" t="s">
        <v>201</v>
      </c>
      <c r="D33" s="65">
        <v>9</v>
      </c>
      <c r="E33" s="64">
        <v>2E-3</v>
      </c>
    </row>
    <row r="34" spans="2:5">
      <c r="B34" s="97"/>
      <c r="C34" s="62" t="s">
        <v>203</v>
      </c>
      <c r="D34" s="65">
        <v>3</v>
      </c>
      <c r="E34" s="64">
        <v>1E-3</v>
      </c>
    </row>
    <row r="35" spans="2:5">
      <c r="B35" s="97"/>
      <c r="C35" s="62" t="s">
        <v>204</v>
      </c>
      <c r="D35" s="65">
        <v>13</v>
      </c>
      <c r="E35" s="64">
        <v>2E-3</v>
      </c>
    </row>
    <row r="36" spans="2:5">
      <c r="B36" s="97"/>
      <c r="C36" s="62" t="s">
        <v>272</v>
      </c>
      <c r="D36" s="65">
        <v>1</v>
      </c>
      <c r="E36" s="64">
        <v>0</v>
      </c>
    </row>
    <row r="37" spans="2:5">
      <c r="B37" s="97"/>
      <c r="C37" s="62" t="s">
        <v>209</v>
      </c>
      <c r="D37" s="65">
        <v>1</v>
      </c>
      <c r="E37" s="64">
        <v>0</v>
      </c>
    </row>
    <row r="38" spans="2:5">
      <c r="B38" s="97"/>
      <c r="C38" s="62" t="s">
        <v>210</v>
      </c>
      <c r="D38" s="65">
        <v>1</v>
      </c>
      <c r="E38" s="64">
        <v>0</v>
      </c>
    </row>
    <row r="39" spans="2:5">
      <c r="B39" s="97"/>
      <c r="C39" s="80" t="s">
        <v>288</v>
      </c>
      <c r="D39" s="78">
        <v>36</v>
      </c>
      <c r="E39" s="79">
        <v>6.0000000000000001E-3</v>
      </c>
    </row>
    <row r="40" spans="2:5">
      <c r="B40" s="97" t="s">
        <v>54</v>
      </c>
      <c r="C40" s="62" t="s">
        <v>190</v>
      </c>
      <c r="D40" s="65">
        <v>2</v>
      </c>
      <c r="E40" s="64">
        <v>0</v>
      </c>
    </row>
    <row r="41" spans="2:5">
      <c r="B41" s="97"/>
      <c r="C41" s="62" t="s">
        <v>265</v>
      </c>
      <c r="D41" s="65">
        <v>2</v>
      </c>
      <c r="E41" s="64">
        <v>0</v>
      </c>
    </row>
    <row r="42" spans="2:5">
      <c r="B42" s="97"/>
      <c r="C42" s="62" t="s">
        <v>266</v>
      </c>
      <c r="D42" s="65">
        <v>2</v>
      </c>
      <c r="E42" s="64">
        <v>0</v>
      </c>
    </row>
    <row r="43" spans="2:5">
      <c r="B43" s="97"/>
      <c r="C43" s="62" t="s">
        <v>267</v>
      </c>
      <c r="D43" s="65">
        <v>17</v>
      </c>
      <c r="E43" s="64">
        <v>3.0000000000000001E-3</v>
      </c>
    </row>
    <row r="44" spans="2:5">
      <c r="B44" s="97"/>
      <c r="C44" s="62" t="s">
        <v>197</v>
      </c>
      <c r="D44" s="65">
        <v>33</v>
      </c>
      <c r="E44" s="64">
        <v>6.0000000000000001E-3</v>
      </c>
    </row>
    <row r="45" spans="2:5">
      <c r="B45" s="97"/>
      <c r="C45" s="62" t="s">
        <v>268</v>
      </c>
      <c r="D45" s="65">
        <v>2</v>
      </c>
      <c r="E45" s="64">
        <v>0</v>
      </c>
    </row>
    <row r="46" spans="2:5">
      <c r="B46" s="97"/>
      <c r="C46" s="62" t="s">
        <v>269</v>
      </c>
      <c r="D46" s="65">
        <v>2</v>
      </c>
      <c r="E46" s="64">
        <v>0</v>
      </c>
    </row>
    <row r="47" spans="2:5">
      <c r="B47" s="97"/>
      <c r="C47" s="62" t="s">
        <v>270</v>
      </c>
      <c r="D47" s="65">
        <v>9</v>
      </c>
      <c r="E47" s="64">
        <v>2E-3</v>
      </c>
    </row>
    <row r="48" spans="2:5">
      <c r="B48" s="97"/>
      <c r="C48" s="62" t="s">
        <v>201</v>
      </c>
      <c r="D48" s="65">
        <v>66</v>
      </c>
      <c r="E48" s="64">
        <v>1.2E-2</v>
      </c>
    </row>
    <row r="49" spans="2:5">
      <c r="B49" s="97"/>
      <c r="C49" s="62" t="s">
        <v>202</v>
      </c>
      <c r="D49" s="65">
        <v>1</v>
      </c>
      <c r="E49" s="64">
        <v>0</v>
      </c>
    </row>
    <row r="50" spans="2:5">
      <c r="B50" s="97"/>
      <c r="C50" s="62" t="s">
        <v>203</v>
      </c>
      <c r="D50" s="65">
        <v>8</v>
      </c>
      <c r="E50" s="64">
        <v>1E-3</v>
      </c>
    </row>
    <row r="51" spans="2:5">
      <c r="B51" s="97"/>
      <c r="C51" s="62" t="s">
        <v>204</v>
      </c>
      <c r="D51" s="65">
        <v>69</v>
      </c>
      <c r="E51" s="64">
        <v>1.2E-2</v>
      </c>
    </row>
    <row r="52" spans="2:5">
      <c r="B52" s="97"/>
      <c r="C52" s="62" t="s">
        <v>272</v>
      </c>
      <c r="D52" s="65">
        <v>1</v>
      </c>
      <c r="E52" s="64">
        <v>0</v>
      </c>
    </row>
    <row r="53" spans="2:5">
      <c r="B53" s="97"/>
      <c r="C53" s="62" t="s">
        <v>209</v>
      </c>
      <c r="D53" s="65">
        <v>1</v>
      </c>
      <c r="E53" s="64">
        <v>0</v>
      </c>
    </row>
    <row r="54" spans="2:5">
      <c r="B54" s="97"/>
      <c r="C54" s="62" t="s">
        <v>210</v>
      </c>
      <c r="D54" s="65">
        <v>6</v>
      </c>
      <c r="E54" s="64">
        <v>1E-3</v>
      </c>
    </row>
    <row r="55" spans="2:5">
      <c r="B55" s="97"/>
      <c r="C55" s="62" t="s">
        <v>212</v>
      </c>
      <c r="D55" s="65">
        <v>2</v>
      </c>
      <c r="E55" s="64">
        <v>0</v>
      </c>
    </row>
    <row r="56" spans="2:5">
      <c r="B56" s="97"/>
      <c r="C56" s="80" t="s">
        <v>288</v>
      </c>
      <c r="D56" s="78">
        <v>223</v>
      </c>
      <c r="E56" s="79">
        <v>0.04</v>
      </c>
    </row>
    <row r="57" spans="2:5">
      <c r="B57" s="97" t="s">
        <v>49</v>
      </c>
      <c r="C57" s="62" t="s">
        <v>264</v>
      </c>
      <c r="D57" s="65">
        <v>1</v>
      </c>
      <c r="E57" s="64">
        <v>0</v>
      </c>
    </row>
    <row r="58" spans="2:5">
      <c r="B58" s="97"/>
      <c r="C58" s="62" t="s">
        <v>265</v>
      </c>
      <c r="D58" s="65">
        <v>2</v>
      </c>
      <c r="E58" s="64">
        <v>0</v>
      </c>
    </row>
    <row r="59" spans="2:5">
      <c r="B59" s="97"/>
      <c r="C59" s="62" t="s">
        <v>267</v>
      </c>
      <c r="D59" s="65">
        <v>8</v>
      </c>
      <c r="E59" s="64">
        <v>1E-3</v>
      </c>
    </row>
    <row r="60" spans="2:5">
      <c r="B60" s="97"/>
      <c r="C60" s="62" t="s">
        <v>197</v>
      </c>
      <c r="D60" s="65">
        <v>32</v>
      </c>
      <c r="E60" s="64">
        <v>6.0000000000000001E-3</v>
      </c>
    </row>
    <row r="61" spans="2:5">
      <c r="B61" s="97"/>
      <c r="C61" s="62" t="s">
        <v>268</v>
      </c>
      <c r="D61" s="65">
        <v>2</v>
      </c>
      <c r="E61" s="64">
        <v>0</v>
      </c>
    </row>
    <row r="62" spans="2:5">
      <c r="B62" s="97"/>
      <c r="C62" s="62" t="s">
        <v>269</v>
      </c>
      <c r="D62" s="65">
        <v>5</v>
      </c>
      <c r="E62" s="64">
        <v>1E-3</v>
      </c>
    </row>
    <row r="63" spans="2:5">
      <c r="B63" s="97"/>
      <c r="C63" s="62" t="s">
        <v>270</v>
      </c>
      <c r="D63" s="65">
        <v>4</v>
      </c>
      <c r="E63" s="64">
        <v>1E-3</v>
      </c>
    </row>
    <row r="64" spans="2:5">
      <c r="B64" s="97"/>
      <c r="C64" s="62" t="s">
        <v>201</v>
      </c>
      <c r="D64" s="65">
        <v>80</v>
      </c>
      <c r="E64" s="64">
        <v>1.4E-2</v>
      </c>
    </row>
    <row r="65" spans="2:5">
      <c r="B65" s="97"/>
      <c r="C65" s="62" t="s">
        <v>202</v>
      </c>
      <c r="D65" s="65">
        <v>2</v>
      </c>
      <c r="E65" s="64">
        <v>0</v>
      </c>
    </row>
    <row r="66" spans="2:5">
      <c r="B66" s="97"/>
      <c r="C66" s="62" t="s">
        <v>203</v>
      </c>
      <c r="D66" s="65">
        <v>9</v>
      </c>
      <c r="E66" s="64">
        <v>2E-3</v>
      </c>
    </row>
    <row r="67" spans="2:5">
      <c r="B67" s="97"/>
      <c r="C67" s="62" t="s">
        <v>204</v>
      </c>
      <c r="D67" s="65">
        <v>28</v>
      </c>
      <c r="E67" s="64">
        <v>5.0000000000000001E-3</v>
      </c>
    </row>
    <row r="68" spans="2:5">
      <c r="B68" s="97"/>
      <c r="C68" s="62" t="s">
        <v>271</v>
      </c>
      <c r="D68" s="65">
        <v>1</v>
      </c>
      <c r="E68" s="64">
        <v>0</v>
      </c>
    </row>
    <row r="69" spans="2:5">
      <c r="B69" s="97"/>
      <c r="C69" s="62" t="s">
        <v>272</v>
      </c>
      <c r="D69" s="65">
        <v>1</v>
      </c>
      <c r="E69" s="64">
        <v>0</v>
      </c>
    </row>
    <row r="70" spans="2:5">
      <c r="B70" s="97"/>
      <c r="C70" s="62" t="s">
        <v>273</v>
      </c>
      <c r="D70" s="65">
        <v>2</v>
      </c>
      <c r="E70" s="64">
        <v>0</v>
      </c>
    </row>
    <row r="71" spans="2:5">
      <c r="B71" s="97"/>
      <c r="C71" s="62" t="s">
        <v>274</v>
      </c>
      <c r="D71" s="65">
        <v>1</v>
      </c>
      <c r="E71" s="64">
        <v>0</v>
      </c>
    </row>
    <row r="72" spans="2:5">
      <c r="B72" s="97"/>
      <c r="C72" s="62" t="s">
        <v>209</v>
      </c>
      <c r="D72" s="65">
        <v>2</v>
      </c>
      <c r="E72" s="64">
        <v>0</v>
      </c>
    </row>
    <row r="73" spans="2:5">
      <c r="B73" s="97"/>
      <c r="C73" s="62" t="s">
        <v>210</v>
      </c>
      <c r="D73" s="65">
        <v>8</v>
      </c>
      <c r="E73" s="64">
        <v>1E-3</v>
      </c>
    </row>
    <row r="74" spans="2:5">
      <c r="B74" s="97"/>
      <c r="C74" s="80" t="s">
        <v>288</v>
      </c>
      <c r="D74" s="78">
        <v>188</v>
      </c>
      <c r="E74" s="79">
        <v>3.3000000000000002E-2</v>
      </c>
    </row>
    <row r="75" spans="2:5">
      <c r="B75" s="97" t="s">
        <v>84</v>
      </c>
      <c r="C75" s="62" t="s">
        <v>270</v>
      </c>
      <c r="D75" s="65">
        <v>1</v>
      </c>
      <c r="E75" s="64">
        <v>0</v>
      </c>
    </row>
    <row r="76" spans="2:5">
      <c r="B76" s="97"/>
      <c r="C76" s="62" t="s">
        <v>201</v>
      </c>
      <c r="D76" s="65">
        <v>3</v>
      </c>
      <c r="E76" s="64">
        <v>1E-3</v>
      </c>
    </row>
    <row r="77" spans="2:5">
      <c r="B77" s="97"/>
      <c r="C77" s="62" t="s">
        <v>203</v>
      </c>
      <c r="D77" s="65">
        <v>1</v>
      </c>
      <c r="E77" s="64">
        <v>0</v>
      </c>
    </row>
    <row r="78" spans="2:5">
      <c r="B78" s="97"/>
      <c r="C78" s="62" t="s">
        <v>204</v>
      </c>
      <c r="D78" s="65">
        <v>2</v>
      </c>
      <c r="E78" s="64">
        <v>0</v>
      </c>
    </row>
    <row r="79" spans="2:5">
      <c r="B79" s="97"/>
      <c r="C79" s="80" t="s">
        <v>288</v>
      </c>
      <c r="D79" s="78">
        <v>7</v>
      </c>
      <c r="E79" s="79">
        <v>1E-3</v>
      </c>
    </row>
    <row r="80" spans="2:5">
      <c r="B80" s="97" t="s">
        <v>44</v>
      </c>
      <c r="C80" s="62" t="s">
        <v>190</v>
      </c>
      <c r="D80" s="65">
        <v>1</v>
      </c>
      <c r="E80" s="64">
        <v>0</v>
      </c>
    </row>
    <row r="81" spans="2:5">
      <c r="B81" s="97"/>
      <c r="C81" s="62" t="s">
        <v>263</v>
      </c>
      <c r="D81" s="65">
        <v>1</v>
      </c>
      <c r="E81" s="64">
        <v>0</v>
      </c>
    </row>
    <row r="82" spans="2:5">
      <c r="B82" s="97"/>
      <c r="C82" s="62" t="s">
        <v>264</v>
      </c>
      <c r="D82" s="65">
        <v>1</v>
      </c>
      <c r="E82" s="64">
        <v>0</v>
      </c>
    </row>
    <row r="83" spans="2:5">
      <c r="B83" s="97"/>
      <c r="C83" s="62" t="s">
        <v>266</v>
      </c>
      <c r="D83" s="65">
        <v>2</v>
      </c>
      <c r="E83" s="64">
        <v>0</v>
      </c>
    </row>
    <row r="84" spans="2:5">
      <c r="B84" s="97"/>
      <c r="C84" s="62" t="s">
        <v>267</v>
      </c>
      <c r="D84" s="65">
        <v>19</v>
      </c>
      <c r="E84" s="64">
        <v>3.0000000000000001E-3</v>
      </c>
    </row>
    <row r="85" spans="2:5">
      <c r="B85" s="97"/>
      <c r="C85" s="62" t="s">
        <v>197</v>
      </c>
      <c r="D85" s="65">
        <v>71</v>
      </c>
      <c r="E85" s="64">
        <v>1.2999999999999999E-2</v>
      </c>
    </row>
    <row r="86" spans="2:5">
      <c r="B86" s="97"/>
      <c r="C86" s="62" t="s">
        <v>268</v>
      </c>
      <c r="D86" s="65">
        <v>2</v>
      </c>
      <c r="E86" s="64">
        <v>0</v>
      </c>
    </row>
    <row r="87" spans="2:5">
      <c r="B87" s="97"/>
      <c r="C87" s="62" t="s">
        <v>269</v>
      </c>
      <c r="D87" s="65">
        <v>7</v>
      </c>
      <c r="E87" s="64">
        <v>1E-3</v>
      </c>
    </row>
    <row r="88" spans="2:5">
      <c r="B88" s="97"/>
      <c r="C88" s="62" t="s">
        <v>270</v>
      </c>
      <c r="D88" s="65">
        <v>21</v>
      </c>
      <c r="E88" s="64">
        <v>4.0000000000000001E-3</v>
      </c>
    </row>
    <row r="89" spans="2:5">
      <c r="B89" s="97"/>
      <c r="C89" s="62" t="s">
        <v>201</v>
      </c>
      <c r="D89" s="65">
        <v>232</v>
      </c>
      <c r="E89" s="64">
        <v>4.1000000000000002E-2</v>
      </c>
    </row>
    <row r="90" spans="2:5">
      <c r="B90" s="97"/>
      <c r="C90" s="62" t="s">
        <v>202</v>
      </c>
      <c r="D90" s="65">
        <v>9</v>
      </c>
      <c r="E90" s="64">
        <v>2E-3</v>
      </c>
    </row>
    <row r="91" spans="2:5">
      <c r="B91" s="97"/>
      <c r="C91" s="62" t="s">
        <v>203</v>
      </c>
      <c r="D91" s="65">
        <v>27</v>
      </c>
      <c r="E91" s="64">
        <v>5.0000000000000001E-3</v>
      </c>
    </row>
    <row r="92" spans="2:5">
      <c r="B92" s="97"/>
      <c r="C92" s="62" t="s">
        <v>204</v>
      </c>
      <c r="D92" s="65">
        <v>120</v>
      </c>
      <c r="E92" s="64">
        <v>2.1000000000000001E-2</v>
      </c>
    </row>
    <row r="93" spans="2:5">
      <c r="B93" s="97"/>
      <c r="C93" s="62" t="s">
        <v>271</v>
      </c>
      <c r="D93" s="65">
        <v>1</v>
      </c>
      <c r="E93" s="64">
        <v>0</v>
      </c>
    </row>
    <row r="94" spans="2:5">
      <c r="B94" s="97"/>
      <c r="C94" s="62" t="s">
        <v>272</v>
      </c>
      <c r="D94" s="65">
        <v>1</v>
      </c>
      <c r="E94" s="64">
        <v>0</v>
      </c>
    </row>
    <row r="95" spans="2:5">
      <c r="B95" s="97"/>
      <c r="C95" s="62" t="s">
        <v>209</v>
      </c>
      <c r="D95" s="65">
        <v>4</v>
      </c>
      <c r="E95" s="64">
        <v>1E-3</v>
      </c>
    </row>
    <row r="96" spans="2:5">
      <c r="B96" s="97"/>
      <c r="C96" s="62" t="s">
        <v>210</v>
      </c>
      <c r="D96" s="65">
        <v>23</v>
      </c>
      <c r="E96" s="64">
        <v>4.0000000000000001E-3</v>
      </c>
    </row>
    <row r="97" spans="2:5">
      <c r="B97" s="97"/>
      <c r="C97" s="62" t="s">
        <v>211</v>
      </c>
      <c r="D97" s="65">
        <v>1</v>
      </c>
      <c r="E97" s="64">
        <v>0</v>
      </c>
    </row>
    <row r="98" spans="2:5">
      <c r="B98" s="97"/>
      <c r="C98" s="80" t="s">
        <v>288</v>
      </c>
      <c r="D98" s="78">
        <v>543</v>
      </c>
      <c r="E98" s="79">
        <v>9.7000000000000003E-2</v>
      </c>
    </row>
    <row r="99" spans="2:5">
      <c r="B99" s="97" t="s">
        <v>51</v>
      </c>
      <c r="C99" s="62" t="s">
        <v>263</v>
      </c>
      <c r="D99" s="65">
        <v>1</v>
      </c>
      <c r="E99" s="64">
        <v>0</v>
      </c>
    </row>
    <row r="100" spans="2:5">
      <c r="B100" s="97"/>
      <c r="C100" s="62" t="s">
        <v>266</v>
      </c>
      <c r="D100" s="65">
        <v>1</v>
      </c>
      <c r="E100" s="64">
        <v>0</v>
      </c>
    </row>
    <row r="101" spans="2:5">
      <c r="B101" s="97"/>
      <c r="C101" s="62" t="s">
        <v>267</v>
      </c>
      <c r="D101" s="65">
        <v>6</v>
      </c>
      <c r="E101" s="64">
        <v>1E-3</v>
      </c>
    </row>
    <row r="102" spans="2:5">
      <c r="B102" s="97"/>
      <c r="C102" s="62" t="s">
        <v>197</v>
      </c>
      <c r="D102" s="65">
        <v>22</v>
      </c>
      <c r="E102" s="64">
        <v>4.0000000000000001E-3</v>
      </c>
    </row>
    <row r="103" spans="2:5">
      <c r="B103" s="97"/>
      <c r="C103" s="62" t="s">
        <v>269</v>
      </c>
      <c r="D103" s="65">
        <v>4</v>
      </c>
      <c r="E103" s="64">
        <v>1E-3</v>
      </c>
    </row>
    <row r="104" spans="2:5">
      <c r="B104" s="97"/>
      <c r="C104" s="62" t="s">
        <v>270</v>
      </c>
      <c r="D104" s="65">
        <v>6</v>
      </c>
      <c r="E104" s="64">
        <v>1E-3</v>
      </c>
    </row>
    <row r="105" spans="2:5">
      <c r="B105" s="97"/>
      <c r="C105" s="62" t="s">
        <v>201</v>
      </c>
      <c r="D105" s="65">
        <v>59</v>
      </c>
      <c r="E105" s="64">
        <v>1.0999999999999999E-2</v>
      </c>
    </row>
    <row r="106" spans="2:5">
      <c r="B106" s="97"/>
      <c r="C106" s="62" t="s">
        <v>202</v>
      </c>
      <c r="D106" s="65">
        <v>3</v>
      </c>
      <c r="E106" s="64">
        <v>1E-3</v>
      </c>
    </row>
    <row r="107" spans="2:5">
      <c r="B107" s="97"/>
      <c r="C107" s="62" t="s">
        <v>203</v>
      </c>
      <c r="D107" s="65">
        <v>7</v>
      </c>
      <c r="E107" s="64">
        <v>1E-3</v>
      </c>
    </row>
    <row r="108" spans="2:5">
      <c r="B108" s="97"/>
      <c r="C108" s="62" t="s">
        <v>204</v>
      </c>
      <c r="D108" s="65">
        <v>41</v>
      </c>
      <c r="E108" s="64">
        <v>7.0000000000000001E-3</v>
      </c>
    </row>
    <row r="109" spans="2:5">
      <c r="B109" s="97"/>
      <c r="C109" s="62" t="s">
        <v>271</v>
      </c>
      <c r="D109" s="65">
        <v>1</v>
      </c>
      <c r="E109" s="64">
        <v>0</v>
      </c>
    </row>
    <row r="110" spans="2:5">
      <c r="B110" s="97"/>
      <c r="C110" s="62" t="s">
        <v>272</v>
      </c>
      <c r="D110" s="65">
        <v>1</v>
      </c>
      <c r="E110" s="64">
        <v>0</v>
      </c>
    </row>
    <row r="111" spans="2:5">
      <c r="B111" s="97"/>
      <c r="C111" s="62" t="s">
        <v>209</v>
      </c>
      <c r="D111" s="65">
        <v>2</v>
      </c>
      <c r="E111" s="64">
        <v>0</v>
      </c>
    </row>
    <row r="112" spans="2:5">
      <c r="B112" s="97"/>
      <c r="C112" s="62" t="s">
        <v>210</v>
      </c>
      <c r="D112" s="65">
        <v>6</v>
      </c>
      <c r="E112" s="64">
        <v>1E-3</v>
      </c>
    </row>
    <row r="113" spans="2:5">
      <c r="B113" s="97"/>
      <c r="C113" s="80" t="s">
        <v>288</v>
      </c>
      <c r="D113" s="78">
        <v>160</v>
      </c>
      <c r="E113" s="79">
        <v>2.9000000000000001E-2</v>
      </c>
    </row>
    <row r="114" spans="2:5">
      <c r="B114" s="97" t="s">
        <v>72</v>
      </c>
      <c r="C114" s="62" t="s">
        <v>197</v>
      </c>
      <c r="D114" s="65">
        <v>7</v>
      </c>
      <c r="E114" s="64">
        <v>1E-3</v>
      </c>
    </row>
    <row r="115" spans="2:5">
      <c r="B115" s="97"/>
      <c r="C115" s="62" t="s">
        <v>268</v>
      </c>
      <c r="D115" s="65">
        <v>2</v>
      </c>
      <c r="E115" s="64">
        <v>0</v>
      </c>
    </row>
    <row r="116" spans="2:5">
      <c r="B116" s="97"/>
      <c r="C116" s="62" t="s">
        <v>269</v>
      </c>
      <c r="D116" s="65">
        <v>1</v>
      </c>
      <c r="E116" s="64">
        <v>0</v>
      </c>
    </row>
    <row r="117" spans="2:5">
      <c r="B117" s="97"/>
      <c r="C117" s="62" t="s">
        <v>270</v>
      </c>
      <c r="D117" s="65">
        <v>3</v>
      </c>
      <c r="E117" s="64">
        <v>1E-3</v>
      </c>
    </row>
    <row r="118" spans="2:5">
      <c r="B118" s="97"/>
      <c r="C118" s="62" t="s">
        <v>201</v>
      </c>
      <c r="D118" s="65">
        <v>15</v>
      </c>
      <c r="E118" s="64">
        <v>3.0000000000000001E-3</v>
      </c>
    </row>
    <row r="119" spans="2:5">
      <c r="B119" s="97"/>
      <c r="C119" s="62" t="s">
        <v>202</v>
      </c>
      <c r="D119" s="65">
        <v>1</v>
      </c>
      <c r="E119" s="64">
        <v>0</v>
      </c>
    </row>
    <row r="120" spans="2:5">
      <c r="B120" s="97"/>
      <c r="C120" s="62" t="s">
        <v>203</v>
      </c>
      <c r="D120" s="65">
        <v>1</v>
      </c>
      <c r="E120" s="64">
        <v>0</v>
      </c>
    </row>
    <row r="121" spans="2:5">
      <c r="B121" s="97"/>
      <c r="C121" s="62" t="s">
        <v>204</v>
      </c>
      <c r="D121" s="65">
        <v>12</v>
      </c>
      <c r="E121" s="64">
        <v>2E-3</v>
      </c>
    </row>
    <row r="122" spans="2:5">
      <c r="B122" s="97"/>
      <c r="C122" s="62" t="s">
        <v>274</v>
      </c>
      <c r="D122" s="65">
        <v>1</v>
      </c>
      <c r="E122" s="64">
        <v>0</v>
      </c>
    </row>
    <row r="123" spans="2:5">
      <c r="B123" s="97"/>
      <c r="C123" s="62" t="s">
        <v>209</v>
      </c>
      <c r="D123" s="65">
        <v>1</v>
      </c>
      <c r="E123" s="64">
        <v>0</v>
      </c>
    </row>
    <row r="124" spans="2:5">
      <c r="B124" s="97"/>
      <c r="C124" s="62" t="s">
        <v>210</v>
      </c>
      <c r="D124" s="65">
        <v>2</v>
      </c>
      <c r="E124" s="64">
        <v>0</v>
      </c>
    </row>
    <row r="125" spans="2:5">
      <c r="B125" s="97"/>
      <c r="C125" s="62" t="s">
        <v>212</v>
      </c>
      <c r="D125" s="65">
        <v>1</v>
      </c>
      <c r="E125" s="64">
        <v>0</v>
      </c>
    </row>
    <row r="126" spans="2:5">
      <c r="B126" s="97"/>
      <c r="C126" s="80" t="s">
        <v>288</v>
      </c>
      <c r="D126" s="78">
        <v>47</v>
      </c>
      <c r="E126" s="79">
        <v>8.0000000000000002E-3</v>
      </c>
    </row>
    <row r="127" spans="2:5">
      <c r="B127" s="97" t="s">
        <v>69</v>
      </c>
      <c r="C127" s="62" t="s">
        <v>266</v>
      </c>
      <c r="D127" s="65">
        <v>2</v>
      </c>
      <c r="E127" s="64">
        <v>0</v>
      </c>
    </row>
    <row r="128" spans="2:5">
      <c r="B128" s="97"/>
      <c r="C128" s="62" t="s">
        <v>267</v>
      </c>
      <c r="D128" s="65">
        <v>1</v>
      </c>
      <c r="E128" s="64">
        <v>0</v>
      </c>
    </row>
    <row r="129" spans="2:5">
      <c r="B129" s="97"/>
      <c r="C129" s="62" t="s">
        <v>197</v>
      </c>
      <c r="D129" s="65">
        <v>7</v>
      </c>
      <c r="E129" s="64">
        <v>1E-3</v>
      </c>
    </row>
    <row r="130" spans="2:5">
      <c r="B130" s="97"/>
      <c r="C130" s="62" t="s">
        <v>269</v>
      </c>
      <c r="D130" s="65">
        <v>3</v>
      </c>
      <c r="E130" s="64">
        <v>1E-3</v>
      </c>
    </row>
    <row r="131" spans="2:5">
      <c r="B131" s="97"/>
      <c r="C131" s="62" t="s">
        <v>270</v>
      </c>
      <c r="D131" s="65">
        <v>4</v>
      </c>
      <c r="E131" s="64">
        <v>1E-3</v>
      </c>
    </row>
    <row r="132" spans="2:5">
      <c r="B132" s="97"/>
      <c r="C132" s="62" t="s">
        <v>201</v>
      </c>
      <c r="D132" s="65">
        <v>19</v>
      </c>
      <c r="E132" s="64">
        <v>3.0000000000000001E-3</v>
      </c>
    </row>
    <row r="133" spans="2:5">
      <c r="B133" s="97"/>
      <c r="C133" s="62" t="s">
        <v>203</v>
      </c>
      <c r="D133" s="65">
        <v>3</v>
      </c>
      <c r="E133" s="64">
        <v>1E-3</v>
      </c>
    </row>
    <row r="134" spans="2:5">
      <c r="B134" s="97"/>
      <c r="C134" s="62" t="s">
        <v>204</v>
      </c>
      <c r="D134" s="65">
        <v>7</v>
      </c>
      <c r="E134" s="64">
        <v>1E-3</v>
      </c>
    </row>
    <row r="135" spans="2:5">
      <c r="B135" s="97"/>
      <c r="C135" s="62" t="s">
        <v>272</v>
      </c>
      <c r="D135" s="65">
        <v>1</v>
      </c>
      <c r="E135" s="64">
        <v>0</v>
      </c>
    </row>
    <row r="136" spans="2:5">
      <c r="B136" s="97"/>
      <c r="C136" s="62" t="s">
        <v>209</v>
      </c>
      <c r="D136" s="65">
        <v>1</v>
      </c>
      <c r="E136" s="64">
        <v>0</v>
      </c>
    </row>
    <row r="137" spans="2:5">
      <c r="B137" s="97"/>
      <c r="C137" s="62" t="s">
        <v>210</v>
      </c>
      <c r="D137" s="65">
        <v>2</v>
      </c>
      <c r="E137" s="64">
        <v>0</v>
      </c>
    </row>
    <row r="138" spans="2:5">
      <c r="B138" s="97"/>
      <c r="C138" s="62" t="s">
        <v>212</v>
      </c>
      <c r="D138" s="65">
        <v>1</v>
      </c>
      <c r="E138" s="64">
        <v>0</v>
      </c>
    </row>
    <row r="139" spans="2:5">
      <c r="B139" s="97"/>
      <c r="C139" s="80" t="s">
        <v>288</v>
      </c>
      <c r="D139" s="78">
        <v>51</v>
      </c>
      <c r="E139" s="79">
        <v>8.9999999999999993E-3</v>
      </c>
    </row>
    <row r="140" spans="2:5">
      <c r="B140" s="97" t="s">
        <v>256</v>
      </c>
      <c r="C140" s="62" t="s">
        <v>197</v>
      </c>
      <c r="D140" s="65">
        <v>2</v>
      </c>
      <c r="E140" s="64">
        <v>0</v>
      </c>
    </row>
    <row r="141" spans="2:5">
      <c r="B141" s="97"/>
      <c r="C141" s="62" t="s">
        <v>270</v>
      </c>
      <c r="D141" s="65">
        <v>1</v>
      </c>
      <c r="E141" s="64">
        <v>0</v>
      </c>
    </row>
    <row r="142" spans="2:5">
      <c r="B142" s="97"/>
      <c r="C142" s="62" t="s">
        <v>201</v>
      </c>
      <c r="D142" s="65">
        <v>3</v>
      </c>
      <c r="E142" s="64">
        <v>1E-3</v>
      </c>
    </row>
    <row r="143" spans="2:5">
      <c r="B143" s="97"/>
      <c r="C143" s="80" t="s">
        <v>288</v>
      </c>
      <c r="D143" s="78">
        <v>6</v>
      </c>
      <c r="E143" s="79">
        <v>1E-3</v>
      </c>
    </row>
    <row r="144" spans="2:5">
      <c r="B144" s="97" t="s">
        <v>47</v>
      </c>
      <c r="C144" s="62" t="s">
        <v>190</v>
      </c>
      <c r="D144" s="65">
        <v>1</v>
      </c>
      <c r="E144" s="64">
        <v>0</v>
      </c>
    </row>
    <row r="145" spans="2:5">
      <c r="B145" s="97"/>
      <c r="C145" s="62" t="s">
        <v>262</v>
      </c>
      <c r="D145" s="65">
        <v>1</v>
      </c>
      <c r="E145" s="64">
        <v>0</v>
      </c>
    </row>
    <row r="146" spans="2:5">
      <c r="B146" s="97"/>
      <c r="C146" s="62" t="s">
        <v>264</v>
      </c>
      <c r="D146" s="65">
        <v>1</v>
      </c>
      <c r="E146" s="64">
        <v>0</v>
      </c>
    </row>
    <row r="147" spans="2:5">
      <c r="B147" s="97"/>
      <c r="C147" s="62" t="s">
        <v>266</v>
      </c>
      <c r="D147" s="65">
        <v>1</v>
      </c>
      <c r="E147" s="64">
        <v>0</v>
      </c>
    </row>
    <row r="148" spans="2:5">
      <c r="B148" s="97"/>
      <c r="C148" s="62" t="s">
        <v>267</v>
      </c>
      <c r="D148" s="65">
        <v>20</v>
      </c>
      <c r="E148" s="64">
        <v>4.0000000000000001E-3</v>
      </c>
    </row>
    <row r="149" spans="2:5">
      <c r="B149" s="97"/>
      <c r="C149" s="62" t="s">
        <v>197</v>
      </c>
      <c r="D149" s="65">
        <v>21</v>
      </c>
      <c r="E149" s="64">
        <v>4.0000000000000001E-3</v>
      </c>
    </row>
    <row r="150" spans="2:5">
      <c r="B150" s="97"/>
      <c r="C150" s="62" t="s">
        <v>268</v>
      </c>
      <c r="D150" s="65">
        <v>1</v>
      </c>
      <c r="E150" s="64">
        <v>0</v>
      </c>
    </row>
    <row r="151" spans="2:5">
      <c r="B151" s="97"/>
      <c r="C151" s="62" t="s">
        <v>269</v>
      </c>
      <c r="D151" s="65">
        <v>5</v>
      </c>
      <c r="E151" s="64">
        <v>1E-3</v>
      </c>
    </row>
    <row r="152" spans="2:5">
      <c r="B152" s="97"/>
      <c r="C152" s="62" t="s">
        <v>270</v>
      </c>
      <c r="D152" s="65">
        <v>7</v>
      </c>
      <c r="E152" s="64">
        <v>1E-3</v>
      </c>
    </row>
    <row r="153" spans="2:5">
      <c r="B153" s="97"/>
      <c r="C153" s="62" t="s">
        <v>201</v>
      </c>
      <c r="D153" s="65">
        <v>104</v>
      </c>
      <c r="E153" s="64">
        <v>1.9E-2</v>
      </c>
    </row>
    <row r="154" spans="2:5">
      <c r="B154" s="97"/>
      <c r="C154" s="62" t="s">
        <v>202</v>
      </c>
      <c r="D154" s="65">
        <v>3</v>
      </c>
      <c r="E154" s="64">
        <v>1E-3</v>
      </c>
    </row>
    <row r="155" spans="2:5">
      <c r="B155" s="97"/>
      <c r="C155" s="62" t="s">
        <v>203</v>
      </c>
      <c r="D155" s="65">
        <v>16</v>
      </c>
      <c r="E155" s="64">
        <v>3.0000000000000001E-3</v>
      </c>
    </row>
    <row r="156" spans="2:5">
      <c r="B156" s="97"/>
      <c r="C156" s="62" t="s">
        <v>204</v>
      </c>
      <c r="D156" s="65">
        <v>43</v>
      </c>
      <c r="E156" s="64">
        <v>8.0000000000000002E-3</v>
      </c>
    </row>
    <row r="157" spans="2:5">
      <c r="B157" s="97"/>
      <c r="C157" s="62" t="s">
        <v>272</v>
      </c>
      <c r="D157" s="65">
        <v>1</v>
      </c>
      <c r="E157" s="64">
        <v>0</v>
      </c>
    </row>
    <row r="158" spans="2:5">
      <c r="B158" s="97"/>
      <c r="C158" s="62" t="s">
        <v>273</v>
      </c>
      <c r="D158" s="65">
        <v>2</v>
      </c>
      <c r="E158" s="64">
        <v>0</v>
      </c>
    </row>
    <row r="159" spans="2:5">
      <c r="B159" s="97"/>
      <c r="C159" s="62" t="s">
        <v>210</v>
      </c>
      <c r="D159" s="65">
        <v>11</v>
      </c>
      <c r="E159" s="64">
        <v>2E-3</v>
      </c>
    </row>
    <row r="160" spans="2:5">
      <c r="B160" s="97"/>
      <c r="C160" s="80" t="s">
        <v>288</v>
      </c>
      <c r="D160" s="78">
        <v>238</v>
      </c>
      <c r="E160" s="79">
        <v>4.2000000000000003E-2</v>
      </c>
    </row>
    <row r="161" spans="2:5">
      <c r="B161" s="97" t="s">
        <v>73</v>
      </c>
      <c r="C161" s="62" t="s">
        <v>190</v>
      </c>
      <c r="D161" s="65">
        <v>1</v>
      </c>
      <c r="E161" s="64">
        <v>0</v>
      </c>
    </row>
    <row r="162" spans="2:5">
      <c r="B162" s="97"/>
      <c r="C162" s="62" t="s">
        <v>263</v>
      </c>
      <c r="D162" s="65">
        <v>2</v>
      </c>
      <c r="E162" s="64">
        <v>0</v>
      </c>
    </row>
    <row r="163" spans="2:5">
      <c r="B163" s="97"/>
      <c r="C163" s="62" t="s">
        <v>265</v>
      </c>
      <c r="D163" s="65">
        <v>1</v>
      </c>
      <c r="E163" s="64">
        <v>0</v>
      </c>
    </row>
    <row r="164" spans="2:5">
      <c r="B164" s="97"/>
      <c r="C164" s="62" t="s">
        <v>267</v>
      </c>
      <c r="D164" s="65">
        <v>9</v>
      </c>
      <c r="E164" s="64">
        <v>2E-3</v>
      </c>
    </row>
    <row r="165" spans="2:5">
      <c r="B165" s="97"/>
      <c r="C165" s="62" t="s">
        <v>197</v>
      </c>
      <c r="D165" s="65">
        <v>3</v>
      </c>
      <c r="E165" s="64">
        <v>1E-3</v>
      </c>
    </row>
    <row r="166" spans="2:5">
      <c r="B166" s="97"/>
      <c r="C166" s="62" t="s">
        <v>270</v>
      </c>
      <c r="D166" s="65">
        <v>3</v>
      </c>
      <c r="E166" s="64">
        <v>1E-3</v>
      </c>
    </row>
    <row r="167" spans="2:5">
      <c r="B167" s="97"/>
      <c r="C167" s="62" t="s">
        <v>201</v>
      </c>
      <c r="D167" s="65">
        <v>7</v>
      </c>
      <c r="E167" s="64">
        <v>1E-3</v>
      </c>
    </row>
    <row r="168" spans="2:5">
      <c r="B168" s="97"/>
      <c r="C168" s="62" t="s">
        <v>203</v>
      </c>
      <c r="D168" s="65">
        <v>1</v>
      </c>
      <c r="E168" s="64">
        <v>0</v>
      </c>
    </row>
    <row r="169" spans="2:5">
      <c r="B169" s="97"/>
      <c r="C169" s="62" t="s">
        <v>204</v>
      </c>
      <c r="D169" s="65">
        <v>5</v>
      </c>
      <c r="E169" s="64">
        <v>1E-3</v>
      </c>
    </row>
    <row r="170" spans="2:5">
      <c r="B170" s="97"/>
      <c r="C170" s="62" t="s">
        <v>210</v>
      </c>
      <c r="D170" s="65">
        <v>1</v>
      </c>
      <c r="E170" s="64">
        <v>0</v>
      </c>
    </row>
    <row r="171" spans="2:5">
      <c r="B171" s="97"/>
      <c r="C171" s="62" t="s">
        <v>212</v>
      </c>
      <c r="D171" s="65">
        <v>1</v>
      </c>
      <c r="E171" s="64">
        <v>0</v>
      </c>
    </row>
    <row r="172" spans="2:5">
      <c r="B172" s="97"/>
      <c r="C172" s="80" t="s">
        <v>288</v>
      </c>
      <c r="D172" s="78">
        <v>34</v>
      </c>
      <c r="E172" s="79">
        <v>6.0000000000000001E-3</v>
      </c>
    </row>
    <row r="173" spans="2:5">
      <c r="B173" s="97" t="s">
        <v>46</v>
      </c>
      <c r="C173" s="62" t="s">
        <v>190</v>
      </c>
      <c r="D173" s="65">
        <v>6</v>
      </c>
      <c r="E173" s="64">
        <v>1E-3</v>
      </c>
    </row>
    <row r="174" spans="2:5">
      <c r="B174" s="97"/>
      <c r="C174" s="62" t="s">
        <v>262</v>
      </c>
      <c r="D174" s="65">
        <v>1</v>
      </c>
      <c r="E174" s="64">
        <v>0</v>
      </c>
    </row>
    <row r="175" spans="2:5">
      <c r="B175" s="97"/>
      <c r="C175" s="62" t="s">
        <v>263</v>
      </c>
      <c r="D175" s="65">
        <v>3</v>
      </c>
      <c r="E175" s="64">
        <v>1E-3</v>
      </c>
    </row>
    <row r="176" spans="2:5">
      <c r="B176" s="97"/>
      <c r="C176" s="62" t="s">
        <v>264</v>
      </c>
      <c r="D176" s="65">
        <v>2</v>
      </c>
      <c r="E176" s="64">
        <v>0</v>
      </c>
    </row>
    <row r="177" spans="2:5">
      <c r="B177" s="97"/>
      <c r="C177" s="62" t="s">
        <v>265</v>
      </c>
      <c r="D177" s="65">
        <v>1</v>
      </c>
      <c r="E177" s="64">
        <v>0</v>
      </c>
    </row>
    <row r="178" spans="2:5">
      <c r="B178" s="97"/>
      <c r="C178" s="62" t="s">
        <v>266</v>
      </c>
      <c r="D178" s="65">
        <v>1</v>
      </c>
      <c r="E178" s="64">
        <v>0</v>
      </c>
    </row>
    <row r="179" spans="2:5">
      <c r="B179" s="97"/>
      <c r="C179" s="62" t="s">
        <v>267</v>
      </c>
      <c r="D179" s="65">
        <v>15</v>
      </c>
      <c r="E179" s="64">
        <v>3.0000000000000001E-3</v>
      </c>
    </row>
    <row r="180" spans="2:5">
      <c r="B180" s="97"/>
      <c r="C180" s="62" t="s">
        <v>197</v>
      </c>
      <c r="D180" s="65">
        <v>35</v>
      </c>
      <c r="E180" s="64">
        <v>6.0000000000000001E-3</v>
      </c>
    </row>
    <row r="181" spans="2:5">
      <c r="B181" s="97"/>
      <c r="C181" s="62" t="s">
        <v>268</v>
      </c>
      <c r="D181" s="65">
        <v>2</v>
      </c>
      <c r="E181" s="64">
        <v>0</v>
      </c>
    </row>
    <row r="182" spans="2:5">
      <c r="B182" s="97"/>
      <c r="C182" s="62" t="s">
        <v>269</v>
      </c>
      <c r="D182" s="65">
        <v>3</v>
      </c>
      <c r="E182" s="64">
        <v>1E-3</v>
      </c>
    </row>
    <row r="183" spans="2:5">
      <c r="B183" s="97"/>
      <c r="C183" s="62" t="s">
        <v>270</v>
      </c>
      <c r="D183" s="65">
        <v>17</v>
      </c>
      <c r="E183" s="64">
        <v>3.0000000000000001E-3</v>
      </c>
    </row>
    <row r="184" spans="2:5">
      <c r="B184" s="97"/>
      <c r="C184" s="62" t="s">
        <v>201</v>
      </c>
      <c r="D184" s="65">
        <v>106</v>
      </c>
      <c r="E184" s="64">
        <v>1.9E-2</v>
      </c>
    </row>
    <row r="185" spans="2:5">
      <c r="B185" s="97"/>
      <c r="C185" s="62" t="s">
        <v>202</v>
      </c>
      <c r="D185" s="65">
        <v>2</v>
      </c>
      <c r="E185" s="64">
        <v>0</v>
      </c>
    </row>
    <row r="186" spans="2:5">
      <c r="B186" s="97"/>
      <c r="C186" s="62" t="s">
        <v>203</v>
      </c>
      <c r="D186" s="65">
        <v>15</v>
      </c>
      <c r="E186" s="64">
        <v>3.0000000000000001E-3</v>
      </c>
    </row>
    <row r="187" spans="2:5">
      <c r="B187" s="97"/>
      <c r="C187" s="62" t="s">
        <v>204</v>
      </c>
      <c r="D187" s="65">
        <v>65</v>
      </c>
      <c r="E187" s="64">
        <v>1.2E-2</v>
      </c>
    </row>
    <row r="188" spans="2:5">
      <c r="B188" s="97"/>
      <c r="C188" s="62" t="s">
        <v>271</v>
      </c>
      <c r="D188" s="65">
        <v>1</v>
      </c>
      <c r="E188" s="64">
        <v>0</v>
      </c>
    </row>
    <row r="189" spans="2:5">
      <c r="B189" s="97"/>
      <c r="C189" s="62" t="s">
        <v>209</v>
      </c>
      <c r="D189" s="65">
        <v>2</v>
      </c>
      <c r="E189" s="64">
        <v>0</v>
      </c>
    </row>
    <row r="190" spans="2:5">
      <c r="B190" s="97"/>
      <c r="C190" s="62" t="s">
        <v>210</v>
      </c>
      <c r="D190" s="65">
        <v>13</v>
      </c>
      <c r="E190" s="64">
        <v>2E-3</v>
      </c>
    </row>
    <row r="191" spans="2:5">
      <c r="B191" s="97"/>
      <c r="C191" s="62" t="s">
        <v>213</v>
      </c>
      <c r="D191" s="65">
        <v>1</v>
      </c>
      <c r="E191" s="64">
        <v>0</v>
      </c>
    </row>
    <row r="192" spans="2:5">
      <c r="B192" s="97"/>
      <c r="C192" s="80" t="s">
        <v>288</v>
      </c>
      <c r="D192" s="78">
        <v>291</v>
      </c>
      <c r="E192" s="79">
        <v>5.1999999999999998E-2</v>
      </c>
    </row>
    <row r="193" spans="2:5">
      <c r="B193" s="97" t="s">
        <v>55</v>
      </c>
      <c r="C193" s="62" t="s">
        <v>190</v>
      </c>
      <c r="D193" s="65">
        <v>3</v>
      </c>
      <c r="E193" s="64">
        <v>1E-3</v>
      </c>
    </row>
    <row r="194" spans="2:5">
      <c r="B194" s="97"/>
      <c r="C194" s="62" t="s">
        <v>264</v>
      </c>
      <c r="D194" s="65">
        <v>1</v>
      </c>
      <c r="E194" s="64">
        <v>0</v>
      </c>
    </row>
    <row r="195" spans="2:5">
      <c r="B195" s="97"/>
      <c r="C195" s="62" t="s">
        <v>265</v>
      </c>
      <c r="D195" s="65">
        <v>1</v>
      </c>
      <c r="E195" s="64">
        <v>0</v>
      </c>
    </row>
    <row r="196" spans="2:5">
      <c r="B196" s="97"/>
      <c r="C196" s="62" t="s">
        <v>267</v>
      </c>
      <c r="D196" s="65">
        <v>9</v>
      </c>
      <c r="E196" s="64">
        <v>2E-3</v>
      </c>
    </row>
    <row r="197" spans="2:5">
      <c r="B197" s="97"/>
      <c r="C197" s="62" t="s">
        <v>197</v>
      </c>
      <c r="D197" s="65">
        <v>12</v>
      </c>
      <c r="E197" s="64">
        <v>2E-3</v>
      </c>
    </row>
    <row r="198" spans="2:5">
      <c r="B198" s="97"/>
      <c r="C198" s="62" t="s">
        <v>268</v>
      </c>
      <c r="D198" s="65">
        <v>2</v>
      </c>
      <c r="E198" s="64">
        <v>0</v>
      </c>
    </row>
    <row r="199" spans="2:5">
      <c r="B199" s="97"/>
      <c r="C199" s="62" t="s">
        <v>269</v>
      </c>
      <c r="D199" s="65">
        <v>3</v>
      </c>
      <c r="E199" s="64">
        <v>1E-3</v>
      </c>
    </row>
    <row r="200" spans="2:5">
      <c r="B200" s="97"/>
      <c r="C200" s="62" t="s">
        <v>270</v>
      </c>
      <c r="D200" s="65">
        <v>8</v>
      </c>
      <c r="E200" s="64">
        <v>1E-3</v>
      </c>
    </row>
    <row r="201" spans="2:5">
      <c r="B201" s="97"/>
      <c r="C201" s="62" t="s">
        <v>201</v>
      </c>
      <c r="D201" s="65">
        <v>45</v>
      </c>
      <c r="E201" s="64">
        <v>8.0000000000000002E-3</v>
      </c>
    </row>
    <row r="202" spans="2:5">
      <c r="B202" s="97"/>
      <c r="C202" s="62" t="s">
        <v>202</v>
      </c>
      <c r="D202" s="65">
        <v>2</v>
      </c>
      <c r="E202" s="64">
        <v>0</v>
      </c>
    </row>
    <row r="203" spans="2:5">
      <c r="B203" s="97"/>
      <c r="C203" s="62" t="s">
        <v>203</v>
      </c>
      <c r="D203" s="65">
        <v>3</v>
      </c>
      <c r="E203" s="64">
        <v>1E-3</v>
      </c>
    </row>
    <row r="204" spans="2:5">
      <c r="B204" s="97"/>
      <c r="C204" s="62" t="s">
        <v>204</v>
      </c>
      <c r="D204" s="65">
        <v>13</v>
      </c>
      <c r="E204" s="64">
        <v>2E-3</v>
      </c>
    </row>
    <row r="205" spans="2:5">
      <c r="B205" s="97"/>
      <c r="C205" s="62" t="s">
        <v>271</v>
      </c>
      <c r="D205" s="65">
        <v>1</v>
      </c>
      <c r="E205" s="64">
        <v>0</v>
      </c>
    </row>
    <row r="206" spans="2:5">
      <c r="B206" s="97"/>
      <c r="C206" s="62" t="s">
        <v>209</v>
      </c>
      <c r="D206" s="65">
        <v>1</v>
      </c>
      <c r="E206" s="64">
        <v>0</v>
      </c>
    </row>
    <row r="207" spans="2:5">
      <c r="B207" s="97"/>
      <c r="C207" s="62" t="s">
        <v>210</v>
      </c>
      <c r="D207" s="65">
        <v>1</v>
      </c>
      <c r="E207" s="64">
        <v>0</v>
      </c>
    </row>
    <row r="208" spans="2:5">
      <c r="B208" s="97"/>
      <c r="C208" s="80" t="s">
        <v>288</v>
      </c>
      <c r="D208" s="78">
        <v>105</v>
      </c>
      <c r="E208" s="79">
        <v>1.9E-2</v>
      </c>
    </row>
    <row r="209" spans="2:5">
      <c r="B209" s="97" t="s">
        <v>57</v>
      </c>
      <c r="C209" s="62" t="s">
        <v>264</v>
      </c>
      <c r="D209" s="65">
        <v>2</v>
      </c>
      <c r="E209" s="64">
        <v>0</v>
      </c>
    </row>
    <row r="210" spans="2:5">
      <c r="B210" s="97"/>
      <c r="C210" s="62" t="s">
        <v>265</v>
      </c>
      <c r="D210" s="65">
        <v>1</v>
      </c>
      <c r="E210" s="64">
        <v>0</v>
      </c>
    </row>
    <row r="211" spans="2:5">
      <c r="B211" s="97"/>
      <c r="C211" s="62" t="s">
        <v>267</v>
      </c>
      <c r="D211" s="65">
        <v>4</v>
      </c>
      <c r="E211" s="64">
        <v>1E-3</v>
      </c>
    </row>
    <row r="212" spans="2:5">
      <c r="B212" s="97"/>
      <c r="C212" s="62" t="s">
        <v>197</v>
      </c>
      <c r="D212" s="65">
        <v>6</v>
      </c>
      <c r="E212" s="64">
        <v>1E-3</v>
      </c>
    </row>
    <row r="213" spans="2:5">
      <c r="B213" s="97"/>
      <c r="C213" s="62" t="s">
        <v>268</v>
      </c>
      <c r="D213" s="65">
        <v>3</v>
      </c>
      <c r="E213" s="64">
        <v>1E-3</v>
      </c>
    </row>
    <row r="214" spans="2:5">
      <c r="B214" s="97"/>
      <c r="C214" s="62" t="s">
        <v>269</v>
      </c>
      <c r="D214" s="65">
        <v>3</v>
      </c>
      <c r="E214" s="64">
        <v>1E-3</v>
      </c>
    </row>
    <row r="215" spans="2:5">
      <c r="B215" s="97"/>
      <c r="C215" s="62" t="s">
        <v>270</v>
      </c>
      <c r="D215" s="65">
        <v>5</v>
      </c>
      <c r="E215" s="64">
        <v>1E-3</v>
      </c>
    </row>
    <row r="216" spans="2:5">
      <c r="B216" s="97"/>
      <c r="C216" s="62" t="s">
        <v>201</v>
      </c>
      <c r="D216" s="65">
        <v>31</v>
      </c>
      <c r="E216" s="64">
        <v>6.0000000000000001E-3</v>
      </c>
    </row>
    <row r="217" spans="2:5">
      <c r="B217" s="97"/>
      <c r="C217" s="62" t="s">
        <v>203</v>
      </c>
      <c r="D217" s="65">
        <v>4</v>
      </c>
      <c r="E217" s="64">
        <v>1E-3</v>
      </c>
    </row>
    <row r="218" spans="2:5">
      <c r="B218" s="97"/>
      <c r="C218" s="62" t="s">
        <v>204</v>
      </c>
      <c r="D218" s="65">
        <v>26</v>
      </c>
      <c r="E218" s="64">
        <v>5.0000000000000001E-3</v>
      </c>
    </row>
    <row r="219" spans="2:5">
      <c r="B219" s="97"/>
      <c r="C219" s="62" t="s">
        <v>272</v>
      </c>
      <c r="D219" s="65">
        <v>3</v>
      </c>
      <c r="E219" s="64">
        <v>1E-3</v>
      </c>
    </row>
    <row r="220" spans="2:5">
      <c r="B220" s="97"/>
      <c r="C220" s="62" t="s">
        <v>209</v>
      </c>
      <c r="D220" s="65">
        <v>1</v>
      </c>
      <c r="E220" s="64">
        <v>0</v>
      </c>
    </row>
    <row r="221" spans="2:5">
      <c r="B221" s="97"/>
      <c r="C221" s="62" t="s">
        <v>210</v>
      </c>
      <c r="D221" s="65">
        <v>6</v>
      </c>
      <c r="E221" s="64">
        <v>1E-3</v>
      </c>
    </row>
    <row r="222" spans="2:5">
      <c r="B222" s="97"/>
      <c r="C222" s="80" t="s">
        <v>288</v>
      </c>
      <c r="D222" s="78">
        <v>95</v>
      </c>
      <c r="E222" s="79">
        <v>1.7000000000000001E-2</v>
      </c>
    </row>
    <row r="223" spans="2:5">
      <c r="B223" s="97" t="s">
        <v>85</v>
      </c>
      <c r="C223" s="62" t="s">
        <v>197</v>
      </c>
      <c r="D223" s="65">
        <v>1</v>
      </c>
      <c r="E223" s="64">
        <v>0</v>
      </c>
    </row>
    <row r="224" spans="2:5">
      <c r="B224" s="97"/>
      <c r="C224" s="80" t="s">
        <v>288</v>
      </c>
      <c r="D224" s="78">
        <v>1</v>
      </c>
      <c r="E224" s="79">
        <v>0</v>
      </c>
    </row>
    <row r="225" spans="2:5">
      <c r="B225" s="97" t="s">
        <v>61</v>
      </c>
      <c r="C225" s="62" t="s">
        <v>266</v>
      </c>
      <c r="D225" s="65">
        <v>2</v>
      </c>
      <c r="E225" s="64">
        <v>0</v>
      </c>
    </row>
    <row r="226" spans="2:5">
      <c r="B226" s="97"/>
      <c r="C226" s="62" t="s">
        <v>267</v>
      </c>
      <c r="D226" s="65">
        <v>3</v>
      </c>
      <c r="E226" s="64">
        <v>1E-3</v>
      </c>
    </row>
    <row r="227" spans="2:5">
      <c r="B227" s="97"/>
      <c r="C227" s="62" t="s">
        <v>197</v>
      </c>
      <c r="D227" s="65">
        <v>8</v>
      </c>
      <c r="E227" s="64">
        <v>1E-3</v>
      </c>
    </row>
    <row r="228" spans="2:5">
      <c r="B228" s="97"/>
      <c r="C228" s="62" t="s">
        <v>270</v>
      </c>
      <c r="D228" s="65">
        <v>3</v>
      </c>
      <c r="E228" s="64">
        <v>1E-3</v>
      </c>
    </row>
    <row r="229" spans="2:5">
      <c r="B229" s="97"/>
      <c r="C229" s="62" t="s">
        <v>201</v>
      </c>
      <c r="D229" s="65">
        <v>9</v>
      </c>
      <c r="E229" s="64">
        <v>2E-3</v>
      </c>
    </row>
    <row r="230" spans="2:5">
      <c r="B230" s="97"/>
      <c r="C230" s="62" t="s">
        <v>202</v>
      </c>
      <c r="D230" s="65">
        <v>2</v>
      </c>
      <c r="E230" s="64">
        <v>0</v>
      </c>
    </row>
    <row r="231" spans="2:5">
      <c r="B231" s="97"/>
      <c r="C231" s="62" t="s">
        <v>203</v>
      </c>
      <c r="D231" s="65">
        <v>1</v>
      </c>
      <c r="E231" s="64">
        <v>0</v>
      </c>
    </row>
    <row r="232" spans="2:5">
      <c r="B232" s="97"/>
      <c r="C232" s="62" t="s">
        <v>204</v>
      </c>
      <c r="D232" s="65">
        <v>9</v>
      </c>
      <c r="E232" s="64">
        <v>2E-3</v>
      </c>
    </row>
    <row r="233" spans="2:5">
      <c r="B233" s="97"/>
      <c r="C233" s="62" t="s">
        <v>209</v>
      </c>
      <c r="D233" s="65">
        <v>1</v>
      </c>
      <c r="E233" s="64">
        <v>0</v>
      </c>
    </row>
    <row r="234" spans="2:5">
      <c r="B234" s="97"/>
      <c r="C234" s="80" t="s">
        <v>288</v>
      </c>
      <c r="D234" s="78">
        <v>38</v>
      </c>
      <c r="E234" s="79">
        <v>7.0000000000000001E-3</v>
      </c>
    </row>
    <row r="235" spans="2:5">
      <c r="B235" s="97" t="s">
        <v>63</v>
      </c>
      <c r="C235" s="62" t="s">
        <v>264</v>
      </c>
      <c r="D235" s="65">
        <v>1</v>
      </c>
      <c r="E235" s="64">
        <v>0</v>
      </c>
    </row>
    <row r="236" spans="2:5">
      <c r="B236" s="97"/>
      <c r="C236" s="62" t="s">
        <v>197</v>
      </c>
      <c r="D236" s="65">
        <v>3</v>
      </c>
      <c r="E236" s="64">
        <v>1E-3</v>
      </c>
    </row>
    <row r="237" spans="2:5">
      <c r="B237" s="97"/>
      <c r="C237" s="62" t="s">
        <v>268</v>
      </c>
      <c r="D237" s="65">
        <v>1</v>
      </c>
      <c r="E237" s="64">
        <v>0</v>
      </c>
    </row>
    <row r="238" spans="2:5">
      <c r="B238" s="97"/>
      <c r="C238" s="62" t="s">
        <v>269</v>
      </c>
      <c r="D238" s="65">
        <v>1</v>
      </c>
      <c r="E238" s="64">
        <v>0</v>
      </c>
    </row>
    <row r="239" spans="2:5">
      <c r="B239" s="97"/>
      <c r="C239" s="62" t="s">
        <v>270</v>
      </c>
      <c r="D239" s="65">
        <v>2</v>
      </c>
      <c r="E239" s="64">
        <v>0</v>
      </c>
    </row>
    <row r="240" spans="2:5">
      <c r="B240" s="97"/>
      <c r="C240" s="62" t="s">
        <v>201</v>
      </c>
      <c r="D240" s="65">
        <v>14</v>
      </c>
      <c r="E240" s="64">
        <v>2E-3</v>
      </c>
    </row>
    <row r="241" spans="2:5">
      <c r="B241" s="97"/>
      <c r="C241" s="62" t="s">
        <v>203</v>
      </c>
      <c r="D241" s="65">
        <v>1</v>
      </c>
      <c r="E241" s="64">
        <v>0</v>
      </c>
    </row>
    <row r="242" spans="2:5">
      <c r="B242" s="97"/>
      <c r="C242" s="62" t="s">
        <v>204</v>
      </c>
      <c r="D242" s="65">
        <v>12</v>
      </c>
      <c r="E242" s="64">
        <v>2E-3</v>
      </c>
    </row>
    <row r="243" spans="2:5">
      <c r="B243" s="97"/>
      <c r="C243" s="62" t="s">
        <v>210</v>
      </c>
      <c r="D243" s="65">
        <v>3</v>
      </c>
      <c r="E243" s="64">
        <v>1E-3</v>
      </c>
    </row>
    <row r="244" spans="2:5">
      <c r="B244" s="97"/>
      <c r="C244" s="80" t="s">
        <v>288</v>
      </c>
      <c r="D244" s="78">
        <v>38</v>
      </c>
      <c r="E244" s="79">
        <v>7.0000000000000001E-3</v>
      </c>
    </row>
    <row r="245" spans="2:5">
      <c r="B245" s="97" t="s">
        <v>45</v>
      </c>
      <c r="C245" s="62" t="s">
        <v>190</v>
      </c>
      <c r="D245" s="65">
        <v>4</v>
      </c>
      <c r="E245" s="64">
        <v>1E-3</v>
      </c>
    </row>
    <row r="246" spans="2:5">
      <c r="B246" s="97"/>
      <c r="C246" s="62" t="s">
        <v>262</v>
      </c>
      <c r="D246" s="65">
        <v>3</v>
      </c>
      <c r="E246" s="64">
        <v>1E-3</v>
      </c>
    </row>
    <row r="247" spans="2:5">
      <c r="B247" s="97"/>
      <c r="C247" s="62" t="s">
        <v>263</v>
      </c>
      <c r="D247" s="65">
        <v>1</v>
      </c>
      <c r="E247" s="64">
        <v>0</v>
      </c>
    </row>
    <row r="248" spans="2:5">
      <c r="B248" s="97"/>
      <c r="C248" s="62" t="s">
        <v>264</v>
      </c>
      <c r="D248" s="65">
        <v>2</v>
      </c>
      <c r="E248" s="64">
        <v>0</v>
      </c>
    </row>
    <row r="249" spans="2:5">
      <c r="B249" s="97"/>
      <c r="C249" s="62" t="s">
        <v>265</v>
      </c>
      <c r="D249" s="65">
        <v>4</v>
      </c>
      <c r="E249" s="64">
        <v>1E-3</v>
      </c>
    </row>
    <row r="250" spans="2:5">
      <c r="B250" s="97"/>
      <c r="C250" s="62" t="s">
        <v>266</v>
      </c>
      <c r="D250" s="65">
        <v>3</v>
      </c>
      <c r="E250" s="64">
        <v>1E-3</v>
      </c>
    </row>
    <row r="251" spans="2:5">
      <c r="B251" s="97"/>
      <c r="C251" s="62" t="s">
        <v>267</v>
      </c>
      <c r="D251" s="65">
        <v>36</v>
      </c>
      <c r="E251" s="64">
        <v>6.0000000000000001E-3</v>
      </c>
    </row>
    <row r="252" spans="2:5">
      <c r="B252" s="97"/>
      <c r="C252" s="62" t="s">
        <v>197</v>
      </c>
      <c r="D252" s="65">
        <v>62</v>
      </c>
      <c r="E252" s="64">
        <v>1.0999999999999999E-2</v>
      </c>
    </row>
    <row r="253" spans="2:5">
      <c r="B253" s="97"/>
      <c r="C253" s="62" t="s">
        <v>268</v>
      </c>
      <c r="D253" s="65">
        <v>3</v>
      </c>
      <c r="E253" s="64">
        <v>1E-3</v>
      </c>
    </row>
    <row r="254" spans="2:5">
      <c r="B254" s="97"/>
      <c r="C254" s="62" t="s">
        <v>269</v>
      </c>
      <c r="D254" s="65">
        <v>4</v>
      </c>
      <c r="E254" s="64">
        <v>1E-3</v>
      </c>
    </row>
    <row r="255" spans="2:5">
      <c r="B255" s="97"/>
      <c r="C255" s="62" t="s">
        <v>270</v>
      </c>
      <c r="D255" s="65">
        <v>26</v>
      </c>
      <c r="E255" s="64">
        <v>5.0000000000000001E-3</v>
      </c>
    </row>
    <row r="256" spans="2:5">
      <c r="B256" s="97"/>
      <c r="C256" s="62" t="s">
        <v>201</v>
      </c>
      <c r="D256" s="65">
        <v>166</v>
      </c>
      <c r="E256" s="64">
        <v>0.03</v>
      </c>
    </row>
    <row r="257" spans="2:5">
      <c r="B257" s="97"/>
      <c r="C257" s="62" t="s">
        <v>202</v>
      </c>
      <c r="D257" s="65">
        <v>4</v>
      </c>
      <c r="E257" s="64">
        <v>1E-3</v>
      </c>
    </row>
    <row r="258" spans="2:5">
      <c r="B258" s="97"/>
      <c r="C258" s="62" t="s">
        <v>203</v>
      </c>
      <c r="D258" s="65">
        <v>15</v>
      </c>
      <c r="E258" s="64">
        <v>3.0000000000000001E-3</v>
      </c>
    </row>
    <row r="259" spans="2:5">
      <c r="B259" s="97"/>
      <c r="C259" s="62" t="s">
        <v>204</v>
      </c>
      <c r="D259" s="65">
        <v>86</v>
      </c>
      <c r="E259" s="64">
        <v>1.4999999999999999E-2</v>
      </c>
    </row>
    <row r="260" spans="2:5">
      <c r="B260" s="97"/>
      <c r="C260" s="62" t="s">
        <v>271</v>
      </c>
      <c r="D260" s="65">
        <v>2</v>
      </c>
      <c r="E260" s="64">
        <v>0</v>
      </c>
    </row>
    <row r="261" spans="2:5">
      <c r="B261" s="97"/>
      <c r="C261" s="62" t="s">
        <v>272</v>
      </c>
      <c r="D261" s="65">
        <v>1</v>
      </c>
      <c r="E261" s="64">
        <v>0</v>
      </c>
    </row>
    <row r="262" spans="2:5">
      <c r="B262" s="97"/>
      <c r="C262" s="62" t="s">
        <v>209</v>
      </c>
      <c r="D262" s="65">
        <v>2</v>
      </c>
      <c r="E262" s="64">
        <v>0</v>
      </c>
    </row>
    <row r="263" spans="2:5">
      <c r="B263" s="97"/>
      <c r="C263" s="62" t="s">
        <v>210</v>
      </c>
      <c r="D263" s="65">
        <v>19</v>
      </c>
      <c r="E263" s="64">
        <v>3.0000000000000001E-3</v>
      </c>
    </row>
    <row r="264" spans="2:5">
      <c r="B264" s="97"/>
      <c r="C264" s="62" t="s">
        <v>211</v>
      </c>
      <c r="D264" s="65">
        <v>1</v>
      </c>
      <c r="E264" s="64">
        <v>0</v>
      </c>
    </row>
    <row r="265" spans="2:5">
      <c r="B265" s="97"/>
      <c r="C265" s="62" t="s">
        <v>212</v>
      </c>
      <c r="D265" s="65">
        <v>1</v>
      </c>
      <c r="E265" s="64">
        <v>0</v>
      </c>
    </row>
    <row r="266" spans="2:5">
      <c r="B266" s="97"/>
      <c r="C266" s="80" t="s">
        <v>288</v>
      </c>
      <c r="D266" s="78">
        <v>445</v>
      </c>
      <c r="E266" s="79">
        <v>7.9000000000000001E-2</v>
      </c>
    </row>
    <row r="267" spans="2:5">
      <c r="B267" s="97" t="s">
        <v>74</v>
      </c>
      <c r="C267" s="62" t="s">
        <v>267</v>
      </c>
      <c r="D267" s="65">
        <v>1</v>
      </c>
      <c r="E267" s="64">
        <v>0</v>
      </c>
    </row>
    <row r="268" spans="2:5">
      <c r="B268" s="97"/>
      <c r="C268" s="62" t="s">
        <v>197</v>
      </c>
      <c r="D268" s="65">
        <v>2</v>
      </c>
      <c r="E268" s="64">
        <v>0</v>
      </c>
    </row>
    <row r="269" spans="2:5">
      <c r="B269" s="97"/>
      <c r="C269" s="62" t="s">
        <v>269</v>
      </c>
      <c r="D269" s="65">
        <v>1</v>
      </c>
      <c r="E269" s="64">
        <v>0</v>
      </c>
    </row>
    <row r="270" spans="2:5">
      <c r="B270" s="97"/>
      <c r="C270" s="62" t="s">
        <v>270</v>
      </c>
      <c r="D270" s="65">
        <v>2</v>
      </c>
      <c r="E270" s="64">
        <v>0</v>
      </c>
    </row>
    <row r="271" spans="2:5">
      <c r="B271" s="97"/>
      <c r="C271" s="62" t="s">
        <v>201</v>
      </c>
      <c r="D271" s="65">
        <v>10</v>
      </c>
      <c r="E271" s="64">
        <v>2E-3</v>
      </c>
    </row>
    <row r="272" spans="2:5">
      <c r="B272" s="97"/>
      <c r="C272" s="62" t="s">
        <v>202</v>
      </c>
      <c r="D272" s="65">
        <v>1</v>
      </c>
      <c r="E272" s="64">
        <v>0</v>
      </c>
    </row>
    <row r="273" spans="2:5">
      <c r="B273" s="97"/>
      <c r="C273" s="62" t="s">
        <v>204</v>
      </c>
      <c r="D273" s="65">
        <v>6</v>
      </c>
      <c r="E273" s="64">
        <v>1E-3</v>
      </c>
    </row>
    <row r="274" spans="2:5">
      <c r="B274" s="97"/>
      <c r="C274" s="62" t="s">
        <v>209</v>
      </c>
      <c r="D274" s="65">
        <v>1</v>
      </c>
      <c r="E274" s="64">
        <v>0</v>
      </c>
    </row>
    <row r="275" spans="2:5">
      <c r="B275" s="97"/>
      <c r="C275" s="62" t="s">
        <v>210</v>
      </c>
      <c r="D275" s="65">
        <v>1</v>
      </c>
      <c r="E275" s="64">
        <v>0</v>
      </c>
    </row>
    <row r="276" spans="2:5">
      <c r="B276" s="97"/>
      <c r="C276" s="80" t="s">
        <v>288</v>
      </c>
      <c r="D276" s="78">
        <v>25</v>
      </c>
      <c r="E276" s="79">
        <v>4.0000000000000001E-3</v>
      </c>
    </row>
    <row r="277" spans="2:5">
      <c r="B277" s="97" t="s">
        <v>71</v>
      </c>
      <c r="C277" s="62" t="s">
        <v>263</v>
      </c>
      <c r="D277" s="65">
        <v>1</v>
      </c>
      <c r="E277" s="64">
        <v>0</v>
      </c>
    </row>
    <row r="278" spans="2:5">
      <c r="B278" s="97"/>
      <c r="C278" s="62" t="s">
        <v>266</v>
      </c>
      <c r="D278" s="65">
        <v>1</v>
      </c>
      <c r="E278" s="64">
        <v>0</v>
      </c>
    </row>
    <row r="279" spans="2:5">
      <c r="B279" s="97"/>
      <c r="C279" s="62" t="s">
        <v>267</v>
      </c>
      <c r="D279" s="65">
        <v>1</v>
      </c>
      <c r="E279" s="64">
        <v>0</v>
      </c>
    </row>
    <row r="280" spans="2:5">
      <c r="B280" s="97"/>
      <c r="C280" s="62" t="s">
        <v>197</v>
      </c>
      <c r="D280" s="65">
        <v>6</v>
      </c>
      <c r="E280" s="64">
        <v>1E-3</v>
      </c>
    </row>
    <row r="281" spans="2:5">
      <c r="B281" s="97"/>
      <c r="C281" s="62" t="s">
        <v>268</v>
      </c>
      <c r="D281" s="65">
        <v>2</v>
      </c>
      <c r="E281" s="64">
        <v>0</v>
      </c>
    </row>
    <row r="282" spans="2:5">
      <c r="B282" s="97"/>
      <c r="C282" s="62" t="s">
        <v>269</v>
      </c>
      <c r="D282" s="65">
        <v>1</v>
      </c>
      <c r="E282" s="64">
        <v>0</v>
      </c>
    </row>
    <row r="283" spans="2:5">
      <c r="B283" s="97"/>
      <c r="C283" s="62" t="s">
        <v>201</v>
      </c>
      <c r="D283" s="65">
        <v>12</v>
      </c>
      <c r="E283" s="64">
        <v>2E-3</v>
      </c>
    </row>
    <row r="284" spans="2:5">
      <c r="B284" s="97"/>
      <c r="C284" s="62" t="s">
        <v>202</v>
      </c>
      <c r="D284" s="65">
        <v>1</v>
      </c>
      <c r="E284" s="64">
        <v>0</v>
      </c>
    </row>
    <row r="285" spans="2:5">
      <c r="B285" s="97"/>
      <c r="C285" s="62" t="s">
        <v>203</v>
      </c>
      <c r="D285" s="65">
        <v>2</v>
      </c>
      <c r="E285" s="64">
        <v>0</v>
      </c>
    </row>
    <row r="286" spans="2:5">
      <c r="B286" s="97"/>
      <c r="C286" s="62" t="s">
        <v>204</v>
      </c>
      <c r="D286" s="65">
        <v>6</v>
      </c>
      <c r="E286" s="64">
        <v>1E-3</v>
      </c>
    </row>
    <row r="287" spans="2:5">
      <c r="B287" s="97"/>
      <c r="C287" s="80" t="s">
        <v>288</v>
      </c>
      <c r="D287" s="78">
        <v>33</v>
      </c>
      <c r="E287" s="79">
        <v>6.0000000000000001E-3</v>
      </c>
    </row>
    <row r="288" spans="2:5">
      <c r="B288" s="97" t="s">
        <v>70</v>
      </c>
      <c r="C288" s="62" t="s">
        <v>264</v>
      </c>
      <c r="D288" s="65">
        <v>1</v>
      </c>
      <c r="E288" s="64">
        <v>0</v>
      </c>
    </row>
    <row r="289" spans="2:5">
      <c r="B289" s="97"/>
      <c r="C289" s="62" t="s">
        <v>197</v>
      </c>
      <c r="D289" s="65">
        <v>6</v>
      </c>
      <c r="E289" s="64">
        <v>1E-3</v>
      </c>
    </row>
    <row r="290" spans="2:5">
      <c r="B290" s="97"/>
      <c r="C290" s="62" t="s">
        <v>270</v>
      </c>
      <c r="D290" s="65">
        <v>1</v>
      </c>
      <c r="E290" s="64">
        <v>0</v>
      </c>
    </row>
    <row r="291" spans="2:5">
      <c r="B291" s="97"/>
      <c r="C291" s="62" t="s">
        <v>201</v>
      </c>
      <c r="D291" s="65">
        <v>20</v>
      </c>
      <c r="E291" s="64">
        <v>4.0000000000000001E-3</v>
      </c>
    </row>
    <row r="292" spans="2:5">
      <c r="B292" s="97"/>
      <c r="C292" s="62" t="s">
        <v>202</v>
      </c>
      <c r="D292" s="65">
        <v>2</v>
      </c>
      <c r="E292" s="64">
        <v>0</v>
      </c>
    </row>
    <row r="293" spans="2:5">
      <c r="B293" s="97"/>
      <c r="C293" s="62" t="s">
        <v>203</v>
      </c>
      <c r="D293" s="65">
        <v>4</v>
      </c>
      <c r="E293" s="64">
        <v>1E-3</v>
      </c>
    </row>
    <row r="294" spans="2:5">
      <c r="B294" s="97"/>
      <c r="C294" s="62" t="s">
        <v>204</v>
      </c>
      <c r="D294" s="65">
        <v>9</v>
      </c>
      <c r="E294" s="64">
        <v>2E-3</v>
      </c>
    </row>
    <row r="295" spans="2:5">
      <c r="B295" s="97"/>
      <c r="C295" s="62" t="s">
        <v>209</v>
      </c>
      <c r="D295" s="65">
        <v>2</v>
      </c>
      <c r="E295" s="64">
        <v>0</v>
      </c>
    </row>
    <row r="296" spans="2:5">
      <c r="B296" s="97"/>
      <c r="C296" s="80" t="s">
        <v>288</v>
      </c>
      <c r="D296" s="78">
        <v>45</v>
      </c>
      <c r="E296" s="79">
        <v>8.0000000000000002E-3</v>
      </c>
    </row>
    <row r="297" spans="2:5">
      <c r="B297" s="97" t="s">
        <v>77</v>
      </c>
      <c r="C297" s="62" t="s">
        <v>190</v>
      </c>
      <c r="D297" s="65">
        <v>2</v>
      </c>
      <c r="E297" s="64">
        <v>0</v>
      </c>
    </row>
    <row r="298" spans="2:5">
      <c r="B298" s="97"/>
      <c r="C298" s="62" t="s">
        <v>264</v>
      </c>
      <c r="D298" s="65">
        <v>3</v>
      </c>
      <c r="E298" s="64">
        <v>1E-3</v>
      </c>
    </row>
    <row r="299" spans="2:5">
      <c r="B299" s="97"/>
      <c r="C299" s="62" t="s">
        <v>267</v>
      </c>
      <c r="D299" s="65">
        <v>9</v>
      </c>
      <c r="E299" s="64">
        <v>2E-3</v>
      </c>
    </row>
    <row r="300" spans="2:5">
      <c r="B300" s="97"/>
      <c r="C300" s="62" t="s">
        <v>197</v>
      </c>
      <c r="D300" s="65">
        <v>13</v>
      </c>
      <c r="E300" s="64">
        <v>2E-3</v>
      </c>
    </row>
    <row r="301" spans="2:5">
      <c r="B301" s="97"/>
      <c r="C301" s="62" t="s">
        <v>268</v>
      </c>
      <c r="D301" s="65">
        <v>2</v>
      </c>
      <c r="E301" s="64">
        <v>0</v>
      </c>
    </row>
    <row r="302" spans="2:5">
      <c r="B302" s="97"/>
      <c r="C302" s="62" t="s">
        <v>269</v>
      </c>
      <c r="D302" s="65">
        <v>1</v>
      </c>
      <c r="E302" s="64">
        <v>0</v>
      </c>
    </row>
    <row r="303" spans="2:5">
      <c r="B303" s="97"/>
      <c r="C303" s="62" t="s">
        <v>270</v>
      </c>
      <c r="D303" s="65">
        <v>6</v>
      </c>
      <c r="E303" s="64">
        <v>1E-3</v>
      </c>
    </row>
    <row r="304" spans="2:5">
      <c r="B304" s="97"/>
      <c r="C304" s="62" t="s">
        <v>201</v>
      </c>
      <c r="D304" s="65">
        <v>53</v>
      </c>
      <c r="E304" s="64">
        <v>8.9999999999999993E-3</v>
      </c>
    </row>
    <row r="305" spans="2:5">
      <c r="B305" s="97"/>
      <c r="C305" s="62" t="s">
        <v>203</v>
      </c>
      <c r="D305" s="65">
        <v>7</v>
      </c>
      <c r="E305" s="64">
        <v>1E-3</v>
      </c>
    </row>
    <row r="306" spans="2:5">
      <c r="B306" s="97"/>
      <c r="C306" s="62" t="s">
        <v>204</v>
      </c>
      <c r="D306" s="65">
        <v>14</v>
      </c>
      <c r="E306" s="64">
        <v>2E-3</v>
      </c>
    </row>
    <row r="307" spans="2:5">
      <c r="B307" s="97"/>
      <c r="C307" s="62" t="s">
        <v>271</v>
      </c>
      <c r="D307" s="65">
        <v>1</v>
      </c>
      <c r="E307" s="64">
        <v>0</v>
      </c>
    </row>
    <row r="308" spans="2:5">
      <c r="B308" s="97"/>
      <c r="C308" s="62" t="s">
        <v>272</v>
      </c>
      <c r="D308" s="65">
        <v>1</v>
      </c>
      <c r="E308" s="64">
        <v>0</v>
      </c>
    </row>
    <row r="309" spans="2:5">
      <c r="B309" s="97"/>
      <c r="C309" s="62" t="s">
        <v>210</v>
      </c>
      <c r="D309" s="65">
        <v>4</v>
      </c>
      <c r="E309" s="64">
        <v>1E-3</v>
      </c>
    </row>
    <row r="310" spans="2:5">
      <c r="B310" s="97"/>
      <c r="C310" s="80" t="s">
        <v>288</v>
      </c>
      <c r="D310" s="78">
        <v>116</v>
      </c>
      <c r="E310" s="79">
        <v>2.1000000000000001E-2</v>
      </c>
    </row>
    <row r="311" spans="2:5">
      <c r="B311" s="97" t="s">
        <v>76</v>
      </c>
      <c r="C311" s="62" t="s">
        <v>263</v>
      </c>
      <c r="D311" s="65">
        <v>1</v>
      </c>
      <c r="E311" s="64">
        <v>0</v>
      </c>
    </row>
    <row r="312" spans="2:5">
      <c r="B312" s="97"/>
      <c r="C312" s="62" t="s">
        <v>197</v>
      </c>
      <c r="D312" s="65">
        <v>4</v>
      </c>
      <c r="E312" s="64">
        <v>1E-3</v>
      </c>
    </row>
    <row r="313" spans="2:5">
      <c r="B313" s="97"/>
      <c r="C313" s="62" t="s">
        <v>201</v>
      </c>
      <c r="D313" s="65">
        <v>17</v>
      </c>
      <c r="E313" s="64">
        <v>3.0000000000000001E-3</v>
      </c>
    </row>
    <row r="314" spans="2:5">
      <c r="B314" s="97"/>
      <c r="C314" s="62" t="s">
        <v>203</v>
      </c>
      <c r="D314" s="65">
        <v>1</v>
      </c>
      <c r="E314" s="64">
        <v>0</v>
      </c>
    </row>
    <row r="315" spans="2:5">
      <c r="B315" s="97"/>
      <c r="C315" s="62" t="s">
        <v>204</v>
      </c>
      <c r="D315" s="65">
        <v>9</v>
      </c>
      <c r="E315" s="64">
        <v>2E-3</v>
      </c>
    </row>
    <row r="316" spans="2:5">
      <c r="B316" s="97"/>
      <c r="C316" s="62" t="s">
        <v>209</v>
      </c>
      <c r="D316" s="65">
        <v>1</v>
      </c>
      <c r="E316" s="64">
        <v>0</v>
      </c>
    </row>
    <row r="317" spans="2:5">
      <c r="B317" s="97"/>
      <c r="C317" s="62" t="s">
        <v>210</v>
      </c>
      <c r="D317" s="65">
        <v>1</v>
      </c>
      <c r="E317" s="64">
        <v>0</v>
      </c>
    </row>
    <row r="318" spans="2:5">
      <c r="B318" s="97"/>
      <c r="C318" s="80" t="s">
        <v>288</v>
      </c>
      <c r="D318" s="78">
        <v>34</v>
      </c>
      <c r="E318" s="79">
        <v>6.0000000000000001E-3</v>
      </c>
    </row>
    <row r="319" spans="2:5">
      <c r="B319" s="97" t="s">
        <v>43</v>
      </c>
      <c r="C319" s="62" t="s">
        <v>190</v>
      </c>
      <c r="D319" s="65">
        <v>9</v>
      </c>
      <c r="E319" s="64">
        <v>2E-3</v>
      </c>
    </row>
    <row r="320" spans="2:5">
      <c r="B320" s="97"/>
      <c r="C320" s="62" t="s">
        <v>262</v>
      </c>
      <c r="D320" s="65">
        <v>6</v>
      </c>
      <c r="E320" s="64">
        <v>1E-3</v>
      </c>
    </row>
    <row r="321" spans="2:5">
      <c r="B321" s="97"/>
      <c r="C321" s="62" t="s">
        <v>263</v>
      </c>
      <c r="D321" s="65">
        <v>6</v>
      </c>
      <c r="E321" s="64">
        <v>1E-3</v>
      </c>
    </row>
    <row r="322" spans="2:5">
      <c r="B322" s="97"/>
      <c r="C322" s="62" t="s">
        <v>264</v>
      </c>
      <c r="D322" s="65">
        <v>9</v>
      </c>
      <c r="E322" s="64">
        <v>2E-3</v>
      </c>
    </row>
    <row r="323" spans="2:5">
      <c r="B323" s="97"/>
      <c r="C323" s="62" t="s">
        <v>265</v>
      </c>
      <c r="D323" s="65">
        <v>7</v>
      </c>
      <c r="E323" s="64">
        <v>1E-3</v>
      </c>
    </row>
    <row r="324" spans="2:5">
      <c r="B324" s="97"/>
      <c r="C324" s="62" t="s">
        <v>266</v>
      </c>
      <c r="D324" s="65">
        <v>9</v>
      </c>
      <c r="E324" s="64">
        <v>2E-3</v>
      </c>
    </row>
    <row r="325" spans="2:5">
      <c r="B325" s="97"/>
      <c r="C325" s="62" t="s">
        <v>267</v>
      </c>
      <c r="D325" s="65">
        <v>82</v>
      </c>
      <c r="E325" s="64">
        <v>1.4999999999999999E-2</v>
      </c>
    </row>
    <row r="326" spans="2:5">
      <c r="B326" s="97"/>
      <c r="C326" s="62" t="s">
        <v>197</v>
      </c>
      <c r="D326" s="65">
        <v>132</v>
      </c>
      <c r="E326" s="64">
        <v>2.4E-2</v>
      </c>
    </row>
    <row r="327" spans="2:5">
      <c r="B327" s="97"/>
      <c r="C327" s="62" t="s">
        <v>268</v>
      </c>
      <c r="D327" s="65">
        <v>6</v>
      </c>
      <c r="E327" s="64">
        <v>1E-3</v>
      </c>
    </row>
    <row r="328" spans="2:5">
      <c r="B328" s="97"/>
      <c r="C328" s="62" t="s">
        <v>269</v>
      </c>
      <c r="D328" s="65">
        <v>24</v>
      </c>
      <c r="E328" s="64">
        <v>4.0000000000000001E-3</v>
      </c>
    </row>
    <row r="329" spans="2:5">
      <c r="B329" s="97"/>
      <c r="C329" s="62" t="s">
        <v>270</v>
      </c>
      <c r="D329" s="65">
        <v>49</v>
      </c>
      <c r="E329" s="64">
        <v>8.9999999999999993E-3</v>
      </c>
    </row>
    <row r="330" spans="2:5">
      <c r="B330" s="97"/>
      <c r="C330" s="62" t="s">
        <v>201</v>
      </c>
      <c r="D330" s="65">
        <v>464</v>
      </c>
      <c r="E330" s="64">
        <v>8.3000000000000004E-2</v>
      </c>
    </row>
    <row r="331" spans="2:5">
      <c r="B331" s="97"/>
      <c r="C331" s="62" t="s">
        <v>202</v>
      </c>
      <c r="D331" s="65">
        <v>7</v>
      </c>
      <c r="E331" s="64">
        <v>1E-3</v>
      </c>
    </row>
    <row r="332" spans="2:5">
      <c r="B332" s="97"/>
      <c r="C332" s="62" t="s">
        <v>203</v>
      </c>
      <c r="D332" s="65">
        <v>41</v>
      </c>
      <c r="E332" s="64">
        <v>7.0000000000000001E-3</v>
      </c>
    </row>
    <row r="333" spans="2:5">
      <c r="B333" s="97"/>
      <c r="C333" s="62" t="s">
        <v>204</v>
      </c>
      <c r="D333" s="65">
        <v>230</v>
      </c>
      <c r="E333" s="64">
        <v>4.1000000000000002E-2</v>
      </c>
    </row>
    <row r="334" spans="2:5">
      <c r="B334" s="97"/>
      <c r="C334" s="62" t="s">
        <v>271</v>
      </c>
      <c r="D334" s="65">
        <v>4</v>
      </c>
      <c r="E334" s="64">
        <v>1E-3</v>
      </c>
    </row>
    <row r="335" spans="2:5">
      <c r="B335" s="97"/>
      <c r="C335" s="62" t="s">
        <v>272</v>
      </c>
      <c r="D335" s="65">
        <v>2</v>
      </c>
      <c r="E335" s="64">
        <v>0</v>
      </c>
    </row>
    <row r="336" spans="2:5">
      <c r="B336" s="97"/>
      <c r="C336" s="62" t="s">
        <v>273</v>
      </c>
      <c r="D336" s="65">
        <v>1</v>
      </c>
      <c r="E336" s="64">
        <v>0</v>
      </c>
    </row>
    <row r="337" spans="2:5">
      <c r="B337" s="97"/>
      <c r="C337" s="62" t="s">
        <v>274</v>
      </c>
      <c r="D337" s="65">
        <v>1</v>
      </c>
      <c r="E337" s="64">
        <v>0</v>
      </c>
    </row>
    <row r="338" spans="2:5">
      <c r="B338" s="97"/>
      <c r="C338" s="62" t="s">
        <v>209</v>
      </c>
      <c r="D338" s="65">
        <v>6</v>
      </c>
      <c r="E338" s="64">
        <v>1E-3</v>
      </c>
    </row>
    <row r="339" spans="2:5">
      <c r="B339" s="97"/>
      <c r="C339" s="62" t="s">
        <v>210</v>
      </c>
      <c r="D339" s="65">
        <v>29</v>
      </c>
      <c r="E339" s="64">
        <v>5.0000000000000001E-3</v>
      </c>
    </row>
    <row r="340" spans="2:5">
      <c r="B340" s="97"/>
      <c r="C340" s="62" t="s">
        <v>212</v>
      </c>
      <c r="D340" s="65">
        <v>2</v>
      </c>
      <c r="E340" s="64">
        <v>0</v>
      </c>
    </row>
    <row r="341" spans="2:5">
      <c r="B341" s="97"/>
      <c r="C341" s="80" t="s">
        <v>288</v>
      </c>
      <c r="D341" s="78">
        <v>1126</v>
      </c>
      <c r="E341" s="79">
        <v>0.20100000000000001</v>
      </c>
    </row>
    <row r="342" spans="2:5">
      <c r="B342" s="97" t="s">
        <v>79</v>
      </c>
      <c r="C342" s="62" t="s">
        <v>267</v>
      </c>
      <c r="D342" s="65">
        <v>1</v>
      </c>
      <c r="E342" s="64">
        <v>0</v>
      </c>
    </row>
    <row r="343" spans="2:5">
      <c r="B343" s="97"/>
      <c r="C343" s="62" t="s">
        <v>197</v>
      </c>
      <c r="D343" s="65">
        <v>8</v>
      </c>
      <c r="E343" s="64">
        <v>1E-3</v>
      </c>
    </row>
    <row r="344" spans="2:5">
      <c r="B344" s="97"/>
      <c r="C344" s="62" t="s">
        <v>270</v>
      </c>
      <c r="D344" s="65">
        <v>1</v>
      </c>
      <c r="E344" s="64">
        <v>0</v>
      </c>
    </row>
    <row r="345" spans="2:5">
      <c r="B345" s="97"/>
      <c r="C345" s="62" t="s">
        <v>201</v>
      </c>
      <c r="D345" s="65">
        <v>21</v>
      </c>
      <c r="E345" s="64">
        <v>4.0000000000000001E-3</v>
      </c>
    </row>
    <row r="346" spans="2:5">
      <c r="B346" s="97"/>
      <c r="C346" s="62" t="s">
        <v>203</v>
      </c>
      <c r="D346" s="65">
        <v>4</v>
      </c>
      <c r="E346" s="64">
        <v>1E-3</v>
      </c>
    </row>
    <row r="347" spans="2:5">
      <c r="B347" s="97"/>
      <c r="C347" s="62" t="s">
        <v>204</v>
      </c>
      <c r="D347" s="65">
        <v>10</v>
      </c>
      <c r="E347" s="64">
        <v>2E-3</v>
      </c>
    </row>
    <row r="348" spans="2:5">
      <c r="B348" s="97"/>
      <c r="C348" s="62" t="s">
        <v>210</v>
      </c>
      <c r="D348" s="65">
        <v>1</v>
      </c>
      <c r="E348" s="64">
        <v>0</v>
      </c>
    </row>
    <row r="349" spans="2:5">
      <c r="B349" s="97"/>
      <c r="C349" s="80" t="s">
        <v>288</v>
      </c>
      <c r="D349" s="78">
        <v>46</v>
      </c>
      <c r="E349" s="79">
        <v>8.0000000000000002E-3</v>
      </c>
    </row>
    <row r="350" spans="2:5">
      <c r="B350" s="97" t="s">
        <v>83</v>
      </c>
      <c r="C350" s="62" t="s">
        <v>197</v>
      </c>
      <c r="D350" s="65">
        <v>2</v>
      </c>
      <c r="E350" s="64">
        <v>0</v>
      </c>
    </row>
    <row r="351" spans="2:5">
      <c r="B351" s="97"/>
      <c r="C351" s="62" t="s">
        <v>269</v>
      </c>
      <c r="D351" s="65">
        <v>1</v>
      </c>
      <c r="E351" s="64">
        <v>0</v>
      </c>
    </row>
    <row r="352" spans="2:5">
      <c r="B352" s="97"/>
      <c r="C352" s="62" t="s">
        <v>270</v>
      </c>
      <c r="D352" s="65">
        <v>1</v>
      </c>
      <c r="E352" s="64">
        <v>0</v>
      </c>
    </row>
    <row r="353" spans="2:5">
      <c r="B353" s="97"/>
      <c r="C353" s="62" t="s">
        <v>201</v>
      </c>
      <c r="D353" s="65">
        <v>8</v>
      </c>
      <c r="E353" s="64">
        <v>1E-3</v>
      </c>
    </row>
    <row r="354" spans="2:5">
      <c r="B354" s="97"/>
      <c r="C354" s="62" t="s">
        <v>202</v>
      </c>
      <c r="D354" s="65">
        <v>1</v>
      </c>
      <c r="E354" s="64">
        <v>0</v>
      </c>
    </row>
    <row r="355" spans="2:5">
      <c r="B355" s="97"/>
      <c r="C355" s="62" t="s">
        <v>204</v>
      </c>
      <c r="D355" s="65">
        <v>5</v>
      </c>
      <c r="E355" s="64">
        <v>1E-3</v>
      </c>
    </row>
    <row r="356" spans="2:5">
      <c r="B356" s="97"/>
      <c r="C356" s="62" t="s">
        <v>274</v>
      </c>
      <c r="D356" s="65">
        <v>1</v>
      </c>
      <c r="E356" s="64">
        <v>0</v>
      </c>
    </row>
    <row r="357" spans="2:5">
      <c r="B357" s="97"/>
      <c r="C357" s="62" t="s">
        <v>209</v>
      </c>
      <c r="D357" s="65">
        <v>1</v>
      </c>
      <c r="E357" s="64">
        <v>0</v>
      </c>
    </row>
    <row r="358" spans="2:5">
      <c r="B358" s="97"/>
      <c r="C358" s="80" t="s">
        <v>288</v>
      </c>
      <c r="D358" s="78">
        <v>20</v>
      </c>
      <c r="E358" s="79">
        <v>4.0000000000000001E-3</v>
      </c>
    </row>
    <row r="359" spans="2:5">
      <c r="B359" s="97" t="s">
        <v>75</v>
      </c>
      <c r="C359" s="62" t="s">
        <v>264</v>
      </c>
      <c r="D359" s="65">
        <v>1</v>
      </c>
      <c r="E359" s="64">
        <v>0</v>
      </c>
    </row>
    <row r="360" spans="2:5">
      <c r="B360" s="97"/>
      <c r="C360" s="62" t="s">
        <v>265</v>
      </c>
      <c r="D360" s="65">
        <v>1</v>
      </c>
      <c r="E360" s="64">
        <v>0</v>
      </c>
    </row>
    <row r="361" spans="2:5">
      <c r="B361" s="97"/>
      <c r="C361" s="62" t="s">
        <v>267</v>
      </c>
      <c r="D361" s="65">
        <v>5</v>
      </c>
      <c r="E361" s="64">
        <v>1E-3</v>
      </c>
    </row>
    <row r="362" spans="2:5">
      <c r="B362" s="97"/>
      <c r="C362" s="62" t="s">
        <v>197</v>
      </c>
      <c r="D362" s="65">
        <v>11</v>
      </c>
      <c r="E362" s="64">
        <v>2E-3</v>
      </c>
    </row>
    <row r="363" spans="2:5">
      <c r="B363" s="97"/>
      <c r="C363" s="62" t="s">
        <v>201</v>
      </c>
      <c r="D363" s="65">
        <v>17</v>
      </c>
      <c r="E363" s="64">
        <v>3.0000000000000001E-3</v>
      </c>
    </row>
    <row r="364" spans="2:5">
      <c r="B364" s="97"/>
      <c r="C364" s="62" t="s">
        <v>203</v>
      </c>
      <c r="D364" s="65">
        <v>2</v>
      </c>
      <c r="E364" s="64">
        <v>0</v>
      </c>
    </row>
    <row r="365" spans="2:5">
      <c r="B365" s="97"/>
      <c r="C365" s="62" t="s">
        <v>204</v>
      </c>
      <c r="D365" s="65">
        <v>9</v>
      </c>
      <c r="E365" s="64">
        <v>2E-3</v>
      </c>
    </row>
    <row r="366" spans="2:5">
      <c r="B366" s="97"/>
      <c r="C366" s="62" t="s">
        <v>209</v>
      </c>
      <c r="D366" s="65">
        <v>2</v>
      </c>
      <c r="E366" s="64">
        <v>0</v>
      </c>
    </row>
    <row r="367" spans="2:5">
      <c r="B367" s="97"/>
      <c r="C367" s="62" t="s">
        <v>210</v>
      </c>
      <c r="D367" s="65">
        <v>3</v>
      </c>
      <c r="E367" s="64">
        <v>1E-3</v>
      </c>
    </row>
    <row r="368" spans="2:5">
      <c r="B368" s="97"/>
      <c r="C368" s="80" t="s">
        <v>288</v>
      </c>
      <c r="D368" s="78">
        <v>51</v>
      </c>
      <c r="E368" s="79">
        <v>8.9999999999999993E-3</v>
      </c>
    </row>
    <row r="369" spans="2:5">
      <c r="B369" s="97" t="s">
        <v>56</v>
      </c>
      <c r="C369" s="62" t="s">
        <v>190</v>
      </c>
      <c r="D369" s="65">
        <v>1</v>
      </c>
      <c r="E369" s="64">
        <v>0</v>
      </c>
    </row>
    <row r="370" spans="2:5">
      <c r="B370" s="97"/>
      <c r="C370" s="62" t="s">
        <v>266</v>
      </c>
      <c r="D370" s="65">
        <v>2</v>
      </c>
      <c r="E370" s="64">
        <v>0</v>
      </c>
    </row>
    <row r="371" spans="2:5">
      <c r="B371" s="97"/>
      <c r="C371" s="62" t="s">
        <v>267</v>
      </c>
      <c r="D371" s="65">
        <v>11</v>
      </c>
      <c r="E371" s="64">
        <v>2E-3</v>
      </c>
    </row>
    <row r="372" spans="2:5">
      <c r="B372" s="97"/>
      <c r="C372" s="62" t="s">
        <v>197</v>
      </c>
      <c r="D372" s="65">
        <v>19</v>
      </c>
      <c r="E372" s="64">
        <v>3.0000000000000001E-3</v>
      </c>
    </row>
    <row r="373" spans="2:5">
      <c r="B373" s="97"/>
      <c r="C373" s="62" t="s">
        <v>269</v>
      </c>
      <c r="D373" s="65">
        <v>3</v>
      </c>
      <c r="E373" s="64">
        <v>1E-3</v>
      </c>
    </row>
    <row r="374" spans="2:5">
      <c r="B374" s="97"/>
      <c r="C374" s="62" t="s">
        <v>270</v>
      </c>
      <c r="D374" s="65">
        <v>8</v>
      </c>
      <c r="E374" s="64">
        <v>1E-3</v>
      </c>
    </row>
    <row r="375" spans="2:5">
      <c r="B375" s="97"/>
      <c r="C375" s="62" t="s">
        <v>201</v>
      </c>
      <c r="D375" s="65">
        <v>53</v>
      </c>
      <c r="E375" s="64">
        <v>8.9999999999999993E-3</v>
      </c>
    </row>
    <row r="376" spans="2:5">
      <c r="B376" s="97"/>
      <c r="C376" s="62" t="s">
        <v>202</v>
      </c>
      <c r="D376" s="65">
        <v>1</v>
      </c>
      <c r="E376" s="64">
        <v>0</v>
      </c>
    </row>
    <row r="377" spans="2:5">
      <c r="B377" s="97"/>
      <c r="C377" s="62" t="s">
        <v>203</v>
      </c>
      <c r="D377" s="65">
        <v>16</v>
      </c>
      <c r="E377" s="64">
        <v>3.0000000000000001E-3</v>
      </c>
    </row>
    <row r="378" spans="2:5">
      <c r="B378" s="97"/>
      <c r="C378" s="62" t="s">
        <v>204</v>
      </c>
      <c r="D378" s="65">
        <v>35</v>
      </c>
      <c r="E378" s="64">
        <v>6.0000000000000001E-3</v>
      </c>
    </row>
    <row r="379" spans="2:5">
      <c r="B379" s="97"/>
      <c r="C379" s="62" t="s">
        <v>271</v>
      </c>
      <c r="D379" s="65">
        <v>3</v>
      </c>
      <c r="E379" s="64">
        <v>1E-3</v>
      </c>
    </row>
    <row r="380" spans="2:5">
      <c r="B380" s="97"/>
      <c r="C380" s="62" t="s">
        <v>272</v>
      </c>
      <c r="D380" s="65">
        <v>2</v>
      </c>
      <c r="E380" s="64">
        <v>0</v>
      </c>
    </row>
    <row r="381" spans="2:5">
      <c r="B381" s="97"/>
      <c r="C381" s="62" t="s">
        <v>209</v>
      </c>
      <c r="D381" s="65">
        <v>2</v>
      </c>
      <c r="E381" s="64">
        <v>0</v>
      </c>
    </row>
    <row r="382" spans="2:5">
      <c r="B382" s="97"/>
      <c r="C382" s="62" t="s">
        <v>210</v>
      </c>
      <c r="D382" s="65">
        <v>3</v>
      </c>
      <c r="E382" s="64">
        <v>1E-3</v>
      </c>
    </row>
    <row r="383" spans="2:5">
      <c r="B383" s="97"/>
      <c r="C383" s="80" t="s">
        <v>288</v>
      </c>
      <c r="D383" s="78">
        <v>159</v>
      </c>
      <c r="E383" s="79">
        <v>2.8000000000000001E-2</v>
      </c>
    </row>
    <row r="384" spans="2:5">
      <c r="B384" s="97" t="s">
        <v>66</v>
      </c>
      <c r="C384" s="62" t="s">
        <v>190</v>
      </c>
      <c r="D384" s="65">
        <v>1</v>
      </c>
      <c r="E384" s="64">
        <v>0</v>
      </c>
    </row>
    <row r="385" spans="2:5">
      <c r="B385" s="97"/>
      <c r="C385" s="62" t="s">
        <v>263</v>
      </c>
      <c r="D385" s="65">
        <v>1</v>
      </c>
      <c r="E385" s="64">
        <v>0</v>
      </c>
    </row>
    <row r="386" spans="2:5">
      <c r="B386" s="97"/>
      <c r="C386" s="62" t="s">
        <v>265</v>
      </c>
      <c r="D386" s="65">
        <v>1</v>
      </c>
      <c r="E386" s="64">
        <v>0</v>
      </c>
    </row>
    <row r="387" spans="2:5">
      <c r="B387" s="97"/>
      <c r="C387" s="62" t="s">
        <v>267</v>
      </c>
      <c r="D387" s="65">
        <v>1</v>
      </c>
      <c r="E387" s="64">
        <v>0</v>
      </c>
    </row>
    <row r="388" spans="2:5">
      <c r="B388" s="97"/>
      <c r="C388" s="62" t="s">
        <v>197</v>
      </c>
      <c r="D388" s="65">
        <v>3</v>
      </c>
      <c r="E388" s="64">
        <v>1E-3</v>
      </c>
    </row>
    <row r="389" spans="2:5">
      <c r="B389" s="97"/>
      <c r="C389" s="62" t="s">
        <v>269</v>
      </c>
      <c r="D389" s="65">
        <v>1</v>
      </c>
      <c r="E389" s="64">
        <v>0</v>
      </c>
    </row>
    <row r="390" spans="2:5">
      <c r="B390" s="97"/>
      <c r="C390" s="62" t="s">
        <v>270</v>
      </c>
      <c r="D390" s="65">
        <v>3</v>
      </c>
      <c r="E390" s="64">
        <v>1E-3</v>
      </c>
    </row>
    <row r="391" spans="2:5">
      <c r="B391" s="97"/>
      <c r="C391" s="62" t="s">
        <v>201</v>
      </c>
      <c r="D391" s="65">
        <v>15</v>
      </c>
      <c r="E391" s="64">
        <v>3.0000000000000001E-3</v>
      </c>
    </row>
    <row r="392" spans="2:5">
      <c r="B392" s="97"/>
      <c r="C392" s="62" t="s">
        <v>202</v>
      </c>
      <c r="D392" s="65">
        <v>2</v>
      </c>
      <c r="E392" s="64">
        <v>0</v>
      </c>
    </row>
    <row r="393" spans="2:5">
      <c r="B393" s="97"/>
      <c r="C393" s="62" t="s">
        <v>203</v>
      </c>
      <c r="D393" s="65">
        <v>1</v>
      </c>
      <c r="E393" s="64">
        <v>0</v>
      </c>
    </row>
    <row r="394" spans="2:5">
      <c r="B394" s="97"/>
      <c r="C394" s="62" t="s">
        <v>204</v>
      </c>
      <c r="D394" s="65">
        <v>5</v>
      </c>
      <c r="E394" s="64">
        <v>1E-3</v>
      </c>
    </row>
    <row r="395" spans="2:5">
      <c r="B395" s="97"/>
      <c r="C395" s="80" t="s">
        <v>288</v>
      </c>
      <c r="D395" s="78">
        <v>34</v>
      </c>
      <c r="E395" s="79">
        <v>6.0000000000000001E-3</v>
      </c>
    </row>
    <row r="396" spans="2:5">
      <c r="B396" s="97" t="s">
        <v>68</v>
      </c>
      <c r="C396" s="62" t="s">
        <v>190</v>
      </c>
      <c r="D396" s="65">
        <v>2</v>
      </c>
      <c r="E396" s="64">
        <v>0</v>
      </c>
    </row>
    <row r="397" spans="2:5">
      <c r="B397" s="97"/>
      <c r="C397" s="62" t="s">
        <v>263</v>
      </c>
      <c r="D397" s="65">
        <v>2</v>
      </c>
      <c r="E397" s="64">
        <v>0</v>
      </c>
    </row>
    <row r="398" spans="2:5">
      <c r="B398" s="97"/>
      <c r="C398" s="62" t="s">
        <v>264</v>
      </c>
      <c r="D398" s="65">
        <v>1</v>
      </c>
      <c r="E398" s="64">
        <v>0</v>
      </c>
    </row>
    <row r="399" spans="2:5">
      <c r="B399" s="97"/>
      <c r="C399" s="62" t="s">
        <v>267</v>
      </c>
      <c r="D399" s="65">
        <v>3</v>
      </c>
      <c r="E399" s="64">
        <v>1E-3</v>
      </c>
    </row>
    <row r="400" spans="2:5">
      <c r="B400" s="97"/>
      <c r="C400" s="62" t="s">
        <v>197</v>
      </c>
      <c r="D400" s="65">
        <v>4</v>
      </c>
      <c r="E400" s="64">
        <v>1E-3</v>
      </c>
    </row>
    <row r="401" spans="2:5">
      <c r="B401" s="97"/>
      <c r="C401" s="62" t="s">
        <v>201</v>
      </c>
      <c r="D401" s="65">
        <v>16</v>
      </c>
      <c r="E401" s="64">
        <v>3.0000000000000001E-3</v>
      </c>
    </row>
    <row r="402" spans="2:5">
      <c r="B402" s="97"/>
      <c r="C402" s="62" t="s">
        <v>203</v>
      </c>
      <c r="D402" s="65">
        <v>1</v>
      </c>
      <c r="E402" s="64">
        <v>0</v>
      </c>
    </row>
    <row r="403" spans="2:5">
      <c r="B403" s="97"/>
      <c r="C403" s="62" t="s">
        <v>204</v>
      </c>
      <c r="D403" s="65">
        <v>11</v>
      </c>
      <c r="E403" s="64">
        <v>2E-3</v>
      </c>
    </row>
    <row r="404" spans="2:5">
      <c r="B404" s="97"/>
      <c r="C404" s="62" t="s">
        <v>210</v>
      </c>
      <c r="D404" s="65">
        <v>2</v>
      </c>
      <c r="E404" s="64">
        <v>0</v>
      </c>
    </row>
    <row r="405" spans="2:5">
      <c r="B405" s="97"/>
      <c r="C405" s="80" t="s">
        <v>288</v>
      </c>
      <c r="D405" s="78">
        <v>42</v>
      </c>
      <c r="E405" s="79">
        <v>7.0000000000000001E-3</v>
      </c>
    </row>
    <row r="406" spans="2:5">
      <c r="B406" s="97" t="s">
        <v>258</v>
      </c>
      <c r="C406" s="62" t="s">
        <v>201</v>
      </c>
      <c r="D406" s="65">
        <v>1</v>
      </c>
      <c r="E406" s="64">
        <v>0</v>
      </c>
    </row>
    <row r="407" spans="2:5">
      <c r="B407" s="97"/>
      <c r="C407" s="80" t="s">
        <v>288</v>
      </c>
      <c r="D407" s="78">
        <v>1</v>
      </c>
      <c r="E407" s="79">
        <v>0</v>
      </c>
    </row>
    <row r="408" spans="2:5">
      <c r="B408" s="97" t="s">
        <v>52</v>
      </c>
      <c r="C408" s="62" t="s">
        <v>190</v>
      </c>
      <c r="D408" s="65">
        <v>2</v>
      </c>
      <c r="E408" s="64">
        <v>0</v>
      </c>
    </row>
    <row r="409" spans="2:5">
      <c r="B409" s="97"/>
      <c r="C409" s="62" t="s">
        <v>262</v>
      </c>
      <c r="D409" s="65">
        <v>1</v>
      </c>
      <c r="E409" s="64">
        <v>0</v>
      </c>
    </row>
    <row r="410" spans="2:5">
      <c r="B410" s="97"/>
      <c r="C410" s="62" t="s">
        <v>264</v>
      </c>
      <c r="D410" s="65">
        <v>1</v>
      </c>
      <c r="E410" s="64">
        <v>0</v>
      </c>
    </row>
    <row r="411" spans="2:5">
      <c r="B411" s="97"/>
      <c r="C411" s="62" t="s">
        <v>265</v>
      </c>
      <c r="D411" s="65">
        <v>2</v>
      </c>
      <c r="E411" s="64">
        <v>0</v>
      </c>
    </row>
    <row r="412" spans="2:5">
      <c r="B412" s="97"/>
      <c r="C412" s="62" t="s">
        <v>266</v>
      </c>
      <c r="D412" s="65">
        <v>1</v>
      </c>
      <c r="E412" s="64">
        <v>0</v>
      </c>
    </row>
    <row r="413" spans="2:5">
      <c r="B413" s="97"/>
      <c r="C413" s="62" t="s">
        <v>267</v>
      </c>
      <c r="D413" s="65">
        <v>5</v>
      </c>
      <c r="E413" s="64">
        <v>1E-3</v>
      </c>
    </row>
    <row r="414" spans="2:5">
      <c r="B414" s="97"/>
      <c r="C414" s="62" t="s">
        <v>197</v>
      </c>
      <c r="D414" s="65">
        <v>18</v>
      </c>
      <c r="E414" s="64">
        <v>3.0000000000000001E-3</v>
      </c>
    </row>
    <row r="415" spans="2:5">
      <c r="B415" s="97"/>
      <c r="C415" s="62" t="s">
        <v>269</v>
      </c>
      <c r="D415" s="65">
        <v>3</v>
      </c>
      <c r="E415" s="64">
        <v>1E-3</v>
      </c>
    </row>
    <row r="416" spans="2:5">
      <c r="B416" s="97"/>
      <c r="C416" s="62" t="s">
        <v>270</v>
      </c>
      <c r="D416" s="65">
        <v>7</v>
      </c>
      <c r="E416" s="64">
        <v>1E-3</v>
      </c>
    </row>
    <row r="417" spans="2:5">
      <c r="B417" s="97"/>
      <c r="C417" s="62" t="s">
        <v>201</v>
      </c>
      <c r="D417" s="65">
        <v>66</v>
      </c>
      <c r="E417" s="64">
        <v>1.2E-2</v>
      </c>
    </row>
    <row r="418" spans="2:5">
      <c r="B418" s="97"/>
      <c r="C418" s="62" t="s">
        <v>202</v>
      </c>
      <c r="D418" s="65">
        <v>3</v>
      </c>
      <c r="E418" s="64">
        <v>1E-3</v>
      </c>
    </row>
    <row r="419" spans="2:5">
      <c r="B419" s="97"/>
      <c r="C419" s="62" t="s">
        <v>203</v>
      </c>
      <c r="D419" s="65">
        <v>8</v>
      </c>
      <c r="E419" s="64">
        <v>1E-3</v>
      </c>
    </row>
    <row r="420" spans="2:5">
      <c r="B420" s="97"/>
      <c r="C420" s="62" t="s">
        <v>204</v>
      </c>
      <c r="D420" s="65">
        <v>20</v>
      </c>
      <c r="E420" s="64">
        <v>4.0000000000000001E-3</v>
      </c>
    </row>
    <row r="421" spans="2:5">
      <c r="B421" s="97"/>
      <c r="C421" s="62" t="s">
        <v>209</v>
      </c>
      <c r="D421" s="65">
        <v>2</v>
      </c>
      <c r="E421" s="64">
        <v>0</v>
      </c>
    </row>
    <row r="422" spans="2:5">
      <c r="B422" s="97"/>
      <c r="C422" s="62" t="s">
        <v>210</v>
      </c>
      <c r="D422" s="65">
        <v>1</v>
      </c>
      <c r="E422" s="64">
        <v>0</v>
      </c>
    </row>
    <row r="423" spans="2:5">
      <c r="B423" s="97"/>
      <c r="C423" s="80" t="s">
        <v>288</v>
      </c>
      <c r="D423" s="78">
        <v>140</v>
      </c>
      <c r="E423" s="79">
        <v>2.5000000000000001E-2</v>
      </c>
    </row>
    <row r="424" spans="2:5">
      <c r="B424" s="97" t="s">
        <v>64</v>
      </c>
      <c r="C424" s="62" t="s">
        <v>264</v>
      </c>
      <c r="D424" s="65">
        <v>2</v>
      </c>
      <c r="E424" s="64">
        <v>0</v>
      </c>
    </row>
    <row r="425" spans="2:5">
      <c r="B425" s="97"/>
      <c r="C425" s="62" t="s">
        <v>267</v>
      </c>
      <c r="D425" s="65">
        <v>4</v>
      </c>
      <c r="E425" s="64">
        <v>1E-3</v>
      </c>
    </row>
    <row r="426" spans="2:5">
      <c r="B426" s="97"/>
      <c r="C426" s="62" t="s">
        <v>197</v>
      </c>
      <c r="D426" s="65">
        <v>5</v>
      </c>
      <c r="E426" s="64">
        <v>1E-3</v>
      </c>
    </row>
    <row r="427" spans="2:5">
      <c r="B427" s="97"/>
      <c r="C427" s="62" t="s">
        <v>269</v>
      </c>
      <c r="D427" s="65">
        <v>4</v>
      </c>
      <c r="E427" s="64">
        <v>1E-3</v>
      </c>
    </row>
    <row r="428" spans="2:5">
      <c r="B428" s="97"/>
      <c r="C428" s="62" t="s">
        <v>270</v>
      </c>
      <c r="D428" s="65">
        <v>5</v>
      </c>
      <c r="E428" s="64">
        <v>1E-3</v>
      </c>
    </row>
    <row r="429" spans="2:5">
      <c r="B429" s="97"/>
      <c r="C429" s="62" t="s">
        <v>201</v>
      </c>
      <c r="D429" s="65">
        <v>16</v>
      </c>
      <c r="E429" s="64">
        <v>3.0000000000000001E-3</v>
      </c>
    </row>
    <row r="430" spans="2:5">
      <c r="B430" s="97"/>
      <c r="C430" s="62" t="s">
        <v>203</v>
      </c>
      <c r="D430" s="65">
        <v>3</v>
      </c>
      <c r="E430" s="64">
        <v>1E-3</v>
      </c>
    </row>
    <row r="431" spans="2:5">
      <c r="B431" s="97"/>
      <c r="C431" s="62" t="s">
        <v>204</v>
      </c>
      <c r="D431" s="65">
        <v>12</v>
      </c>
      <c r="E431" s="64">
        <v>2E-3</v>
      </c>
    </row>
    <row r="432" spans="2:5">
      <c r="B432" s="97"/>
      <c r="C432" s="62" t="s">
        <v>210</v>
      </c>
      <c r="D432" s="65">
        <v>2</v>
      </c>
      <c r="E432" s="64">
        <v>0</v>
      </c>
    </row>
    <row r="433" spans="2:5">
      <c r="B433" s="97"/>
      <c r="C433" s="80" t="s">
        <v>288</v>
      </c>
      <c r="D433" s="78">
        <v>53</v>
      </c>
      <c r="E433" s="79">
        <v>8.9999999999999993E-3</v>
      </c>
    </row>
    <row r="434" spans="2:5">
      <c r="B434" s="97" t="s">
        <v>62</v>
      </c>
      <c r="C434" s="62" t="s">
        <v>265</v>
      </c>
      <c r="D434" s="65">
        <v>1</v>
      </c>
      <c r="E434" s="64">
        <v>0</v>
      </c>
    </row>
    <row r="435" spans="2:5">
      <c r="B435" s="97"/>
      <c r="C435" s="62" t="s">
        <v>197</v>
      </c>
      <c r="D435" s="65">
        <v>9</v>
      </c>
      <c r="E435" s="64">
        <v>2E-3</v>
      </c>
    </row>
    <row r="436" spans="2:5">
      <c r="B436" s="97"/>
      <c r="C436" s="62" t="s">
        <v>268</v>
      </c>
      <c r="D436" s="65">
        <v>1</v>
      </c>
      <c r="E436" s="64">
        <v>0</v>
      </c>
    </row>
    <row r="437" spans="2:5">
      <c r="B437" s="97"/>
      <c r="C437" s="62" t="s">
        <v>269</v>
      </c>
      <c r="D437" s="65">
        <v>1</v>
      </c>
      <c r="E437" s="64">
        <v>0</v>
      </c>
    </row>
    <row r="438" spans="2:5">
      <c r="B438" s="97"/>
      <c r="C438" s="62" t="s">
        <v>270</v>
      </c>
      <c r="D438" s="65">
        <v>2</v>
      </c>
      <c r="E438" s="64">
        <v>0</v>
      </c>
    </row>
    <row r="439" spans="2:5">
      <c r="B439" s="97"/>
      <c r="C439" s="62" t="s">
        <v>201</v>
      </c>
      <c r="D439" s="65">
        <v>21</v>
      </c>
      <c r="E439" s="64">
        <v>4.0000000000000001E-3</v>
      </c>
    </row>
    <row r="440" spans="2:5">
      <c r="B440" s="97"/>
      <c r="C440" s="62" t="s">
        <v>202</v>
      </c>
      <c r="D440" s="65">
        <v>1</v>
      </c>
      <c r="E440" s="64">
        <v>0</v>
      </c>
    </row>
    <row r="441" spans="2:5">
      <c r="B441" s="97"/>
      <c r="C441" s="62" t="s">
        <v>203</v>
      </c>
      <c r="D441" s="65">
        <v>2</v>
      </c>
      <c r="E441" s="64">
        <v>0</v>
      </c>
    </row>
    <row r="442" spans="2:5">
      <c r="B442" s="97"/>
      <c r="C442" s="62" t="s">
        <v>204</v>
      </c>
      <c r="D442" s="65">
        <v>19</v>
      </c>
      <c r="E442" s="64">
        <v>3.0000000000000001E-3</v>
      </c>
    </row>
    <row r="443" spans="2:5">
      <c r="B443" s="97"/>
      <c r="C443" s="62" t="s">
        <v>209</v>
      </c>
      <c r="D443" s="65">
        <v>1</v>
      </c>
      <c r="E443" s="64">
        <v>0</v>
      </c>
    </row>
    <row r="444" spans="2:5">
      <c r="B444" s="97"/>
      <c r="C444" s="62" t="s">
        <v>210</v>
      </c>
      <c r="D444" s="65">
        <v>3</v>
      </c>
      <c r="E444" s="64">
        <v>1E-3</v>
      </c>
    </row>
    <row r="445" spans="2:5">
      <c r="B445" s="97"/>
      <c r="C445" s="62" t="s">
        <v>212</v>
      </c>
      <c r="D445" s="65">
        <v>1</v>
      </c>
      <c r="E445" s="64">
        <v>0</v>
      </c>
    </row>
    <row r="446" spans="2:5">
      <c r="B446" s="97"/>
      <c r="C446" s="80" t="s">
        <v>288</v>
      </c>
      <c r="D446" s="78">
        <v>62</v>
      </c>
      <c r="E446" s="79">
        <v>1.0999999999999999E-2</v>
      </c>
    </row>
    <row r="447" spans="2:5">
      <c r="B447" s="97" t="s">
        <v>53</v>
      </c>
      <c r="C447" s="62" t="s">
        <v>266</v>
      </c>
      <c r="D447" s="65">
        <v>1</v>
      </c>
      <c r="E447" s="64">
        <v>0</v>
      </c>
    </row>
    <row r="448" spans="2:5">
      <c r="B448" s="97"/>
      <c r="C448" s="62" t="s">
        <v>267</v>
      </c>
      <c r="D448" s="65">
        <v>8</v>
      </c>
      <c r="E448" s="64">
        <v>1E-3</v>
      </c>
    </row>
    <row r="449" spans="2:5">
      <c r="B449" s="97"/>
      <c r="C449" s="62" t="s">
        <v>197</v>
      </c>
      <c r="D449" s="65">
        <v>16</v>
      </c>
      <c r="E449" s="64">
        <v>3.0000000000000001E-3</v>
      </c>
    </row>
    <row r="450" spans="2:5">
      <c r="B450" s="97"/>
      <c r="C450" s="62" t="s">
        <v>268</v>
      </c>
      <c r="D450" s="65">
        <v>1</v>
      </c>
      <c r="E450" s="64">
        <v>0</v>
      </c>
    </row>
    <row r="451" spans="2:5">
      <c r="B451" s="97"/>
      <c r="C451" s="62" t="s">
        <v>269</v>
      </c>
      <c r="D451" s="65">
        <v>5</v>
      </c>
      <c r="E451" s="64">
        <v>1E-3</v>
      </c>
    </row>
    <row r="452" spans="2:5">
      <c r="B452" s="97"/>
      <c r="C452" s="62" t="s">
        <v>270</v>
      </c>
      <c r="D452" s="65">
        <v>11</v>
      </c>
      <c r="E452" s="64">
        <v>2E-3</v>
      </c>
    </row>
    <row r="453" spans="2:5">
      <c r="B453" s="97"/>
      <c r="C453" s="62" t="s">
        <v>201</v>
      </c>
      <c r="D453" s="65">
        <v>81</v>
      </c>
      <c r="E453" s="64">
        <v>1.4E-2</v>
      </c>
    </row>
    <row r="454" spans="2:5">
      <c r="B454" s="97"/>
      <c r="C454" s="62" t="s">
        <v>202</v>
      </c>
      <c r="D454" s="65">
        <v>2</v>
      </c>
      <c r="E454" s="64">
        <v>0</v>
      </c>
    </row>
    <row r="455" spans="2:5">
      <c r="B455" s="97"/>
      <c r="C455" s="62" t="s">
        <v>203</v>
      </c>
      <c r="D455" s="65">
        <v>7</v>
      </c>
      <c r="E455" s="64">
        <v>1E-3</v>
      </c>
    </row>
    <row r="456" spans="2:5">
      <c r="B456" s="97"/>
      <c r="C456" s="62" t="s">
        <v>204</v>
      </c>
      <c r="D456" s="65">
        <v>57</v>
      </c>
      <c r="E456" s="64">
        <v>0.01</v>
      </c>
    </row>
    <row r="457" spans="2:5">
      <c r="B457" s="97"/>
      <c r="C457" s="62" t="s">
        <v>271</v>
      </c>
      <c r="D457" s="65">
        <v>1</v>
      </c>
      <c r="E457" s="64">
        <v>0</v>
      </c>
    </row>
    <row r="458" spans="2:5">
      <c r="B458" s="97"/>
      <c r="C458" s="62" t="s">
        <v>209</v>
      </c>
      <c r="D458" s="65">
        <v>4</v>
      </c>
      <c r="E458" s="64">
        <v>1E-3</v>
      </c>
    </row>
    <row r="459" spans="2:5">
      <c r="B459" s="97"/>
      <c r="C459" s="62" t="s">
        <v>210</v>
      </c>
      <c r="D459" s="65">
        <v>11</v>
      </c>
      <c r="E459" s="64">
        <v>2E-3</v>
      </c>
    </row>
    <row r="460" spans="2:5">
      <c r="B460" s="97"/>
      <c r="C460" s="80" t="s">
        <v>288</v>
      </c>
      <c r="D460" s="78">
        <v>205</v>
      </c>
      <c r="E460" s="79">
        <v>3.6999999999999998E-2</v>
      </c>
    </row>
    <row r="461" spans="2:5">
      <c r="B461" s="97" t="s">
        <v>81</v>
      </c>
      <c r="C461" s="62" t="s">
        <v>267</v>
      </c>
      <c r="D461" s="65">
        <v>3</v>
      </c>
      <c r="E461" s="64">
        <v>1E-3</v>
      </c>
    </row>
    <row r="462" spans="2:5">
      <c r="B462" s="97"/>
      <c r="C462" s="62" t="s">
        <v>197</v>
      </c>
      <c r="D462" s="65">
        <v>1</v>
      </c>
      <c r="E462" s="64">
        <v>0</v>
      </c>
    </row>
    <row r="463" spans="2:5">
      <c r="B463" s="97"/>
      <c r="C463" s="62" t="s">
        <v>270</v>
      </c>
      <c r="D463" s="65">
        <v>3</v>
      </c>
      <c r="E463" s="64">
        <v>1E-3</v>
      </c>
    </row>
    <row r="464" spans="2:5">
      <c r="B464" s="97"/>
      <c r="C464" s="62" t="s">
        <v>201</v>
      </c>
      <c r="D464" s="65">
        <v>7</v>
      </c>
      <c r="E464" s="64">
        <v>1E-3</v>
      </c>
    </row>
    <row r="465" spans="2:5">
      <c r="B465" s="97"/>
      <c r="C465" s="62" t="s">
        <v>202</v>
      </c>
      <c r="D465" s="65">
        <v>3</v>
      </c>
      <c r="E465" s="64">
        <v>1E-3</v>
      </c>
    </row>
    <row r="466" spans="2:5">
      <c r="B466" s="97"/>
      <c r="C466" s="62" t="s">
        <v>203</v>
      </c>
      <c r="D466" s="65">
        <v>2</v>
      </c>
      <c r="E466" s="64">
        <v>0</v>
      </c>
    </row>
    <row r="467" spans="2:5">
      <c r="B467" s="97"/>
      <c r="C467" s="62" t="s">
        <v>204</v>
      </c>
      <c r="D467" s="65">
        <v>6</v>
      </c>
      <c r="E467" s="64">
        <v>1E-3</v>
      </c>
    </row>
    <row r="468" spans="2:5">
      <c r="B468" s="97"/>
      <c r="C468" s="62" t="s">
        <v>271</v>
      </c>
      <c r="D468" s="65">
        <v>1</v>
      </c>
      <c r="E468" s="64">
        <v>0</v>
      </c>
    </row>
    <row r="469" spans="2:5">
      <c r="B469" s="97"/>
      <c r="C469" s="80" t="s">
        <v>288</v>
      </c>
      <c r="D469" s="78">
        <v>26</v>
      </c>
      <c r="E469" s="79">
        <v>5.0000000000000001E-3</v>
      </c>
    </row>
    <row r="470" spans="2:5">
      <c r="B470" s="97" t="s">
        <v>60</v>
      </c>
      <c r="C470" s="62" t="s">
        <v>190</v>
      </c>
      <c r="D470" s="65">
        <v>2</v>
      </c>
      <c r="E470" s="64">
        <v>0</v>
      </c>
    </row>
    <row r="471" spans="2:5">
      <c r="B471" s="97"/>
      <c r="C471" s="62" t="s">
        <v>263</v>
      </c>
      <c r="D471" s="65">
        <v>1</v>
      </c>
      <c r="E471" s="64">
        <v>0</v>
      </c>
    </row>
    <row r="472" spans="2:5">
      <c r="B472" s="97"/>
      <c r="C472" s="62" t="s">
        <v>265</v>
      </c>
      <c r="D472" s="65">
        <v>1</v>
      </c>
      <c r="E472" s="64">
        <v>0</v>
      </c>
    </row>
    <row r="473" spans="2:5">
      <c r="B473" s="97"/>
      <c r="C473" s="62" t="s">
        <v>266</v>
      </c>
      <c r="D473" s="65">
        <v>3</v>
      </c>
      <c r="E473" s="64">
        <v>1E-3</v>
      </c>
    </row>
    <row r="474" spans="2:5">
      <c r="B474" s="97"/>
      <c r="C474" s="62" t="s">
        <v>267</v>
      </c>
      <c r="D474" s="65">
        <v>8</v>
      </c>
      <c r="E474" s="64">
        <v>1E-3</v>
      </c>
    </row>
    <row r="475" spans="2:5">
      <c r="B475" s="97"/>
      <c r="C475" s="62" t="s">
        <v>197</v>
      </c>
      <c r="D475" s="65">
        <v>9</v>
      </c>
      <c r="E475" s="64">
        <v>2E-3</v>
      </c>
    </row>
    <row r="476" spans="2:5">
      <c r="B476" s="97"/>
      <c r="C476" s="62" t="s">
        <v>270</v>
      </c>
      <c r="D476" s="65">
        <v>3</v>
      </c>
      <c r="E476" s="64">
        <v>1E-3</v>
      </c>
    </row>
    <row r="477" spans="2:5">
      <c r="B477" s="97"/>
      <c r="C477" s="62" t="s">
        <v>201</v>
      </c>
      <c r="D477" s="65">
        <v>23</v>
      </c>
      <c r="E477" s="64">
        <v>4.0000000000000001E-3</v>
      </c>
    </row>
    <row r="478" spans="2:5">
      <c r="B478" s="97"/>
      <c r="C478" s="62" t="s">
        <v>202</v>
      </c>
      <c r="D478" s="65">
        <v>3</v>
      </c>
      <c r="E478" s="64">
        <v>1E-3</v>
      </c>
    </row>
    <row r="479" spans="2:5">
      <c r="B479" s="97"/>
      <c r="C479" s="62" t="s">
        <v>203</v>
      </c>
      <c r="D479" s="65">
        <v>4</v>
      </c>
      <c r="E479" s="64">
        <v>1E-3</v>
      </c>
    </row>
    <row r="480" spans="2:5">
      <c r="B480" s="97"/>
      <c r="C480" s="62" t="s">
        <v>204</v>
      </c>
      <c r="D480" s="65">
        <v>12</v>
      </c>
      <c r="E480" s="64">
        <v>2E-3</v>
      </c>
    </row>
    <row r="481" spans="2:5">
      <c r="B481" s="97"/>
      <c r="C481" s="62" t="s">
        <v>271</v>
      </c>
      <c r="D481" s="65">
        <v>2</v>
      </c>
      <c r="E481" s="64">
        <v>0</v>
      </c>
    </row>
    <row r="482" spans="2:5">
      <c r="B482" s="97"/>
      <c r="C482" s="62" t="s">
        <v>274</v>
      </c>
      <c r="D482" s="65">
        <v>1</v>
      </c>
      <c r="E482" s="64">
        <v>0</v>
      </c>
    </row>
    <row r="483" spans="2:5">
      <c r="B483" s="97"/>
      <c r="C483" s="62" t="s">
        <v>209</v>
      </c>
      <c r="D483" s="65">
        <v>1</v>
      </c>
      <c r="E483" s="64">
        <v>0</v>
      </c>
    </row>
    <row r="484" spans="2:5">
      <c r="B484" s="97"/>
      <c r="C484" s="62" t="s">
        <v>210</v>
      </c>
      <c r="D484" s="65">
        <v>1</v>
      </c>
      <c r="E484" s="64">
        <v>0</v>
      </c>
    </row>
    <row r="485" spans="2:5">
      <c r="B485" s="97"/>
      <c r="C485" s="80" t="s">
        <v>288</v>
      </c>
      <c r="D485" s="78">
        <v>74</v>
      </c>
      <c r="E485" s="79">
        <v>1.2999999999999999E-2</v>
      </c>
    </row>
    <row r="486" spans="2:5">
      <c r="B486" s="97" t="s">
        <v>59</v>
      </c>
      <c r="C486" s="62" t="s">
        <v>190</v>
      </c>
      <c r="D486" s="65">
        <v>1</v>
      </c>
      <c r="E486" s="64">
        <v>0</v>
      </c>
    </row>
    <row r="487" spans="2:5">
      <c r="B487" s="97"/>
      <c r="C487" s="62" t="s">
        <v>262</v>
      </c>
      <c r="D487" s="65">
        <v>1</v>
      </c>
      <c r="E487" s="64">
        <v>0</v>
      </c>
    </row>
    <row r="488" spans="2:5">
      <c r="B488" s="97"/>
      <c r="C488" s="62" t="s">
        <v>263</v>
      </c>
      <c r="D488" s="65">
        <v>2</v>
      </c>
      <c r="E488" s="64">
        <v>0</v>
      </c>
    </row>
    <row r="489" spans="2:5">
      <c r="B489" s="97"/>
      <c r="C489" s="62" t="s">
        <v>266</v>
      </c>
      <c r="D489" s="65">
        <v>3</v>
      </c>
      <c r="E489" s="64">
        <v>1E-3</v>
      </c>
    </row>
    <row r="490" spans="2:5">
      <c r="B490" s="97"/>
      <c r="C490" s="62" t="s">
        <v>267</v>
      </c>
      <c r="D490" s="65">
        <v>5</v>
      </c>
      <c r="E490" s="64">
        <v>1E-3</v>
      </c>
    </row>
    <row r="491" spans="2:5">
      <c r="B491" s="97"/>
      <c r="C491" s="62" t="s">
        <v>197</v>
      </c>
      <c r="D491" s="65">
        <v>15</v>
      </c>
      <c r="E491" s="64">
        <v>3.0000000000000001E-3</v>
      </c>
    </row>
    <row r="492" spans="2:5">
      <c r="B492" s="97"/>
      <c r="C492" s="62" t="s">
        <v>268</v>
      </c>
      <c r="D492" s="65">
        <v>2</v>
      </c>
      <c r="E492" s="64">
        <v>0</v>
      </c>
    </row>
    <row r="493" spans="2:5">
      <c r="B493" s="97"/>
      <c r="C493" s="62" t="s">
        <v>269</v>
      </c>
      <c r="D493" s="65">
        <v>1</v>
      </c>
      <c r="E493" s="64">
        <v>0</v>
      </c>
    </row>
    <row r="494" spans="2:5">
      <c r="B494" s="97"/>
      <c r="C494" s="62" t="s">
        <v>270</v>
      </c>
      <c r="D494" s="65">
        <v>3</v>
      </c>
      <c r="E494" s="64">
        <v>1E-3</v>
      </c>
    </row>
    <row r="495" spans="2:5">
      <c r="B495" s="97"/>
      <c r="C495" s="62" t="s">
        <v>201</v>
      </c>
      <c r="D495" s="65">
        <v>44</v>
      </c>
      <c r="E495" s="64">
        <v>8.0000000000000002E-3</v>
      </c>
    </row>
    <row r="496" spans="2:5">
      <c r="B496" s="97"/>
      <c r="C496" s="62" t="s">
        <v>202</v>
      </c>
      <c r="D496" s="65">
        <v>1</v>
      </c>
      <c r="E496" s="64">
        <v>0</v>
      </c>
    </row>
    <row r="497" spans="2:5">
      <c r="B497" s="97"/>
      <c r="C497" s="62" t="s">
        <v>203</v>
      </c>
      <c r="D497" s="65">
        <v>2</v>
      </c>
      <c r="E497" s="64">
        <v>0</v>
      </c>
    </row>
    <row r="498" spans="2:5">
      <c r="B498" s="97"/>
      <c r="C498" s="62" t="s">
        <v>204</v>
      </c>
      <c r="D498" s="65">
        <v>25</v>
      </c>
      <c r="E498" s="64">
        <v>4.0000000000000001E-3</v>
      </c>
    </row>
    <row r="499" spans="2:5">
      <c r="B499" s="97"/>
      <c r="C499" s="62" t="s">
        <v>271</v>
      </c>
      <c r="D499" s="65">
        <v>1</v>
      </c>
      <c r="E499" s="64">
        <v>0</v>
      </c>
    </row>
    <row r="500" spans="2:5">
      <c r="B500" s="97"/>
      <c r="C500" s="62" t="s">
        <v>272</v>
      </c>
      <c r="D500" s="65">
        <v>1</v>
      </c>
      <c r="E500" s="64">
        <v>0</v>
      </c>
    </row>
    <row r="501" spans="2:5">
      <c r="B501" s="97"/>
      <c r="C501" s="62" t="s">
        <v>274</v>
      </c>
      <c r="D501" s="65">
        <v>2</v>
      </c>
      <c r="E501" s="64">
        <v>0</v>
      </c>
    </row>
    <row r="502" spans="2:5">
      <c r="B502" s="97"/>
      <c r="C502" s="62" t="s">
        <v>210</v>
      </c>
      <c r="D502" s="65">
        <v>3</v>
      </c>
      <c r="E502" s="64">
        <v>1E-3</v>
      </c>
    </row>
    <row r="503" spans="2:5">
      <c r="B503" s="97"/>
      <c r="C503" s="80" t="s">
        <v>288</v>
      </c>
      <c r="D503" s="78">
        <v>112</v>
      </c>
      <c r="E503" s="79">
        <v>0.02</v>
      </c>
    </row>
    <row r="504" spans="2:5">
      <c r="B504" s="97" t="s">
        <v>58</v>
      </c>
      <c r="C504" s="62" t="s">
        <v>190</v>
      </c>
      <c r="D504" s="65">
        <v>1</v>
      </c>
      <c r="E504" s="64">
        <v>0</v>
      </c>
    </row>
    <row r="505" spans="2:5">
      <c r="B505" s="97"/>
      <c r="C505" s="62" t="s">
        <v>262</v>
      </c>
      <c r="D505" s="65">
        <v>1</v>
      </c>
      <c r="E505" s="64">
        <v>0</v>
      </c>
    </row>
    <row r="506" spans="2:5">
      <c r="B506" s="97"/>
      <c r="C506" s="62" t="s">
        <v>264</v>
      </c>
      <c r="D506" s="65">
        <v>1</v>
      </c>
      <c r="E506" s="64">
        <v>0</v>
      </c>
    </row>
    <row r="507" spans="2:5">
      <c r="B507" s="97"/>
      <c r="C507" s="62" t="s">
        <v>265</v>
      </c>
      <c r="D507" s="65">
        <v>1</v>
      </c>
      <c r="E507" s="64">
        <v>0</v>
      </c>
    </row>
    <row r="508" spans="2:5">
      <c r="B508" s="97"/>
      <c r="C508" s="62" t="s">
        <v>267</v>
      </c>
      <c r="D508" s="65">
        <v>4</v>
      </c>
      <c r="E508" s="64">
        <v>1E-3</v>
      </c>
    </row>
    <row r="509" spans="2:5">
      <c r="B509" s="97"/>
      <c r="C509" s="62" t="s">
        <v>197</v>
      </c>
      <c r="D509" s="65">
        <v>9</v>
      </c>
      <c r="E509" s="64">
        <v>2E-3</v>
      </c>
    </row>
    <row r="510" spans="2:5">
      <c r="B510" s="97"/>
      <c r="C510" s="62" t="s">
        <v>268</v>
      </c>
      <c r="D510" s="65">
        <v>3</v>
      </c>
      <c r="E510" s="64">
        <v>1E-3</v>
      </c>
    </row>
    <row r="511" spans="2:5">
      <c r="B511" s="97"/>
      <c r="C511" s="62" t="s">
        <v>270</v>
      </c>
      <c r="D511" s="65">
        <v>2</v>
      </c>
      <c r="E511" s="64">
        <v>0</v>
      </c>
    </row>
    <row r="512" spans="2:5">
      <c r="B512" s="97"/>
      <c r="C512" s="62" t="s">
        <v>201</v>
      </c>
      <c r="D512" s="65">
        <v>24</v>
      </c>
      <c r="E512" s="64">
        <v>4.0000000000000001E-3</v>
      </c>
    </row>
    <row r="513" spans="2:5">
      <c r="B513" s="97"/>
      <c r="C513" s="62" t="s">
        <v>203</v>
      </c>
      <c r="D513" s="65">
        <v>1</v>
      </c>
      <c r="E513" s="64">
        <v>0</v>
      </c>
    </row>
    <row r="514" spans="2:5">
      <c r="B514" s="97"/>
      <c r="C514" s="62" t="s">
        <v>204</v>
      </c>
      <c r="D514" s="65">
        <v>17</v>
      </c>
      <c r="E514" s="64">
        <v>3.0000000000000001E-3</v>
      </c>
    </row>
    <row r="515" spans="2:5">
      <c r="B515" s="97"/>
      <c r="C515" s="62" t="s">
        <v>271</v>
      </c>
      <c r="D515" s="65">
        <v>1</v>
      </c>
      <c r="E515" s="64">
        <v>0</v>
      </c>
    </row>
    <row r="516" spans="2:5">
      <c r="B516" s="97"/>
      <c r="C516" s="62" t="s">
        <v>272</v>
      </c>
      <c r="D516" s="65">
        <v>1</v>
      </c>
      <c r="E516" s="64">
        <v>0</v>
      </c>
    </row>
    <row r="517" spans="2:5">
      <c r="B517" s="97"/>
      <c r="C517" s="62" t="s">
        <v>273</v>
      </c>
      <c r="D517" s="65">
        <v>1</v>
      </c>
      <c r="E517" s="64">
        <v>0</v>
      </c>
    </row>
    <row r="518" spans="2:5">
      <c r="B518" s="97"/>
      <c r="C518" s="62" t="s">
        <v>209</v>
      </c>
      <c r="D518" s="65">
        <v>1</v>
      </c>
      <c r="E518" s="64">
        <v>0</v>
      </c>
    </row>
    <row r="519" spans="2:5">
      <c r="B519" s="97"/>
      <c r="C519" s="62" t="s">
        <v>210</v>
      </c>
      <c r="D519" s="65">
        <v>1</v>
      </c>
      <c r="E519" s="64">
        <v>0</v>
      </c>
    </row>
    <row r="520" spans="2:5">
      <c r="B520" s="97"/>
      <c r="C520" s="80" t="s">
        <v>288</v>
      </c>
      <c r="D520" s="78">
        <v>69</v>
      </c>
      <c r="E520" s="79">
        <v>1.2E-2</v>
      </c>
    </row>
    <row r="521" spans="2:5" ht="15" customHeight="1">
      <c r="B521" s="97" t="s">
        <v>65</v>
      </c>
      <c r="C521" s="62" t="s">
        <v>262</v>
      </c>
      <c r="D521" s="65">
        <v>1</v>
      </c>
      <c r="E521" s="64">
        <v>0</v>
      </c>
    </row>
    <row r="522" spans="2:5" ht="15" customHeight="1">
      <c r="B522" s="97"/>
      <c r="C522" s="62" t="s">
        <v>264</v>
      </c>
      <c r="D522" s="65">
        <v>1</v>
      </c>
      <c r="E522" s="64">
        <v>0</v>
      </c>
    </row>
    <row r="523" spans="2:5" ht="15" customHeight="1">
      <c r="B523" s="97"/>
      <c r="C523" s="62" t="s">
        <v>267</v>
      </c>
      <c r="D523" s="65">
        <v>4</v>
      </c>
      <c r="E523" s="64">
        <v>1E-3</v>
      </c>
    </row>
    <row r="524" spans="2:5" ht="15" customHeight="1">
      <c r="B524" s="97"/>
      <c r="C524" s="62" t="s">
        <v>197</v>
      </c>
      <c r="D524" s="65">
        <v>5</v>
      </c>
      <c r="E524" s="64">
        <v>1E-3</v>
      </c>
    </row>
    <row r="525" spans="2:5" ht="15" customHeight="1">
      <c r="B525" s="97"/>
      <c r="C525" s="62" t="s">
        <v>268</v>
      </c>
      <c r="D525" s="65">
        <v>2</v>
      </c>
      <c r="E525" s="64">
        <v>0</v>
      </c>
    </row>
    <row r="526" spans="2:5" ht="15" customHeight="1">
      <c r="B526" s="97"/>
      <c r="C526" s="62" t="s">
        <v>269</v>
      </c>
      <c r="D526" s="65">
        <v>1</v>
      </c>
      <c r="E526" s="64">
        <v>0</v>
      </c>
    </row>
    <row r="527" spans="2:5" ht="15" customHeight="1">
      <c r="B527" s="97"/>
      <c r="C527" s="62" t="s">
        <v>270</v>
      </c>
      <c r="D527" s="65">
        <v>2</v>
      </c>
      <c r="E527" s="64">
        <v>0</v>
      </c>
    </row>
    <row r="528" spans="2:5" ht="15" customHeight="1">
      <c r="B528" s="97"/>
      <c r="C528" s="62" t="s">
        <v>201</v>
      </c>
      <c r="D528" s="65">
        <v>21</v>
      </c>
      <c r="E528" s="64">
        <v>4.0000000000000001E-3</v>
      </c>
    </row>
    <row r="529" spans="2:5" ht="15" customHeight="1">
      <c r="B529" s="97"/>
      <c r="C529" s="62" t="s">
        <v>202</v>
      </c>
      <c r="D529" s="65">
        <v>1</v>
      </c>
      <c r="E529" s="64">
        <v>0</v>
      </c>
    </row>
    <row r="530" spans="2:5" ht="15" customHeight="1">
      <c r="B530" s="97"/>
      <c r="C530" s="62" t="s">
        <v>203</v>
      </c>
      <c r="D530" s="65">
        <v>3</v>
      </c>
      <c r="E530" s="64">
        <v>1E-3</v>
      </c>
    </row>
    <row r="531" spans="2:5" ht="15" customHeight="1">
      <c r="B531" s="97"/>
      <c r="C531" s="62" t="s">
        <v>204</v>
      </c>
      <c r="D531" s="65">
        <v>10</v>
      </c>
      <c r="E531" s="64">
        <v>2E-3</v>
      </c>
    </row>
    <row r="532" spans="2:5" ht="15" customHeight="1">
      <c r="B532" s="97"/>
      <c r="C532" s="62" t="s">
        <v>272</v>
      </c>
      <c r="D532" s="65">
        <v>1</v>
      </c>
      <c r="E532" s="64">
        <v>0</v>
      </c>
    </row>
    <row r="533" spans="2:5" ht="15" customHeight="1">
      <c r="B533" s="97"/>
      <c r="C533" s="62" t="s">
        <v>209</v>
      </c>
      <c r="D533" s="65">
        <v>1</v>
      </c>
      <c r="E533" s="64">
        <v>0</v>
      </c>
    </row>
    <row r="534" spans="2:5" ht="15" customHeight="1">
      <c r="B534" s="97"/>
      <c r="C534" s="62" t="s">
        <v>210</v>
      </c>
      <c r="D534" s="65">
        <v>1</v>
      </c>
      <c r="E534" s="64">
        <v>0</v>
      </c>
    </row>
    <row r="535" spans="2:5" ht="15" customHeight="1">
      <c r="B535" s="97"/>
      <c r="C535" s="80" t="s">
        <v>288</v>
      </c>
      <c r="D535" s="78">
        <v>54</v>
      </c>
      <c r="E535" s="79">
        <v>0.01</v>
      </c>
    </row>
    <row r="536" spans="2:5" ht="15" customHeight="1">
      <c r="B536" s="97" t="s">
        <v>48</v>
      </c>
      <c r="C536" s="62" t="s">
        <v>190</v>
      </c>
      <c r="D536" s="65">
        <v>3</v>
      </c>
      <c r="E536" s="64">
        <v>1E-3</v>
      </c>
    </row>
    <row r="537" spans="2:5" ht="15" customHeight="1">
      <c r="B537" s="97"/>
      <c r="C537" s="62" t="s">
        <v>263</v>
      </c>
      <c r="D537" s="65">
        <v>1</v>
      </c>
      <c r="E537" s="64">
        <v>0</v>
      </c>
    </row>
    <row r="538" spans="2:5" ht="15" customHeight="1">
      <c r="B538" s="97"/>
      <c r="C538" s="62" t="s">
        <v>264</v>
      </c>
      <c r="D538" s="65">
        <v>2</v>
      </c>
      <c r="E538" s="64">
        <v>0</v>
      </c>
    </row>
    <row r="539" spans="2:5" ht="15" customHeight="1">
      <c r="B539" s="97"/>
      <c r="C539" s="62" t="s">
        <v>265</v>
      </c>
      <c r="D539" s="65">
        <v>1</v>
      </c>
      <c r="E539" s="64">
        <v>0</v>
      </c>
    </row>
    <row r="540" spans="2:5" ht="15" customHeight="1">
      <c r="B540" s="97"/>
      <c r="C540" s="62" t="s">
        <v>266</v>
      </c>
      <c r="D540" s="65">
        <v>2</v>
      </c>
      <c r="E540" s="64">
        <v>0</v>
      </c>
    </row>
    <row r="541" spans="2:5" ht="15" customHeight="1">
      <c r="B541" s="97"/>
      <c r="C541" s="62" t="s">
        <v>267</v>
      </c>
      <c r="D541" s="65">
        <v>19</v>
      </c>
      <c r="E541" s="64">
        <v>3.0000000000000001E-3</v>
      </c>
    </row>
    <row r="542" spans="2:5" ht="15" customHeight="1">
      <c r="B542" s="97"/>
      <c r="C542" s="62" t="s">
        <v>197</v>
      </c>
      <c r="D542" s="65">
        <v>27</v>
      </c>
      <c r="E542" s="64">
        <v>5.0000000000000001E-3</v>
      </c>
    </row>
    <row r="543" spans="2:5" ht="15" customHeight="1">
      <c r="B543" s="97"/>
      <c r="C543" s="62" t="s">
        <v>268</v>
      </c>
      <c r="D543" s="65">
        <v>1</v>
      </c>
      <c r="E543" s="64">
        <v>0</v>
      </c>
    </row>
    <row r="544" spans="2:5" ht="15" customHeight="1">
      <c r="B544" s="97"/>
      <c r="C544" s="62" t="s">
        <v>269</v>
      </c>
      <c r="D544" s="65">
        <v>9</v>
      </c>
      <c r="E544" s="64">
        <v>2E-3</v>
      </c>
    </row>
    <row r="545" spans="2:5" ht="15" customHeight="1">
      <c r="B545" s="97"/>
      <c r="C545" s="62" t="s">
        <v>270</v>
      </c>
      <c r="D545" s="65">
        <v>7</v>
      </c>
      <c r="E545" s="64">
        <v>1E-3</v>
      </c>
    </row>
    <row r="546" spans="2:5" ht="15" customHeight="1">
      <c r="B546" s="97"/>
      <c r="C546" s="62" t="s">
        <v>201</v>
      </c>
      <c r="D546" s="65">
        <v>95</v>
      </c>
      <c r="E546" s="64">
        <v>1.7000000000000001E-2</v>
      </c>
    </row>
    <row r="547" spans="2:5" ht="15" customHeight="1">
      <c r="B547" s="97"/>
      <c r="C547" s="62" t="s">
        <v>202</v>
      </c>
      <c r="D547" s="65">
        <v>4</v>
      </c>
      <c r="E547" s="64">
        <v>1E-3</v>
      </c>
    </row>
    <row r="548" spans="2:5" ht="15" customHeight="1">
      <c r="B548" s="97"/>
      <c r="C548" s="62" t="s">
        <v>203</v>
      </c>
      <c r="D548" s="65">
        <v>22</v>
      </c>
      <c r="E548" s="64">
        <v>4.0000000000000001E-3</v>
      </c>
    </row>
    <row r="549" spans="2:5" ht="15" customHeight="1">
      <c r="B549" s="97"/>
      <c r="C549" s="62" t="s">
        <v>204</v>
      </c>
      <c r="D549" s="65">
        <v>45</v>
      </c>
      <c r="E549" s="64">
        <v>8.0000000000000002E-3</v>
      </c>
    </row>
    <row r="550" spans="2:5" ht="15" customHeight="1">
      <c r="B550" s="97"/>
      <c r="C550" s="62" t="s">
        <v>271</v>
      </c>
      <c r="D550" s="65">
        <v>4</v>
      </c>
      <c r="E550" s="64">
        <v>1E-3</v>
      </c>
    </row>
    <row r="551" spans="2:5" ht="15" customHeight="1">
      <c r="B551" s="97"/>
      <c r="C551" s="62" t="s">
        <v>272</v>
      </c>
      <c r="D551" s="65">
        <v>2</v>
      </c>
      <c r="E551" s="64">
        <v>0</v>
      </c>
    </row>
    <row r="552" spans="2:5" ht="15" customHeight="1">
      <c r="B552" s="97"/>
      <c r="C552" s="62" t="s">
        <v>273</v>
      </c>
      <c r="D552" s="65">
        <v>1</v>
      </c>
      <c r="E552" s="64">
        <v>0</v>
      </c>
    </row>
    <row r="553" spans="2:5" ht="15" customHeight="1">
      <c r="B553" s="97"/>
      <c r="C553" s="62" t="s">
        <v>274</v>
      </c>
      <c r="D553" s="65">
        <v>1</v>
      </c>
      <c r="E553" s="64">
        <v>0</v>
      </c>
    </row>
    <row r="554" spans="2:5" ht="15" customHeight="1">
      <c r="B554" s="97"/>
      <c r="C554" s="62" t="s">
        <v>209</v>
      </c>
      <c r="D554" s="65">
        <v>1</v>
      </c>
      <c r="E554" s="64">
        <v>0</v>
      </c>
    </row>
    <row r="555" spans="2:5" ht="15" customHeight="1">
      <c r="B555" s="97"/>
      <c r="C555" s="62" t="s">
        <v>210</v>
      </c>
      <c r="D555" s="65">
        <v>9</v>
      </c>
      <c r="E555" s="64">
        <v>2E-3</v>
      </c>
    </row>
    <row r="556" spans="2:5" ht="15" customHeight="1">
      <c r="B556" s="97"/>
      <c r="C556" s="62" t="s">
        <v>213</v>
      </c>
      <c r="D556" s="65">
        <v>1</v>
      </c>
      <c r="E556" s="64">
        <v>0</v>
      </c>
    </row>
    <row r="557" spans="2:5" ht="15" customHeight="1">
      <c r="B557" s="97"/>
      <c r="C557" s="80" t="s">
        <v>288</v>
      </c>
      <c r="D557" s="78">
        <v>257</v>
      </c>
      <c r="E557" s="79">
        <v>4.5999999999999999E-2</v>
      </c>
    </row>
    <row r="558" spans="2:5" ht="15" customHeight="1">
      <c r="B558" s="97" t="s">
        <v>82</v>
      </c>
      <c r="C558" s="62" t="s">
        <v>190</v>
      </c>
      <c r="D558" s="65">
        <v>1</v>
      </c>
      <c r="E558" s="64">
        <v>0</v>
      </c>
    </row>
    <row r="559" spans="2:5" ht="15" customHeight="1">
      <c r="B559" s="97"/>
      <c r="C559" s="62" t="s">
        <v>263</v>
      </c>
      <c r="D559" s="65">
        <v>1</v>
      </c>
      <c r="E559" s="64">
        <v>0</v>
      </c>
    </row>
    <row r="560" spans="2:5" ht="15" customHeight="1">
      <c r="B560" s="97"/>
      <c r="C560" s="62" t="s">
        <v>267</v>
      </c>
      <c r="D560" s="65">
        <v>1</v>
      </c>
      <c r="E560" s="64">
        <v>0</v>
      </c>
    </row>
    <row r="561" spans="2:5" ht="15" customHeight="1">
      <c r="B561" s="97"/>
      <c r="C561" s="62" t="s">
        <v>197</v>
      </c>
      <c r="D561" s="65">
        <v>4</v>
      </c>
      <c r="E561" s="64">
        <v>1E-3</v>
      </c>
    </row>
    <row r="562" spans="2:5" ht="15" customHeight="1">
      <c r="B562" s="97"/>
      <c r="C562" s="62" t="s">
        <v>269</v>
      </c>
      <c r="D562" s="65">
        <v>1</v>
      </c>
      <c r="E562" s="64">
        <v>0</v>
      </c>
    </row>
    <row r="563" spans="2:5" ht="15" customHeight="1">
      <c r="B563" s="97"/>
      <c r="C563" s="62" t="s">
        <v>270</v>
      </c>
      <c r="D563" s="65">
        <v>2</v>
      </c>
      <c r="E563" s="64">
        <v>0</v>
      </c>
    </row>
    <row r="564" spans="2:5" ht="15" customHeight="1">
      <c r="B564" s="97"/>
      <c r="C564" s="62" t="s">
        <v>201</v>
      </c>
      <c r="D564" s="65">
        <v>7</v>
      </c>
      <c r="E564" s="64">
        <v>1E-3</v>
      </c>
    </row>
    <row r="565" spans="2:5" ht="15" customHeight="1">
      <c r="B565" s="97"/>
      <c r="C565" s="62" t="s">
        <v>203</v>
      </c>
      <c r="D565" s="65">
        <v>2</v>
      </c>
      <c r="E565" s="64">
        <v>0</v>
      </c>
    </row>
    <row r="566" spans="2:5" ht="15" customHeight="1">
      <c r="B566" s="97"/>
      <c r="C566" s="62" t="s">
        <v>204</v>
      </c>
      <c r="D566" s="65">
        <v>8</v>
      </c>
      <c r="E566" s="64">
        <v>1E-3</v>
      </c>
    </row>
    <row r="567" spans="2:5" ht="15" customHeight="1">
      <c r="B567" s="97"/>
      <c r="C567" s="62" t="s">
        <v>273</v>
      </c>
      <c r="D567" s="65">
        <v>1</v>
      </c>
      <c r="E567" s="64">
        <v>0</v>
      </c>
    </row>
    <row r="568" spans="2:5" ht="15" customHeight="1">
      <c r="B568" s="97"/>
      <c r="C568" s="80" t="s">
        <v>288</v>
      </c>
      <c r="D568" s="78">
        <v>28</v>
      </c>
      <c r="E568" s="79">
        <v>5.0000000000000001E-3</v>
      </c>
    </row>
    <row r="569" spans="2:5" ht="15" customHeight="1">
      <c r="B569" s="97" t="s">
        <v>86</v>
      </c>
      <c r="C569" s="62" t="s">
        <v>197</v>
      </c>
      <c r="D569" s="65">
        <v>3</v>
      </c>
      <c r="E569" s="64">
        <v>1E-3</v>
      </c>
    </row>
    <row r="570" spans="2:5" ht="15" customHeight="1">
      <c r="B570" s="97"/>
      <c r="C570" s="62" t="s">
        <v>201</v>
      </c>
      <c r="D570" s="65">
        <v>1</v>
      </c>
      <c r="E570" s="64">
        <v>0</v>
      </c>
    </row>
    <row r="571" spans="2:5" ht="15" customHeight="1">
      <c r="B571" s="97"/>
      <c r="C571" s="80" t="s">
        <v>288</v>
      </c>
      <c r="D571" s="78">
        <v>4</v>
      </c>
      <c r="E571" s="79">
        <v>1E-3</v>
      </c>
    </row>
    <row r="572" spans="2:5" ht="15" customHeight="1">
      <c r="B572" s="97" t="s">
        <v>67</v>
      </c>
      <c r="C572" s="62" t="s">
        <v>266</v>
      </c>
      <c r="D572" s="65">
        <v>1</v>
      </c>
      <c r="E572" s="64">
        <v>0</v>
      </c>
    </row>
    <row r="573" spans="2:5" ht="15" customHeight="1">
      <c r="B573" s="97"/>
      <c r="C573" s="62" t="s">
        <v>197</v>
      </c>
      <c r="D573" s="65">
        <v>3</v>
      </c>
      <c r="E573" s="64">
        <v>1E-3</v>
      </c>
    </row>
    <row r="574" spans="2:5" ht="15" customHeight="1">
      <c r="B574" s="97"/>
      <c r="C574" s="62" t="s">
        <v>268</v>
      </c>
      <c r="D574" s="65">
        <v>1</v>
      </c>
      <c r="E574" s="64">
        <v>0</v>
      </c>
    </row>
    <row r="575" spans="2:5" ht="15" customHeight="1">
      <c r="B575" s="97"/>
      <c r="C575" s="62" t="s">
        <v>269</v>
      </c>
      <c r="D575" s="65">
        <v>2</v>
      </c>
      <c r="E575" s="64">
        <v>0</v>
      </c>
    </row>
    <row r="576" spans="2:5" ht="15" customHeight="1">
      <c r="B576" s="97"/>
      <c r="C576" s="62" t="s">
        <v>270</v>
      </c>
      <c r="D576" s="65">
        <v>3</v>
      </c>
      <c r="E576" s="64">
        <v>1E-3</v>
      </c>
    </row>
    <row r="577" spans="2:5" ht="15" customHeight="1">
      <c r="B577" s="97"/>
      <c r="C577" s="62" t="s">
        <v>201</v>
      </c>
      <c r="D577" s="65">
        <v>18</v>
      </c>
      <c r="E577" s="64">
        <v>3.0000000000000001E-3</v>
      </c>
    </row>
    <row r="578" spans="2:5" ht="15" customHeight="1">
      <c r="B578" s="97"/>
      <c r="C578" s="62" t="s">
        <v>203</v>
      </c>
      <c r="D578" s="65">
        <v>4</v>
      </c>
      <c r="E578" s="64">
        <v>1E-3</v>
      </c>
    </row>
    <row r="579" spans="2:5" ht="15" customHeight="1">
      <c r="B579" s="97"/>
      <c r="C579" s="62" t="s">
        <v>204</v>
      </c>
      <c r="D579" s="65">
        <v>13</v>
      </c>
      <c r="E579" s="64">
        <v>2E-3</v>
      </c>
    </row>
    <row r="580" spans="2:5" ht="15" customHeight="1">
      <c r="B580" s="97"/>
      <c r="C580" s="62" t="s">
        <v>209</v>
      </c>
      <c r="D580" s="65">
        <v>2</v>
      </c>
      <c r="E580" s="64">
        <v>0</v>
      </c>
    </row>
    <row r="581" spans="2:5" ht="15" customHeight="1">
      <c r="B581" s="97"/>
      <c r="C581" s="62" t="s">
        <v>210</v>
      </c>
      <c r="D581" s="65">
        <v>3</v>
      </c>
      <c r="E581" s="64">
        <v>1E-3</v>
      </c>
    </row>
    <row r="582" spans="2:5" ht="15" customHeight="1">
      <c r="B582" s="97"/>
      <c r="C582" s="80" t="s">
        <v>288</v>
      </c>
      <c r="D582" s="78">
        <v>50</v>
      </c>
      <c r="E582" s="79">
        <v>8.9999999999999993E-3</v>
      </c>
    </row>
    <row r="583" spans="2:5" ht="15" customHeight="1">
      <c r="B583" s="100" t="s">
        <v>257</v>
      </c>
      <c r="C583" s="62" t="s">
        <v>202</v>
      </c>
      <c r="D583" s="65">
        <v>1</v>
      </c>
      <c r="E583" s="64">
        <v>0</v>
      </c>
    </row>
    <row r="584" spans="2:5" ht="15" customHeight="1">
      <c r="B584" s="101"/>
      <c r="C584" s="62" t="s">
        <v>209</v>
      </c>
      <c r="D584" s="65">
        <v>1</v>
      </c>
      <c r="E584" s="64">
        <v>0</v>
      </c>
    </row>
    <row r="585" spans="2:5" ht="15" customHeight="1">
      <c r="B585" s="102"/>
      <c r="C585" s="80" t="s">
        <v>288</v>
      </c>
      <c r="D585" s="78">
        <v>2</v>
      </c>
      <c r="E585" s="79">
        <v>0</v>
      </c>
    </row>
    <row r="586" spans="2:5" ht="15" customHeight="1">
      <c r="B586" s="105" t="s">
        <v>288</v>
      </c>
      <c r="C586" s="106"/>
      <c r="D586" s="40">
        <v>5612</v>
      </c>
      <c r="E586" s="67">
        <v>1</v>
      </c>
    </row>
    <row r="587" spans="2:5" ht="15" customHeight="1">
      <c r="B587" s="49"/>
      <c r="C587" s="49"/>
      <c r="D587" s="49"/>
      <c r="E587" s="49"/>
    </row>
    <row r="588" spans="2:5" ht="15" customHeight="1">
      <c r="B588" s="35" t="s">
        <v>255</v>
      </c>
      <c r="C588" s="37"/>
      <c r="D588" s="49"/>
      <c r="E588" s="49"/>
    </row>
    <row r="589" spans="2:5" ht="15" customHeight="1">
      <c r="B589" s="37" t="s">
        <v>18</v>
      </c>
      <c r="C589" s="38"/>
      <c r="D589" s="49"/>
      <c r="E589" s="49"/>
    </row>
    <row r="590" spans="2:5" ht="15" customHeight="1">
      <c r="B590" s="38" t="s">
        <v>128</v>
      </c>
      <c r="C590" s="35"/>
      <c r="D590" s="49"/>
      <c r="E590" s="49"/>
    </row>
    <row r="591" spans="2:5" ht="15" customHeight="1">
      <c r="B591" s="35" t="s">
        <v>17</v>
      </c>
      <c r="C591" s="35"/>
      <c r="D591" s="49"/>
      <c r="E591" s="49"/>
    </row>
    <row r="592" spans="2:5" ht="15" customHeight="1">
      <c r="B592" s="35" t="s">
        <v>290</v>
      </c>
      <c r="C592" s="34"/>
      <c r="D592" s="49"/>
      <c r="E592" s="49"/>
    </row>
    <row r="593" spans="2:5" ht="15" customHeight="1">
      <c r="B593" s="49"/>
      <c r="C593" s="49"/>
      <c r="D593" s="49"/>
      <c r="E593" s="49"/>
    </row>
  </sheetData>
  <mergeCells count="49">
    <mergeCell ref="B586:C586"/>
    <mergeCell ref="B521:B535"/>
    <mergeCell ref="B536:B557"/>
    <mergeCell ref="B558:B568"/>
    <mergeCell ref="B569:B571"/>
    <mergeCell ref="B572:B582"/>
    <mergeCell ref="B583:B585"/>
    <mergeCell ref="B447:B460"/>
    <mergeCell ref="B461:B469"/>
    <mergeCell ref="B470:B485"/>
    <mergeCell ref="B486:B503"/>
    <mergeCell ref="B504:B520"/>
    <mergeCell ref="B434:B446"/>
    <mergeCell ref="B127:B139"/>
    <mergeCell ref="B10:B14"/>
    <mergeCell ref="B15:B29"/>
    <mergeCell ref="B30:B39"/>
    <mergeCell ref="B40:B56"/>
    <mergeCell ref="B57:B74"/>
    <mergeCell ref="B277:B287"/>
    <mergeCell ref="B288:B296"/>
    <mergeCell ref="B297:B310"/>
    <mergeCell ref="B311:B318"/>
    <mergeCell ref="B319:B341"/>
    <mergeCell ref="B342:B349"/>
    <mergeCell ref="B350:B358"/>
    <mergeCell ref="B359:B368"/>
    <mergeCell ref="B369:B383"/>
    <mergeCell ref="B396:B405"/>
    <mergeCell ref="B406:B407"/>
    <mergeCell ref="B408:B423"/>
    <mergeCell ref="B424:B433"/>
    <mergeCell ref="B384:B395"/>
    <mergeCell ref="B7:E8"/>
    <mergeCell ref="B235:B244"/>
    <mergeCell ref="B245:B266"/>
    <mergeCell ref="B267:B276"/>
    <mergeCell ref="B209:B222"/>
    <mergeCell ref="B223:B224"/>
    <mergeCell ref="B225:B234"/>
    <mergeCell ref="B140:B143"/>
    <mergeCell ref="B144:B160"/>
    <mergeCell ref="B161:B172"/>
    <mergeCell ref="B173:B192"/>
    <mergeCell ref="B193:B208"/>
    <mergeCell ref="B75:B79"/>
    <mergeCell ref="B80:B98"/>
    <mergeCell ref="B99:B113"/>
    <mergeCell ref="B114:B1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0"/>
  <sheetViews>
    <sheetView showGridLines="0" view="pageBreakPreview" zoomScaleNormal="100" zoomScaleSheetLayoutView="100" workbookViewId="0">
      <selection activeCell="C11" sqref="C1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2"/>
      <c r="B7" s="95" t="s">
        <v>37</v>
      </c>
      <c r="C7" s="95"/>
      <c r="D7" s="95"/>
      <c r="E7" s="32"/>
      <c r="F7" s="32"/>
    </row>
    <row r="8" spans="1:6" s="18" customFormat="1" ht="15" customHeight="1">
      <c r="A8" s="32"/>
      <c r="B8" s="95"/>
      <c r="C8" s="95"/>
      <c r="D8" s="95"/>
      <c r="E8" s="32"/>
      <c r="F8" s="32"/>
    </row>
    <row r="9" spans="1:6" s="18" customFormat="1" ht="33" customHeight="1">
      <c r="A9" s="32"/>
      <c r="B9" s="95"/>
      <c r="C9" s="95"/>
      <c r="D9" s="95"/>
      <c r="E9" s="32"/>
      <c r="F9" s="32"/>
    </row>
    <row r="10" spans="1:6" s="18" customFormat="1" ht="4.5" customHeight="1">
      <c r="A10" s="32"/>
      <c r="B10" s="33"/>
      <c r="C10" s="33"/>
      <c r="D10" s="33"/>
      <c r="E10" s="32"/>
      <c r="F10" s="32"/>
    </row>
    <row r="11" spans="1:6" s="18" customFormat="1" ht="33" customHeight="1">
      <c r="A11" s="32"/>
      <c r="B11" s="41" t="s">
        <v>29</v>
      </c>
      <c r="C11" s="42" t="s">
        <v>20</v>
      </c>
      <c r="D11" s="43" t="s">
        <v>19</v>
      </c>
      <c r="E11" s="32"/>
      <c r="F11" s="32"/>
    </row>
    <row r="12" spans="1:6" ht="14.45" customHeight="1">
      <c r="A12" s="34"/>
      <c r="B12" s="56" t="s">
        <v>278</v>
      </c>
      <c r="C12" s="57">
        <v>1896</v>
      </c>
      <c r="D12" s="58">
        <v>0.33784746970776902</v>
      </c>
      <c r="E12" s="34"/>
      <c r="F12" s="34"/>
    </row>
    <row r="13" spans="1:6" ht="14.45" customHeight="1">
      <c r="A13" s="34"/>
      <c r="B13" s="56" t="s">
        <v>130</v>
      </c>
      <c r="C13" s="57">
        <v>3716</v>
      </c>
      <c r="D13" s="58">
        <v>0.66215253029223098</v>
      </c>
      <c r="E13" s="34"/>
      <c r="F13" s="34"/>
    </row>
    <row r="14" spans="1:6" ht="14.45" customHeight="1">
      <c r="A14" s="34"/>
      <c r="B14" s="77" t="s">
        <v>288</v>
      </c>
      <c r="C14" s="59">
        <v>5612</v>
      </c>
      <c r="D14" s="60">
        <v>1</v>
      </c>
      <c r="E14" s="34"/>
      <c r="F14" s="34"/>
    </row>
    <row r="15" spans="1:6" ht="14.45" customHeight="1">
      <c r="A15" s="34"/>
      <c r="B15" s="35"/>
      <c r="C15" s="36"/>
      <c r="D15" s="36"/>
      <c r="E15" s="34"/>
      <c r="F15" s="34"/>
    </row>
    <row r="16" spans="1:6" ht="14.45" customHeight="1">
      <c r="B16" s="35" t="s">
        <v>255</v>
      </c>
      <c r="C16" s="51"/>
      <c r="D16" s="51"/>
      <c r="E16" s="34"/>
      <c r="F16" s="34"/>
    </row>
    <row r="17" spans="2:6" ht="14.45" customHeight="1">
      <c r="B17" s="37" t="s">
        <v>18</v>
      </c>
      <c r="C17" s="52"/>
      <c r="D17" s="52"/>
      <c r="E17" s="34"/>
      <c r="F17" s="34"/>
    </row>
    <row r="18" spans="2:6" ht="14.45" customHeight="1">
      <c r="B18" s="38" t="s">
        <v>128</v>
      </c>
      <c r="C18" s="36"/>
      <c r="D18" s="34"/>
      <c r="E18" s="34"/>
      <c r="F18" s="34"/>
    </row>
    <row r="19" spans="2:6" ht="14.45" customHeight="1">
      <c r="B19" s="35" t="s">
        <v>17</v>
      </c>
      <c r="C19" s="36"/>
      <c r="D19" s="34"/>
      <c r="E19" s="34"/>
      <c r="F19" s="34"/>
    </row>
    <row r="20" spans="2:6" ht="16.5">
      <c r="B20" s="35" t="s">
        <v>290</v>
      </c>
      <c r="C20" s="36"/>
      <c r="D20" s="34"/>
      <c r="E20" s="34"/>
      <c r="F20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57"/>
  <sheetViews>
    <sheetView showGridLines="0" view="pageBreakPreview" zoomScaleNormal="100" zoomScaleSheetLayoutView="100" workbookViewId="0">
      <selection activeCell="C14" sqref="C14"/>
    </sheetView>
  </sheetViews>
  <sheetFormatPr baseColWidth="10" defaultColWidth="11.42578125" defaultRowHeight="11.25"/>
  <cols>
    <col min="1" max="1" width="5.7109375" style="18" customWidth="1"/>
    <col min="2" max="3" width="23.7109375" style="24" customWidth="1"/>
    <col min="4" max="4" width="15.7109375" style="27" customWidth="1"/>
    <col min="5" max="5" width="15.7109375" style="24" customWidth="1"/>
    <col min="6" max="6" width="5.7109375" style="18" customWidth="1"/>
    <col min="7" max="16384" width="11.42578125" style="18"/>
  </cols>
  <sheetData>
    <row r="1" spans="1:6" s="13" customFormat="1" ht="15">
      <c r="B1" s="24"/>
      <c r="C1" s="24"/>
    </row>
    <row r="2" spans="1:6" s="24" customFormat="1">
      <c r="B2" s="29"/>
    </row>
    <row r="3" spans="1:6" ht="15" customHeight="1">
      <c r="B3" s="30"/>
      <c r="C3" s="20"/>
      <c r="D3" s="18"/>
      <c r="F3" s="24"/>
    </row>
    <row r="4" spans="1:6" ht="30" customHeight="1">
      <c r="B4" s="30"/>
      <c r="C4" s="20"/>
      <c r="D4" s="18"/>
      <c r="F4" s="24"/>
    </row>
    <row r="5" spans="1:6" ht="15" customHeight="1">
      <c r="B5" s="30"/>
      <c r="C5" s="20"/>
      <c r="D5" s="18"/>
      <c r="F5" s="24"/>
    </row>
    <row r="6" spans="1:6" s="24" customFormat="1">
      <c r="B6" s="26"/>
      <c r="C6" s="23"/>
    </row>
    <row r="7" spans="1:6" s="24" customFormat="1">
      <c r="B7" s="29"/>
    </row>
    <row r="8" spans="1:6" s="13" customFormat="1" ht="15" customHeight="1">
      <c r="A8" s="34"/>
      <c r="B8" s="95" t="s">
        <v>252</v>
      </c>
      <c r="C8" s="95"/>
      <c r="D8" s="95"/>
      <c r="E8" s="95"/>
      <c r="F8" s="34"/>
    </row>
    <row r="9" spans="1:6" s="13" customFormat="1" ht="15" customHeight="1">
      <c r="A9" s="34"/>
      <c r="B9" s="95"/>
      <c r="C9" s="95"/>
      <c r="D9" s="95"/>
      <c r="E9" s="95"/>
      <c r="F9" s="53"/>
    </row>
    <row r="10" spans="1:6" s="13" customFormat="1" ht="15" customHeight="1">
      <c r="A10" s="34"/>
      <c r="B10" s="95"/>
      <c r="C10" s="95"/>
      <c r="D10" s="95"/>
      <c r="E10" s="95"/>
      <c r="F10" s="34"/>
    </row>
    <row r="11" spans="1:6" s="13" customFormat="1" ht="15" customHeight="1">
      <c r="A11" s="34"/>
      <c r="B11" s="54"/>
      <c r="C11" s="54"/>
      <c r="D11" s="54"/>
      <c r="E11" s="54"/>
      <c r="F11" s="34"/>
    </row>
    <row r="12" spans="1:6" s="13" customFormat="1" ht="36.950000000000003" customHeight="1">
      <c r="A12" s="34"/>
      <c r="B12" s="81" t="s">
        <v>22</v>
      </c>
      <c r="C12" s="81" t="s">
        <v>29</v>
      </c>
      <c r="D12" s="81" t="s">
        <v>20</v>
      </c>
      <c r="E12" s="81" t="s">
        <v>19</v>
      </c>
      <c r="F12" s="34"/>
    </row>
    <row r="13" spans="1:6" ht="14.25">
      <c r="A13" s="32"/>
      <c r="B13" s="97" t="s">
        <v>80</v>
      </c>
      <c r="C13" s="62" t="s">
        <v>129</v>
      </c>
      <c r="D13" s="65">
        <v>6</v>
      </c>
      <c r="E13" s="64">
        <v>1E-3</v>
      </c>
      <c r="F13" s="32"/>
    </row>
    <row r="14" spans="1:6" ht="15" customHeight="1">
      <c r="A14" s="32"/>
      <c r="B14" s="97"/>
      <c r="C14" s="62" t="s">
        <v>130</v>
      </c>
      <c r="D14" s="65">
        <v>10</v>
      </c>
      <c r="E14" s="64">
        <v>2E-3</v>
      </c>
      <c r="F14" s="32"/>
    </row>
    <row r="15" spans="1:6" ht="15" customHeight="1">
      <c r="A15" s="32"/>
      <c r="B15" s="97"/>
      <c r="C15" s="80" t="s">
        <v>288</v>
      </c>
      <c r="D15" s="78">
        <v>16</v>
      </c>
      <c r="E15" s="79">
        <v>3.0000000000000001E-3</v>
      </c>
      <c r="F15" s="32"/>
    </row>
    <row r="16" spans="1:6" ht="14.25">
      <c r="A16" s="32"/>
      <c r="B16" s="97" t="s">
        <v>50</v>
      </c>
      <c r="C16" s="62" t="s">
        <v>129</v>
      </c>
      <c r="D16" s="65">
        <v>64</v>
      </c>
      <c r="E16" s="64">
        <v>1.0999999999999999E-2</v>
      </c>
      <c r="F16" s="32"/>
    </row>
    <row r="17" spans="1:6" ht="15" customHeight="1">
      <c r="A17" s="32"/>
      <c r="B17" s="97"/>
      <c r="C17" s="62" t="s">
        <v>130</v>
      </c>
      <c r="D17" s="65">
        <v>118</v>
      </c>
      <c r="E17" s="64">
        <v>2.1000000000000001E-2</v>
      </c>
      <c r="F17" s="32"/>
    </row>
    <row r="18" spans="1:6" ht="15" customHeight="1">
      <c r="A18" s="32"/>
      <c r="B18" s="97"/>
      <c r="C18" s="80" t="s">
        <v>288</v>
      </c>
      <c r="D18" s="78">
        <v>182</v>
      </c>
      <c r="E18" s="79">
        <v>3.2000000000000001E-2</v>
      </c>
      <c r="F18" s="32"/>
    </row>
    <row r="19" spans="1:6" ht="14.25">
      <c r="A19" s="32"/>
      <c r="B19" s="97" t="s">
        <v>78</v>
      </c>
      <c r="C19" s="62" t="s">
        <v>129</v>
      </c>
      <c r="D19" s="65">
        <v>15</v>
      </c>
      <c r="E19" s="64">
        <v>3.0000000000000001E-3</v>
      </c>
      <c r="F19" s="32"/>
    </row>
    <row r="20" spans="1:6" ht="15" customHeight="1">
      <c r="A20" s="32"/>
      <c r="B20" s="97"/>
      <c r="C20" s="62" t="s">
        <v>130</v>
      </c>
      <c r="D20" s="65">
        <v>21</v>
      </c>
      <c r="E20" s="64">
        <v>4.0000000000000001E-3</v>
      </c>
      <c r="F20" s="32"/>
    </row>
    <row r="21" spans="1:6" ht="15" customHeight="1">
      <c r="A21" s="32"/>
      <c r="B21" s="97"/>
      <c r="C21" s="80" t="s">
        <v>288</v>
      </c>
      <c r="D21" s="78">
        <v>36</v>
      </c>
      <c r="E21" s="79">
        <v>6.0000000000000001E-3</v>
      </c>
      <c r="F21" s="32"/>
    </row>
    <row r="22" spans="1:6" ht="14.25">
      <c r="A22" s="32"/>
      <c r="B22" s="97" t="s">
        <v>54</v>
      </c>
      <c r="C22" s="62" t="s">
        <v>129</v>
      </c>
      <c r="D22" s="65">
        <v>65</v>
      </c>
      <c r="E22" s="64">
        <v>1.2E-2</v>
      </c>
      <c r="F22" s="32"/>
    </row>
    <row r="23" spans="1:6" ht="15" customHeight="1">
      <c r="A23" s="32"/>
      <c r="B23" s="97"/>
      <c r="C23" s="62" t="s">
        <v>130</v>
      </c>
      <c r="D23" s="65">
        <v>158</v>
      </c>
      <c r="E23" s="64">
        <v>2.8000000000000001E-2</v>
      </c>
      <c r="F23" s="32"/>
    </row>
    <row r="24" spans="1:6" ht="15" customHeight="1">
      <c r="A24" s="32"/>
      <c r="B24" s="97"/>
      <c r="C24" s="80" t="s">
        <v>288</v>
      </c>
      <c r="D24" s="78">
        <v>223</v>
      </c>
      <c r="E24" s="79">
        <v>0.04</v>
      </c>
      <c r="F24" s="32"/>
    </row>
    <row r="25" spans="1:6" ht="14.25">
      <c r="A25" s="32"/>
      <c r="B25" s="97" t="s">
        <v>49</v>
      </c>
      <c r="C25" s="62" t="s">
        <v>129</v>
      </c>
      <c r="D25" s="65">
        <v>56</v>
      </c>
      <c r="E25" s="64">
        <v>0.01</v>
      </c>
      <c r="F25" s="32"/>
    </row>
    <row r="26" spans="1:6" ht="15" customHeight="1">
      <c r="A26" s="32"/>
      <c r="B26" s="97"/>
      <c r="C26" s="62" t="s">
        <v>130</v>
      </c>
      <c r="D26" s="65">
        <v>132</v>
      </c>
      <c r="E26" s="64">
        <v>2.4E-2</v>
      </c>
      <c r="F26" s="32"/>
    </row>
    <row r="27" spans="1:6" ht="15" customHeight="1">
      <c r="A27" s="32"/>
      <c r="B27" s="97"/>
      <c r="C27" s="80" t="s">
        <v>288</v>
      </c>
      <c r="D27" s="78">
        <v>188</v>
      </c>
      <c r="E27" s="79">
        <v>3.3000000000000002E-2</v>
      </c>
      <c r="F27" s="32"/>
    </row>
    <row r="28" spans="1:6" ht="14.25">
      <c r="A28" s="32"/>
      <c r="B28" s="97" t="s">
        <v>84</v>
      </c>
      <c r="C28" s="62" t="s">
        <v>129</v>
      </c>
      <c r="D28" s="65">
        <v>3</v>
      </c>
      <c r="E28" s="64">
        <v>1E-3</v>
      </c>
      <c r="F28" s="32"/>
    </row>
    <row r="29" spans="1:6" ht="15" customHeight="1">
      <c r="A29" s="32"/>
      <c r="B29" s="97"/>
      <c r="C29" s="62" t="s">
        <v>130</v>
      </c>
      <c r="D29" s="65">
        <v>4</v>
      </c>
      <c r="E29" s="64">
        <v>1E-3</v>
      </c>
      <c r="F29" s="32"/>
    </row>
    <row r="30" spans="1:6" ht="15" customHeight="1">
      <c r="A30" s="32"/>
      <c r="B30" s="97"/>
      <c r="C30" s="80" t="s">
        <v>288</v>
      </c>
      <c r="D30" s="78">
        <v>7</v>
      </c>
      <c r="E30" s="79">
        <v>1E-3</v>
      </c>
      <c r="F30" s="32"/>
    </row>
    <row r="31" spans="1:6" ht="14.25">
      <c r="A31" s="32"/>
      <c r="B31" s="97" t="s">
        <v>44</v>
      </c>
      <c r="C31" s="62" t="s">
        <v>129</v>
      </c>
      <c r="D31" s="65">
        <v>195</v>
      </c>
      <c r="E31" s="64">
        <v>3.5000000000000003E-2</v>
      </c>
      <c r="F31" s="32"/>
    </row>
    <row r="32" spans="1:6" ht="15" customHeight="1">
      <c r="A32" s="32"/>
      <c r="B32" s="97"/>
      <c r="C32" s="62" t="s">
        <v>130</v>
      </c>
      <c r="D32" s="65">
        <v>348</v>
      </c>
      <c r="E32" s="64">
        <v>6.2E-2</v>
      </c>
      <c r="F32" s="32"/>
    </row>
    <row r="33" spans="1:6" ht="15" customHeight="1">
      <c r="A33" s="32"/>
      <c r="B33" s="97"/>
      <c r="C33" s="80" t="s">
        <v>288</v>
      </c>
      <c r="D33" s="78">
        <v>543</v>
      </c>
      <c r="E33" s="79">
        <v>9.7000000000000003E-2</v>
      </c>
      <c r="F33" s="32"/>
    </row>
    <row r="34" spans="1:6" ht="14.25">
      <c r="A34" s="32"/>
      <c r="B34" s="97" t="s">
        <v>51</v>
      </c>
      <c r="C34" s="62" t="s">
        <v>129</v>
      </c>
      <c r="D34" s="65">
        <v>54</v>
      </c>
      <c r="E34" s="64">
        <v>0.01</v>
      </c>
      <c r="F34" s="32"/>
    </row>
    <row r="35" spans="1:6" ht="15" customHeight="1">
      <c r="A35" s="32"/>
      <c r="B35" s="97"/>
      <c r="C35" s="62" t="s">
        <v>130</v>
      </c>
      <c r="D35" s="65">
        <v>106</v>
      </c>
      <c r="E35" s="64">
        <v>1.9E-2</v>
      </c>
      <c r="F35" s="32"/>
    </row>
    <row r="36" spans="1:6" ht="15" customHeight="1">
      <c r="A36" s="32"/>
      <c r="B36" s="97"/>
      <c r="C36" s="80" t="s">
        <v>288</v>
      </c>
      <c r="D36" s="78">
        <v>160</v>
      </c>
      <c r="E36" s="79">
        <v>2.9000000000000001E-2</v>
      </c>
      <c r="F36" s="32"/>
    </row>
    <row r="37" spans="1:6" ht="14.25">
      <c r="A37" s="32"/>
      <c r="B37" s="97" t="s">
        <v>72</v>
      </c>
      <c r="C37" s="62" t="s">
        <v>129</v>
      </c>
      <c r="D37" s="65">
        <v>7</v>
      </c>
      <c r="E37" s="64">
        <v>1E-3</v>
      </c>
      <c r="F37" s="32"/>
    </row>
    <row r="38" spans="1:6" ht="15" customHeight="1">
      <c r="A38" s="32"/>
      <c r="B38" s="97"/>
      <c r="C38" s="62" t="s">
        <v>130</v>
      </c>
      <c r="D38" s="65">
        <v>40</v>
      </c>
      <c r="E38" s="64">
        <v>7.0000000000000001E-3</v>
      </c>
      <c r="F38" s="32"/>
    </row>
    <row r="39" spans="1:6" ht="15" customHeight="1">
      <c r="A39" s="32"/>
      <c r="B39" s="97"/>
      <c r="C39" s="80" t="s">
        <v>288</v>
      </c>
      <c r="D39" s="78">
        <v>47</v>
      </c>
      <c r="E39" s="79">
        <v>8.0000000000000002E-3</v>
      </c>
      <c r="F39" s="32"/>
    </row>
    <row r="40" spans="1:6" ht="14.25">
      <c r="A40" s="32"/>
      <c r="B40" s="97" t="s">
        <v>69</v>
      </c>
      <c r="C40" s="62" t="s">
        <v>129</v>
      </c>
      <c r="D40" s="65">
        <v>16</v>
      </c>
      <c r="E40" s="64">
        <v>3.0000000000000001E-3</v>
      </c>
      <c r="F40" s="32"/>
    </row>
    <row r="41" spans="1:6" ht="15" customHeight="1">
      <c r="A41" s="32"/>
      <c r="B41" s="97"/>
      <c r="C41" s="62" t="s">
        <v>130</v>
      </c>
      <c r="D41" s="65">
        <v>35</v>
      </c>
      <c r="E41" s="64">
        <v>6.0000000000000001E-3</v>
      </c>
      <c r="F41" s="32"/>
    </row>
    <row r="42" spans="1:6" ht="15" customHeight="1">
      <c r="A42" s="32"/>
      <c r="B42" s="97"/>
      <c r="C42" s="80" t="s">
        <v>288</v>
      </c>
      <c r="D42" s="78">
        <v>51</v>
      </c>
      <c r="E42" s="79">
        <v>8.9999999999999993E-3</v>
      </c>
      <c r="F42" s="32"/>
    </row>
    <row r="43" spans="1:6" ht="14.25">
      <c r="A43" s="32"/>
      <c r="B43" s="97" t="s">
        <v>256</v>
      </c>
      <c r="C43" s="62" t="s">
        <v>129</v>
      </c>
      <c r="D43" s="65">
        <v>3</v>
      </c>
      <c r="E43" s="64">
        <v>1E-3</v>
      </c>
      <c r="F43" s="32"/>
    </row>
    <row r="44" spans="1:6" ht="15" customHeight="1">
      <c r="A44" s="32"/>
      <c r="B44" s="97"/>
      <c r="C44" s="62" t="s">
        <v>130</v>
      </c>
      <c r="D44" s="65">
        <v>3</v>
      </c>
      <c r="E44" s="64">
        <v>1E-3</v>
      </c>
      <c r="F44" s="32"/>
    </row>
    <row r="45" spans="1:6" ht="15" customHeight="1">
      <c r="A45" s="32"/>
      <c r="B45" s="97"/>
      <c r="C45" s="80" t="s">
        <v>288</v>
      </c>
      <c r="D45" s="78">
        <v>6</v>
      </c>
      <c r="E45" s="79">
        <v>1E-3</v>
      </c>
      <c r="F45" s="32"/>
    </row>
    <row r="46" spans="1:6" ht="14.25">
      <c r="A46" s="32"/>
      <c r="B46" s="97" t="s">
        <v>47</v>
      </c>
      <c r="C46" s="62" t="s">
        <v>129</v>
      </c>
      <c r="D46" s="65">
        <v>67</v>
      </c>
      <c r="E46" s="64">
        <v>1.2E-2</v>
      </c>
      <c r="F46" s="32"/>
    </row>
    <row r="47" spans="1:6" ht="15" customHeight="1">
      <c r="A47" s="32"/>
      <c r="B47" s="97"/>
      <c r="C47" s="62" t="s">
        <v>130</v>
      </c>
      <c r="D47" s="65">
        <v>171</v>
      </c>
      <c r="E47" s="64">
        <v>0.03</v>
      </c>
      <c r="F47" s="32"/>
    </row>
    <row r="48" spans="1:6" ht="15" customHeight="1">
      <c r="A48" s="32"/>
      <c r="B48" s="97"/>
      <c r="C48" s="80" t="s">
        <v>288</v>
      </c>
      <c r="D48" s="78">
        <v>238</v>
      </c>
      <c r="E48" s="79">
        <v>4.2000000000000003E-2</v>
      </c>
      <c r="F48" s="32"/>
    </row>
    <row r="49" spans="1:6" ht="14.25">
      <c r="A49" s="32"/>
      <c r="B49" s="97" t="s">
        <v>73</v>
      </c>
      <c r="C49" s="62" t="s">
        <v>129</v>
      </c>
      <c r="D49" s="65">
        <v>13</v>
      </c>
      <c r="E49" s="64">
        <v>2E-3</v>
      </c>
      <c r="F49" s="32"/>
    </row>
    <row r="50" spans="1:6" ht="15" customHeight="1">
      <c r="A50" s="32"/>
      <c r="B50" s="97"/>
      <c r="C50" s="62" t="s">
        <v>130</v>
      </c>
      <c r="D50" s="65">
        <v>21</v>
      </c>
      <c r="E50" s="64">
        <v>4.0000000000000001E-3</v>
      </c>
      <c r="F50" s="32"/>
    </row>
    <row r="51" spans="1:6" ht="15" customHeight="1">
      <c r="A51" s="32"/>
      <c r="B51" s="97"/>
      <c r="C51" s="80" t="s">
        <v>288</v>
      </c>
      <c r="D51" s="78">
        <v>34</v>
      </c>
      <c r="E51" s="79">
        <v>6.0000000000000001E-3</v>
      </c>
      <c r="F51" s="32"/>
    </row>
    <row r="52" spans="1:6" ht="14.25">
      <c r="A52" s="32"/>
      <c r="B52" s="97" t="s">
        <v>46</v>
      </c>
      <c r="C52" s="62" t="s">
        <v>129</v>
      </c>
      <c r="D52" s="65">
        <v>102</v>
      </c>
      <c r="E52" s="64">
        <v>1.7999999999999999E-2</v>
      </c>
      <c r="F52" s="32"/>
    </row>
    <row r="53" spans="1:6" ht="15" customHeight="1">
      <c r="A53" s="32"/>
      <c r="B53" s="97"/>
      <c r="C53" s="62" t="s">
        <v>130</v>
      </c>
      <c r="D53" s="65">
        <v>189</v>
      </c>
      <c r="E53" s="64">
        <v>3.4000000000000002E-2</v>
      </c>
      <c r="F53" s="32"/>
    </row>
    <row r="54" spans="1:6" ht="15" customHeight="1">
      <c r="A54" s="32"/>
      <c r="B54" s="97"/>
      <c r="C54" s="80" t="s">
        <v>288</v>
      </c>
      <c r="D54" s="78">
        <v>291</v>
      </c>
      <c r="E54" s="79">
        <v>5.1999999999999998E-2</v>
      </c>
      <c r="F54" s="32"/>
    </row>
    <row r="55" spans="1:6" ht="14.25">
      <c r="A55" s="32"/>
      <c r="B55" s="97" t="s">
        <v>55</v>
      </c>
      <c r="C55" s="62" t="s">
        <v>129</v>
      </c>
      <c r="D55" s="65">
        <v>41</v>
      </c>
      <c r="E55" s="64">
        <v>7.0000000000000001E-3</v>
      </c>
      <c r="F55" s="32"/>
    </row>
    <row r="56" spans="1:6" ht="15" customHeight="1">
      <c r="A56" s="32"/>
      <c r="B56" s="97"/>
      <c r="C56" s="62" t="s">
        <v>130</v>
      </c>
      <c r="D56" s="65">
        <v>64</v>
      </c>
      <c r="E56" s="64">
        <v>1.0999999999999999E-2</v>
      </c>
      <c r="F56" s="32"/>
    </row>
    <row r="57" spans="1:6" ht="15" customHeight="1">
      <c r="A57" s="32"/>
      <c r="B57" s="97"/>
      <c r="C57" s="80" t="s">
        <v>288</v>
      </c>
      <c r="D57" s="78">
        <v>105</v>
      </c>
      <c r="E57" s="79">
        <v>1.9E-2</v>
      </c>
      <c r="F57" s="32"/>
    </row>
    <row r="58" spans="1:6" ht="14.25">
      <c r="A58" s="32"/>
      <c r="B58" s="97" t="s">
        <v>57</v>
      </c>
      <c r="C58" s="62" t="s">
        <v>129</v>
      </c>
      <c r="D58" s="65">
        <v>30</v>
      </c>
      <c r="E58" s="64">
        <v>5.0000000000000001E-3</v>
      </c>
      <c r="F58" s="32"/>
    </row>
    <row r="59" spans="1:6" ht="15" customHeight="1">
      <c r="A59" s="32"/>
      <c r="B59" s="97"/>
      <c r="C59" s="62" t="s">
        <v>130</v>
      </c>
      <c r="D59" s="65">
        <v>65</v>
      </c>
      <c r="E59" s="64">
        <v>1.2E-2</v>
      </c>
      <c r="F59" s="32"/>
    </row>
    <row r="60" spans="1:6" ht="15" customHeight="1">
      <c r="A60" s="32"/>
      <c r="B60" s="97"/>
      <c r="C60" s="80" t="s">
        <v>288</v>
      </c>
      <c r="D60" s="78">
        <v>95</v>
      </c>
      <c r="E60" s="79">
        <v>1.7000000000000001E-2</v>
      </c>
      <c r="F60" s="32"/>
    </row>
    <row r="61" spans="1:6" ht="14.25">
      <c r="A61" s="32"/>
      <c r="B61" s="97" t="s">
        <v>85</v>
      </c>
      <c r="C61" s="62" t="s">
        <v>130</v>
      </c>
      <c r="D61" s="65">
        <v>1</v>
      </c>
      <c r="E61" s="64">
        <v>0</v>
      </c>
      <c r="F61" s="32"/>
    </row>
    <row r="62" spans="1:6" ht="15" customHeight="1">
      <c r="A62" s="32"/>
      <c r="B62" s="97"/>
      <c r="C62" s="80" t="s">
        <v>288</v>
      </c>
      <c r="D62" s="78">
        <v>1</v>
      </c>
      <c r="E62" s="79">
        <v>0</v>
      </c>
      <c r="F62" s="32"/>
    </row>
    <row r="63" spans="1:6" ht="14.25">
      <c r="A63" s="32"/>
      <c r="B63" s="97" t="s">
        <v>61</v>
      </c>
      <c r="C63" s="62" t="s">
        <v>129</v>
      </c>
      <c r="D63" s="65">
        <v>14</v>
      </c>
      <c r="E63" s="64">
        <v>2E-3</v>
      </c>
      <c r="F63" s="32"/>
    </row>
    <row r="64" spans="1:6" ht="15" customHeight="1">
      <c r="A64" s="32"/>
      <c r="B64" s="97"/>
      <c r="C64" s="62" t="s">
        <v>130</v>
      </c>
      <c r="D64" s="65">
        <v>24</v>
      </c>
      <c r="E64" s="64">
        <v>4.0000000000000001E-3</v>
      </c>
      <c r="F64" s="32"/>
    </row>
    <row r="65" spans="1:6" ht="15" customHeight="1">
      <c r="A65" s="32"/>
      <c r="B65" s="97"/>
      <c r="C65" s="80" t="s">
        <v>288</v>
      </c>
      <c r="D65" s="78">
        <v>38</v>
      </c>
      <c r="E65" s="79">
        <v>7.0000000000000001E-3</v>
      </c>
      <c r="F65" s="32"/>
    </row>
    <row r="66" spans="1:6" ht="14.25">
      <c r="A66" s="32"/>
      <c r="B66" s="97" t="s">
        <v>63</v>
      </c>
      <c r="C66" s="62" t="s">
        <v>129</v>
      </c>
      <c r="D66" s="65">
        <v>12</v>
      </c>
      <c r="E66" s="64">
        <v>2E-3</v>
      </c>
      <c r="F66" s="32"/>
    </row>
    <row r="67" spans="1:6" ht="15" customHeight="1">
      <c r="A67" s="32"/>
      <c r="B67" s="97"/>
      <c r="C67" s="62" t="s">
        <v>130</v>
      </c>
      <c r="D67" s="65">
        <v>26</v>
      </c>
      <c r="E67" s="64">
        <v>5.0000000000000001E-3</v>
      </c>
      <c r="F67" s="32"/>
    </row>
    <row r="68" spans="1:6" ht="15" customHeight="1">
      <c r="A68" s="32"/>
      <c r="B68" s="97"/>
      <c r="C68" s="80" t="s">
        <v>288</v>
      </c>
      <c r="D68" s="78">
        <v>38</v>
      </c>
      <c r="E68" s="79">
        <v>7.0000000000000001E-3</v>
      </c>
      <c r="F68" s="32"/>
    </row>
    <row r="69" spans="1:6" ht="14.25">
      <c r="A69" s="32"/>
      <c r="B69" s="97" t="s">
        <v>45</v>
      </c>
      <c r="C69" s="62" t="s">
        <v>129</v>
      </c>
      <c r="D69" s="65">
        <v>196</v>
      </c>
      <c r="E69" s="64">
        <v>3.5000000000000003E-2</v>
      </c>
      <c r="F69" s="32"/>
    </row>
    <row r="70" spans="1:6" ht="15" customHeight="1">
      <c r="A70" s="32"/>
      <c r="B70" s="97"/>
      <c r="C70" s="62" t="s">
        <v>130</v>
      </c>
      <c r="D70" s="65">
        <v>249</v>
      </c>
      <c r="E70" s="64">
        <v>4.3999999999999997E-2</v>
      </c>
      <c r="F70" s="32"/>
    </row>
    <row r="71" spans="1:6" ht="15" customHeight="1">
      <c r="A71" s="32"/>
      <c r="B71" s="97"/>
      <c r="C71" s="80" t="s">
        <v>288</v>
      </c>
      <c r="D71" s="78">
        <v>445</v>
      </c>
      <c r="E71" s="79">
        <v>7.9000000000000001E-2</v>
      </c>
      <c r="F71" s="32"/>
    </row>
    <row r="72" spans="1:6" ht="14.25">
      <c r="A72" s="32"/>
      <c r="B72" s="97" t="s">
        <v>74</v>
      </c>
      <c r="C72" s="62" t="s">
        <v>129</v>
      </c>
      <c r="D72" s="65">
        <v>8</v>
      </c>
      <c r="E72" s="64">
        <v>1E-3</v>
      </c>
      <c r="F72" s="32"/>
    </row>
    <row r="73" spans="1:6" ht="15" customHeight="1">
      <c r="A73" s="32"/>
      <c r="B73" s="97"/>
      <c r="C73" s="62" t="s">
        <v>130</v>
      </c>
      <c r="D73" s="65">
        <v>17</v>
      </c>
      <c r="E73" s="64">
        <v>3.0000000000000001E-3</v>
      </c>
      <c r="F73" s="32"/>
    </row>
    <row r="74" spans="1:6" ht="15" customHeight="1">
      <c r="A74" s="32"/>
      <c r="B74" s="97"/>
      <c r="C74" s="80" t="s">
        <v>288</v>
      </c>
      <c r="D74" s="78">
        <v>25</v>
      </c>
      <c r="E74" s="79">
        <v>4.0000000000000001E-3</v>
      </c>
      <c r="F74" s="32"/>
    </row>
    <row r="75" spans="1:6" ht="14.25">
      <c r="A75" s="32"/>
      <c r="B75" s="97" t="s">
        <v>71</v>
      </c>
      <c r="C75" s="62" t="s">
        <v>129</v>
      </c>
      <c r="D75" s="65">
        <v>9</v>
      </c>
      <c r="E75" s="64">
        <v>2E-3</v>
      </c>
      <c r="F75" s="32"/>
    </row>
    <row r="76" spans="1:6" ht="15" customHeight="1">
      <c r="A76" s="32"/>
      <c r="B76" s="97"/>
      <c r="C76" s="62" t="s">
        <v>130</v>
      </c>
      <c r="D76" s="65">
        <v>24</v>
      </c>
      <c r="E76" s="64">
        <v>4.0000000000000001E-3</v>
      </c>
      <c r="F76" s="32"/>
    </row>
    <row r="77" spans="1:6" ht="15" customHeight="1">
      <c r="A77" s="32"/>
      <c r="B77" s="97"/>
      <c r="C77" s="80" t="s">
        <v>288</v>
      </c>
      <c r="D77" s="78">
        <v>33</v>
      </c>
      <c r="E77" s="79">
        <v>6.0000000000000001E-3</v>
      </c>
      <c r="F77" s="32"/>
    </row>
    <row r="78" spans="1:6" ht="14.25">
      <c r="A78" s="32"/>
      <c r="B78" s="97" t="s">
        <v>70</v>
      </c>
      <c r="C78" s="62" t="s">
        <v>129</v>
      </c>
      <c r="D78" s="65">
        <v>17</v>
      </c>
      <c r="E78" s="64">
        <v>3.0000000000000001E-3</v>
      </c>
      <c r="F78" s="32"/>
    </row>
    <row r="79" spans="1:6" ht="15" customHeight="1">
      <c r="A79" s="32"/>
      <c r="B79" s="97"/>
      <c r="C79" s="62" t="s">
        <v>130</v>
      </c>
      <c r="D79" s="65">
        <v>28</v>
      </c>
      <c r="E79" s="64">
        <v>5.0000000000000001E-3</v>
      </c>
      <c r="F79" s="32"/>
    </row>
    <row r="80" spans="1:6" ht="15" customHeight="1">
      <c r="A80" s="32"/>
      <c r="B80" s="97"/>
      <c r="C80" s="80" t="s">
        <v>288</v>
      </c>
      <c r="D80" s="78">
        <v>45</v>
      </c>
      <c r="E80" s="79">
        <v>8.0000000000000002E-3</v>
      </c>
      <c r="F80" s="32"/>
    </row>
    <row r="81" spans="1:6" ht="14.25">
      <c r="A81" s="32"/>
      <c r="B81" s="97" t="s">
        <v>77</v>
      </c>
      <c r="C81" s="62" t="s">
        <v>129</v>
      </c>
      <c r="D81" s="65">
        <v>40</v>
      </c>
      <c r="E81" s="64">
        <v>7.0000000000000001E-3</v>
      </c>
      <c r="F81" s="32"/>
    </row>
    <row r="82" spans="1:6" ht="15" customHeight="1">
      <c r="A82" s="32"/>
      <c r="B82" s="97"/>
      <c r="C82" s="62" t="s">
        <v>130</v>
      </c>
      <c r="D82" s="65">
        <v>76</v>
      </c>
      <c r="E82" s="64">
        <v>1.4E-2</v>
      </c>
      <c r="F82" s="32"/>
    </row>
    <row r="83" spans="1:6" ht="15" customHeight="1">
      <c r="A83" s="32"/>
      <c r="B83" s="97"/>
      <c r="C83" s="80" t="s">
        <v>288</v>
      </c>
      <c r="D83" s="78">
        <v>116</v>
      </c>
      <c r="E83" s="79">
        <v>2.1000000000000001E-2</v>
      </c>
      <c r="F83" s="32"/>
    </row>
    <row r="84" spans="1:6" ht="14.25">
      <c r="A84" s="32"/>
      <c r="B84" s="97" t="s">
        <v>76</v>
      </c>
      <c r="C84" s="62" t="s">
        <v>129</v>
      </c>
      <c r="D84" s="65">
        <v>1</v>
      </c>
      <c r="E84" s="64">
        <v>0</v>
      </c>
      <c r="F84" s="32"/>
    </row>
    <row r="85" spans="1:6" ht="15" customHeight="1">
      <c r="A85" s="32"/>
      <c r="B85" s="97"/>
      <c r="C85" s="62" t="s">
        <v>130</v>
      </c>
      <c r="D85" s="65">
        <v>33</v>
      </c>
      <c r="E85" s="64">
        <v>6.0000000000000001E-3</v>
      </c>
      <c r="F85" s="32"/>
    </row>
    <row r="86" spans="1:6" ht="15" customHeight="1">
      <c r="A86" s="32"/>
      <c r="B86" s="97"/>
      <c r="C86" s="80" t="s">
        <v>288</v>
      </c>
      <c r="D86" s="78">
        <v>34</v>
      </c>
      <c r="E86" s="79">
        <v>6.0000000000000001E-3</v>
      </c>
      <c r="F86" s="32"/>
    </row>
    <row r="87" spans="1:6" ht="14.25">
      <c r="A87" s="32"/>
      <c r="B87" s="97" t="s">
        <v>43</v>
      </c>
      <c r="C87" s="62" t="s">
        <v>129</v>
      </c>
      <c r="D87" s="65">
        <v>339</v>
      </c>
      <c r="E87" s="64">
        <v>0.06</v>
      </c>
      <c r="F87" s="32"/>
    </row>
    <row r="88" spans="1:6" ht="15" customHeight="1">
      <c r="A88" s="32"/>
      <c r="B88" s="97"/>
      <c r="C88" s="62" t="s">
        <v>130</v>
      </c>
      <c r="D88" s="65">
        <v>787</v>
      </c>
      <c r="E88" s="64">
        <v>0.14000000000000001</v>
      </c>
      <c r="F88" s="32"/>
    </row>
    <row r="89" spans="1:6" ht="15" customHeight="1">
      <c r="A89" s="32"/>
      <c r="B89" s="97"/>
      <c r="C89" s="80" t="s">
        <v>288</v>
      </c>
      <c r="D89" s="78">
        <v>1126</v>
      </c>
      <c r="E89" s="79">
        <v>0.20100000000000001</v>
      </c>
      <c r="F89" s="32"/>
    </row>
    <row r="90" spans="1:6" ht="14.25">
      <c r="A90" s="32"/>
      <c r="B90" s="97" t="s">
        <v>79</v>
      </c>
      <c r="C90" s="62" t="s">
        <v>129</v>
      </c>
      <c r="D90" s="65">
        <v>10</v>
      </c>
      <c r="E90" s="64">
        <v>2E-3</v>
      </c>
      <c r="F90" s="32"/>
    </row>
    <row r="91" spans="1:6" ht="15" customHeight="1">
      <c r="A91" s="32"/>
      <c r="B91" s="97"/>
      <c r="C91" s="62" t="s">
        <v>130</v>
      </c>
      <c r="D91" s="65">
        <v>36</v>
      </c>
      <c r="E91" s="64">
        <v>6.0000000000000001E-3</v>
      </c>
      <c r="F91" s="32"/>
    </row>
    <row r="92" spans="1:6" ht="15" customHeight="1">
      <c r="A92" s="32"/>
      <c r="B92" s="97"/>
      <c r="C92" s="80" t="s">
        <v>288</v>
      </c>
      <c r="D92" s="78">
        <v>46</v>
      </c>
      <c r="E92" s="79">
        <v>8.0000000000000002E-3</v>
      </c>
      <c r="F92" s="32"/>
    </row>
    <row r="93" spans="1:6" ht="14.25">
      <c r="A93" s="32"/>
      <c r="B93" s="97" t="s">
        <v>83</v>
      </c>
      <c r="C93" s="62" t="s">
        <v>129</v>
      </c>
      <c r="D93" s="65">
        <v>4</v>
      </c>
      <c r="E93" s="64">
        <v>1E-3</v>
      </c>
      <c r="F93" s="32"/>
    </row>
    <row r="94" spans="1:6" ht="15" customHeight="1">
      <c r="A94" s="32"/>
      <c r="B94" s="97"/>
      <c r="C94" s="62" t="s">
        <v>130</v>
      </c>
      <c r="D94" s="65">
        <v>16</v>
      </c>
      <c r="E94" s="64">
        <v>3.0000000000000001E-3</v>
      </c>
      <c r="F94" s="32"/>
    </row>
    <row r="95" spans="1:6" ht="15" customHeight="1">
      <c r="A95" s="32"/>
      <c r="B95" s="97"/>
      <c r="C95" s="80" t="s">
        <v>288</v>
      </c>
      <c r="D95" s="78">
        <v>20</v>
      </c>
      <c r="E95" s="79">
        <v>4.0000000000000001E-3</v>
      </c>
      <c r="F95" s="32"/>
    </row>
    <row r="96" spans="1:6" ht="14.25">
      <c r="A96" s="32"/>
      <c r="B96" s="97" t="s">
        <v>75</v>
      </c>
      <c r="C96" s="62" t="s">
        <v>129</v>
      </c>
      <c r="D96" s="65">
        <v>16</v>
      </c>
      <c r="E96" s="64">
        <v>3.0000000000000001E-3</v>
      </c>
      <c r="F96" s="32"/>
    </row>
    <row r="97" spans="1:6" ht="15" customHeight="1">
      <c r="A97" s="32"/>
      <c r="B97" s="97"/>
      <c r="C97" s="62" t="s">
        <v>130</v>
      </c>
      <c r="D97" s="65">
        <v>35</v>
      </c>
      <c r="E97" s="64">
        <v>6.0000000000000001E-3</v>
      </c>
      <c r="F97" s="32"/>
    </row>
    <row r="98" spans="1:6" ht="15" customHeight="1">
      <c r="A98" s="32"/>
      <c r="B98" s="97"/>
      <c r="C98" s="80" t="s">
        <v>288</v>
      </c>
      <c r="D98" s="78">
        <v>51</v>
      </c>
      <c r="E98" s="79">
        <v>8.9999999999999993E-3</v>
      </c>
      <c r="F98" s="32"/>
    </row>
    <row r="99" spans="1:6" ht="14.25">
      <c r="A99" s="32"/>
      <c r="B99" s="97" t="s">
        <v>56</v>
      </c>
      <c r="C99" s="62" t="s">
        <v>129</v>
      </c>
      <c r="D99" s="65">
        <v>50</v>
      </c>
      <c r="E99" s="64">
        <v>8.9999999999999993E-3</v>
      </c>
      <c r="F99" s="32"/>
    </row>
    <row r="100" spans="1:6" ht="15" customHeight="1">
      <c r="A100" s="32"/>
      <c r="B100" s="97"/>
      <c r="C100" s="62" t="s">
        <v>130</v>
      </c>
      <c r="D100" s="65">
        <v>109</v>
      </c>
      <c r="E100" s="64">
        <v>1.9E-2</v>
      </c>
      <c r="F100" s="32"/>
    </row>
    <row r="101" spans="1:6" ht="15" customHeight="1">
      <c r="A101" s="32"/>
      <c r="B101" s="97"/>
      <c r="C101" s="80" t="s">
        <v>288</v>
      </c>
      <c r="D101" s="78">
        <v>159</v>
      </c>
      <c r="E101" s="79">
        <v>2.8000000000000001E-2</v>
      </c>
      <c r="F101" s="32"/>
    </row>
    <row r="102" spans="1:6" ht="14.25">
      <c r="A102" s="32"/>
      <c r="B102" s="97" t="s">
        <v>66</v>
      </c>
      <c r="C102" s="62" t="s">
        <v>129</v>
      </c>
      <c r="D102" s="65">
        <v>12</v>
      </c>
      <c r="E102" s="64">
        <v>2E-3</v>
      </c>
      <c r="F102" s="32"/>
    </row>
    <row r="103" spans="1:6" ht="15" customHeight="1">
      <c r="A103" s="32"/>
      <c r="B103" s="97"/>
      <c r="C103" s="62" t="s">
        <v>130</v>
      </c>
      <c r="D103" s="65">
        <v>22</v>
      </c>
      <c r="E103" s="64">
        <v>4.0000000000000001E-3</v>
      </c>
      <c r="F103" s="32"/>
    </row>
    <row r="104" spans="1:6" ht="15" customHeight="1">
      <c r="A104" s="32"/>
      <c r="B104" s="97"/>
      <c r="C104" s="80" t="s">
        <v>288</v>
      </c>
      <c r="D104" s="78">
        <v>34</v>
      </c>
      <c r="E104" s="79">
        <v>6.0000000000000001E-3</v>
      </c>
      <c r="F104" s="32"/>
    </row>
    <row r="105" spans="1:6" ht="14.25">
      <c r="A105" s="32"/>
      <c r="B105" s="97" t="s">
        <v>68</v>
      </c>
      <c r="C105" s="62" t="s">
        <v>129</v>
      </c>
      <c r="D105" s="65">
        <v>12</v>
      </c>
      <c r="E105" s="64">
        <v>2E-3</v>
      </c>
      <c r="F105" s="32"/>
    </row>
    <row r="106" spans="1:6" ht="15" customHeight="1">
      <c r="A106" s="32"/>
      <c r="B106" s="97"/>
      <c r="C106" s="62" t="s">
        <v>130</v>
      </c>
      <c r="D106" s="65">
        <v>30</v>
      </c>
      <c r="E106" s="64">
        <v>5.0000000000000001E-3</v>
      </c>
      <c r="F106" s="32"/>
    </row>
    <row r="107" spans="1:6" ht="15" customHeight="1">
      <c r="A107" s="32"/>
      <c r="B107" s="97"/>
      <c r="C107" s="80" t="s">
        <v>288</v>
      </c>
      <c r="D107" s="78">
        <v>42</v>
      </c>
      <c r="E107" s="79">
        <v>7.0000000000000001E-3</v>
      </c>
      <c r="F107" s="32"/>
    </row>
    <row r="108" spans="1:6" ht="14.25">
      <c r="A108" s="32"/>
      <c r="B108" s="97" t="s">
        <v>258</v>
      </c>
      <c r="C108" s="62" t="s">
        <v>130</v>
      </c>
      <c r="D108" s="65">
        <v>1</v>
      </c>
      <c r="E108" s="64">
        <v>0</v>
      </c>
      <c r="F108" s="32"/>
    </row>
    <row r="109" spans="1:6" ht="15" customHeight="1">
      <c r="A109" s="32"/>
      <c r="B109" s="97"/>
      <c r="C109" s="80" t="s">
        <v>288</v>
      </c>
      <c r="D109" s="78">
        <v>1</v>
      </c>
      <c r="E109" s="79">
        <v>0</v>
      </c>
      <c r="F109" s="32"/>
    </row>
    <row r="110" spans="1:6" ht="14.25">
      <c r="A110" s="32"/>
      <c r="B110" s="97" t="s">
        <v>52</v>
      </c>
      <c r="C110" s="62" t="s">
        <v>129</v>
      </c>
      <c r="D110" s="65">
        <v>40</v>
      </c>
      <c r="E110" s="64">
        <v>7.0000000000000001E-3</v>
      </c>
      <c r="F110" s="32"/>
    </row>
    <row r="111" spans="1:6" ht="15" customHeight="1">
      <c r="A111" s="32"/>
      <c r="B111" s="97"/>
      <c r="C111" s="62" t="s">
        <v>130</v>
      </c>
      <c r="D111" s="65">
        <v>100</v>
      </c>
      <c r="E111" s="64">
        <v>1.7999999999999999E-2</v>
      </c>
      <c r="F111" s="32"/>
    </row>
    <row r="112" spans="1:6" ht="15" customHeight="1">
      <c r="A112" s="32"/>
      <c r="B112" s="97"/>
      <c r="C112" s="80" t="s">
        <v>288</v>
      </c>
      <c r="D112" s="78">
        <v>140</v>
      </c>
      <c r="E112" s="79">
        <v>2.5000000000000001E-2</v>
      </c>
      <c r="F112" s="32"/>
    </row>
    <row r="113" spans="1:6" ht="14.25">
      <c r="A113" s="32"/>
      <c r="B113" s="97" t="s">
        <v>64</v>
      </c>
      <c r="C113" s="62" t="s">
        <v>129</v>
      </c>
      <c r="D113" s="65">
        <v>17</v>
      </c>
      <c r="E113" s="64">
        <v>3.0000000000000001E-3</v>
      </c>
      <c r="F113" s="32"/>
    </row>
    <row r="114" spans="1:6" ht="15" customHeight="1">
      <c r="A114" s="32"/>
      <c r="B114" s="97"/>
      <c r="C114" s="62" t="s">
        <v>130</v>
      </c>
      <c r="D114" s="65">
        <v>36</v>
      </c>
      <c r="E114" s="64">
        <v>6.0000000000000001E-3</v>
      </c>
      <c r="F114" s="32"/>
    </row>
    <row r="115" spans="1:6" ht="15" customHeight="1">
      <c r="A115" s="32"/>
      <c r="B115" s="97"/>
      <c r="C115" s="80" t="s">
        <v>288</v>
      </c>
      <c r="D115" s="78">
        <v>53</v>
      </c>
      <c r="E115" s="79">
        <v>8.9999999999999993E-3</v>
      </c>
      <c r="F115" s="32"/>
    </row>
    <row r="116" spans="1:6" ht="14.25">
      <c r="A116" s="32"/>
      <c r="B116" s="97" t="s">
        <v>62</v>
      </c>
      <c r="C116" s="62" t="s">
        <v>129</v>
      </c>
      <c r="D116" s="65">
        <v>26</v>
      </c>
      <c r="E116" s="64">
        <v>5.0000000000000001E-3</v>
      </c>
      <c r="F116" s="32"/>
    </row>
    <row r="117" spans="1:6" ht="15" customHeight="1">
      <c r="A117" s="32"/>
      <c r="B117" s="97"/>
      <c r="C117" s="62" t="s">
        <v>130</v>
      </c>
      <c r="D117" s="65">
        <v>36</v>
      </c>
      <c r="E117" s="64">
        <v>6.0000000000000001E-3</v>
      </c>
      <c r="F117" s="32"/>
    </row>
    <row r="118" spans="1:6" ht="15" customHeight="1">
      <c r="A118" s="32"/>
      <c r="B118" s="97"/>
      <c r="C118" s="80" t="s">
        <v>288</v>
      </c>
      <c r="D118" s="78">
        <v>62</v>
      </c>
      <c r="E118" s="79">
        <v>1.0999999999999999E-2</v>
      </c>
      <c r="F118" s="32"/>
    </row>
    <row r="119" spans="1:6" ht="14.25">
      <c r="A119" s="32"/>
      <c r="B119" s="97" t="s">
        <v>53</v>
      </c>
      <c r="C119" s="62" t="s">
        <v>129</v>
      </c>
      <c r="D119" s="65">
        <v>73</v>
      </c>
      <c r="E119" s="64">
        <v>1.2999999999999999E-2</v>
      </c>
      <c r="F119" s="32"/>
    </row>
    <row r="120" spans="1:6" ht="15" customHeight="1">
      <c r="A120" s="32"/>
      <c r="B120" s="97"/>
      <c r="C120" s="62" t="s">
        <v>130</v>
      </c>
      <c r="D120" s="65">
        <v>132</v>
      </c>
      <c r="E120" s="64">
        <v>2.4E-2</v>
      </c>
      <c r="F120" s="32"/>
    </row>
    <row r="121" spans="1:6" ht="15" customHeight="1">
      <c r="A121" s="32"/>
      <c r="B121" s="97"/>
      <c r="C121" s="80" t="s">
        <v>288</v>
      </c>
      <c r="D121" s="78">
        <v>205</v>
      </c>
      <c r="E121" s="79">
        <v>3.6999999999999998E-2</v>
      </c>
      <c r="F121" s="32"/>
    </row>
    <row r="122" spans="1:6" ht="14.25">
      <c r="A122" s="32"/>
      <c r="B122" s="97" t="s">
        <v>81</v>
      </c>
      <c r="C122" s="62" t="s">
        <v>129</v>
      </c>
      <c r="D122" s="65">
        <v>8</v>
      </c>
      <c r="E122" s="64">
        <v>1E-3</v>
      </c>
      <c r="F122" s="32"/>
    </row>
    <row r="123" spans="1:6" ht="15" customHeight="1">
      <c r="A123" s="32"/>
      <c r="B123" s="97"/>
      <c r="C123" s="62" t="s">
        <v>130</v>
      </c>
      <c r="D123" s="65">
        <v>18</v>
      </c>
      <c r="E123" s="64">
        <v>3.0000000000000001E-3</v>
      </c>
      <c r="F123" s="32"/>
    </row>
    <row r="124" spans="1:6" ht="15" customHeight="1">
      <c r="A124" s="32"/>
      <c r="B124" s="97"/>
      <c r="C124" s="80" t="s">
        <v>288</v>
      </c>
      <c r="D124" s="78">
        <v>26</v>
      </c>
      <c r="E124" s="79">
        <v>5.0000000000000001E-3</v>
      </c>
      <c r="F124" s="32"/>
    </row>
    <row r="125" spans="1:6" ht="14.25">
      <c r="A125" s="32"/>
      <c r="B125" s="97" t="s">
        <v>60</v>
      </c>
      <c r="C125" s="62" t="s">
        <v>129</v>
      </c>
      <c r="D125" s="65">
        <v>32</v>
      </c>
      <c r="E125" s="64">
        <v>6.0000000000000001E-3</v>
      </c>
      <c r="F125" s="32"/>
    </row>
    <row r="126" spans="1:6" ht="15" customHeight="1">
      <c r="A126" s="32"/>
      <c r="B126" s="97"/>
      <c r="C126" s="62" t="s">
        <v>130</v>
      </c>
      <c r="D126" s="65">
        <v>42</v>
      </c>
      <c r="E126" s="64">
        <v>7.0000000000000001E-3</v>
      </c>
      <c r="F126" s="32"/>
    </row>
    <row r="127" spans="1:6" ht="15" customHeight="1">
      <c r="A127" s="32"/>
      <c r="B127" s="97"/>
      <c r="C127" s="80" t="s">
        <v>288</v>
      </c>
      <c r="D127" s="78">
        <v>74</v>
      </c>
      <c r="E127" s="79">
        <v>1.2999999999999999E-2</v>
      </c>
      <c r="F127" s="32"/>
    </row>
    <row r="128" spans="1:6" ht="14.25">
      <c r="A128" s="32"/>
      <c r="B128" s="97" t="s">
        <v>59</v>
      </c>
      <c r="C128" s="62" t="s">
        <v>129</v>
      </c>
      <c r="D128" s="65">
        <v>50</v>
      </c>
      <c r="E128" s="64">
        <v>8.9999999999999993E-3</v>
      </c>
      <c r="F128" s="32"/>
    </row>
    <row r="129" spans="1:6" ht="15" customHeight="1">
      <c r="A129" s="32"/>
      <c r="B129" s="97"/>
      <c r="C129" s="62" t="s">
        <v>130</v>
      </c>
      <c r="D129" s="65">
        <v>62</v>
      </c>
      <c r="E129" s="64">
        <v>1.0999999999999999E-2</v>
      </c>
      <c r="F129" s="32"/>
    </row>
    <row r="130" spans="1:6" ht="15" customHeight="1">
      <c r="A130" s="32"/>
      <c r="B130" s="97"/>
      <c r="C130" s="80" t="s">
        <v>288</v>
      </c>
      <c r="D130" s="78">
        <v>112</v>
      </c>
      <c r="E130" s="79">
        <v>0.02</v>
      </c>
      <c r="F130" s="32"/>
    </row>
    <row r="131" spans="1:6" ht="14.25">
      <c r="A131" s="32"/>
      <c r="B131" s="97" t="s">
        <v>58</v>
      </c>
      <c r="C131" s="62" t="s">
        <v>129</v>
      </c>
      <c r="D131" s="65">
        <v>21</v>
      </c>
      <c r="E131" s="64">
        <v>4.0000000000000001E-3</v>
      </c>
      <c r="F131" s="32"/>
    </row>
    <row r="132" spans="1:6" ht="15" customHeight="1">
      <c r="A132" s="32"/>
      <c r="B132" s="97"/>
      <c r="C132" s="62" t="s">
        <v>130</v>
      </c>
      <c r="D132" s="65">
        <v>48</v>
      </c>
      <c r="E132" s="64">
        <v>8.9999999999999993E-3</v>
      </c>
      <c r="F132" s="32"/>
    </row>
    <row r="133" spans="1:6" ht="15" customHeight="1">
      <c r="A133" s="32"/>
      <c r="B133" s="97"/>
      <c r="C133" s="80" t="s">
        <v>288</v>
      </c>
      <c r="D133" s="78">
        <v>69</v>
      </c>
      <c r="E133" s="79">
        <v>1.2E-2</v>
      </c>
      <c r="F133" s="32"/>
    </row>
    <row r="134" spans="1:6" ht="14.25">
      <c r="A134" s="32"/>
      <c r="B134" s="97" t="s">
        <v>65</v>
      </c>
      <c r="C134" s="62" t="s">
        <v>129</v>
      </c>
      <c r="D134" s="65">
        <v>23</v>
      </c>
      <c r="E134" s="64">
        <v>4.0000000000000001E-3</v>
      </c>
      <c r="F134" s="32"/>
    </row>
    <row r="135" spans="1:6" ht="15" customHeight="1">
      <c r="A135" s="32"/>
      <c r="B135" s="97"/>
      <c r="C135" s="62" t="s">
        <v>130</v>
      </c>
      <c r="D135" s="65">
        <v>31</v>
      </c>
      <c r="E135" s="64">
        <v>6.0000000000000001E-3</v>
      </c>
      <c r="F135" s="32"/>
    </row>
    <row r="136" spans="1:6" ht="15" customHeight="1">
      <c r="A136" s="32"/>
      <c r="B136" s="97"/>
      <c r="C136" s="80" t="s">
        <v>288</v>
      </c>
      <c r="D136" s="78">
        <v>54</v>
      </c>
      <c r="E136" s="79">
        <v>0.01</v>
      </c>
      <c r="F136" s="32"/>
    </row>
    <row r="137" spans="1:6" ht="14.25">
      <c r="A137" s="32"/>
      <c r="B137" s="97" t="s">
        <v>48</v>
      </c>
      <c r="C137" s="62" t="s">
        <v>129</v>
      </c>
      <c r="D137" s="65">
        <v>99</v>
      </c>
      <c r="E137" s="64">
        <v>1.7999999999999999E-2</v>
      </c>
      <c r="F137" s="32"/>
    </row>
    <row r="138" spans="1:6" ht="15" customHeight="1">
      <c r="A138" s="32"/>
      <c r="B138" s="97"/>
      <c r="C138" s="62" t="s">
        <v>130</v>
      </c>
      <c r="D138" s="65">
        <v>158</v>
      </c>
      <c r="E138" s="64">
        <v>2.8000000000000001E-2</v>
      </c>
      <c r="F138" s="32"/>
    </row>
    <row r="139" spans="1:6" ht="15" customHeight="1">
      <c r="A139" s="32"/>
      <c r="B139" s="97"/>
      <c r="C139" s="80" t="s">
        <v>288</v>
      </c>
      <c r="D139" s="78">
        <v>257</v>
      </c>
      <c r="E139" s="79">
        <v>4.5999999999999999E-2</v>
      </c>
      <c r="F139" s="32"/>
    </row>
    <row r="140" spans="1:6" ht="14.25">
      <c r="A140" s="32"/>
      <c r="B140" s="97" t="s">
        <v>82</v>
      </c>
      <c r="C140" s="62" t="s">
        <v>129</v>
      </c>
      <c r="D140" s="65">
        <v>8</v>
      </c>
      <c r="E140" s="64">
        <v>1E-3</v>
      </c>
      <c r="F140" s="32"/>
    </row>
    <row r="141" spans="1:6" ht="15" customHeight="1">
      <c r="A141" s="32"/>
      <c r="B141" s="97"/>
      <c r="C141" s="62" t="s">
        <v>130</v>
      </c>
      <c r="D141" s="65">
        <v>20</v>
      </c>
      <c r="E141" s="64">
        <v>4.0000000000000001E-3</v>
      </c>
      <c r="F141" s="32"/>
    </row>
    <row r="142" spans="1:6" ht="15" customHeight="1">
      <c r="A142" s="32"/>
      <c r="B142" s="97"/>
      <c r="C142" s="80" t="s">
        <v>288</v>
      </c>
      <c r="D142" s="78">
        <v>28</v>
      </c>
      <c r="E142" s="79">
        <v>5.0000000000000001E-3</v>
      </c>
      <c r="F142" s="32"/>
    </row>
    <row r="143" spans="1:6" ht="14.25">
      <c r="A143" s="32"/>
      <c r="B143" s="97" t="s">
        <v>86</v>
      </c>
      <c r="C143" s="62" t="s">
        <v>129</v>
      </c>
      <c r="D143" s="65">
        <v>2</v>
      </c>
      <c r="E143" s="64">
        <v>0</v>
      </c>
      <c r="F143" s="32"/>
    </row>
    <row r="144" spans="1:6" ht="14.45" customHeight="1">
      <c r="A144" s="32"/>
      <c r="B144" s="97"/>
      <c r="C144" s="62" t="s">
        <v>130</v>
      </c>
      <c r="D144" s="65">
        <v>2</v>
      </c>
      <c r="E144" s="64">
        <v>0</v>
      </c>
      <c r="F144" s="32"/>
    </row>
    <row r="145" spans="1:6" ht="14.45" customHeight="1">
      <c r="A145" s="32"/>
      <c r="B145" s="97"/>
      <c r="C145" s="80" t="s">
        <v>288</v>
      </c>
      <c r="D145" s="78">
        <v>4</v>
      </c>
      <c r="E145" s="79">
        <v>1E-3</v>
      </c>
      <c r="F145" s="32"/>
    </row>
    <row r="146" spans="1:6" ht="14.45" customHeight="1">
      <c r="A146" s="32"/>
      <c r="B146" s="97" t="s">
        <v>67</v>
      </c>
      <c r="C146" s="62" t="s">
        <v>129</v>
      </c>
      <c r="D146" s="65">
        <v>18</v>
      </c>
      <c r="E146" s="64">
        <v>3.0000000000000001E-3</v>
      </c>
      <c r="F146" s="32"/>
    </row>
    <row r="147" spans="1:6" ht="14.45" customHeight="1">
      <c r="A147" s="32"/>
      <c r="B147" s="97"/>
      <c r="C147" s="62" t="s">
        <v>130</v>
      </c>
      <c r="D147" s="65">
        <v>32</v>
      </c>
      <c r="E147" s="64">
        <v>6.0000000000000001E-3</v>
      </c>
      <c r="F147" s="32"/>
    </row>
    <row r="148" spans="1:6" ht="14.45" customHeight="1">
      <c r="A148" s="32"/>
      <c r="B148" s="97"/>
      <c r="C148" s="80" t="s">
        <v>288</v>
      </c>
      <c r="D148" s="78">
        <v>50</v>
      </c>
      <c r="E148" s="79">
        <v>8.9999999999999993E-3</v>
      </c>
      <c r="F148" s="32"/>
    </row>
    <row r="149" spans="1:6" ht="14.45" customHeight="1">
      <c r="A149" s="32"/>
      <c r="B149" s="97" t="s">
        <v>257</v>
      </c>
      <c r="C149" s="62" t="s">
        <v>129</v>
      </c>
      <c r="D149" s="65">
        <v>2</v>
      </c>
      <c r="E149" s="64">
        <v>0</v>
      </c>
      <c r="F149" s="32"/>
    </row>
    <row r="150" spans="1:6" ht="14.45" customHeight="1">
      <c r="A150" s="32"/>
      <c r="B150" s="97"/>
      <c r="C150" s="80" t="s">
        <v>288</v>
      </c>
      <c r="D150" s="78">
        <v>2</v>
      </c>
      <c r="E150" s="79">
        <v>0</v>
      </c>
      <c r="F150" s="32"/>
    </row>
    <row r="151" spans="1:6" ht="14.45" customHeight="1">
      <c r="A151" s="32"/>
      <c r="B151" s="98" t="s">
        <v>287</v>
      </c>
      <c r="C151" s="98"/>
      <c r="D151" s="40">
        <v>5612</v>
      </c>
      <c r="E151" s="67">
        <v>1</v>
      </c>
      <c r="F151" s="32"/>
    </row>
    <row r="152" spans="1:6" ht="14.45" customHeight="1">
      <c r="A152" s="32"/>
      <c r="C152" s="45"/>
      <c r="D152" s="55"/>
      <c r="E152" s="45"/>
      <c r="F152" s="32"/>
    </row>
    <row r="153" spans="1:6" ht="14.45" customHeight="1">
      <c r="A153" s="32"/>
      <c r="B153" s="35" t="s">
        <v>255</v>
      </c>
      <c r="C153" s="45"/>
      <c r="D153" s="55"/>
      <c r="E153" s="45"/>
      <c r="F153" s="32"/>
    </row>
    <row r="154" spans="1:6" ht="12.75">
      <c r="A154" s="32"/>
      <c r="B154" s="37" t="s">
        <v>18</v>
      </c>
      <c r="C154" s="45"/>
      <c r="D154" s="55"/>
      <c r="E154" s="45"/>
      <c r="F154" s="32"/>
    </row>
    <row r="155" spans="1:6" ht="12.75">
      <c r="A155" s="32"/>
      <c r="B155" s="38" t="s">
        <v>128</v>
      </c>
      <c r="C155" s="45"/>
      <c r="D155" s="55"/>
      <c r="E155" s="45"/>
      <c r="F155" s="32"/>
    </row>
    <row r="156" spans="1:6" ht="12.75">
      <c r="A156" s="32"/>
      <c r="B156" s="35" t="s">
        <v>17</v>
      </c>
      <c r="C156" s="45"/>
      <c r="D156" s="55"/>
      <c r="E156" s="45"/>
      <c r="F156" s="32"/>
    </row>
    <row r="157" spans="1:6" ht="12.75">
      <c r="A157" s="32"/>
      <c r="B157" s="35" t="s">
        <v>290</v>
      </c>
      <c r="C157" s="45"/>
      <c r="D157" s="55"/>
      <c r="E157" s="45"/>
      <c r="F157" s="32"/>
    </row>
  </sheetData>
  <mergeCells count="49">
    <mergeCell ref="B81:B83"/>
    <mergeCell ref="B78:B80"/>
    <mergeCell ref="B75:B77"/>
    <mergeCell ref="B72:B74"/>
    <mergeCell ref="B69:B71"/>
    <mergeCell ref="B96:B98"/>
    <mergeCell ref="B93:B95"/>
    <mergeCell ref="B90:B92"/>
    <mergeCell ref="B87:B89"/>
    <mergeCell ref="B84:B86"/>
    <mergeCell ref="B137:B139"/>
    <mergeCell ref="B134:B136"/>
    <mergeCell ref="B131:B133"/>
    <mergeCell ref="B128:B130"/>
    <mergeCell ref="B125:B127"/>
    <mergeCell ref="B151:C151"/>
    <mergeCell ref="B149:B150"/>
    <mergeCell ref="B146:B148"/>
    <mergeCell ref="B143:B145"/>
    <mergeCell ref="B140:B142"/>
    <mergeCell ref="B66:B68"/>
    <mergeCell ref="B63:B65"/>
    <mergeCell ref="B61:B62"/>
    <mergeCell ref="B58:B60"/>
    <mergeCell ref="B55:B57"/>
    <mergeCell ref="B8:E10"/>
    <mergeCell ref="B31:B33"/>
    <mergeCell ref="B28:B30"/>
    <mergeCell ref="B52:B54"/>
    <mergeCell ref="B49:B51"/>
    <mergeCell ref="B46:B48"/>
    <mergeCell ref="B43:B45"/>
    <mergeCell ref="B40:B42"/>
    <mergeCell ref="B119:B121"/>
    <mergeCell ref="B116:B118"/>
    <mergeCell ref="B122:B124"/>
    <mergeCell ref="B13:B15"/>
    <mergeCell ref="B16:B18"/>
    <mergeCell ref="B19:B21"/>
    <mergeCell ref="B22:B24"/>
    <mergeCell ref="B25:B27"/>
    <mergeCell ref="B105:B107"/>
    <mergeCell ref="B102:B104"/>
    <mergeCell ref="B99:B101"/>
    <mergeCell ref="B113:B115"/>
    <mergeCell ref="B110:B112"/>
    <mergeCell ref="B108:B109"/>
    <mergeCell ref="B37:B39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53"/>
  <sheetViews>
    <sheetView showGridLines="0" view="pageBreakPreview" zoomScaleNormal="93" zoomScaleSheetLayoutView="100" workbookViewId="0">
      <selection activeCell="H5" sqref="H5"/>
    </sheetView>
  </sheetViews>
  <sheetFormatPr baseColWidth="10" defaultColWidth="11.42578125" defaultRowHeight="11.25"/>
  <cols>
    <col min="1" max="1" width="5.7109375" style="18" customWidth="1"/>
    <col min="2" max="3" width="23.7109375" style="24" customWidth="1"/>
    <col min="4" max="4" width="15.7109375" style="27" customWidth="1"/>
    <col min="5" max="5" width="15.7109375" style="24" customWidth="1"/>
    <col min="6" max="6" width="5.7109375" style="18" customWidth="1"/>
    <col min="7" max="16384" width="11.42578125" style="18"/>
  </cols>
  <sheetData>
    <row r="1" spans="1:6" s="13" customFormat="1" ht="15">
      <c r="B1" s="24"/>
      <c r="C1" s="24"/>
    </row>
    <row r="2" spans="1:6" s="24" customFormat="1">
      <c r="B2" s="29"/>
    </row>
    <row r="3" spans="1:6" ht="15" customHeight="1">
      <c r="B3" s="30"/>
      <c r="C3" s="20"/>
      <c r="D3" s="18"/>
      <c r="F3" s="24"/>
    </row>
    <row r="4" spans="1:6" ht="30" customHeight="1">
      <c r="B4" s="30"/>
      <c r="C4" s="20"/>
      <c r="D4" s="18"/>
      <c r="F4" s="24"/>
    </row>
    <row r="5" spans="1:6" ht="15" customHeight="1">
      <c r="B5" s="30"/>
      <c r="C5" s="20"/>
      <c r="D5" s="18"/>
      <c r="F5" s="24"/>
    </row>
    <row r="6" spans="1:6" s="24" customFormat="1">
      <c r="B6" s="26"/>
      <c r="C6" s="23"/>
    </row>
    <row r="7" spans="1:6" s="24" customFormat="1">
      <c r="B7" s="29"/>
    </row>
    <row r="8" spans="1:6" s="13" customFormat="1" ht="15" customHeight="1">
      <c r="A8" s="34"/>
      <c r="B8" s="95" t="s">
        <v>253</v>
      </c>
      <c r="C8" s="95"/>
      <c r="D8" s="95"/>
      <c r="E8" s="95"/>
      <c r="F8" s="34"/>
    </row>
    <row r="9" spans="1:6" s="13" customFormat="1" ht="15" customHeight="1">
      <c r="A9" s="34"/>
      <c r="B9" s="95"/>
      <c r="C9" s="95"/>
      <c r="D9" s="95"/>
      <c r="E9" s="95"/>
      <c r="F9" s="53"/>
    </row>
    <row r="10" spans="1:6" s="13" customFormat="1" ht="15" customHeight="1">
      <c r="A10" s="34"/>
      <c r="B10" s="95"/>
      <c r="C10" s="95"/>
      <c r="D10" s="95"/>
      <c r="E10" s="95"/>
      <c r="F10" s="34"/>
    </row>
    <row r="11" spans="1:6" s="13" customFormat="1" ht="15" customHeight="1">
      <c r="A11" s="34"/>
      <c r="B11" s="54"/>
      <c r="C11" s="54"/>
      <c r="D11" s="54"/>
      <c r="E11" s="54"/>
      <c r="F11" s="34"/>
    </row>
    <row r="12" spans="1:6" s="13" customFormat="1" ht="36.950000000000003" customHeight="1">
      <c r="A12" s="34"/>
      <c r="B12" s="81" t="s">
        <v>25</v>
      </c>
      <c r="C12" s="81" t="s">
        <v>29</v>
      </c>
      <c r="D12" s="81" t="s">
        <v>20</v>
      </c>
      <c r="E12" s="81" t="s">
        <v>19</v>
      </c>
      <c r="F12" s="34"/>
    </row>
    <row r="13" spans="1:6" ht="14.45" customHeight="1">
      <c r="A13" s="32"/>
      <c r="B13" s="100" t="s">
        <v>87</v>
      </c>
      <c r="C13" s="62" t="s">
        <v>129</v>
      </c>
      <c r="D13" s="65">
        <v>10</v>
      </c>
      <c r="E13" s="64">
        <v>2E-3</v>
      </c>
      <c r="F13" s="32"/>
    </row>
    <row r="14" spans="1:6" ht="14.45" customHeight="1">
      <c r="A14" s="32"/>
      <c r="B14" s="101"/>
      <c r="C14" s="62" t="s">
        <v>130</v>
      </c>
      <c r="D14" s="65">
        <v>26</v>
      </c>
      <c r="E14" s="64">
        <v>5.0000000000000001E-3</v>
      </c>
      <c r="F14" s="32"/>
    </row>
    <row r="15" spans="1:6" ht="14.45" customHeight="1">
      <c r="A15" s="32"/>
      <c r="B15" s="102"/>
      <c r="C15" s="73" t="s">
        <v>288</v>
      </c>
      <c r="D15" s="74">
        <v>36</v>
      </c>
      <c r="E15" s="72">
        <v>6.0000000000000001E-3</v>
      </c>
      <c r="F15" s="32"/>
    </row>
    <row r="16" spans="1:6" ht="14.45" customHeight="1">
      <c r="A16" s="32"/>
      <c r="B16" s="100" t="s">
        <v>88</v>
      </c>
      <c r="C16" s="62" t="s">
        <v>129</v>
      </c>
      <c r="D16" s="65">
        <v>15</v>
      </c>
      <c r="E16" s="64">
        <v>3.0000000000000001E-3</v>
      </c>
      <c r="F16" s="32"/>
    </row>
    <row r="17" spans="1:6" ht="14.45" customHeight="1">
      <c r="A17" s="32"/>
      <c r="B17" s="101"/>
      <c r="C17" s="62" t="s">
        <v>130</v>
      </c>
      <c r="D17" s="65">
        <v>23</v>
      </c>
      <c r="E17" s="64">
        <v>4.0000000000000001E-3</v>
      </c>
      <c r="F17" s="32"/>
    </row>
    <row r="18" spans="1:6" ht="14.45" customHeight="1">
      <c r="A18" s="32"/>
      <c r="B18" s="102"/>
      <c r="C18" s="73" t="s">
        <v>288</v>
      </c>
      <c r="D18" s="74">
        <v>38</v>
      </c>
      <c r="E18" s="72">
        <v>7.0000000000000001E-3</v>
      </c>
      <c r="F18" s="32"/>
    </row>
    <row r="19" spans="1:6" ht="14.45" customHeight="1">
      <c r="A19" s="32"/>
      <c r="B19" s="100" t="s">
        <v>89</v>
      </c>
      <c r="C19" s="62" t="s">
        <v>129</v>
      </c>
      <c r="D19" s="65">
        <v>6</v>
      </c>
      <c r="E19" s="64">
        <v>1E-3</v>
      </c>
      <c r="F19" s="32"/>
    </row>
    <row r="20" spans="1:6" ht="14.45" customHeight="1">
      <c r="A20" s="32"/>
      <c r="B20" s="101"/>
      <c r="C20" s="62" t="s">
        <v>130</v>
      </c>
      <c r="D20" s="65">
        <v>16</v>
      </c>
      <c r="E20" s="64">
        <v>3.0000000000000001E-3</v>
      </c>
      <c r="F20" s="32"/>
    </row>
    <row r="21" spans="1:6" ht="14.45" customHeight="1">
      <c r="A21" s="32"/>
      <c r="B21" s="102"/>
      <c r="C21" s="73" t="s">
        <v>288</v>
      </c>
      <c r="D21" s="74">
        <v>22</v>
      </c>
      <c r="E21" s="72">
        <v>4.0000000000000001E-3</v>
      </c>
      <c r="F21" s="32"/>
    </row>
    <row r="22" spans="1:6" ht="14.45" customHeight="1">
      <c r="A22" s="32"/>
      <c r="B22" s="100" t="s">
        <v>90</v>
      </c>
      <c r="C22" s="62" t="s">
        <v>129</v>
      </c>
      <c r="D22" s="65">
        <v>498</v>
      </c>
      <c r="E22" s="64">
        <v>8.8999999999999996E-2</v>
      </c>
      <c r="F22" s="32"/>
    </row>
    <row r="23" spans="1:6" ht="14.45" customHeight="1">
      <c r="A23" s="32"/>
      <c r="B23" s="101"/>
      <c r="C23" s="62" t="s">
        <v>130</v>
      </c>
      <c r="D23" s="65">
        <v>755</v>
      </c>
      <c r="E23" s="64">
        <v>0.13500000000000001</v>
      </c>
      <c r="F23" s="32"/>
    </row>
    <row r="24" spans="1:6" ht="14.45" customHeight="1">
      <c r="A24" s="32"/>
      <c r="B24" s="102"/>
      <c r="C24" s="73" t="s">
        <v>288</v>
      </c>
      <c r="D24" s="74">
        <v>1253</v>
      </c>
      <c r="E24" s="72">
        <v>0.223</v>
      </c>
      <c r="F24" s="32"/>
    </row>
    <row r="25" spans="1:6" ht="14.45" customHeight="1">
      <c r="A25" s="32"/>
      <c r="B25" s="100" t="s">
        <v>91</v>
      </c>
      <c r="C25" s="62" t="s">
        <v>129</v>
      </c>
      <c r="D25" s="65">
        <v>7</v>
      </c>
      <c r="E25" s="64">
        <v>1E-3</v>
      </c>
      <c r="F25" s="32"/>
    </row>
    <row r="26" spans="1:6" ht="14.45" customHeight="1">
      <c r="A26" s="32"/>
      <c r="B26" s="101"/>
      <c r="C26" s="62" t="s">
        <v>130</v>
      </c>
      <c r="D26" s="65">
        <v>41</v>
      </c>
      <c r="E26" s="64">
        <v>7.0000000000000001E-3</v>
      </c>
      <c r="F26" s="32"/>
    </row>
    <row r="27" spans="1:6" ht="14.45" customHeight="1">
      <c r="A27" s="32"/>
      <c r="B27" s="102"/>
      <c r="C27" s="73" t="s">
        <v>288</v>
      </c>
      <c r="D27" s="74">
        <v>48</v>
      </c>
      <c r="E27" s="72">
        <v>8.9999999999999993E-3</v>
      </c>
      <c r="F27" s="32"/>
    </row>
    <row r="28" spans="1:6" ht="14.45" customHeight="1">
      <c r="A28" s="32"/>
      <c r="B28" s="100" t="s">
        <v>92</v>
      </c>
      <c r="C28" s="62" t="s">
        <v>129</v>
      </c>
      <c r="D28" s="65">
        <v>78</v>
      </c>
      <c r="E28" s="64">
        <v>1.4E-2</v>
      </c>
      <c r="F28" s="32"/>
    </row>
    <row r="29" spans="1:6" ht="14.45" customHeight="1">
      <c r="A29" s="32"/>
      <c r="B29" s="101"/>
      <c r="C29" s="62" t="s">
        <v>130</v>
      </c>
      <c r="D29" s="65">
        <v>179</v>
      </c>
      <c r="E29" s="64">
        <v>3.2000000000000001E-2</v>
      </c>
      <c r="F29" s="32"/>
    </row>
    <row r="30" spans="1:6" ht="14.45" customHeight="1">
      <c r="A30" s="32"/>
      <c r="B30" s="102"/>
      <c r="C30" s="73" t="s">
        <v>288</v>
      </c>
      <c r="D30" s="74">
        <v>257</v>
      </c>
      <c r="E30" s="72">
        <v>4.5999999999999999E-2</v>
      </c>
      <c r="F30" s="32"/>
    </row>
    <row r="31" spans="1:6" ht="14.45" customHeight="1">
      <c r="A31" s="32"/>
      <c r="B31" s="100" t="s">
        <v>93</v>
      </c>
      <c r="C31" s="62" t="s">
        <v>129</v>
      </c>
      <c r="D31" s="65">
        <v>2</v>
      </c>
      <c r="E31" s="64">
        <v>0</v>
      </c>
      <c r="F31" s="32"/>
    </row>
    <row r="32" spans="1:6" ht="14.45" customHeight="1">
      <c r="A32" s="32"/>
      <c r="B32" s="101"/>
      <c r="C32" s="62" t="s">
        <v>130</v>
      </c>
      <c r="D32" s="65">
        <v>27</v>
      </c>
      <c r="E32" s="64">
        <v>5.0000000000000001E-3</v>
      </c>
      <c r="F32" s="32"/>
    </row>
    <row r="33" spans="1:6" ht="14.45" customHeight="1">
      <c r="A33" s="32"/>
      <c r="B33" s="102"/>
      <c r="C33" s="73" t="s">
        <v>288</v>
      </c>
      <c r="D33" s="74">
        <v>29</v>
      </c>
      <c r="E33" s="72">
        <v>5.0000000000000001E-3</v>
      </c>
      <c r="F33" s="32"/>
    </row>
    <row r="34" spans="1:6" ht="14.45" customHeight="1">
      <c r="A34" s="32"/>
      <c r="B34" s="100" t="s">
        <v>94</v>
      </c>
      <c r="C34" s="62" t="s">
        <v>129</v>
      </c>
      <c r="D34" s="65">
        <v>2</v>
      </c>
      <c r="E34" s="64">
        <v>0</v>
      </c>
      <c r="F34" s="32"/>
    </row>
    <row r="35" spans="1:6" ht="14.45" customHeight="1">
      <c r="A35" s="32"/>
      <c r="B35" s="101"/>
      <c r="C35" s="62" t="s">
        <v>130</v>
      </c>
      <c r="D35" s="65">
        <v>1</v>
      </c>
      <c r="E35" s="64">
        <v>0</v>
      </c>
      <c r="F35" s="32"/>
    </row>
    <row r="36" spans="1:6" ht="14.45" customHeight="1">
      <c r="A36" s="32"/>
      <c r="B36" s="102"/>
      <c r="C36" s="73" t="s">
        <v>288</v>
      </c>
      <c r="D36" s="74">
        <v>3</v>
      </c>
      <c r="E36" s="72">
        <v>1E-3</v>
      </c>
      <c r="F36" s="32"/>
    </row>
    <row r="37" spans="1:6" ht="14.45" customHeight="1">
      <c r="A37" s="32"/>
      <c r="B37" s="100" t="s">
        <v>95</v>
      </c>
      <c r="C37" s="62" t="s">
        <v>129</v>
      </c>
      <c r="D37" s="65">
        <v>24</v>
      </c>
      <c r="E37" s="64">
        <v>4.0000000000000001E-3</v>
      </c>
      <c r="F37" s="32"/>
    </row>
    <row r="38" spans="1:6" ht="14.45" customHeight="1">
      <c r="A38" s="32"/>
      <c r="B38" s="101"/>
      <c r="C38" s="62" t="s">
        <v>130</v>
      </c>
      <c r="D38" s="65">
        <v>59</v>
      </c>
      <c r="E38" s="64">
        <v>1.0999999999999999E-2</v>
      </c>
      <c r="F38" s="32"/>
    </row>
    <row r="39" spans="1:6" ht="14.45" customHeight="1">
      <c r="A39" s="32"/>
      <c r="B39" s="102"/>
      <c r="C39" s="73" t="s">
        <v>288</v>
      </c>
      <c r="D39" s="74">
        <v>83</v>
      </c>
      <c r="E39" s="72">
        <v>1.4999999999999999E-2</v>
      </c>
      <c r="F39" s="32"/>
    </row>
    <row r="40" spans="1:6" ht="14.45" customHeight="1">
      <c r="A40" s="32"/>
      <c r="B40" s="100" t="s">
        <v>96</v>
      </c>
      <c r="C40" s="62" t="s">
        <v>129</v>
      </c>
      <c r="D40" s="65">
        <v>50</v>
      </c>
      <c r="E40" s="64">
        <v>8.9999999999999993E-3</v>
      </c>
      <c r="F40" s="32"/>
    </row>
    <row r="41" spans="1:6" ht="14.45" customHeight="1">
      <c r="A41" s="32"/>
      <c r="B41" s="101"/>
      <c r="C41" s="62" t="s">
        <v>130</v>
      </c>
      <c r="D41" s="65">
        <v>97</v>
      </c>
      <c r="E41" s="64">
        <v>1.7000000000000001E-2</v>
      </c>
      <c r="F41" s="32"/>
    </row>
    <row r="42" spans="1:6" ht="14.45" customHeight="1">
      <c r="A42" s="32"/>
      <c r="B42" s="102"/>
      <c r="C42" s="73" t="s">
        <v>288</v>
      </c>
      <c r="D42" s="74">
        <v>147</v>
      </c>
      <c r="E42" s="72">
        <v>2.5999999999999999E-2</v>
      </c>
      <c r="F42" s="32"/>
    </row>
    <row r="43" spans="1:6" ht="14.45" customHeight="1">
      <c r="A43" s="32"/>
      <c r="B43" s="100" t="s">
        <v>97</v>
      </c>
      <c r="C43" s="62" t="s">
        <v>129</v>
      </c>
      <c r="D43" s="65">
        <v>38</v>
      </c>
      <c r="E43" s="64">
        <v>7.0000000000000001E-3</v>
      </c>
      <c r="F43" s="32"/>
    </row>
    <row r="44" spans="1:6" ht="14.45" customHeight="1">
      <c r="A44" s="32"/>
      <c r="B44" s="101"/>
      <c r="C44" s="62" t="s">
        <v>130</v>
      </c>
      <c r="D44" s="65">
        <v>86</v>
      </c>
      <c r="E44" s="64">
        <v>1.4999999999999999E-2</v>
      </c>
      <c r="F44" s="32"/>
    </row>
    <row r="45" spans="1:6" ht="14.45" customHeight="1">
      <c r="A45" s="32"/>
      <c r="B45" s="102"/>
      <c r="C45" s="73" t="s">
        <v>288</v>
      </c>
      <c r="D45" s="74">
        <v>124</v>
      </c>
      <c r="E45" s="72">
        <v>2.1999999999999999E-2</v>
      </c>
      <c r="F45" s="32"/>
    </row>
    <row r="46" spans="1:6" ht="14.45" customHeight="1">
      <c r="A46" s="32"/>
      <c r="B46" s="100" t="s">
        <v>98</v>
      </c>
      <c r="C46" s="62" t="s">
        <v>129</v>
      </c>
      <c r="D46" s="65">
        <v>150</v>
      </c>
      <c r="E46" s="64">
        <v>2.7E-2</v>
      </c>
      <c r="F46" s="32"/>
    </row>
    <row r="47" spans="1:6" ht="14.45" customHeight="1">
      <c r="A47" s="32"/>
      <c r="B47" s="101"/>
      <c r="C47" s="62" t="s">
        <v>130</v>
      </c>
      <c r="D47" s="65">
        <v>266</v>
      </c>
      <c r="E47" s="64">
        <v>4.7E-2</v>
      </c>
      <c r="F47" s="32"/>
    </row>
    <row r="48" spans="1:6" ht="14.45" customHeight="1">
      <c r="A48" s="32"/>
      <c r="B48" s="102"/>
      <c r="C48" s="73" t="s">
        <v>288</v>
      </c>
      <c r="D48" s="74">
        <v>416</v>
      </c>
      <c r="E48" s="72">
        <v>7.3999999999999996E-2</v>
      </c>
      <c r="F48" s="32"/>
    </row>
    <row r="49" spans="1:6" ht="14.45" customHeight="1">
      <c r="A49" s="32"/>
      <c r="B49" s="100" t="s">
        <v>99</v>
      </c>
      <c r="C49" s="62" t="s">
        <v>129</v>
      </c>
      <c r="D49" s="65">
        <v>55</v>
      </c>
      <c r="E49" s="64">
        <v>0.01</v>
      </c>
      <c r="F49" s="32"/>
    </row>
    <row r="50" spans="1:6" ht="14.45" customHeight="1">
      <c r="A50" s="32"/>
      <c r="B50" s="101"/>
      <c r="C50" s="62" t="s">
        <v>130</v>
      </c>
      <c r="D50" s="65">
        <v>103</v>
      </c>
      <c r="E50" s="64">
        <v>1.7999999999999999E-2</v>
      </c>
      <c r="F50" s="32"/>
    </row>
    <row r="51" spans="1:6" ht="14.45" customHeight="1">
      <c r="A51" s="32"/>
      <c r="B51" s="102"/>
      <c r="C51" s="73" t="s">
        <v>288</v>
      </c>
      <c r="D51" s="74">
        <v>158</v>
      </c>
      <c r="E51" s="72">
        <v>2.8000000000000001E-2</v>
      </c>
      <c r="F51" s="32"/>
    </row>
    <row r="52" spans="1:6" ht="14.45" customHeight="1">
      <c r="A52" s="32"/>
      <c r="B52" s="100" t="s">
        <v>100</v>
      </c>
      <c r="C52" s="62" t="s">
        <v>129</v>
      </c>
      <c r="D52" s="65">
        <v>4</v>
      </c>
      <c r="E52" s="64">
        <v>1E-3</v>
      </c>
      <c r="F52" s="32"/>
    </row>
    <row r="53" spans="1:6" ht="14.45" customHeight="1">
      <c r="A53" s="32"/>
      <c r="B53" s="101"/>
      <c r="C53" s="62" t="s">
        <v>130</v>
      </c>
      <c r="D53" s="65">
        <v>12</v>
      </c>
      <c r="E53" s="64">
        <v>2E-3</v>
      </c>
      <c r="F53" s="32"/>
    </row>
    <row r="54" spans="1:6" ht="14.45" customHeight="1">
      <c r="A54" s="32"/>
      <c r="B54" s="102"/>
      <c r="C54" s="73" t="s">
        <v>288</v>
      </c>
      <c r="D54" s="73">
        <v>16</v>
      </c>
      <c r="E54" s="72">
        <v>3.0000000000000001E-3</v>
      </c>
      <c r="F54" s="32"/>
    </row>
    <row r="55" spans="1:6" ht="14.45" customHeight="1">
      <c r="A55" s="32"/>
      <c r="B55" s="100" t="s">
        <v>101</v>
      </c>
      <c r="C55" s="62" t="s">
        <v>129</v>
      </c>
      <c r="D55" s="65">
        <v>9</v>
      </c>
      <c r="E55" s="64">
        <v>2E-3</v>
      </c>
      <c r="F55" s="32"/>
    </row>
    <row r="56" spans="1:6" ht="14.45" customHeight="1">
      <c r="A56" s="32"/>
      <c r="B56" s="101"/>
      <c r="C56" s="62" t="s">
        <v>130</v>
      </c>
      <c r="D56" s="65">
        <v>17</v>
      </c>
      <c r="E56" s="64">
        <v>3.0000000000000001E-3</v>
      </c>
      <c r="F56" s="32"/>
    </row>
    <row r="57" spans="1:6" ht="14.45" customHeight="1">
      <c r="A57" s="32"/>
      <c r="B57" s="102"/>
      <c r="C57" s="73" t="s">
        <v>288</v>
      </c>
      <c r="D57" s="74">
        <v>26</v>
      </c>
      <c r="E57" s="72">
        <v>5.0000000000000001E-3</v>
      </c>
      <c r="F57" s="32"/>
    </row>
    <row r="58" spans="1:6" ht="14.45" customHeight="1">
      <c r="A58" s="32"/>
      <c r="B58" s="100" t="s">
        <v>102</v>
      </c>
      <c r="C58" s="62" t="s">
        <v>129</v>
      </c>
      <c r="D58" s="65">
        <v>16</v>
      </c>
      <c r="E58" s="64">
        <v>3.0000000000000001E-3</v>
      </c>
      <c r="F58" s="32"/>
    </row>
    <row r="59" spans="1:6" ht="14.45" customHeight="1">
      <c r="A59" s="32"/>
      <c r="B59" s="101"/>
      <c r="C59" s="62" t="s">
        <v>130</v>
      </c>
      <c r="D59" s="65">
        <v>22</v>
      </c>
      <c r="E59" s="64">
        <v>4.0000000000000001E-3</v>
      </c>
      <c r="F59" s="32"/>
    </row>
    <row r="60" spans="1:6" ht="14.45" customHeight="1">
      <c r="A60" s="32"/>
      <c r="B60" s="102"/>
      <c r="C60" s="73" t="s">
        <v>288</v>
      </c>
      <c r="D60" s="74">
        <v>38</v>
      </c>
      <c r="E60" s="72">
        <v>7.0000000000000001E-3</v>
      </c>
      <c r="F60" s="32"/>
    </row>
    <row r="61" spans="1:6" ht="14.45" customHeight="1">
      <c r="A61" s="32"/>
      <c r="B61" s="100" t="s">
        <v>103</v>
      </c>
      <c r="C61" s="62" t="s">
        <v>129</v>
      </c>
      <c r="D61" s="65">
        <v>1</v>
      </c>
      <c r="E61" s="64">
        <v>0</v>
      </c>
      <c r="F61" s="32"/>
    </row>
    <row r="62" spans="1:6" ht="14.45" customHeight="1">
      <c r="A62" s="32"/>
      <c r="B62" s="101"/>
      <c r="C62" s="62" t="s">
        <v>130</v>
      </c>
      <c r="D62" s="65">
        <v>20</v>
      </c>
      <c r="E62" s="64">
        <v>4.0000000000000001E-3</v>
      </c>
      <c r="F62" s="32"/>
    </row>
    <row r="63" spans="1:6" ht="14.45" customHeight="1">
      <c r="A63" s="32"/>
      <c r="B63" s="102"/>
      <c r="C63" s="73" t="s">
        <v>288</v>
      </c>
      <c r="D63" s="74">
        <v>21</v>
      </c>
      <c r="E63" s="72">
        <v>4.0000000000000001E-3</v>
      </c>
      <c r="F63" s="32"/>
    </row>
    <row r="64" spans="1:6" ht="14.45" customHeight="1">
      <c r="A64" s="32"/>
      <c r="B64" s="100" t="s">
        <v>104</v>
      </c>
      <c r="C64" s="62" t="s">
        <v>129</v>
      </c>
      <c r="D64" s="65">
        <v>13</v>
      </c>
      <c r="E64" s="64">
        <v>2E-3</v>
      </c>
      <c r="F64" s="32"/>
    </row>
    <row r="65" spans="1:6" ht="14.45" customHeight="1">
      <c r="A65" s="32"/>
      <c r="B65" s="101"/>
      <c r="C65" s="62" t="s">
        <v>130</v>
      </c>
      <c r="D65" s="65">
        <v>13</v>
      </c>
      <c r="E65" s="64">
        <v>2E-3</v>
      </c>
      <c r="F65" s="32"/>
    </row>
    <row r="66" spans="1:6" ht="14.45" customHeight="1">
      <c r="A66" s="32"/>
      <c r="B66" s="102"/>
      <c r="C66" s="73" t="s">
        <v>288</v>
      </c>
      <c r="D66" s="74">
        <v>26</v>
      </c>
      <c r="E66" s="72">
        <v>5.0000000000000001E-3</v>
      </c>
      <c r="F66" s="32"/>
    </row>
    <row r="67" spans="1:6" ht="14.45" customHeight="1">
      <c r="A67" s="32"/>
      <c r="B67" s="100" t="s">
        <v>105</v>
      </c>
      <c r="C67" s="62" t="s">
        <v>129</v>
      </c>
      <c r="D67" s="65">
        <v>1</v>
      </c>
      <c r="E67" s="64">
        <v>0</v>
      </c>
      <c r="F67" s="32"/>
    </row>
    <row r="68" spans="1:6" ht="14.45" customHeight="1">
      <c r="A68" s="32"/>
      <c r="B68" s="101"/>
      <c r="C68" s="62" t="s">
        <v>130</v>
      </c>
      <c r="D68" s="65">
        <v>5</v>
      </c>
      <c r="E68" s="64">
        <v>1E-3</v>
      </c>
      <c r="F68" s="32"/>
    </row>
    <row r="69" spans="1:6" ht="14.45" customHeight="1">
      <c r="A69" s="32"/>
      <c r="B69" s="102"/>
      <c r="C69" s="73" t="s">
        <v>288</v>
      </c>
      <c r="D69" s="74">
        <v>6</v>
      </c>
      <c r="E69" s="72">
        <v>1E-3</v>
      </c>
      <c r="F69" s="32"/>
    </row>
    <row r="70" spans="1:6" ht="14.45" customHeight="1">
      <c r="A70" s="32"/>
      <c r="B70" s="100" t="s">
        <v>106</v>
      </c>
      <c r="C70" s="62" t="s">
        <v>129</v>
      </c>
      <c r="D70" s="65">
        <v>9</v>
      </c>
      <c r="E70" s="64">
        <v>2E-3</v>
      </c>
      <c r="F70" s="32"/>
    </row>
    <row r="71" spans="1:6" ht="14.45" customHeight="1">
      <c r="A71" s="32"/>
      <c r="B71" s="101"/>
      <c r="C71" s="62" t="s">
        <v>130</v>
      </c>
      <c r="D71" s="65">
        <v>18</v>
      </c>
      <c r="E71" s="64">
        <v>3.0000000000000001E-3</v>
      </c>
      <c r="F71" s="32"/>
    </row>
    <row r="72" spans="1:6" ht="14.45" customHeight="1">
      <c r="A72" s="32"/>
      <c r="B72" s="102"/>
      <c r="C72" s="73" t="s">
        <v>288</v>
      </c>
      <c r="D72" s="74">
        <v>27</v>
      </c>
      <c r="E72" s="72">
        <v>5.0000000000000001E-3</v>
      </c>
      <c r="F72" s="32"/>
    </row>
    <row r="73" spans="1:6" ht="14.45" customHeight="1">
      <c r="A73" s="32"/>
      <c r="B73" s="100" t="s">
        <v>107</v>
      </c>
      <c r="C73" s="62" t="s">
        <v>129</v>
      </c>
      <c r="D73" s="65">
        <v>21</v>
      </c>
      <c r="E73" s="64">
        <v>4.0000000000000001E-3</v>
      </c>
      <c r="F73" s="32"/>
    </row>
    <row r="74" spans="1:6" ht="14.45" customHeight="1">
      <c r="A74" s="32"/>
      <c r="B74" s="101"/>
      <c r="C74" s="62" t="s">
        <v>130</v>
      </c>
      <c r="D74" s="65">
        <v>35</v>
      </c>
      <c r="E74" s="64">
        <v>6.0000000000000001E-3</v>
      </c>
      <c r="F74" s="32"/>
    </row>
    <row r="75" spans="1:6" ht="14.45" customHeight="1">
      <c r="A75" s="32"/>
      <c r="B75" s="102"/>
      <c r="C75" s="73" t="s">
        <v>288</v>
      </c>
      <c r="D75" s="74">
        <v>56</v>
      </c>
      <c r="E75" s="72">
        <v>0.01</v>
      </c>
      <c r="F75" s="32"/>
    </row>
    <row r="76" spans="1:6" ht="14.45" customHeight="1">
      <c r="A76" s="32"/>
      <c r="B76" s="100" t="s">
        <v>108</v>
      </c>
      <c r="C76" s="62" t="s">
        <v>130</v>
      </c>
      <c r="D76" s="65">
        <v>9</v>
      </c>
      <c r="E76" s="64">
        <v>2E-3</v>
      </c>
      <c r="F76" s="32"/>
    </row>
    <row r="77" spans="1:6" ht="14.45" customHeight="1">
      <c r="A77" s="32"/>
      <c r="B77" s="102"/>
      <c r="C77" s="73" t="s">
        <v>288</v>
      </c>
      <c r="D77" s="74">
        <v>9</v>
      </c>
      <c r="E77" s="72">
        <v>2E-3</v>
      </c>
      <c r="F77" s="32"/>
    </row>
    <row r="78" spans="1:6" ht="14.45" customHeight="1">
      <c r="A78" s="32"/>
      <c r="B78" s="100" t="s">
        <v>109</v>
      </c>
      <c r="C78" s="62" t="s">
        <v>129</v>
      </c>
      <c r="D78" s="65">
        <v>32</v>
      </c>
      <c r="E78" s="64">
        <v>6.0000000000000001E-3</v>
      </c>
      <c r="F78" s="32"/>
    </row>
    <row r="79" spans="1:6" ht="14.45" customHeight="1">
      <c r="A79" s="32"/>
      <c r="B79" s="101"/>
      <c r="C79" s="62" t="s">
        <v>130</v>
      </c>
      <c r="D79" s="65">
        <v>60</v>
      </c>
      <c r="E79" s="64">
        <v>1.0999999999999999E-2</v>
      </c>
      <c r="F79" s="32"/>
    </row>
    <row r="80" spans="1:6" ht="14.45" customHeight="1">
      <c r="A80" s="32"/>
      <c r="B80" s="102"/>
      <c r="C80" s="73" t="s">
        <v>288</v>
      </c>
      <c r="D80" s="74">
        <v>92</v>
      </c>
      <c r="E80" s="72">
        <v>1.6E-2</v>
      </c>
      <c r="F80" s="32"/>
    </row>
    <row r="81" spans="1:6" ht="14.45" customHeight="1">
      <c r="A81" s="32"/>
      <c r="B81" s="100" t="s">
        <v>259</v>
      </c>
      <c r="C81" s="62" t="s">
        <v>129</v>
      </c>
      <c r="D81" s="65">
        <v>1</v>
      </c>
      <c r="E81" s="64">
        <v>0</v>
      </c>
      <c r="F81" s="32"/>
    </row>
    <row r="82" spans="1:6" ht="14.45" customHeight="1">
      <c r="A82" s="32"/>
      <c r="B82" s="101"/>
      <c r="C82" s="62" t="s">
        <v>130</v>
      </c>
      <c r="D82" s="65">
        <v>2</v>
      </c>
      <c r="E82" s="64">
        <v>0</v>
      </c>
      <c r="F82" s="32"/>
    </row>
    <row r="83" spans="1:6" ht="14.45" customHeight="1">
      <c r="A83" s="32"/>
      <c r="B83" s="102"/>
      <c r="C83" s="73" t="s">
        <v>288</v>
      </c>
      <c r="D83" s="74">
        <v>3</v>
      </c>
      <c r="E83" s="72">
        <v>1E-3</v>
      </c>
      <c r="F83" s="32"/>
    </row>
    <row r="84" spans="1:6" ht="14.45" customHeight="1">
      <c r="A84" s="32"/>
      <c r="B84" s="100" t="s">
        <v>110</v>
      </c>
      <c r="C84" s="62" t="s">
        <v>129</v>
      </c>
      <c r="D84" s="65">
        <v>1</v>
      </c>
      <c r="E84" s="64">
        <v>0</v>
      </c>
      <c r="F84" s="32"/>
    </row>
    <row r="85" spans="1:6" ht="14.45" customHeight="1">
      <c r="A85" s="32"/>
      <c r="B85" s="101"/>
      <c r="C85" s="62" t="s">
        <v>130</v>
      </c>
      <c r="D85" s="65">
        <v>5</v>
      </c>
      <c r="E85" s="64">
        <v>1E-3</v>
      </c>
      <c r="F85" s="32"/>
    </row>
    <row r="86" spans="1:6" ht="14.45" customHeight="1">
      <c r="A86" s="32"/>
      <c r="B86" s="102"/>
      <c r="C86" s="73" t="s">
        <v>288</v>
      </c>
      <c r="D86" s="74">
        <v>6</v>
      </c>
      <c r="E86" s="72">
        <v>1E-3</v>
      </c>
      <c r="F86" s="32"/>
    </row>
    <row r="87" spans="1:6" ht="14.45" customHeight="1">
      <c r="A87" s="32"/>
      <c r="B87" s="100" t="s">
        <v>111</v>
      </c>
      <c r="C87" s="62" t="s">
        <v>129</v>
      </c>
      <c r="D87" s="65">
        <v>17</v>
      </c>
      <c r="E87" s="64">
        <v>3.0000000000000001E-3</v>
      </c>
      <c r="F87" s="32"/>
    </row>
    <row r="88" spans="1:6" ht="14.45" customHeight="1">
      <c r="A88" s="32"/>
      <c r="B88" s="101"/>
      <c r="C88" s="62" t="s">
        <v>130</v>
      </c>
      <c r="D88" s="65">
        <v>28</v>
      </c>
      <c r="E88" s="64">
        <v>5.0000000000000001E-3</v>
      </c>
      <c r="F88" s="32"/>
    </row>
    <row r="89" spans="1:6" ht="14.45" customHeight="1">
      <c r="A89" s="32"/>
      <c r="B89" s="102"/>
      <c r="C89" s="73" t="s">
        <v>288</v>
      </c>
      <c r="D89" s="74">
        <v>45</v>
      </c>
      <c r="E89" s="72">
        <v>8.0000000000000002E-3</v>
      </c>
      <c r="F89" s="32"/>
    </row>
    <row r="90" spans="1:6" ht="14.45" customHeight="1">
      <c r="A90" s="32"/>
      <c r="B90" s="100" t="s">
        <v>112</v>
      </c>
      <c r="C90" s="62" t="s">
        <v>129</v>
      </c>
      <c r="D90" s="65">
        <v>96</v>
      </c>
      <c r="E90" s="64">
        <v>1.7000000000000001E-2</v>
      </c>
      <c r="F90" s="32"/>
    </row>
    <row r="91" spans="1:6" ht="14.45" customHeight="1">
      <c r="A91" s="32"/>
      <c r="B91" s="101"/>
      <c r="C91" s="62" t="s">
        <v>130</v>
      </c>
      <c r="D91" s="65">
        <v>202</v>
      </c>
      <c r="E91" s="64">
        <v>3.5999999999999997E-2</v>
      </c>
      <c r="F91" s="32"/>
    </row>
    <row r="92" spans="1:6" ht="14.45" customHeight="1">
      <c r="A92" s="32"/>
      <c r="B92" s="102"/>
      <c r="C92" s="73" t="s">
        <v>288</v>
      </c>
      <c r="D92" s="74">
        <v>298</v>
      </c>
      <c r="E92" s="72">
        <v>5.2999999999999999E-2</v>
      </c>
      <c r="F92" s="32"/>
    </row>
    <row r="93" spans="1:6" ht="14.45" customHeight="1">
      <c r="A93" s="32"/>
      <c r="B93" s="100" t="s">
        <v>113</v>
      </c>
      <c r="C93" s="62" t="s">
        <v>129</v>
      </c>
      <c r="D93" s="65">
        <v>4</v>
      </c>
      <c r="E93" s="64">
        <v>1E-3</v>
      </c>
      <c r="F93" s="32"/>
    </row>
    <row r="94" spans="1:6" ht="14.45" customHeight="1">
      <c r="A94" s="32"/>
      <c r="B94" s="101"/>
      <c r="C94" s="62" t="s">
        <v>130</v>
      </c>
      <c r="D94" s="65">
        <v>10</v>
      </c>
      <c r="E94" s="64">
        <v>2E-3</v>
      </c>
      <c r="F94" s="32"/>
    </row>
    <row r="95" spans="1:6" ht="14.45" customHeight="1">
      <c r="A95" s="32"/>
      <c r="B95" s="102"/>
      <c r="C95" s="73" t="s">
        <v>288</v>
      </c>
      <c r="D95" s="74">
        <v>14</v>
      </c>
      <c r="E95" s="72">
        <v>2E-3</v>
      </c>
      <c r="F95" s="32"/>
    </row>
    <row r="96" spans="1:6" ht="14.45" customHeight="1">
      <c r="A96" s="32"/>
      <c r="B96" s="100" t="s">
        <v>114</v>
      </c>
      <c r="C96" s="62" t="s">
        <v>129</v>
      </c>
      <c r="D96" s="65">
        <v>279</v>
      </c>
      <c r="E96" s="64">
        <v>0.05</v>
      </c>
      <c r="F96" s="32"/>
    </row>
    <row r="97" spans="1:6" ht="14.45" customHeight="1">
      <c r="A97" s="32"/>
      <c r="B97" s="101"/>
      <c r="C97" s="62" t="s">
        <v>130</v>
      </c>
      <c r="D97" s="65">
        <v>658</v>
      </c>
      <c r="E97" s="64">
        <v>0.11700000000000001</v>
      </c>
      <c r="F97" s="32"/>
    </row>
    <row r="98" spans="1:6" ht="14.45" customHeight="1">
      <c r="A98" s="32"/>
      <c r="B98" s="102"/>
      <c r="C98" s="73" t="s">
        <v>288</v>
      </c>
      <c r="D98" s="74">
        <v>937</v>
      </c>
      <c r="E98" s="72">
        <v>0.16700000000000001</v>
      </c>
      <c r="F98" s="32"/>
    </row>
    <row r="99" spans="1:6" ht="14.45" customHeight="1">
      <c r="A99" s="32"/>
      <c r="B99" s="100" t="s">
        <v>115</v>
      </c>
      <c r="C99" s="62" t="s">
        <v>129</v>
      </c>
      <c r="D99" s="65">
        <v>28</v>
      </c>
      <c r="E99" s="64">
        <v>5.0000000000000001E-3</v>
      </c>
      <c r="F99" s="32"/>
    </row>
    <row r="100" spans="1:6" ht="14.45" customHeight="1">
      <c r="A100" s="32"/>
      <c r="B100" s="101"/>
      <c r="C100" s="62" t="s">
        <v>130</v>
      </c>
      <c r="D100" s="65">
        <v>61</v>
      </c>
      <c r="E100" s="64">
        <v>1.0999999999999999E-2</v>
      </c>
      <c r="F100" s="32"/>
    </row>
    <row r="101" spans="1:6" ht="14.45" customHeight="1">
      <c r="A101" s="32"/>
      <c r="B101" s="102"/>
      <c r="C101" s="73" t="s">
        <v>288</v>
      </c>
      <c r="D101" s="74">
        <v>89</v>
      </c>
      <c r="E101" s="72">
        <v>1.6E-2</v>
      </c>
      <c r="F101" s="32"/>
    </row>
    <row r="102" spans="1:6" ht="14.45" customHeight="1">
      <c r="A102" s="32"/>
      <c r="B102" s="100" t="s">
        <v>116</v>
      </c>
      <c r="C102" s="62" t="s">
        <v>129</v>
      </c>
      <c r="D102" s="65">
        <v>5</v>
      </c>
      <c r="E102" s="64">
        <v>1E-3</v>
      </c>
      <c r="F102" s="32"/>
    </row>
    <row r="103" spans="1:6" ht="14.45" customHeight="1">
      <c r="A103" s="32"/>
      <c r="B103" s="101"/>
      <c r="C103" s="62" t="s">
        <v>130</v>
      </c>
      <c r="D103" s="65">
        <v>13</v>
      </c>
      <c r="E103" s="64">
        <v>2E-3</v>
      </c>
      <c r="F103" s="32"/>
    </row>
    <row r="104" spans="1:6" ht="14.45" customHeight="1">
      <c r="A104" s="32"/>
      <c r="B104" s="102"/>
      <c r="C104" s="73" t="s">
        <v>288</v>
      </c>
      <c r="D104" s="74">
        <v>18</v>
      </c>
      <c r="E104" s="72">
        <v>3.0000000000000001E-3</v>
      </c>
      <c r="F104" s="32"/>
    </row>
    <row r="105" spans="1:6" ht="14.45" customHeight="1">
      <c r="A105" s="32"/>
      <c r="B105" s="100" t="s">
        <v>117</v>
      </c>
      <c r="C105" s="62" t="s">
        <v>129</v>
      </c>
      <c r="D105" s="65">
        <v>10</v>
      </c>
      <c r="E105" s="64">
        <v>2E-3</v>
      </c>
      <c r="F105" s="32"/>
    </row>
    <row r="106" spans="1:6" ht="14.45" customHeight="1">
      <c r="A106" s="32"/>
      <c r="B106" s="101"/>
      <c r="C106" s="62" t="s">
        <v>130</v>
      </c>
      <c r="D106" s="65">
        <v>33</v>
      </c>
      <c r="E106" s="64">
        <v>6.0000000000000001E-3</v>
      </c>
      <c r="F106" s="32"/>
    </row>
    <row r="107" spans="1:6" ht="14.45" customHeight="1">
      <c r="A107" s="32"/>
      <c r="B107" s="102"/>
      <c r="C107" s="73" t="s">
        <v>288</v>
      </c>
      <c r="D107" s="74">
        <v>43</v>
      </c>
      <c r="E107" s="72">
        <v>8.0000000000000002E-3</v>
      </c>
      <c r="F107" s="32"/>
    </row>
    <row r="108" spans="1:6" ht="14.45" customHeight="1">
      <c r="A108" s="32"/>
      <c r="B108" s="100" t="s">
        <v>118</v>
      </c>
      <c r="C108" s="62" t="s">
        <v>129</v>
      </c>
      <c r="D108" s="65">
        <v>11</v>
      </c>
      <c r="E108" s="64">
        <v>2E-3</v>
      </c>
      <c r="F108" s="32"/>
    </row>
    <row r="109" spans="1:6" ht="14.45" customHeight="1">
      <c r="A109" s="32"/>
      <c r="B109" s="101"/>
      <c r="C109" s="62" t="s">
        <v>130</v>
      </c>
      <c r="D109" s="65">
        <v>28</v>
      </c>
      <c r="E109" s="64">
        <v>5.0000000000000001E-3</v>
      </c>
      <c r="F109" s="32"/>
    </row>
    <row r="110" spans="1:6" ht="14.45" customHeight="1">
      <c r="A110" s="32"/>
      <c r="B110" s="102"/>
      <c r="C110" s="73" t="s">
        <v>288</v>
      </c>
      <c r="D110" s="74">
        <v>39</v>
      </c>
      <c r="E110" s="72">
        <v>7.0000000000000001E-3</v>
      </c>
      <c r="F110" s="32"/>
    </row>
    <row r="111" spans="1:6" ht="14.45" customHeight="1">
      <c r="A111" s="32"/>
      <c r="B111" s="100" t="s">
        <v>119</v>
      </c>
      <c r="C111" s="62" t="s">
        <v>129</v>
      </c>
      <c r="D111" s="65">
        <v>40</v>
      </c>
      <c r="E111" s="64">
        <v>7.0000000000000001E-3</v>
      </c>
      <c r="F111" s="32"/>
    </row>
    <row r="112" spans="1:6" ht="14.45" customHeight="1">
      <c r="A112" s="32"/>
      <c r="B112" s="101"/>
      <c r="C112" s="62" t="s">
        <v>130</v>
      </c>
      <c r="D112" s="65">
        <v>96</v>
      </c>
      <c r="E112" s="64">
        <v>1.7000000000000001E-2</v>
      </c>
      <c r="F112" s="32"/>
    </row>
    <row r="113" spans="1:6" ht="14.45" customHeight="1">
      <c r="A113" s="32"/>
      <c r="B113" s="102"/>
      <c r="C113" s="73" t="s">
        <v>288</v>
      </c>
      <c r="D113" s="74">
        <v>136</v>
      </c>
      <c r="E113" s="72">
        <v>2.4E-2</v>
      </c>
      <c r="F113" s="32"/>
    </row>
    <row r="114" spans="1:6" ht="14.45" customHeight="1">
      <c r="A114" s="32"/>
      <c r="B114" s="100" t="s">
        <v>120</v>
      </c>
      <c r="C114" s="62" t="s">
        <v>129</v>
      </c>
      <c r="D114" s="65">
        <v>2</v>
      </c>
      <c r="E114" s="64">
        <v>0</v>
      </c>
      <c r="F114" s="32"/>
    </row>
    <row r="115" spans="1:6" ht="14.45" customHeight="1">
      <c r="A115" s="32"/>
      <c r="B115" s="102"/>
      <c r="C115" s="73" t="s">
        <v>288</v>
      </c>
      <c r="D115" s="74">
        <v>2</v>
      </c>
      <c r="E115" s="72">
        <v>0</v>
      </c>
      <c r="F115" s="32"/>
    </row>
    <row r="116" spans="1:6" ht="14.45" customHeight="1">
      <c r="A116" s="32"/>
      <c r="B116" s="100" t="s">
        <v>121</v>
      </c>
      <c r="C116" s="62" t="s">
        <v>129</v>
      </c>
      <c r="D116" s="65">
        <v>11</v>
      </c>
      <c r="E116" s="64">
        <v>2E-3</v>
      </c>
      <c r="F116" s="32"/>
    </row>
    <row r="117" spans="1:6" ht="14.45" customHeight="1">
      <c r="A117" s="32"/>
      <c r="B117" s="101"/>
      <c r="C117" s="62" t="s">
        <v>130</v>
      </c>
      <c r="D117" s="65">
        <v>30</v>
      </c>
      <c r="E117" s="64">
        <v>5.0000000000000001E-3</v>
      </c>
      <c r="F117" s="32"/>
    </row>
    <row r="118" spans="1:6" ht="14.45" customHeight="1">
      <c r="A118" s="32"/>
      <c r="B118" s="102"/>
      <c r="C118" s="73" t="s">
        <v>288</v>
      </c>
      <c r="D118" s="74">
        <v>41</v>
      </c>
      <c r="E118" s="72">
        <v>7.0000000000000001E-3</v>
      </c>
      <c r="F118" s="32"/>
    </row>
    <row r="119" spans="1:6" ht="14.45" customHeight="1">
      <c r="A119" s="32"/>
      <c r="B119" s="100" t="s">
        <v>260</v>
      </c>
      <c r="C119" s="62" t="s">
        <v>129</v>
      </c>
      <c r="D119" s="65">
        <v>3</v>
      </c>
      <c r="E119" s="64">
        <v>1E-3</v>
      </c>
      <c r="F119" s="32"/>
    </row>
    <row r="120" spans="1:6" ht="14.45" customHeight="1">
      <c r="A120" s="32"/>
      <c r="B120" s="101"/>
      <c r="C120" s="62" t="s">
        <v>130</v>
      </c>
      <c r="D120" s="65">
        <v>1</v>
      </c>
      <c r="E120" s="64">
        <v>0</v>
      </c>
      <c r="F120" s="32"/>
    </row>
    <row r="121" spans="1:6" ht="14.45" customHeight="1">
      <c r="A121" s="32"/>
      <c r="B121" s="102"/>
      <c r="C121" s="73" t="s">
        <v>288</v>
      </c>
      <c r="D121" s="74">
        <v>4</v>
      </c>
      <c r="E121" s="72">
        <v>1E-3</v>
      </c>
      <c r="F121" s="32"/>
    </row>
    <row r="122" spans="1:6" ht="14.45" customHeight="1">
      <c r="A122" s="32"/>
      <c r="B122" s="100" t="s">
        <v>122</v>
      </c>
      <c r="C122" s="62" t="s">
        <v>129</v>
      </c>
      <c r="D122" s="65">
        <v>12</v>
      </c>
      <c r="E122" s="64">
        <v>2E-3</v>
      </c>
      <c r="F122" s="32"/>
    </row>
    <row r="123" spans="1:6" ht="14.45" customHeight="1">
      <c r="A123" s="32"/>
      <c r="B123" s="101"/>
      <c r="C123" s="62" t="s">
        <v>130</v>
      </c>
      <c r="D123" s="65">
        <v>19</v>
      </c>
      <c r="E123" s="64">
        <v>3.0000000000000001E-3</v>
      </c>
      <c r="F123" s="32"/>
    </row>
    <row r="124" spans="1:6" ht="14.45" customHeight="1">
      <c r="A124" s="32"/>
      <c r="B124" s="102"/>
      <c r="C124" s="73" t="s">
        <v>288</v>
      </c>
      <c r="D124" s="74">
        <v>31</v>
      </c>
      <c r="E124" s="72">
        <v>6.0000000000000001E-3</v>
      </c>
      <c r="F124" s="32"/>
    </row>
    <row r="125" spans="1:6" ht="14.45" customHeight="1">
      <c r="A125" s="32"/>
      <c r="B125" s="100" t="s">
        <v>123</v>
      </c>
      <c r="C125" s="62" t="s">
        <v>129</v>
      </c>
      <c r="D125" s="65">
        <v>195</v>
      </c>
      <c r="E125" s="64">
        <v>3.5000000000000003E-2</v>
      </c>
      <c r="F125" s="32"/>
    </row>
    <row r="126" spans="1:6" ht="14.45" customHeight="1">
      <c r="A126" s="32"/>
      <c r="B126" s="101"/>
      <c r="C126" s="62" t="s">
        <v>130</v>
      </c>
      <c r="D126" s="65">
        <v>361</v>
      </c>
      <c r="E126" s="64">
        <v>6.4000000000000001E-2</v>
      </c>
      <c r="F126" s="32"/>
    </row>
    <row r="127" spans="1:6" ht="14.45" customHeight="1">
      <c r="A127" s="32"/>
      <c r="B127" s="102"/>
      <c r="C127" s="73" t="s">
        <v>288</v>
      </c>
      <c r="D127" s="74">
        <v>556</v>
      </c>
      <c r="E127" s="72">
        <v>9.9000000000000005E-2</v>
      </c>
      <c r="F127" s="32"/>
    </row>
    <row r="128" spans="1:6" ht="14.45" customHeight="1">
      <c r="A128" s="32"/>
      <c r="B128" s="100" t="s">
        <v>124</v>
      </c>
      <c r="C128" s="62" t="s">
        <v>129</v>
      </c>
      <c r="D128" s="65">
        <v>18</v>
      </c>
      <c r="E128" s="64">
        <v>3.0000000000000001E-3</v>
      </c>
      <c r="F128" s="32"/>
    </row>
    <row r="129" spans="1:6" ht="14.45" customHeight="1">
      <c r="A129" s="32"/>
      <c r="B129" s="101"/>
      <c r="C129" s="62" t="s">
        <v>130</v>
      </c>
      <c r="D129" s="65">
        <v>47</v>
      </c>
      <c r="E129" s="64">
        <v>8.0000000000000002E-3</v>
      </c>
      <c r="F129" s="32"/>
    </row>
    <row r="130" spans="1:6" ht="14.45" customHeight="1">
      <c r="A130" s="32"/>
      <c r="B130" s="102"/>
      <c r="C130" s="73" t="s">
        <v>288</v>
      </c>
      <c r="D130" s="74">
        <v>65</v>
      </c>
      <c r="E130" s="72">
        <v>1.2E-2</v>
      </c>
      <c r="F130" s="32"/>
    </row>
    <row r="131" spans="1:6" ht="14.45" customHeight="1">
      <c r="A131" s="32"/>
      <c r="B131" s="100" t="s">
        <v>125</v>
      </c>
      <c r="C131" s="62" t="s">
        <v>129</v>
      </c>
      <c r="D131" s="65">
        <v>7</v>
      </c>
      <c r="E131" s="64">
        <v>1E-3</v>
      </c>
      <c r="F131" s="32"/>
    </row>
    <row r="132" spans="1:6" ht="14.45" customHeight="1">
      <c r="A132" s="32"/>
      <c r="B132" s="101"/>
      <c r="C132" s="62" t="s">
        <v>130</v>
      </c>
      <c r="D132" s="65">
        <v>19</v>
      </c>
      <c r="E132" s="64">
        <v>3.0000000000000001E-3</v>
      </c>
      <c r="F132" s="32"/>
    </row>
    <row r="133" spans="1:6" ht="14.45" customHeight="1">
      <c r="A133" s="32"/>
      <c r="B133" s="102"/>
      <c r="C133" s="73" t="s">
        <v>288</v>
      </c>
      <c r="D133" s="74">
        <v>26</v>
      </c>
      <c r="E133" s="72">
        <v>5.0000000000000001E-3</v>
      </c>
      <c r="F133" s="32"/>
    </row>
    <row r="134" spans="1:6" ht="14.45" customHeight="1">
      <c r="A134" s="32"/>
      <c r="B134" s="100" t="s">
        <v>67</v>
      </c>
      <c r="C134" s="62" t="s">
        <v>129</v>
      </c>
      <c r="D134" s="65">
        <v>10</v>
      </c>
      <c r="E134" s="64">
        <v>2E-3</v>
      </c>
      <c r="F134" s="32"/>
    </row>
    <row r="135" spans="1:6" ht="14.45" customHeight="1">
      <c r="A135" s="32"/>
      <c r="B135" s="101"/>
      <c r="C135" s="62" t="s">
        <v>130</v>
      </c>
      <c r="D135" s="65">
        <v>22</v>
      </c>
      <c r="E135" s="64">
        <v>4.0000000000000001E-3</v>
      </c>
      <c r="F135" s="32"/>
    </row>
    <row r="136" spans="1:6" ht="14.45" customHeight="1">
      <c r="A136" s="32"/>
      <c r="B136" s="102"/>
      <c r="C136" s="73" t="s">
        <v>288</v>
      </c>
      <c r="D136" s="74">
        <v>32</v>
      </c>
      <c r="E136" s="72">
        <v>6.0000000000000001E-3</v>
      </c>
      <c r="F136" s="32"/>
    </row>
    <row r="137" spans="1:6" ht="14.45" customHeight="1">
      <c r="A137" s="32"/>
      <c r="B137" s="100" t="s">
        <v>126</v>
      </c>
      <c r="C137" s="62" t="s">
        <v>129</v>
      </c>
      <c r="D137" s="65">
        <v>24</v>
      </c>
      <c r="E137" s="64">
        <v>4.0000000000000001E-3</v>
      </c>
      <c r="F137" s="32"/>
    </row>
    <row r="138" spans="1:6" ht="14.45" customHeight="1">
      <c r="A138" s="32"/>
      <c r="B138" s="101"/>
      <c r="C138" s="62" t="s">
        <v>130</v>
      </c>
      <c r="D138" s="65">
        <v>37</v>
      </c>
      <c r="E138" s="64">
        <v>7.0000000000000001E-3</v>
      </c>
      <c r="F138" s="32"/>
    </row>
    <row r="139" spans="1:6" ht="14.45" customHeight="1">
      <c r="A139" s="32"/>
      <c r="B139" s="102"/>
      <c r="C139" s="73" t="s">
        <v>288</v>
      </c>
      <c r="D139" s="74">
        <v>61</v>
      </c>
      <c r="E139" s="72">
        <v>1.0999999999999999E-2</v>
      </c>
      <c r="F139" s="32"/>
    </row>
    <row r="140" spans="1:6" ht="14.45" customHeight="1">
      <c r="A140" s="32"/>
      <c r="B140" s="100" t="s">
        <v>127</v>
      </c>
      <c r="C140" s="62" t="s">
        <v>129</v>
      </c>
      <c r="D140" s="65">
        <v>81</v>
      </c>
      <c r="E140" s="64">
        <v>1.4E-2</v>
      </c>
      <c r="F140" s="32"/>
    </row>
    <row r="141" spans="1:6" ht="14.45" customHeight="1">
      <c r="A141" s="32"/>
      <c r="B141" s="101"/>
      <c r="C141" s="62" t="s">
        <v>130</v>
      </c>
      <c r="D141" s="65">
        <v>154</v>
      </c>
      <c r="E141" s="64">
        <v>2.7E-2</v>
      </c>
      <c r="F141" s="32"/>
    </row>
    <row r="142" spans="1:6" ht="14.45" customHeight="1">
      <c r="A142" s="32"/>
      <c r="B142" s="102"/>
      <c r="C142" s="73" t="s">
        <v>288</v>
      </c>
      <c r="D142" s="74">
        <v>235</v>
      </c>
      <c r="E142" s="72">
        <v>4.2000000000000003E-2</v>
      </c>
      <c r="F142" s="32"/>
    </row>
    <row r="143" spans="1:6" ht="14.45" customHeight="1">
      <c r="A143" s="32"/>
      <c r="B143" s="98" t="s">
        <v>288</v>
      </c>
      <c r="C143" s="98"/>
      <c r="D143" s="40">
        <v>5612</v>
      </c>
      <c r="E143" s="67">
        <v>1</v>
      </c>
      <c r="F143" s="32"/>
    </row>
    <row r="144" spans="1:6" ht="14.45" customHeight="1">
      <c r="A144" s="32"/>
      <c r="B144" s="35"/>
      <c r="C144" s="35"/>
      <c r="D144" s="35"/>
      <c r="E144" s="35"/>
      <c r="F144" s="32"/>
    </row>
    <row r="145" spans="1:6" ht="14.45" customHeight="1">
      <c r="A145" s="32"/>
      <c r="B145" s="35" t="s">
        <v>255</v>
      </c>
      <c r="C145" s="35"/>
      <c r="D145" s="35"/>
      <c r="E145" s="35"/>
      <c r="F145" s="32"/>
    </row>
    <row r="146" spans="1:6" ht="14.45" customHeight="1">
      <c r="A146" s="32"/>
      <c r="B146" s="37" t="s">
        <v>18</v>
      </c>
      <c r="C146" s="35"/>
      <c r="D146" s="35"/>
      <c r="E146" s="35"/>
      <c r="F146" s="32"/>
    </row>
    <row r="147" spans="1:6" ht="14.45" customHeight="1">
      <c r="A147" s="32"/>
      <c r="B147" s="38" t="s">
        <v>128</v>
      </c>
      <c r="C147" s="35"/>
      <c r="D147" s="35"/>
      <c r="E147" s="35"/>
      <c r="F147" s="32"/>
    </row>
    <row r="148" spans="1:6" ht="14.45" customHeight="1">
      <c r="A148" s="32"/>
      <c r="B148" s="35" t="s">
        <v>17</v>
      </c>
      <c r="C148" s="45"/>
      <c r="D148" s="55"/>
      <c r="E148" s="45"/>
      <c r="F148" s="32"/>
    </row>
    <row r="149" spans="1:6" ht="14.45" customHeight="1">
      <c r="A149" s="32"/>
      <c r="B149" s="35" t="s">
        <v>290</v>
      </c>
      <c r="C149" s="45"/>
      <c r="D149" s="55"/>
      <c r="E149" s="45"/>
      <c r="F149" s="32"/>
    </row>
    <row r="150" spans="1:6">
      <c r="B150" s="17"/>
    </row>
    <row r="151" spans="1:6">
      <c r="B151" s="16"/>
    </row>
    <row r="152" spans="1:6">
      <c r="B152" s="15"/>
    </row>
    <row r="153" spans="1:6">
      <c r="B153" s="15"/>
    </row>
  </sheetData>
  <mergeCells count="46">
    <mergeCell ref="B81:B83"/>
    <mergeCell ref="B43:B45"/>
    <mergeCell ref="B8:E10"/>
    <mergeCell ref="B99:B101"/>
    <mergeCell ref="B28:B30"/>
    <mergeCell ref="B31:B33"/>
    <mergeCell ref="B34:B36"/>
    <mergeCell ref="B37:B39"/>
    <mergeCell ref="B40:B42"/>
    <mergeCell ref="B13:B15"/>
    <mergeCell ref="B16:B18"/>
    <mergeCell ref="B19:B21"/>
    <mergeCell ref="B22:B24"/>
    <mergeCell ref="B25:B27"/>
    <mergeCell ref="B93:B95"/>
    <mergeCell ref="B96:B98"/>
    <mergeCell ref="B143:C143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7"/>
    <mergeCell ref="B84:B86"/>
    <mergeCell ref="B87:B89"/>
    <mergeCell ref="B90:B92"/>
    <mergeCell ref="B78:B80"/>
    <mergeCell ref="B105:B107"/>
    <mergeCell ref="B108:B110"/>
    <mergeCell ref="B111:B113"/>
    <mergeCell ref="B114:B115"/>
    <mergeCell ref="B102:B104"/>
    <mergeCell ref="B116:B118"/>
    <mergeCell ref="B134:B136"/>
    <mergeCell ref="B137:B139"/>
    <mergeCell ref="B140:B142"/>
    <mergeCell ref="B119:B121"/>
    <mergeCell ref="B122:B124"/>
    <mergeCell ref="B125:B127"/>
    <mergeCell ref="B128:B130"/>
    <mergeCell ref="B131:B133"/>
  </mergeCells>
  <printOptions horizontalCentered="1"/>
  <pageMargins left="0.74803149606299213" right="0.74803149606299213" top="0.98425196850393704" bottom="0.98425196850393704" header="0.51181102362204722" footer="0.51181102362204722"/>
  <pageSetup scale="53" orientation="portrait" r:id="rId1"/>
  <headerFooter>
    <oddFooter>&amp;C&amp;P de &amp;N</oddFooter>
  </headerFooter>
  <rowBreaks count="1" manualBreakCount="1">
    <brk id="75" max="5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G37"/>
  <sheetViews>
    <sheetView showGridLines="0" view="pageBreakPreview" zoomScale="90" zoomScaleNormal="100" zoomScaleSheetLayoutView="90" workbookViewId="0">
      <selection activeCell="E14" sqref="E14"/>
    </sheetView>
  </sheetViews>
  <sheetFormatPr baseColWidth="10" defaultColWidth="11.42578125" defaultRowHeight="11.25"/>
  <cols>
    <col min="1" max="1" width="5.7109375" style="18" customWidth="1"/>
    <col min="2" max="2" width="19" style="24" customWidth="1"/>
    <col min="3" max="3" width="28.28515625" style="24" customWidth="1"/>
    <col min="4" max="4" width="17.140625" style="27" customWidth="1"/>
    <col min="5" max="5" width="16.5703125" style="27" customWidth="1"/>
    <col min="6" max="6" width="16.5703125" style="24" customWidth="1"/>
    <col min="7" max="7" width="5.42578125" style="18" customWidth="1"/>
    <col min="8" max="16384" width="11.42578125" style="18"/>
  </cols>
  <sheetData>
    <row r="1" spans="1:7" s="13" customFormat="1" ht="15">
      <c r="B1" s="24"/>
      <c r="C1" s="24"/>
    </row>
    <row r="2" spans="1:7" s="24" customFormat="1">
      <c r="B2" s="29"/>
    </row>
    <row r="3" spans="1:7" ht="15" customHeight="1">
      <c r="B3" s="30"/>
      <c r="C3" s="20"/>
      <c r="D3" s="18"/>
      <c r="E3" s="18"/>
      <c r="G3" s="24"/>
    </row>
    <row r="4" spans="1:7" ht="30" customHeight="1">
      <c r="B4" s="30"/>
      <c r="C4" s="20"/>
      <c r="D4" s="18"/>
      <c r="E4" s="18"/>
      <c r="G4" s="24"/>
    </row>
    <row r="5" spans="1:7" ht="15" customHeight="1">
      <c r="B5" s="30"/>
      <c r="C5" s="20"/>
      <c r="D5" s="18"/>
      <c r="E5" s="18"/>
      <c r="G5" s="24"/>
    </row>
    <row r="6" spans="1:7" s="24" customFormat="1">
      <c r="B6" s="26"/>
      <c r="C6" s="23"/>
    </row>
    <row r="7" spans="1:7" s="24" customFormat="1">
      <c r="B7" s="29"/>
    </row>
    <row r="8" spans="1:7" s="13" customFormat="1" ht="15" customHeight="1">
      <c r="A8" s="34"/>
      <c r="B8" s="95" t="s">
        <v>33</v>
      </c>
      <c r="C8" s="95"/>
      <c r="D8" s="95"/>
      <c r="E8" s="95"/>
      <c r="F8" s="95"/>
      <c r="G8" s="34"/>
    </row>
    <row r="9" spans="1:7" s="13" customFormat="1" ht="15" customHeight="1">
      <c r="A9" s="34"/>
      <c r="B9" s="95"/>
      <c r="C9" s="95"/>
      <c r="D9" s="95"/>
      <c r="E9" s="95"/>
      <c r="F9" s="95"/>
      <c r="G9" s="53"/>
    </row>
    <row r="10" spans="1:7" s="13" customFormat="1" ht="15" customHeight="1">
      <c r="A10" s="34"/>
      <c r="B10" s="95"/>
      <c r="C10" s="95"/>
      <c r="D10" s="95"/>
      <c r="E10" s="95"/>
      <c r="F10" s="95"/>
      <c r="G10" s="34"/>
    </row>
    <row r="11" spans="1:7" s="13" customFormat="1" ht="25.5" customHeight="1">
      <c r="A11" s="34"/>
      <c r="B11" s="54"/>
      <c r="C11" s="54"/>
      <c r="D11" s="54"/>
      <c r="E11" s="54"/>
      <c r="F11" s="54"/>
      <c r="G11" s="34"/>
    </row>
    <row r="12" spans="1:7" s="13" customFormat="1" ht="36.950000000000003" customHeight="1">
      <c r="A12" s="34"/>
      <c r="B12" s="81" t="s">
        <v>29</v>
      </c>
      <c r="C12" s="81" t="s">
        <v>32</v>
      </c>
      <c r="D12" s="81" t="s">
        <v>20</v>
      </c>
      <c r="E12" s="81" t="s">
        <v>31</v>
      </c>
      <c r="F12" s="81" t="s">
        <v>30</v>
      </c>
      <c r="G12" s="34"/>
    </row>
    <row r="13" spans="1:7" ht="14.45" customHeight="1">
      <c r="A13" s="32"/>
      <c r="B13" s="107" t="s">
        <v>276</v>
      </c>
      <c r="C13" s="56" t="s">
        <v>275</v>
      </c>
      <c r="D13" s="57">
        <v>1</v>
      </c>
      <c r="E13" s="58">
        <f>D13/$D$21</f>
        <v>5.274261603375527E-4</v>
      </c>
      <c r="F13" s="58">
        <f>D13/$D$31</f>
        <v>1.7818959372772631E-4</v>
      </c>
      <c r="G13" s="32"/>
    </row>
    <row r="14" spans="1:7" ht="14.45" customHeight="1">
      <c r="A14" s="32"/>
      <c r="B14" s="108"/>
      <c r="C14" s="56" t="s">
        <v>214</v>
      </c>
      <c r="D14" s="57">
        <v>3</v>
      </c>
      <c r="E14" s="58">
        <f>D14/$D$21</f>
        <v>1.5822784810126582E-3</v>
      </c>
      <c r="F14" s="58">
        <f t="shared" ref="F14:F20" si="0">D14/$D$31</f>
        <v>5.3456878118317893E-4</v>
      </c>
      <c r="G14" s="32"/>
    </row>
    <row r="15" spans="1:7" ht="14.45" customHeight="1">
      <c r="A15" s="32"/>
      <c r="B15" s="108"/>
      <c r="C15" s="56" t="s">
        <v>215</v>
      </c>
      <c r="D15" s="57">
        <v>300</v>
      </c>
      <c r="E15" s="58">
        <f t="shared" ref="E14:E20" si="1">D15/$D$21</f>
        <v>0.15822784810126583</v>
      </c>
      <c r="F15" s="58">
        <f t="shared" si="0"/>
        <v>5.345687811831789E-2</v>
      </c>
      <c r="G15" s="32"/>
    </row>
    <row r="16" spans="1:7" ht="14.45" customHeight="1">
      <c r="A16" s="32"/>
      <c r="B16" s="108"/>
      <c r="C16" s="56" t="s">
        <v>216</v>
      </c>
      <c r="D16" s="57">
        <v>477</v>
      </c>
      <c r="E16" s="58">
        <f t="shared" si="1"/>
        <v>0.25158227848101267</v>
      </c>
      <c r="F16" s="58">
        <f t="shared" si="0"/>
        <v>8.4996436208125442E-2</v>
      </c>
      <c r="G16" s="32"/>
    </row>
    <row r="17" spans="1:7" ht="14.45" customHeight="1">
      <c r="A17" s="32"/>
      <c r="B17" s="108"/>
      <c r="C17" s="56" t="s">
        <v>217</v>
      </c>
      <c r="D17" s="57">
        <v>628</v>
      </c>
      <c r="E17" s="58">
        <f t="shared" si="1"/>
        <v>0.33122362869198313</v>
      </c>
      <c r="F17" s="58">
        <f t="shared" si="0"/>
        <v>0.11190306486101212</v>
      </c>
      <c r="G17" s="32"/>
    </row>
    <row r="18" spans="1:7" ht="14.45" customHeight="1">
      <c r="A18" s="32"/>
      <c r="B18" s="108"/>
      <c r="C18" s="56" t="s">
        <v>218</v>
      </c>
      <c r="D18" s="57">
        <v>438</v>
      </c>
      <c r="E18" s="58">
        <f t="shared" si="1"/>
        <v>0.23101265822784811</v>
      </c>
      <c r="F18" s="58">
        <f t="shared" si="0"/>
        <v>7.8047042052744126E-2</v>
      </c>
      <c r="G18" s="32"/>
    </row>
    <row r="19" spans="1:7" ht="14.45" customHeight="1">
      <c r="A19" s="32"/>
      <c r="B19" s="108"/>
      <c r="C19" s="56" t="s">
        <v>219</v>
      </c>
      <c r="D19" s="57">
        <v>38</v>
      </c>
      <c r="E19" s="58">
        <f t="shared" si="1"/>
        <v>2.0042194092827006E-2</v>
      </c>
      <c r="F19" s="58">
        <f t="shared" si="0"/>
        <v>6.7712045616535998E-3</v>
      </c>
      <c r="G19" s="32"/>
    </row>
    <row r="20" spans="1:7" ht="14.45" customHeight="1">
      <c r="A20" s="32"/>
      <c r="B20" s="108"/>
      <c r="C20" s="56" t="s">
        <v>220</v>
      </c>
      <c r="D20" s="57">
        <v>11</v>
      </c>
      <c r="E20" s="58">
        <f t="shared" si="1"/>
        <v>5.8016877637130804E-3</v>
      </c>
      <c r="F20" s="58">
        <f t="shared" si="0"/>
        <v>1.9600855310049894E-3</v>
      </c>
      <c r="G20" s="32"/>
    </row>
    <row r="21" spans="1:7" ht="14.45" customHeight="1">
      <c r="A21" s="32"/>
      <c r="B21" s="109"/>
      <c r="C21" s="85" t="s">
        <v>288</v>
      </c>
      <c r="D21" s="82">
        <v>1896</v>
      </c>
      <c r="E21" s="83"/>
      <c r="F21" s="83">
        <f>D21/$D$31</f>
        <v>0.33784746970776908</v>
      </c>
      <c r="G21" s="32"/>
    </row>
    <row r="22" spans="1:7" ht="14.45" customHeight="1">
      <c r="A22" s="32"/>
      <c r="B22" s="107" t="s">
        <v>277</v>
      </c>
      <c r="C22" s="56" t="s">
        <v>275</v>
      </c>
      <c r="D22" s="57">
        <v>2</v>
      </c>
      <c r="E22" s="58">
        <f>D22/$D$30</f>
        <v>5.3821313240043052E-4</v>
      </c>
      <c r="F22" s="58">
        <f>D22/$D$31</f>
        <v>3.5637918745545262E-4</v>
      </c>
      <c r="G22" s="32"/>
    </row>
    <row r="23" spans="1:7" ht="14.45" customHeight="1">
      <c r="A23" s="32"/>
      <c r="B23" s="108"/>
      <c r="C23" s="56" t="s">
        <v>214</v>
      </c>
      <c r="D23" s="57">
        <v>2</v>
      </c>
      <c r="E23" s="58">
        <f t="shared" ref="E23:E29" si="2">D23/$D$30</f>
        <v>5.3821313240043052E-4</v>
      </c>
      <c r="F23" s="58">
        <f t="shared" ref="F23:F29" si="3">D23/$D$31</f>
        <v>3.5637918745545262E-4</v>
      </c>
      <c r="G23" s="32"/>
    </row>
    <row r="24" spans="1:7" ht="14.45" customHeight="1">
      <c r="A24" s="32"/>
      <c r="B24" s="108"/>
      <c r="C24" s="56" t="s">
        <v>215</v>
      </c>
      <c r="D24" s="57">
        <v>674</v>
      </c>
      <c r="E24" s="58">
        <f t="shared" si="2"/>
        <v>0.18137782561894511</v>
      </c>
      <c r="F24" s="58">
        <f>D24/$D$31</f>
        <v>0.12009978617248752</v>
      </c>
      <c r="G24" s="32"/>
    </row>
    <row r="25" spans="1:7" ht="14.45" customHeight="1">
      <c r="A25" s="32"/>
      <c r="B25" s="108"/>
      <c r="C25" s="56" t="s">
        <v>216</v>
      </c>
      <c r="D25" s="57">
        <v>1137</v>
      </c>
      <c r="E25" s="58">
        <f t="shared" si="2"/>
        <v>0.30597416576964476</v>
      </c>
      <c r="F25" s="58">
        <f t="shared" si="3"/>
        <v>0.2026015680684248</v>
      </c>
      <c r="G25" s="32"/>
    </row>
    <row r="26" spans="1:7" ht="14.45" customHeight="1">
      <c r="A26" s="32"/>
      <c r="B26" s="108"/>
      <c r="C26" s="56" t="s">
        <v>217</v>
      </c>
      <c r="D26" s="57">
        <v>1121</v>
      </c>
      <c r="E26" s="58">
        <f t="shared" si="2"/>
        <v>0.30166846071044134</v>
      </c>
      <c r="F26" s="58">
        <f t="shared" si="3"/>
        <v>0.1997505345687812</v>
      </c>
      <c r="G26" s="32"/>
    </row>
    <row r="27" spans="1:7" ht="14.45" customHeight="1">
      <c r="A27" s="32"/>
      <c r="B27" s="108"/>
      <c r="C27" s="56" t="s">
        <v>218</v>
      </c>
      <c r="D27" s="57">
        <v>703</v>
      </c>
      <c r="E27" s="58">
        <f t="shared" si="2"/>
        <v>0.18918191603875134</v>
      </c>
      <c r="F27" s="58">
        <f t="shared" si="3"/>
        <v>0.12526728439059159</v>
      </c>
      <c r="G27" s="32"/>
    </row>
    <row r="28" spans="1:7" ht="14.45" customHeight="1">
      <c r="A28" s="32"/>
      <c r="B28" s="108"/>
      <c r="C28" s="56" t="s">
        <v>219</v>
      </c>
      <c r="D28" s="57">
        <v>68</v>
      </c>
      <c r="E28" s="58">
        <f t="shared" si="2"/>
        <v>1.829924650161464E-2</v>
      </c>
      <c r="F28" s="58">
        <f t="shared" si="3"/>
        <v>1.2116892373485389E-2</v>
      </c>
      <c r="G28" s="32"/>
    </row>
    <row r="29" spans="1:7" ht="14.45" customHeight="1">
      <c r="A29" s="32"/>
      <c r="B29" s="108"/>
      <c r="C29" s="56" t="s">
        <v>220</v>
      </c>
      <c r="D29" s="57">
        <v>9</v>
      </c>
      <c r="E29" s="58">
        <f t="shared" si="2"/>
        <v>2.4219590958019376E-3</v>
      </c>
      <c r="F29" s="58">
        <f t="shared" si="3"/>
        <v>1.6037063435495368E-3</v>
      </c>
      <c r="G29" s="32"/>
    </row>
    <row r="30" spans="1:7" ht="14.45" customHeight="1">
      <c r="A30" s="32"/>
      <c r="B30" s="109"/>
      <c r="C30" s="85" t="s">
        <v>288</v>
      </c>
      <c r="D30" s="82">
        <v>3716</v>
      </c>
      <c r="E30" s="83"/>
      <c r="F30" s="83">
        <f>D30/$D$31</f>
        <v>0.66215253029223098</v>
      </c>
      <c r="G30" s="32"/>
    </row>
    <row r="31" spans="1:7" ht="14.45" customHeight="1">
      <c r="A31" s="32"/>
      <c r="B31" s="114" t="s">
        <v>286</v>
      </c>
      <c r="C31" s="115"/>
      <c r="D31" s="59">
        <v>5612</v>
      </c>
      <c r="E31" s="116">
        <v>1</v>
      </c>
      <c r="F31" s="116">
        <v>1</v>
      </c>
      <c r="G31" s="32"/>
    </row>
    <row r="32" spans="1:7" ht="14.45" customHeight="1">
      <c r="A32" s="32"/>
      <c r="B32" s="37"/>
      <c r="C32" s="45"/>
      <c r="D32" s="55"/>
      <c r="E32" s="55"/>
      <c r="F32" s="45"/>
      <c r="G32" s="32"/>
    </row>
    <row r="33" spans="1:7" ht="14.45" customHeight="1">
      <c r="A33" s="32"/>
      <c r="B33" s="35" t="s">
        <v>255</v>
      </c>
      <c r="C33" s="45"/>
      <c r="D33" s="55"/>
      <c r="E33" s="55"/>
      <c r="F33" s="45"/>
      <c r="G33" s="32"/>
    </row>
    <row r="34" spans="1:7" ht="14.45" customHeight="1">
      <c r="A34" s="32"/>
      <c r="B34" s="37" t="s">
        <v>18</v>
      </c>
      <c r="C34" s="45"/>
      <c r="D34" s="55"/>
      <c r="E34" s="55"/>
      <c r="F34" s="45"/>
      <c r="G34" s="32"/>
    </row>
    <row r="35" spans="1:7" ht="14.45" customHeight="1">
      <c r="A35" s="32"/>
      <c r="B35" s="38" t="s">
        <v>128</v>
      </c>
      <c r="C35" s="45"/>
      <c r="D35" s="55"/>
      <c r="E35" s="55"/>
      <c r="F35" s="45"/>
      <c r="G35" s="32"/>
    </row>
    <row r="36" spans="1:7" ht="12.75">
      <c r="A36" s="32"/>
      <c r="B36" s="35" t="s">
        <v>17</v>
      </c>
      <c r="C36" s="45"/>
      <c r="D36" s="55"/>
      <c r="E36" s="55"/>
      <c r="F36" s="45"/>
      <c r="G36" s="32"/>
    </row>
    <row r="37" spans="1:7" ht="12.75">
      <c r="A37" s="32"/>
      <c r="B37" s="35" t="s">
        <v>290</v>
      </c>
      <c r="C37" s="45"/>
      <c r="D37" s="55"/>
      <c r="E37" s="55"/>
      <c r="F37" s="45"/>
      <c r="G37" s="32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57"/>
  <sheetViews>
    <sheetView showGridLines="0" tabSelected="1" view="pageBreakPreview" zoomScaleNormal="100" zoomScaleSheetLayoutView="100" workbookViewId="0">
      <selection activeCell="G8" sqref="G8"/>
    </sheetView>
  </sheetViews>
  <sheetFormatPr baseColWidth="10" defaultColWidth="11.42578125" defaultRowHeight="15"/>
  <cols>
    <col min="1" max="1" width="9.28515625" style="13" customWidth="1"/>
    <col min="2" max="2" width="41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5" s="18" customFormat="1" ht="15" customHeight="1">
      <c r="C1" s="20"/>
    </row>
    <row r="2" spans="1:5" s="18" customFormat="1" ht="15" customHeight="1">
      <c r="C2" s="20"/>
    </row>
    <row r="3" spans="1:5" s="18" customFormat="1" ht="15" customHeight="1">
      <c r="C3" s="20"/>
    </row>
    <row r="4" spans="1:5" s="18" customFormat="1" ht="30" customHeight="1">
      <c r="C4" s="20"/>
      <c r="D4" s="19"/>
    </row>
    <row r="5" spans="1:5" s="18" customFormat="1" ht="15" customHeight="1">
      <c r="C5" s="20"/>
      <c r="D5" s="19"/>
    </row>
    <row r="6" spans="1:5" s="18" customFormat="1" ht="15" customHeight="1">
      <c r="C6" s="20"/>
      <c r="D6" s="19"/>
    </row>
    <row r="7" spans="1:5" s="18" customFormat="1" ht="15" customHeight="1">
      <c r="A7" s="32"/>
      <c r="B7" s="95" t="s">
        <v>254</v>
      </c>
      <c r="C7" s="95"/>
      <c r="D7" s="95"/>
      <c r="E7" s="32"/>
    </row>
    <row r="8" spans="1:5" s="18" customFormat="1" ht="15" customHeight="1">
      <c r="A8" s="32"/>
      <c r="B8" s="95"/>
      <c r="C8" s="95"/>
      <c r="D8" s="95"/>
      <c r="E8" s="32"/>
    </row>
    <row r="9" spans="1:5" s="18" customFormat="1" ht="33" customHeight="1">
      <c r="A9" s="32"/>
      <c r="B9" s="95"/>
      <c r="C9" s="95"/>
      <c r="D9" s="95"/>
      <c r="E9" s="32"/>
    </row>
    <row r="10" spans="1:5" s="18" customFormat="1" ht="4.5" customHeight="1">
      <c r="A10" s="32"/>
      <c r="B10" s="33"/>
      <c r="C10" s="33"/>
      <c r="D10" s="33"/>
      <c r="E10" s="32"/>
    </row>
    <row r="11" spans="1:5" s="18" customFormat="1" ht="33" customHeight="1">
      <c r="A11" s="32"/>
      <c r="B11" s="41" t="s">
        <v>34</v>
      </c>
      <c r="C11" s="42" t="s">
        <v>20</v>
      </c>
      <c r="D11" s="43" t="s">
        <v>19</v>
      </c>
      <c r="E11" s="32"/>
    </row>
    <row r="12" spans="1:5" ht="16.5">
      <c r="A12" s="34"/>
      <c r="B12" s="62" t="s">
        <v>221</v>
      </c>
      <c r="C12" s="63">
        <v>3907</v>
      </c>
      <c r="D12" s="64">
        <v>0.69599999999999995</v>
      </c>
      <c r="E12" s="34"/>
    </row>
    <row r="13" spans="1:5" ht="16.5">
      <c r="A13" s="34"/>
      <c r="B13" s="62" t="s">
        <v>222</v>
      </c>
      <c r="C13" s="65">
        <v>698</v>
      </c>
      <c r="D13" s="64">
        <v>0.124</v>
      </c>
      <c r="E13" s="34"/>
    </row>
    <row r="14" spans="1:5" ht="16.5">
      <c r="A14" s="34"/>
      <c r="B14" s="62" t="s">
        <v>224</v>
      </c>
      <c r="C14" s="65">
        <v>190</v>
      </c>
      <c r="D14" s="64">
        <v>3.4000000000000002E-2</v>
      </c>
      <c r="E14" s="34"/>
    </row>
    <row r="15" spans="1:5" ht="14.45" customHeight="1">
      <c r="A15" s="34"/>
      <c r="B15" s="62" t="s">
        <v>223</v>
      </c>
      <c r="C15" s="65">
        <v>159</v>
      </c>
      <c r="D15" s="64">
        <v>2.8000000000000001E-2</v>
      </c>
      <c r="E15" s="34"/>
    </row>
    <row r="16" spans="1:5" ht="14.45" customHeight="1">
      <c r="A16" s="34"/>
      <c r="B16" s="62" t="s">
        <v>225</v>
      </c>
      <c r="C16" s="65">
        <v>135</v>
      </c>
      <c r="D16" s="64">
        <v>2.4E-2</v>
      </c>
      <c r="E16" s="34"/>
    </row>
    <row r="17" spans="1:5" ht="14.45" customHeight="1">
      <c r="A17" s="34"/>
      <c r="B17" s="62" t="s">
        <v>226</v>
      </c>
      <c r="C17" s="65">
        <v>111</v>
      </c>
      <c r="D17" s="64">
        <v>0.02</v>
      </c>
      <c r="E17" s="34"/>
    </row>
    <row r="18" spans="1:5" ht="14.45" customHeight="1">
      <c r="A18" s="34"/>
      <c r="B18" s="62" t="s">
        <v>229</v>
      </c>
      <c r="C18" s="65">
        <v>60</v>
      </c>
      <c r="D18" s="64">
        <v>1.0999999999999999E-2</v>
      </c>
      <c r="E18" s="34"/>
    </row>
    <row r="19" spans="1:5" ht="14.45" customHeight="1">
      <c r="A19" s="34"/>
      <c r="B19" s="62" t="s">
        <v>227</v>
      </c>
      <c r="C19" s="65">
        <v>56</v>
      </c>
      <c r="D19" s="64">
        <v>0.01</v>
      </c>
      <c r="E19" s="34"/>
    </row>
    <row r="20" spans="1:5" ht="14.45" customHeight="1">
      <c r="A20" s="34"/>
      <c r="B20" s="62" t="s">
        <v>228</v>
      </c>
      <c r="C20" s="65">
        <v>55</v>
      </c>
      <c r="D20" s="64">
        <v>0.01</v>
      </c>
      <c r="E20" s="34"/>
    </row>
    <row r="21" spans="1:5" ht="14.45" customHeight="1">
      <c r="A21" s="34"/>
      <c r="B21" s="62" t="s">
        <v>230</v>
      </c>
      <c r="C21" s="65">
        <v>49</v>
      </c>
      <c r="D21" s="64">
        <v>8.9999999999999993E-3</v>
      </c>
      <c r="E21" s="34"/>
    </row>
    <row r="22" spans="1:5" ht="14.45" customHeight="1">
      <c r="A22" s="34"/>
      <c r="B22" s="62" t="s">
        <v>241</v>
      </c>
      <c r="C22" s="65">
        <v>20</v>
      </c>
      <c r="D22" s="64">
        <v>4.0000000000000001E-3</v>
      </c>
      <c r="E22" s="34"/>
    </row>
    <row r="23" spans="1:5" ht="14.45" customHeight="1">
      <c r="A23" s="34"/>
      <c r="B23" s="62" t="s">
        <v>232</v>
      </c>
      <c r="C23" s="65">
        <v>17</v>
      </c>
      <c r="D23" s="64">
        <v>3.0000000000000001E-3</v>
      </c>
      <c r="E23" s="34"/>
    </row>
    <row r="24" spans="1:5" ht="14.45" customHeight="1">
      <c r="A24" s="34"/>
      <c r="B24" s="62" t="s">
        <v>236</v>
      </c>
      <c r="C24" s="65">
        <v>14</v>
      </c>
      <c r="D24" s="64">
        <v>2E-3</v>
      </c>
      <c r="E24" s="34"/>
    </row>
    <row r="25" spans="1:5" ht="14.45" customHeight="1">
      <c r="A25" s="34"/>
      <c r="B25" s="62" t="s">
        <v>234</v>
      </c>
      <c r="C25" s="65">
        <v>13</v>
      </c>
      <c r="D25" s="64">
        <v>2E-3</v>
      </c>
      <c r="E25" s="34"/>
    </row>
    <row r="26" spans="1:5" ht="14.45" customHeight="1">
      <c r="A26" s="34"/>
      <c r="B26" s="62" t="s">
        <v>240</v>
      </c>
      <c r="C26" s="65">
        <v>12</v>
      </c>
      <c r="D26" s="64">
        <v>2E-3</v>
      </c>
      <c r="E26" s="34"/>
    </row>
    <row r="27" spans="1:5" ht="14.45" customHeight="1">
      <c r="A27" s="34"/>
      <c r="B27" s="62" t="s">
        <v>231</v>
      </c>
      <c r="C27" s="65">
        <v>12</v>
      </c>
      <c r="D27" s="64">
        <v>2E-3</v>
      </c>
      <c r="E27" s="34"/>
    </row>
    <row r="28" spans="1:5" ht="14.45" customHeight="1">
      <c r="A28" s="34"/>
      <c r="B28" s="62" t="s">
        <v>239</v>
      </c>
      <c r="C28" s="65">
        <v>11</v>
      </c>
      <c r="D28" s="64">
        <v>2E-3</v>
      </c>
      <c r="E28" s="34"/>
    </row>
    <row r="29" spans="1:5" ht="14.45" customHeight="1">
      <c r="A29" s="34"/>
      <c r="B29" s="62" t="s">
        <v>235</v>
      </c>
      <c r="C29" s="65">
        <v>10</v>
      </c>
      <c r="D29" s="64">
        <v>2E-3</v>
      </c>
      <c r="E29" s="34"/>
    </row>
    <row r="30" spans="1:5" ht="14.45" customHeight="1">
      <c r="A30" s="34"/>
      <c r="B30" s="62" t="s">
        <v>237</v>
      </c>
      <c r="C30" s="65">
        <v>9</v>
      </c>
      <c r="D30" s="64">
        <v>2E-3</v>
      </c>
      <c r="E30" s="34"/>
    </row>
    <row r="31" spans="1:5" ht="14.45" customHeight="1">
      <c r="A31" s="34"/>
      <c r="B31" s="62" t="s">
        <v>242</v>
      </c>
      <c r="C31" s="65">
        <v>9</v>
      </c>
      <c r="D31" s="64">
        <v>2E-3</v>
      </c>
      <c r="E31" s="34"/>
    </row>
    <row r="32" spans="1:5" ht="14.45" customHeight="1">
      <c r="A32" s="34"/>
      <c r="B32" s="62" t="s">
        <v>248</v>
      </c>
      <c r="C32" s="65">
        <v>9</v>
      </c>
      <c r="D32" s="64">
        <v>2E-3</v>
      </c>
      <c r="E32" s="34"/>
    </row>
    <row r="33" spans="1:5" ht="14.45" customHeight="1">
      <c r="A33" s="34"/>
      <c r="B33" s="62" t="s">
        <v>238</v>
      </c>
      <c r="C33" s="65">
        <v>8</v>
      </c>
      <c r="D33" s="64">
        <v>1E-3</v>
      </c>
      <c r="E33" s="34"/>
    </row>
    <row r="34" spans="1:5" ht="14.45" customHeight="1">
      <c r="A34" s="34"/>
      <c r="B34" s="62" t="s">
        <v>279</v>
      </c>
      <c r="C34" s="65">
        <v>7</v>
      </c>
      <c r="D34" s="64">
        <v>1E-3</v>
      </c>
      <c r="E34" s="34"/>
    </row>
    <row r="35" spans="1:5" ht="14.45" customHeight="1">
      <c r="A35" s="34"/>
      <c r="B35" s="62" t="s">
        <v>233</v>
      </c>
      <c r="C35" s="65">
        <v>6</v>
      </c>
      <c r="D35" s="64">
        <v>1E-3</v>
      </c>
      <c r="E35" s="34"/>
    </row>
    <row r="36" spans="1:5" ht="14.45" customHeight="1">
      <c r="A36" s="34"/>
      <c r="B36" s="62" t="s">
        <v>249</v>
      </c>
      <c r="C36" s="65">
        <v>5</v>
      </c>
      <c r="D36" s="64">
        <v>1E-3</v>
      </c>
      <c r="E36" s="34"/>
    </row>
    <row r="37" spans="1:5" ht="14.45" customHeight="1">
      <c r="A37" s="34"/>
      <c r="B37" s="62" t="s">
        <v>243</v>
      </c>
      <c r="C37" s="65">
        <v>5</v>
      </c>
      <c r="D37" s="64">
        <v>1E-3</v>
      </c>
      <c r="E37" s="34"/>
    </row>
    <row r="38" spans="1:5" ht="14.45" customHeight="1">
      <c r="A38" s="34"/>
      <c r="B38" s="62" t="s">
        <v>246</v>
      </c>
      <c r="C38" s="65">
        <v>4</v>
      </c>
      <c r="D38" s="64">
        <v>1E-3</v>
      </c>
      <c r="E38" s="34"/>
    </row>
    <row r="39" spans="1:5" ht="14.45" customHeight="1">
      <c r="A39" s="34"/>
      <c r="B39" s="62" t="s">
        <v>280</v>
      </c>
      <c r="C39" s="65">
        <v>3</v>
      </c>
      <c r="D39" s="64">
        <v>1E-3</v>
      </c>
      <c r="E39" s="34"/>
    </row>
    <row r="40" spans="1:5" ht="14.45" customHeight="1">
      <c r="A40" s="34"/>
      <c r="B40" s="62" t="s">
        <v>281</v>
      </c>
      <c r="C40" s="65">
        <v>3</v>
      </c>
      <c r="D40" s="64">
        <v>1E-3</v>
      </c>
      <c r="E40" s="34"/>
    </row>
    <row r="41" spans="1:5" ht="14.45" customHeight="1">
      <c r="A41" s="34"/>
      <c r="B41" s="62" t="s">
        <v>245</v>
      </c>
      <c r="C41" s="65">
        <v>2</v>
      </c>
      <c r="D41" s="64">
        <v>0</v>
      </c>
      <c r="E41" s="34"/>
    </row>
    <row r="42" spans="1:5" ht="14.45" customHeight="1">
      <c r="A42" s="34"/>
      <c r="B42" s="62" t="s">
        <v>282</v>
      </c>
      <c r="C42" s="65">
        <v>2</v>
      </c>
      <c r="D42" s="64">
        <v>0</v>
      </c>
      <c r="E42" s="34"/>
    </row>
    <row r="43" spans="1:5" ht="14.45" customHeight="1">
      <c r="A43" s="34"/>
      <c r="B43" s="62" t="s">
        <v>247</v>
      </c>
      <c r="C43" s="65">
        <v>2</v>
      </c>
      <c r="D43" s="64">
        <v>0</v>
      </c>
      <c r="E43" s="34"/>
    </row>
    <row r="44" spans="1:5" ht="14.45" customHeight="1">
      <c r="A44" s="34"/>
      <c r="B44" s="62" t="s">
        <v>283</v>
      </c>
      <c r="C44" s="65">
        <v>2</v>
      </c>
      <c r="D44" s="64">
        <v>0</v>
      </c>
      <c r="E44" s="34"/>
    </row>
    <row r="45" spans="1:5" ht="14.45" customHeight="1">
      <c r="A45" s="34"/>
      <c r="B45" s="62" t="s">
        <v>284</v>
      </c>
      <c r="C45" s="65">
        <v>2</v>
      </c>
      <c r="D45" s="64">
        <v>0</v>
      </c>
      <c r="E45" s="34"/>
    </row>
    <row r="46" spans="1:5" ht="14.45" customHeight="1">
      <c r="A46" s="34"/>
      <c r="B46" s="62" t="s">
        <v>285</v>
      </c>
      <c r="C46" s="65">
        <v>1</v>
      </c>
      <c r="D46" s="64">
        <v>0</v>
      </c>
      <c r="E46" s="34"/>
    </row>
    <row r="47" spans="1:5" ht="14.45" customHeight="1">
      <c r="A47" s="34"/>
      <c r="B47" s="62" t="s">
        <v>211</v>
      </c>
      <c r="C47" s="65">
        <v>1</v>
      </c>
      <c r="D47" s="64">
        <v>0</v>
      </c>
      <c r="E47" s="34"/>
    </row>
    <row r="48" spans="1:5" ht="14.45" customHeight="1">
      <c r="A48" s="34"/>
      <c r="B48" s="62" t="s">
        <v>250</v>
      </c>
      <c r="C48" s="65">
        <v>1</v>
      </c>
      <c r="D48" s="64">
        <v>0</v>
      </c>
      <c r="E48" s="34"/>
    </row>
    <row r="49" spans="1:5" ht="14.45" customHeight="1">
      <c r="A49" s="34"/>
      <c r="B49" s="62" t="s">
        <v>244</v>
      </c>
      <c r="C49" s="65">
        <v>1</v>
      </c>
      <c r="D49" s="64">
        <v>0</v>
      </c>
      <c r="E49" s="34"/>
    </row>
    <row r="50" spans="1:5" ht="14.45" customHeight="1">
      <c r="A50" s="34"/>
      <c r="B50" s="62" t="s">
        <v>251</v>
      </c>
      <c r="C50" s="65">
        <v>1</v>
      </c>
      <c r="D50" s="64">
        <v>0</v>
      </c>
      <c r="E50" s="34"/>
    </row>
    <row r="51" spans="1:5" ht="14.45" customHeight="1">
      <c r="A51" s="34"/>
      <c r="B51" s="66" t="s">
        <v>287</v>
      </c>
      <c r="C51" s="40">
        <v>5612</v>
      </c>
      <c r="D51" s="67">
        <v>1</v>
      </c>
      <c r="E51" s="34"/>
    </row>
    <row r="52" spans="1:5" ht="14.45" customHeight="1">
      <c r="A52" s="34"/>
      <c r="B52" s="35"/>
      <c r="C52" s="36"/>
      <c r="D52" s="34"/>
      <c r="E52" s="34"/>
    </row>
    <row r="53" spans="1:5" ht="14.45" customHeight="1">
      <c r="A53" s="34"/>
      <c r="B53" s="35" t="s">
        <v>255</v>
      </c>
      <c r="C53" s="36"/>
      <c r="D53" s="34"/>
      <c r="E53" s="34"/>
    </row>
    <row r="54" spans="1:5" ht="14.45" customHeight="1">
      <c r="A54" s="34"/>
      <c r="B54" s="37" t="s">
        <v>18</v>
      </c>
      <c r="C54" s="36"/>
      <c r="D54" s="34"/>
      <c r="E54" s="34"/>
    </row>
    <row r="55" spans="1:5" ht="14.45" customHeight="1">
      <c r="A55" s="34"/>
      <c r="B55" s="38" t="s">
        <v>128</v>
      </c>
      <c r="C55" s="36"/>
      <c r="D55" s="34"/>
      <c r="E55" s="34"/>
    </row>
    <row r="56" spans="1:5" ht="14.45" customHeight="1">
      <c r="A56" s="34"/>
      <c r="B56" s="35" t="s">
        <v>17</v>
      </c>
      <c r="C56" s="36"/>
      <c r="D56" s="34"/>
      <c r="E56" s="34"/>
    </row>
    <row r="57" spans="1:5" ht="16.5">
      <c r="A57" s="34"/>
      <c r="B57" s="35" t="s">
        <v>290</v>
      </c>
      <c r="C57" s="36"/>
      <c r="D57" s="34"/>
      <c r="E57" s="34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2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22</vt:i4>
      </vt:variant>
    </vt:vector>
  </HeadingPairs>
  <TitlesOfParts>
    <vt:vector size="37" baseType="lpstr">
      <vt:lpstr>Índice</vt:lpstr>
      <vt:lpstr>Tlaxcala_EdoUsa</vt:lpstr>
      <vt:lpstr>Tlaxcala_Cons</vt:lpstr>
      <vt:lpstr>TlaxcalaXCons</vt:lpstr>
      <vt:lpstr>Tlaxcala_EdoMun</vt:lpstr>
      <vt:lpstr>Tlaxcala_USAMuni</vt:lpstr>
      <vt:lpstr>Tlaxcala_MUNICIPIO</vt:lpstr>
      <vt:lpstr>Tlaxcala_educ_gral</vt:lpstr>
      <vt:lpstr>Tlaxcala_NivelE_Cons</vt:lpstr>
      <vt:lpstr>Tlaxcala_EducCons</vt:lpstr>
      <vt:lpstr>Tlaxcala_GenGral</vt:lpstr>
      <vt:lpstr>Tlaxcala_GENERO</vt:lpstr>
      <vt:lpstr>Tlaxcala_GENERO_EUA</vt:lpstr>
      <vt:lpstr>Tlaxcala_Gen_Edad</vt:lpstr>
      <vt:lpstr>Tlaxcala_ocup_gral</vt:lpstr>
      <vt:lpstr>Tlaxcala_EducCons!Área_de_impresión</vt:lpstr>
      <vt:lpstr>Tlaxcala_Gen_Edad!Área_de_impresión</vt:lpstr>
      <vt:lpstr>Tlaxcala_GENERO!Área_de_impresión</vt:lpstr>
      <vt:lpstr>Tlaxcala_GENERO_EUA!Área_de_impresión</vt:lpstr>
      <vt:lpstr>Tlaxcala_MUNICIPIO!Área_de_impresión</vt:lpstr>
      <vt:lpstr>Tlaxcala_NivelE_Cons!Área_de_impresión</vt:lpstr>
      <vt:lpstr>Tlaxcala_ocup_gral!Área_de_impresión</vt:lpstr>
      <vt:lpstr>Tlaxcala_USAMuni!Área_de_impresión</vt:lpstr>
      <vt:lpstr>Tlaxcala_Cons!Títulos_a_imprimir</vt:lpstr>
      <vt:lpstr>Tlaxcala_EdoMun!Títulos_a_imprimir</vt:lpstr>
      <vt:lpstr>Tlaxcala_EdoUsa!Títulos_a_imprimir</vt:lpstr>
      <vt:lpstr>Tlaxcala_educ_gral!Títulos_a_imprimir</vt:lpstr>
      <vt:lpstr>Tlaxcala_EducCons!Títulos_a_imprimir</vt:lpstr>
      <vt:lpstr>Tlaxcala_Gen_Edad!Títulos_a_imprimir</vt:lpstr>
      <vt:lpstr>Tlaxcala_GENERO!Títulos_a_imprimir</vt:lpstr>
      <vt:lpstr>Tlaxcala_GENERO_EUA!Títulos_a_imprimir</vt:lpstr>
      <vt:lpstr>Tlaxcala_GenGral!Títulos_a_imprimir</vt:lpstr>
      <vt:lpstr>Tlaxcala_MUNICIPIO!Títulos_a_imprimir</vt:lpstr>
      <vt:lpstr>Tlaxcala_NivelE_Cons!Títulos_a_imprimir</vt:lpstr>
      <vt:lpstr>Tlaxcala_ocup_gral!Títulos_a_imprimir</vt:lpstr>
      <vt:lpstr>Tlaxcala_USAMuni!Títulos_a_imprimir</vt:lpstr>
      <vt:lpstr>TlaxcalaXCons!Títulos_a_imprimir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cp:lastPrinted>2025-02-19T16:56:43Z</cp:lastPrinted>
  <dcterms:created xsi:type="dcterms:W3CDTF">2020-06-05T01:37:38Z</dcterms:created>
  <dcterms:modified xsi:type="dcterms:W3CDTF">2025-08-23T03:48:45Z</dcterms:modified>
</cp:coreProperties>
</file>