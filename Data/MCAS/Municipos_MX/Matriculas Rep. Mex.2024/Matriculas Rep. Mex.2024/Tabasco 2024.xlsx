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628"/>
  <workbookPr defaultThemeVersion="124226"/>
  <mc:AlternateContent xmlns:mc="http://schemas.openxmlformats.org/markup-compatibility/2006">
    <mc:Choice Requires="x15">
      <x15ac:absPath xmlns:x15ac="http://schemas.microsoft.com/office/spreadsheetml/2010/11/ac" url="\\esoto\Analisisinfo2.7\Matrículas\Anual\Matrículas 2024\República Mexicana\FINALES_RM\"/>
    </mc:Choice>
  </mc:AlternateContent>
  <xr:revisionPtr revIDLastSave="0" documentId="13_ncr:1_{1D2C3DD3-5AC7-4BF1-9FC2-1BFB0401576B}" xr6:coauthVersionLast="47" xr6:coauthVersionMax="47" xr10:uidLastSave="{00000000-0000-0000-0000-000000000000}"/>
  <bookViews>
    <workbookView xWindow="-120" yWindow="-120" windowWidth="20730" windowHeight="11160" tabRatio="828" xr2:uid="{00000000-000D-0000-FFFF-FFFF00000000}"/>
  </bookViews>
  <sheets>
    <sheet name="Índice" sheetId="1" r:id="rId1"/>
    <sheet name="Tabasco_EdoUsa" sheetId="2" r:id="rId2"/>
    <sheet name="Tabasco_Cons" sheetId="15" r:id="rId3"/>
    <sheet name="TabascoXCons" sheetId="16" r:id="rId4"/>
    <sheet name="Tabasco_EdoMun" sheetId="5" r:id="rId5"/>
    <sheet name="Tabasco_USAMuni" sheetId="6" r:id="rId6"/>
    <sheet name="Tabasco_MUNICIPIO" sheetId="7" r:id="rId7"/>
    <sheet name="Tabasco_educ_gral" sheetId="8" r:id="rId8"/>
    <sheet name="Tabasco_NivelE_Cons" sheetId="9" r:id="rId9"/>
    <sheet name="Tabasco_EducCons" sheetId="10" r:id="rId10"/>
    <sheet name="Tabasco_GenGral" sheetId="11" r:id="rId11"/>
    <sheet name="Tabasco_GENERO" sheetId="12" r:id="rId12"/>
    <sheet name="Tabasco_GENERO_EUA" sheetId="17" r:id="rId13"/>
    <sheet name="Tabasco_Gen_Edad" sheetId="13" r:id="rId14"/>
    <sheet name="Tabasco_ocup_gral" sheetId="14" r:id="rId15"/>
  </sheets>
  <definedNames>
    <definedName name="_xlnm._FilterDatabase" localSheetId="2" hidden="1">Tabasco_Cons!$B$11:$D$11</definedName>
    <definedName name="_xlnm._FilterDatabase" localSheetId="4" hidden="1">Tabasco_EdoMun!$B$11:$D$30</definedName>
    <definedName name="_xlnm._FilterDatabase" localSheetId="1" hidden="1">Tabasco_EdoUsa!$B$11:$D$60</definedName>
    <definedName name="_xlnm._FilterDatabase" localSheetId="7" hidden="1">Tabasco_educ_gral!$B$11:$D$11</definedName>
    <definedName name="_xlnm._FilterDatabase" localSheetId="9" hidden="1">Tabasco_EducCons!$B$9:$E$602</definedName>
    <definedName name="_xlnm._FilterDatabase" localSheetId="11" hidden="1">Tabasco_GENERO!$B$12:$E$143</definedName>
    <definedName name="_xlnm._FilterDatabase" localSheetId="12" hidden="1">Tabasco_GENERO_EUA!$B$12:$E$144</definedName>
    <definedName name="_xlnm._FilterDatabase" localSheetId="10" hidden="1">Tabasco_GenGral!$B$11:$D$11</definedName>
    <definedName name="_xlnm._FilterDatabase" localSheetId="6" hidden="1">Tabasco_MUNICIPIO!$B$9:$E$9</definedName>
    <definedName name="_xlnm._FilterDatabase" localSheetId="8" hidden="1">Tabasco_NivelE_Cons!$B$9:$E$504</definedName>
    <definedName name="_xlnm._FilterDatabase" localSheetId="14" hidden="1">Tabasco_ocup_gral!$B$11:$D$11</definedName>
    <definedName name="_xlnm._FilterDatabase" localSheetId="5" hidden="1">Tabasco_USAMuni!$B$9:$E$521</definedName>
    <definedName name="_xlnm._FilterDatabase" localSheetId="3" hidden="1">TabascoXCons!$B$11:$D$11</definedName>
    <definedName name="_xlnm.Print_Area" localSheetId="4">Tabasco_EdoMun!$A$1:$F$37</definedName>
    <definedName name="_xlnm.Print_Area" localSheetId="7">Tabasco_educ_gral!$A$1:$F$42</definedName>
    <definedName name="_xlnm.Print_Area" localSheetId="9">Tabasco_EducCons!$A$1:$E$609</definedName>
    <definedName name="_xlnm.Print_Area" localSheetId="13">Tabasco_Gen_Edad!$A$1:$G$37</definedName>
    <definedName name="_xlnm.Print_Area" localSheetId="11">Tabasco_GENERO!$A$1:$F$163</definedName>
    <definedName name="_xlnm.Print_Area" localSheetId="12">Tabasco_GENERO_EUA!$A$1:$F$157</definedName>
    <definedName name="_xlnm.Print_Area" localSheetId="6">Tabasco_MUNICIPIO!$A$1:$E$585</definedName>
    <definedName name="_xlnm.Print_Area" localSheetId="8">Tabasco_NivelE_Cons!$A$1:$E$510</definedName>
    <definedName name="_xlnm.Print_Area" localSheetId="14">Tabasco_ocup_gral!$A$1:$E$56</definedName>
    <definedName name="_xlnm.Print_Area" localSheetId="5">Tabasco_USAMuni!$A$1:$E$527</definedName>
    <definedName name="_xlnm.Print_Titles" localSheetId="2">Tabasco_Cons!$1:$11</definedName>
    <definedName name="_xlnm.Print_Titles" localSheetId="4">Tabasco_EdoMun!$1:$11</definedName>
    <definedName name="_xlnm.Print_Titles" localSheetId="1">Tabasco_EdoUsa!$1:$11</definedName>
    <definedName name="_xlnm.Print_Titles" localSheetId="7">Tabasco_educ_gral!$1:$11</definedName>
    <definedName name="_xlnm.Print_Titles" localSheetId="9">Tabasco_EducCons!$1:$9</definedName>
    <definedName name="_xlnm.Print_Titles" localSheetId="13">Tabasco_Gen_Edad!$1:$12</definedName>
    <definedName name="_xlnm.Print_Titles" localSheetId="11">Tabasco_GENERO!$1:$12</definedName>
    <definedName name="_xlnm.Print_Titles" localSheetId="12">Tabasco_GENERO_EUA!$1:$12</definedName>
    <definedName name="_xlnm.Print_Titles" localSheetId="10">Tabasco_GenGral!$1:$11</definedName>
    <definedName name="_xlnm.Print_Titles" localSheetId="6">Tabasco_MUNICIPIO!$1:$9</definedName>
    <definedName name="_xlnm.Print_Titles" localSheetId="8">Tabasco_NivelE_Cons!$1:$9</definedName>
    <definedName name="_xlnm.Print_Titles" localSheetId="14">Tabasco_ocup_gral!$1:$11</definedName>
    <definedName name="_xlnm.Print_Titles" localSheetId="5">Tabasco_USAMuni!$1:$9</definedName>
    <definedName name="_xlnm.Print_Titles" localSheetId="3">TabascoXCons!$1:$11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2" i="13" l="1"/>
  <c r="E13" i="13"/>
  <c r="F13" i="13"/>
  <c r="F31" i="13"/>
  <c r="F30" i="13"/>
  <c r="F23" i="13"/>
  <c r="F24" i="13"/>
  <c r="F25" i="13"/>
  <c r="F26" i="13"/>
  <c r="F27" i="13"/>
  <c r="F28" i="13"/>
  <c r="F29" i="13"/>
  <c r="F22" i="13"/>
  <c r="F21" i="13"/>
  <c r="F14" i="13"/>
  <c r="F15" i="13"/>
  <c r="F16" i="13"/>
  <c r="F17" i="13"/>
  <c r="F18" i="13"/>
  <c r="F19" i="13"/>
  <c r="F20" i="13"/>
  <c r="E23" i="13"/>
  <c r="E24" i="13"/>
  <c r="E25" i="13"/>
  <c r="E26" i="13"/>
  <c r="E27" i="13"/>
  <c r="E28" i="13"/>
  <c r="E29" i="13"/>
  <c r="E14" i="13"/>
  <c r="E15" i="13"/>
  <c r="E16" i="13"/>
  <c r="E17" i="13"/>
  <c r="E18" i="13"/>
  <c r="E19" i="13"/>
  <c r="E20" i="13"/>
  <c r="C22" i="16"/>
  <c r="D22" i="16" l="1"/>
</calcChain>
</file>

<file path=xl/sharedStrings.xml><?xml version="1.0" encoding="utf-8"?>
<sst xmlns="http://schemas.openxmlformats.org/spreadsheetml/2006/main" count="3082" uniqueCount="319">
  <si>
    <t xml:space="preserve">Da clic al texto para ir a la información, selecciona                 para regresar. </t>
  </si>
  <si>
    <t>1. Por Estados de USA</t>
  </si>
  <si>
    <t>2. Por Circunscripción Consular</t>
  </si>
  <si>
    <t>2.1 Top ten por circunscripción consular</t>
  </si>
  <si>
    <t>3. Por Municipio de origen</t>
  </si>
  <si>
    <t>3.1 Municipio general</t>
  </si>
  <si>
    <t>3.2 Por Estado de USA</t>
  </si>
  <si>
    <t>3.3 Por Circunscripción Consular</t>
  </si>
  <si>
    <t>4. Por Nivel Educativo</t>
  </si>
  <si>
    <t>4.1 Educación general</t>
  </si>
  <si>
    <t>4.2 Por Estado de USA</t>
  </si>
  <si>
    <t>4.3 Por Circunscripción Consular</t>
  </si>
  <si>
    <t>5. Por Género</t>
  </si>
  <si>
    <t>5.1 Género General</t>
  </si>
  <si>
    <t>5.2 Por Circunscripción Consular</t>
  </si>
  <si>
    <t>6. Por estructura de Edad</t>
  </si>
  <si>
    <t>7. Por Ocupación</t>
  </si>
  <si>
    <t xml:space="preserve">Secretaría de Relaciones Exteriores </t>
  </si>
  <si>
    <t>Fuente: Expedición de Matrículas Consulares de Alta Seguridad en los Consulados de México en E.E.U.U.</t>
  </si>
  <si>
    <t>Porcentaje de Matrículas</t>
  </si>
  <si>
    <t>Número de Matrículas</t>
  </si>
  <si>
    <t xml:space="preserve">Estado </t>
  </si>
  <si>
    <t>Consulado</t>
  </si>
  <si>
    <t>Municipio de origen</t>
  </si>
  <si>
    <t>Municipio de Origen</t>
  </si>
  <si>
    <t>Estado</t>
  </si>
  <si>
    <t>Número de matrículas</t>
  </si>
  <si>
    <t>Nivel de Estudios</t>
  </si>
  <si>
    <t>Nivel</t>
  </si>
  <si>
    <t>TOTAL</t>
  </si>
  <si>
    <t>Género</t>
  </si>
  <si>
    <t>Porcentaje con respecto al total de Matrículas</t>
  </si>
  <si>
    <t>Porcentaje con respecto al Género</t>
  </si>
  <si>
    <t>Edad Cumplida</t>
  </si>
  <si>
    <t>MATRÍCULAS CONSULARES EXPEDIDAS A ORIGINARIOS DE TABASCO POR GÉNERO Y EDAD EN EE.UU.</t>
  </si>
  <si>
    <t>Ocupación</t>
  </si>
  <si>
    <t>5.3 Por Estado de la Unión Americana</t>
  </si>
  <si>
    <t>MATRÍCULAS CONSULARES DE ALTA SEGURIDAD EXPEDIDAS A ORIGINARIOS DE TABASCO EN LOS CONSULADOS DE MÉXICO EN EE.UU.</t>
  </si>
  <si>
    <t>MATRÍCULAS CONSULARES EXPEDIDAS A ORIGINARIOS DE TABASCO POR GÉNERO EN EE.UU</t>
  </si>
  <si>
    <t>MATRÍCULAS CONSULARES EXPEDIDAS EN EE.UU. A ORIGINARIOS DE TABASCO POR NIVEL DE EDUCACIÓN</t>
  </si>
  <si>
    <t>MATRÍCULAS CONSULARES EXPEDIDAS A ORIGINARIOS DE TABASCO POR GÉNERO Y POR ESTADO DE LA UNIÓN AMERICANA</t>
  </si>
  <si>
    <t>MATRÍCULAS CONSULARES DE ALTA SEGURIDAD EXPEDIDAS POR MUNICIPIO A ORIGINARIOS DEL ESTADO DE TABASCO EN LOS CONSULADOS DE MÉXICO EN EE.UU.</t>
  </si>
  <si>
    <t>MATRÍCULAS CONSULARES DE ALTA SEGURIDAD EXPEDIDAS A ORIGINARIOS DE TABASCO POR ESTADO DE LA UNIÓN AMERICANA</t>
  </si>
  <si>
    <t>LOS 10 CONSULADOS  DE MÉXICO EN EE.UU., CON MAYOR NÚMERO DE EXPEDICIÓN DE  MATRÍCULAS CONSULARES DE ALTA SEGURIDAD A ORIGINARIOS DE TABASCO</t>
  </si>
  <si>
    <t>TOTAL TOP 10</t>
  </si>
  <si>
    <t>Elaborado por: Análisis de Información, Instituto de Mexicanas y Mexicanos en el Exterior</t>
  </si>
  <si>
    <t>RALEIGH</t>
  </si>
  <si>
    <t>DALLAS</t>
  </si>
  <si>
    <t>ORLANDO</t>
  </si>
  <si>
    <t>ATLANTA</t>
  </si>
  <si>
    <t>HOUSTON</t>
  </si>
  <si>
    <t>AUSTIN</t>
  </si>
  <si>
    <t>CHICAGO</t>
  </si>
  <si>
    <t>MCALLEN</t>
  </si>
  <si>
    <t>INDIANAPOLIS</t>
  </si>
  <si>
    <t>WASHINGTON</t>
  </si>
  <si>
    <t>NUEVA ORLEANS</t>
  </si>
  <si>
    <t>LOS ANGELES</t>
  </si>
  <si>
    <t>LITTLE ROCK</t>
  </si>
  <si>
    <t>DENVER</t>
  </si>
  <si>
    <t>KANSAS CITY</t>
  </si>
  <si>
    <t>OKLAHOMA CITY</t>
  </si>
  <si>
    <t>MIAMI</t>
  </si>
  <si>
    <t>FILADELFIA</t>
  </si>
  <si>
    <t>PRESIDIO</t>
  </si>
  <si>
    <t>NUEVA YORK</t>
  </si>
  <si>
    <t>PHOENIX</t>
  </si>
  <si>
    <t>DETROIT</t>
  </si>
  <si>
    <t>BOSTON</t>
  </si>
  <si>
    <t>SAN ANTONIO</t>
  </si>
  <si>
    <t>SAINT PAUL</t>
  </si>
  <si>
    <t>SAN FRANCISCO</t>
  </si>
  <si>
    <t>SAN JOSE</t>
  </si>
  <si>
    <t>MILWAUKEE</t>
  </si>
  <si>
    <t>BROWNSVILLE</t>
  </si>
  <si>
    <t>FRESNO</t>
  </si>
  <si>
    <t>SANTA ANA</t>
  </si>
  <si>
    <t>SAN BERNARDINO</t>
  </si>
  <si>
    <t>LAS VEGAS</t>
  </si>
  <si>
    <t>SACRAMENTO</t>
  </si>
  <si>
    <t>SALT LAKE CITY</t>
  </si>
  <si>
    <t>PORTLAND</t>
  </si>
  <si>
    <t>BOISE</t>
  </si>
  <si>
    <t>SAN DIEGO</t>
  </si>
  <si>
    <t>SEATTLE</t>
  </si>
  <si>
    <t>OMAHA</t>
  </si>
  <si>
    <t>ALBUQUERQUE</t>
  </si>
  <si>
    <t>OXNARD</t>
  </si>
  <si>
    <t>LAREDO</t>
  </si>
  <si>
    <t>EL PASO</t>
  </si>
  <si>
    <t>TUCSON</t>
  </si>
  <si>
    <t>DEL RIO</t>
  </si>
  <si>
    <t>ALABAMA</t>
  </si>
  <si>
    <t>ARIZONA</t>
  </si>
  <si>
    <t>ARKANSAS</t>
  </si>
  <si>
    <t>CALIFORNIA</t>
  </si>
  <si>
    <t>COLORADO</t>
  </si>
  <si>
    <t>CONNECTICUT</t>
  </si>
  <si>
    <t>DELAWARE</t>
  </si>
  <si>
    <t>FLORIDA</t>
  </si>
  <si>
    <t>GEORGIA</t>
  </si>
  <si>
    <t>IDAHO</t>
  </si>
  <si>
    <t>ILLINOIS</t>
  </si>
  <si>
    <t>INDIANA</t>
  </si>
  <si>
    <t>IOWA</t>
  </si>
  <si>
    <t>KANSAS</t>
  </si>
  <si>
    <t>KENTUCKY</t>
  </si>
  <si>
    <t>LOUISIANA</t>
  </si>
  <si>
    <t>MAINE</t>
  </si>
  <si>
    <t>MARYLAND</t>
  </si>
  <si>
    <t>MASSACHUSETTS</t>
  </si>
  <si>
    <t>MICHIGAN</t>
  </si>
  <si>
    <t>MINNESOTA</t>
  </si>
  <si>
    <t>MISSISSIPPI</t>
  </si>
  <si>
    <t>MISSOURI</t>
  </si>
  <si>
    <t>NEBRASKA</t>
  </si>
  <si>
    <t>NEVADA</t>
  </si>
  <si>
    <t>NEW JERSEY</t>
  </si>
  <si>
    <t>NEW MEXICO</t>
  </si>
  <si>
    <t>NEW YORK</t>
  </si>
  <si>
    <t>NORTH CAROLINA</t>
  </si>
  <si>
    <t>NORTH DAKOTA</t>
  </si>
  <si>
    <t>OHIO</t>
  </si>
  <si>
    <t>OKLAHOMA</t>
  </si>
  <si>
    <t>OREGON</t>
  </si>
  <si>
    <t>PENNSYLVANIA</t>
  </si>
  <si>
    <t>RHODE ISLAND</t>
  </si>
  <si>
    <t>SOUTH CAROLINA</t>
  </si>
  <si>
    <t>TENNESSEE</t>
  </si>
  <si>
    <t>TEXAS</t>
  </si>
  <si>
    <t>UTAH</t>
  </si>
  <si>
    <t>VERMONT</t>
  </si>
  <si>
    <t>VIRGINIA</t>
  </si>
  <si>
    <t>WISCONSIN</t>
  </si>
  <si>
    <t>WYOMING</t>
  </si>
  <si>
    <t>FEMENINO</t>
  </si>
  <si>
    <t>MASCULINO</t>
  </si>
  <si>
    <t>BALANCÁN</t>
  </si>
  <si>
    <t>CENTLA</t>
  </si>
  <si>
    <t>CENTRO</t>
  </si>
  <si>
    <t>COMALCALCO</t>
  </si>
  <si>
    <t>CUNDUACÁN</t>
  </si>
  <si>
    <t>CÁRDENAS</t>
  </si>
  <si>
    <t>EMILIANO ZAPATA</t>
  </si>
  <si>
    <t>HUIMANGUILLO</t>
  </si>
  <si>
    <t>JALAPA</t>
  </si>
  <si>
    <t>JALPA DE MÉNDEZ</t>
  </si>
  <si>
    <t>MACUSPANA</t>
  </si>
  <si>
    <t>PARAÍSO</t>
  </si>
  <si>
    <t>TACOTALPA</t>
  </si>
  <si>
    <t>TEAPA</t>
  </si>
  <si>
    <t>TENOSIQUE</t>
  </si>
  <si>
    <t>JONUTA</t>
  </si>
  <si>
    <t>NACAJUCA</t>
  </si>
  <si>
    <t>SIN ESTUDIOS</t>
  </si>
  <si>
    <t>1o. PRIMARIA</t>
  </si>
  <si>
    <t>2o. PRIMARIA</t>
  </si>
  <si>
    <t>3o. PRIMARIA</t>
  </si>
  <si>
    <t>4o. PRIMARIA</t>
  </si>
  <si>
    <t>5o. PRIMARIA</t>
  </si>
  <si>
    <t>6o. PRIMARIA</t>
  </si>
  <si>
    <t>PRIMARIA CON CERTIFICADO</t>
  </si>
  <si>
    <t>1o. SECUNDARIA</t>
  </si>
  <si>
    <t>2o. SECUNDARIA</t>
  </si>
  <si>
    <t>3o. SECUNDARIA</t>
  </si>
  <si>
    <t>SECUNDARIA CON CERTIFICADO</t>
  </si>
  <si>
    <t>CAPACITACION TECNICA</t>
  </si>
  <si>
    <t>PREPARATORIA SIN CERTIFICADO</t>
  </si>
  <si>
    <t>PREPARATORIA CON CERTIFICADO</t>
  </si>
  <si>
    <t>1o. AÑO DE PROFESIONAL</t>
  </si>
  <si>
    <t>2o. AÑO DE PROFESIONAL</t>
  </si>
  <si>
    <t>3er. AÑO DE PROFESIONAL</t>
  </si>
  <si>
    <t>4o. AÑO DE PROFESIONAL</t>
  </si>
  <si>
    <t>PROFESIONAL PASANTE</t>
  </si>
  <si>
    <t>PROFESIONAL TITULADO</t>
  </si>
  <si>
    <t>POSGRADO [MAESTRIA]</t>
  </si>
  <si>
    <t>POSGRADO [DOCTORADO]</t>
  </si>
  <si>
    <t>ENTRE 11 Y 17 AÑOS</t>
  </si>
  <si>
    <t>ENTRE 18 Y 28 AÑOS</t>
  </si>
  <si>
    <t>ENTRE 29 Y 39 AÑOS</t>
  </si>
  <si>
    <t>ENTRE 40 Y 49 AÑOS</t>
  </si>
  <si>
    <t>ENTRE 50 Y 65 AÑOS</t>
  </si>
  <si>
    <t>ENTRE 66 Y 75 AÑOS</t>
  </si>
  <si>
    <t>MAS DE 75 AÑOS</t>
  </si>
  <si>
    <t>EMPLEADO(A)</t>
  </si>
  <si>
    <t>HOGAR</t>
  </si>
  <si>
    <t>CONSTRUCCIÓN, TRAB. DE LA IND. DE LA</t>
  </si>
  <si>
    <t>OBRERO(A)</t>
  </si>
  <si>
    <t>ALIMENTOS Y BEBIDAS, ESP. EN PREPARACIÓN DE</t>
  </si>
  <si>
    <t>AGROPECUARIA, TRAB. DE LA INDUSTRIA</t>
  </si>
  <si>
    <t>ESTUDIANTE</t>
  </si>
  <si>
    <t>JARDINERO(A)</t>
  </si>
  <si>
    <t>PINTOR(A)</t>
  </si>
  <si>
    <t>LIMPIEZA, EMPLEADO DE</t>
  </si>
  <si>
    <t>CARPINTERO/TAPICERO</t>
  </si>
  <si>
    <t>OPERARIO(A)</t>
  </si>
  <si>
    <t>DESEMPLEADO</t>
  </si>
  <si>
    <t>MECÁNICO(A)</t>
  </si>
  <si>
    <t>SOLDADOR</t>
  </si>
  <si>
    <t>PROFESIONISTA</t>
  </si>
  <si>
    <t>VENDEDOR(A)</t>
  </si>
  <si>
    <t>MESERO(A)</t>
  </si>
  <si>
    <t>SIN ESPECIFICAR</t>
  </si>
  <si>
    <t>TÉCNICO(A) EN MANTENIMIENTO</t>
  </si>
  <si>
    <t>CHOFER</t>
  </si>
  <si>
    <t>CAJERO(A)/COBRADOR(A)</t>
  </si>
  <si>
    <t>EMPRESARIO(A)</t>
  </si>
  <si>
    <t>CARNICERO(A)</t>
  </si>
  <si>
    <t>BELLEZA, PROFESIONAL DE SERVICIOS DE</t>
  </si>
  <si>
    <t>JUBILADO(A)/PENSIONADO(A)</t>
  </si>
  <si>
    <t>GERENTE/DIRECTOR(A)</t>
  </si>
  <si>
    <t>TURISMO, SERV. RELACIONADOS CON</t>
  </si>
  <si>
    <t>DISCAPACITADO</t>
  </si>
  <si>
    <t>ENFERMERO(A)/TRAB. DE APOYO EN SALUD</t>
  </si>
  <si>
    <t>EXTRACCIÓN, TRAB. DE LA INDUSTRIA DE LA</t>
  </si>
  <si>
    <t>TRABAJADOR(A) DOMÉSTICO(A)</t>
  </si>
  <si>
    <t>MATRÍCULAS CONSULARES EXPEDIDAS A ORIGINARIOS DE TABASCO POR 
GÉNERO Y CONSULADO</t>
  </si>
  <si>
    <t>MATRÍCULAS CONSULARES EXPEDIDAS EN EE.UU. ORIGINARIOS DE TABASCO POR PERFIL OCUPACIONAL</t>
  </si>
  <si>
    <t>Tamaño de la muestra: 808,027</t>
  </si>
  <si>
    <t>NEW BRUNSWICK</t>
  </si>
  <si>
    <t>EAGLE PASS</t>
  </si>
  <si>
    <t>DISTRICT OF COLUMBIA</t>
  </si>
  <si>
    <t>MONTANA</t>
  </si>
  <si>
    <t>NEW HAMPSHIRE</t>
  </si>
  <si>
    <t>SOUTH DAKOTA</t>
  </si>
  <si>
    <t>DESCONOCIDO</t>
  </si>
  <si>
    <t>1O. PRIMARIA</t>
  </si>
  <si>
    <t>2O. PRIMARIA</t>
  </si>
  <si>
    <t>3O. PRIMARIA</t>
  </si>
  <si>
    <t>4O. PRIMARIA</t>
  </si>
  <si>
    <t>5O. PRIMARIA</t>
  </si>
  <si>
    <t>6O. PRIMARIA</t>
  </si>
  <si>
    <t>1O. SECUNDARIA</t>
  </si>
  <si>
    <t>2O. SECUNDARIA</t>
  </si>
  <si>
    <t>3O. SECUNDARIA</t>
  </si>
  <si>
    <t>1O. AÑO DE PROFESIONAL</t>
  </si>
  <si>
    <t>2O. AÑO DE PROFESIONAL</t>
  </si>
  <si>
    <t>3ER. AÑO DE PROFESIONAL</t>
  </si>
  <si>
    <t>4O. AÑO DE PROFESIONAL</t>
  </si>
  <si>
    <t>MENORES DE EDAD</t>
  </si>
  <si>
    <t>ENTRE 00 Y 10 AÑOS</t>
  </si>
  <si>
    <t xml:space="preserve">MASCULINO  </t>
  </si>
  <si>
    <t xml:space="preserve">FEMENINO   </t>
  </si>
  <si>
    <t xml:space="preserve">FEMENINO </t>
  </si>
  <si>
    <t>OTRO</t>
  </si>
  <si>
    <t>COMERCIANTE</t>
  </si>
  <si>
    <t>DIPLOMÁTICO(A)</t>
  </si>
  <si>
    <t>HOJALATERO</t>
  </si>
  <si>
    <t>PROFESIONAL TÉCNICO</t>
  </si>
  <si>
    <t xml:space="preserve"> TOTAL </t>
  </si>
  <si>
    <t>Texas</t>
  </si>
  <si>
    <t>Cárdenas</t>
  </si>
  <si>
    <t>Huimanguillo</t>
  </si>
  <si>
    <t>Centro</t>
  </si>
  <si>
    <t>Balancán</t>
  </si>
  <si>
    <t>Cunduacán</t>
  </si>
  <si>
    <t>Comalcalco</t>
  </si>
  <si>
    <t>Tenosique</t>
  </si>
  <si>
    <t>Macuspana</t>
  </si>
  <si>
    <t>Jalapa</t>
  </si>
  <si>
    <t>Teapa</t>
  </si>
  <si>
    <t>Paraíso</t>
  </si>
  <si>
    <t>Emiliano Zapata</t>
  </si>
  <si>
    <t>Desconocido</t>
  </si>
  <si>
    <t>Tacotalpa</t>
  </si>
  <si>
    <t>Centla</t>
  </si>
  <si>
    <t>Jalpa de Méndez</t>
  </si>
  <si>
    <t>Jonuta</t>
  </si>
  <si>
    <t>Nacajuca</t>
  </si>
  <si>
    <t>North Carolina</t>
  </si>
  <si>
    <t>California</t>
  </si>
  <si>
    <t>Florida</t>
  </si>
  <si>
    <t>Georgia</t>
  </si>
  <si>
    <t>Virginia</t>
  </si>
  <si>
    <t>Indiana</t>
  </si>
  <si>
    <t>Alabama</t>
  </si>
  <si>
    <t>South Carolina</t>
  </si>
  <si>
    <t>Illinois</t>
  </si>
  <si>
    <t>Oklahoma</t>
  </si>
  <si>
    <t>Tennessee</t>
  </si>
  <si>
    <t>Colorado</t>
  </si>
  <si>
    <t>Louisiana</t>
  </si>
  <si>
    <t>New York</t>
  </si>
  <si>
    <t>Ohio</t>
  </si>
  <si>
    <t>Wisconsin</t>
  </si>
  <si>
    <t>Mississippi</t>
  </si>
  <si>
    <t>Missouri</t>
  </si>
  <si>
    <t>Kentucky</t>
  </si>
  <si>
    <t>Arkansas</t>
  </si>
  <si>
    <t>Michigan</t>
  </si>
  <si>
    <t>New Jersey</t>
  </si>
  <si>
    <t>Arizona</t>
  </si>
  <si>
    <t>Minnesota</t>
  </si>
  <si>
    <t>Nebraska</t>
  </si>
  <si>
    <t>Nevada</t>
  </si>
  <si>
    <t>Pennsylvania</t>
  </si>
  <si>
    <t>Kansas</t>
  </si>
  <si>
    <t>Utah</t>
  </si>
  <si>
    <t>Maryland</t>
  </si>
  <si>
    <t>Vermont</t>
  </si>
  <si>
    <t>Washington</t>
  </si>
  <si>
    <t>Connecticut</t>
  </si>
  <si>
    <t>Iowa</t>
  </si>
  <si>
    <t>Oregon</t>
  </si>
  <si>
    <t>Idaho</t>
  </si>
  <si>
    <t>Massachusetts</t>
  </si>
  <si>
    <t>Wyoming</t>
  </si>
  <si>
    <t>New Mexico</t>
  </si>
  <si>
    <t>Delaware</t>
  </si>
  <si>
    <t>Maine</t>
  </si>
  <si>
    <t>South Dakota</t>
  </si>
  <si>
    <t>District of Columbia</t>
  </si>
  <si>
    <t>Montana</t>
  </si>
  <si>
    <t>New Hampshire</t>
  </si>
  <si>
    <t>North Dakota</t>
  </si>
  <si>
    <t>Rhode Island</t>
  </si>
  <si>
    <t xml:space="preserve"> TOTAL</t>
  </si>
  <si>
    <t>Junio de 2025</t>
  </si>
  <si>
    <t xml:space="preserve">  Matrículas consulares expedidas a originarios de Tabasco en el 2024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</si>
</sst>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164" formatCode="#.0%"/>
    <numFmt numFmtId="165" formatCode="#,###"/>
  </numFmts>
  <fonts count="31">
    <font>
      <sz val="11"/>
      <color theme="1"/>
      <name val="Calibri"/>
      <family val="2"/>
      <scheme val="minor"/>
    </font>
    <font>
      <sz val="11"/>
      <color theme="1"/>
      <name val="Montserrat"/>
    </font>
    <font>
      <u/>
      <sz val="11"/>
      <color theme="1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8"/>
      <color theme="1"/>
      <name val="Arial"/>
      <family val="2"/>
    </font>
    <font>
      <sz val="11"/>
      <name val="Calibri"/>
      <family val="2"/>
      <scheme val="minor"/>
    </font>
    <font>
      <sz val="11"/>
      <name val="Soberana Sans"/>
      <family val="3"/>
    </font>
    <font>
      <sz val="8"/>
      <color theme="1"/>
      <name val="Soberana Sans"/>
      <family val="3"/>
    </font>
    <font>
      <b/>
      <sz val="11"/>
      <name val="Arial Narrow"/>
      <family val="2"/>
    </font>
    <font>
      <sz val="8"/>
      <color theme="1"/>
      <name val="Calibri"/>
      <family val="2"/>
      <scheme val="minor"/>
    </font>
    <font>
      <sz val="12"/>
      <color theme="1"/>
      <name val="Montserrat"/>
    </font>
    <font>
      <b/>
      <sz val="12"/>
      <color theme="0"/>
      <name val="Montserrat"/>
    </font>
    <font>
      <u/>
      <sz val="12"/>
      <color theme="10"/>
      <name val="Montserrat"/>
    </font>
    <font>
      <sz val="8"/>
      <color theme="1"/>
      <name val="Noto Sans"/>
      <family val="2"/>
    </font>
    <font>
      <sz val="10"/>
      <color theme="1"/>
      <name val="Noto Sans"/>
      <family val="2"/>
    </font>
    <font>
      <sz val="11"/>
      <color theme="1"/>
      <name val="Noto Sans"/>
      <family val="2"/>
    </font>
    <font>
      <b/>
      <sz val="9"/>
      <color theme="0"/>
      <name val="Noto Sans"/>
      <family val="2"/>
    </font>
    <font>
      <sz val="9"/>
      <color theme="1"/>
      <name val="Noto Sans"/>
      <family val="2"/>
    </font>
    <font>
      <sz val="9"/>
      <color rgb="FF000000"/>
      <name val="Noto Sans"/>
      <family val="2"/>
    </font>
    <font>
      <sz val="7"/>
      <color indexed="8"/>
      <name val="Noto Sans"/>
      <family val="2"/>
    </font>
    <font>
      <sz val="8"/>
      <color rgb="FF000000"/>
      <name val="Noto Sans"/>
      <family val="2"/>
    </font>
    <font>
      <b/>
      <sz val="9"/>
      <color indexed="9"/>
      <name val="Noto Sans"/>
      <family val="2"/>
    </font>
    <font>
      <sz val="11"/>
      <name val="Noto Sans"/>
      <family val="2"/>
    </font>
    <font>
      <sz val="8"/>
      <color indexed="8"/>
      <name val="Noto Sans"/>
      <family val="2"/>
    </font>
    <font>
      <sz val="10"/>
      <name val="Noto Sans"/>
      <family val="2"/>
    </font>
    <font>
      <b/>
      <sz val="9"/>
      <color rgb="FFFFFFFF"/>
      <name val="Noto Sans"/>
      <family val="2"/>
    </font>
    <font>
      <b/>
      <sz val="9"/>
      <color theme="0"/>
      <name val="Noto Sans"/>
      <family val="2"/>
    </font>
    <font>
      <sz val="9"/>
      <color theme="1"/>
      <name val="Noto Sans "/>
    </font>
    <font>
      <sz val="9"/>
      <color rgb="FF000000"/>
      <name val="Noto Sans "/>
    </font>
    <font>
      <b/>
      <sz val="9"/>
      <color theme="0"/>
      <name val="Noto Sans "/>
    </font>
  </fonts>
  <fills count="9">
    <fill>
      <patternFill patternType="none"/>
    </fill>
    <fill>
      <patternFill patternType="gray125"/>
    </fill>
    <fill>
      <patternFill patternType="solid">
        <fgColor rgb="FFC0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C00000"/>
        <bgColor rgb="FF000000"/>
      </patternFill>
    </fill>
    <fill>
      <patternFill patternType="solid">
        <fgColor rgb="FFFFFFFF"/>
        <bgColor indexed="64"/>
      </patternFill>
    </fill>
    <fill>
      <patternFill patternType="solid">
        <fgColor rgb="FFCCCCCC"/>
        <bgColor indexed="64"/>
      </patternFill>
    </fill>
    <fill>
      <patternFill patternType="solid">
        <fgColor theme="0" tint="-0.249977111117893"/>
        <bgColor indexed="64"/>
      </patternFill>
    </fill>
  </fills>
  <borders count="18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4">
    <xf numFmtId="0" fontId="0" fillId="0" borderId="0"/>
    <xf numFmtId="0" fontId="2" fillId="0" borderId="0" applyNumberFormat="0" applyFill="0" applyBorder="0" applyAlignment="0" applyProtection="0"/>
    <xf numFmtId="0" fontId="3" fillId="0" borderId="0"/>
    <xf numFmtId="0" fontId="4" fillId="0" borderId="0"/>
  </cellStyleXfs>
  <cellXfs count="134">
    <xf numFmtId="0" fontId="0" fillId="0" borderId="0" xfId="0"/>
    <xf numFmtId="0" fontId="1" fillId="0" borderId="0" xfId="0" applyFont="1"/>
    <xf numFmtId="0" fontId="1" fillId="0" borderId="4" xfId="0" applyFont="1" applyBorder="1" applyAlignment="1">
      <alignment horizontal="left"/>
    </xf>
    <xf numFmtId="0" fontId="1" fillId="0" borderId="0" xfId="0" applyFont="1" applyAlignment="1">
      <alignment horizontal="left"/>
    </xf>
    <xf numFmtId="0" fontId="1" fillId="0" borderId="5" xfId="0" applyFont="1" applyBorder="1" applyAlignment="1">
      <alignment horizontal="left"/>
    </xf>
    <xf numFmtId="0" fontId="1" fillId="0" borderId="4" xfId="0" applyFont="1" applyBorder="1" applyAlignment="1">
      <alignment horizontal="left" wrapText="1"/>
    </xf>
    <xf numFmtId="0" fontId="1" fillId="0" borderId="0" xfId="0" applyFont="1" applyAlignment="1">
      <alignment horizontal="left" wrapText="1"/>
    </xf>
    <xf numFmtId="0" fontId="1" fillId="0" borderId="5" xfId="0" applyFont="1" applyBorder="1" applyAlignment="1">
      <alignment horizontal="left" wrapText="1"/>
    </xf>
    <xf numFmtId="0" fontId="1" fillId="0" borderId="4" xfId="0" applyFont="1" applyBorder="1"/>
    <xf numFmtId="0" fontId="1" fillId="0" borderId="5" xfId="0" applyFont="1" applyBorder="1"/>
    <xf numFmtId="0" fontId="1" fillId="0" borderId="6" xfId="0" applyFont="1" applyBorder="1"/>
    <xf numFmtId="0" fontId="1" fillId="0" borderId="7" xfId="0" applyFont="1" applyBorder="1"/>
    <xf numFmtId="0" fontId="1" fillId="0" borderId="8" xfId="0" applyFont="1" applyBorder="1"/>
    <xf numFmtId="0" fontId="0" fillId="3" borderId="0" xfId="0" applyFill="1"/>
    <xf numFmtId="3" fontId="0" fillId="3" borderId="0" xfId="0" applyNumberFormat="1" applyFill="1"/>
    <xf numFmtId="0" fontId="5" fillId="0" borderId="0" xfId="0" applyFont="1"/>
    <xf numFmtId="3" fontId="5" fillId="0" borderId="0" xfId="0" applyNumberFormat="1" applyFont="1"/>
    <xf numFmtId="1" fontId="5" fillId="0" borderId="0" xfId="0" applyNumberFormat="1" applyFont="1"/>
    <xf numFmtId="0" fontId="6" fillId="3" borderId="0" xfId="0" applyFont="1" applyFill="1"/>
    <xf numFmtId="0" fontId="7" fillId="3" borderId="0" xfId="0" applyFont="1" applyFill="1"/>
    <xf numFmtId="0" fontId="8" fillId="3" borderId="0" xfId="0" applyFont="1" applyFill="1"/>
    <xf numFmtId="0" fontId="5" fillId="3" borderId="0" xfId="0" applyFont="1" applyFill="1"/>
    <xf numFmtId="0" fontId="9" fillId="3" borderId="0" xfId="0" applyFont="1" applyFill="1"/>
    <xf numFmtId="0" fontId="8" fillId="3" borderId="0" xfId="0" applyFont="1" applyFill="1" applyAlignment="1">
      <alignment vertical="center"/>
    </xf>
    <xf numFmtId="3" fontId="5" fillId="3" borderId="0" xfId="0" applyNumberFormat="1" applyFont="1" applyFill="1"/>
    <xf numFmtId="1" fontId="5" fillId="3" borderId="0" xfId="0" applyNumberFormat="1" applyFont="1" applyFill="1"/>
    <xf numFmtId="0" fontId="10" fillId="3" borderId="0" xfId="0" applyFont="1" applyFill="1"/>
    <xf numFmtId="0" fontId="5" fillId="3" borderId="0" xfId="0" applyFont="1" applyFill="1" applyAlignment="1">
      <alignment vertical="center"/>
    </xf>
    <xf numFmtId="0" fontId="5" fillId="0" borderId="0" xfId="0" applyFont="1" applyAlignment="1">
      <alignment vertical="center"/>
    </xf>
    <xf numFmtId="0" fontId="11" fillId="0" borderId="4" xfId="0" applyFont="1" applyBorder="1"/>
    <xf numFmtId="0" fontId="14" fillId="0" borderId="0" xfId="0" applyFont="1"/>
    <xf numFmtId="0" fontId="16" fillId="0" borderId="0" xfId="0" applyFont="1" applyAlignment="1">
      <alignment horizontal="center" vertical="center" wrapText="1"/>
    </xf>
    <xf numFmtId="0" fontId="17" fillId="2" borderId="9" xfId="0" applyFont="1" applyFill="1" applyBorder="1" applyAlignment="1">
      <alignment horizontal="center" vertical="center" wrapText="1"/>
    </xf>
    <xf numFmtId="1" fontId="17" fillId="2" borderId="9" xfId="0" applyNumberFormat="1" applyFont="1" applyFill="1" applyBorder="1" applyAlignment="1">
      <alignment horizontal="center" vertical="center" wrapText="1"/>
    </xf>
    <xf numFmtId="0" fontId="16" fillId="3" borderId="0" xfId="0" applyFont="1" applyFill="1"/>
    <xf numFmtId="49" fontId="18" fillId="3" borderId="9" xfId="0" applyNumberFormat="1" applyFont="1" applyFill="1" applyBorder="1" applyAlignment="1">
      <alignment vertical="top" wrapText="1"/>
    </xf>
    <xf numFmtId="49" fontId="17" fillId="4" borderId="9" xfId="0" applyNumberFormat="1" applyFont="1" applyFill="1" applyBorder="1" applyAlignment="1">
      <alignment vertical="center" wrapText="1"/>
    </xf>
    <xf numFmtId="3" fontId="17" fillId="4" borderId="9" xfId="0" applyNumberFormat="1" applyFont="1" applyFill="1" applyBorder="1" applyAlignment="1">
      <alignment horizontal="right" vertical="center" wrapText="1"/>
    </xf>
    <xf numFmtId="0" fontId="20" fillId="3" borderId="0" xfId="0" applyFont="1" applyFill="1"/>
    <xf numFmtId="3" fontId="16" fillId="3" borderId="0" xfId="0" applyNumberFormat="1" applyFont="1" applyFill="1"/>
    <xf numFmtId="0" fontId="20" fillId="3" borderId="0" xfId="0" applyFont="1" applyFill="1" applyAlignment="1">
      <alignment vertical="center"/>
    </xf>
    <xf numFmtId="0" fontId="20" fillId="3" borderId="0" xfId="0" applyFont="1" applyFill="1" applyAlignment="1">
      <alignment vertical="top"/>
    </xf>
    <xf numFmtId="0" fontId="17" fillId="2" borderId="11" xfId="0" applyFont="1" applyFill="1" applyBorder="1" applyAlignment="1">
      <alignment horizontal="center" vertical="center" wrapText="1"/>
    </xf>
    <xf numFmtId="1" fontId="17" fillId="2" borderId="10" xfId="0" applyNumberFormat="1" applyFont="1" applyFill="1" applyBorder="1" applyAlignment="1">
      <alignment horizontal="center" vertical="center" wrapText="1"/>
    </xf>
    <xf numFmtId="0" fontId="17" fillId="2" borderId="10" xfId="0" applyFont="1" applyFill="1" applyBorder="1" applyAlignment="1">
      <alignment horizontal="center" vertical="center" wrapText="1"/>
    </xf>
    <xf numFmtId="0" fontId="18" fillId="0" borderId="0" xfId="0" applyFont="1" applyAlignment="1">
      <alignment horizontal="center" vertical="center" wrapText="1"/>
    </xf>
    <xf numFmtId="0" fontId="14" fillId="3" borderId="0" xfId="0" applyFont="1" applyFill="1" applyAlignment="1">
      <alignment vertical="center"/>
    </xf>
    <xf numFmtId="0" fontId="14" fillId="3" borderId="0" xfId="0" applyFont="1" applyFill="1"/>
    <xf numFmtId="0" fontId="23" fillId="3" borderId="0" xfId="0" applyFont="1" applyFill="1"/>
    <xf numFmtId="0" fontId="22" fillId="2" borderId="10" xfId="3" applyFont="1" applyFill="1" applyBorder="1" applyAlignment="1">
      <alignment horizontal="center" vertical="center" wrapText="1"/>
    </xf>
    <xf numFmtId="0" fontId="17" fillId="2" borderId="10" xfId="3" applyFont="1" applyFill="1" applyBorder="1" applyAlignment="1">
      <alignment horizontal="center" vertical="center" wrapText="1"/>
    </xf>
    <xf numFmtId="1" fontId="22" fillId="2" borderId="10" xfId="3" applyNumberFormat="1" applyFont="1" applyFill="1" applyBorder="1" applyAlignment="1">
      <alignment horizontal="center" vertical="center" wrapText="1"/>
    </xf>
    <xf numFmtId="0" fontId="24" fillId="0" borderId="0" xfId="0" applyFont="1" applyAlignment="1">
      <alignment horizontal="justify" vertical="center"/>
    </xf>
    <xf numFmtId="0" fontId="24" fillId="0" borderId="0" xfId="0" applyFont="1" applyAlignment="1">
      <alignment vertical="top"/>
    </xf>
    <xf numFmtId="0" fontId="25" fillId="3" borderId="0" xfId="0" applyFont="1" applyFill="1"/>
    <xf numFmtId="0" fontId="25" fillId="3" borderId="14" xfId="0" applyFont="1" applyFill="1" applyBorder="1" applyAlignment="1">
      <alignment horizontal="center" vertical="distributed"/>
    </xf>
    <xf numFmtId="3" fontId="14" fillId="3" borderId="0" xfId="0" applyNumberFormat="1" applyFont="1" applyFill="1"/>
    <xf numFmtId="164" fontId="21" fillId="0" borderId="15" xfId="0" applyNumberFormat="1" applyFont="1" applyBorder="1" applyAlignment="1">
      <alignment horizontal="right" vertical="top" wrapText="1"/>
    </xf>
    <xf numFmtId="164" fontId="14" fillId="0" borderId="15" xfId="0" applyNumberFormat="1" applyFont="1" applyBorder="1" applyAlignment="1">
      <alignment horizontal="right" vertical="top" wrapText="1"/>
    </xf>
    <xf numFmtId="0" fontId="26" fillId="5" borderId="10" xfId="3" applyFont="1" applyFill="1" applyBorder="1" applyAlignment="1">
      <alignment horizontal="center" vertical="center" wrapText="1"/>
    </xf>
    <xf numFmtId="0" fontId="19" fillId="0" borderId="9" xfId="0" applyFont="1" applyBorder="1" applyAlignment="1">
      <alignment vertical="center" wrapText="1"/>
    </xf>
    <xf numFmtId="0" fontId="19" fillId="6" borderId="9" xfId="0" applyFont="1" applyFill="1" applyBorder="1" applyAlignment="1">
      <alignment horizontal="right" vertical="center" wrapText="1"/>
    </xf>
    <xf numFmtId="10" fontId="19" fillId="6" borderId="9" xfId="0" applyNumberFormat="1" applyFont="1" applyFill="1" applyBorder="1" applyAlignment="1">
      <alignment horizontal="right" vertical="center" wrapText="1"/>
    </xf>
    <xf numFmtId="0" fontId="17" fillId="7" borderId="9" xfId="0" applyFont="1" applyFill="1" applyBorder="1" applyAlignment="1">
      <alignment horizontal="right" vertical="center" wrapText="1"/>
    </xf>
    <xf numFmtId="0" fontId="17" fillId="8" borderId="9" xfId="0" applyFont="1" applyFill="1" applyBorder="1" applyAlignment="1">
      <alignment horizontal="right" vertical="center" wrapText="1"/>
    </xf>
    <xf numFmtId="0" fontId="27" fillId="8" borderId="9" xfId="0" applyFont="1" applyFill="1" applyBorder="1" applyAlignment="1">
      <alignment horizontal="right" vertical="center" wrapText="1"/>
    </xf>
    <xf numFmtId="10" fontId="27" fillId="8" borderId="9" xfId="0" applyNumberFormat="1" applyFont="1" applyFill="1" applyBorder="1" applyAlignment="1">
      <alignment horizontal="right" vertical="center" wrapText="1"/>
    </xf>
    <xf numFmtId="10" fontId="27" fillId="7" borderId="9" xfId="0" applyNumberFormat="1" applyFont="1" applyFill="1" applyBorder="1" applyAlignment="1">
      <alignment horizontal="right" vertical="center" wrapText="1"/>
    </xf>
    <xf numFmtId="0" fontId="27" fillId="4" borderId="9" xfId="0" applyFont="1" applyFill="1" applyBorder="1" applyAlignment="1">
      <alignment horizontal="right" vertical="center" wrapText="1"/>
    </xf>
    <xf numFmtId="10" fontId="27" fillId="4" borderId="9" xfId="0" applyNumberFormat="1" applyFont="1" applyFill="1" applyBorder="1" applyAlignment="1">
      <alignment horizontal="right" vertical="center" wrapText="1"/>
    </xf>
    <xf numFmtId="0" fontId="27" fillId="7" borderId="9" xfId="0" applyFont="1" applyFill="1" applyBorder="1" applyAlignment="1">
      <alignment vertical="center" wrapText="1"/>
    </xf>
    <xf numFmtId="165" fontId="17" fillId="4" borderId="9" xfId="0" applyNumberFormat="1" applyFont="1" applyFill="1" applyBorder="1" applyAlignment="1">
      <alignment vertical="top" wrapText="1"/>
    </xf>
    <xf numFmtId="165" fontId="17" fillId="4" borderId="9" xfId="0" applyNumberFormat="1" applyFont="1" applyFill="1" applyBorder="1" applyAlignment="1">
      <alignment horizontal="right" vertical="top" wrapText="1"/>
    </xf>
    <xf numFmtId="164" fontId="17" fillId="4" borderId="9" xfId="0" applyNumberFormat="1" applyFont="1" applyFill="1" applyBorder="1" applyAlignment="1">
      <alignment horizontal="right" vertical="top" wrapText="1"/>
    </xf>
    <xf numFmtId="49" fontId="18" fillId="0" borderId="9" xfId="0" applyNumberFormat="1" applyFont="1" applyBorder="1" applyAlignment="1">
      <alignment vertical="top" wrapText="1"/>
    </xf>
    <xf numFmtId="165" fontId="19" fillId="6" borderId="9" xfId="0" applyNumberFormat="1" applyFont="1" applyFill="1" applyBorder="1" applyAlignment="1">
      <alignment horizontal="right" vertical="top" wrapText="1"/>
    </xf>
    <xf numFmtId="164" fontId="19" fillId="6" borderId="9" xfId="0" applyNumberFormat="1" applyFont="1" applyFill="1" applyBorder="1" applyAlignment="1">
      <alignment horizontal="right" vertical="top" wrapText="1"/>
    </xf>
    <xf numFmtId="0" fontId="18" fillId="3" borderId="9" xfId="0" applyFont="1" applyFill="1" applyBorder="1"/>
    <xf numFmtId="3" fontId="19" fillId="6" borderId="9" xfId="0" applyNumberFormat="1" applyFont="1" applyFill="1" applyBorder="1" applyAlignment="1">
      <alignment horizontal="right" vertical="center" wrapText="1"/>
    </xf>
    <xf numFmtId="0" fontId="17" fillId="4" borderId="9" xfId="0" applyFont="1" applyFill="1" applyBorder="1" applyAlignment="1">
      <alignment vertical="center" wrapText="1"/>
    </xf>
    <xf numFmtId="10" fontId="17" fillId="4" borderId="9" xfId="0" applyNumberFormat="1" applyFont="1" applyFill="1" applyBorder="1" applyAlignment="1">
      <alignment horizontal="right" vertical="center" wrapText="1"/>
    </xf>
    <xf numFmtId="165" fontId="29" fillId="6" borderId="9" xfId="0" applyNumberFormat="1" applyFont="1" applyFill="1" applyBorder="1" applyAlignment="1">
      <alignment horizontal="right" vertical="top" wrapText="1"/>
    </xf>
    <xf numFmtId="164" fontId="29" fillId="6" borderId="9" xfId="0" applyNumberFormat="1" applyFont="1" applyFill="1" applyBorder="1" applyAlignment="1">
      <alignment horizontal="right" vertical="top" wrapText="1"/>
    </xf>
    <xf numFmtId="165" fontId="30" fillId="7" borderId="9" xfId="0" applyNumberFormat="1" applyFont="1" applyFill="1" applyBorder="1" applyAlignment="1">
      <alignment horizontal="right" vertical="top" wrapText="1"/>
    </xf>
    <xf numFmtId="165" fontId="30" fillId="8" borderId="9" xfId="0" applyNumberFormat="1" applyFont="1" applyFill="1" applyBorder="1" applyAlignment="1">
      <alignment horizontal="right" vertical="top" wrapText="1"/>
    </xf>
    <xf numFmtId="49" fontId="30" fillId="8" borderId="9" xfId="0" applyNumberFormat="1" applyFont="1" applyFill="1" applyBorder="1" applyAlignment="1">
      <alignment vertical="top" wrapText="1"/>
    </xf>
    <xf numFmtId="164" fontId="30" fillId="8" borderId="9" xfId="0" applyNumberFormat="1" applyFont="1" applyFill="1" applyBorder="1" applyAlignment="1">
      <alignment horizontal="right" vertical="top" wrapText="1"/>
    </xf>
    <xf numFmtId="49" fontId="30" fillId="7" borderId="9" xfId="0" applyNumberFormat="1" applyFont="1" applyFill="1" applyBorder="1" applyAlignment="1">
      <alignment vertical="top" wrapText="1"/>
    </xf>
    <xf numFmtId="164" fontId="30" fillId="7" borderId="9" xfId="0" applyNumberFormat="1" applyFont="1" applyFill="1" applyBorder="1" applyAlignment="1">
      <alignment horizontal="right" vertical="top" wrapText="1"/>
    </xf>
    <xf numFmtId="165" fontId="30" fillId="4" borderId="9" xfId="0" applyNumberFormat="1" applyFont="1" applyFill="1" applyBorder="1" applyAlignment="1">
      <alignment horizontal="right" vertical="top" wrapText="1"/>
    </xf>
    <xf numFmtId="164" fontId="30" fillId="4" borderId="9" xfId="0" applyNumberFormat="1" applyFont="1" applyFill="1" applyBorder="1" applyAlignment="1">
      <alignment horizontal="right" vertical="top" wrapText="1"/>
    </xf>
    <xf numFmtId="0" fontId="27" fillId="8" borderId="9" xfId="0" applyFont="1" applyFill="1" applyBorder="1" applyAlignment="1">
      <alignment vertical="center" wrapText="1"/>
    </xf>
    <xf numFmtId="3" fontId="27" fillId="4" borderId="9" xfId="0" applyNumberFormat="1" applyFont="1" applyFill="1" applyBorder="1" applyAlignment="1">
      <alignment horizontal="right" vertical="center" wrapText="1"/>
    </xf>
    <xf numFmtId="0" fontId="27" fillId="4" borderId="13" xfId="0" applyFont="1" applyFill="1" applyBorder="1" applyAlignment="1">
      <alignment vertical="center" wrapText="1"/>
    </xf>
    <xf numFmtId="0" fontId="27" fillId="4" borderId="12" xfId="0" applyFont="1" applyFill="1" applyBorder="1" applyAlignment="1">
      <alignment vertical="center" wrapText="1"/>
    </xf>
    <xf numFmtId="49" fontId="17" fillId="4" borderId="9" xfId="0" applyNumberFormat="1" applyFont="1" applyFill="1" applyBorder="1" applyAlignment="1">
      <alignment vertical="top" wrapText="1"/>
    </xf>
    <xf numFmtId="49" fontId="17" fillId="8" borderId="9" xfId="0" applyNumberFormat="1" applyFont="1" applyFill="1" applyBorder="1" applyAlignment="1">
      <alignment vertical="center" wrapText="1"/>
    </xf>
    <xf numFmtId="3" fontId="17" fillId="8" borderId="9" xfId="0" applyNumberFormat="1" applyFont="1" applyFill="1" applyBorder="1" applyAlignment="1">
      <alignment horizontal="right" vertical="center" wrapText="1"/>
    </xf>
    <xf numFmtId="164" fontId="17" fillId="8" borderId="9" xfId="0" applyNumberFormat="1" applyFont="1" applyFill="1" applyBorder="1" applyAlignment="1">
      <alignment horizontal="right" vertical="center" wrapText="1"/>
    </xf>
    <xf numFmtId="49" fontId="28" fillId="3" borderId="9" xfId="0" applyNumberFormat="1" applyFont="1" applyFill="1" applyBorder="1" applyAlignment="1">
      <alignment vertical="top" wrapText="1"/>
    </xf>
    <xf numFmtId="49" fontId="27" fillId="8" borderId="9" xfId="0" applyNumberFormat="1" applyFont="1" applyFill="1" applyBorder="1" applyAlignment="1">
      <alignment vertical="top" wrapText="1"/>
    </xf>
    <xf numFmtId="165" fontId="27" fillId="8" borderId="9" xfId="0" applyNumberFormat="1" applyFont="1" applyFill="1" applyBorder="1" applyAlignment="1">
      <alignment horizontal="right" vertical="top" wrapText="1"/>
    </xf>
    <xf numFmtId="164" fontId="27" fillId="8" borderId="9" xfId="0" applyNumberFormat="1" applyFont="1" applyFill="1" applyBorder="1" applyAlignment="1">
      <alignment horizontal="right" vertical="top" wrapText="1"/>
    </xf>
    <xf numFmtId="165" fontId="27" fillId="4" borderId="9" xfId="0" applyNumberFormat="1" applyFont="1" applyFill="1" applyBorder="1" applyAlignment="1">
      <alignment horizontal="right" vertical="top" wrapText="1"/>
    </xf>
    <xf numFmtId="164" fontId="27" fillId="4" borderId="9" xfId="0" applyNumberFormat="1" applyFont="1" applyFill="1" applyBorder="1" applyAlignment="1">
      <alignment horizontal="right" vertical="top" wrapText="1"/>
    </xf>
    <xf numFmtId="0" fontId="18" fillId="3" borderId="9" xfId="0" applyFont="1" applyFill="1" applyBorder="1" applyAlignment="1">
      <alignment wrapText="1"/>
    </xf>
    <xf numFmtId="49" fontId="17" fillId="4" borderId="9" xfId="0" applyNumberFormat="1" applyFont="1" applyFill="1" applyBorder="1" applyAlignment="1">
      <alignment horizontal="left" vertical="top" wrapText="1"/>
    </xf>
    <xf numFmtId="164" fontId="17" fillId="8" borderId="9" xfId="0" applyNumberFormat="1" applyFont="1" applyFill="1" applyBorder="1" applyAlignment="1">
      <alignment horizontal="right" vertical="top" wrapText="1"/>
    </xf>
    <xf numFmtId="0" fontId="13" fillId="0" borderId="4" xfId="1" applyFont="1" applyBorder="1" applyAlignment="1">
      <alignment horizontal="left"/>
    </xf>
    <xf numFmtId="0" fontId="13" fillId="0" borderId="0" xfId="1" applyFont="1" applyBorder="1" applyAlignment="1">
      <alignment horizontal="left"/>
    </xf>
    <xf numFmtId="0" fontId="13" fillId="0" borderId="5" xfId="1" applyFont="1" applyBorder="1" applyAlignment="1">
      <alignment horizontal="left"/>
    </xf>
    <xf numFmtId="0" fontId="12" fillId="2" borderId="1" xfId="0" applyFont="1" applyFill="1" applyBorder="1" applyAlignment="1">
      <alignment horizontal="center" wrapText="1"/>
    </xf>
    <xf numFmtId="0" fontId="12" fillId="2" borderId="2" xfId="0" applyFont="1" applyFill="1" applyBorder="1" applyAlignment="1">
      <alignment horizontal="center" wrapText="1"/>
    </xf>
    <xf numFmtId="0" fontId="12" fillId="2" borderId="3" xfId="0" applyFont="1" applyFill="1" applyBorder="1" applyAlignment="1">
      <alignment horizontal="center" wrapText="1"/>
    </xf>
    <xf numFmtId="0" fontId="11" fillId="0" borderId="4" xfId="0" applyFont="1" applyBorder="1" applyAlignment="1">
      <alignment horizontal="left" wrapText="1"/>
    </xf>
    <xf numFmtId="0" fontId="11" fillId="0" borderId="0" xfId="0" applyFont="1" applyAlignment="1">
      <alignment horizontal="left" wrapText="1"/>
    </xf>
    <xf numFmtId="0" fontId="11" fillId="0" borderId="5" xfId="0" applyFont="1" applyBorder="1" applyAlignment="1">
      <alignment horizontal="left" wrapText="1"/>
    </xf>
    <xf numFmtId="0" fontId="15" fillId="0" borderId="0" xfId="0" applyFont="1" applyAlignment="1">
      <alignment horizontal="center" vertical="center" wrapText="1"/>
    </xf>
    <xf numFmtId="0" fontId="16" fillId="3" borderId="0" xfId="0" applyFont="1" applyFill="1" applyAlignment="1">
      <alignment horizontal="center" wrapText="1"/>
    </xf>
    <xf numFmtId="49" fontId="28" fillId="3" borderId="10" xfId="0" applyNumberFormat="1" applyFont="1" applyFill="1" applyBorder="1" applyAlignment="1">
      <alignment horizontal="center" vertical="center" wrapText="1"/>
    </xf>
    <xf numFmtId="49" fontId="28" fillId="3" borderId="17" xfId="0" applyNumberFormat="1" applyFont="1" applyFill="1" applyBorder="1" applyAlignment="1">
      <alignment horizontal="center" vertical="center" wrapText="1"/>
    </xf>
    <xf numFmtId="49" fontId="28" fillId="3" borderId="16" xfId="0" applyNumberFormat="1" applyFont="1" applyFill="1" applyBorder="1" applyAlignment="1">
      <alignment horizontal="center" vertical="center" wrapText="1"/>
    </xf>
    <xf numFmtId="49" fontId="30" fillId="4" borderId="13" xfId="0" applyNumberFormat="1" applyFont="1" applyFill="1" applyBorder="1" applyAlignment="1">
      <alignment horizontal="center" vertical="top" wrapText="1"/>
    </xf>
    <xf numFmtId="49" fontId="30" fillId="4" borderId="12" xfId="0" applyNumberFormat="1" applyFont="1" applyFill="1" applyBorder="1" applyAlignment="1">
      <alignment horizontal="center" vertical="top" wrapText="1"/>
    </xf>
    <xf numFmtId="0" fontId="19" fillId="0" borderId="10" xfId="0" applyFont="1" applyBorder="1" applyAlignment="1">
      <alignment horizontal="center" vertical="center" wrapText="1"/>
    </xf>
    <xf numFmtId="0" fontId="19" fillId="0" borderId="16" xfId="0" applyFont="1" applyBorder="1" applyAlignment="1">
      <alignment horizontal="center" vertical="center" wrapText="1"/>
    </xf>
    <xf numFmtId="0" fontId="19" fillId="0" borderId="17" xfId="0" applyFont="1" applyBorder="1" applyAlignment="1">
      <alignment horizontal="center" vertical="center" wrapText="1"/>
    </xf>
    <xf numFmtId="0" fontId="27" fillId="4" borderId="9" xfId="0" applyFont="1" applyFill="1" applyBorder="1" applyAlignment="1">
      <alignment vertical="center" wrapText="1"/>
    </xf>
    <xf numFmtId="0" fontId="27" fillId="4" borderId="13" xfId="0" applyFont="1" applyFill="1" applyBorder="1" applyAlignment="1">
      <alignment vertical="center" wrapText="1"/>
    </xf>
    <xf numFmtId="0" fontId="27" fillId="4" borderId="12" xfId="0" applyFont="1" applyFill="1" applyBorder="1" applyAlignment="1">
      <alignment vertical="center" wrapText="1"/>
    </xf>
    <xf numFmtId="49" fontId="27" fillId="4" borderId="9" xfId="0" applyNumberFormat="1" applyFont="1" applyFill="1" applyBorder="1" applyAlignment="1">
      <alignment horizontal="left" vertical="top" wrapText="1"/>
    </xf>
    <xf numFmtId="49" fontId="18" fillId="0" borderId="10" xfId="0" applyNumberFormat="1" applyFont="1" applyBorder="1" applyAlignment="1">
      <alignment horizontal="center" vertical="center" wrapText="1"/>
    </xf>
    <xf numFmtId="49" fontId="18" fillId="0" borderId="16" xfId="0" applyNumberFormat="1" applyFont="1" applyBorder="1" applyAlignment="1">
      <alignment horizontal="center" vertical="center" wrapText="1"/>
    </xf>
    <xf numFmtId="49" fontId="18" fillId="0" borderId="17" xfId="0" applyNumberFormat="1" applyFont="1" applyBorder="1" applyAlignment="1">
      <alignment horizontal="center" vertical="center" wrapText="1"/>
    </xf>
  </cellXfs>
  <cellStyles count="4">
    <cellStyle name="Hipervínculo" xfId="1" builtinId="8"/>
    <cellStyle name="Normal" xfId="0" builtinId="0"/>
    <cellStyle name="Normal 2" xfId="2" xr:uid="{00000000-0005-0000-0000-000002000000}"/>
    <cellStyle name="Normal_Hoja1" xfId="3" xr:uid="{00000000-0005-0000-0000-000003000000}"/>
  </cellStyles>
  <dxfs count="0"/>
  <tableStyles count="1" defaultTableStyle="TableStyleMedium2" defaultPivotStyle="PivotStyleLight16">
    <tableStyle name="Invisible" pivot="0" table="0" count="0" xr9:uid="{253047B3-1278-42B6-914D-D05A7A717540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&#205;ndice!A1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#&#205;ndice!A1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#&#205;ndice!A1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#&#205;ndice!A1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#&#205;ndice!A1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#&#205;ndice!A1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#&#205;ndice!A1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#&#205;ndice!A1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#&#205;ndice!A1"/></Relationships>
</file>

<file path=xl/drawings/_rels/drawing10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#&#205;ndice!A1"/></Relationships>
</file>

<file path=xl/drawings/_rels/drawing1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#&#205;ndice!A1"/></Relationships>
</file>

<file path=xl/drawings/_rels/drawing12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#&#205;ndice!A1"/></Relationships>
</file>

<file path=xl/drawings/_rels/drawing1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#&#205;ndice!A1"/></Relationships>
</file>

<file path=xl/drawings/_rels/drawing1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#&#205;ndice!A1"/></Relationships>
</file>

<file path=xl/drawings/_rels/drawing15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#&#205;ndice!A1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381716</xdr:colOff>
      <xdr:row>1</xdr:row>
      <xdr:rowOff>206067</xdr:rowOff>
    </xdr:from>
    <xdr:to>
      <xdr:col>3</xdr:col>
      <xdr:colOff>893813</xdr:colOff>
      <xdr:row>2</xdr:row>
      <xdr:rowOff>206067</xdr:rowOff>
    </xdr:to>
    <xdr:sp macro="" textlink="">
      <xdr:nvSpPr>
        <xdr:cNvPr id="2" name="Rectángulo redondeado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SpPr/>
      </xdr:nvSpPr>
      <xdr:spPr>
        <a:xfrm>
          <a:off x="3867866" y="739467"/>
          <a:ext cx="512097" cy="20955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t>TABASCO 2024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twoCellAnchor>
  <xdr:twoCellAnchor>
    <xdr:from>
      <xdr:col>4</xdr:col>
      <xdr:colOff>0</xdr:colOff>
      <xdr:row>8</xdr:row>
      <xdr:rowOff>0</xdr:rowOff>
    </xdr:from>
    <xdr:to>
      <xdr:col>4</xdr:col>
      <xdr:colOff>512097</xdr:colOff>
      <xdr:row>8</xdr:row>
      <xdr:rowOff>184355</xdr:rowOff>
    </xdr:to>
    <xdr:sp macro="" textlink="">
      <xdr:nvSpPr>
        <xdr:cNvPr id="5" name="Rectángulo redondeado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SpPr/>
      </xdr:nvSpPr>
      <xdr:spPr>
        <a:xfrm>
          <a:off x="4429125" y="1714500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0</xdr:col>
      <xdr:colOff>124517</xdr:colOff>
      <xdr:row>1</xdr:row>
      <xdr:rowOff>125898</xdr:rowOff>
    </xdr:from>
    <xdr:to>
      <xdr:col>1</xdr:col>
      <xdr:colOff>1124642</xdr:colOff>
      <xdr:row>2</xdr:row>
      <xdr:rowOff>157275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694362C3-A07A-4C6F-A343-2874551AA89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4517" y="316398"/>
          <a:ext cx="1647825" cy="22187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443121</xdr:colOff>
      <xdr:row>1</xdr:row>
      <xdr:rowOff>71230</xdr:rowOff>
    </xdr:from>
    <xdr:to>
      <xdr:col>5</xdr:col>
      <xdr:colOff>262145</xdr:colOff>
      <xdr:row>3</xdr:row>
      <xdr:rowOff>158665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B4578D1D-0A64-4A75-BDD9-6E2AE519CDE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084971" y="261730"/>
          <a:ext cx="466724" cy="46843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t>TABASCO 2024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twoCellAnchor>
  <xdr:twoCellAnchor>
    <xdr:from>
      <xdr:col>4</xdr:col>
      <xdr:colOff>161925</xdr:colOff>
      <xdr:row>8</xdr:row>
      <xdr:rowOff>0</xdr:rowOff>
    </xdr:from>
    <xdr:to>
      <xdr:col>5</xdr:col>
      <xdr:colOff>54897</xdr:colOff>
      <xdr:row>8</xdr:row>
      <xdr:rowOff>184355</xdr:rowOff>
    </xdr:to>
    <xdr:sp macro="" textlink="">
      <xdr:nvSpPr>
        <xdr:cNvPr id="5" name="Rectángulo redondeado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200-000005000000}"/>
            </a:ext>
          </a:extLst>
        </xdr:cNvPr>
        <xdr:cNvSpPr/>
      </xdr:nvSpPr>
      <xdr:spPr>
        <a:xfrm>
          <a:off x="3209925" y="1524000"/>
          <a:ext cx="654972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0</xdr:col>
      <xdr:colOff>164550</xdr:colOff>
      <xdr:row>1</xdr:row>
      <xdr:rowOff>189398</xdr:rowOff>
    </xdr:from>
    <xdr:to>
      <xdr:col>1</xdr:col>
      <xdr:colOff>1164675</xdr:colOff>
      <xdr:row>3</xdr:row>
      <xdr:rowOff>30275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05AD2302-9EBD-417C-9D32-5E9B0D15F47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550" y="379898"/>
          <a:ext cx="1619250" cy="22187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441741</xdr:colOff>
      <xdr:row>1</xdr:row>
      <xdr:rowOff>62948</xdr:rowOff>
    </xdr:from>
    <xdr:to>
      <xdr:col>5</xdr:col>
      <xdr:colOff>260765</xdr:colOff>
      <xdr:row>3</xdr:row>
      <xdr:rowOff>150383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89F4443A-1DCE-4412-AA59-93D42A7A72F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083591" y="253448"/>
          <a:ext cx="466724" cy="46843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t>TABASCO 2024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twoCellAnchor>
  <xdr:twoCellAnchor>
    <xdr:from>
      <xdr:col>4</xdr:col>
      <xdr:colOff>209550</xdr:colOff>
      <xdr:row>7</xdr:row>
      <xdr:rowOff>171450</xdr:rowOff>
    </xdr:from>
    <xdr:to>
      <xdr:col>5</xdr:col>
      <xdr:colOff>102522</xdr:colOff>
      <xdr:row>8</xdr:row>
      <xdr:rowOff>165305</xdr:rowOff>
    </xdr:to>
    <xdr:sp macro="" textlink="">
      <xdr:nvSpPr>
        <xdr:cNvPr id="5" name="Rectángulo redondeado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300-000005000000}"/>
            </a:ext>
          </a:extLst>
        </xdr:cNvPr>
        <xdr:cNvSpPr/>
      </xdr:nvSpPr>
      <xdr:spPr>
        <a:xfrm>
          <a:off x="3257550" y="1504950"/>
          <a:ext cx="654972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0</xdr:col>
      <xdr:colOff>119733</xdr:colOff>
      <xdr:row>1</xdr:row>
      <xdr:rowOff>114117</xdr:rowOff>
    </xdr:from>
    <xdr:to>
      <xdr:col>1</xdr:col>
      <xdr:colOff>1119858</xdr:colOff>
      <xdr:row>2</xdr:row>
      <xdr:rowOff>145494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B8997130-CF49-4B32-9439-8E1C5B72739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9733" y="304617"/>
          <a:ext cx="1649236" cy="22187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423119</xdr:colOff>
      <xdr:row>1</xdr:row>
      <xdr:rowOff>58899</xdr:rowOff>
    </xdr:from>
    <xdr:to>
      <xdr:col>5</xdr:col>
      <xdr:colOff>242143</xdr:colOff>
      <xdr:row>3</xdr:row>
      <xdr:rowOff>146334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5033B548-3DD6-4305-B99C-08A961B5297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072730" y="249399"/>
          <a:ext cx="468135" cy="46843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t>TABASCO 2024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twoCellAnchor>
  <xdr:twoCellAnchor>
    <xdr:from>
      <xdr:col>4</xdr:col>
      <xdr:colOff>161925</xdr:colOff>
      <xdr:row>7</xdr:row>
      <xdr:rowOff>133350</xdr:rowOff>
    </xdr:from>
    <xdr:to>
      <xdr:col>5</xdr:col>
      <xdr:colOff>54897</xdr:colOff>
      <xdr:row>8</xdr:row>
      <xdr:rowOff>127205</xdr:rowOff>
    </xdr:to>
    <xdr:sp macro="" textlink="">
      <xdr:nvSpPr>
        <xdr:cNvPr id="5" name="Rectángulo redondeado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400-000005000000}"/>
            </a:ext>
          </a:extLst>
        </xdr:cNvPr>
        <xdr:cNvSpPr/>
      </xdr:nvSpPr>
      <xdr:spPr>
        <a:xfrm>
          <a:off x="4591050" y="1657350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0</xdr:col>
      <xdr:colOff>147955</xdr:colOff>
      <xdr:row>1</xdr:row>
      <xdr:rowOff>128227</xdr:rowOff>
    </xdr:from>
    <xdr:to>
      <xdr:col>1</xdr:col>
      <xdr:colOff>1148080</xdr:colOff>
      <xdr:row>2</xdr:row>
      <xdr:rowOff>159604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96C98047-6289-48B5-BDC0-89F52220F8D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47955" y="318727"/>
          <a:ext cx="1649236" cy="22187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401953</xdr:colOff>
      <xdr:row>1</xdr:row>
      <xdr:rowOff>72703</xdr:rowOff>
    </xdr:from>
    <xdr:to>
      <xdr:col>5</xdr:col>
      <xdr:colOff>220977</xdr:colOff>
      <xdr:row>3</xdr:row>
      <xdr:rowOff>160138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F8DD42BF-24BF-47F9-87AD-0BCF7C5FA76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827675" y="263203"/>
          <a:ext cx="468135" cy="46843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t>TABASCO 2024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Noto Sans" panose="020B0502040504020204" pitchFamily="34" charset="0"/>
              <a:ea typeface="Noto Sans" panose="020B0502040504020204" pitchFamily="34" charset="0"/>
            </a:rPr>
            <a:t>MATRÍCULAS CONSULARES DE ALTA SEGURIDAD EXPEDIDAS POR MUNICIPIO A ORIGINARIOS DEL ESTADO DE TABASCO POR ESTADO EN EE.UU.</a:t>
          </a:r>
        </a:p>
      </xdr:txBody>
    </xdr:sp>
    <xdr:clientData/>
  </xdr:twoCellAnchor>
  <xdr:twoCellAnchor>
    <xdr:from>
      <xdr:col>4</xdr:col>
      <xdr:colOff>530413</xdr:colOff>
      <xdr:row>6</xdr:row>
      <xdr:rowOff>321235</xdr:rowOff>
    </xdr:from>
    <xdr:to>
      <xdr:col>4</xdr:col>
      <xdr:colOff>1042510</xdr:colOff>
      <xdr:row>7</xdr:row>
      <xdr:rowOff>176884</xdr:rowOff>
    </xdr:to>
    <xdr:sp macro="" textlink="">
      <xdr:nvSpPr>
        <xdr:cNvPr id="6" name="Rectángulo redondeado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500-000006000000}"/>
            </a:ext>
          </a:extLst>
        </xdr:cNvPr>
        <xdr:cNvSpPr/>
      </xdr:nvSpPr>
      <xdr:spPr>
        <a:xfrm>
          <a:off x="5625354" y="1740647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1</xdr:col>
      <xdr:colOff>121583</xdr:colOff>
      <xdr:row>1</xdr:row>
      <xdr:rowOff>181859</xdr:rowOff>
    </xdr:from>
    <xdr:to>
      <xdr:col>2</xdr:col>
      <xdr:colOff>218904</xdr:colOff>
      <xdr:row>3</xdr:row>
      <xdr:rowOff>22736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892D0A78-B785-438E-91DC-5818DB324A0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88258" y="334259"/>
          <a:ext cx="1621321" cy="22187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547966</xdr:colOff>
      <xdr:row>1</xdr:row>
      <xdr:rowOff>46828</xdr:rowOff>
    </xdr:from>
    <xdr:to>
      <xdr:col>4</xdr:col>
      <xdr:colOff>988186</xdr:colOff>
      <xdr:row>3</xdr:row>
      <xdr:rowOff>134263</xdr:rowOff>
    </xdr:to>
    <xdr:pic>
      <xdr:nvPicPr>
        <xdr:cNvPr id="8" name="Imagen 7">
          <a:extLst>
            <a:ext uri="{FF2B5EF4-FFF2-40B4-BE49-F238E27FC236}">
              <a16:creationId xmlns:a16="http://schemas.microsoft.com/office/drawing/2014/main" id="{8CC41521-F275-48FF-A929-27EC86608CF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422525" y="203710"/>
          <a:ext cx="440220" cy="46843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t>TABASCO 2024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id="{00000000-0008-0000-06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Noto Sans" panose="020B0502040504020204" pitchFamily="34" charset="0"/>
              <a:ea typeface="Noto Sans" panose="020B0502040504020204" pitchFamily="34" charset="0"/>
            </a:rPr>
            <a:t>MATRÍCULAS CONSULARES DE ALTA SEGURIDAD EXPEDIDAS POR MUNICIPIO A ORIGINARIOS DEL ESTADO DE TABASCO EN LOS CONSULADOS DE MÉXICO EN EE.UU.</a:t>
          </a:r>
        </a:p>
      </xdr:txBody>
    </xdr:sp>
    <xdr:clientData/>
  </xdr:twoCellAnchor>
  <xdr:twoCellAnchor>
    <xdr:from>
      <xdr:col>4</xdr:col>
      <xdr:colOff>487829</xdr:colOff>
      <xdr:row>7</xdr:row>
      <xdr:rowOff>116915</xdr:rowOff>
    </xdr:from>
    <xdr:to>
      <xdr:col>4</xdr:col>
      <xdr:colOff>998058</xdr:colOff>
      <xdr:row>7</xdr:row>
      <xdr:rowOff>301270</xdr:rowOff>
    </xdr:to>
    <xdr:sp macro="" textlink="">
      <xdr:nvSpPr>
        <xdr:cNvPr id="6" name="Rectángulo redondeado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600-000006000000}"/>
            </a:ext>
          </a:extLst>
        </xdr:cNvPr>
        <xdr:cNvSpPr/>
      </xdr:nvSpPr>
      <xdr:spPr>
        <a:xfrm>
          <a:off x="5336241" y="1865033"/>
          <a:ext cx="510229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1</xdr:col>
      <xdr:colOff>86036</xdr:colOff>
      <xdr:row>1</xdr:row>
      <xdr:rowOff>155152</xdr:rowOff>
    </xdr:from>
    <xdr:to>
      <xdr:col>2</xdr:col>
      <xdr:colOff>183357</xdr:colOff>
      <xdr:row>2</xdr:row>
      <xdr:rowOff>186529</xdr:rowOff>
    </xdr:to>
    <xdr:pic>
      <xdr:nvPicPr>
        <xdr:cNvPr id="8" name="Imagen 7">
          <a:extLst>
            <a:ext uri="{FF2B5EF4-FFF2-40B4-BE49-F238E27FC236}">
              <a16:creationId xmlns:a16="http://schemas.microsoft.com/office/drawing/2014/main" id="{CEC04948-F37F-4B56-B6B5-5A7B49EB37C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6592" y="310374"/>
          <a:ext cx="1691876" cy="22187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525139</xdr:colOff>
      <xdr:row>1</xdr:row>
      <xdr:rowOff>80030</xdr:rowOff>
    </xdr:from>
    <xdr:to>
      <xdr:col>4</xdr:col>
      <xdr:colOff>965359</xdr:colOff>
      <xdr:row>3</xdr:row>
      <xdr:rowOff>165805</xdr:rowOff>
    </xdr:to>
    <xdr:pic>
      <xdr:nvPicPr>
        <xdr:cNvPr id="9" name="Imagen 8">
          <a:extLst>
            <a:ext uri="{FF2B5EF4-FFF2-40B4-BE49-F238E27FC236}">
              <a16:creationId xmlns:a16="http://schemas.microsoft.com/office/drawing/2014/main" id="{7D26D7CD-23AA-42D3-9802-9F8F4787B81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379361" y="235252"/>
          <a:ext cx="440220" cy="466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t>TABASCO 2024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twoCellAnchor>
  <xdr:twoCellAnchor>
    <xdr:from>
      <xdr:col>4</xdr:col>
      <xdr:colOff>0</xdr:colOff>
      <xdr:row>8</xdr:row>
      <xdr:rowOff>0</xdr:rowOff>
    </xdr:from>
    <xdr:to>
      <xdr:col>4</xdr:col>
      <xdr:colOff>512097</xdr:colOff>
      <xdr:row>8</xdr:row>
      <xdr:rowOff>184355</xdr:rowOff>
    </xdr:to>
    <xdr:sp macro="" textlink="">
      <xdr:nvSpPr>
        <xdr:cNvPr id="5" name="Rectángulo redondeado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700-000005000000}"/>
            </a:ext>
          </a:extLst>
        </xdr:cNvPr>
        <xdr:cNvSpPr/>
      </xdr:nvSpPr>
      <xdr:spPr>
        <a:xfrm>
          <a:off x="4429125" y="1714500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0</xdr:col>
      <xdr:colOff>222391</xdr:colOff>
      <xdr:row>1</xdr:row>
      <xdr:rowOff>137216</xdr:rowOff>
    </xdr:from>
    <xdr:to>
      <xdr:col>1</xdr:col>
      <xdr:colOff>1222516</xdr:colOff>
      <xdr:row>2</xdr:row>
      <xdr:rowOff>168593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ACBE04BF-6AB6-43DC-AEEC-EBF84457487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22391" y="327716"/>
          <a:ext cx="1619250" cy="22187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392045</xdr:colOff>
      <xdr:row>1</xdr:row>
      <xdr:rowOff>133350</xdr:rowOff>
    </xdr:from>
    <xdr:to>
      <xdr:col>5</xdr:col>
      <xdr:colOff>211069</xdr:colOff>
      <xdr:row>3</xdr:row>
      <xdr:rowOff>220785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564F2825-2F09-49E3-A44E-4F98627EB44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30845" y="323850"/>
          <a:ext cx="466724" cy="46843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8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t>TABASCO 2024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id="{00000000-0008-0000-08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Noto Sans" panose="020B0502040504020204" pitchFamily="34" charset="0"/>
              <a:ea typeface="Noto Sans" panose="020B0502040504020204" pitchFamily="34" charset="0"/>
            </a:rPr>
            <a:t>MATRÍCULAS CONSULARES DE ALTA SEGURIDAD EXPEDIDAS A ORIGINARIOS DEL ESTADO DE TABASCO POR NIVEL DE EDUCACIÓN Y ESTADO EN EE.UU.</a:t>
          </a:r>
        </a:p>
      </xdr:txBody>
    </xdr:sp>
    <xdr:clientData/>
  </xdr:twoCellAnchor>
  <xdr:twoCellAnchor>
    <xdr:from>
      <xdr:col>4</xdr:col>
      <xdr:colOff>519020</xdr:colOff>
      <xdr:row>7</xdr:row>
      <xdr:rowOff>28388</xdr:rowOff>
    </xdr:from>
    <xdr:to>
      <xdr:col>4</xdr:col>
      <xdr:colOff>1029249</xdr:colOff>
      <xdr:row>7</xdr:row>
      <xdr:rowOff>212743</xdr:rowOff>
    </xdr:to>
    <xdr:sp macro="" textlink="">
      <xdr:nvSpPr>
        <xdr:cNvPr id="6" name="Rectángulo redondeado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800-000006000000}"/>
            </a:ext>
          </a:extLst>
        </xdr:cNvPr>
        <xdr:cNvSpPr/>
      </xdr:nvSpPr>
      <xdr:spPr>
        <a:xfrm>
          <a:off x="5367432" y="1776506"/>
          <a:ext cx="510229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1</xdr:col>
      <xdr:colOff>78814</xdr:colOff>
      <xdr:row>1</xdr:row>
      <xdr:rowOff>149922</xdr:rowOff>
    </xdr:from>
    <xdr:to>
      <xdr:col>2</xdr:col>
      <xdr:colOff>176135</xdr:colOff>
      <xdr:row>2</xdr:row>
      <xdr:rowOff>181299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FCF4EF53-0637-4A61-857D-B496ED38C05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48664" y="302322"/>
          <a:ext cx="1691171" cy="22187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503517</xdr:colOff>
      <xdr:row>1</xdr:row>
      <xdr:rowOff>89784</xdr:rowOff>
    </xdr:from>
    <xdr:to>
      <xdr:col>4</xdr:col>
      <xdr:colOff>943737</xdr:colOff>
      <xdr:row>3</xdr:row>
      <xdr:rowOff>177219</xdr:rowOff>
    </xdr:to>
    <xdr:pic>
      <xdr:nvPicPr>
        <xdr:cNvPr id="8" name="Imagen 7">
          <a:extLst>
            <a:ext uri="{FF2B5EF4-FFF2-40B4-BE49-F238E27FC236}">
              <a16:creationId xmlns:a16="http://schemas.microsoft.com/office/drawing/2014/main" id="{EB485AC5-392A-4EB6-947C-1B497677E40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361267" y="242184"/>
          <a:ext cx="440220" cy="46843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9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t>TABASCO 2024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id="{00000000-0008-0000-09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Noto Sans" panose="020B0502040504020204" pitchFamily="34" charset="0"/>
              <a:ea typeface="Noto Sans" panose="020B0502040504020204" pitchFamily="34" charset="0"/>
            </a:rPr>
            <a:t>MATRÍCULAS CONSULARES DE ALTA SEGURIDAD EXPEDIDAS A ORIGINARIOS DEL ESTADO DE TABASCO POR CONSULADO Y NIVEL DE EDUCACIÓN EN EE.UU. </a:t>
          </a:r>
        </a:p>
      </xdr:txBody>
    </xdr:sp>
    <xdr:clientData/>
  </xdr:twoCellAnchor>
  <xdr:twoCellAnchor>
    <xdr:from>
      <xdr:col>4</xdr:col>
      <xdr:colOff>551448</xdr:colOff>
      <xdr:row>7</xdr:row>
      <xdr:rowOff>140368</xdr:rowOff>
    </xdr:from>
    <xdr:to>
      <xdr:col>4</xdr:col>
      <xdr:colOff>1063545</xdr:colOff>
      <xdr:row>7</xdr:row>
      <xdr:rowOff>324723</xdr:rowOff>
    </xdr:to>
    <xdr:sp macro="" textlink="">
      <xdr:nvSpPr>
        <xdr:cNvPr id="6" name="Rectángulo redondeado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900-000006000000}"/>
            </a:ext>
          </a:extLst>
        </xdr:cNvPr>
        <xdr:cNvSpPr/>
      </xdr:nvSpPr>
      <xdr:spPr>
        <a:xfrm>
          <a:off x="9885948" y="1473868"/>
          <a:ext cx="512097" cy="5100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1</xdr:col>
      <xdr:colOff>93008</xdr:colOff>
      <xdr:row>1</xdr:row>
      <xdr:rowOff>158600</xdr:rowOff>
    </xdr:from>
    <xdr:to>
      <xdr:col>2</xdr:col>
      <xdr:colOff>190329</xdr:colOff>
      <xdr:row>2</xdr:row>
      <xdr:rowOff>189977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FA8B863D-29AB-4955-A2CB-7C491FF5B8F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8950" y="312465"/>
          <a:ext cx="1621321" cy="22187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515469</xdr:colOff>
      <xdr:row>1</xdr:row>
      <xdr:rowOff>102110</xdr:rowOff>
    </xdr:from>
    <xdr:to>
      <xdr:col>4</xdr:col>
      <xdr:colOff>955689</xdr:colOff>
      <xdr:row>3</xdr:row>
      <xdr:rowOff>189545</xdr:rowOff>
    </xdr:to>
    <xdr:pic>
      <xdr:nvPicPr>
        <xdr:cNvPr id="8" name="Imagen 7">
          <a:extLst>
            <a:ext uri="{FF2B5EF4-FFF2-40B4-BE49-F238E27FC236}">
              <a16:creationId xmlns:a16="http://schemas.microsoft.com/office/drawing/2014/main" id="{B35FE0C2-E171-4FE5-9924-E8135D59B51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881219" y="254510"/>
          <a:ext cx="440220" cy="46843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A00-000002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t>TABASCO 2024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twoCellAnchor>
  <xdr:twoCellAnchor>
    <xdr:from>
      <xdr:col>4</xdr:col>
      <xdr:colOff>454025</xdr:colOff>
      <xdr:row>7</xdr:row>
      <xdr:rowOff>184150</xdr:rowOff>
    </xdr:from>
    <xdr:to>
      <xdr:col>5</xdr:col>
      <xdr:colOff>318422</xdr:colOff>
      <xdr:row>8</xdr:row>
      <xdr:rowOff>178004</xdr:rowOff>
    </xdr:to>
    <xdr:sp macro="" textlink="">
      <xdr:nvSpPr>
        <xdr:cNvPr id="6" name="Rectángulo redondeado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7D02E6CB-64B0-4C48-89B0-AD4E054AE004}"/>
            </a:ext>
          </a:extLst>
        </xdr:cNvPr>
        <xdr:cNvSpPr/>
      </xdr:nvSpPr>
      <xdr:spPr>
        <a:xfrm>
          <a:off x="5095875" y="1708150"/>
          <a:ext cx="512097" cy="184354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0</xdr:col>
      <xdr:colOff>98566</xdr:colOff>
      <xdr:row>1</xdr:row>
      <xdr:rowOff>132799</xdr:rowOff>
    </xdr:from>
    <xdr:to>
      <xdr:col>1</xdr:col>
      <xdr:colOff>1098691</xdr:colOff>
      <xdr:row>2</xdr:row>
      <xdr:rowOff>164176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5F4DE20F-F48F-4757-B706-A15FEBE0452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8566" y="323299"/>
          <a:ext cx="1619250" cy="22187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419653</xdr:colOff>
      <xdr:row>1</xdr:row>
      <xdr:rowOff>97735</xdr:rowOff>
    </xdr:from>
    <xdr:to>
      <xdr:col>5</xdr:col>
      <xdr:colOff>238677</xdr:colOff>
      <xdr:row>3</xdr:row>
      <xdr:rowOff>185170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6138FA1B-AC12-4CA5-A7B6-79F5F599C79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061503" y="288235"/>
          <a:ext cx="466724" cy="46843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298450</xdr:colOff>
      <xdr:row>0</xdr:row>
      <xdr:rowOff>97254</xdr:rowOff>
    </xdr:from>
    <xdr:to>
      <xdr:col>5</xdr:col>
      <xdr:colOff>57150</xdr:colOff>
      <xdr:row>6</xdr:row>
      <xdr:rowOff>47625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B00-000002000000}"/>
            </a:ext>
          </a:extLst>
        </xdr:cNvPr>
        <xdr:cNvSpPr txBox="1"/>
      </xdr:nvSpPr>
      <xdr:spPr>
        <a:xfrm>
          <a:off x="298450" y="97254"/>
          <a:ext cx="5670550" cy="1156871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t>TABASCO 2024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twoCellAnchor>
  <xdr:twoCellAnchor>
    <xdr:from>
      <xdr:col>4</xdr:col>
      <xdr:colOff>612322</xdr:colOff>
      <xdr:row>9</xdr:row>
      <xdr:rowOff>32399</xdr:rowOff>
    </xdr:from>
    <xdr:to>
      <xdr:col>5</xdr:col>
      <xdr:colOff>22888</xdr:colOff>
      <xdr:row>10</xdr:row>
      <xdr:rowOff>22365</xdr:rowOff>
    </xdr:to>
    <xdr:sp macro="" textlink="">
      <xdr:nvSpPr>
        <xdr:cNvPr id="5" name="Rectángulo redondeado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B00-000005000000}"/>
            </a:ext>
          </a:extLst>
        </xdr:cNvPr>
        <xdr:cNvSpPr/>
      </xdr:nvSpPr>
      <xdr:spPr>
        <a:xfrm>
          <a:off x="5433138" y="1743011"/>
          <a:ext cx="512097" cy="177874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0</xdr:col>
      <xdr:colOff>366889</xdr:colOff>
      <xdr:row>1</xdr:row>
      <xdr:rowOff>87376</xdr:rowOff>
    </xdr:from>
    <xdr:to>
      <xdr:col>2</xdr:col>
      <xdr:colOff>20768</xdr:colOff>
      <xdr:row>2</xdr:row>
      <xdr:rowOff>159322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BE5B9781-BF1D-4DC9-8E6B-037987F6440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66889" y="277876"/>
          <a:ext cx="1611796" cy="22011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584553</xdr:colOff>
      <xdr:row>1</xdr:row>
      <xdr:rowOff>27052</xdr:rowOff>
    </xdr:from>
    <xdr:to>
      <xdr:col>4</xdr:col>
      <xdr:colOff>1024773</xdr:colOff>
      <xdr:row>3</xdr:row>
      <xdr:rowOff>155056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205652C8-B1E2-46DC-88DA-926E06766AD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403497" y="210496"/>
          <a:ext cx="440220" cy="44550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97254</xdr:rowOff>
    </xdr:from>
    <xdr:to>
      <xdr:col>5</xdr:col>
      <xdr:colOff>57150</xdr:colOff>
      <xdr:row>6</xdr:row>
      <xdr:rowOff>47625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C00-000002000000}"/>
            </a:ext>
          </a:extLst>
        </xdr:cNvPr>
        <xdr:cNvSpPr txBox="1"/>
      </xdr:nvSpPr>
      <xdr:spPr>
        <a:xfrm>
          <a:off x="381000" y="97254"/>
          <a:ext cx="4886325" cy="1188621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t>TABASCO 2024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twoCellAnchor>
  <xdr:twoCellAnchor>
    <xdr:from>
      <xdr:col>4</xdr:col>
      <xdr:colOff>722475</xdr:colOff>
      <xdr:row>9</xdr:row>
      <xdr:rowOff>25919</xdr:rowOff>
    </xdr:from>
    <xdr:to>
      <xdr:col>5</xdr:col>
      <xdr:colOff>133041</xdr:colOff>
      <xdr:row>10</xdr:row>
      <xdr:rowOff>15885</xdr:rowOff>
    </xdr:to>
    <xdr:sp macro="" textlink="">
      <xdr:nvSpPr>
        <xdr:cNvPr id="5" name="Rectángulo redondeado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C00-000005000000}"/>
            </a:ext>
          </a:extLst>
        </xdr:cNvPr>
        <xdr:cNvSpPr/>
      </xdr:nvSpPr>
      <xdr:spPr>
        <a:xfrm>
          <a:off x="5543291" y="1736531"/>
          <a:ext cx="512097" cy="177874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1</xdr:col>
      <xdr:colOff>89605</xdr:colOff>
      <xdr:row>1</xdr:row>
      <xdr:rowOff>60213</xdr:rowOff>
    </xdr:from>
    <xdr:to>
      <xdr:col>2</xdr:col>
      <xdr:colOff>129776</xdr:colOff>
      <xdr:row>2</xdr:row>
      <xdr:rowOff>132159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F0719D7F-0C20-4EA6-8D2B-12E24B3ADD8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91772" y="243657"/>
          <a:ext cx="1698226" cy="19894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574675</xdr:colOff>
      <xdr:row>0</xdr:row>
      <xdr:rowOff>173102</xdr:rowOff>
    </xdr:from>
    <xdr:to>
      <xdr:col>4</xdr:col>
      <xdr:colOff>1014895</xdr:colOff>
      <xdr:row>3</xdr:row>
      <xdr:rowOff>117662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288DCC28-933B-4A07-942F-B55D7B76CEA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393619" y="173102"/>
          <a:ext cx="440220" cy="44550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97254</xdr:rowOff>
    </xdr:from>
    <xdr:to>
      <xdr:col>6</xdr:col>
      <xdr:colOff>57150</xdr:colOff>
      <xdr:row>6</xdr:row>
      <xdr:rowOff>47625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D00-000002000000}"/>
            </a:ext>
          </a:extLst>
        </xdr:cNvPr>
        <xdr:cNvSpPr txBox="1"/>
      </xdr:nvSpPr>
      <xdr:spPr>
        <a:xfrm>
          <a:off x="762000" y="97254"/>
          <a:ext cx="3867150" cy="1093371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t>TABASCO 2024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twoCellAnchor>
  <xdr:twoCellAnchor>
    <xdr:from>
      <xdr:col>5</xdr:col>
      <xdr:colOff>717981</xdr:colOff>
      <xdr:row>9</xdr:row>
      <xdr:rowOff>31534</xdr:rowOff>
    </xdr:from>
    <xdr:to>
      <xdr:col>6</xdr:col>
      <xdr:colOff>144874</xdr:colOff>
      <xdr:row>10</xdr:row>
      <xdr:rowOff>22161</xdr:rowOff>
    </xdr:to>
    <xdr:sp macro="" textlink="">
      <xdr:nvSpPr>
        <xdr:cNvPr id="5" name="Rectángulo redondeado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D00-000005000000}"/>
            </a:ext>
          </a:extLst>
        </xdr:cNvPr>
        <xdr:cNvSpPr/>
      </xdr:nvSpPr>
      <xdr:spPr>
        <a:xfrm>
          <a:off x="6737781" y="1746034"/>
          <a:ext cx="582593" cy="181127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1</xdr:col>
      <xdr:colOff>73025</xdr:colOff>
      <xdr:row>1</xdr:row>
      <xdr:rowOff>75029</xdr:rowOff>
    </xdr:from>
    <xdr:to>
      <xdr:col>2</xdr:col>
      <xdr:colOff>427521</xdr:colOff>
      <xdr:row>2</xdr:row>
      <xdr:rowOff>147681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F1A1ACCF-D480-4A5F-B6E2-C0207DE0A8B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3075" y="259179"/>
          <a:ext cx="1681646" cy="19965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5</xdr:col>
      <xdr:colOff>635000</xdr:colOff>
      <xdr:row>1</xdr:row>
      <xdr:rowOff>30579</xdr:rowOff>
    </xdr:from>
    <xdr:to>
      <xdr:col>5</xdr:col>
      <xdr:colOff>1075220</xdr:colOff>
      <xdr:row>3</xdr:row>
      <xdr:rowOff>159289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99B075D5-09D6-44CC-A7B2-725549F6573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654800" y="214729"/>
          <a:ext cx="440220" cy="44621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4</xdr:col>
      <xdr:colOff>623957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E00-000002000000}"/>
            </a:ext>
          </a:extLst>
        </xdr:cNvPr>
        <xdr:cNvSpPr txBox="1"/>
      </xdr:nvSpPr>
      <xdr:spPr>
        <a:xfrm>
          <a:off x="57151" y="193261"/>
          <a:ext cx="6762197" cy="1082410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t>TABASCO 2024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twoCellAnchor>
  <xdr:twoCellAnchor>
    <xdr:from>
      <xdr:col>4</xdr:col>
      <xdr:colOff>45417</xdr:colOff>
      <xdr:row>8</xdr:row>
      <xdr:rowOff>85173</xdr:rowOff>
    </xdr:from>
    <xdr:to>
      <xdr:col>4</xdr:col>
      <xdr:colOff>584433</xdr:colOff>
      <xdr:row>8</xdr:row>
      <xdr:rowOff>272289</xdr:rowOff>
    </xdr:to>
    <xdr:sp macro="" textlink="">
      <xdr:nvSpPr>
        <xdr:cNvPr id="5" name="Rectángulo redondeado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E00-000005000000}"/>
            </a:ext>
          </a:extLst>
        </xdr:cNvPr>
        <xdr:cNvSpPr/>
      </xdr:nvSpPr>
      <xdr:spPr>
        <a:xfrm>
          <a:off x="6240808" y="1818999"/>
          <a:ext cx="539016" cy="187116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0</xdr:col>
      <xdr:colOff>136666</xdr:colOff>
      <xdr:row>1</xdr:row>
      <xdr:rowOff>133627</xdr:rowOff>
    </xdr:from>
    <xdr:to>
      <xdr:col>1</xdr:col>
      <xdr:colOff>1136791</xdr:colOff>
      <xdr:row>2</xdr:row>
      <xdr:rowOff>165004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DF487C50-43BE-4225-800C-F954FEB2B30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6666" y="324127"/>
          <a:ext cx="1647825" cy="22187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1179721</xdr:colOff>
      <xdr:row>1</xdr:row>
      <xdr:rowOff>128104</xdr:rowOff>
    </xdr:from>
    <xdr:to>
      <xdr:col>4</xdr:col>
      <xdr:colOff>438841</xdr:colOff>
      <xdr:row>3</xdr:row>
      <xdr:rowOff>215539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91E70AA3-8CE4-4F17-9A23-D00C0251270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913646" y="318604"/>
          <a:ext cx="440220" cy="46843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29"/>
  <sheetViews>
    <sheetView showGridLines="0" tabSelected="1" view="pageBreakPreview" zoomScale="130" zoomScaleNormal="100" zoomScaleSheetLayoutView="130" workbookViewId="0">
      <selection sqref="A1:D1"/>
    </sheetView>
  </sheetViews>
  <sheetFormatPr baseColWidth="10" defaultColWidth="11.42578125" defaultRowHeight="18"/>
  <cols>
    <col min="1" max="1" width="5.140625" style="1" customWidth="1"/>
    <col min="2" max="2" width="20" style="1" customWidth="1"/>
    <col min="3" max="3" width="24.7109375" style="1" customWidth="1"/>
    <col min="4" max="4" width="20.42578125" style="1" customWidth="1"/>
    <col min="5" max="16384" width="11.42578125" style="1"/>
  </cols>
  <sheetData>
    <row r="1" spans="1:4" ht="42" customHeight="1" thickBot="1">
      <c r="A1" s="111" t="s">
        <v>318</v>
      </c>
      <c r="B1" s="112"/>
      <c r="C1" s="112"/>
      <c r="D1" s="113"/>
    </row>
    <row r="2" spans="1:4">
      <c r="A2" s="2"/>
      <c r="B2" s="3"/>
      <c r="C2" s="3"/>
      <c r="D2" s="4"/>
    </row>
    <row r="3" spans="1:4">
      <c r="A3" s="114" t="s">
        <v>0</v>
      </c>
      <c r="B3" s="115"/>
      <c r="C3" s="115"/>
      <c r="D3" s="116"/>
    </row>
    <row r="4" spans="1:4">
      <c r="A4" s="114"/>
      <c r="B4" s="115"/>
      <c r="C4" s="115"/>
      <c r="D4" s="116"/>
    </row>
    <row r="5" spans="1:4">
      <c r="A5" s="5"/>
      <c r="B5" s="6"/>
      <c r="C5" s="6"/>
      <c r="D5" s="7"/>
    </row>
    <row r="6" spans="1:4" ht="18.75">
      <c r="A6" s="108" t="s">
        <v>1</v>
      </c>
      <c r="B6" s="109"/>
      <c r="C6" s="109"/>
      <c r="D6" s="110"/>
    </row>
    <row r="7" spans="1:4">
      <c r="A7" s="8"/>
      <c r="D7" s="9"/>
    </row>
    <row r="8" spans="1:4" ht="18.75">
      <c r="A8" s="108" t="s">
        <v>2</v>
      </c>
      <c r="B8" s="109"/>
      <c r="C8" s="109"/>
      <c r="D8" s="110"/>
    </row>
    <row r="9" spans="1:4" ht="18.75">
      <c r="A9" s="8"/>
      <c r="B9" s="108" t="s">
        <v>3</v>
      </c>
      <c r="C9" s="109"/>
      <c r="D9" s="109"/>
    </row>
    <row r="10" spans="1:4">
      <c r="A10" s="8"/>
      <c r="D10" s="9"/>
    </row>
    <row r="11" spans="1:4" ht="18.75">
      <c r="A11" s="29" t="s">
        <v>4</v>
      </c>
      <c r="D11" s="9"/>
    </row>
    <row r="12" spans="1:4" ht="18.75">
      <c r="A12" s="8"/>
      <c r="B12" s="108" t="s">
        <v>5</v>
      </c>
      <c r="C12" s="109"/>
      <c r="D12" s="109"/>
    </row>
    <row r="13" spans="1:4" ht="18.75">
      <c r="A13" s="8"/>
      <c r="B13" s="108" t="s">
        <v>6</v>
      </c>
      <c r="C13" s="109"/>
      <c r="D13" s="109"/>
    </row>
    <row r="14" spans="1:4" ht="18.75">
      <c r="A14" s="8"/>
      <c r="B14" s="108" t="s">
        <v>7</v>
      </c>
      <c r="C14" s="109"/>
      <c r="D14" s="109"/>
    </row>
    <row r="15" spans="1:4">
      <c r="A15" s="8"/>
      <c r="D15" s="9"/>
    </row>
    <row r="16" spans="1:4" ht="18.75">
      <c r="A16" s="29" t="s">
        <v>8</v>
      </c>
      <c r="D16" s="9"/>
    </row>
    <row r="17" spans="1:4" ht="18.75">
      <c r="A17" s="8"/>
      <c r="B17" s="108" t="s">
        <v>9</v>
      </c>
      <c r="C17" s="109"/>
      <c r="D17" s="109"/>
    </row>
    <row r="18" spans="1:4" ht="18.75">
      <c r="A18" s="8"/>
      <c r="B18" s="108" t="s">
        <v>10</v>
      </c>
      <c r="C18" s="109"/>
      <c r="D18" s="109"/>
    </row>
    <row r="19" spans="1:4" ht="18.75">
      <c r="A19" s="8"/>
      <c r="B19" s="108" t="s">
        <v>11</v>
      </c>
      <c r="C19" s="109"/>
      <c r="D19" s="109"/>
    </row>
    <row r="20" spans="1:4">
      <c r="A20" s="8"/>
      <c r="D20" s="9"/>
    </row>
    <row r="21" spans="1:4" ht="18.75">
      <c r="A21" s="29" t="s">
        <v>12</v>
      </c>
      <c r="D21" s="9"/>
    </row>
    <row r="22" spans="1:4" ht="18.75">
      <c r="A22" s="8"/>
      <c r="B22" s="108" t="s">
        <v>13</v>
      </c>
      <c r="C22" s="109"/>
      <c r="D22" s="109"/>
    </row>
    <row r="23" spans="1:4" ht="18.75">
      <c r="A23" s="8"/>
      <c r="B23" s="108" t="s">
        <v>14</v>
      </c>
      <c r="C23" s="109"/>
      <c r="D23" s="109"/>
    </row>
    <row r="24" spans="1:4" ht="18.75">
      <c r="A24" s="8"/>
      <c r="B24" s="108" t="s">
        <v>36</v>
      </c>
      <c r="C24" s="109"/>
      <c r="D24" s="109"/>
    </row>
    <row r="25" spans="1:4">
      <c r="A25" s="8"/>
      <c r="D25" s="9"/>
    </row>
    <row r="26" spans="1:4" ht="18.75">
      <c r="A26" s="108" t="s">
        <v>15</v>
      </c>
      <c r="B26" s="109"/>
      <c r="C26" s="109"/>
      <c r="D26" s="110"/>
    </row>
    <row r="27" spans="1:4">
      <c r="A27" s="8"/>
      <c r="D27" s="9"/>
    </row>
    <row r="28" spans="1:4" ht="18.75">
      <c r="A28" s="108" t="s">
        <v>16</v>
      </c>
      <c r="B28" s="109"/>
      <c r="C28" s="109"/>
      <c r="D28" s="110"/>
    </row>
    <row r="29" spans="1:4" ht="18.75" thickBot="1">
      <c r="A29" s="10"/>
      <c r="B29" s="11"/>
      <c r="C29" s="11"/>
      <c r="D29" s="12"/>
    </row>
  </sheetData>
  <mergeCells count="16">
    <mergeCell ref="B12:D12"/>
    <mergeCell ref="A1:D1"/>
    <mergeCell ref="A3:D4"/>
    <mergeCell ref="A6:D6"/>
    <mergeCell ref="A8:D8"/>
    <mergeCell ref="B9:D9"/>
    <mergeCell ref="B23:D23"/>
    <mergeCell ref="A26:D26"/>
    <mergeCell ref="A28:D28"/>
    <mergeCell ref="B13:D13"/>
    <mergeCell ref="B14:D14"/>
    <mergeCell ref="B17:D17"/>
    <mergeCell ref="B18:D18"/>
    <mergeCell ref="B19:D19"/>
    <mergeCell ref="B22:D22"/>
    <mergeCell ref="B24:D24"/>
  </mergeCells>
  <hyperlinks>
    <hyperlink ref="A6" location="Aguascalientes_EdoUsa!A1" display="1. Por Estados de USA" xr:uid="{00000000-0004-0000-0000-000000000000}"/>
    <hyperlink ref="A8" location="Aguascalientes_Cons_2018!A1" display="2. Por Circunscripción Consular" xr:uid="{00000000-0004-0000-0000-000001000000}"/>
    <hyperlink ref="B9" location="AguascalientesXCons2018!A1" display="2.1 Top ten por circunscripción consular" xr:uid="{00000000-0004-0000-0000-000002000000}"/>
    <hyperlink ref="B12" location="Aguascalientes_EdoMun!A1" display="3.1 Municipio general" xr:uid="{00000000-0004-0000-0000-000003000000}"/>
    <hyperlink ref="B13" location="Aguascalientes_USAMuni2016!A1" display="3.2 Por Estado de USA" xr:uid="{00000000-0004-0000-0000-000004000000}"/>
    <hyperlink ref="B14" location="Aguascalientes_MUNICIPIO!A1" display="3.3 Por Circunscripción Consular" xr:uid="{00000000-0004-0000-0000-000005000000}"/>
    <hyperlink ref="B17" location="Aguascalientes_educ_gral!A1" display="4.1 Educación general" xr:uid="{00000000-0004-0000-0000-000006000000}"/>
    <hyperlink ref="B18" location="Aguascalientes_NivelE_Cons!A1" display="4.2 Por Estado de USA" xr:uid="{00000000-0004-0000-0000-000007000000}"/>
    <hyperlink ref="B22" location="Aguascalientes_GenGral!A1" display="5.1 Género General" xr:uid="{00000000-0004-0000-0000-000009000000}"/>
    <hyperlink ref="B23" location="Aguascalientes_GENERO!A1" display="5.3 Por Circunscripción Consular" xr:uid="{00000000-0004-0000-0000-00000A000000}"/>
    <hyperlink ref="A26" location="Aguascalientes_Gen_Edad!A1" display="6. Por estructura de Edad" xr:uid="{00000000-0004-0000-0000-00000B000000}"/>
    <hyperlink ref="A28" location="Aguascalientes_ocup_gral!A1" display="7. Por Ocupación" xr:uid="{00000000-0004-0000-0000-00000C000000}"/>
    <hyperlink ref="B13:D13" location="Tabasco_USAMuni!A1" display="3.2 Por Estado de USA" xr:uid="{00000000-0004-0000-0000-00000D000000}"/>
    <hyperlink ref="A8:D8" location="Tabasco_Cons!A1" display="2. Por Circunscripción Consular" xr:uid="{00000000-0004-0000-0000-00000E000000}"/>
    <hyperlink ref="B9:D9" location="TabascoXCons!A1" display="2.1 Top ten por circunscripción consular" xr:uid="{00000000-0004-0000-0000-00000F000000}"/>
    <hyperlink ref="A6:D6" location="Tabasco_EdoUsa!A1" display="1. Por Estados de USA" xr:uid="{00000000-0004-0000-0000-000010000000}"/>
    <hyperlink ref="B12:D12" location="Tabasco_EdoMun!A1" display="3.1 Municipio general" xr:uid="{00000000-0004-0000-0000-000011000000}"/>
    <hyperlink ref="B14:D14" location="Tabasco_MUNICIPIO!A1" display="3.3 Por Circunscripción Consular" xr:uid="{00000000-0004-0000-0000-000012000000}"/>
    <hyperlink ref="B17:D17" location="Tabasco_educ_gral!A1" display="4.1 Educación general" xr:uid="{00000000-0004-0000-0000-000013000000}"/>
    <hyperlink ref="B18:D18" location="Tabasco_NivelE_Cons!A1" display="4.2 Por Estado de USA" xr:uid="{00000000-0004-0000-0000-000014000000}"/>
    <hyperlink ref="B22:D22" location="Tabasco_GenGral!A1" display="5.1 Género General" xr:uid="{00000000-0004-0000-0000-000016000000}"/>
    <hyperlink ref="B23:D23" location="Tabasco_GENERO!A1" display="5.2 Por Circunscripción Consular" xr:uid="{00000000-0004-0000-0000-000017000000}"/>
    <hyperlink ref="A26:D26" location="Tabasco_Gen_Edad!A1" display="6. Por estructura de Edad" xr:uid="{00000000-0004-0000-0000-000018000000}"/>
    <hyperlink ref="A28:D28" location="Tabasco_ocup_gral!A1" display="7. Por Ocupación" xr:uid="{00000000-0004-0000-0000-000019000000}"/>
    <hyperlink ref="B24" location="Tabasco_GENERO_EUA!A1" display="5.3 Por Estado de la Unión Americana" xr:uid="{00000000-0004-0000-0000-00001A000000}"/>
    <hyperlink ref="B19:D19" location="Tabasco_EducCons!A1" display="4.3 Por Circunscripción Consular" xr:uid="{00000000-0004-0000-0000-000015000000}"/>
    <hyperlink ref="B19" location="Aguascalientes_EducCons!A1" display="4.3 Por Circunscripción Consular" xr:uid="{00000000-0004-0000-0000-000008000000}"/>
  </hyperlinks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0000"/>
  </sheetPr>
  <dimension ref="A1:F66"/>
  <sheetViews>
    <sheetView showGridLines="0" view="pageBreakPreview" topLeftCell="A50" zoomScale="120" zoomScaleNormal="100" zoomScaleSheetLayoutView="120" workbookViewId="0">
      <selection activeCell="D60" sqref="D60"/>
    </sheetView>
  </sheetViews>
  <sheetFormatPr baseColWidth="10" defaultColWidth="11.42578125" defaultRowHeight="15"/>
  <cols>
    <col min="1" max="1" width="9.28515625" style="13" customWidth="1"/>
    <col min="2" max="2" width="21.7109375" style="13" customWidth="1"/>
    <col min="3" max="3" width="17.7109375" style="14" customWidth="1"/>
    <col min="4" max="4" width="17.7109375" style="13" customWidth="1"/>
    <col min="5" max="5" width="9.28515625" style="13" customWidth="1"/>
    <col min="6" max="6" width="5.7109375" style="13" customWidth="1"/>
    <col min="7" max="16384" width="11.42578125" style="13"/>
  </cols>
  <sheetData>
    <row r="1" spans="1:6" s="15" customFormat="1" ht="15" customHeight="1">
      <c r="C1" s="17"/>
    </row>
    <row r="2" spans="1:6" s="15" customFormat="1" ht="15" customHeight="1">
      <c r="C2" s="17"/>
    </row>
    <row r="3" spans="1:6" s="15" customFormat="1" ht="15" customHeight="1">
      <c r="C3" s="17"/>
    </row>
    <row r="4" spans="1:6" s="15" customFormat="1" ht="30" customHeight="1">
      <c r="C4" s="17"/>
      <c r="D4" s="16"/>
    </row>
    <row r="5" spans="1:6" s="15" customFormat="1" ht="15" customHeight="1">
      <c r="C5" s="17"/>
      <c r="D5" s="16"/>
    </row>
    <row r="6" spans="1:6" s="15" customFormat="1" ht="15" customHeight="1">
      <c r="C6" s="17"/>
      <c r="D6" s="16"/>
    </row>
    <row r="7" spans="1:6" s="15" customFormat="1" ht="15" customHeight="1">
      <c r="A7" s="30"/>
      <c r="B7" s="117" t="s">
        <v>42</v>
      </c>
      <c r="C7" s="117"/>
      <c r="D7" s="117"/>
      <c r="E7" s="30"/>
      <c r="F7" s="30"/>
    </row>
    <row r="8" spans="1:6" s="15" customFormat="1" ht="15" customHeight="1">
      <c r="A8" s="30"/>
      <c r="B8" s="117"/>
      <c r="C8" s="117"/>
      <c r="D8" s="117"/>
      <c r="E8" s="30"/>
      <c r="F8" s="30"/>
    </row>
    <row r="9" spans="1:6" s="15" customFormat="1" ht="33" customHeight="1">
      <c r="A9" s="30"/>
      <c r="B9" s="117"/>
      <c r="C9" s="117"/>
      <c r="D9" s="117"/>
      <c r="E9" s="30"/>
      <c r="F9" s="30"/>
    </row>
    <row r="10" spans="1:6" s="15" customFormat="1" ht="4.5" customHeight="1">
      <c r="A10" s="30"/>
      <c r="B10" s="31"/>
      <c r="C10" s="31"/>
      <c r="D10" s="31"/>
      <c r="E10" s="30"/>
      <c r="F10" s="30"/>
    </row>
    <row r="11" spans="1:6" s="15" customFormat="1" ht="33" customHeight="1">
      <c r="A11" s="30"/>
      <c r="B11" s="32" t="s">
        <v>21</v>
      </c>
      <c r="C11" s="33" t="s">
        <v>20</v>
      </c>
      <c r="D11" s="32" t="s">
        <v>19</v>
      </c>
      <c r="E11" s="30"/>
      <c r="F11" s="30"/>
    </row>
    <row r="12" spans="1:6" ht="16.5">
      <c r="A12" s="34"/>
      <c r="B12" s="35" t="s">
        <v>250</v>
      </c>
      <c r="C12" s="75">
        <v>1156</v>
      </c>
      <c r="D12" s="76">
        <v>0.255018751378778</v>
      </c>
      <c r="E12" s="34"/>
      <c r="F12" s="34"/>
    </row>
    <row r="13" spans="1:6" ht="16.5">
      <c r="A13" s="34"/>
      <c r="B13" s="35" t="s">
        <v>269</v>
      </c>
      <c r="C13" s="75">
        <v>397</v>
      </c>
      <c r="D13" s="76">
        <v>8.7579969115375994E-2</v>
      </c>
      <c r="E13" s="34"/>
      <c r="F13" s="34"/>
    </row>
    <row r="14" spans="1:6" ht="16.5">
      <c r="A14" s="34"/>
      <c r="B14" s="35" t="s">
        <v>270</v>
      </c>
      <c r="C14" s="75">
        <v>375</v>
      </c>
      <c r="D14" s="76">
        <v>8.2726671078756003E-2</v>
      </c>
      <c r="E14" s="34"/>
      <c r="F14" s="34"/>
    </row>
    <row r="15" spans="1:6" ht="16.5">
      <c r="A15" s="34"/>
      <c r="B15" s="35" t="s">
        <v>271</v>
      </c>
      <c r="C15" s="75">
        <v>224</v>
      </c>
      <c r="D15" s="76">
        <v>4.9415398191043E-2</v>
      </c>
      <c r="E15" s="34"/>
      <c r="F15" s="34"/>
    </row>
    <row r="16" spans="1:6" ht="16.5">
      <c r="A16" s="34"/>
      <c r="B16" s="35" t="s">
        <v>272</v>
      </c>
      <c r="C16" s="75">
        <v>201</v>
      </c>
      <c r="D16" s="76">
        <v>4.4341495698213003E-2</v>
      </c>
      <c r="E16" s="34"/>
      <c r="F16" s="34"/>
    </row>
    <row r="17" spans="1:6" ht="16.5">
      <c r="A17" s="34"/>
      <c r="B17" s="35" t="s">
        <v>273</v>
      </c>
      <c r="C17" s="75">
        <v>174</v>
      </c>
      <c r="D17" s="76">
        <v>3.8385175380543E-2</v>
      </c>
      <c r="E17" s="34"/>
      <c r="F17" s="34"/>
    </row>
    <row r="18" spans="1:6" ht="16.5">
      <c r="A18" s="34"/>
      <c r="B18" s="35" t="s">
        <v>274</v>
      </c>
      <c r="C18" s="75">
        <v>166</v>
      </c>
      <c r="D18" s="76">
        <v>3.6620339730862997E-2</v>
      </c>
      <c r="E18" s="34"/>
      <c r="F18" s="34"/>
    </row>
    <row r="19" spans="1:6" ht="16.5">
      <c r="A19" s="34"/>
      <c r="B19" s="35" t="s">
        <v>275</v>
      </c>
      <c r="C19" s="75">
        <v>146</v>
      </c>
      <c r="D19" s="76">
        <v>3.2208250606661999E-2</v>
      </c>
      <c r="E19" s="34"/>
      <c r="F19" s="34"/>
    </row>
    <row r="20" spans="1:6" ht="16.5">
      <c r="A20" s="34"/>
      <c r="B20" s="35" t="s">
        <v>276</v>
      </c>
      <c r="C20" s="75">
        <v>143</v>
      </c>
      <c r="D20" s="76">
        <v>3.1546437238032E-2</v>
      </c>
      <c r="E20" s="34"/>
      <c r="F20" s="34"/>
    </row>
    <row r="21" spans="1:6" ht="16.5">
      <c r="A21" s="34"/>
      <c r="B21" s="35" t="s">
        <v>277</v>
      </c>
      <c r="C21" s="75">
        <v>140</v>
      </c>
      <c r="D21" s="76">
        <v>3.0884623869402002E-2</v>
      </c>
      <c r="E21" s="34"/>
      <c r="F21" s="34"/>
    </row>
    <row r="22" spans="1:6" ht="16.5">
      <c r="A22" s="34"/>
      <c r="B22" s="35" t="s">
        <v>278</v>
      </c>
      <c r="C22" s="75">
        <v>126</v>
      </c>
      <c r="D22" s="76">
        <v>2.7796161482462001E-2</v>
      </c>
      <c r="E22" s="34"/>
      <c r="F22" s="34"/>
    </row>
    <row r="23" spans="1:6" ht="16.5">
      <c r="A23" s="34"/>
      <c r="B23" s="35" t="s">
        <v>279</v>
      </c>
      <c r="C23" s="75">
        <v>118</v>
      </c>
      <c r="D23" s="76">
        <v>2.6031325832782001E-2</v>
      </c>
      <c r="E23" s="34"/>
      <c r="F23" s="34"/>
    </row>
    <row r="24" spans="1:6" ht="16.5">
      <c r="A24" s="34"/>
      <c r="B24" s="35" t="s">
        <v>280</v>
      </c>
      <c r="C24" s="75">
        <v>96</v>
      </c>
      <c r="D24" s="76">
        <v>2.1178027796161E-2</v>
      </c>
      <c r="E24" s="34"/>
      <c r="F24" s="34"/>
    </row>
    <row r="25" spans="1:6" ht="16.5">
      <c r="A25" s="34"/>
      <c r="B25" s="35" t="s">
        <v>281</v>
      </c>
      <c r="C25" s="75">
        <v>91</v>
      </c>
      <c r="D25" s="76">
        <v>2.0075005515110999E-2</v>
      </c>
      <c r="E25" s="34"/>
      <c r="F25" s="34"/>
    </row>
    <row r="26" spans="1:6" ht="16.5">
      <c r="A26" s="34"/>
      <c r="B26" s="35" t="s">
        <v>282</v>
      </c>
      <c r="C26" s="75">
        <v>80</v>
      </c>
      <c r="D26" s="76">
        <v>1.7648356496801E-2</v>
      </c>
      <c r="E26" s="34"/>
      <c r="F26" s="34"/>
    </row>
    <row r="27" spans="1:6" ht="16.5">
      <c r="A27" s="34"/>
      <c r="B27" s="35" t="s">
        <v>283</v>
      </c>
      <c r="C27" s="75">
        <v>70</v>
      </c>
      <c r="D27" s="76">
        <v>1.5442311934701001E-2</v>
      </c>
      <c r="E27" s="34"/>
      <c r="F27" s="34"/>
    </row>
    <row r="28" spans="1:6" ht="16.5">
      <c r="A28" s="34"/>
      <c r="B28" s="35" t="s">
        <v>284</v>
      </c>
      <c r="C28" s="75">
        <v>69</v>
      </c>
      <c r="D28" s="76">
        <v>1.5221707478491E-2</v>
      </c>
      <c r="E28" s="34"/>
      <c r="F28" s="34"/>
    </row>
    <row r="29" spans="1:6" ht="16.5">
      <c r="A29" s="34"/>
      <c r="B29" s="35" t="s">
        <v>285</v>
      </c>
      <c r="C29" s="75">
        <v>61</v>
      </c>
      <c r="D29" s="76">
        <v>1.3456871828810999E-2</v>
      </c>
      <c r="E29" s="34"/>
      <c r="F29" s="34"/>
    </row>
    <row r="30" spans="1:6" ht="16.5">
      <c r="A30" s="34"/>
      <c r="B30" s="35" t="s">
        <v>286</v>
      </c>
      <c r="C30" s="75">
        <v>54</v>
      </c>
      <c r="D30" s="76">
        <v>1.1912640635341001E-2</v>
      </c>
      <c r="E30" s="34"/>
      <c r="F30" s="34"/>
    </row>
    <row r="31" spans="1:6" ht="16.5">
      <c r="A31" s="34"/>
      <c r="B31" s="35" t="s">
        <v>287</v>
      </c>
      <c r="C31" s="75">
        <v>50</v>
      </c>
      <c r="D31" s="76">
        <v>1.1030222810501001E-2</v>
      </c>
      <c r="E31" s="34"/>
      <c r="F31" s="34"/>
    </row>
    <row r="32" spans="1:6" ht="16.5">
      <c r="A32" s="34"/>
      <c r="B32" s="35" t="s">
        <v>288</v>
      </c>
      <c r="C32" s="75">
        <v>48</v>
      </c>
      <c r="D32" s="76">
        <v>1.0589013898081E-2</v>
      </c>
      <c r="E32" s="34"/>
      <c r="F32" s="34"/>
    </row>
    <row r="33" spans="1:6" ht="16.5">
      <c r="A33" s="34"/>
      <c r="B33" s="35" t="s">
        <v>289</v>
      </c>
      <c r="C33" s="75">
        <v>45</v>
      </c>
      <c r="D33" s="76">
        <v>9.9272005294509993E-3</v>
      </c>
      <c r="E33" s="34"/>
      <c r="F33" s="34"/>
    </row>
    <row r="34" spans="1:6" ht="16.5">
      <c r="A34" s="34"/>
      <c r="B34" s="35" t="s">
        <v>290</v>
      </c>
      <c r="C34" s="75">
        <v>45</v>
      </c>
      <c r="D34" s="76">
        <v>9.9272005294509993E-3</v>
      </c>
      <c r="E34" s="34"/>
      <c r="F34" s="34"/>
    </row>
    <row r="35" spans="1:6" ht="16.5">
      <c r="A35" s="34"/>
      <c r="B35" s="35" t="s">
        <v>291</v>
      </c>
      <c r="C35" s="75">
        <v>43</v>
      </c>
      <c r="D35" s="76">
        <v>9.4859916170310001E-3</v>
      </c>
      <c r="E35" s="34"/>
      <c r="F35" s="34"/>
    </row>
    <row r="36" spans="1:6" ht="16.5">
      <c r="A36" s="34"/>
      <c r="B36" s="35" t="s">
        <v>292</v>
      </c>
      <c r="C36" s="75">
        <v>41</v>
      </c>
      <c r="D36" s="76">
        <v>9.0447827046109992E-3</v>
      </c>
      <c r="E36" s="34"/>
      <c r="F36" s="34"/>
    </row>
    <row r="37" spans="1:6" ht="16.5">
      <c r="A37" s="34"/>
      <c r="B37" s="35" t="s">
        <v>293</v>
      </c>
      <c r="C37" s="75">
        <v>38</v>
      </c>
      <c r="D37" s="76">
        <v>8.3829693359810005E-3</v>
      </c>
      <c r="E37" s="34"/>
      <c r="F37" s="34"/>
    </row>
    <row r="38" spans="1:6" ht="16.5">
      <c r="A38" s="34"/>
      <c r="B38" s="35" t="s">
        <v>294</v>
      </c>
      <c r="C38" s="75">
        <v>38</v>
      </c>
      <c r="D38" s="76">
        <v>8.3829693359810005E-3</v>
      </c>
      <c r="E38" s="34"/>
      <c r="F38" s="34"/>
    </row>
    <row r="39" spans="1:6" ht="16.5">
      <c r="A39" s="34"/>
      <c r="B39" s="35" t="s">
        <v>295</v>
      </c>
      <c r="C39" s="75">
        <v>33</v>
      </c>
      <c r="D39" s="76">
        <v>7.279947054931E-3</v>
      </c>
      <c r="E39" s="34"/>
      <c r="F39" s="34"/>
    </row>
    <row r="40" spans="1:6" ht="16.5">
      <c r="A40" s="34"/>
      <c r="B40" s="35" t="s">
        <v>296</v>
      </c>
      <c r="C40" s="75">
        <v>32</v>
      </c>
      <c r="D40" s="76">
        <v>7.0593425987200004E-3</v>
      </c>
      <c r="E40" s="34"/>
      <c r="F40" s="34"/>
    </row>
    <row r="41" spans="1:6" ht="16.5">
      <c r="A41" s="34"/>
      <c r="B41" s="35" t="s">
        <v>297</v>
      </c>
      <c r="C41" s="75">
        <v>31</v>
      </c>
      <c r="D41" s="76">
        <v>6.8387381425099999E-3</v>
      </c>
      <c r="E41" s="34"/>
      <c r="F41" s="34"/>
    </row>
    <row r="42" spans="1:6" ht="16.5">
      <c r="A42" s="34"/>
      <c r="B42" s="35" t="s">
        <v>298</v>
      </c>
      <c r="C42" s="75">
        <v>28</v>
      </c>
      <c r="D42" s="76">
        <v>6.1769247738800003E-3</v>
      </c>
      <c r="E42" s="34"/>
      <c r="F42" s="34"/>
    </row>
    <row r="43" spans="1:6" ht="16.5">
      <c r="A43" s="34"/>
      <c r="B43" s="35" t="s">
        <v>299</v>
      </c>
      <c r="C43" s="75">
        <v>23</v>
      </c>
      <c r="D43" s="76">
        <v>5.0739024928299998E-3</v>
      </c>
      <c r="E43" s="34"/>
      <c r="F43" s="34"/>
    </row>
    <row r="44" spans="1:6" ht="16.5">
      <c r="A44" s="34"/>
      <c r="B44" s="35" t="s">
        <v>300</v>
      </c>
      <c r="C44" s="75">
        <v>23</v>
      </c>
      <c r="D44" s="76">
        <v>5.0739024928299998E-3</v>
      </c>
      <c r="E44" s="34"/>
      <c r="F44" s="34"/>
    </row>
    <row r="45" spans="1:6" ht="16.5">
      <c r="A45" s="34"/>
      <c r="B45" s="35" t="s">
        <v>301</v>
      </c>
      <c r="C45" s="75">
        <v>22</v>
      </c>
      <c r="D45" s="76">
        <v>4.8532980366200002E-3</v>
      </c>
      <c r="E45" s="34"/>
      <c r="F45" s="34"/>
    </row>
    <row r="46" spans="1:6" ht="16.5">
      <c r="A46" s="34"/>
      <c r="B46" s="35" t="s">
        <v>302</v>
      </c>
      <c r="C46" s="75">
        <v>22</v>
      </c>
      <c r="D46" s="76">
        <v>4.8532980366200002E-3</v>
      </c>
      <c r="E46" s="34"/>
      <c r="F46" s="34"/>
    </row>
    <row r="47" spans="1:6" ht="16.5">
      <c r="A47" s="34"/>
      <c r="B47" s="35" t="s">
        <v>303</v>
      </c>
      <c r="C47" s="75">
        <v>16</v>
      </c>
      <c r="D47" s="76">
        <v>3.5296712993600002E-3</v>
      </c>
      <c r="E47" s="34"/>
      <c r="F47" s="34"/>
    </row>
    <row r="48" spans="1:6" ht="16.5">
      <c r="A48" s="34"/>
      <c r="B48" s="35" t="s">
        <v>304</v>
      </c>
      <c r="C48" s="75">
        <v>15</v>
      </c>
      <c r="D48" s="76">
        <v>3.3090668431500002E-3</v>
      </c>
      <c r="E48" s="34"/>
      <c r="F48" s="34"/>
    </row>
    <row r="49" spans="1:6" ht="16.5">
      <c r="A49" s="34"/>
      <c r="B49" s="35" t="s">
        <v>305</v>
      </c>
      <c r="C49" s="75">
        <v>13</v>
      </c>
      <c r="D49" s="76">
        <v>2.8678579307300001E-3</v>
      </c>
      <c r="E49" s="34"/>
      <c r="F49" s="34"/>
    </row>
    <row r="50" spans="1:6" ht="16.5">
      <c r="A50" s="34"/>
      <c r="B50" s="35" t="s">
        <v>306</v>
      </c>
      <c r="C50" s="75">
        <v>12</v>
      </c>
      <c r="D50" s="76">
        <v>2.6472534745200001E-3</v>
      </c>
      <c r="E50" s="34"/>
      <c r="F50" s="34"/>
    </row>
    <row r="51" spans="1:6" ht="16.5">
      <c r="A51" s="34"/>
      <c r="B51" s="35" t="s">
        <v>307</v>
      </c>
      <c r="C51" s="75">
        <v>10</v>
      </c>
      <c r="D51" s="76">
        <v>2.2060445621000001E-3</v>
      </c>
      <c r="E51" s="34"/>
      <c r="F51" s="34"/>
    </row>
    <row r="52" spans="1:6" ht="16.5">
      <c r="A52" s="34"/>
      <c r="B52" s="35" t="s">
        <v>308</v>
      </c>
      <c r="C52" s="75">
        <v>5</v>
      </c>
      <c r="D52" s="76">
        <v>1.1030222810500001E-3</v>
      </c>
      <c r="E52" s="34"/>
      <c r="F52" s="34"/>
    </row>
    <row r="53" spans="1:6" ht="16.5">
      <c r="A53" s="34"/>
      <c r="B53" s="35" t="s">
        <v>309</v>
      </c>
      <c r="C53" s="75">
        <v>4</v>
      </c>
      <c r="D53" s="76">
        <v>8.8241782484000005E-4</v>
      </c>
      <c r="E53" s="34"/>
      <c r="F53" s="34"/>
    </row>
    <row r="54" spans="1:6" ht="16.5">
      <c r="A54" s="34"/>
      <c r="B54" s="35" t="s">
        <v>310</v>
      </c>
      <c r="C54" s="75">
        <v>3</v>
      </c>
      <c r="D54" s="76">
        <v>6.6181336863000003E-4</v>
      </c>
      <c r="E54" s="34"/>
      <c r="F54" s="34"/>
    </row>
    <row r="55" spans="1:6" ht="16.5">
      <c r="A55" s="34"/>
      <c r="B55" s="35" t="s">
        <v>311</v>
      </c>
      <c r="C55" s="75">
        <v>2</v>
      </c>
      <c r="D55" s="76">
        <v>4.4120891242000002E-4</v>
      </c>
      <c r="E55" s="34"/>
      <c r="F55" s="34"/>
    </row>
    <row r="56" spans="1:6" ht="16.5">
      <c r="A56" s="34"/>
      <c r="B56" s="35" t="s">
        <v>312</v>
      </c>
      <c r="C56" s="75">
        <v>1</v>
      </c>
      <c r="D56" s="76">
        <v>2.2060445621000001E-4</v>
      </c>
      <c r="E56" s="34"/>
      <c r="F56" s="34"/>
    </row>
    <row r="57" spans="1:6" ht="16.5">
      <c r="A57" s="34"/>
      <c r="B57" s="35" t="s">
        <v>313</v>
      </c>
      <c r="C57" s="75">
        <v>1</v>
      </c>
      <c r="D57" s="76">
        <v>2.2060445621000001E-4</v>
      </c>
      <c r="E57" s="34"/>
      <c r="F57" s="34"/>
    </row>
    <row r="58" spans="1:6" ht="16.5">
      <c r="A58" s="34"/>
      <c r="B58" s="35" t="s">
        <v>314</v>
      </c>
      <c r="C58" s="75">
        <v>1</v>
      </c>
      <c r="D58" s="76">
        <v>2.2060445621000001E-4</v>
      </c>
      <c r="E58" s="34"/>
      <c r="F58" s="34"/>
    </row>
    <row r="59" spans="1:6" ht="16.5">
      <c r="A59" s="34"/>
      <c r="B59" s="35" t="s">
        <v>315</v>
      </c>
      <c r="C59" s="75">
        <v>1</v>
      </c>
      <c r="D59" s="76">
        <v>2.2060445621000001E-4</v>
      </c>
      <c r="E59" s="34"/>
      <c r="F59" s="34"/>
    </row>
    <row r="60" spans="1:6" ht="16.5">
      <c r="A60" s="34"/>
      <c r="B60" s="95" t="s">
        <v>29</v>
      </c>
      <c r="C60" s="72">
        <v>4533</v>
      </c>
      <c r="D60" s="73">
        <v>1</v>
      </c>
      <c r="E60" s="34"/>
      <c r="F60" s="34"/>
    </row>
    <row r="61" spans="1:6" ht="16.5">
      <c r="A61" s="34"/>
      <c r="E61" s="34"/>
      <c r="F61" s="34"/>
    </row>
    <row r="62" spans="1:6" ht="16.5">
      <c r="A62" s="34"/>
      <c r="B62" s="38" t="s">
        <v>218</v>
      </c>
      <c r="E62" s="34"/>
      <c r="F62" s="34"/>
    </row>
    <row r="63" spans="1:6" ht="16.5">
      <c r="A63" s="34"/>
      <c r="B63" s="40" t="s">
        <v>18</v>
      </c>
      <c r="E63" s="34"/>
      <c r="F63" s="34"/>
    </row>
    <row r="64" spans="1:6" ht="16.5">
      <c r="A64" s="34"/>
      <c r="B64" s="41" t="s">
        <v>45</v>
      </c>
      <c r="E64" s="34"/>
      <c r="F64" s="34"/>
    </row>
    <row r="65" spans="2:2">
      <c r="B65" s="38" t="s">
        <v>17</v>
      </c>
    </row>
    <row r="66" spans="2:2">
      <c r="B66" s="38" t="s">
        <v>317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r:id="rId1"/>
  <headerFooter>
    <oddFooter>&amp;C&amp;P de &amp;N</oddFoot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C000"/>
  </sheetPr>
  <dimension ref="A1:F66"/>
  <sheetViews>
    <sheetView showGridLines="0" view="pageBreakPreview" zoomScaleNormal="100" zoomScaleSheetLayoutView="100" workbookViewId="0">
      <selection activeCell="C16" sqref="C16"/>
    </sheetView>
  </sheetViews>
  <sheetFormatPr baseColWidth="10" defaultColWidth="11.42578125" defaultRowHeight="15"/>
  <cols>
    <col min="1" max="1" width="9.28515625" style="13" customWidth="1"/>
    <col min="2" max="2" width="21.7109375" style="13" customWidth="1"/>
    <col min="3" max="3" width="17.7109375" style="14" customWidth="1"/>
    <col min="4" max="4" width="17.7109375" style="13" customWidth="1"/>
    <col min="5" max="5" width="9.28515625" style="13" customWidth="1"/>
    <col min="6" max="6" width="5.7109375" style="13" customWidth="1"/>
    <col min="7" max="16384" width="11.42578125" style="13"/>
  </cols>
  <sheetData>
    <row r="1" spans="1:6" s="15" customFormat="1" ht="15" customHeight="1">
      <c r="C1" s="17"/>
    </row>
    <row r="2" spans="1:6" s="15" customFormat="1" ht="15" customHeight="1">
      <c r="C2" s="17"/>
    </row>
    <row r="3" spans="1:6" s="15" customFormat="1" ht="15" customHeight="1">
      <c r="C3" s="17"/>
    </row>
    <row r="4" spans="1:6" s="15" customFormat="1" ht="30" customHeight="1">
      <c r="C4" s="17"/>
      <c r="D4" s="16"/>
    </row>
    <row r="5" spans="1:6" s="15" customFormat="1" ht="15" customHeight="1">
      <c r="C5" s="17"/>
      <c r="D5" s="16"/>
    </row>
    <row r="6" spans="1:6" s="15" customFormat="1" ht="15" customHeight="1">
      <c r="C6" s="17"/>
      <c r="D6" s="16"/>
    </row>
    <row r="7" spans="1:6" s="15" customFormat="1" ht="15" customHeight="1">
      <c r="A7" s="30"/>
      <c r="B7" s="117" t="s">
        <v>37</v>
      </c>
      <c r="C7" s="117"/>
      <c r="D7" s="117"/>
      <c r="E7" s="30"/>
      <c r="F7" s="30"/>
    </row>
    <row r="8" spans="1:6" s="15" customFormat="1" ht="15" customHeight="1">
      <c r="A8" s="30"/>
      <c r="B8" s="117"/>
      <c r="C8" s="117"/>
      <c r="D8" s="117"/>
      <c r="E8" s="30"/>
      <c r="F8" s="30"/>
    </row>
    <row r="9" spans="1:6" s="15" customFormat="1" ht="33" customHeight="1">
      <c r="A9" s="30"/>
      <c r="B9" s="117"/>
      <c r="C9" s="117"/>
      <c r="D9" s="117"/>
      <c r="E9" s="30"/>
      <c r="F9" s="30"/>
    </row>
    <row r="10" spans="1:6" s="15" customFormat="1" ht="4.5" customHeight="1">
      <c r="A10" s="30"/>
      <c r="B10" s="31"/>
      <c r="C10" s="31"/>
      <c r="D10" s="31"/>
      <c r="E10" s="30"/>
      <c r="F10" s="30"/>
    </row>
    <row r="11" spans="1:6" s="15" customFormat="1" ht="33" customHeight="1">
      <c r="A11" s="30"/>
      <c r="B11" s="32" t="s">
        <v>22</v>
      </c>
      <c r="C11" s="33" t="s">
        <v>20</v>
      </c>
      <c r="D11" s="32" t="s">
        <v>19</v>
      </c>
      <c r="E11" s="30"/>
      <c r="F11" s="30"/>
    </row>
    <row r="12" spans="1:6" ht="16.5">
      <c r="A12" s="34"/>
      <c r="B12" s="74" t="s">
        <v>46</v>
      </c>
      <c r="C12" s="75">
        <v>659</v>
      </c>
      <c r="D12" s="76">
        <v>0.14537833664239999</v>
      </c>
      <c r="E12" s="34"/>
      <c r="F12" s="34"/>
    </row>
    <row r="13" spans="1:6" ht="16.5">
      <c r="A13" s="34"/>
      <c r="B13" s="74" t="s">
        <v>47</v>
      </c>
      <c r="C13" s="75">
        <v>313</v>
      </c>
      <c r="D13" s="76">
        <v>6.9049194793735003E-2</v>
      </c>
      <c r="E13" s="34"/>
      <c r="F13" s="34"/>
    </row>
    <row r="14" spans="1:6" ht="16.5">
      <c r="A14" s="34"/>
      <c r="B14" s="74" t="s">
        <v>49</v>
      </c>
      <c r="C14" s="75">
        <v>300</v>
      </c>
      <c r="D14" s="76">
        <v>6.6181336863004994E-2</v>
      </c>
      <c r="E14" s="34"/>
      <c r="F14" s="34"/>
    </row>
    <row r="15" spans="1:6" ht="16.5">
      <c r="A15" s="34"/>
      <c r="B15" s="74" t="s">
        <v>50</v>
      </c>
      <c r="C15" s="75">
        <v>293</v>
      </c>
      <c r="D15" s="76">
        <v>6.4637105669534997E-2</v>
      </c>
      <c r="E15" s="34"/>
      <c r="F15" s="34"/>
    </row>
    <row r="16" spans="1:6" ht="16.5">
      <c r="A16" s="34"/>
      <c r="B16" s="74" t="s">
        <v>51</v>
      </c>
      <c r="C16" s="75">
        <v>213</v>
      </c>
      <c r="D16" s="76">
        <v>4.6988749172732998E-2</v>
      </c>
      <c r="E16" s="34"/>
      <c r="F16" s="34"/>
    </row>
    <row r="17" spans="1:6" ht="16.5">
      <c r="A17" s="34"/>
      <c r="B17" s="74" t="s">
        <v>52</v>
      </c>
      <c r="C17" s="75">
        <v>206</v>
      </c>
      <c r="D17" s="76">
        <v>4.5444517979263001E-2</v>
      </c>
      <c r="E17" s="34"/>
      <c r="F17" s="34"/>
    </row>
    <row r="18" spans="1:6" ht="16.5">
      <c r="A18" s="34"/>
      <c r="B18" s="74" t="s">
        <v>53</v>
      </c>
      <c r="C18" s="75">
        <v>182</v>
      </c>
      <c r="D18" s="76">
        <v>4.0150011030222997E-2</v>
      </c>
      <c r="E18" s="34"/>
      <c r="F18" s="34"/>
    </row>
    <row r="19" spans="1:6" ht="16.5">
      <c r="A19" s="34"/>
      <c r="B19" s="74" t="s">
        <v>56</v>
      </c>
      <c r="C19" s="75">
        <v>180</v>
      </c>
      <c r="D19" s="76">
        <v>3.9708802117802998E-2</v>
      </c>
      <c r="E19" s="34"/>
      <c r="F19" s="34"/>
    </row>
    <row r="20" spans="1:6" ht="16.5">
      <c r="A20" s="34"/>
      <c r="B20" s="74" t="s">
        <v>48</v>
      </c>
      <c r="C20" s="75">
        <v>175</v>
      </c>
      <c r="D20" s="76">
        <v>3.8605779836753E-2</v>
      </c>
      <c r="E20" s="34"/>
      <c r="F20" s="34"/>
    </row>
    <row r="21" spans="1:6" ht="16.5">
      <c r="A21" s="34"/>
      <c r="B21" s="74" t="s">
        <v>54</v>
      </c>
      <c r="C21" s="75">
        <v>170</v>
      </c>
      <c r="D21" s="76">
        <v>3.7502757555703002E-2</v>
      </c>
      <c r="E21" s="34"/>
      <c r="F21" s="34"/>
    </row>
    <row r="22" spans="1:6" ht="16.5">
      <c r="A22" s="34"/>
      <c r="B22" s="74" t="s">
        <v>55</v>
      </c>
      <c r="C22" s="75">
        <v>141</v>
      </c>
      <c r="D22" s="76">
        <v>3.1105228325612001E-2</v>
      </c>
      <c r="E22" s="34"/>
      <c r="F22" s="34"/>
    </row>
    <row r="23" spans="1:6" ht="16.5">
      <c r="A23" s="34"/>
      <c r="B23" s="74" t="s">
        <v>61</v>
      </c>
      <c r="C23" s="75">
        <v>131</v>
      </c>
      <c r="D23" s="76">
        <v>2.8899183763511999E-2</v>
      </c>
      <c r="E23" s="34"/>
      <c r="F23" s="34"/>
    </row>
    <row r="24" spans="1:6" ht="16.5">
      <c r="A24" s="34"/>
      <c r="B24" s="74" t="s">
        <v>58</v>
      </c>
      <c r="C24" s="75">
        <v>112</v>
      </c>
      <c r="D24" s="76">
        <v>2.4707699095522E-2</v>
      </c>
      <c r="E24" s="34"/>
      <c r="F24" s="34"/>
    </row>
    <row r="25" spans="1:6" ht="16.5">
      <c r="A25" s="34"/>
      <c r="B25" s="74" t="s">
        <v>67</v>
      </c>
      <c r="C25" s="75">
        <v>106</v>
      </c>
      <c r="D25" s="76">
        <v>2.3384072358261999E-2</v>
      </c>
      <c r="E25" s="34"/>
      <c r="F25" s="34"/>
    </row>
    <row r="26" spans="1:6" ht="16.5">
      <c r="A26" s="34"/>
      <c r="B26" s="74" t="s">
        <v>57</v>
      </c>
      <c r="C26" s="75">
        <v>100</v>
      </c>
      <c r="D26" s="76">
        <v>2.2060445621002001E-2</v>
      </c>
      <c r="E26" s="34"/>
      <c r="F26" s="34"/>
    </row>
    <row r="27" spans="1:6" ht="16.5">
      <c r="A27" s="34"/>
      <c r="B27" s="74" t="s">
        <v>59</v>
      </c>
      <c r="C27" s="75">
        <v>95</v>
      </c>
      <c r="D27" s="76">
        <v>2.0957423339951001E-2</v>
      </c>
      <c r="E27" s="34"/>
      <c r="F27" s="34"/>
    </row>
    <row r="28" spans="1:6" ht="16.5">
      <c r="A28" s="34"/>
      <c r="B28" s="74" t="s">
        <v>65</v>
      </c>
      <c r="C28" s="75">
        <v>92</v>
      </c>
      <c r="D28" s="76">
        <v>2.0295609971320999E-2</v>
      </c>
      <c r="E28" s="34"/>
      <c r="F28" s="34"/>
    </row>
    <row r="29" spans="1:6" ht="16.5">
      <c r="A29" s="34"/>
      <c r="B29" s="74" t="s">
        <v>60</v>
      </c>
      <c r="C29" s="75">
        <v>77</v>
      </c>
      <c r="D29" s="76">
        <v>1.6986543128171001E-2</v>
      </c>
      <c r="E29" s="34"/>
      <c r="F29" s="34"/>
    </row>
    <row r="30" spans="1:6" ht="16.5">
      <c r="A30" s="34"/>
      <c r="B30" s="74" t="s">
        <v>63</v>
      </c>
      <c r="C30" s="75">
        <v>71</v>
      </c>
      <c r="D30" s="76">
        <v>1.5662916390911E-2</v>
      </c>
      <c r="E30" s="34"/>
      <c r="F30" s="34"/>
    </row>
    <row r="31" spans="1:6" ht="16.5">
      <c r="A31" s="34"/>
      <c r="B31" s="74" t="s">
        <v>85</v>
      </c>
      <c r="C31" s="75">
        <v>60</v>
      </c>
      <c r="D31" s="76">
        <v>1.3236267372601E-2</v>
      </c>
      <c r="E31" s="34"/>
      <c r="F31" s="34"/>
    </row>
    <row r="32" spans="1:6" ht="16.5">
      <c r="A32" s="34"/>
      <c r="B32" s="74" t="s">
        <v>72</v>
      </c>
      <c r="C32" s="75">
        <v>60</v>
      </c>
      <c r="D32" s="76">
        <v>1.3236267372601E-2</v>
      </c>
      <c r="E32" s="34"/>
      <c r="F32" s="34"/>
    </row>
    <row r="33" spans="1:6" ht="16.5">
      <c r="A33" s="34"/>
      <c r="B33" s="74" t="s">
        <v>68</v>
      </c>
      <c r="C33" s="75">
        <v>56</v>
      </c>
      <c r="D33" s="76">
        <v>1.2353849547761E-2</v>
      </c>
      <c r="E33" s="34"/>
      <c r="F33" s="34"/>
    </row>
    <row r="34" spans="1:6" ht="16.5">
      <c r="A34" s="34"/>
      <c r="B34" s="74" t="s">
        <v>62</v>
      </c>
      <c r="C34" s="75">
        <v>53</v>
      </c>
      <c r="D34" s="76">
        <v>1.1692036179130999E-2</v>
      </c>
      <c r="E34" s="34"/>
      <c r="F34" s="34"/>
    </row>
    <row r="35" spans="1:6" ht="16.5">
      <c r="A35" s="34"/>
      <c r="B35" s="74" t="s">
        <v>70</v>
      </c>
      <c r="C35" s="75">
        <v>51</v>
      </c>
      <c r="D35" s="76">
        <v>1.1250827266711E-2</v>
      </c>
      <c r="E35" s="34"/>
      <c r="F35" s="34"/>
    </row>
    <row r="36" spans="1:6" ht="16.5">
      <c r="A36" s="34"/>
      <c r="B36" s="74" t="s">
        <v>73</v>
      </c>
      <c r="C36" s="75">
        <v>50</v>
      </c>
      <c r="D36" s="76">
        <v>1.1030222810501001E-2</v>
      </c>
      <c r="E36" s="34"/>
      <c r="F36" s="34"/>
    </row>
    <row r="37" spans="1:6" ht="16.5">
      <c r="A37" s="34"/>
      <c r="B37" s="74" t="s">
        <v>69</v>
      </c>
      <c r="C37" s="75">
        <v>50</v>
      </c>
      <c r="D37" s="76">
        <v>1.1030222810501001E-2</v>
      </c>
      <c r="E37" s="34"/>
      <c r="F37" s="34"/>
    </row>
    <row r="38" spans="1:6" ht="16.5">
      <c r="A38" s="34"/>
      <c r="B38" s="74" t="s">
        <v>64</v>
      </c>
      <c r="C38" s="75">
        <v>43</v>
      </c>
      <c r="D38" s="76">
        <v>9.4859916170310001E-3</v>
      </c>
      <c r="E38" s="34"/>
      <c r="F38" s="34"/>
    </row>
    <row r="39" spans="1:6" ht="16.5">
      <c r="A39" s="34"/>
      <c r="B39" s="74" t="s">
        <v>71</v>
      </c>
      <c r="C39" s="75">
        <v>43</v>
      </c>
      <c r="D39" s="76">
        <v>9.4859916170310001E-3</v>
      </c>
      <c r="E39" s="34"/>
      <c r="F39" s="34"/>
    </row>
    <row r="40" spans="1:6" ht="16.5">
      <c r="A40" s="34"/>
      <c r="B40" s="74" t="s">
        <v>77</v>
      </c>
      <c r="C40" s="75">
        <v>42</v>
      </c>
      <c r="D40" s="76">
        <v>9.2653871608210005E-3</v>
      </c>
      <c r="E40" s="34"/>
      <c r="F40" s="34"/>
    </row>
    <row r="41" spans="1:6" ht="16.5">
      <c r="A41" s="34"/>
      <c r="B41" s="74" t="s">
        <v>78</v>
      </c>
      <c r="C41" s="75">
        <v>40</v>
      </c>
      <c r="D41" s="76">
        <v>8.8241782484009997E-3</v>
      </c>
      <c r="E41" s="34"/>
      <c r="F41" s="34"/>
    </row>
    <row r="42" spans="1:6" ht="16.5">
      <c r="A42" s="34"/>
      <c r="B42" s="74" t="s">
        <v>76</v>
      </c>
      <c r="C42" s="75">
        <v>40</v>
      </c>
      <c r="D42" s="76">
        <v>8.8241782484009997E-3</v>
      </c>
      <c r="E42" s="34"/>
      <c r="F42" s="34"/>
    </row>
    <row r="43" spans="1:6" ht="16.5">
      <c r="A43" s="34"/>
      <c r="B43" s="74" t="s">
        <v>66</v>
      </c>
      <c r="C43" s="75">
        <v>38</v>
      </c>
      <c r="D43" s="76">
        <v>8.3829693359810005E-3</v>
      </c>
      <c r="E43" s="34"/>
      <c r="F43" s="34"/>
    </row>
    <row r="44" spans="1:6" ht="16.5">
      <c r="A44" s="34"/>
      <c r="B44" s="74" t="s">
        <v>74</v>
      </c>
      <c r="C44" s="75">
        <v>36</v>
      </c>
      <c r="D44" s="76">
        <v>7.9417604235609996E-3</v>
      </c>
      <c r="E44" s="34"/>
      <c r="F44" s="34"/>
    </row>
    <row r="45" spans="1:6" ht="16.5">
      <c r="A45" s="34"/>
      <c r="B45" s="74" t="s">
        <v>80</v>
      </c>
      <c r="C45" s="75">
        <v>34</v>
      </c>
      <c r="D45" s="76">
        <v>7.5005515111409996E-3</v>
      </c>
      <c r="E45" s="34"/>
      <c r="F45" s="34"/>
    </row>
    <row r="46" spans="1:6" ht="16.5">
      <c r="A46" s="34"/>
      <c r="B46" s="74" t="s">
        <v>79</v>
      </c>
      <c r="C46" s="75">
        <v>33</v>
      </c>
      <c r="D46" s="76">
        <v>7.279947054931E-3</v>
      </c>
      <c r="E46" s="34"/>
      <c r="F46" s="34"/>
    </row>
    <row r="47" spans="1:6" ht="16.5">
      <c r="A47" s="34"/>
      <c r="B47" s="74" t="s">
        <v>82</v>
      </c>
      <c r="C47" s="75">
        <v>31</v>
      </c>
      <c r="D47" s="76">
        <v>6.8387381425099999E-3</v>
      </c>
      <c r="E47" s="34"/>
      <c r="F47" s="34"/>
    </row>
    <row r="48" spans="1:6" ht="16.5">
      <c r="A48" s="34"/>
      <c r="B48" s="74" t="s">
        <v>75</v>
      </c>
      <c r="C48" s="75">
        <v>29</v>
      </c>
      <c r="D48" s="76">
        <v>6.3975292300899999E-3</v>
      </c>
      <c r="E48" s="34"/>
      <c r="F48" s="34"/>
    </row>
    <row r="49" spans="1:6" ht="16.5">
      <c r="A49" s="34"/>
      <c r="B49" s="74" t="s">
        <v>219</v>
      </c>
      <c r="C49" s="75">
        <v>24</v>
      </c>
      <c r="D49" s="76">
        <v>5.2945069490400003E-3</v>
      </c>
      <c r="E49" s="34"/>
      <c r="F49" s="34"/>
    </row>
    <row r="50" spans="1:6" ht="16.5">
      <c r="A50" s="34"/>
      <c r="B50" s="74" t="s">
        <v>86</v>
      </c>
      <c r="C50" s="75">
        <v>16</v>
      </c>
      <c r="D50" s="76">
        <v>3.5296712993600002E-3</v>
      </c>
      <c r="E50" s="34"/>
      <c r="F50" s="34"/>
    </row>
    <row r="51" spans="1:6" ht="16.5">
      <c r="A51" s="34"/>
      <c r="B51" s="74" t="s">
        <v>88</v>
      </c>
      <c r="C51" s="75">
        <v>16</v>
      </c>
      <c r="D51" s="76">
        <v>3.5296712993600002E-3</v>
      </c>
      <c r="E51" s="34"/>
      <c r="F51" s="34"/>
    </row>
    <row r="52" spans="1:6" ht="16.5">
      <c r="A52" s="34"/>
      <c r="B52" s="74" t="s">
        <v>87</v>
      </c>
      <c r="C52" s="75">
        <v>16</v>
      </c>
      <c r="D52" s="76">
        <v>3.5296712993600002E-3</v>
      </c>
      <c r="E52" s="34"/>
      <c r="F52" s="34"/>
    </row>
    <row r="53" spans="1:6" ht="16.5">
      <c r="A53" s="34"/>
      <c r="B53" s="74" t="s">
        <v>81</v>
      </c>
      <c r="C53" s="75">
        <v>16</v>
      </c>
      <c r="D53" s="76">
        <v>3.5296712993600002E-3</v>
      </c>
      <c r="E53" s="34"/>
      <c r="F53" s="34"/>
    </row>
    <row r="54" spans="1:6" ht="16.5">
      <c r="A54" s="34"/>
      <c r="B54" s="74" t="s">
        <v>83</v>
      </c>
      <c r="C54" s="75">
        <v>14</v>
      </c>
      <c r="D54" s="76">
        <v>3.0884623869400002E-3</v>
      </c>
      <c r="E54" s="34"/>
      <c r="F54" s="34"/>
    </row>
    <row r="55" spans="1:6" ht="16.5">
      <c r="A55" s="34"/>
      <c r="B55" s="74" t="s">
        <v>84</v>
      </c>
      <c r="C55" s="75">
        <v>14</v>
      </c>
      <c r="D55" s="76">
        <v>3.0884623869400002E-3</v>
      </c>
      <c r="E55" s="34"/>
      <c r="F55" s="34"/>
    </row>
    <row r="56" spans="1:6" ht="16.5">
      <c r="A56" s="34"/>
      <c r="B56" s="74" t="s">
        <v>91</v>
      </c>
      <c r="C56" s="75">
        <v>4</v>
      </c>
      <c r="D56" s="76">
        <v>8.8241782484000005E-4</v>
      </c>
      <c r="E56" s="34"/>
      <c r="F56" s="34"/>
    </row>
    <row r="57" spans="1:6" ht="16.5">
      <c r="A57" s="34"/>
      <c r="B57" s="74" t="s">
        <v>89</v>
      </c>
      <c r="C57" s="75">
        <v>4</v>
      </c>
      <c r="D57" s="76">
        <v>8.8241782484000005E-4</v>
      </c>
      <c r="E57" s="34"/>
      <c r="F57" s="34"/>
    </row>
    <row r="58" spans="1:6" ht="16.5">
      <c r="A58" s="34"/>
      <c r="B58" s="74" t="s">
        <v>90</v>
      </c>
      <c r="C58" s="75">
        <v>3</v>
      </c>
      <c r="D58" s="76">
        <v>6.6181336863000003E-4</v>
      </c>
      <c r="E58" s="34"/>
      <c r="F58" s="34"/>
    </row>
    <row r="59" spans="1:6" ht="16.5">
      <c r="A59" s="34"/>
      <c r="B59" s="74" t="s">
        <v>220</v>
      </c>
      <c r="C59" s="75">
        <v>1</v>
      </c>
      <c r="D59" s="76">
        <v>2.2060445621000001E-4</v>
      </c>
      <c r="E59" s="34"/>
      <c r="F59" s="34"/>
    </row>
    <row r="60" spans="1:6" ht="16.5">
      <c r="A60" s="34"/>
      <c r="B60" s="71" t="s">
        <v>249</v>
      </c>
      <c r="C60" s="72">
        <v>4533</v>
      </c>
      <c r="D60" s="73">
        <v>1</v>
      </c>
      <c r="E60" s="34"/>
      <c r="F60" s="34"/>
    </row>
    <row r="61" spans="1:6" ht="16.5">
      <c r="A61" s="34"/>
      <c r="B61" s="38"/>
      <c r="C61" s="39"/>
      <c r="D61" s="34"/>
      <c r="E61" s="34"/>
      <c r="F61" s="34"/>
    </row>
    <row r="62" spans="1:6" ht="16.5">
      <c r="A62" s="34"/>
      <c r="B62" s="38" t="s">
        <v>218</v>
      </c>
      <c r="C62" s="39"/>
      <c r="D62" s="34"/>
      <c r="E62" s="34"/>
      <c r="F62" s="34"/>
    </row>
    <row r="63" spans="1:6" ht="16.5">
      <c r="A63" s="34"/>
      <c r="B63" s="40" t="s">
        <v>18</v>
      </c>
      <c r="C63" s="39"/>
      <c r="D63" s="34"/>
      <c r="E63" s="34"/>
      <c r="F63" s="34"/>
    </row>
    <row r="64" spans="1:6" ht="16.5">
      <c r="A64" s="34"/>
      <c r="B64" s="41" t="s">
        <v>45</v>
      </c>
      <c r="C64" s="39"/>
      <c r="D64" s="34"/>
      <c r="E64" s="34"/>
      <c r="F64" s="34"/>
    </row>
    <row r="65" spans="1:6" ht="16.5">
      <c r="A65" s="34"/>
      <c r="B65" s="38" t="s">
        <v>17</v>
      </c>
      <c r="C65" s="39"/>
      <c r="D65" s="34"/>
      <c r="E65" s="34"/>
      <c r="F65" s="34"/>
    </row>
    <row r="66" spans="1:6" ht="16.5">
      <c r="A66" s="34"/>
      <c r="B66" s="38" t="s">
        <v>317</v>
      </c>
      <c r="C66" s="39"/>
      <c r="D66" s="34"/>
      <c r="E66" s="34"/>
      <c r="F66" s="34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r:id="rId1"/>
  <headerFooter>
    <oddFooter>&amp;C&amp;P de &amp;N</oddFooter>
  </headerFooter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C000"/>
  </sheetPr>
  <dimension ref="A1:F29"/>
  <sheetViews>
    <sheetView showGridLines="0" view="pageBreakPreview" zoomScale="90" zoomScaleNormal="100" zoomScaleSheetLayoutView="90" workbookViewId="0">
      <selection activeCell="D26" sqref="D26"/>
    </sheetView>
  </sheetViews>
  <sheetFormatPr baseColWidth="10" defaultColWidth="11.42578125" defaultRowHeight="15"/>
  <cols>
    <col min="1" max="1" width="9.28515625" style="13" customWidth="1"/>
    <col min="2" max="2" width="21.7109375" style="13" customWidth="1"/>
    <col min="3" max="3" width="17.7109375" style="14" customWidth="1"/>
    <col min="4" max="4" width="17.7109375" style="13" customWidth="1"/>
    <col min="5" max="5" width="9.28515625" style="13" customWidth="1"/>
    <col min="6" max="6" width="5.7109375" style="13" customWidth="1"/>
    <col min="7" max="16384" width="11.42578125" style="13"/>
  </cols>
  <sheetData>
    <row r="1" spans="1:6" s="15" customFormat="1" ht="15" customHeight="1">
      <c r="C1" s="17"/>
    </row>
    <row r="2" spans="1:6" s="15" customFormat="1" ht="15" customHeight="1">
      <c r="C2" s="17"/>
    </row>
    <row r="3" spans="1:6" s="15" customFormat="1" ht="15" customHeight="1">
      <c r="C3" s="17"/>
    </row>
    <row r="4" spans="1:6" s="15" customFormat="1" ht="30" customHeight="1">
      <c r="C4" s="17"/>
      <c r="D4" s="16"/>
    </row>
    <row r="5" spans="1:6" s="15" customFormat="1" ht="15" customHeight="1">
      <c r="C5" s="17"/>
      <c r="D5" s="16"/>
    </row>
    <row r="6" spans="1:6" s="15" customFormat="1" ht="15" customHeight="1">
      <c r="C6" s="17"/>
      <c r="D6" s="16"/>
    </row>
    <row r="7" spans="1:6" s="15" customFormat="1" ht="15" customHeight="1">
      <c r="A7" s="30"/>
      <c r="B7" s="117" t="s">
        <v>43</v>
      </c>
      <c r="C7" s="117"/>
      <c r="D7" s="117"/>
      <c r="E7" s="30"/>
      <c r="F7" s="30"/>
    </row>
    <row r="8" spans="1:6" s="15" customFormat="1" ht="15" customHeight="1">
      <c r="A8" s="30"/>
      <c r="B8" s="117"/>
      <c r="C8" s="117"/>
      <c r="D8" s="117"/>
      <c r="E8" s="30"/>
      <c r="F8" s="30"/>
    </row>
    <row r="9" spans="1:6" s="15" customFormat="1" ht="33" customHeight="1">
      <c r="A9" s="30"/>
      <c r="B9" s="117"/>
      <c r="C9" s="117"/>
      <c r="D9" s="117"/>
      <c r="E9" s="30"/>
      <c r="F9" s="30"/>
    </row>
    <row r="10" spans="1:6" s="15" customFormat="1" ht="4.5" customHeight="1">
      <c r="A10" s="30"/>
      <c r="B10" s="31"/>
      <c r="C10" s="31"/>
      <c r="D10" s="31"/>
      <c r="E10" s="30"/>
      <c r="F10" s="30"/>
    </row>
    <row r="11" spans="1:6" s="15" customFormat="1" ht="33" customHeight="1">
      <c r="A11" s="30"/>
      <c r="B11" s="44" t="s">
        <v>22</v>
      </c>
      <c r="C11" s="43" t="s">
        <v>20</v>
      </c>
      <c r="D11" s="44" t="s">
        <v>19</v>
      </c>
      <c r="E11" s="30"/>
      <c r="F11" s="30"/>
    </row>
    <row r="12" spans="1:6" ht="16.5">
      <c r="A12" s="34"/>
      <c r="B12" s="74" t="s">
        <v>46</v>
      </c>
      <c r="C12" s="75">
        <v>659</v>
      </c>
      <c r="D12" s="76">
        <v>0.14537833664239999</v>
      </c>
      <c r="E12" s="34"/>
      <c r="F12" s="34"/>
    </row>
    <row r="13" spans="1:6" ht="16.5">
      <c r="A13" s="34"/>
      <c r="B13" s="74" t="s">
        <v>47</v>
      </c>
      <c r="C13" s="75">
        <v>313</v>
      </c>
      <c r="D13" s="76">
        <v>6.9049194793735003E-2</v>
      </c>
      <c r="E13" s="34"/>
      <c r="F13" s="34"/>
    </row>
    <row r="14" spans="1:6" ht="16.5">
      <c r="A14" s="34"/>
      <c r="B14" s="74" t="s">
        <v>49</v>
      </c>
      <c r="C14" s="75">
        <v>300</v>
      </c>
      <c r="D14" s="76">
        <v>6.6181336863004994E-2</v>
      </c>
      <c r="E14" s="34"/>
      <c r="F14" s="34"/>
    </row>
    <row r="15" spans="1:6" ht="16.5">
      <c r="A15" s="34"/>
      <c r="B15" s="74" t="s">
        <v>50</v>
      </c>
      <c r="C15" s="75">
        <v>293</v>
      </c>
      <c r="D15" s="76">
        <v>6.4637105669534997E-2</v>
      </c>
      <c r="E15" s="34"/>
      <c r="F15" s="34"/>
    </row>
    <row r="16" spans="1:6" ht="16.5">
      <c r="A16" s="34"/>
      <c r="B16" s="74" t="s">
        <v>51</v>
      </c>
      <c r="C16" s="75">
        <v>213</v>
      </c>
      <c r="D16" s="76">
        <v>4.6988749172732998E-2</v>
      </c>
      <c r="E16" s="34"/>
      <c r="F16" s="34"/>
    </row>
    <row r="17" spans="1:6" ht="16.5">
      <c r="A17" s="34"/>
      <c r="B17" s="74" t="s">
        <v>52</v>
      </c>
      <c r="C17" s="75">
        <v>206</v>
      </c>
      <c r="D17" s="76">
        <v>4.5444517979263001E-2</v>
      </c>
      <c r="E17" s="34"/>
      <c r="F17" s="34"/>
    </row>
    <row r="18" spans="1:6" ht="16.5">
      <c r="A18" s="34"/>
      <c r="B18" s="74" t="s">
        <v>53</v>
      </c>
      <c r="C18" s="75">
        <v>182</v>
      </c>
      <c r="D18" s="76">
        <v>4.0150011030222997E-2</v>
      </c>
      <c r="E18" s="34"/>
      <c r="F18" s="34"/>
    </row>
    <row r="19" spans="1:6" ht="16.5">
      <c r="A19" s="34"/>
      <c r="B19" s="74" t="s">
        <v>56</v>
      </c>
      <c r="C19" s="75">
        <v>180</v>
      </c>
      <c r="D19" s="76">
        <v>3.9708802117802998E-2</v>
      </c>
      <c r="E19" s="34"/>
      <c r="F19" s="34"/>
    </row>
    <row r="20" spans="1:6" ht="16.5">
      <c r="A20" s="34"/>
      <c r="B20" s="74" t="s">
        <v>48</v>
      </c>
      <c r="C20" s="75">
        <v>175</v>
      </c>
      <c r="D20" s="76">
        <v>3.8605779836753E-2</v>
      </c>
      <c r="E20" s="34"/>
      <c r="F20" s="34"/>
    </row>
    <row r="21" spans="1:6" ht="16.5">
      <c r="A21" s="34"/>
      <c r="B21" s="74" t="s">
        <v>54</v>
      </c>
      <c r="C21" s="75">
        <v>170</v>
      </c>
      <c r="D21" s="76">
        <v>3.7502757555703002E-2</v>
      </c>
      <c r="E21" s="34"/>
      <c r="F21" s="34"/>
    </row>
    <row r="22" spans="1:6" ht="16.5">
      <c r="A22" s="34"/>
      <c r="B22" s="96" t="s">
        <v>44</v>
      </c>
      <c r="C22" s="97">
        <f>SUM(C12:C21)</f>
        <v>2691</v>
      </c>
      <c r="D22" s="98">
        <f t="shared" ref="D22" si="0">C22/$C$22</f>
        <v>1</v>
      </c>
      <c r="E22" s="34"/>
      <c r="F22" s="34"/>
    </row>
    <row r="23" spans="1:6" ht="16.5">
      <c r="A23" s="34"/>
      <c r="B23" s="36" t="s">
        <v>29</v>
      </c>
      <c r="C23" s="37">
        <v>4533</v>
      </c>
      <c r="D23" s="77"/>
      <c r="E23" s="34"/>
      <c r="F23" s="34"/>
    </row>
    <row r="24" spans="1:6" ht="16.5">
      <c r="A24" s="34"/>
      <c r="B24" s="38"/>
      <c r="C24" s="39"/>
      <c r="D24" s="34"/>
      <c r="E24" s="34"/>
      <c r="F24" s="34"/>
    </row>
    <row r="25" spans="1:6" ht="16.5">
      <c r="A25" s="34"/>
      <c r="B25" s="38" t="s">
        <v>218</v>
      </c>
      <c r="C25" s="39"/>
      <c r="D25" s="34"/>
      <c r="E25" s="34"/>
      <c r="F25" s="34"/>
    </row>
    <row r="26" spans="1:6" ht="16.5">
      <c r="A26" s="34"/>
      <c r="B26" s="40" t="s">
        <v>18</v>
      </c>
      <c r="C26" s="39"/>
      <c r="D26" s="34"/>
      <c r="E26" s="34"/>
      <c r="F26" s="34"/>
    </row>
    <row r="27" spans="1:6" ht="16.5">
      <c r="A27" s="34"/>
      <c r="B27" s="41" t="s">
        <v>45</v>
      </c>
      <c r="C27" s="39"/>
      <c r="D27" s="34"/>
      <c r="E27" s="34"/>
      <c r="F27" s="34"/>
    </row>
    <row r="28" spans="1:6" ht="16.5">
      <c r="A28" s="34"/>
      <c r="B28" s="38" t="s">
        <v>17</v>
      </c>
      <c r="C28" s="39"/>
      <c r="D28" s="34"/>
      <c r="E28" s="34"/>
      <c r="F28" s="34"/>
    </row>
    <row r="29" spans="1:6" ht="16.5">
      <c r="A29" s="34"/>
      <c r="B29" s="38" t="s">
        <v>317</v>
      </c>
      <c r="C29" s="39"/>
      <c r="D29" s="34"/>
      <c r="E29" s="34"/>
      <c r="F29" s="34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r:id="rId1"/>
  <headerFooter>
    <oddFooter>&amp;C&amp;P de &amp;N</oddFooter>
  </headerFooter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F66"/>
  <sheetViews>
    <sheetView showGridLines="0" view="pageBreakPreview" zoomScale="90" zoomScaleNormal="100" zoomScaleSheetLayoutView="90" workbookViewId="0">
      <selection activeCell="D29" sqref="D29"/>
    </sheetView>
  </sheetViews>
  <sheetFormatPr baseColWidth="10" defaultColWidth="11.42578125" defaultRowHeight="15"/>
  <cols>
    <col min="1" max="1" width="9.28515625" style="13" customWidth="1"/>
    <col min="2" max="2" width="32.85546875" style="13" customWidth="1"/>
    <col min="3" max="3" width="17.7109375" style="14" customWidth="1"/>
    <col min="4" max="4" width="17.7109375" style="13" customWidth="1"/>
    <col min="5" max="5" width="9.28515625" style="13" customWidth="1"/>
    <col min="6" max="6" width="5.7109375" style="13" customWidth="1"/>
    <col min="7" max="16384" width="11.42578125" style="13"/>
  </cols>
  <sheetData>
    <row r="1" spans="1:6" s="15" customFormat="1" ht="15" customHeight="1">
      <c r="C1" s="17"/>
    </row>
    <row r="2" spans="1:6" s="15" customFormat="1" ht="15" customHeight="1">
      <c r="C2" s="17"/>
    </row>
    <row r="3" spans="1:6" s="15" customFormat="1" ht="15" customHeight="1">
      <c r="C3" s="17"/>
    </row>
    <row r="4" spans="1:6" s="15" customFormat="1" ht="30" customHeight="1">
      <c r="C4" s="17"/>
      <c r="D4" s="16"/>
    </row>
    <row r="5" spans="1:6" s="15" customFormat="1" ht="15" customHeight="1">
      <c r="C5" s="17"/>
      <c r="D5" s="16"/>
    </row>
    <row r="6" spans="1:6" s="15" customFormat="1" ht="15" customHeight="1">
      <c r="C6" s="17"/>
      <c r="D6" s="16"/>
    </row>
    <row r="7" spans="1:6" s="15" customFormat="1" ht="15" customHeight="1">
      <c r="A7" s="30"/>
      <c r="B7" s="117" t="s">
        <v>41</v>
      </c>
      <c r="C7" s="117"/>
      <c r="D7" s="117"/>
      <c r="E7" s="30"/>
      <c r="F7" s="30"/>
    </row>
    <row r="8" spans="1:6" s="15" customFormat="1" ht="15" customHeight="1">
      <c r="A8" s="30"/>
      <c r="B8" s="117"/>
      <c r="C8" s="117"/>
      <c r="D8" s="117"/>
      <c r="E8" s="30"/>
      <c r="F8" s="30"/>
    </row>
    <row r="9" spans="1:6" s="15" customFormat="1" ht="33" customHeight="1">
      <c r="A9" s="30"/>
      <c r="B9" s="117"/>
      <c r="C9" s="117"/>
      <c r="D9" s="117"/>
      <c r="E9" s="30"/>
      <c r="F9" s="30"/>
    </row>
    <row r="10" spans="1:6" s="15" customFormat="1" ht="4.5" customHeight="1">
      <c r="A10" s="30"/>
      <c r="B10" s="45"/>
      <c r="C10" s="45"/>
      <c r="D10" s="45"/>
      <c r="E10" s="30"/>
      <c r="F10" s="30"/>
    </row>
    <row r="11" spans="1:6" s="15" customFormat="1" ht="33" customHeight="1">
      <c r="A11" s="30"/>
      <c r="B11" s="32" t="s">
        <v>23</v>
      </c>
      <c r="C11" s="33" t="s">
        <v>20</v>
      </c>
      <c r="D11" s="32" t="s">
        <v>19</v>
      </c>
      <c r="E11" s="30"/>
      <c r="F11" s="30"/>
    </row>
    <row r="12" spans="1:6" ht="16.5">
      <c r="A12" s="34"/>
      <c r="B12" s="105" t="s">
        <v>251</v>
      </c>
      <c r="C12" s="75">
        <v>1124</v>
      </c>
      <c r="D12" s="76">
        <v>0.24795940878005701</v>
      </c>
      <c r="E12" s="34"/>
      <c r="F12" s="34"/>
    </row>
    <row r="13" spans="1:6" ht="16.5">
      <c r="A13" s="34"/>
      <c r="B13" s="105" t="s">
        <v>252</v>
      </c>
      <c r="C13" s="75">
        <v>1003</v>
      </c>
      <c r="D13" s="76">
        <v>0.22126626957864501</v>
      </c>
      <c r="E13" s="34"/>
      <c r="F13" s="34"/>
    </row>
    <row r="14" spans="1:6" ht="16.5">
      <c r="A14" s="34"/>
      <c r="B14" s="105" t="s">
        <v>253</v>
      </c>
      <c r="C14" s="75">
        <v>510</v>
      </c>
      <c r="D14" s="76">
        <v>0.112508272667108</v>
      </c>
      <c r="E14" s="34"/>
      <c r="F14" s="34"/>
    </row>
    <row r="15" spans="1:6" ht="16.5">
      <c r="A15" s="34"/>
      <c r="B15" s="105" t="s">
        <v>256</v>
      </c>
      <c r="C15" s="75">
        <v>358</v>
      </c>
      <c r="D15" s="76">
        <v>7.8976395323185997E-2</v>
      </c>
      <c r="E15" s="34"/>
      <c r="F15" s="34"/>
    </row>
    <row r="16" spans="1:6" ht="16.5">
      <c r="A16" s="34"/>
      <c r="B16" s="105" t="s">
        <v>254</v>
      </c>
      <c r="C16" s="75">
        <v>324</v>
      </c>
      <c r="D16" s="76">
        <v>7.1475843812044998E-2</v>
      </c>
      <c r="E16" s="34"/>
      <c r="F16" s="34"/>
    </row>
    <row r="17" spans="1:6" ht="16.5">
      <c r="A17" s="34"/>
      <c r="B17" s="105" t="s">
        <v>257</v>
      </c>
      <c r="C17" s="75">
        <v>261</v>
      </c>
      <c r="D17" s="76">
        <v>5.7577763070813998E-2</v>
      </c>
      <c r="E17" s="34"/>
      <c r="F17" s="34"/>
    </row>
    <row r="18" spans="1:6" ht="16.5">
      <c r="A18" s="34"/>
      <c r="B18" s="105" t="s">
        <v>255</v>
      </c>
      <c r="C18" s="75">
        <v>206</v>
      </c>
      <c r="D18" s="76">
        <v>4.5444517979263001E-2</v>
      </c>
      <c r="E18" s="34"/>
      <c r="F18" s="34"/>
    </row>
    <row r="19" spans="1:6" ht="16.5">
      <c r="A19" s="34"/>
      <c r="B19" s="105" t="s">
        <v>266</v>
      </c>
      <c r="C19" s="75">
        <v>166</v>
      </c>
      <c r="D19" s="76">
        <v>3.6620339730862997E-2</v>
      </c>
      <c r="E19" s="34"/>
      <c r="F19" s="34"/>
    </row>
    <row r="20" spans="1:6" ht="16.5">
      <c r="A20" s="34"/>
      <c r="B20" s="105" t="s">
        <v>258</v>
      </c>
      <c r="C20" s="75">
        <v>137</v>
      </c>
      <c r="D20" s="76">
        <v>3.0222810500772E-2</v>
      </c>
      <c r="E20" s="34"/>
      <c r="F20" s="34"/>
    </row>
    <row r="21" spans="1:6" ht="16.5">
      <c r="A21" s="34"/>
      <c r="B21" s="105" t="s">
        <v>264</v>
      </c>
      <c r="C21" s="75">
        <v>81</v>
      </c>
      <c r="D21" s="76">
        <v>1.7868960953011E-2</v>
      </c>
      <c r="E21" s="34"/>
      <c r="F21" s="34"/>
    </row>
    <row r="22" spans="1:6" ht="16.5">
      <c r="A22" s="34"/>
      <c r="B22" s="105" t="s">
        <v>259</v>
      </c>
      <c r="C22" s="75">
        <v>76</v>
      </c>
      <c r="D22" s="76">
        <v>1.6765938671960998E-2</v>
      </c>
      <c r="E22" s="34"/>
      <c r="F22" s="34"/>
    </row>
    <row r="23" spans="1:6" ht="16.5">
      <c r="A23" s="34"/>
      <c r="B23" s="105" t="s">
        <v>261</v>
      </c>
      <c r="C23" s="75">
        <v>69</v>
      </c>
      <c r="D23" s="76">
        <v>1.5221707478491E-2</v>
      </c>
      <c r="E23" s="34"/>
      <c r="F23" s="34"/>
    </row>
    <row r="24" spans="1:6" ht="16.5">
      <c r="A24" s="34"/>
      <c r="B24" s="105" t="s">
        <v>260</v>
      </c>
      <c r="C24" s="75">
        <v>68</v>
      </c>
      <c r="D24" s="76">
        <v>1.5001103022281E-2</v>
      </c>
      <c r="E24" s="34"/>
      <c r="F24" s="34"/>
    </row>
    <row r="25" spans="1:6" ht="16.5">
      <c r="A25" s="34"/>
      <c r="B25" s="105" t="s">
        <v>265</v>
      </c>
      <c r="C25" s="75">
        <v>40</v>
      </c>
      <c r="D25" s="76">
        <v>8.8241782484009997E-3</v>
      </c>
      <c r="E25" s="34"/>
      <c r="F25" s="34"/>
    </row>
    <row r="26" spans="1:6" ht="16.5">
      <c r="A26" s="34"/>
      <c r="B26" s="105" t="s">
        <v>263</v>
      </c>
      <c r="C26" s="75">
        <v>35</v>
      </c>
      <c r="D26" s="76">
        <v>7.721155967351E-3</v>
      </c>
      <c r="E26" s="34"/>
      <c r="F26" s="34"/>
    </row>
    <row r="27" spans="1:6" ht="16.5">
      <c r="A27" s="34"/>
      <c r="B27" s="105" t="s">
        <v>262</v>
      </c>
      <c r="C27" s="75">
        <v>35</v>
      </c>
      <c r="D27" s="76">
        <v>7.721155967351E-3</v>
      </c>
      <c r="E27" s="34"/>
      <c r="F27" s="34"/>
    </row>
    <row r="28" spans="1:6" ht="16.5">
      <c r="A28" s="34"/>
      <c r="B28" s="105" t="s">
        <v>267</v>
      </c>
      <c r="C28" s="75">
        <v>24</v>
      </c>
      <c r="D28" s="76">
        <v>5.2945069490400003E-3</v>
      </c>
      <c r="E28" s="34"/>
      <c r="F28" s="34"/>
    </row>
    <row r="29" spans="1:6" ht="16.5">
      <c r="A29" s="34"/>
      <c r="B29" s="105" t="s">
        <v>268</v>
      </c>
      <c r="C29" s="75">
        <v>16</v>
      </c>
      <c r="D29" s="76">
        <v>3.5296712993600002E-3</v>
      </c>
      <c r="E29" s="34"/>
      <c r="F29" s="34"/>
    </row>
    <row r="30" spans="1:6" ht="16.5">
      <c r="A30" s="34"/>
      <c r="B30" s="106" t="s">
        <v>29</v>
      </c>
      <c r="C30" s="72">
        <v>4533</v>
      </c>
      <c r="D30" s="73">
        <v>1</v>
      </c>
      <c r="E30" s="34"/>
      <c r="F30" s="34"/>
    </row>
    <row r="31" spans="1:6" ht="16.5">
      <c r="A31" s="34"/>
      <c r="E31" s="34"/>
      <c r="F31" s="34"/>
    </row>
    <row r="32" spans="1:6" ht="16.5">
      <c r="A32" s="34"/>
      <c r="B32" s="38" t="s">
        <v>218</v>
      </c>
      <c r="E32" s="34"/>
      <c r="F32" s="34"/>
    </row>
    <row r="33" spans="1:6" ht="16.5">
      <c r="A33" s="34"/>
      <c r="B33" s="40" t="s">
        <v>18</v>
      </c>
      <c r="E33" s="34"/>
      <c r="F33" s="34"/>
    </row>
    <row r="34" spans="1:6" ht="16.5">
      <c r="A34" s="34"/>
      <c r="B34" s="41" t="s">
        <v>45</v>
      </c>
      <c r="E34" s="34"/>
      <c r="F34" s="34"/>
    </row>
    <row r="35" spans="1:6" ht="16.5">
      <c r="A35" s="34"/>
      <c r="B35" s="38" t="s">
        <v>17</v>
      </c>
      <c r="E35" s="34"/>
      <c r="F35" s="34"/>
    </row>
    <row r="36" spans="1:6" ht="16.5">
      <c r="A36" s="34"/>
      <c r="B36" s="38" t="s">
        <v>317</v>
      </c>
      <c r="E36" s="34"/>
      <c r="F36" s="34"/>
    </row>
    <row r="37" spans="1:6" ht="16.5">
      <c r="A37" s="34"/>
      <c r="E37" s="34"/>
      <c r="F37" s="34"/>
    </row>
    <row r="38" spans="1:6" ht="16.5">
      <c r="A38" s="34"/>
      <c r="E38" s="34"/>
      <c r="F38" s="34"/>
    </row>
    <row r="39" spans="1:6" ht="16.5">
      <c r="A39" s="34"/>
      <c r="E39" s="34"/>
      <c r="F39" s="34"/>
    </row>
    <row r="40" spans="1:6" ht="16.5">
      <c r="A40" s="34"/>
      <c r="E40" s="34"/>
      <c r="F40" s="34"/>
    </row>
    <row r="41" spans="1:6" ht="16.5">
      <c r="A41" s="34"/>
      <c r="E41" s="34"/>
      <c r="F41" s="34"/>
    </row>
    <row r="42" spans="1:6" ht="16.5">
      <c r="A42" s="34"/>
      <c r="E42" s="34"/>
      <c r="F42" s="34"/>
    </row>
    <row r="43" spans="1:6" ht="16.5">
      <c r="A43" s="34"/>
      <c r="E43" s="34"/>
      <c r="F43" s="34"/>
    </row>
    <row r="44" spans="1:6" ht="16.5">
      <c r="A44" s="34"/>
      <c r="E44" s="34"/>
      <c r="F44" s="34"/>
    </row>
    <row r="45" spans="1:6" ht="16.5">
      <c r="A45" s="34"/>
      <c r="E45" s="34"/>
      <c r="F45" s="34"/>
    </row>
    <row r="46" spans="1:6" ht="16.5">
      <c r="A46" s="34"/>
      <c r="E46" s="34"/>
      <c r="F46" s="34"/>
    </row>
    <row r="47" spans="1:6" ht="16.5">
      <c r="A47" s="34"/>
      <c r="E47" s="34"/>
      <c r="F47" s="34"/>
    </row>
    <row r="48" spans="1:6" ht="16.5">
      <c r="A48" s="34"/>
      <c r="E48" s="34"/>
      <c r="F48" s="34"/>
    </row>
    <row r="49" spans="1:6" ht="16.5">
      <c r="A49" s="34"/>
      <c r="E49" s="34"/>
      <c r="F49" s="34"/>
    </row>
    <row r="50" spans="1:6" ht="16.5">
      <c r="A50" s="34"/>
      <c r="E50" s="34"/>
      <c r="F50" s="34"/>
    </row>
    <row r="51" spans="1:6" ht="16.5">
      <c r="A51" s="34"/>
      <c r="E51" s="34"/>
      <c r="F51" s="34"/>
    </row>
    <row r="52" spans="1:6" ht="16.5">
      <c r="A52" s="34"/>
      <c r="E52" s="34"/>
      <c r="F52" s="34"/>
    </row>
    <row r="53" spans="1:6" ht="16.5">
      <c r="A53" s="34"/>
      <c r="E53" s="34"/>
      <c r="F53" s="34"/>
    </row>
    <row r="54" spans="1:6" ht="16.5">
      <c r="A54" s="34"/>
      <c r="E54" s="34"/>
      <c r="F54" s="34"/>
    </row>
    <row r="55" spans="1:6" ht="16.5">
      <c r="A55" s="34"/>
      <c r="E55" s="34"/>
      <c r="F55" s="34"/>
    </row>
    <row r="56" spans="1:6" ht="16.5">
      <c r="A56" s="34"/>
      <c r="E56" s="34"/>
      <c r="F56" s="34"/>
    </row>
    <row r="57" spans="1:6" ht="16.5">
      <c r="A57" s="34"/>
      <c r="E57" s="34"/>
      <c r="F57" s="34"/>
    </row>
    <row r="58" spans="1:6" ht="16.5">
      <c r="A58" s="34"/>
      <c r="E58" s="34"/>
      <c r="F58" s="34"/>
    </row>
    <row r="59" spans="1:6" ht="16.5">
      <c r="A59" s="34"/>
      <c r="E59" s="34"/>
      <c r="F59" s="34"/>
    </row>
    <row r="60" spans="1:6" ht="16.5">
      <c r="A60" s="34"/>
      <c r="E60" s="34"/>
      <c r="F60" s="34"/>
    </row>
    <row r="61" spans="1:6" ht="16.5">
      <c r="A61" s="34"/>
      <c r="E61" s="34"/>
      <c r="F61" s="34"/>
    </row>
    <row r="62" spans="1:6" ht="16.5">
      <c r="A62" s="34"/>
      <c r="E62" s="34"/>
      <c r="F62" s="34"/>
    </row>
    <row r="63" spans="1:6" ht="16.5">
      <c r="A63" s="34"/>
      <c r="E63" s="34"/>
      <c r="F63" s="34"/>
    </row>
    <row r="64" spans="1:6" ht="16.5">
      <c r="A64" s="34"/>
      <c r="E64" s="34"/>
      <c r="F64" s="34"/>
    </row>
    <row r="65" spans="1:6" ht="16.5">
      <c r="A65" s="34"/>
      <c r="E65" s="34"/>
      <c r="F65" s="34"/>
    </row>
    <row r="66" spans="1:6" ht="16.5">
      <c r="A66" s="34"/>
      <c r="E66" s="34"/>
      <c r="F66" s="34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r:id="rId1"/>
  <headerFooter>
    <oddFooter>&amp;C&amp;P de &amp;N</oddFooter>
  </headerFooter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E527"/>
  <sheetViews>
    <sheetView showGridLines="0" view="pageBreakPreview" topLeftCell="A4" zoomScaleNormal="96" zoomScaleSheetLayoutView="100" workbookViewId="0">
      <selection activeCell="C9" sqref="C9"/>
    </sheetView>
  </sheetViews>
  <sheetFormatPr baseColWidth="10" defaultColWidth="35" defaultRowHeight="15" customHeight="1"/>
  <cols>
    <col min="1" max="1" width="1" style="18" customWidth="1"/>
    <col min="2" max="2" width="22.85546875" style="19" customWidth="1"/>
    <col min="3" max="3" width="35" style="19" customWidth="1"/>
    <col min="4" max="4" width="14.28515625" style="19" customWidth="1"/>
    <col min="5" max="5" width="16.85546875" style="18" customWidth="1"/>
    <col min="6" max="16384" width="35" style="18"/>
  </cols>
  <sheetData>
    <row r="1" spans="1:5" s="21" customFormat="1" ht="12" customHeight="1">
      <c r="B1" s="23"/>
      <c r="C1" s="20"/>
      <c r="D1" s="20"/>
      <c r="E1" s="20"/>
    </row>
    <row r="2" spans="1:5" s="21" customFormat="1" ht="15" customHeight="1">
      <c r="C2" s="25"/>
    </row>
    <row r="3" spans="1:5" s="21" customFormat="1" ht="15" customHeight="1">
      <c r="C3" s="25"/>
    </row>
    <row r="4" spans="1:5" s="21" customFormat="1" ht="30" customHeight="1">
      <c r="C4" s="25"/>
      <c r="D4" s="24"/>
    </row>
    <row r="5" spans="1:5" s="21" customFormat="1" ht="15" customHeight="1">
      <c r="C5" s="25"/>
      <c r="D5" s="24"/>
    </row>
    <row r="6" spans="1:5" s="21" customFormat="1" ht="24" customHeight="1">
      <c r="B6" s="46"/>
      <c r="C6" s="47"/>
      <c r="D6" s="47"/>
      <c r="E6" s="47"/>
    </row>
    <row r="7" spans="1:5" s="21" customFormat="1" ht="26.25" customHeight="1">
      <c r="A7" s="22"/>
      <c r="B7" s="118"/>
      <c r="C7" s="118"/>
      <c r="D7" s="118"/>
      <c r="E7" s="118"/>
    </row>
    <row r="8" spans="1:5" s="21" customFormat="1" ht="33" customHeight="1">
      <c r="A8" s="22"/>
      <c r="B8" s="118"/>
      <c r="C8" s="118"/>
      <c r="D8" s="118"/>
      <c r="E8" s="118"/>
    </row>
    <row r="9" spans="1:5" s="15" customFormat="1" ht="40.5" customHeight="1">
      <c r="B9" s="49" t="s">
        <v>25</v>
      </c>
      <c r="C9" s="50" t="s">
        <v>24</v>
      </c>
      <c r="D9" s="51" t="s">
        <v>20</v>
      </c>
      <c r="E9" s="49" t="s">
        <v>19</v>
      </c>
    </row>
    <row r="10" spans="1:5">
      <c r="B10" s="119" t="s">
        <v>250</v>
      </c>
      <c r="C10" s="99" t="s">
        <v>251</v>
      </c>
      <c r="D10" s="81">
        <v>285</v>
      </c>
      <c r="E10" s="82">
        <v>6.2872270019854001E-2</v>
      </c>
    </row>
    <row r="11" spans="1:5">
      <c r="B11" s="121"/>
      <c r="C11" s="99" t="s">
        <v>252</v>
      </c>
      <c r="D11" s="81">
        <v>280</v>
      </c>
      <c r="E11" s="82">
        <v>6.1769247738804003E-2</v>
      </c>
    </row>
    <row r="12" spans="1:5">
      <c r="B12" s="121"/>
      <c r="C12" s="99" t="s">
        <v>253</v>
      </c>
      <c r="D12" s="81">
        <v>143</v>
      </c>
      <c r="E12" s="82">
        <v>3.1546437238032E-2</v>
      </c>
    </row>
    <row r="13" spans="1:5">
      <c r="B13" s="121"/>
      <c r="C13" s="99" t="s">
        <v>254</v>
      </c>
      <c r="D13" s="81">
        <v>88</v>
      </c>
      <c r="E13" s="82">
        <v>1.9413192146481E-2</v>
      </c>
    </row>
    <row r="14" spans="1:5">
      <c r="B14" s="121"/>
      <c r="C14" s="99" t="s">
        <v>255</v>
      </c>
      <c r="D14" s="81">
        <v>83</v>
      </c>
      <c r="E14" s="82">
        <v>1.8310169865430999E-2</v>
      </c>
    </row>
    <row r="15" spans="1:5">
      <c r="B15" s="121"/>
      <c r="C15" s="99" t="s">
        <v>256</v>
      </c>
      <c r="D15" s="81">
        <v>79</v>
      </c>
      <c r="E15" s="82">
        <v>1.7427752040591001E-2</v>
      </c>
    </row>
    <row r="16" spans="1:5">
      <c r="B16" s="121"/>
      <c r="C16" s="99" t="s">
        <v>257</v>
      </c>
      <c r="D16" s="81">
        <v>54</v>
      </c>
      <c r="E16" s="82">
        <v>1.1912640635341001E-2</v>
      </c>
    </row>
    <row r="17" spans="2:5">
      <c r="B17" s="121"/>
      <c r="C17" s="99" t="s">
        <v>258</v>
      </c>
      <c r="D17" s="81">
        <v>43</v>
      </c>
      <c r="E17" s="82">
        <v>9.4859916170310001E-3</v>
      </c>
    </row>
    <row r="18" spans="2:5">
      <c r="B18" s="121"/>
      <c r="C18" s="99" t="s">
        <v>259</v>
      </c>
      <c r="D18" s="81">
        <v>19</v>
      </c>
      <c r="E18" s="82">
        <v>4.1914846679899998E-3</v>
      </c>
    </row>
    <row r="19" spans="2:5">
      <c r="B19" s="121"/>
      <c r="C19" s="99" t="s">
        <v>260</v>
      </c>
      <c r="D19" s="81">
        <v>16</v>
      </c>
      <c r="E19" s="82">
        <v>3.5296712993600002E-3</v>
      </c>
    </row>
    <row r="20" spans="2:5">
      <c r="B20" s="121"/>
      <c r="C20" s="99" t="s">
        <v>261</v>
      </c>
      <c r="D20" s="81">
        <v>13</v>
      </c>
      <c r="E20" s="82">
        <v>2.8678579307300001E-3</v>
      </c>
    </row>
    <row r="21" spans="2:5">
      <c r="B21" s="121"/>
      <c r="C21" s="99" t="s">
        <v>262</v>
      </c>
      <c r="D21" s="81">
        <v>11</v>
      </c>
      <c r="E21" s="82">
        <v>2.4266490183100001E-3</v>
      </c>
    </row>
    <row r="22" spans="2:5">
      <c r="B22" s="121"/>
      <c r="C22" s="99" t="s">
        <v>263</v>
      </c>
      <c r="D22" s="81">
        <v>9</v>
      </c>
      <c r="E22" s="82">
        <v>1.9854401058900001E-3</v>
      </c>
    </row>
    <row r="23" spans="2:5">
      <c r="B23" s="121"/>
      <c r="C23" s="99" t="s">
        <v>264</v>
      </c>
      <c r="D23" s="81">
        <v>8</v>
      </c>
      <c r="E23" s="82">
        <v>1.7648356496800001E-3</v>
      </c>
    </row>
    <row r="24" spans="2:5">
      <c r="B24" s="121"/>
      <c r="C24" s="99" t="s">
        <v>265</v>
      </c>
      <c r="D24" s="81">
        <v>7</v>
      </c>
      <c r="E24" s="82">
        <v>1.5442311934700001E-3</v>
      </c>
    </row>
    <row r="25" spans="2:5">
      <c r="B25" s="121"/>
      <c r="C25" s="99" t="s">
        <v>266</v>
      </c>
      <c r="D25" s="81">
        <v>7</v>
      </c>
      <c r="E25" s="82">
        <v>1.5442311934700001E-3</v>
      </c>
    </row>
    <row r="26" spans="2:5">
      <c r="B26" s="121"/>
      <c r="C26" s="99" t="s">
        <v>267</v>
      </c>
      <c r="D26" s="81">
        <v>6</v>
      </c>
      <c r="E26" s="82">
        <v>1.3236267372600001E-3</v>
      </c>
    </row>
    <row r="27" spans="2:5">
      <c r="B27" s="121"/>
      <c r="C27" s="99" t="s">
        <v>268</v>
      </c>
      <c r="D27" s="81">
        <v>5</v>
      </c>
      <c r="E27" s="82">
        <v>1.1030222810500001E-3</v>
      </c>
    </row>
    <row r="28" spans="2:5">
      <c r="B28" s="120"/>
      <c r="C28" s="85" t="s">
        <v>29</v>
      </c>
      <c r="D28" s="84">
        <v>1156</v>
      </c>
      <c r="E28" s="86">
        <v>0.255018751378778</v>
      </c>
    </row>
    <row r="29" spans="2:5">
      <c r="B29" s="119" t="s">
        <v>269</v>
      </c>
      <c r="C29" s="99" t="s">
        <v>266</v>
      </c>
      <c r="D29" s="81">
        <v>92</v>
      </c>
      <c r="E29" s="82">
        <v>2.0295609971320999E-2</v>
      </c>
    </row>
    <row r="30" spans="2:5">
      <c r="B30" s="121"/>
      <c r="C30" s="99" t="s">
        <v>252</v>
      </c>
      <c r="D30" s="81">
        <v>72</v>
      </c>
      <c r="E30" s="82">
        <v>1.5883520847121E-2</v>
      </c>
    </row>
    <row r="31" spans="2:5">
      <c r="B31" s="121"/>
      <c r="C31" s="99" t="s">
        <v>251</v>
      </c>
      <c r="D31" s="81">
        <v>57</v>
      </c>
      <c r="E31" s="82">
        <v>1.2574454003970999E-2</v>
      </c>
    </row>
    <row r="32" spans="2:5">
      <c r="B32" s="121"/>
      <c r="C32" s="99" t="s">
        <v>253</v>
      </c>
      <c r="D32" s="81">
        <v>48</v>
      </c>
      <c r="E32" s="82">
        <v>1.0589013898081E-2</v>
      </c>
    </row>
    <row r="33" spans="2:5">
      <c r="B33" s="121"/>
      <c r="C33" s="99" t="s">
        <v>256</v>
      </c>
      <c r="D33" s="81">
        <v>31</v>
      </c>
      <c r="E33" s="82">
        <v>6.8387381425099999E-3</v>
      </c>
    </row>
    <row r="34" spans="2:5">
      <c r="B34" s="121"/>
      <c r="C34" s="99" t="s">
        <v>261</v>
      </c>
      <c r="D34" s="81">
        <v>26</v>
      </c>
      <c r="E34" s="82">
        <v>5.7357158614600003E-3</v>
      </c>
    </row>
    <row r="35" spans="2:5">
      <c r="B35" s="121"/>
      <c r="C35" s="99" t="s">
        <v>255</v>
      </c>
      <c r="D35" s="81">
        <v>19</v>
      </c>
      <c r="E35" s="82">
        <v>4.1914846679899998E-3</v>
      </c>
    </row>
    <row r="36" spans="2:5">
      <c r="B36" s="121"/>
      <c r="C36" s="99" t="s">
        <v>254</v>
      </c>
      <c r="D36" s="81">
        <v>12</v>
      </c>
      <c r="E36" s="82">
        <v>2.6472534745200001E-3</v>
      </c>
    </row>
    <row r="37" spans="2:5">
      <c r="B37" s="121"/>
      <c r="C37" s="99" t="s">
        <v>258</v>
      </c>
      <c r="D37" s="81">
        <v>12</v>
      </c>
      <c r="E37" s="82">
        <v>2.6472534745200001E-3</v>
      </c>
    </row>
    <row r="38" spans="2:5">
      <c r="B38" s="121"/>
      <c r="C38" s="99" t="s">
        <v>257</v>
      </c>
      <c r="D38" s="81">
        <v>9</v>
      </c>
      <c r="E38" s="82">
        <v>1.9854401058900001E-3</v>
      </c>
    </row>
    <row r="39" spans="2:5">
      <c r="B39" s="121"/>
      <c r="C39" s="99" t="s">
        <v>265</v>
      </c>
      <c r="D39" s="81">
        <v>4</v>
      </c>
      <c r="E39" s="82">
        <v>8.8241782484000005E-4</v>
      </c>
    </row>
    <row r="40" spans="2:5">
      <c r="B40" s="121"/>
      <c r="C40" s="99" t="s">
        <v>259</v>
      </c>
      <c r="D40" s="81">
        <v>4</v>
      </c>
      <c r="E40" s="82">
        <v>8.8241782484000005E-4</v>
      </c>
    </row>
    <row r="41" spans="2:5">
      <c r="B41" s="121"/>
      <c r="C41" s="99" t="s">
        <v>260</v>
      </c>
      <c r="D41" s="81">
        <v>4</v>
      </c>
      <c r="E41" s="82">
        <v>8.8241782484000005E-4</v>
      </c>
    </row>
    <row r="42" spans="2:5">
      <c r="B42" s="121"/>
      <c r="C42" s="99" t="s">
        <v>267</v>
      </c>
      <c r="D42" s="81">
        <v>2</v>
      </c>
      <c r="E42" s="82">
        <v>4.4120891242000002E-4</v>
      </c>
    </row>
    <row r="43" spans="2:5">
      <c r="B43" s="121"/>
      <c r="C43" s="99" t="s">
        <v>268</v>
      </c>
      <c r="D43" s="81">
        <v>2</v>
      </c>
      <c r="E43" s="82">
        <v>4.4120891242000002E-4</v>
      </c>
    </row>
    <row r="44" spans="2:5">
      <c r="B44" s="121"/>
      <c r="C44" s="99" t="s">
        <v>264</v>
      </c>
      <c r="D44" s="81">
        <v>2</v>
      </c>
      <c r="E44" s="82">
        <v>4.4120891242000002E-4</v>
      </c>
    </row>
    <row r="45" spans="2:5">
      <c r="B45" s="121"/>
      <c r="C45" s="99" t="s">
        <v>262</v>
      </c>
      <c r="D45" s="81">
        <v>1</v>
      </c>
      <c r="E45" s="82">
        <v>2.2060445621000001E-4</v>
      </c>
    </row>
    <row r="46" spans="2:5">
      <c r="B46" s="120"/>
      <c r="C46" s="87" t="s">
        <v>29</v>
      </c>
      <c r="D46" s="83">
        <v>397</v>
      </c>
      <c r="E46" s="88">
        <v>8.7579969115375994E-2</v>
      </c>
    </row>
    <row r="47" spans="2:5">
      <c r="B47" s="119" t="s">
        <v>270</v>
      </c>
      <c r="C47" s="99" t="s">
        <v>251</v>
      </c>
      <c r="D47" s="81">
        <v>71</v>
      </c>
      <c r="E47" s="82">
        <v>1.5662916390911E-2</v>
      </c>
    </row>
    <row r="48" spans="2:5">
      <c r="B48" s="121"/>
      <c r="C48" s="99" t="s">
        <v>253</v>
      </c>
      <c r="D48" s="81">
        <v>56</v>
      </c>
      <c r="E48" s="82">
        <v>1.2353849547761E-2</v>
      </c>
    </row>
    <row r="49" spans="2:5">
      <c r="B49" s="121"/>
      <c r="C49" s="99" t="s">
        <v>256</v>
      </c>
      <c r="D49" s="81">
        <v>54</v>
      </c>
      <c r="E49" s="82">
        <v>1.1912640635341001E-2</v>
      </c>
    </row>
    <row r="50" spans="2:5">
      <c r="B50" s="121"/>
      <c r="C50" s="99" t="s">
        <v>252</v>
      </c>
      <c r="D50" s="81">
        <v>44</v>
      </c>
      <c r="E50" s="82">
        <v>9.7065960732409997E-3</v>
      </c>
    </row>
    <row r="51" spans="2:5">
      <c r="B51" s="121"/>
      <c r="C51" s="99" t="s">
        <v>254</v>
      </c>
      <c r="D51" s="81">
        <v>32</v>
      </c>
      <c r="E51" s="82">
        <v>7.0593425987200004E-3</v>
      </c>
    </row>
    <row r="52" spans="2:5">
      <c r="B52" s="121"/>
      <c r="C52" s="99" t="s">
        <v>257</v>
      </c>
      <c r="D52" s="81">
        <v>30</v>
      </c>
      <c r="E52" s="82">
        <v>6.6181336863000003E-3</v>
      </c>
    </row>
    <row r="53" spans="2:5">
      <c r="B53" s="121"/>
      <c r="C53" s="99" t="s">
        <v>258</v>
      </c>
      <c r="D53" s="81">
        <v>23</v>
      </c>
      <c r="E53" s="82">
        <v>5.0739024928299998E-3</v>
      </c>
    </row>
    <row r="54" spans="2:5">
      <c r="B54" s="121"/>
      <c r="C54" s="99" t="s">
        <v>260</v>
      </c>
      <c r="D54" s="81">
        <v>13</v>
      </c>
      <c r="E54" s="82">
        <v>2.8678579307300001E-3</v>
      </c>
    </row>
    <row r="55" spans="2:5">
      <c r="B55" s="121"/>
      <c r="C55" s="99" t="s">
        <v>255</v>
      </c>
      <c r="D55" s="81">
        <v>11</v>
      </c>
      <c r="E55" s="82">
        <v>2.4266490183100001E-3</v>
      </c>
    </row>
    <row r="56" spans="2:5">
      <c r="B56" s="121"/>
      <c r="C56" s="99" t="s">
        <v>266</v>
      </c>
      <c r="D56" s="81">
        <v>8</v>
      </c>
      <c r="E56" s="82">
        <v>1.7648356496800001E-3</v>
      </c>
    </row>
    <row r="57" spans="2:5">
      <c r="B57" s="121"/>
      <c r="C57" s="99" t="s">
        <v>265</v>
      </c>
      <c r="D57" s="81">
        <v>7</v>
      </c>
      <c r="E57" s="82">
        <v>1.5442311934700001E-3</v>
      </c>
    </row>
    <row r="58" spans="2:5">
      <c r="B58" s="121"/>
      <c r="C58" s="99" t="s">
        <v>259</v>
      </c>
      <c r="D58" s="81">
        <v>7</v>
      </c>
      <c r="E58" s="82">
        <v>1.5442311934700001E-3</v>
      </c>
    </row>
    <row r="59" spans="2:5">
      <c r="B59" s="121"/>
      <c r="C59" s="99" t="s">
        <v>262</v>
      </c>
      <c r="D59" s="81">
        <v>4</v>
      </c>
      <c r="E59" s="82">
        <v>8.8241782484000005E-4</v>
      </c>
    </row>
    <row r="60" spans="2:5">
      <c r="B60" s="121"/>
      <c r="C60" s="99" t="s">
        <v>261</v>
      </c>
      <c r="D60" s="81">
        <v>4</v>
      </c>
      <c r="E60" s="82">
        <v>8.8241782484000005E-4</v>
      </c>
    </row>
    <row r="61" spans="2:5">
      <c r="B61" s="121"/>
      <c r="C61" s="99" t="s">
        <v>264</v>
      </c>
      <c r="D61" s="81">
        <v>4</v>
      </c>
      <c r="E61" s="82">
        <v>8.8241782484000005E-4</v>
      </c>
    </row>
    <row r="62" spans="2:5">
      <c r="B62" s="121"/>
      <c r="C62" s="99" t="s">
        <v>263</v>
      </c>
      <c r="D62" s="81">
        <v>3</v>
      </c>
      <c r="E62" s="82">
        <v>6.6181336863000003E-4</v>
      </c>
    </row>
    <row r="63" spans="2:5">
      <c r="B63" s="121"/>
      <c r="C63" s="99" t="s">
        <v>267</v>
      </c>
      <c r="D63" s="81">
        <v>3</v>
      </c>
      <c r="E63" s="82">
        <v>6.6181336863000003E-4</v>
      </c>
    </row>
    <row r="64" spans="2:5">
      <c r="B64" s="121"/>
      <c r="C64" s="99" t="s">
        <v>268</v>
      </c>
      <c r="D64" s="81">
        <v>1</v>
      </c>
      <c r="E64" s="82">
        <v>2.2060445621000001E-4</v>
      </c>
    </row>
    <row r="65" spans="2:5">
      <c r="B65" s="120"/>
      <c r="C65" s="87" t="s">
        <v>29</v>
      </c>
      <c r="D65" s="83">
        <v>375</v>
      </c>
      <c r="E65" s="88">
        <v>8.2726671078756003E-2</v>
      </c>
    </row>
    <row r="66" spans="2:5">
      <c r="B66" s="119" t="s">
        <v>271</v>
      </c>
      <c r="C66" s="99" t="s">
        <v>252</v>
      </c>
      <c r="D66" s="81">
        <v>68</v>
      </c>
      <c r="E66" s="82">
        <v>1.5001103022281E-2</v>
      </c>
    </row>
    <row r="67" spans="2:5">
      <c r="B67" s="121"/>
      <c r="C67" s="99" t="s">
        <v>251</v>
      </c>
      <c r="D67" s="81">
        <v>52</v>
      </c>
      <c r="E67" s="82">
        <v>1.1471431722921E-2</v>
      </c>
    </row>
    <row r="68" spans="2:5">
      <c r="B68" s="121"/>
      <c r="C68" s="99" t="s">
        <v>253</v>
      </c>
      <c r="D68" s="81">
        <v>26</v>
      </c>
      <c r="E68" s="82">
        <v>5.7357158614600003E-3</v>
      </c>
    </row>
    <row r="69" spans="2:5">
      <c r="B69" s="121"/>
      <c r="C69" s="99" t="s">
        <v>256</v>
      </c>
      <c r="D69" s="81">
        <v>16</v>
      </c>
      <c r="E69" s="82">
        <v>3.5296712993600002E-3</v>
      </c>
    </row>
    <row r="70" spans="2:5">
      <c r="B70" s="121"/>
      <c r="C70" s="99" t="s">
        <v>254</v>
      </c>
      <c r="D70" s="81">
        <v>14</v>
      </c>
      <c r="E70" s="82">
        <v>3.0884623869400002E-3</v>
      </c>
    </row>
    <row r="71" spans="2:5">
      <c r="B71" s="121"/>
      <c r="C71" s="99" t="s">
        <v>266</v>
      </c>
      <c r="D71" s="81">
        <v>11</v>
      </c>
      <c r="E71" s="82">
        <v>2.4266490183100001E-3</v>
      </c>
    </row>
    <row r="72" spans="2:5">
      <c r="B72" s="121"/>
      <c r="C72" s="99" t="s">
        <v>257</v>
      </c>
      <c r="D72" s="81">
        <v>9</v>
      </c>
      <c r="E72" s="82">
        <v>1.9854401058900001E-3</v>
      </c>
    </row>
    <row r="73" spans="2:5">
      <c r="B73" s="121"/>
      <c r="C73" s="99" t="s">
        <v>258</v>
      </c>
      <c r="D73" s="81">
        <v>8</v>
      </c>
      <c r="E73" s="82">
        <v>1.7648356496800001E-3</v>
      </c>
    </row>
    <row r="74" spans="2:5">
      <c r="B74" s="121"/>
      <c r="C74" s="99" t="s">
        <v>255</v>
      </c>
      <c r="D74" s="81">
        <v>5</v>
      </c>
      <c r="E74" s="82">
        <v>1.1030222810500001E-3</v>
      </c>
    </row>
    <row r="75" spans="2:5">
      <c r="B75" s="121"/>
      <c r="C75" s="99" t="s">
        <v>259</v>
      </c>
      <c r="D75" s="81">
        <v>4</v>
      </c>
      <c r="E75" s="82">
        <v>8.8241782484000005E-4</v>
      </c>
    </row>
    <row r="76" spans="2:5">
      <c r="B76" s="121"/>
      <c r="C76" s="99" t="s">
        <v>263</v>
      </c>
      <c r="D76" s="81">
        <v>2</v>
      </c>
      <c r="E76" s="82">
        <v>4.4120891242000002E-4</v>
      </c>
    </row>
    <row r="77" spans="2:5">
      <c r="B77" s="121"/>
      <c r="C77" s="99" t="s">
        <v>262</v>
      </c>
      <c r="D77" s="81">
        <v>2</v>
      </c>
      <c r="E77" s="82">
        <v>4.4120891242000002E-4</v>
      </c>
    </row>
    <row r="78" spans="2:5">
      <c r="B78" s="121"/>
      <c r="C78" s="99" t="s">
        <v>261</v>
      </c>
      <c r="D78" s="81">
        <v>2</v>
      </c>
      <c r="E78" s="82">
        <v>4.4120891242000002E-4</v>
      </c>
    </row>
    <row r="79" spans="2:5">
      <c r="B79" s="121"/>
      <c r="C79" s="99" t="s">
        <v>260</v>
      </c>
      <c r="D79" s="81">
        <v>2</v>
      </c>
      <c r="E79" s="82">
        <v>4.4120891242000002E-4</v>
      </c>
    </row>
    <row r="80" spans="2:5">
      <c r="B80" s="121"/>
      <c r="C80" s="99" t="s">
        <v>265</v>
      </c>
      <c r="D80" s="81">
        <v>1</v>
      </c>
      <c r="E80" s="82">
        <v>2.2060445621000001E-4</v>
      </c>
    </row>
    <row r="81" spans="2:5">
      <c r="B81" s="121"/>
      <c r="C81" s="99" t="s">
        <v>268</v>
      </c>
      <c r="D81" s="81">
        <v>1</v>
      </c>
      <c r="E81" s="82">
        <v>2.2060445621000001E-4</v>
      </c>
    </row>
    <row r="82" spans="2:5">
      <c r="B82" s="121"/>
      <c r="C82" s="99" t="s">
        <v>264</v>
      </c>
      <c r="D82" s="81">
        <v>1</v>
      </c>
      <c r="E82" s="82">
        <v>2.2060445621000001E-4</v>
      </c>
    </row>
    <row r="83" spans="2:5">
      <c r="B83" s="120"/>
      <c r="C83" s="87" t="s">
        <v>29</v>
      </c>
      <c r="D83" s="83">
        <v>224</v>
      </c>
      <c r="E83" s="88">
        <v>4.9415398191043E-2</v>
      </c>
    </row>
    <row r="84" spans="2:5">
      <c r="B84" s="119" t="s">
        <v>272</v>
      </c>
      <c r="C84" s="99" t="s">
        <v>251</v>
      </c>
      <c r="D84" s="81">
        <v>61</v>
      </c>
      <c r="E84" s="82">
        <v>1.3456871828810999E-2</v>
      </c>
    </row>
    <row r="85" spans="2:5">
      <c r="B85" s="121"/>
      <c r="C85" s="99" t="s">
        <v>252</v>
      </c>
      <c r="D85" s="81">
        <v>61</v>
      </c>
      <c r="E85" s="82">
        <v>1.3456871828810999E-2</v>
      </c>
    </row>
    <row r="86" spans="2:5">
      <c r="B86" s="121"/>
      <c r="C86" s="99" t="s">
        <v>257</v>
      </c>
      <c r="D86" s="81">
        <v>25</v>
      </c>
      <c r="E86" s="82">
        <v>5.5151114052499998E-3</v>
      </c>
    </row>
    <row r="87" spans="2:5">
      <c r="B87" s="121"/>
      <c r="C87" s="99" t="s">
        <v>259</v>
      </c>
      <c r="D87" s="81">
        <v>9</v>
      </c>
      <c r="E87" s="82">
        <v>1.9854401058900001E-3</v>
      </c>
    </row>
    <row r="88" spans="2:5">
      <c r="B88" s="121"/>
      <c r="C88" s="99" t="s">
        <v>253</v>
      </c>
      <c r="D88" s="81">
        <v>8</v>
      </c>
      <c r="E88" s="82">
        <v>1.7648356496800001E-3</v>
      </c>
    </row>
    <row r="89" spans="2:5">
      <c r="B89" s="121"/>
      <c r="C89" s="99" t="s">
        <v>255</v>
      </c>
      <c r="D89" s="81">
        <v>8</v>
      </c>
      <c r="E89" s="82">
        <v>1.7648356496800001E-3</v>
      </c>
    </row>
    <row r="90" spans="2:5">
      <c r="B90" s="121"/>
      <c r="C90" s="99" t="s">
        <v>254</v>
      </c>
      <c r="D90" s="81">
        <v>6</v>
      </c>
      <c r="E90" s="82">
        <v>1.3236267372600001E-3</v>
      </c>
    </row>
    <row r="91" spans="2:5">
      <c r="B91" s="121"/>
      <c r="C91" s="99" t="s">
        <v>256</v>
      </c>
      <c r="D91" s="81">
        <v>6</v>
      </c>
      <c r="E91" s="82">
        <v>1.3236267372600001E-3</v>
      </c>
    </row>
    <row r="92" spans="2:5">
      <c r="B92" s="121"/>
      <c r="C92" s="99" t="s">
        <v>258</v>
      </c>
      <c r="D92" s="81">
        <v>4</v>
      </c>
      <c r="E92" s="82">
        <v>8.8241782484000005E-4</v>
      </c>
    </row>
    <row r="93" spans="2:5">
      <c r="B93" s="121"/>
      <c r="C93" s="99" t="s">
        <v>266</v>
      </c>
      <c r="D93" s="81">
        <v>3</v>
      </c>
      <c r="E93" s="82">
        <v>6.6181336863000003E-4</v>
      </c>
    </row>
    <row r="94" spans="2:5">
      <c r="B94" s="121"/>
      <c r="C94" s="99" t="s">
        <v>265</v>
      </c>
      <c r="D94" s="81">
        <v>2</v>
      </c>
      <c r="E94" s="82">
        <v>4.4120891242000002E-4</v>
      </c>
    </row>
    <row r="95" spans="2:5">
      <c r="B95" s="121"/>
      <c r="C95" s="99" t="s">
        <v>261</v>
      </c>
      <c r="D95" s="81">
        <v>2</v>
      </c>
      <c r="E95" s="82">
        <v>4.4120891242000002E-4</v>
      </c>
    </row>
    <row r="96" spans="2:5">
      <c r="B96" s="121"/>
      <c r="C96" s="99" t="s">
        <v>264</v>
      </c>
      <c r="D96" s="81">
        <v>2</v>
      </c>
      <c r="E96" s="82">
        <v>4.4120891242000002E-4</v>
      </c>
    </row>
    <row r="97" spans="2:5">
      <c r="B97" s="121"/>
      <c r="C97" s="99" t="s">
        <v>262</v>
      </c>
      <c r="D97" s="81">
        <v>1</v>
      </c>
      <c r="E97" s="82">
        <v>2.2060445621000001E-4</v>
      </c>
    </row>
    <row r="98" spans="2:5">
      <c r="B98" s="121"/>
      <c r="C98" s="99" t="s">
        <v>267</v>
      </c>
      <c r="D98" s="81">
        <v>1</v>
      </c>
      <c r="E98" s="82">
        <v>2.2060445621000001E-4</v>
      </c>
    </row>
    <row r="99" spans="2:5">
      <c r="B99" s="121"/>
      <c r="C99" s="99" t="s">
        <v>268</v>
      </c>
      <c r="D99" s="81">
        <v>1</v>
      </c>
      <c r="E99" s="82">
        <v>2.2060445621000001E-4</v>
      </c>
    </row>
    <row r="100" spans="2:5">
      <c r="B100" s="121"/>
      <c r="C100" s="99" t="s">
        <v>260</v>
      </c>
      <c r="D100" s="81">
        <v>1</v>
      </c>
      <c r="E100" s="82">
        <v>2.2060445621000001E-4</v>
      </c>
    </row>
    <row r="101" spans="2:5">
      <c r="B101" s="120"/>
      <c r="C101" s="87" t="s">
        <v>29</v>
      </c>
      <c r="D101" s="83">
        <v>201</v>
      </c>
      <c r="E101" s="88">
        <v>4.4341495698213003E-2</v>
      </c>
    </row>
    <row r="102" spans="2:5">
      <c r="B102" s="119" t="s">
        <v>273</v>
      </c>
      <c r="C102" s="99" t="s">
        <v>251</v>
      </c>
      <c r="D102" s="81">
        <v>80</v>
      </c>
      <c r="E102" s="82">
        <v>1.7648356496801E-2</v>
      </c>
    </row>
    <row r="103" spans="2:5">
      <c r="B103" s="121"/>
      <c r="C103" s="99" t="s">
        <v>252</v>
      </c>
      <c r="D103" s="81">
        <v>43</v>
      </c>
      <c r="E103" s="82">
        <v>9.4859916170310001E-3</v>
      </c>
    </row>
    <row r="104" spans="2:5">
      <c r="B104" s="121"/>
      <c r="C104" s="99" t="s">
        <v>256</v>
      </c>
      <c r="D104" s="81">
        <v>16</v>
      </c>
      <c r="E104" s="82">
        <v>3.5296712993600002E-3</v>
      </c>
    </row>
    <row r="105" spans="2:5">
      <c r="B105" s="121"/>
      <c r="C105" s="99" t="s">
        <v>253</v>
      </c>
      <c r="D105" s="81">
        <v>8</v>
      </c>
      <c r="E105" s="82">
        <v>1.7648356496800001E-3</v>
      </c>
    </row>
    <row r="106" spans="2:5">
      <c r="B106" s="121"/>
      <c r="C106" s="99" t="s">
        <v>254</v>
      </c>
      <c r="D106" s="81">
        <v>6</v>
      </c>
      <c r="E106" s="82">
        <v>1.3236267372600001E-3</v>
      </c>
    </row>
    <row r="107" spans="2:5">
      <c r="B107" s="121"/>
      <c r="C107" s="99" t="s">
        <v>257</v>
      </c>
      <c r="D107" s="81">
        <v>5</v>
      </c>
      <c r="E107" s="82">
        <v>1.1030222810500001E-3</v>
      </c>
    </row>
    <row r="108" spans="2:5">
      <c r="B108" s="121"/>
      <c r="C108" s="99" t="s">
        <v>266</v>
      </c>
      <c r="D108" s="81">
        <v>4</v>
      </c>
      <c r="E108" s="82">
        <v>8.8241782484000005E-4</v>
      </c>
    </row>
    <row r="109" spans="2:5">
      <c r="B109" s="121"/>
      <c r="C109" s="99" t="s">
        <v>255</v>
      </c>
      <c r="D109" s="81">
        <v>3</v>
      </c>
      <c r="E109" s="82">
        <v>6.6181336863000003E-4</v>
      </c>
    </row>
    <row r="110" spans="2:5">
      <c r="B110" s="121"/>
      <c r="C110" s="99" t="s">
        <v>264</v>
      </c>
      <c r="D110" s="81">
        <v>3</v>
      </c>
      <c r="E110" s="82">
        <v>6.6181336863000003E-4</v>
      </c>
    </row>
    <row r="111" spans="2:5">
      <c r="B111" s="121"/>
      <c r="C111" s="99" t="s">
        <v>261</v>
      </c>
      <c r="D111" s="81">
        <v>2</v>
      </c>
      <c r="E111" s="82">
        <v>4.4120891242000002E-4</v>
      </c>
    </row>
    <row r="112" spans="2:5">
      <c r="B112" s="121"/>
      <c r="C112" s="99" t="s">
        <v>265</v>
      </c>
      <c r="D112" s="81">
        <v>1</v>
      </c>
      <c r="E112" s="82">
        <v>2.2060445621000001E-4</v>
      </c>
    </row>
    <row r="113" spans="2:5">
      <c r="B113" s="121"/>
      <c r="C113" s="99" t="s">
        <v>263</v>
      </c>
      <c r="D113" s="81">
        <v>1</v>
      </c>
      <c r="E113" s="82">
        <v>2.2060445621000001E-4</v>
      </c>
    </row>
    <row r="114" spans="2:5">
      <c r="B114" s="121"/>
      <c r="C114" s="99" t="s">
        <v>259</v>
      </c>
      <c r="D114" s="81">
        <v>1</v>
      </c>
      <c r="E114" s="82">
        <v>2.2060445621000001E-4</v>
      </c>
    </row>
    <row r="115" spans="2:5">
      <c r="B115" s="121"/>
      <c r="C115" s="99" t="s">
        <v>267</v>
      </c>
      <c r="D115" s="81">
        <v>1</v>
      </c>
      <c r="E115" s="82">
        <v>2.2060445621000001E-4</v>
      </c>
    </row>
    <row r="116" spans="2:5">
      <c r="B116" s="120"/>
      <c r="C116" s="87" t="s">
        <v>29</v>
      </c>
      <c r="D116" s="83">
        <v>174</v>
      </c>
      <c r="E116" s="88">
        <v>3.8385175380543E-2</v>
      </c>
    </row>
    <row r="117" spans="2:5">
      <c r="B117" s="119" t="s">
        <v>274</v>
      </c>
      <c r="C117" s="99" t="s">
        <v>251</v>
      </c>
      <c r="D117" s="81">
        <v>64</v>
      </c>
      <c r="E117" s="82">
        <v>1.4118685197441E-2</v>
      </c>
    </row>
    <row r="118" spans="2:5">
      <c r="B118" s="121"/>
      <c r="C118" s="99" t="s">
        <v>252</v>
      </c>
      <c r="D118" s="81">
        <v>39</v>
      </c>
      <c r="E118" s="82">
        <v>8.6035737921910001E-3</v>
      </c>
    </row>
    <row r="119" spans="2:5">
      <c r="B119" s="121"/>
      <c r="C119" s="99" t="s">
        <v>253</v>
      </c>
      <c r="D119" s="81">
        <v>17</v>
      </c>
      <c r="E119" s="82">
        <v>3.7502757555700002E-3</v>
      </c>
    </row>
    <row r="120" spans="2:5">
      <c r="B120" s="121"/>
      <c r="C120" s="99" t="s">
        <v>255</v>
      </c>
      <c r="D120" s="81">
        <v>7</v>
      </c>
      <c r="E120" s="82">
        <v>1.5442311934700001E-3</v>
      </c>
    </row>
    <row r="121" spans="2:5">
      <c r="B121" s="121"/>
      <c r="C121" s="99" t="s">
        <v>254</v>
      </c>
      <c r="D121" s="81">
        <v>6</v>
      </c>
      <c r="E121" s="82">
        <v>1.3236267372600001E-3</v>
      </c>
    </row>
    <row r="122" spans="2:5">
      <c r="B122" s="121"/>
      <c r="C122" s="99" t="s">
        <v>256</v>
      </c>
      <c r="D122" s="81">
        <v>6</v>
      </c>
      <c r="E122" s="82">
        <v>1.3236267372600001E-3</v>
      </c>
    </row>
    <row r="123" spans="2:5">
      <c r="B123" s="121"/>
      <c r="C123" s="99" t="s">
        <v>266</v>
      </c>
      <c r="D123" s="81">
        <v>5</v>
      </c>
      <c r="E123" s="82">
        <v>1.1030222810500001E-3</v>
      </c>
    </row>
    <row r="124" spans="2:5">
      <c r="B124" s="121"/>
      <c r="C124" s="99" t="s">
        <v>257</v>
      </c>
      <c r="D124" s="81">
        <v>5</v>
      </c>
      <c r="E124" s="82">
        <v>1.1030222810500001E-3</v>
      </c>
    </row>
    <row r="125" spans="2:5">
      <c r="B125" s="121"/>
      <c r="C125" s="99" t="s">
        <v>265</v>
      </c>
      <c r="D125" s="81">
        <v>3</v>
      </c>
      <c r="E125" s="82">
        <v>6.6181336863000003E-4</v>
      </c>
    </row>
    <row r="126" spans="2:5">
      <c r="B126" s="121"/>
      <c r="C126" s="99" t="s">
        <v>264</v>
      </c>
      <c r="D126" s="81">
        <v>3</v>
      </c>
      <c r="E126" s="82">
        <v>6.6181336863000003E-4</v>
      </c>
    </row>
    <row r="127" spans="2:5">
      <c r="B127" s="121"/>
      <c r="C127" s="99" t="s">
        <v>260</v>
      </c>
      <c r="D127" s="81">
        <v>3</v>
      </c>
      <c r="E127" s="82">
        <v>6.6181336863000003E-4</v>
      </c>
    </row>
    <row r="128" spans="2:5">
      <c r="B128" s="121"/>
      <c r="C128" s="99" t="s">
        <v>267</v>
      </c>
      <c r="D128" s="81">
        <v>2</v>
      </c>
      <c r="E128" s="82">
        <v>4.4120891242000002E-4</v>
      </c>
    </row>
    <row r="129" spans="2:5">
      <c r="B129" s="121"/>
      <c r="C129" s="99" t="s">
        <v>261</v>
      </c>
      <c r="D129" s="81">
        <v>2</v>
      </c>
      <c r="E129" s="82">
        <v>4.4120891242000002E-4</v>
      </c>
    </row>
    <row r="130" spans="2:5">
      <c r="B130" s="121"/>
      <c r="C130" s="99" t="s">
        <v>263</v>
      </c>
      <c r="D130" s="81">
        <v>1</v>
      </c>
      <c r="E130" s="82">
        <v>2.2060445621000001E-4</v>
      </c>
    </row>
    <row r="131" spans="2:5">
      <c r="B131" s="121"/>
      <c r="C131" s="99" t="s">
        <v>262</v>
      </c>
      <c r="D131" s="81">
        <v>1</v>
      </c>
      <c r="E131" s="82">
        <v>2.2060445621000001E-4</v>
      </c>
    </row>
    <row r="132" spans="2:5">
      <c r="B132" s="121"/>
      <c r="C132" s="99" t="s">
        <v>259</v>
      </c>
      <c r="D132" s="81">
        <v>1</v>
      </c>
      <c r="E132" s="82">
        <v>2.2060445621000001E-4</v>
      </c>
    </row>
    <row r="133" spans="2:5">
      <c r="B133" s="121"/>
      <c r="C133" s="99" t="s">
        <v>258</v>
      </c>
      <c r="D133" s="81">
        <v>1</v>
      </c>
      <c r="E133" s="82">
        <v>2.2060445621000001E-4</v>
      </c>
    </row>
    <row r="134" spans="2:5">
      <c r="B134" s="120"/>
      <c r="C134" s="87" t="s">
        <v>29</v>
      </c>
      <c r="D134" s="83">
        <v>166</v>
      </c>
      <c r="E134" s="88">
        <v>3.6620339730862997E-2</v>
      </c>
    </row>
    <row r="135" spans="2:5">
      <c r="B135" s="119" t="s">
        <v>275</v>
      </c>
      <c r="C135" s="99" t="s">
        <v>254</v>
      </c>
      <c r="D135" s="81">
        <v>23</v>
      </c>
      <c r="E135" s="82">
        <v>5.0739024928299998E-3</v>
      </c>
    </row>
    <row r="136" spans="2:5">
      <c r="B136" s="121"/>
      <c r="C136" s="99" t="s">
        <v>252</v>
      </c>
      <c r="D136" s="81">
        <v>22</v>
      </c>
      <c r="E136" s="82">
        <v>4.8532980366200002E-3</v>
      </c>
    </row>
    <row r="137" spans="2:5">
      <c r="B137" s="121"/>
      <c r="C137" s="99" t="s">
        <v>264</v>
      </c>
      <c r="D137" s="81">
        <v>22</v>
      </c>
      <c r="E137" s="82">
        <v>4.8532980366200002E-3</v>
      </c>
    </row>
    <row r="138" spans="2:5">
      <c r="B138" s="121"/>
      <c r="C138" s="99" t="s">
        <v>251</v>
      </c>
      <c r="D138" s="81">
        <v>16</v>
      </c>
      <c r="E138" s="82">
        <v>3.5296712993600002E-3</v>
      </c>
    </row>
    <row r="139" spans="2:5">
      <c r="B139" s="121"/>
      <c r="C139" s="99" t="s">
        <v>253</v>
      </c>
      <c r="D139" s="81">
        <v>15</v>
      </c>
      <c r="E139" s="82">
        <v>3.3090668431500002E-3</v>
      </c>
    </row>
    <row r="140" spans="2:5">
      <c r="B140" s="121"/>
      <c r="C140" s="99" t="s">
        <v>259</v>
      </c>
      <c r="D140" s="81">
        <v>9</v>
      </c>
      <c r="E140" s="82">
        <v>1.9854401058900001E-3</v>
      </c>
    </row>
    <row r="141" spans="2:5">
      <c r="B141" s="121"/>
      <c r="C141" s="99" t="s">
        <v>266</v>
      </c>
      <c r="D141" s="81">
        <v>9</v>
      </c>
      <c r="E141" s="82">
        <v>1.9854401058900001E-3</v>
      </c>
    </row>
    <row r="142" spans="2:5">
      <c r="B142" s="121"/>
      <c r="C142" s="99" t="s">
        <v>257</v>
      </c>
      <c r="D142" s="81">
        <v>9</v>
      </c>
      <c r="E142" s="82">
        <v>1.9854401058900001E-3</v>
      </c>
    </row>
    <row r="143" spans="2:5">
      <c r="B143" s="121"/>
      <c r="C143" s="99" t="s">
        <v>258</v>
      </c>
      <c r="D143" s="81">
        <v>7</v>
      </c>
      <c r="E143" s="82">
        <v>1.5442311934700001E-3</v>
      </c>
    </row>
    <row r="144" spans="2:5">
      <c r="B144" s="121"/>
      <c r="C144" s="99" t="s">
        <v>255</v>
      </c>
      <c r="D144" s="81">
        <v>5</v>
      </c>
      <c r="E144" s="82">
        <v>1.1030222810500001E-3</v>
      </c>
    </row>
    <row r="145" spans="2:5">
      <c r="B145" s="121"/>
      <c r="C145" s="99" t="s">
        <v>260</v>
      </c>
      <c r="D145" s="81">
        <v>5</v>
      </c>
      <c r="E145" s="82">
        <v>1.1030222810500001E-3</v>
      </c>
    </row>
    <row r="146" spans="2:5">
      <c r="B146" s="121"/>
      <c r="C146" s="99" t="s">
        <v>265</v>
      </c>
      <c r="D146" s="81">
        <v>1</v>
      </c>
      <c r="E146" s="82">
        <v>2.2060445621000001E-4</v>
      </c>
    </row>
    <row r="147" spans="2:5">
      <c r="B147" s="121"/>
      <c r="C147" s="99" t="s">
        <v>256</v>
      </c>
      <c r="D147" s="81">
        <v>1</v>
      </c>
      <c r="E147" s="82">
        <v>2.2060445621000001E-4</v>
      </c>
    </row>
    <row r="148" spans="2:5">
      <c r="B148" s="121"/>
      <c r="C148" s="99" t="s">
        <v>263</v>
      </c>
      <c r="D148" s="81">
        <v>1</v>
      </c>
      <c r="E148" s="82">
        <v>2.2060445621000001E-4</v>
      </c>
    </row>
    <row r="149" spans="2:5">
      <c r="B149" s="121"/>
      <c r="C149" s="99" t="s">
        <v>261</v>
      </c>
      <c r="D149" s="81">
        <v>1</v>
      </c>
      <c r="E149" s="82">
        <v>2.2060445621000001E-4</v>
      </c>
    </row>
    <row r="150" spans="2:5">
      <c r="B150" s="120"/>
      <c r="C150" s="87" t="s">
        <v>29</v>
      </c>
      <c r="D150" s="83">
        <v>146</v>
      </c>
      <c r="E150" s="88">
        <v>3.2208250606661999E-2</v>
      </c>
    </row>
    <row r="151" spans="2:5">
      <c r="B151" s="119" t="s">
        <v>276</v>
      </c>
      <c r="C151" s="99" t="s">
        <v>252</v>
      </c>
      <c r="D151" s="81">
        <v>44</v>
      </c>
      <c r="E151" s="82">
        <v>9.7065960732409997E-3</v>
      </c>
    </row>
    <row r="152" spans="2:5">
      <c r="B152" s="121"/>
      <c r="C152" s="99" t="s">
        <v>251</v>
      </c>
      <c r="D152" s="81">
        <v>36</v>
      </c>
      <c r="E152" s="82">
        <v>7.9417604235609996E-3</v>
      </c>
    </row>
    <row r="153" spans="2:5">
      <c r="B153" s="121"/>
      <c r="C153" s="99" t="s">
        <v>253</v>
      </c>
      <c r="D153" s="81">
        <v>17</v>
      </c>
      <c r="E153" s="82">
        <v>3.7502757555700002E-3</v>
      </c>
    </row>
    <row r="154" spans="2:5">
      <c r="B154" s="121"/>
      <c r="C154" s="99" t="s">
        <v>256</v>
      </c>
      <c r="D154" s="81">
        <v>14</v>
      </c>
      <c r="E154" s="82">
        <v>3.0884623869400002E-3</v>
      </c>
    </row>
    <row r="155" spans="2:5">
      <c r="B155" s="121"/>
      <c r="C155" s="99" t="s">
        <v>254</v>
      </c>
      <c r="D155" s="81">
        <v>7</v>
      </c>
      <c r="E155" s="82">
        <v>1.5442311934700001E-3</v>
      </c>
    </row>
    <row r="156" spans="2:5">
      <c r="B156" s="121"/>
      <c r="C156" s="99" t="s">
        <v>257</v>
      </c>
      <c r="D156" s="81">
        <v>7</v>
      </c>
      <c r="E156" s="82">
        <v>1.5442311934700001E-3</v>
      </c>
    </row>
    <row r="157" spans="2:5">
      <c r="B157" s="121"/>
      <c r="C157" s="99" t="s">
        <v>266</v>
      </c>
      <c r="D157" s="81">
        <v>5</v>
      </c>
      <c r="E157" s="82">
        <v>1.1030222810500001E-3</v>
      </c>
    </row>
    <row r="158" spans="2:5">
      <c r="B158" s="121"/>
      <c r="C158" s="99" t="s">
        <v>255</v>
      </c>
      <c r="D158" s="81">
        <v>3</v>
      </c>
      <c r="E158" s="82">
        <v>6.6181336863000003E-4</v>
      </c>
    </row>
    <row r="159" spans="2:5">
      <c r="B159" s="121"/>
      <c r="C159" s="99" t="s">
        <v>259</v>
      </c>
      <c r="D159" s="81">
        <v>2</v>
      </c>
      <c r="E159" s="82">
        <v>4.4120891242000002E-4</v>
      </c>
    </row>
    <row r="160" spans="2:5">
      <c r="B160" s="121"/>
      <c r="C160" s="99" t="s">
        <v>261</v>
      </c>
      <c r="D160" s="81">
        <v>2</v>
      </c>
      <c r="E160" s="82">
        <v>4.4120891242000002E-4</v>
      </c>
    </row>
    <row r="161" spans="2:5">
      <c r="B161" s="121"/>
      <c r="C161" s="99" t="s">
        <v>264</v>
      </c>
      <c r="D161" s="81">
        <v>2</v>
      </c>
      <c r="E161" s="82">
        <v>4.4120891242000002E-4</v>
      </c>
    </row>
    <row r="162" spans="2:5">
      <c r="B162" s="121"/>
      <c r="C162" s="99" t="s">
        <v>260</v>
      </c>
      <c r="D162" s="81">
        <v>2</v>
      </c>
      <c r="E162" s="82">
        <v>4.4120891242000002E-4</v>
      </c>
    </row>
    <row r="163" spans="2:5">
      <c r="B163" s="121"/>
      <c r="C163" s="99" t="s">
        <v>267</v>
      </c>
      <c r="D163" s="81">
        <v>1</v>
      </c>
      <c r="E163" s="82">
        <v>2.2060445621000001E-4</v>
      </c>
    </row>
    <row r="164" spans="2:5">
      <c r="B164" s="121"/>
      <c r="C164" s="99" t="s">
        <v>258</v>
      </c>
      <c r="D164" s="81">
        <v>1</v>
      </c>
      <c r="E164" s="82">
        <v>2.2060445621000001E-4</v>
      </c>
    </row>
    <row r="165" spans="2:5">
      <c r="B165" s="120"/>
      <c r="C165" s="87" t="s">
        <v>29</v>
      </c>
      <c r="D165" s="83">
        <v>143</v>
      </c>
      <c r="E165" s="88">
        <v>3.1546437238032E-2</v>
      </c>
    </row>
    <row r="166" spans="2:5">
      <c r="B166" s="119" t="s">
        <v>277</v>
      </c>
      <c r="C166" s="99" t="s">
        <v>251</v>
      </c>
      <c r="D166" s="81">
        <v>47</v>
      </c>
      <c r="E166" s="82">
        <v>1.0368409441871E-2</v>
      </c>
    </row>
    <row r="167" spans="2:5">
      <c r="B167" s="121"/>
      <c r="C167" s="99" t="s">
        <v>252</v>
      </c>
      <c r="D167" s="81">
        <v>37</v>
      </c>
      <c r="E167" s="82">
        <v>8.1623648797709992E-3</v>
      </c>
    </row>
    <row r="168" spans="2:5">
      <c r="B168" s="121"/>
      <c r="C168" s="99" t="s">
        <v>254</v>
      </c>
      <c r="D168" s="81">
        <v>11</v>
      </c>
      <c r="E168" s="82">
        <v>2.4266490183100001E-3</v>
      </c>
    </row>
    <row r="169" spans="2:5">
      <c r="B169" s="121"/>
      <c r="C169" s="99" t="s">
        <v>256</v>
      </c>
      <c r="D169" s="81">
        <v>11</v>
      </c>
      <c r="E169" s="82">
        <v>2.4266490183100001E-3</v>
      </c>
    </row>
    <row r="170" spans="2:5">
      <c r="B170" s="121"/>
      <c r="C170" s="99" t="s">
        <v>253</v>
      </c>
      <c r="D170" s="81">
        <v>10</v>
      </c>
      <c r="E170" s="82">
        <v>2.2060445621000001E-3</v>
      </c>
    </row>
    <row r="171" spans="2:5">
      <c r="B171" s="121"/>
      <c r="C171" s="99" t="s">
        <v>266</v>
      </c>
      <c r="D171" s="81">
        <v>4</v>
      </c>
      <c r="E171" s="82">
        <v>8.8241782484000005E-4</v>
      </c>
    </row>
    <row r="172" spans="2:5">
      <c r="B172" s="121"/>
      <c r="C172" s="99" t="s">
        <v>260</v>
      </c>
      <c r="D172" s="81">
        <v>4</v>
      </c>
      <c r="E172" s="82">
        <v>8.8241782484000005E-4</v>
      </c>
    </row>
    <row r="173" spans="2:5">
      <c r="B173" s="121"/>
      <c r="C173" s="99" t="s">
        <v>255</v>
      </c>
      <c r="D173" s="81">
        <v>3</v>
      </c>
      <c r="E173" s="82">
        <v>6.6181336863000003E-4</v>
      </c>
    </row>
    <row r="174" spans="2:5">
      <c r="B174" s="121"/>
      <c r="C174" s="99" t="s">
        <v>261</v>
      </c>
      <c r="D174" s="81">
        <v>3</v>
      </c>
      <c r="E174" s="82">
        <v>6.6181336863000003E-4</v>
      </c>
    </row>
    <row r="175" spans="2:5">
      <c r="B175" s="121"/>
      <c r="C175" s="99" t="s">
        <v>257</v>
      </c>
      <c r="D175" s="81">
        <v>3</v>
      </c>
      <c r="E175" s="82">
        <v>6.6181336863000003E-4</v>
      </c>
    </row>
    <row r="176" spans="2:5">
      <c r="B176" s="121"/>
      <c r="C176" s="99" t="s">
        <v>265</v>
      </c>
      <c r="D176" s="81">
        <v>2</v>
      </c>
      <c r="E176" s="82">
        <v>4.4120891242000002E-4</v>
      </c>
    </row>
    <row r="177" spans="2:5">
      <c r="B177" s="121"/>
      <c r="C177" s="99" t="s">
        <v>262</v>
      </c>
      <c r="D177" s="81">
        <v>2</v>
      </c>
      <c r="E177" s="82">
        <v>4.4120891242000002E-4</v>
      </c>
    </row>
    <row r="178" spans="2:5">
      <c r="B178" s="121"/>
      <c r="C178" s="99" t="s">
        <v>258</v>
      </c>
      <c r="D178" s="81">
        <v>2</v>
      </c>
      <c r="E178" s="82">
        <v>4.4120891242000002E-4</v>
      </c>
    </row>
    <row r="179" spans="2:5">
      <c r="B179" s="121"/>
      <c r="C179" s="99" t="s">
        <v>264</v>
      </c>
      <c r="D179" s="81">
        <v>1</v>
      </c>
      <c r="E179" s="82">
        <v>2.2060445621000001E-4</v>
      </c>
    </row>
    <row r="180" spans="2:5">
      <c r="B180" s="120"/>
      <c r="C180" s="87" t="s">
        <v>29</v>
      </c>
      <c r="D180" s="83">
        <v>140</v>
      </c>
      <c r="E180" s="88">
        <v>3.0884623869402002E-2</v>
      </c>
    </row>
    <row r="181" spans="2:5">
      <c r="B181" s="119" t="s">
        <v>278</v>
      </c>
      <c r="C181" s="99" t="s">
        <v>251</v>
      </c>
      <c r="D181" s="81">
        <v>48</v>
      </c>
      <c r="E181" s="82">
        <v>1.0589013898081E-2</v>
      </c>
    </row>
    <row r="182" spans="2:5">
      <c r="B182" s="121"/>
      <c r="C182" s="99" t="s">
        <v>254</v>
      </c>
      <c r="D182" s="81">
        <v>19</v>
      </c>
      <c r="E182" s="82">
        <v>4.1914846679899998E-3</v>
      </c>
    </row>
    <row r="183" spans="2:5">
      <c r="B183" s="121"/>
      <c r="C183" s="99" t="s">
        <v>256</v>
      </c>
      <c r="D183" s="81">
        <v>18</v>
      </c>
      <c r="E183" s="82">
        <v>3.9708802117800002E-3</v>
      </c>
    </row>
    <row r="184" spans="2:5">
      <c r="B184" s="121"/>
      <c r="C184" s="99" t="s">
        <v>253</v>
      </c>
      <c r="D184" s="81">
        <v>10</v>
      </c>
      <c r="E184" s="82">
        <v>2.2060445621000001E-3</v>
      </c>
    </row>
    <row r="185" spans="2:5">
      <c r="B185" s="121"/>
      <c r="C185" s="99" t="s">
        <v>252</v>
      </c>
      <c r="D185" s="81">
        <v>10</v>
      </c>
      <c r="E185" s="82">
        <v>2.2060445621000001E-3</v>
      </c>
    </row>
    <row r="186" spans="2:5">
      <c r="B186" s="121"/>
      <c r="C186" s="99" t="s">
        <v>264</v>
      </c>
      <c r="D186" s="81">
        <v>7</v>
      </c>
      <c r="E186" s="82">
        <v>1.5442311934700001E-3</v>
      </c>
    </row>
    <row r="187" spans="2:5">
      <c r="B187" s="121"/>
      <c r="C187" s="99" t="s">
        <v>255</v>
      </c>
      <c r="D187" s="81">
        <v>4</v>
      </c>
      <c r="E187" s="82">
        <v>8.8241782484000005E-4</v>
      </c>
    </row>
    <row r="188" spans="2:5">
      <c r="B188" s="121"/>
      <c r="C188" s="99" t="s">
        <v>257</v>
      </c>
      <c r="D188" s="81">
        <v>3</v>
      </c>
      <c r="E188" s="82">
        <v>6.6181336863000003E-4</v>
      </c>
    </row>
    <row r="189" spans="2:5">
      <c r="B189" s="121"/>
      <c r="C189" s="99" t="s">
        <v>268</v>
      </c>
      <c r="D189" s="81">
        <v>2</v>
      </c>
      <c r="E189" s="82">
        <v>4.4120891242000002E-4</v>
      </c>
    </row>
    <row r="190" spans="2:5">
      <c r="B190" s="121"/>
      <c r="C190" s="99" t="s">
        <v>265</v>
      </c>
      <c r="D190" s="81">
        <v>1</v>
      </c>
      <c r="E190" s="82">
        <v>2.2060445621000001E-4</v>
      </c>
    </row>
    <row r="191" spans="2:5">
      <c r="B191" s="121"/>
      <c r="C191" s="99" t="s">
        <v>262</v>
      </c>
      <c r="D191" s="81">
        <v>1</v>
      </c>
      <c r="E191" s="82">
        <v>2.2060445621000001E-4</v>
      </c>
    </row>
    <row r="192" spans="2:5">
      <c r="B192" s="121"/>
      <c r="C192" s="99" t="s">
        <v>259</v>
      </c>
      <c r="D192" s="81">
        <v>1</v>
      </c>
      <c r="E192" s="82">
        <v>2.2060445621000001E-4</v>
      </c>
    </row>
    <row r="193" spans="2:5">
      <c r="B193" s="121"/>
      <c r="C193" s="99" t="s">
        <v>266</v>
      </c>
      <c r="D193" s="81">
        <v>1</v>
      </c>
      <c r="E193" s="82">
        <v>2.2060445621000001E-4</v>
      </c>
    </row>
    <row r="194" spans="2:5">
      <c r="B194" s="121"/>
      <c r="C194" s="99" t="s">
        <v>258</v>
      </c>
      <c r="D194" s="81">
        <v>1</v>
      </c>
      <c r="E194" s="82">
        <v>2.2060445621000001E-4</v>
      </c>
    </row>
    <row r="195" spans="2:5">
      <c r="B195" s="120"/>
      <c r="C195" s="87" t="s">
        <v>29</v>
      </c>
      <c r="D195" s="83">
        <v>126</v>
      </c>
      <c r="E195" s="88">
        <v>2.7796161482462001E-2</v>
      </c>
    </row>
    <row r="196" spans="2:5">
      <c r="B196" s="119" t="s">
        <v>279</v>
      </c>
      <c r="C196" s="99" t="s">
        <v>252</v>
      </c>
      <c r="D196" s="81">
        <v>34</v>
      </c>
      <c r="E196" s="82">
        <v>7.5005515111409996E-3</v>
      </c>
    </row>
    <row r="197" spans="2:5">
      <c r="B197" s="121"/>
      <c r="C197" s="99" t="s">
        <v>251</v>
      </c>
      <c r="D197" s="81">
        <v>29</v>
      </c>
      <c r="E197" s="82">
        <v>6.3975292300899999E-3</v>
      </c>
    </row>
    <row r="198" spans="2:5">
      <c r="B198" s="121"/>
      <c r="C198" s="99" t="s">
        <v>253</v>
      </c>
      <c r="D198" s="81">
        <v>16</v>
      </c>
      <c r="E198" s="82">
        <v>3.5296712993600002E-3</v>
      </c>
    </row>
    <row r="199" spans="2:5">
      <c r="B199" s="121"/>
      <c r="C199" s="99" t="s">
        <v>254</v>
      </c>
      <c r="D199" s="81">
        <v>9</v>
      </c>
      <c r="E199" s="82">
        <v>1.9854401058900001E-3</v>
      </c>
    </row>
    <row r="200" spans="2:5">
      <c r="B200" s="121"/>
      <c r="C200" s="99" t="s">
        <v>259</v>
      </c>
      <c r="D200" s="81">
        <v>8</v>
      </c>
      <c r="E200" s="82">
        <v>1.7648356496800001E-3</v>
      </c>
    </row>
    <row r="201" spans="2:5">
      <c r="B201" s="121"/>
      <c r="C201" s="99" t="s">
        <v>256</v>
      </c>
      <c r="D201" s="81">
        <v>7</v>
      </c>
      <c r="E201" s="82">
        <v>1.5442311934700001E-3</v>
      </c>
    </row>
    <row r="202" spans="2:5">
      <c r="B202" s="121"/>
      <c r="C202" s="99" t="s">
        <v>258</v>
      </c>
      <c r="D202" s="81">
        <v>4</v>
      </c>
      <c r="E202" s="82">
        <v>8.8241782484000005E-4</v>
      </c>
    </row>
    <row r="203" spans="2:5">
      <c r="B203" s="121"/>
      <c r="C203" s="99" t="s">
        <v>264</v>
      </c>
      <c r="D203" s="81">
        <v>4</v>
      </c>
      <c r="E203" s="82">
        <v>8.8241782484000005E-4</v>
      </c>
    </row>
    <row r="204" spans="2:5">
      <c r="B204" s="121"/>
      <c r="C204" s="99" t="s">
        <v>257</v>
      </c>
      <c r="D204" s="81">
        <v>3</v>
      </c>
      <c r="E204" s="82">
        <v>6.6181336863000003E-4</v>
      </c>
    </row>
    <row r="205" spans="2:5">
      <c r="B205" s="121"/>
      <c r="C205" s="99" t="s">
        <v>265</v>
      </c>
      <c r="D205" s="81">
        <v>2</v>
      </c>
      <c r="E205" s="82">
        <v>4.4120891242000002E-4</v>
      </c>
    </row>
    <row r="206" spans="2:5">
      <c r="B206" s="121"/>
      <c r="C206" s="99" t="s">
        <v>261</v>
      </c>
      <c r="D206" s="81">
        <v>1</v>
      </c>
      <c r="E206" s="82">
        <v>2.2060445621000001E-4</v>
      </c>
    </row>
    <row r="207" spans="2:5">
      <c r="B207" s="121"/>
      <c r="C207" s="99" t="s">
        <v>260</v>
      </c>
      <c r="D207" s="81">
        <v>1</v>
      </c>
      <c r="E207" s="82">
        <v>2.2060445621000001E-4</v>
      </c>
    </row>
    <row r="208" spans="2:5">
      <c r="B208" s="120"/>
      <c r="C208" s="87" t="s">
        <v>29</v>
      </c>
      <c r="D208" s="83">
        <v>118</v>
      </c>
      <c r="E208" s="88">
        <v>2.6031325832782001E-2</v>
      </c>
    </row>
    <row r="209" spans="2:5">
      <c r="B209" s="119" t="s">
        <v>280</v>
      </c>
      <c r="C209" s="99" t="s">
        <v>256</v>
      </c>
      <c r="D209" s="81">
        <v>24</v>
      </c>
      <c r="E209" s="82">
        <v>5.2945069490400003E-3</v>
      </c>
    </row>
    <row r="210" spans="2:5">
      <c r="B210" s="121"/>
      <c r="C210" s="99" t="s">
        <v>251</v>
      </c>
      <c r="D210" s="81">
        <v>22</v>
      </c>
      <c r="E210" s="82">
        <v>4.8532980366200002E-3</v>
      </c>
    </row>
    <row r="211" spans="2:5">
      <c r="B211" s="121"/>
      <c r="C211" s="99" t="s">
        <v>257</v>
      </c>
      <c r="D211" s="81">
        <v>13</v>
      </c>
      <c r="E211" s="82">
        <v>2.8678579307300001E-3</v>
      </c>
    </row>
    <row r="212" spans="2:5">
      <c r="B212" s="121"/>
      <c r="C212" s="99" t="s">
        <v>252</v>
      </c>
      <c r="D212" s="81">
        <v>11</v>
      </c>
      <c r="E212" s="82">
        <v>2.4266490183100001E-3</v>
      </c>
    </row>
    <row r="213" spans="2:5">
      <c r="B213" s="121"/>
      <c r="C213" s="99" t="s">
        <v>253</v>
      </c>
      <c r="D213" s="81">
        <v>7</v>
      </c>
      <c r="E213" s="82">
        <v>1.5442311934700001E-3</v>
      </c>
    </row>
    <row r="214" spans="2:5">
      <c r="B214" s="121"/>
      <c r="C214" s="99" t="s">
        <v>254</v>
      </c>
      <c r="D214" s="81">
        <v>6</v>
      </c>
      <c r="E214" s="82">
        <v>1.3236267372600001E-3</v>
      </c>
    </row>
    <row r="215" spans="2:5">
      <c r="B215" s="121"/>
      <c r="C215" s="99" t="s">
        <v>255</v>
      </c>
      <c r="D215" s="81">
        <v>3</v>
      </c>
      <c r="E215" s="82">
        <v>6.6181336863000003E-4</v>
      </c>
    </row>
    <row r="216" spans="2:5">
      <c r="B216" s="121"/>
      <c r="C216" s="99" t="s">
        <v>258</v>
      </c>
      <c r="D216" s="81">
        <v>2</v>
      </c>
      <c r="E216" s="82">
        <v>4.4120891242000002E-4</v>
      </c>
    </row>
    <row r="217" spans="2:5">
      <c r="B217" s="121"/>
      <c r="C217" s="99" t="s">
        <v>261</v>
      </c>
      <c r="D217" s="81">
        <v>2</v>
      </c>
      <c r="E217" s="82">
        <v>4.4120891242000002E-4</v>
      </c>
    </row>
    <row r="218" spans="2:5">
      <c r="B218" s="121"/>
      <c r="C218" s="99" t="s">
        <v>260</v>
      </c>
      <c r="D218" s="81">
        <v>2</v>
      </c>
      <c r="E218" s="82">
        <v>4.4120891242000002E-4</v>
      </c>
    </row>
    <row r="219" spans="2:5">
      <c r="B219" s="121"/>
      <c r="C219" s="99" t="s">
        <v>263</v>
      </c>
      <c r="D219" s="81">
        <v>1</v>
      </c>
      <c r="E219" s="82">
        <v>2.2060445621000001E-4</v>
      </c>
    </row>
    <row r="220" spans="2:5">
      <c r="B220" s="121"/>
      <c r="C220" s="99" t="s">
        <v>259</v>
      </c>
      <c r="D220" s="81">
        <v>1</v>
      </c>
      <c r="E220" s="82">
        <v>2.2060445621000001E-4</v>
      </c>
    </row>
    <row r="221" spans="2:5">
      <c r="B221" s="121"/>
      <c r="C221" s="99" t="s">
        <v>266</v>
      </c>
      <c r="D221" s="81">
        <v>1</v>
      </c>
      <c r="E221" s="82">
        <v>2.2060445621000001E-4</v>
      </c>
    </row>
    <row r="222" spans="2:5">
      <c r="B222" s="121"/>
      <c r="C222" s="99" t="s">
        <v>268</v>
      </c>
      <c r="D222" s="81">
        <v>1</v>
      </c>
      <c r="E222" s="82">
        <v>2.2060445621000001E-4</v>
      </c>
    </row>
    <row r="223" spans="2:5">
      <c r="B223" s="120"/>
      <c r="C223" s="87" t="s">
        <v>29</v>
      </c>
      <c r="D223" s="83">
        <v>96</v>
      </c>
      <c r="E223" s="88">
        <v>2.1178027796161E-2</v>
      </c>
    </row>
    <row r="224" spans="2:5">
      <c r="B224" s="119" t="s">
        <v>281</v>
      </c>
      <c r="C224" s="99" t="s">
        <v>257</v>
      </c>
      <c r="D224" s="81">
        <v>19</v>
      </c>
      <c r="E224" s="82">
        <v>4.1914846679899998E-3</v>
      </c>
    </row>
    <row r="225" spans="2:5">
      <c r="B225" s="121"/>
      <c r="C225" s="99" t="s">
        <v>253</v>
      </c>
      <c r="D225" s="81">
        <v>14</v>
      </c>
      <c r="E225" s="82">
        <v>3.0884623869400002E-3</v>
      </c>
    </row>
    <row r="226" spans="2:5">
      <c r="B226" s="121"/>
      <c r="C226" s="99" t="s">
        <v>252</v>
      </c>
      <c r="D226" s="81">
        <v>14</v>
      </c>
      <c r="E226" s="82">
        <v>3.0884623869400002E-3</v>
      </c>
    </row>
    <row r="227" spans="2:5">
      <c r="B227" s="121"/>
      <c r="C227" s="99" t="s">
        <v>254</v>
      </c>
      <c r="D227" s="81">
        <v>10</v>
      </c>
      <c r="E227" s="82">
        <v>2.2060445621000001E-3</v>
      </c>
    </row>
    <row r="228" spans="2:5">
      <c r="B228" s="121"/>
      <c r="C228" s="99" t="s">
        <v>251</v>
      </c>
      <c r="D228" s="81">
        <v>10</v>
      </c>
      <c r="E228" s="82">
        <v>2.2060445621000001E-3</v>
      </c>
    </row>
    <row r="229" spans="2:5">
      <c r="B229" s="121"/>
      <c r="C229" s="99" t="s">
        <v>264</v>
      </c>
      <c r="D229" s="81">
        <v>7</v>
      </c>
      <c r="E229" s="82">
        <v>1.5442311934700001E-3</v>
      </c>
    </row>
    <row r="230" spans="2:5">
      <c r="B230" s="121"/>
      <c r="C230" s="99" t="s">
        <v>267</v>
      </c>
      <c r="D230" s="81">
        <v>5</v>
      </c>
      <c r="E230" s="82">
        <v>1.1030222810500001E-3</v>
      </c>
    </row>
    <row r="231" spans="2:5">
      <c r="B231" s="121"/>
      <c r="C231" s="99" t="s">
        <v>258</v>
      </c>
      <c r="D231" s="81">
        <v>3</v>
      </c>
      <c r="E231" s="82">
        <v>6.6181336863000003E-4</v>
      </c>
    </row>
    <row r="232" spans="2:5">
      <c r="B232" s="121"/>
      <c r="C232" s="99" t="s">
        <v>260</v>
      </c>
      <c r="D232" s="81">
        <v>3</v>
      </c>
      <c r="E232" s="82">
        <v>6.6181336863000003E-4</v>
      </c>
    </row>
    <row r="233" spans="2:5">
      <c r="B233" s="121"/>
      <c r="C233" s="99" t="s">
        <v>256</v>
      </c>
      <c r="D233" s="81">
        <v>2</v>
      </c>
      <c r="E233" s="82">
        <v>4.4120891242000002E-4</v>
      </c>
    </row>
    <row r="234" spans="2:5">
      <c r="B234" s="121"/>
      <c r="C234" s="99" t="s">
        <v>255</v>
      </c>
      <c r="D234" s="81">
        <v>2</v>
      </c>
      <c r="E234" s="82">
        <v>4.4120891242000002E-4</v>
      </c>
    </row>
    <row r="235" spans="2:5">
      <c r="B235" s="121"/>
      <c r="C235" s="99" t="s">
        <v>261</v>
      </c>
      <c r="D235" s="81">
        <v>2</v>
      </c>
      <c r="E235" s="82">
        <v>4.4120891242000002E-4</v>
      </c>
    </row>
    <row r="236" spans="2:5">
      <c r="B236" s="120"/>
      <c r="C236" s="87" t="s">
        <v>29</v>
      </c>
      <c r="D236" s="83">
        <v>91</v>
      </c>
      <c r="E236" s="88">
        <v>2.0075005515110999E-2</v>
      </c>
    </row>
    <row r="237" spans="2:5">
      <c r="B237" s="119" t="s">
        <v>282</v>
      </c>
      <c r="C237" s="99" t="s">
        <v>251</v>
      </c>
      <c r="D237" s="81">
        <v>31</v>
      </c>
      <c r="E237" s="82">
        <v>6.8387381425099999E-3</v>
      </c>
    </row>
    <row r="238" spans="2:5">
      <c r="B238" s="121"/>
      <c r="C238" s="99" t="s">
        <v>252</v>
      </c>
      <c r="D238" s="81">
        <v>21</v>
      </c>
      <c r="E238" s="82">
        <v>4.6326935804099998E-3</v>
      </c>
    </row>
    <row r="239" spans="2:5">
      <c r="B239" s="121"/>
      <c r="C239" s="99" t="s">
        <v>253</v>
      </c>
      <c r="D239" s="81">
        <v>7</v>
      </c>
      <c r="E239" s="82">
        <v>1.5442311934700001E-3</v>
      </c>
    </row>
    <row r="240" spans="2:5">
      <c r="B240" s="121"/>
      <c r="C240" s="99" t="s">
        <v>256</v>
      </c>
      <c r="D240" s="81">
        <v>6</v>
      </c>
      <c r="E240" s="82">
        <v>1.3236267372600001E-3</v>
      </c>
    </row>
    <row r="241" spans="2:5">
      <c r="B241" s="121"/>
      <c r="C241" s="99" t="s">
        <v>255</v>
      </c>
      <c r="D241" s="81">
        <v>4</v>
      </c>
      <c r="E241" s="82">
        <v>8.8241782484000005E-4</v>
      </c>
    </row>
    <row r="242" spans="2:5">
      <c r="B242" s="121"/>
      <c r="C242" s="99" t="s">
        <v>254</v>
      </c>
      <c r="D242" s="81">
        <v>3</v>
      </c>
      <c r="E242" s="82">
        <v>6.6181336863000003E-4</v>
      </c>
    </row>
    <row r="243" spans="2:5">
      <c r="B243" s="121"/>
      <c r="C243" s="99" t="s">
        <v>264</v>
      </c>
      <c r="D243" s="81">
        <v>2</v>
      </c>
      <c r="E243" s="82">
        <v>4.4120891242000002E-4</v>
      </c>
    </row>
    <row r="244" spans="2:5">
      <c r="B244" s="121"/>
      <c r="C244" s="99" t="s">
        <v>257</v>
      </c>
      <c r="D244" s="81">
        <v>2</v>
      </c>
      <c r="E244" s="82">
        <v>4.4120891242000002E-4</v>
      </c>
    </row>
    <row r="245" spans="2:5">
      <c r="B245" s="121"/>
      <c r="C245" s="99" t="s">
        <v>263</v>
      </c>
      <c r="D245" s="81">
        <v>1</v>
      </c>
      <c r="E245" s="82">
        <v>2.2060445621000001E-4</v>
      </c>
    </row>
    <row r="246" spans="2:5">
      <c r="B246" s="121"/>
      <c r="C246" s="99" t="s">
        <v>262</v>
      </c>
      <c r="D246" s="81">
        <v>1</v>
      </c>
      <c r="E246" s="82">
        <v>2.2060445621000001E-4</v>
      </c>
    </row>
    <row r="247" spans="2:5">
      <c r="B247" s="121"/>
      <c r="C247" s="99" t="s">
        <v>266</v>
      </c>
      <c r="D247" s="81">
        <v>1</v>
      </c>
      <c r="E247" s="82">
        <v>2.2060445621000001E-4</v>
      </c>
    </row>
    <row r="248" spans="2:5">
      <c r="B248" s="121"/>
      <c r="C248" s="99" t="s">
        <v>260</v>
      </c>
      <c r="D248" s="81">
        <v>1</v>
      </c>
      <c r="E248" s="82">
        <v>2.2060445621000001E-4</v>
      </c>
    </row>
    <row r="249" spans="2:5">
      <c r="B249" s="120"/>
      <c r="C249" s="87" t="s">
        <v>29</v>
      </c>
      <c r="D249" s="83">
        <v>80</v>
      </c>
      <c r="E249" s="88">
        <v>1.7648356496801E-2</v>
      </c>
    </row>
    <row r="250" spans="2:5">
      <c r="B250" s="119" t="s">
        <v>283</v>
      </c>
      <c r="C250" s="99" t="s">
        <v>253</v>
      </c>
      <c r="D250" s="81">
        <v>17</v>
      </c>
      <c r="E250" s="82">
        <v>3.7502757555700002E-3</v>
      </c>
    </row>
    <row r="251" spans="2:5">
      <c r="B251" s="121"/>
      <c r="C251" s="99" t="s">
        <v>251</v>
      </c>
      <c r="D251" s="81">
        <v>16</v>
      </c>
      <c r="E251" s="82">
        <v>3.5296712993600002E-3</v>
      </c>
    </row>
    <row r="252" spans="2:5">
      <c r="B252" s="121"/>
      <c r="C252" s="99" t="s">
        <v>252</v>
      </c>
      <c r="D252" s="81">
        <v>12</v>
      </c>
      <c r="E252" s="82">
        <v>2.6472534745200001E-3</v>
      </c>
    </row>
    <row r="253" spans="2:5">
      <c r="B253" s="121"/>
      <c r="C253" s="99" t="s">
        <v>256</v>
      </c>
      <c r="D253" s="81">
        <v>9</v>
      </c>
      <c r="E253" s="82">
        <v>1.9854401058900001E-3</v>
      </c>
    </row>
    <row r="254" spans="2:5">
      <c r="B254" s="121"/>
      <c r="C254" s="99" t="s">
        <v>257</v>
      </c>
      <c r="D254" s="81">
        <v>4</v>
      </c>
      <c r="E254" s="82">
        <v>8.8241782484000005E-4</v>
      </c>
    </row>
    <row r="255" spans="2:5">
      <c r="B255" s="121"/>
      <c r="C255" s="99" t="s">
        <v>254</v>
      </c>
      <c r="D255" s="81">
        <v>3</v>
      </c>
      <c r="E255" s="82">
        <v>6.6181336863000003E-4</v>
      </c>
    </row>
    <row r="256" spans="2:5">
      <c r="B256" s="121"/>
      <c r="C256" s="99" t="s">
        <v>255</v>
      </c>
      <c r="D256" s="81">
        <v>2</v>
      </c>
      <c r="E256" s="82">
        <v>4.4120891242000002E-4</v>
      </c>
    </row>
    <row r="257" spans="2:5">
      <c r="B257" s="121"/>
      <c r="C257" s="99" t="s">
        <v>260</v>
      </c>
      <c r="D257" s="81">
        <v>2</v>
      </c>
      <c r="E257" s="82">
        <v>4.4120891242000002E-4</v>
      </c>
    </row>
    <row r="258" spans="2:5">
      <c r="B258" s="121"/>
      <c r="C258" s="99" t="s">
        <v>263</v>
      </c>
      <c r="D258" s="81">
        <v>1</v>
      </c>
      <c r="E258" s="82">
        <v>2.2060445621000001E-4</v>
      </c>
    </row>
    <row r="259" spans="2:5">
      <c r="B259" s="121"/>
      <c r="C259" s="99" t="s">
        <v>262</v>
      </c>
      <c r="D259" s="81">
        <v>1</v>
      </c>
      <c r="E259" s="82">
        <v>2.2060445621000001E-4</v>
      </c>
    </row>
    <row r="260" spans="2:5">
      <c r="B260" s="121"/>
      <c r="C260" s="99" t="s">
        <v>258</v>
      </c>
      <c r="D260" s="81">
        <v>1</v>
      </c>
      <c r="E260" s="82">
        <v>2.2060445621000001E-4</v>
      </c>
    </row>
    <row r="261" spans="2:5">
      <c r="B261" s="121"/>
      <c r="C261" s="99" t="s">
        <v>268</v>
      </c>
      <c r="D261" s="81">
        <v>1</v>
      </c>
      <c r="E261" s="82">
        <v>2.2060445621000001E-4</v>
      </c>
    </row>
    <row r="262" spans="2:5">
      <c r="B262" s="121"/>
      <c r="C262" s="99" t="s">
        <v>261</v>
      </c>
      <c r="D262" s="81">
        <v>1</v>
      </c>
      <c r="E262" s="82">
        <v>2.2060445621000001E-4</v>
      </c>
    </row>
    <row r="263" spans="2:5">
      <c r="B263" s="120"/>
      <c r="C263" s="87" t="s">
        <v>29</v>
      </c>
      <c r="D263" s="83">
        <v>70</v>
      </c>
      <c r="E263" s="88">
        <v>1.5442311934701001E-2</v>
      </c>
    </row>
    <row r="264" spans="2:5">
      <c r="B264" s="119" t="s">
        <v>284</v>
      </c>
      <c r="C264" s="99" t="s">
        <v>251</v>
      </c>
      <c r="D264" s="81">
        <v>24</v>
      </c>
      <c r="E264" s="82">
        <v>5.2945069490400003E-3</v>
      </c>
    </row>
    <row r="265" spans="2:5">
      <c r="B265" s="121"/>
      <c r="C265" s="99" t="s">
        <v>252</v>
      </c>
      <c r="D265" s="81">
        <v>19</v>
      </c>
      <c r="E265" s="82">
        <v>4.1914846679899998E-3</v>
      </c>
    </row>
    <row r="266" spans="2:5">
      <c r="B266" s="121"/>
      <c r="C266" s="99" t="s">
        <v>257</v>
      </c>
      <c r="D266" s="81">
        <v>6</v>
      </c>
      <c r="E266" s="82">
        <v>1.3236267372600001E-3</v>
      </c>
    </row>
    <row r="267" spans="2:5">
      <c r="B267" s="121"/>
      <c r="C267" s="99" t="s">
        <v>253</v>
      </c>
      <c r="D267" s="81">
        <v>5</v>
      </c>
      <c r="E267" s="82">
        <v>1.1030222810500001E-3</v>
      </c>
    </row>
    <row r="268" spans="2:5">
      <c r="B268" s="121"/>
      <c r="C268" s="99" t="s">
        <v>256</v>
      </c>
      <c r="D268" s="81">
        <v>5</v>
      </c>
      <c r="E268" s="82">
        <v>1.1030222810500001E-3</v>
      </c>
    </row>
    <row r="269" spans="2:5">
      <c r="B269" s="121"/>
      <c r="C269" s="99" t="s">
        <v>254</v>
      </c>
      <c r="D269" s="81">
        <v>2</v>
      </c>
      <c r="E269" s="82">
        <v>4.4120891242000002E-4</v>
      </c>
    </row>
    <row r="270" spans="2:5">
      <c r="B270" s="121"/>
      <c r="C270" s="99" t="s">
        <v>255</v>
      </c>
      <c r="D270" s="81">
        <v>2</v>
      </c>
      <c r="E270" s="82">
        <v>4.4120891242000002E-4</v>
      </c>
    </row>
    <row r="271" spans="2:5">
      <c r="B271" s="121"/>
      <c r="C271" s="99" t="s">
        <v>259</v>
      </c>
      <c r="D271" s="81">
        <v>2</v>
      </c>
      <c r="E271" s="82">
        <v>4.4120891242000002E-4</v>
      </c>
    </row>
    <row r="272" spans="2:5">
      <c r="B272" s="121"/>
      <c r="C272" s="99" t="s">
        <v>263</v>
      </c>
      <c r="D272" s="81">
        <v>1</v>
      </c>
      <c r="E272" s="82">
        <v>2.2060445621000001E-4</v>
      </c>
    </row>
    <row r="273" spans="2:5">
      <c r="B273" s="121"/>
      <c r="C273" s="99" t="s">
        <v>266</v>
      </c>
      <c r="D273" s="81">
        <v>1</v>
      </c>
      <c r="E273" s="82">
        <v>2.2060445621000001E-4</v>
      </c>
    </row>
    <row r="274" spans="2:5">
      <c r="B274" s="121"/>
      <c r="C274" s="99" t="s">
        <v>258</v>
      </c>
      <c r="D274" s="81">
        <v>1</v>
      </c>
      <c r="E274" s="82">
        <v>2.2060445621000001E-4</v>
      </c>
    </row>
    <row r="275" spans="2:5">
      <c r="B275" s="121"/>
      <c r="C275" s="99" t="s">
        <v>261</v>
      </c>
      <c r="D275" s="81">
        <v>1</v>
      </c>
      <c r="E275" s="82">
        <v>2.2060445621000001E-4</v>
      </c>
    </row>
    <row r="276" spans="2:5">
      <c r="B276" s="120"/>
      <c r="C276" s="87" t="s">
        <v>29</v>
      </c>
      <c r="D276" s="83">
        <v>69</v>
      </c>
      <c r="E276" s="88">
        <v>1.5221707478491E-2</v>
      </c>
    </row>
    <row r="277" spans="2:5">
      <c r="B277" s="119" t="s">
        <v>285</v>
      </c>
      <c r="C277" s="99" t="s">
        <v>252</v>
      </c>
      <c r="D277" s="81">
        <v>20</v>
      </c>
      <c r="E277" s="82">
        <v>4.4120891242000002E-3</v>
      </c>
    </row>
    <row r="278" spans="2:5">
      <c r="B278" s="121"/>
      <c r="C278" s="99" t="s">
        <v>251</v>
      </c>
      <c r="D278" s="81">
        <v>13</v>
      </c>
      <c r="E278" s="82">
        <v>2.8678579307300001E-3</v>
      </c>
    </row>
    <row r="279" spans="2:5">
      <c r="B279" s="121"/>
      <c r="C279" s="99" t="s">
        <v>254</v>
      </c>
      <c r="D279" s="81">
        <v>9</v>
      </c>
      <c r="E279" s="82">
        <v>1.9854401058900001E-3</v>
      </c>
    </row>
    <row r="280" spans="2:5">
      <c r="B280" s="121"/>
      <c r="C280" s="99" t="s">
        <v>253</v>
      </c>
      <c r="D280" s="81">
        <v>5</v>
      </c>
      <c r="E280" s="82">
        <v>1.1030222810500001E-3</v>
      </c>
    </row>
    <row r="281" spans="2:5">
      <c r="B281" s="121"/>
      <c r="C281" s="99" t="s">
        <v>257</v>
      </c>
      <c r="D281" s="81">
        <v>5</v>
      </c>
      <c r="E281" s="82">
        <v>1.1030222810500001E-3</v>
      </c>
    </row>
    <row r="282" spans="2:5">
      <c r="B282" s="121"/>
      <c r="C282" s="99" t="s">
        <v>264</v>
      </c>
      <c r="D282" s="81">
        <v>4</v>
      </c>
      <c r="E282" s="82">
        <v>8.8241782484000005E-4</v>
      </c>
    </row>
    <row r="283" spans="2:5">
      <c r="B283" s="121"/>
      <c r="C283" s="99" t="s">
        <v>261</v>
      </c>
      <c r="D283" s="81">
        <v>2</v>
      </c>
      <c r="E283" s="82">
        <v>4.4120891242000002E-4</v>
      </c>
    </row>
    <row r="284" spans="2:5">
      <c r="B284" s="121"/>
      <c r="C284" s="99" t="s">
        <v>256</v>
      </c>
      <c r="D284" s="81">
        <v>1</v>
      </c>
      <c r="E284" s="82">
        <v>2.2060445621000001E-4</v>
      </c>
    </row>
    <row r="285" spans="2:5">
      <c r="B285" s="121"/>
      <c r="C285" s="99" t="s">
        <v>255</v>
      </c>
      <c r="D285" s="81">
        <v>1</v>
      </c>
      <c r="E285" s="82">
        <v>2.2060445621000001E-4</v>
      </c>
    </row>
    <row r="286" spans="2:5">
      <c r="B286" s="121"/>
      <c r="C286" s="99" t="s">
        <v>258</v>
      </c>
      <c r="D286" s="81">
        <v>1</v>
      </c>
      <c r="E286" s="82">
        <v>2.2060445621000001E-4</v>
      </c>
    </row>
    <row r="287" spans="2:5">
      <c r="B287" s="120"/>
      <c r="C287" s="87" t="s">
        <v>29</v>
      </c>
      <c r="D287" s="83">
        <v>61</v>
      </c>
      <c r="E287" s="88">
        <v>1.3456871828810999E-2</v>
      </c>
    </row>
    <row r="288" spans="2:5">
      <c r="B288" s="119" t="s">
        <v>286</v>
      </c>
      <c r="C288" s="99" t="s">
        <v>251</v>
      </c>
      <c r="D288" s="81">
        <v>14</v>
      </c>
      <c r="E288" s="82">
        <v>3.0884623869400002E-3</v>
      </c>
    </row>
    <row r="289" spans="2:5">
      <c r="B289" s="121"/>
      <c r="C289" s="99" t="s">
        <v>253</v>
      </c>
      <c r="D289" s="81">
        <v>9</v>
      </c>
      <c r="E289" s="82">
        <v>1.9854401058900001E-3</v>
      </c>
    </row>
    <row r="290" spans="2:5">
      <c r="B290" s="121"/>
      <c r="C290" s="99" t="s">
        <v>254</v>
      </c>
      <c r="D290" s="81">
        <v>8</v>
      </c>
      <c r="E290" s="82">
        <v>1.7648356496800001E-3</v>
      </c>
    </row>
    <row r="291" spans="2:5">
      <c r="B291" s="121"/>
      <c r="C291" s="99" t="s">
        <v>255</v>
      </c>
      <c r="D291" s="81">
        <v>8</v>
      </c>
      <c r="E291" s="82">
        <v>1.7648356496800001E-3</v>
      </c>
    </row>
    <row r="292" spans="2:5">
      <c r="B292" s="121"/>
      <c r="C292" s="99" t="s">
        <v>252</v>
      </c>
      <c r="D292" s="81">
        <v>8</v>
      </c>
      <c r="E292" s="82">
        <v>1.7648356496800001E-3</v>
      </c>
    </row>
    <row r="293" spans="2:5">
      <c r="B293" s="121"/>
      <c r="C293" s="99" t="s">
        <v>257</v>
      </c>
      <c r="D293" s="81">
        <v>3</v>
      </c>
      <c r="E293" s="82">
        <v>6.6181336863000003E-4</v>
      </c>
    </row>
    <row r="294" spans="2:5">
      <c r="B294" s="121"/>
      <c r="C294" s="99" t="s">
        <v>256</v>
      </c>
      <c r="D294" s="81">
        <v>1</v>
      </c>
      <c r="E294" s="82">
        <v>2.2060445621000001E-4</v>
      </c>
    </row>
    <row r="295" spans="2:5">
      <c r="B295" s="121"/>
      <c r="C295" s="99" t="s">
        <v>259</v>
      </c>
      <c r="D295" s="81">
        <v>1</v>
      </c>
      <c r="E295" s="82">
        <v>2.2060445621000001E-4</v>
      </c>
    </row>
    <row r="296" spans="2:5">
      <c r="B296" s="121"/>
      <c r="C296" s="99" t="s">
        <v>261</v>
      </c>
      <c r="D296" s="81">
        <v>1</v>
      </c>
      <c r="E296" s="82">
        <v>2.2060445621000001E-4</v>
      </c>
    </row>
    <row r="297" spans="2:5">
      <c r="B297" s="121"/>
      <c r="C297" s="99" t="s">
        <v>260</v>
      </c>
      <c r="D297" s="81">
        <v>1</v>
      </c>
      <c r="E297" s="82">
        <v>2.2060445621000001E-4</v>
      </c>
    </row>
    <row r="298" spans="2:5">
      <c r="B298" s="120"/>
      <c r="C298" s="87" t="s">
        <v>29</v>
      </c>
      <c r="D298" s="83">
        <v>54</v>
      </c>
      <c r="E298" s="88">
        <v>1.1912640635341001E-2</v>
      </c>
    </row>
    <row r="299" spans="2:5">
      <c r="B299" s="119" t="s">
        <v>287</v>
      </c>
      <c r="C299" s="99" t="s">
        <v>252</v>
      </c>
      <c r="D299" s="81">
        <v>16</v>
      </c>
      <c r="E299" s="82">
        <v>3.5296712993600002E-3</v>
      </c>
    </row>
    <row r="300" spans="2:5">
      <c r="B300" s="121"/>
      <c r="C300" s="99" t="s">
        <v>251</v>
      </c>
      <c r="D300" s="81">
        <v>10</v>
      </c>
      <c r="E300" s="82">
        <v>2.2060445621000001E-3</v>
      </c>
    </row>
    <row r="301" spans="2:5">
      <c r="B301" s="121"/>
      <c r="C301" s="99" t="s">
        <v>256</v>
      </c>
      <c r="D301" s="81">
        <v>8</v>
      </c>
      <c r="E301" s="82">
        <v>1.7648356496800001E-3</v>
      </c>
    </row>
    <row r="302" spans="2:5">
      <c r="B302" s="121"/>
      <c r="C302" s="99" t="s">
        <v>254</v>
      </c>
      <c r="D302" s="81">
        <v>5</v>
      </c>
      <c r="E302" s="82">
        <v>1.1030222810500001E-3</v>
      </c>
    </row>
    <row r="303" spans="2:5">
      <c r="B303" s="121"/>
      <c r="C303" s="99" t="s">
        <v>264</v>
      </c>
      <c r="D303" s="81">
        <v>3</v>
      </c>
      <c r="E303" s="82">
        <v>6.6181336863000003E-4</v>
      </c>
    </row>
    <row r="304" spans="2:5">
      <c r="B304" s="121"/>
      <c r="C304" s="99" t="s">
        <v>257</v>
      </c>
      <c r="D304" s="81">
        <v>3</v>
      </c>
      <c r="E304" s="82">
        <v>6.6181336863000003E-4</v>
      </c>
    </row>
    <row r="305" spans="2:5">
      <c r="B305" s="121"/>
      <c r="C305" s="99" t="s">
        <v>265</v>
      </c>
      <c r="D305" s="81">
        <v>1</v>
      </c>
      <c r="E305" s="82">
        <v>2.2060445621000001E-4</v>
      </c>
    </row>
    <row r="306" spans="2:5">
      <c r="B306" s="121"/>
      <c r="C306" s="99" t="s">
        <v>253</v>
      </c>
      <c r="D306" s="81">
        <v>1</v>
      </c>
      <c r="E306" s="82">
        <v>2.2060445621000001E-4</v>
      </c>
    </row>
    <row r="307" spans="2:5">
      <c r="B307" s="121"/>
      <c r="C307" s="99" t="s">
        <v>263</v>
      </c>
      <c r="D307" s="81">
        <v>1</v>
      </c>
      <c r="E307" s="82">
        <v>2.2060445621000001E-4</v>
      </c>
    </row>
    <row r="308" spans="2:5">
      <c r="B308" s="121"/>
      <c r="C308" s="99" t="s">
        <v>262</v>
      </c>
      <c r="D308" s="81">
        <v>1</v>
      </c>
      <c r="E308" s="82">
        <v>2.2060445621000001E-4</v>
      </c>
    </row>
    <row r="309" spans="2:5">
      <c r="B309" s="121"/>
      <c r="C309" s="99" t="s">
        <v>259</v>
      </c>
      <c r="D309" s="81">
        <v>1</v>
      </c>
      <c r="E309" s="82">
        <v>2.2060445621000001E-4</v>
      </c>
    </row>
    <row r="310" spans="2:5">
      <c r="B310" s="120"/>
      <c r="C310" s="87" t="s">
        <v>29</v>
      </c>
      <c r="D310" s="83">
        <v>50</v>
      </c>
      <c r="E310" s="88">
        <v>1.1030222810501001E-2</v>
      </c>
    </row>
    <row r="311" spans="2:5">
      <c r="B311" s="119" t="s">
        <v>288</v>
      </c>
      <c r="C311" s="99" t="s">
        <v>252</v>
      </c>
      <c r="D311" s="81">
        <v>10</v>
      </c>
      <c r="E311" s="82">
        <v>2.2060445621000001E-3</v>
      </c>
    </row>
    <row r="312" spans="2:5">
      <c r="B312" s="121"/>
      <c r="C312" s="99" t="s">
        <v>254</v>
      </c>
      <c r="D312" s="81">
        <v>8</v>
      </c>
      <c r="E312" s="82">
        <v>1.7648356496800001E-3</v>
      </c>
    </row>
    <row r="313" spans="2:5">
      <c r="B313" s="121"/>
      <c r="C313" s="99" t="s">
        <v>255</v>
      </c>
      <c r="D313" s="81">
        <v>7</v>
      </c>
      <c r="E313" s="82">
        <v>1.5442311934700001E-3</v>
      </c>
    </row>
    <row r="314" spans="2:5">
      <c r="B314" s="121"/>
      <c r="C314" s="99" t="s">
        <v>258</v>
      </c>
      <c r="D314" s="81">
        <v>5</v>
      </c>
      <c r="E314" s="82">
        <v>1.1030222810500001E-3</v>
      </c>
    </row>
    <row r="315" spans="2:5">
      <c r="B315" s="121"/>
      <c r="C315" s="99" t="s">
        <v>257</v>
      </c>
      <c r="D315" s="81">
        <v>5</v>
      </c>
      <c r="E315" s="82">
        <v>1.1030222810500001E-3</v>
      </c>
    </row>
    <row r="316" spans="2:5">
      <c r="B316" s="121"/>
      <c r="C316" s="99" t="s">
        <v>251</v>
      </c>
      <c r="D316" s="81">
        <v>4</v>
      </c>
      <c r="E316" s="82">
        <v>8.8241782484000005E-4</v>
      </c>
    </row>
    <row r="317" spans="2:5">
      <c r="B317" s="121"/>
      <c r="C317" s="99" t="s">
        <v>256</v>
      </c>
      <c r="D317" s="81">
        <v>3</v>
      </c>
      <c r="E317" s="82">
        <v>6.6181336863000003E-4</v>
      </c>
    </row>
    <row r="318" spans="2:5">
      <c r="B318" s="121"/>
      <c r="C318" s="99" t="s">
        <v>253</v>
      </c>
      <c r="D318" s="81">
        <v>2</v>
      </c>
      <c r="E318" s="82">
        <v>4.4120891242000002E-4</v>
      </c>
    </row>
    <row r="319" spans="2:5">
      <c r="B319" s="121"/>
      <c r="C319" s="99" t="s">
        <v>262</v>
      </c>
      <c r="D319" s="81">
        <v>2</v>
      </c>
      <c r="E319" s="82">
        <v>4.4120891242000002E-4</v>
      </c>
    </row>
    <row r="320" spans="2:5">
      <c r="B320" s="121"/>
      <c r="C320" s="99" t="s">
        <v>267</v>
      </c>
      <c r="D320" s="81">
        <v>1</v>
      </c>
      <c r="E320" s="82">
        <v>2.2060445621000001E-4</v>
      </c>
    </row>
    <row r="321" spans="2:5">
      <c r="B321" s="121"/>
      <c r="C321" s="99" t="s">
        <v>264</v>
      </c>
      <c r="D321" s="81">
        <v>1</v>
      </c>
      <c r="E321" s="82">
        <v>2.2060445621000001E-4</v>
      </c>
    </row>
    <row r="322" spans="2:5">
      <c r="B322" s="120"/>
      <c r="C322" s="87" t="s">
        <v>29</v>
      </c>
      <c r="D322" s="83">
        <v>48</v>
      </c>
      <c r="E322" s="88">
        <v>1.0589013898081E-2</v>
      </c>
    </row>
    <row r="323" spans="2:5">
      <c r="B323" s="119" t="s">
        <v>289</v>
      </c>
      <c r="C323" s="99" t="s">
        <v>252</v>
      </c>
      <c r="D323" s="81">
        <v>14</v>
      </c>
      <c r="E323" s="82">
        <v>3.0884623869400002E-3</v>
      </c>
    </row>
    <row r="324" spans="2:5">
      <c r="B324" s="121"/>
      <c r="C324" s="99" t="s">
        <v>257</v>
      </c>
      <c r="D324" s="81">
        <v>7</v>
      </c>
      <c r="E324" s="82">
        <v>1.5442311934700001E-3</v>
      </c>
    </row>
    <row r="325" spans="2:5">
      <c r="B325" s="121"/>
      <c r="C325" s="99" t="s">
        <v>255</v>
      </c>
      <c r="D325" s="81">
        <v>5</v>
      </c>
      <c r="E325" s="82">
        <v>1.1030222810500001E-3</v>
      </c>
    </row>
    <row r="326" spans="2:5">
      <c r="B326" s="121"/>
      <c r="C326" s="99" t="s">
        <v>251</v>
      </c>
      <c r="D326" s="81">
        <v>4</v>
      </c>
      <c r="E326" s="82">
        <v>8.8241782484000005E-4</v>
      </c>
    </row>
    <row r="327" spans="2:5">
      <c r="B327" s="121"/>
      <c r="C327" s="99" t="s">
        <v>254</v>
      </c>
      <c r="D327" s="81">
        <v>3</v>
      </c>
      <c r="E327" s="82">
        <v>6.6181336863000003E-4</v>
      </c>
    </row>
    <row r="328" spans="2:5">
      <c r="B328" s="121"/>
      <c r="C328" s="99" t="s">
        <v>253</v>
      </c>
      <c r="D328" s="81">
        <v>3</v>
      </c>
      <c r="E328" s="82">
        <v>6.6181336863000003E-4</v>
      </c>
    </row>
    <row r="329" spans="2:5">
      <c r="B329" s="121"/>
      <c r="C329" s="99" t="s">
        <v>256</v>
      </c>
      <c r="D329" s="81">
        <v>3</v>
      </c>
      <c r="E329" s="82">
        <v>6.6181336863000003E-4</v>
      </c>
    </row>
    <row r="330" spans="2:5">
      <c r="B330" s="121"/>
      <c r="C330" s="99" t="s">
        <v>259</v>
      </c>
      <c r="D330" s="81">
        <v>2</v>
      </c>
      <c r="E330" s="82">
        <v>4.4120891242000002E-4</v>
      </c>
    </row>
    <row r="331" spans="2:5">
      <c r="B331" s="121"/>
      <c r="C331" s="99" t="s">
        <v>266</v>
      </c>
      <c r="D331" s="81">
        <v>2</v>
      </c>
      <c r="E331" s="82">
        <v>4.4120891242000002E-4</v>
      </c>
    </row>
    <row r="332" spans="2:5">
      <c r="B332" s="121"/>
      <c r="C332" s="99" t="s">
        <v>263</v>
      </c>
      <c r="D332" s="81">
        <v>1</v>
      </c>
      <c r="E332" s="82">
        <v>2.2060445621000001E-4</v>
      </c>
    </row>
    <row r="333" spans="2:5">
      <c r="B333" s="121"/>
      <c r="C333" s="99" t="s">
        <v>258</v>
      </c>
      <c r="D333" s="81">
        <v>1</v>
      </c>
      <c r="E333" s="82">
        <v>2.2060445621000001E-4</v>
      </c>
    </row>
    <row r="334" spans="2:5">
      <c r="B334" s="120"/>
      <c r="C334" s="87" t="s">
        <v>29</v>
      </c>
      <c r="D334" s="83">
        <v>45</v>
      </c>
      <c r="E334" s="88">
        <v>9.9272005294509993E-3</v>
      </c>
    </row>
    <row r="335" spans="2:5">
      <c r="B335" s="119" t="s">
        <v>290</v>
      </c>
      <c r="C335" s="99" t="s">
        <v>252</v>
      </c>
      <c r="D335" s="81">
        <v>16</v>
      </c>
      <c r="E335" s="82">
        <v>3.5296712993600002E-3</v>
      </c>
    </row>
    <row r="336" spans="2:5">
      <c r="B336" s="121"/>
      <c r="C336" s="99" t="s">
        <v>253</v>
      </c>
      <c r="D336" s="81">
        <v>8</v>
      </c>
      <c r="E336" s="82">
        <v>1.7648356496800001E-3</v>
      </c>
    </row>
    <row r="337" spans="2:5">
      <c r="B337" s="121"/>
      <c r="C337" s="99" t="s">
        <v>251</v>
      </c>
      <c r="D337" s="81">
        <v>5</v>
      </c>
      <c r="E337" s="82">
        <v>1.1030222810500001E-3</v>
      </c>
    </row>
    <row r="338" spans="2:5">
      <c r="B338" s="121"/>
      <c r="C338" s="99" t="s">
        <v>266</v>
      </c>
      <c r="D338" s="81">
        <v>4</v>
      </c>
      <c r="E338" s="82">
        <v>8.8241782484000005E-4</v>
      </c>
    </row>
    <row r="339" spans="2:5">
      <c r="B339" s="121"/>
      <c r="C339" s="99" t="s">
        <v>257</v>
      </c>
      <c r="D339" s="81">
        <v>4</v>
      </c>
      <c r="E339" s="82">
        <v>8.8241782484000005E-4</v>
      </c>
    </row>
    <row r="340" spans="2:5">
      <c r="B340" s="121"/>
      <c r="C340" s="99" t="s">
        <v>263</v>
      </c>
      <c r="D340" s="81">
        <v>3</v>
      </c>
      <c r="E340" s="82">
        <v>6.6181336863000003E-4</v>
      </c>
    </row>
    <row r="341" spans="2:5">
      <c r="B341" s="121"/>
      <c r="C341" s="99" t="s">
        <v>265</v>
      </c>
      <c r="D341" s="81">
        <v>2</v>
      </c>
      <c r="E341" s="82">
        <v>4.4120891242000002E-4</v>
      </c>
    </row>
    <row r="342" spans="2:5">
      <c r="B342" s="121"/>
      <c r="C342" s="99" t="s">
        <v>254</v>
      </c>
      <c r="D342" s="81">
        <v>1</v>
      </c>
      <c r="E342" s="82">
        <v>2.2060445621000001E-4</v>
      </c>
    </row>
    <row r="343" spans="2:5">
      <c r="B343" s="121"/>
      <c r="C343" s="99" t="s">
        <v>255</v>
      </c>
      <c r="D343" s="81">
        <v>1</v>
      </c>
      <c r="E343" s="82">
        <v>2.2060445621000001E-4</v>
      </c>
    </row>
    <row r="344" spans="2:5">
      <c r="B344" s="121"/>
      <c r="C344" s="99" t="s">
        <v>258</v>
      </c>
      <c r="D344" s="81">
        <v>1</v>
      </c>
      <c r="E344" s="82">
        <v>2.2060445621000001E-4</v>
      </c>
    </row>
    <row r="345" spans="2:5">
      <c r="B345" s="120"/>
      <c r="C345" s="87" t="s">
        <v>29</v>
      </c>
      <c r="D345" s="83">
        <v>45</v>
      </c>
      <c r="E345" s="88">
        <v>9.9272005294509993E-3</v>
      </c>
    </row>
    <row r="346" spans="2:5">
      <c r="B346" s="119" t="s">
        <v>291</v>
      </c>
      <c r="C346" s="99" t="s">
        <v>252</v>
      </c>
      <c r="D346" s="81">
        <v>10</v>
      </c>
      <c r="E346" s="82">
        <v>2.2060445621000001E-3</v>
      </c>
    </row>
    <row r="347" spans="2:5">
      <c r="B347" s="121"/>
      <c r="C347" s="99" t="s">
        <v>253</v>
      </c>
      <c r="D347" s="81">
        <v>8</v>
      </c>
      <c r="E347" s="82">
        <v>1.7648356496800001E-3</v>
      </c>
    </row>
    <row r="348" spans="2:5">
      <c r="B348" s="121"/>
      <c r="C348" s="99" t="s">
        <v>251</v>
      </c>
      <c r="D348" s="81">
        <v>7</v>
      </c>
      <c r="E348" s="82">
        <v>1.5442311934700001E-3</v>
      </c>
    </row>
    <row r="349" spans="2:5">
      <c r="B349" s="121"/>
      <c r="C349" s="99" t="s">
        <v>259</v>
      </c>
      <c r="D349" s="81">
        <v>4</v>
      </c>
      <c r="E349" s="82">
        <v>8.8241782484000005E-4</v>
      </c>
    </row>
    <row r="350" spans="2:5">
      <c r="B350" s="121"/>
      <c r="C350" s="99" t="s">
        <v>258</v>
      </c>
      <c r="D350" s="81">
        <v>4</v>
      </c>
      <c r="E350" s="82">
        <v>8.8241782484000005E-4</v>
      </c>
    </row>
    <row r="351" spans="2:5">
      <c r="B351" s="121"/>
      <c r="C351" s="99" t="s">
        <v>257</v>
      </c>
      <c r="D351" s="81">
        <v>4</v>
      </c>
      <c r="E351" s="82">
        <v>8.8241782484000005E-4</v>
      </c>
    </row>
    <row r="352" spans="2:5">
      <c r="B352" s="121"/>
      <c r="C352" s="99" t="s">
        <v>254</v>
      </c>
      <c r="D352" s="81">
        <v>1</v>
      </c>
      <c r="E352" s="82">
        <v>2.2060445621000001E-4</v>
      </c>
    </row>
    <row r="353" spans="2:5">
      <c r="B353" s="121"/>
      <c r="C353" s="99" t="s">
        <v>256</v>
      </c>
      <c r="D353" s="81">
        <v>1</v>
      </c>
      <c r="E353" s="82">
        <v>2.2060445621000001E-4</v>
      </c>
    </row>
    <row r="354" spans="2:5">
      <c r="B354" s="121"/>
      <c r="C354" s="99" t="s">
        <v>263</v>
      </c>
      <c r="D354" s="81">
        <v>1</v>
      </c>
      <c r="E354" s="82">
        <v>2.2060445621000001E-4</v>
      </c>
    </row>
    <row r="355" spans="2:5">
      <c r="B355" s="121"/>
      <c r="C355" s="99" t="s">
        <v>262</v>
      </c>
      <c r="D355" s="81">
        <v>1</v>
      </c>
      <c r="E355" s="82">
        <v>2.2060445621000001E-4</v>
      </c>
    </row>
    <row r="356" spans="2:5">
      <c r="B356" s="121"/>
      <c r="C356" s="99" t="s">
        <v>266</v>
      </c>
      <c r="D356" s="81">
        <v>1</v>
      </c>
      <c r="E356" s="82">
        <v>2.2060445621000001E-4</v>
      </c>
    </row>
    <row r="357" spans="2:5">
      <c r="B357" s="121"/>
      <c r="C357" s="99" t="s">
        <v>260</v>
      </c>
      <c r="D357" s="81">
        <v>1</v>
      </c>
      <c r="E357" s="82">
        <v>2.2060445621000001E-4</v>
      </c>
    </row>
    <row r="358" spans="2:5">
      <c r="B358" s="120"/>
      <c r="C358" s="87" t="s">
        <v>29</v>
      </c>
      <c r="D358" s="83">
        <v>43</v>
      </c>
      <c r="E358" s="88">
        <v>9.4859916170310001E-3</v>
      </c>
    </row>
    <row r="359" spans="2:5">
      <c r="B359" s="119" t="s">
        <v>292</v>
      </c>
      <c r="C359" s="99" t="s">
        <v>252</v>
      </c>
      <c r="D359" s="81">
        <v>14</v>
      </c>
      <c r="E359" s="82">
        <v>3.0884623869400002E-3</v>
      </c>
    </row>
    <row r="360" spans="2:5">
      <c r="B360" s="121"/>
      <c r="C360" s="99" t="s">
        <v>256</v>
      </c>
      <c r="D360" s="81">
        <v>6</v>
      </c>
      <c r="E360" s="82">
        <v>1.3236267372600001E-3</v>
      </c>
    </row>
    <row r="361" spans="2:5">
      <c r="B361" s="121"/>
      <c r="C361" s="99" t="s">
        <v>251</v>
      </c>
      <c r="D361" s="81">
        <v>6</v>
      </c>
      <c r="E361" s="82">
        <v>1.3236267372600001E-3</v>
      </c>
    </row>
    <row r="362" spans="2:5">
      <c r="B362" s="121"/>
      <c r="C362" s="99" t="s">
        <v>257</v>
      </c>
      <c r="D362" s="81">
        <v>4</v>
      </c>
      <c r="E362" s="82">
        <v>8.8241782484000005E-4</v>
      </c>
    </row>
    <row r="363" spans="2:5">
      <c r="B363" s="121"/>
      <c r="C363" s="99" t="s">
        <v>253</v>
      </c>
      <c r="D363" s="81">
        <v>3</v>
      </c>
      <c r="E363" s="82">
        <v>6.6181336863000003E-4</v>
      </c>
    </row>
    <row r="364" spans="2:5">
      <c r="B364" s="121"/>
      <c r="C364" s="99" t="s">
        <v>255</v>
      </c>
      <c r="D364" s="81">
        <v>3</v>
      </c>
      <c r="E364" s="82">
        <v>6.6181336863000003E-4</v>
      </c>
    </row>
    <row r="365" spans="2:5">
      <c r="B365" s="121"/>
      <c r="C365" s="99" t="s">
        <v>260</v>
      </c>
      <c r="D365" s="81">
        <v>2</v>
      </c>
      <c r="E365" s="82">
        <v>4.4120891242000002E-4</v>
      </c>
    </row>
    <row r="366" spans="2:5">
      <c r="B366" s="121"/>
      <c r="C366" s="99" t="s">
        <v>254</v>
      </c>
      <c r="D366" s="81">
        <v>1</v>
      </c>
      <c r="E366" s="82">
        <v>2.2060445621000001E-4</v>
      </c>
    </row>
    <row r="367" spans="2:5">
      <c r="B367" s="121"/>
      <c r="C367" s="99" t="s">
        <v>261</v>
      </c>
      <c r="D367" s="81">
        <v>1</v>
      </c>
      <c r="E367" s="82">
        <v>2.2060445621000001E-4</v>
      </c>
    </row>
    <row r="368" spans="2:5">
      <c r="B368" s="121"/>
      <c r="C368" s="99" t="s">
        <v>264</v>
      </c>
      <c r="D368" s="81">
        <v>1</v>
      </c>
      <c r="E368" s="82">
        <v>2.2060445621000001E-4</v>
      </c>
    </row>
    <row r="369" spans="2:5">
      <c r="B369" s="120"/>
      <c r="C369" s="85" t="s">
        <v>29</v>
      </c>
      <c r="D369" s="84">
        <v>41</v>
      </c>
      <c r="E369" s="86">
        <v>9.0447827046109992E-3</v>
      </c>
    </row>
    <row r="370" spans="2:5">
      <c r="B370" s="119" t="s">
        <v>293</v>
      </c>
      <c r="C370" s="99" t="s">
        <v>251</v>
      </c>
      <c r="D370" s="81">
        <v>17</v>
      </c>
      <c r="E370" s="82">
        <v>3.7502757555700002E-3</v>
      </c>
    </row>
    <row r="371" spans="2:5">
      <c r="B371" s="121"/>
      <c r="C371" s="99" t="s">
        <v>257</v>
      </c>
      <c r="D371" s="81">
        <v>5</v>
      </c>
      <c r="E371" s="82">
        <v>1.1030222810500001E-3</v>
      </c>
    </row>
    <row r="372" spans="2:5">
      <c r="B372" s="121"/>
      <c r="C372" s="99" t="s">
        <v>254</v>
      </c>
      <c r="D372" s="81">
        <v>4</v>
      </c>
      <c r="E372" s="82">
        <v>8.8241782484000005E-4</v>
      </c>
    </row>
    <row r="373" spans="2:5">
      <c r="B373" s="121"/>
      <c r="C373" s="99" t="s">
        <v>253</v>
      </c>
      <c r="D373" s="81">
        <v>4</v>
      </c>
      <c r="E373" s="82">
        <v>8.8241782484000005E-4</v>
      </c>
    </row>
    <row r="374" spans="2:5">
      <c r="B374" s="121"/>
      <c r="C374" s="99" t="s">
        <v>252</v>
      </c>
      <c r="D374" s="81">
        <v>4</v>
      </c>
      <c r="E374" s="82">
        <v>8.8241782484000005E-4</v>
      </c>
    </row>
    <row r="375" spans="2:5">
      <c r="B375" s="121"/>
      <c r="C375" s="99" t="s">
        <v>258</v>
      </c>
      <c r="D375" s="81">
        <v>2</v>
      </c>
      <c r="E375" s="82">
        <v>4.4120891242000002E-4</v>
      </c>
    </row>
    <row r="376" spans="2:5">
      <c r="B376" s="121"/>
      <c r="C376" s="99" t="s">
        <v>256</v>
      </c>
      <c r="D376" s="81">
        <v>1</v>
      </c>
      <c r="E376" s="82">
        <v>2.2060445621000001E-4</v>
      </c>
    </row>
    <row r="377" spans="2:5">
      <c r="B377" s="121"/>
      <c r="C377" s="99" t="s">
        <v>255</v>
      </c>
      <c r="D377" s="81">
        <v>1</v>
      </c>
      <c r="E377" s="82">
        <v>2.2060445621000001E-4</v>
      </c>
    </row>
    <row r="378" spans="2:5">
      <c r="B378" s="120"/>
      <c r="C378" s="85" t="s">
        <v>29</v>
      </c>
      <c r="D378" s="84">
        <v>38</v>
      </c>
      <c r="E378" s="86">
        <v>8.3829693359810005E-3</v>
      </c>
    </row>
    <row r="379" spans="2:5">
      <c r="B379" s="119" t="s">
        <v>294</v>
      </c>
      <c r="C379" s="99" t="s">
        <v>251</v>
      </c>
      <c r="D379" s="81">
        <v>9</v>
      </c>
      <c r="E379" s="82">
        <v>1.9854401058900001E-3</v>
      </c>
    </row>
    <row r="380" spans="2:5">
      <c r="B380" s="121"/>
      <c r="C380" s="99" t="s">
        <v>255</v>
      </c>
      <c r="D380" s="81">
        <v>6</v>
      </c>
      <c r="E380" s="82">
        <v>1.3236267372600001E-3</v>
      </c>
    </row>
    <row r="381" spans="2:5">
      <c r="B381" s="121"/>
      <c r="C381" s="99" t="s">
        <v>263</v>
      </c>
      <c r="D381" s="81">
        <v>6</v>
      </c>
      <c r="E381" s="82">
        <v>1.3236267372600001E-3</v>
      </c>
    </row>
    <row r="382" spans="2:5">
      <c r="B382" s="121"/>
      <c r="C382" s="99" t="s">
        <v>253</v>
      </c>
      <c r="D382" s="81">
        <v>5</v>
      </c>
      <c r="E382" s="82">
        <v>1.1030222810500001E-3</v>
      </c>
    </row>
    <row r="383" spans="2:5">
      <c r="B383" s="121"/>
      <c r="C383" s="99" t="s">
        <v>252</v>
      </c>
      <c r="D383" s="81">
        <v>5</v>
      </c>
      <c r="E383" s="82">
        <v>1.1030222810500001E-3</v>
      </c>
    </row>
    <row r="384" spans="2:5">
      <c r="B384" s="121"/>
      <c r="C384" s="99" t="s">
        <v>256</v>
      </c>
      <c r="D384" s="81">
        <v>3</v>
      </c>
      <c r="E384" s="82">
        <v>6.6181336863000003E-4</v>
      </c>
    </row>
    <row r="385" spans="2:5">
      <c r="B385" s="121"/>
      <c r="C385" s="99" t="s">
        <v>254</v>
      </c>
      <c r="D385" s="81">
        <v>1</v>
      </c>
      <c r="E385" s="82">
        <v>2.2060445621000001E-4</v>
      </c>
    </row>
    <row r="386" spans="2:5">
      <c r="B386" s="121"/>
      <c r="C386" s="99" t="s">
        <v>265</v>
      </c>
      <c r="D386" s="81">
        <v>1</v>
      </c>
      <c r="E386" s="82">
        <v>2.2060445621000001E-4</v>
      </c>
    </row>
    <row r="387" spans="2:5">
      <c r="B387" s="121"/>
      <c r="C387" s="99" t="s">
        <v>266</v>
      </c>
      <c r="D387" s="81">
        <v>1</v>
      </c>
      <c r="E387" s="82">
        <v>2.2060445621000001E-4</v>
      </c>
    </row>
    <row r="388" spans="2:5">
      <c r="B388" s="121"/>
      <c r="C388" s="99" t="s">
        <v>257</v>
      </c>
      <c r="D388" s="81">
        <v>1</v>
      </c>
      <c r="E388" s="82">
        <v>2.2060445621000001E-4</v>
      </c>
    </row>
    <row r="389" spans="2:5">
      <c r="B389" s="120"/>
      <c r="C389" s="85" t="s">
        <v>29</v>
      </c>
      <c r="D389" s="84">
        <v>38</v>
      </c>
      <c r="E389" s="86">
        <v>8.3829693359810005E-3</v>
      </c>
    </row>
    <row r="390" spans="2:5">
      <c r="B390" s="119" t="s">
        <v>295</v>
      </c>
      <c r="C390" s="99" t="s">
        <v>251</v>
      </c>
      <c r="D390" s="81">
        <v>10</v>
      </c>
      <c r="E390" s="82">
        <v>2.2060445621000001E-3</v>
      </c>
    </row>
    <row r="391" spans="2:5">
      <c r="B391" s="121"/>
      <c r="C391" s="99" t="s">
        <v>252</v>
      </c>
      <c r="D391" s="81">
        <v>8</v>
      </c>
      <c r="E391" s="82">
        <v>1.7648356496800001E-3</v>
      </c>
    </row>
    <row r="392" spans="2:5">
      <c r="B392" s="121"/>
      <c r="C392" s="99" t="s">
        <v>256</v>
      </c>
      <c r="D392" s="81">
        <v>6</v>
      </c>
      <c r="E392" s="82">
        <v>1.3236267372600001E-3</v>
      </c>
    </row>
    <row r="393" spans="2:5">
      <c r="B393" s="121"/>
      <c r="C393" s="99" t="s">
        <v>253</v>
      </c>
      <c r="D393" s="81">
        <v>4</v>
      </c>
      <c r="E393" s="82">
        <v>8.8241782484000005E-4</v>
      </c>
    </row>
    <row r="394" spans="2:5">
      <c r="B394" s="121"/>
      <c r="C394" s="99" t="s">
        <v>254</v>
      </c>
      <c r="D394" s="81">
        <v>1</v>
      </c>
      <c r="E394" s="82">
        <v>2.2060445621000001E-4</v>
      </c>
    </row>
    <row r="395" spans="2:5">
      <c r="B395" s="121"/>
      <c r="C395" s="99" t="s">
        <v>262</v>
      </c>
      <c r="D395" s="81">
        <v>1</v>
      </c>
      <c r="E395" s="82">
        <v>2.2060445621000001E-4</v>
      </c>
    </row>
    <row r="396" spans="2:5">
      <c r="B396" s="121"/>
      <c r="C396" s="99" t="s">
        <v>266</v>
      </c>
      <c r="D396" s="81">
        <v>1</v>
      </c>
      <c r="E396" s="82">
        <v>2.2060445621000001E-4</v>
      </c>
    </row>
    <row r="397" spans="2:5">
      <c r="B397" s="121"/>
      <c r="C397" s="99" t="s">
        <v>260</v>
      </c>
      <c r="D397" s="81">
        <v>1</v>
      </c>
      <c r="E397" s="82">
        <v>2.2060445621000001E-4</v>
      </c>
    </row>
    <row r="398" spans="2:5">
      <c r="B398" s="121"/>
      <c r="C398" s="99" t="s">
        <v>257</v>
      </c>
      <c r="D398" s="81">
        <v>1</v>
      </c>
      <c r="E398" s="82">
        <v>2.2060445621000001E-4</v>
      </c>
    </row>
    <row r="399" spans="2:5">
      <c r="B399" s="120"/>
      <c r="C399" s="85" t="s">
        <v>29</v>
      </c>
      <c r="D399" s="84">
        <v>33</v>
      </c>
      <c r="E399" s="86">
        <v>7.279947054931E-3</v>
      </c>
    </row>
    <row r="400" spans="2:5">
      <c r="B400" s="119" t="s">
        <v>296</v>
      </c>
      <c r="C400" s="99" t="s">
        <v>253</v>
      </c>
      <c r="D400" s="81">
        <v>7</v>
      </c>
      <c r="E400" s="82">
        <v>1.5442311934700001E-3</v>
      </c>
    </row>
    <row r="401" spans="2:5">
      <c r="B401" s="121"/>
      <c r="C401" s="99" t="s">
        <v>254</v>
      </c>
      <c r="D401" s="81">
        <v>6</v>
      </c>
      <c r="E401" s="82">
        <v>1.3236267372600001E-3</v>
      </c>
    </row>
    <row r="402" spans="2:5">
      <c r="B402" s="121"/>
      <c r="C402" s="99" t="s">
        <v>251</v>
      </c>
      <c r="D402" s="81">
        <v>6</v>
      </c>
      <c r="E402" s="82">
        <v>1.3236267372600001E-3</v>
      </c>
    </row>
    <row r="403" spans="2:5">
      <c r="B403" s="121"/>
      <c r="C403" s="99" t="s">
        <v>255</v>
      </c>
      <c r="D403" s="81">
        <v>5</v>
      </c>
      <c r="E403" s="82">
        <v>1.1030222810500001E-3</v>
      </c>
    </row>
    <row r="404" spans="2:5">
      <c r="B404" s="121"/>
      <c r="C404" s="99" t="s">
        <v>252</v>
      </c>
      <c r="D404" s="81">
        <v>5</v>
      </c>
      <c r="E404" s="82">
        <v>1.1030222810500001E-3</v>
      </c>
    </row>
    <row r="405" spans="2:5">
      <c r="B405" s="121"/>
      <c r="C405" s="99" t="s">
        <v>265</v>
      </c>
      <c r="D405" s="81">
        <v>1</v>
      </c>
      <c r="E405" s="82">
        <v>2.2060445621000001E-4</v>
      </c>
    </row>
    <row r="406" spans="2:5">
      <c r="B406" s="121"/>
      <c r="C406" s="99" t="s">
        <v>260</v>
      </c>
      <c r="D406" s="81">
        <v>1</v>
      </c>
      <c r="E406" s="82">
        <v>2.2060445621000001E-4</v>
      </c>
    </row>
    <row r="407" spans="2:5">
      <c r="B407" s="121"/>
      <c r="C407" s="99" t="s">
        <v>257</v>
      </c>
      <c r="D407" s="81">
        <v>1</v>
      </c>
      <c r="E407" s="82">
        <v>2.2060445621000001E-4</v>
      </c>
    </row>
    <row r="408" spans="2:5">
      <c r="B408" s="120"/>
      <c r="C408" s="85" t="s">
        <v>29</v>
      </c>
      <c r="D408" s="84">
        <v>32</v>
      </c>
      <c r="E408" s="86">
        <v>7.0593425987200004E-3</v>
      </c>
    </row>
    <row r="409" spans="2:5">
      <c r="B409" s="119" t="s">
        <v>297</v>
      </c>
      <c r="C409" s="99" t="s">
        <v>251</v>
      </c>
      <c r="D409" s="81">
        <v>9</v>
      </c>
      <c r="E409" s="82">
        <v>1.9854401058900001E-3</v>
      </c>
    </row>
    <row r="410" spans="2:5">
      <c r="B410" s="121"/>
      <c r="C410" s="99" t="s">
        <v>253</v>
      </c>
      <c r="D410" s="81">
        <v>6</v>
      </c>
      <c r="E410" s="82">
        <v>1.3236267372600001E-3</v>
      </c>
    </row>
    <row r="411" spans="2:5">
      <c r="B411" s="121"/>
      <c r="C411" s="99" t="s">
        <v>256</v>
      </c>
      <c r="D411" s="81">
        <v>6</v>
      </c>
      <c r="E411" s="82">
        <v>1.3236267372600001E-3</v>
      </c>
    </row>
    <row r="412" spans="2:5">
      <c r="B412" s="121"/>
      <c r="C412" s="99" t="s">
        <v>252</v>
      </c>
      <c r="D412" s="81">
        <v>4</v>
      </c>
      <c r="E412" s="82">
        <v>8.8241782484000005E-4</v>
      </c>
    </row>
    <row r="413" spans="2:5">
      <c r="B413" s="121"/>
      <c r="C413" s="99" t="s">
        <v>262</v>
      </c>
      <c r="D413" s="81">
        <v>2</v>
      </c>
      <c r="E413" s="82">
        <v>4.4120891242000002E-4</v>
      </c>
    </row>
    <row r="414" spans="2:5">
      <c r="B414" s="121"/>
      <c r="C414" s="99" t="s">
        <v>257</v>
      </c>
      <c r="D414" s="81">
        <v>2</v>
      </c>
      <c r="E414" s="82">
        <v>4.4120891242000002E-4</v>
      </c>
    </row>
    <row r="415" spans="2:5">
      <c r="B415" s="121"/>
      <c r="C415" s="99" t="s">
        <v>255</v>
      </c>
      <c r="D415" s="81">
        <v>1</v>
      </c>
      <c r="E415" s="82">
        <v>2.2060445621000001E-4</v>
      </c>
    </row>
    <row r="416" spans="2:5">
      <c r="B416" s="121"/>
      <c r="C416" s="99" t="s">
        <v>266</v>
      </c>
      <c r="D416" s="81">
        <v>1</v>
      </c>
      <c r="E416" s="82">
        <v>2.2060445621000001E-4</v>
      </c>
    </row>
    <row r="417" spans="2:5">
      <c r="B417" s="120"/>
      <c r="C417" s="85" t="s">
        <v>29</v>
      </c>
      <c r="D417" s="84">
        <v>31</v>
      </c>
      <c r="E417" s="86">
        <v>6.8387381425099999E-3</v>
      </c>
    </row>
    <row r="418" spans="2:5">
      <c r="B418" s="119" t="s">
        <v>298</v>
      </c>
      <c r="C418" s="99" t="s">
        <v>251</v>
      </c>
      <c r="D418" s="81">
        <v>14</v>
      </c>
      <c r="E418" s="82">
        <v>3.0884623869400002E-3</v>
      </c>
    </row>
    <row r="419" spans="2:5">
      <c r="B419" s="121"/>
      <c r="C419" s="99" t="s">
        <v>256</v>
      </c>
      <c r="D419" s="81">
        <v>4</v>
      </c>
      <c r="E419" s="82">
        <v>8.8241782484000005E-4</v>
      </c>
    </row>
    <row r="420" spans="2:5">
      <c r="B420" s="121"/>
      <c r="C420" s="99" t="s">
        <v>252</v>
      </c>
      <c r="D420" s="81">
        <v>3</v>
      </c>
      <c r="E420" s="82">
        <v>6.6181336863000003E-4</v>
      </c>
    </row>
    <row r="421" spans="2:5">
      <c r="B421" s="121"/>
      <c r="C421" s="99" t="s">
        <v>253</v>
      </c>
      <c r="D421" s="81">
        <v>2</v>
      </c>
      <c r="E421" s="82">
        <v>4.4120891242000002E-4</v>
      </c>
    </row>
    <row r="422" spans="2:5">
      <c r="B422" s="121"/>
      <c r="C422" s="99" t="s">
        <v>266</v>
      </c>
      <c r="D422" s="81">
        <v>1</v>
      </c>
      <c r="E422" s="82">
        <v>2.2060445621000001E-4</v>
      </c>
    </row>
    <row r="423" spans="2:5">
      <c r="B423" s="121"/>
      <c r="C423" s="99" t="s">
        <v>267</v>
      </c>
      <c r="D423" s="81">
        <v>1</v>
      </c>
      <c r="E423" s="82">
        <v>2.2060445621000001E-4</v>
      </c>
    </row>
    <row r="424" spans="2:5">
      <c r="B424" s="121"/>
      <c r="C424" s="99" t="s">
        <v>258</v>
      </c>
      <c r="D424" s="81">
        <v>1</v>
      </c>
      <c r="E424" s="82">
        <v>2.2060445621000001E-4</v>
      </c>
    </row>
    <row r="425" spans="2:5">
      <c r="B425" s="121"/>
      <c r="C425" s="99" t="s">
        <v>261</v>
      </c>
      <c r="D425" s="81">
        <v>1</v>
      </c>
      <c r="E425" s="82">
        <v>2.2060445621000001E-4</v>
      </c>
    </row>
    <row r="426" spans="2:5">
      <c r="B426" s="121"/>
      <c r="C426" s="99" t="s">
        <v>264</v>
      </c>
      <c r="D426" s="81">
        <v>1</v>
      </c>
      <c r="E426" s="82">
        <v>2.2060445621000001E-4</v>
      </c>
    </row>
    <row r="427" spans="2:5">
      <c r="B427" s="120"/>
      <c r="C427" s="85" t="s">
        <v>29</v>
      </c>
      <c r="D427" s="84">
        <v>28</v>
      </c>
      <c r="E427" s="86">
        <v>6.1769247738800003E-3</v>
      </c>
    </row>
    <row r="428" spans="2:5">
      <c r="B428" s="119" t="s">
        <v>299</v>
      </c>
      <c r="C428" s="99" t="s">
        <v>251</v>
      </c>
      <c r="D428" s="81">
        <v>14</v>
      </c>
      <c r="E428" s="82">
        <v>3.0884623869400002E-3</v>
      </c>
    </row>
    <row r="429" spans="2:5">
      <c r="B429" s="121"/>
      <c r="C429" s="99" t="s">
        <v>252</v>
      </c>
      <c r="D429" s="81">
        <v>6</v>
      </c>
      <c r="E429" s="82">
        <v>1.3236267372600001E-3</v>
      </c>
    </row>
    <row r="430" spans="2:5">
      <c r="B430" s="121"/>
      <c r="C430" s="99" t="s">
        <v>253</v>
      </c>
      <c r="D430" s="81">
        <v>2</v>
      </c>
      <c r="E430" s="82">
        <v>4.4120891242000002E-4</v>
      </c>
    </row>
    <row r="431" spans="2:5">
      <c r="B431" s="121"/>
      <c r="C431" s="99" t="s">
        <v>256</v>
      </c>
      <c r="D431" s="81">
        <v>1</v>
      </c>
      <c r="E431" s="82">
        <v>2.2060445621000001E-4</v>
      </c>
    </row>
    <row r="432" spans="2:5">
      <c r="B432" s="120"/>
      <c r="C432" s="85" t="s">
        <v>29</v>
      </c>
      <c r="D432" s="84">
        <v>23</v>
      </c>
      <c r="E432" s="86">
        <v>5.0739024928299998E-3</v>
      </c>
    </row>
    <row r="433" spans="2:5">
      <c r="B433" s="119" t="s">
        <v>300</v>
      </c>
      <c r="C433" s="99" t="s">
        <v>252</v>
      </c>
      <c r="D433" s="81">
        <v>5</v>
      </c>
      <c r="E433" s="82">
        <v>1.1030222810500001E-3</v>
      </c>
    </row>
    <row r="434" spans="2:5">
      <c r="B434" s="121"/>
      <c r="C434" s="99" t="s">
        <v>251</v>
      </c>
      <c r="D434" s="81">
        <v>4</v>
      </c>
      <c r="E434" s="82">
        <v>8.8241782484000005E-4</v>
      </c>
    </row>
    <row r="435" spans="2:5">
      <c r="B435" s="121"/>
      <c r="C435" s="99" t="s">
        <v>256</v>
      </c>
      <c r="D435" s="81">
        <v>3</v>
      </c>
      <c r="E435" s="82">
        <v>6.6181336863000003E-4</v>
      </c>
    </row>
    <row r="436" spans="2:5">
      <c r="B436" s="121"/>
      <c r="C436" s="99" t="s">
        <v>253</v>
      </c>
      <c r="D436" s="81">
        <v>2</v>
      </c>
      <c r="E436" s="82">
        <v>4.4120891242000002E-4</v>
      </c>
    </row>
    <row r="437" spans="2:5">
      <c r="B437" s="121"/>
      <c r="C437" s="99" t="s">
        <v>255</v>
      </c>
      <c r="D437" s="81">
        <v>2</v>
      </c>
      <c r="E437" s="82">
        <v>4.4120891242000002E-4</v>
      </c>
    </row>
    <row r="438" spans="2:5">
      <c r="B438" s="121"/>
      <c r="C438" s="99" t="s">
        <v>258</v>
      </c>
      <c r="D438" s="81">
        <v>2</v>
      </c>
      <c r="E438" s="82">
        <v>4.4120891242000002E-4</v>
      </c>
    </row>
    <row r="439" spans="2:5">
      <c r="B439" s="121"/>
      <c r="C439" s="99" t="s">
        <v>260</v>
      </c>
      <c r="D439" s="81">
        <v>2</v>
      </c>
      <c r="E439" s="82">
        <v>4.4120891242000002E-4</v>
      </c>
    </row>
    <row r="440" spans="2:5">
      <c r="B440" s="121"/>
      <c r="C440" s="99" t="s">
        <v>257</v>
      </c>
      <c r="D440" s="81">
        <v>2</v>
      </c>
      <c r="E440" s="82">
        <v>4.4120891242000002E-4</v>
      </c>
    </row>
    <row r="441" spans="2:5">
      <c r="B441" s="121"/>
      <c r="C441" s="99" t="s">
        <v>265</v>
      </c>
      <c r="D441" s="81">
        <v>1</v>
      </c>
      <c r="E441" s="82">
        <v>2.2060445621000001E-4</v>
      </c>
    </row>
    <row r="442" spans="2:5">
      <c r="B442" s="120"/>
      <c r="C442" s="85" t="s">
        <v>29</v>
      </c>
      <c r="D442" s="84">
        <v>23</v>
      </c>
      <c r="E442" s="86">
        <v>5.0739024928299998E-3</v>
      </c>
    </row>
    <row r="443" spans="2:5">
      <c r="B443" s="119" t="s">
        <v>301</v>
      </c>
      <c r="C443" s="99" t="s">
        <v>251</v>
      </c>
      <c r="D443" s="81">
        <v>5</v>
      </c>
      <c r="E443" s="82">
        <v>1.1030222810500001E-3</v>
      </c>
    </row>
    <row r="444" spans="2:5">
      <c r="B444" s="121"/>
      <c r="C444" s="99" t="s">
        <v>257</v>
      </c>
      <c r="D444" s="81">
        <v>4</v>
      </c>
      <c r="E444" s="82">
        <v>8.8241782484000005E-4</v>
      </c>
    </row>
    <row r="445" spans="2:5">
      <c r="B445" s="121"/>
      <c r="C445" s="99" t="s">
        <v>252</v>
      </c>
      <c r="D445" s="81">
        <v>3</v>
      </c>
      <c r="E445" s="82">
        <v>6.6181336863000003E-4</v>
      </c>
    </row>
    <row r="446" spans="2:5">
      <c r="B446" s="121"/>
      <c r="C446" s="99" t="s">
        <v>264</v>
      </c>
      <c r="D446" s="81">
        <v>3</v>
      </c>
      <c r="E446" s="82">
        <v>6.6181336863000003E-4</v>
      </c>
    </row>
    <row r="447" spans="2:5">
      <c r="B447" s="121"/>
      <c r="C447" s="99" t="s">
        <v>256</v>
      </c>
      <c r="D447" s="81">
        <v>2</v>
      </c>
      <c r="E447" s="82">
        <v>4.4120891242000002E-4</v>
      </c>
    </row>
    <row r="448" spans="2:5">
      <c r="B448" s="121"/>
      <c r="C448" s="99" t="s">
        <v>254</v>
      </c>
      <c r="D448" s="81">
        <v>1</v>
      </c>
      <c r="E448" s="82">
        <v>2.2060445621000001E-4</v>
      </c>
    </row>
    <row r="449" spans="2:5">
      <c r="B449" s="121"/>
      <c r="C449" s="99" t="s">
        <v>253</v>
      </c>
      <c r="D449" s="81">
        <v>1</v>
      </c>
      <c r="E449" s="82">
        <v>2.2060445621000001E-4</v>
      </c>
    </row>
    <row r="450" spans="2:5">
      <c r="B450" s="121"/>
      <c r="C450" s="99" t="s">
        <v>263</v>
      </c>
      <c r="D450" s="81">
        <v>1</v>
      </c>
      <c r="E450" s="82">
        <v>2.2060445621000001E-4</v>
      </c>
    </row>
    <row r="451" spans="2:5">
      <c r="B451" s="121"/>
      <c r="C451" s="99" t="s">
        <v>258</v>
      </c>
      <c r="D451" s="81">
        <v>1</v>
      </c>
      <c r="E451" s="82">
        <v>2.2060445621000001E-4</v>
      </c>
    </row>
    <row r="452" spans="2:5">
      <c r="B452" s="121"/>
      <c r="C452" s="99" t="s">
        <v>260</v>
      </c>
      <c r="D452" s="81">
        <v>1</v>
      </c>
      <c r="E452" s="82">
        <v>2.2060445621000001E-4</v>
      </c>
    </row>
    <row r="453" spans="2:5">
      <c r="B453" s="120"/>
      <c r="C453" s="85" t="s">
        <v>29</v>
      </c>
      <c r="D453" s="84">
        <v>22</v>
      </c>
      <c r="E453" s="86">
        <v>4.8532980366200002E-3</v>
      </c>
    </row>
    <row r="454" spans="2:5">
      <c r="B454" s="119" t="s">
        <v>302</v>
      </c>
      <c r="C454" s="99" t="s">
        <v>251</v>
      </c>
      <c r="D454" s="81">
        <v>6</v>
      </c>
      <c r="E454" s="82">
        <v>1.3236267372600001E-3</v>
      </c>
    </row>
    <row r="455" spans="2:5">
      <c r="B455" s="121"/>
      <c r="C455" s="99" t="s">
        <v>253</v>
      </c>
      <c r="D455" s="81">
        <v>4</v>
      </c>
      <c r="E455" s="82">
        <v>8.8241782484000005E-4</v>
      </c>
    </row>
    <row r="456" spans="2:5">
      <c r="B456" s="121"/>
      <c r="C456" s="99" t="s">
        <v>254</v>
      </c>
      <c r="D456" s="81">
        <v>2</v>
      </c>
      <c r="E456" s="82">
        <v>4.4120891242000002E-4</v>
      </c>
    </row>
    <row r="457" spans="2:5">
      <c r="B457" s="121"/>
      <c r="C457" s="99" t="s">
        <v>265</v>
      </c>
      <c r="D457" s="81">
        <v>2</v>
      </c>
      <c r="E457" s="82">
        <v>4.4120891242000002E-4</v>
      </c>
    </row>
    <row r="458" spans="2:5">
      <c r="B458" s="121"/>
      <c r="C458" s="99" t="s">
        <v>255</v>
      </c>
      <c r="D458" s="81">
        <v>2</v>
      </c>
      <c r="E458" s="82">
        <v>4.4120891242000002E-4</v>
      </c>
    </row>
    <row r="459" spans="2:5">
      <c r="B459" s="121"/>
      <c r="C459" s="99" t="s">
        <v>252</v>
      </c>
      <c r="D459" s="81">
        <v>2</v>
      </c>
      <c r="E459" s="82">
        <v>4.4120891242000002E-4</v>
      </c>
    </row>
    <row r="460" spans="2:5">
      <c r="B460" s="121"/>
      <c r="C460" s="99" t="s">
        <v>256</v>
      </c>
      <c r="D460" s="81">
        <v>1</v>
      </c>
      <c r="E460" s="82">
        <v>2.2060445621000001E-4</v>
      </c>
    </row>
    <row r="461" spans="2:5">
      <c r="B461" s="121"/>
      <c r="C461" s="99" t="s">
        <v>263</v>
      </c>
      <c r="D461" s="81">
        <v>1</v>
      </c>
      <c r="E461" s="82">
        <v>2.2060445621000001E-4</v>
      </c>
    </row>
    <row r="462" spans="2:5">
      <c r="B462" s="121"/>
      <c r="C462" s="99" t="s">
        <v>258</v>
      </c>
      <c r="D462" s="81">
        <v>1</v>
      </c>
      <c r="E462" s="82">
        <v>2.2060445621000001E-4</v>
      </c>
    </row>
    <row r="463" spans="2:5">
      <c r="B463" s="121"/>
      <c r="C463" s="99" t="s">
        <v>257</v>
      </c>
      <c r="D463" s="81">
        <v>1</v>
      </c>
      <c r="E463" s="82">
        <v>2.2060445621000001E-4</v>
      </c>
    </row>
    <row r="464" spans="2:5">
      <c r="B464" s="120"/>
      <c r="C464" s="85" t="s">
        <v>29</v>
      </c>
      <c r="D464" s="84">
        <v>22</v>
      </c>
      <c r="E464" s="86">
        <v>4.8532980366200002E-3</v>
      </c>
    </row>
    <row r="465" spans="2:5">
      <c r="B465" s="119" t="s">
        <v>303</v>
      </c>
      <c r="C465" s="99" t="s">
        <v>251</v>
      </c>
      <c r="D465" s="81">
        <v>7</v>
      </c>
      <c r="E465" s="82">
        <v>1.5442311934700001E-3</v>
      </c>
    </row>
    <row r="466" spans="2:5">
      <c r="B466" s="121"/>
      <c r="C466" s="99" t="s">
        <v>254</v>
      </c>
      <c r="D466" s="81">
        <v>3</v>
      </c>
      <c r="E466" s="82">
        <v>6.6181336863000003E-4</v>
      </c>
    </row>
    <row r="467" spans="2:5">
      <c r="B467" s="121"/>
      <c r="C467" s="99" t="s">
        <v>252</v>
      </c>
      <c r="D467" s="81">
        <v>2</v>
      </c>
      <c r="E467" s="82">
        <v>4.4120891242000002E-4</v>
      </c>
    </row>
    <row r="468" spans="2:5">
      <c r="B468" s="121"/>
      <c r="C468" s="99" t="s">
        <v>268</v>
      </c>
      <c r="D468" s="81">
        <v>2</v>
      </c>
      <c r="E468" s="82">
        <v>4.4120891242000002E-4</v>
      </c>
    </row>
    <row r="469" spans="2:5">
      <c r="B469" s="121"/>
      <c r="C469" s="99" t="s">
        <v>256</v>
      </c>
      <c r="D469" s="81">
        <v>1</v>
      </c>
      <c r="E469" s="82">
        <v>2.2060445621000001E-4</v>
      </c>
    </row>
    <row r="470" spans="2:5">
      <c r="B470" s="121"/>
      <c r="C470" s="99" t="s">
        <v>267</v>
      </c>
      <c r="D470" s="81">
        <v>1</v>
      </c>
      <c r="E470" s="82">
        <v>2.2060445621000001E-4</v>
      </c>
    </row>
    <row r="471" spans="2:5">
      <c r="B471" s="120"/>
      <c r="C471" s="85" t="s">
        <v>29</v>
      </c>
      <c r="D471" s="84">
        <v>16</v>
      </c>
      <c r="E471" s="86">
        <v>3.5296712993600002E-3</v>
      </c>
    </row>
    <row r="472" spans="2:5">
      <c r="B472" s="119" t="s">
        <v>304</v>
      </c>
      <c r="C472" s="99" t="s">
        <v>252</v>
      </c>
      <c r="D472" s="81">
        <v>3</v>
      </c>
      <c r="E472" s="82">
        <v>6.6181336863000003E-4</v>
      </c>
    </row>
    <row r="473" spans="2:5">
      <c r="B473" s="121"/>
      <c r="C473" s="99" t="s">
        <v>257</v>
      </c>
      <c r="D473" s="81">
        <v>3</v>
      </c>
      <c r="E473" s="82">
        <v>6.6181336863000003E-4</v>
      </c>
    </row>
    <row r="474" spans="2:5">
      <c r="B474" s="121"/>
      <c r="C474" s="99" t="s">
        <v>254</v>
      </c>
      <c r="D474" s="81">
        <v>2</v>
      </c>
      <c r="E474" s="82">
        <v>4.4120891242000002E-4</v>
      </c>
    </row>
    <row r="475" spans="2:5">
      <c r="B475" s="121"/>
      <c r="C475" s="99" t="s">
        <v>253</v>
      </c>
      <c r="D475" s="81">
        <v>2</v>
      </c>
      <c r="E475" s="82">
        <v>4.4120891242000002E-4</v>
      </c>
    </row>
    <row r="476" spans="2:5">
      <c r="B476" s="121"/>
      <c r="C476" s="99" t="s">
        <v>265</v>
      </c>
      <c r="D476" s="81">
        <v>1</v>
      </c>
      <c r="E476" s="82">
        <v>2.2060445621000001E-4</v>
      </c>
    </row>
    <row r="477" spans="2:5">
      <c r="B477" s="121"/>
      <c r="C477" s="99" t="s">
        <v>256</v>
      </c>
      <c r="D477" s="81">
        <v>1</v>
      </c>
      <c r="E477" s="82">
        <v>2.2060445621000001E-4</v>
      </c>
    </row>
    <row r="478" spans="2:5">
      <c r="B478" s="121"/>
      <c r="C478" s="99" t="s">
        <v>262</v>
      </c>
      <c r="D478" s="81">
        <v>1</v>
      </c>
      <c r="E478" s="82">
        <v>2.2060445621000001E-4</v>
      </c>
    </row>
    <row r="479" spans="2:5">
      <c r="B479" s="121"/>
      <c r="C479" s="99" t="s">
        <v>266</v>
      </c>
      <c r="D479" s="81">
        <v>1</v>
      </c>
      <c r="E479" s="82">
        <v>2.2060445621000001E-4</v>
      </c>
    </row>
    <row r="480" spans="2:5">
      <c r="B480" s="121"/>
      <c r="C480" s="99" t="s">
        <v>258</v>
      </c>
      <c r="D480" s="81">
        <v>1</v>
      </c>
      <c r="E480" s="82">
        <v>2.2060445621000001E-4</v>
      </c>
    </row>
    <row r="481" spans="2:5">
      <c r="B481" s="120"/>
      <c r="C481" s="85" t="s">
        <v>29</v>
      </c>
      <c r="D481" s="84">
        <v>15</v>
      </c>
      <c r="E481" s="86">
        <v>3.3090668431500002E-3</v>
      </c>
    </row>
    <row r="482" spans="2:5">
      <c r="B482" s="119" t="s">
        <v>305</v>
      </c>
      <c r="C482" s="99" t="s">
        <v>253</v>
      </c>
      <c r="D482" s="81">
        <v>3</v>
      </c>
      <c r="E482" s="82">
        <v>6.6181336863000003E-4</v>
      </c>
    </row>
    <row r="483" spans="2:5">
      <c r="B483" s="121"/>
      <c r="C483" s="99" t="s">
        <v>252</v>
      </c>
      <c r="D483" s="81">
        <v>3</v>
      </c>
      <c r="E483" s="82">
        <v>6.6181336863000003E-4</v>
      </c>
    </row>
    <row r="484" spans="2:5">
      <c r="B484" s="121"/>
      <c r="C484" s="99" t="s">
        <v>258</v>
      </c>
      <c r="D484" s="81">
        <v>3</v>
      </c>
      <c r="E484" s="82">
        <v>6.6181336863000003E-4</v>
      </c>
    </row>
    <row r="485" spans="2:5">
      <c r="B485" s="121"/>
      <c r="C485" s="99" t="s">
        <v>254</v>
      </c>
      <c r="D485" s="81">
        <v>2</v>
      </c>
      <c r="E485" s="82">
        <v>4.4120891242000002E-4</v>
      </c>
    </row>
    <row r="486" spans="2:5">
      <c r="B486" s="121"/>
      <c r="C486" s="99" t="s">
        <v>251</v>
      </c>
      <c r="D486" s="81">
        <v>2</v>
      </c>
      <c r="E486" s="82">
        <v>4.4120891242000002E-4</v>
      </c>
    </row>
    <row r="487" spans="2:5">
      <c r="B487" s="120"/>
      <c r="C487" s="85" t="s">
        <v>29</v>
      </c>
      <c r="D487" s="84">
        <v>13</v>
      </c>
      <c r="E487" s="86">
        <v>2.8678579307300001E-3</v>
      </c>
    </row>
    <row r="488" spans="2:5" ht="15" customHeight="1">
      <c r="B488" s="119" t="s">
        <v>306</v>
      </c>
      <c r="C488" s="99" t="s">
        <v>254</v>
      </c>
      <c r="D488" s="81">
        <v>7</v>
      </c>
      <c r="E488" s="82">
        <v>1.5442311934700001E-3</v>
      </c>
    </row>
    <row r="489" spans="2:5" ht="15" customHeight="1">
      <c r="B489" s="121"/>
      <c r="C489" s="99" t="s">
        <v>251</v>
      </c>
      <c r="D489" s="81">
        <v>2</v>
      </c>
      <c r="E489" s="82">
        <v>4.4120891242000002E-4</v>
      </c>
    </row>
    <row r="490" spans="2:5" ht="15" customHeight="1">
      <c r="B490" s="121"/>
      <c r="C490" s="99" t="s">
        <v>266</v>
      </c>
      <c r="D490" s="81">
        <v>2</v>
      </c>
      <c r="E490" s="82">
        <v>4.4120891242000002E-4</v>
      </c>
    </row>
    <row r="491" spans="2:5" ht="15" customHeight="1">
      <c r="B491" s="121"/>
      <c r="C491" s="99" t="s">
        <v>252</v>
      </c>
      <c r="D491" s="81">
        <v>1</v>
      </c>
      <c r="E491" s="82">
        <v>2.2060445621000001E-4</v>
      </c>
    </row>
    <row r="492" spans="2:5" ht="15" customHeight="1">
      <c r="B492" s="120"/>
      <c r="C492" s="85" t="s">
        <v>29</v>
      </c>
      <c r="D492" s="84">
        <v>12</v>
      </c>
      <c r="E492" s="86">
        <v>2.6472534745200001E-3</v>
      </c>
    </row>
    <row r="493" spans="2:5" ht="15" customHeight="1">
      <c r="B493" s="119" t="s">
        <v>307</v>
      </c>
      <c r="C493" s="99" t="s">
        <v>252</v>
      </c>
      <c r="D493" s="81">
        <v>5</v>
      </c>
      <c r="E493" s="82">
        <v>1.1030222810500001E-3</v>
      </c>
    </row>
    <row r="494" spans="2:5" ht="15" customHeight="1">
      <c r="B494" s="121"/>
      <c r="C494" s="99" t="s">
        <v>253</v>
      </c>
      <c r="D494" s="81">
        <v>2</v>
      </c>
      <c r="E494" s="82">
        <v>4.4120891242000002E-4</v>
      </c>
    </row>
    <row r="495" spans="2:5" ht="15" customHeight="1">
      <c r="B495" s="121"/>
      <c r="C495" s="99" t="s">
        <v>251</v>
      </c>
      <c r="D495" s="81">
        <v>2</v>
      </c>
      <c r="E495" s="82">
        <v>4.4120891242000002E-4</v>
      </c>
    </row>
    <row r="496" spans="2:5" ht="15" customHeight="1">
      <c r="B496" s="121"/>
      <c r="C496" s="99" t="s">
        <v>254</v>
      </c>
      <c r="D496" s="81">
        <v>1</v>
      </c>
      <c r="E496" s="82">
        <v>2.2060445621000001E-4</v>
      </c>
    </row>
    <row r="497" spans="2:5" ht="15" customHeight="1">
      <c r="B497" s="120"/>
      <c r="C497" s="85" t="s">
        <v>29</v>
      </c>
      <c r="D497" s="84">
        <v>10</v>
      </c>
      <c r="E497" s="86">
        <v>2.2060445621000001E-3</v>
      </c>
    </row>
    <row r="498" spans="2:5" ht="15" customHeight="1">
      <c r="B498" s="119" t="s">
        <v>308</v>
      </c>
      <c r="C498" s="99" t="s">
        <v>254</v>
      </c>
      <c r="D498" s="81">
        <v>1</v>
      </c>
      <c r="E498" s="82">
        <v>2.2060445621000001E-4</v>
      </c>
    </row>
    <row r="499" spans="2:5" ht="15" customHeight="1">
      <c r="B499" s="121"/>
      <c r="C499" s="99" t="s">
        <v>251</v>
      </c>
      <c r="D499" s="81">
        <v>1</v>
      </c>
      <c r="E499" s="82">
        <v>2.2060445621000001E-4</v>
      </c>
    </row>
    <row r="500" spans="2:5" ht="15" customHeight="1">
      <c r="B500" s="121"/>
      <c r="C500" s="99" t="s">
        <v>262</v>
      </c>
      <c r="D500" s="81">
        <v>1</v>
      </c>
      <c r="E500" s="82">
        <v>2.2060445621000001E-4</v>
      </c>
    </row>
    <row r="501" spans="2:5" ht="15" customHeight="1">
      <c r="B501" s="121"/>
      <c r="C501" s="99" t="s">
        <v>252</v>
      </c>
      <c r="D501" s="81">
        <v>1</v>
      </c>
      <c r="E501" s="82">
        <v>2.2060445621000001E-4</v>
      </c>
    </row>
    <row r="502" spans="2:5" ht="15" customHeight="1">
      <c r="B502" s="121"/>
      <c r="C502" s="99" t="s">
        <v>258</v>
      </c>
      <c r="D502" s="81">
        <v>1</v>
      </c>
      <c r="E502" s="82">
        <v>2.2060445621000001E-4</v>
      </c>
    </row>
    <row r="503" spans="2:5" ht="15" customHeight="1">
      <c r="B503" s="120"/>
      <c r="C503" s="85" t="s">
        <v>29</v>
      </c>
      <c r="D503" s="84">
        <v>5</v>
      </c>
      <c r="E503" s="86">
        <v>1.1030222810500001E-3</v>
      </c>
    </row>
    <row r="504" spans="2:5" ht="15" customHeight="1">
      <c r="B504" s="119" t="s">
        <v>309</v>
      </c>
      <c r="C504" s="99" t="s">
        <v>252</v>
      </c>
      <c r="D504" s="81">
        <v>3</v>
      </c>
      <c r="E504" s="82">
        <v>6.6181336863000003E-4</v>
      </c>
    </row>
    <row r="505" spans="2:5" ht="15" customHeight="1">
      <c r="B505" s="121"/>
      <c r="C505" s="99" t="s">
        <v>251</v>
      </c>
      <c r="D505" s="81">
        <v>1</v>
      </c>
      <c r="E505" s="82">
        <v>2.2060445621000001E-4</v>
      </c>
    </row>
    <row r="506" spans="2:5" ht="15" customHeight="1">
      <c r="B506" s="120"/>
      <c r="C506" s="85" t="s">
        <v>29</v>
      </c>
      <c r="D506" s="84">
        <v>4</v>
      </c>
      <c r="E506" s="86">
        <v>8.8241782484000005E-4</v>
      </c>
    </row>
    <row r="507" spans="2:5" ht="15" customHeight="1">
      <c r="B507" s="119" t="s">
        <v>310</v>
      </c>
      <c r="C507" s="99" t="s">
        <v>256</v>
      </c>
      <c r="D507" s="81">
        <v>1</v>
      </c>
      <c r="E507" s="82">
        <v>2.2060445621000001E-4</v>
      </c>
    </row>
    <row r="508" spans="2:5" ht="15" customHeight="1">
      <c r="B508" s="121"/>
      <c r="C508" s="99" t="s">
        <v>251</v>
      </c>
      <c r="D508" s="81">
        <v>1</v>
      </c>
      <c r="E508" s="82">
        <v>2.2060445621000001E-4</v>
      </c>
    </row>
    <row r="509" spans="2:5" ht="15" customHeight="1">
      <c r="B509" s="121"/>
      <c r="C509" s="99" t="s">
        <v>262</v>
      </c>
      <c r="D509" s="81">
        <v>1</v>
      </c>
      <c r="E509" s="82">
        <v>2.2060445621000001E-4</v>
      </c>
    </row>
    <row r="510" spans="2:5" ht="15" customHeight="1">
      <c r="B510" s="120"/>
      <c r="C510" s="85" t="s">
        <v>29</v>
      </c>
      <c r="D510" s="84">
        <v>3</v>
      </c>
      <c r="E510" s="86">
        <v>6.6181336863000003E-4</v>
      </c>
    </row>
    <row r="511" spans="2:5" ht="15" customHeight="1">
      <c r="B511" s="119" t="s">
        <v>311</v>
      </c>
      <c r="C511" s="99" t="s">
        <v>253</v>
      </c>
      <c r="D511" s="81">
        <v>2</v>
      </c>
      <c r="E511" s="82">
        <v>4.4120891242000002E-4</v>
      </c>
    </row>
    <row r="512" spans="2:5" ht="15" customHeight="1">
      <c r="B512" s="120"/>
      <c r="C512" s="85" t="s">
        <v>29</v>
      </c>
      <c r="D512" s="84">
        <v>2</v>
      </c>
      <c r="E512" s="86">
        <v>4.4120891242000002E-4</v>
      </c>
    </row>
    <row r="513" spans="2:5" ht="15" customHeight="1">
      <c r="B513" s="119" t="s">
        <v>312</v>
      </c>
      <c r="C513" s="99" t="s">
        <v>253</v>
      </c>
      <c r="D513" s="81">
        <v>1</v>
      </c>
      <c r="E513" s="82">
        <v>2.2060445621000001E-4</v>
      </c>
    </row>
    <row r="514" spans="2:5" ht="15" customHeight="1">
      <c r="B514" s="120"/>
      <c r="C514" s="85" t="s">
        <v>29</v>
      </c>
      <c r="D514" s="84">
        <v>1</v>
      </c>
      <c r="E514" s="86">
        <v>2.2060445621000001E-4</v>
      </c>
    </row>
    <row r="515" spans="2:5" ht="15" customHeight="1">
      <c r="B515" s="119" t="s">
        <v>313</v>
      </c>
      <c r="C515" s="99" t="s">
        <v>251</v>
      </c>
      <c r="D515" s="81">
        <v>1</v>
      </c>
      <c r="E515" s="82">
        <v>2.2060445621000001E-4</v>
      </c>
    </row>
    <row r="516" spans="2:5" ht="15" customHeight="1">
      <c r="B516" s="120"/>
      <c r="C516" s="85" t="s">
        <v>29</v>
      </c>
      <c r="D516" s="84">
        <v>1</v>
      </c>
      <c r="E516" s="86">
        <v>2.2060445621000001E-4</v>
      </c>
    </row>
    <row r="517" spans="2:5" ht="15" customHeight="1">
      <c r="B517" s="119" t="s">
        <v>314</v>
      </c>
      <c r="C517" s="99" t="s">
        <v>251</v>
      </c>
      <c r="D517" s="81">
        <v>1</v>
      </c>
      <c r="E517" s="82">
        <v>2.2060445621000001E-4</v>
      </c>
    </row>
    <row r="518" spans="2:5" ht="15" customHeight="1">
      <c r="B518" s="120"/>
      <c r="C518" s="85" t="s">
        <v>29</v>
      </c>
      <c r="D518" s="84">
        <v>1</v>
      </c>
      <c r="E518" s="86">
        <v>2.2060445621000001E-4</v>
      </c>
    </row>
    <row r="519" spans="2:5" ht="15" customHeight="1">
      <c r="B519" s="119" t="s">
        <v>315</v>
      </c>
      <c r="C519" s="99" t="s">
        <v>252</v>
      </c>
      <c r="D519" s="81">
        <v>1</v>
      </c>
      <c r="E519" s="82">
        <v>2.2060445621000001E-4</v>
      </c>
    </row>
    <row r="520" spans="2:5" ht="15" customHeight="1">
      <c r="B520" s="120"/>
      <c r="C520" s="85" t="s">
        <v>29</v>
      </c>
      <c r="D520" s="84">
        <v>1</v>
      </c>
      <c r="E520" s="86">
        <v>2.2060445621000001E-4</v>
      </c>
    </row>
    <row r="521" spans="2:5" ht="15" customHeight="1">
      <c r="B521" s="122" t="s">
        <v>316</v>
      </c>
      <c r="C521" s="123"/>
      <c r="D521" s="89">
        <v>4533</v>
      </c>
      <c r="E521" s="90">
        <v>1</v>
      </c>
    </row>
    <row r="522" spans="2:5" ht="15" customHeight="1">
      <c r="B522" s="48"/>
      <c r="C522" s="48"/>
      <c r="D522" s="48"/>
    </row>
    <row r="523" spans="2:5" ht="15" customHeight="1">
      <c r="B523" s="38" t="s">
        <v>218</v>
      </c>
      <c r="C523" s="48"/>
      <c r="D523" s="48"/>
    </row>
    <row r="524" spans="2:5" ht="15" customHeight="1">
      <c r="B524" s="40" t="s">
        <v>18</v>
      </c>
      <c r="C524" s="48"/>
      <c r="D524" s="48"/>
    </row>
    <row r="525" spans="2:5" ht="15" customHeight="1">
      <c r="B525" s="41" t="s">
        <v>45</v>
      </c>
      <c r="C525" s="48"/>
      <c r="D525" s="48"/>
    </row>
    <row r="526" spans="2:5" ht="15" customHeight="1">
      <c r="B526" s="38" t="s">
        <v>17</v>
      </c>
      <c r="C526" s="48"/>
      <c r="D526" s="48"/>
    </row>
    <row r="527" spans="2:5" ht="15" customHeight="1">
      <c r="B527" s="38" t="s">
        <v>317</v>
      </c>
      <c r="C527" s="48"/>
      <c r="D527" s="48"/>
    </row>
  </sheetData>
  <mergeCells count="50">
    <mergeCell ref="B521:C521"/>
    <mergeCell ref="B511:B512"/>
    <mergeCell ref="B513:B514"/>
    <mergeCell ref="B515:B516"/>
    <mergeCell ref="B482:B487"/>
    <mergeCell ref="B507:B510"/>
    <mergeCell ref="B472:B481"/>
    <mergeCell ref="B488:B492"/>
    <mergeCell ref="B493:B497"/>
    <mergeCell ref="B498:B503"/>
    <mergeCell ref="B504:B506"/>
    <mergeCell ref="B465:B471"/>
    <mergeCell ref="B454:B464"/>
    <mergeCell ref="B443:B453"/>
    <mergeCell ref="B433:B442"/>
    <mergeCell ref="B418:B427"/>
    <mergeCell ref="B428:B432"/>
    <mergeCell ref="B409:B417"/>
    <mergeCell ref="B346:B358"/>
    <mergeCell ref="B335:B345"/>
    <mergeCell ref="B323:B334"/>
    <mergeCell ref="B311:B322"/>
    <mergeCell ref="B359:B369"/>
    <mergeCell ref="B370:B378"/>
    <mergeCell ref="B379:B389"/>
    <mergeCell ref="B390:B399"/>
    <mergeCell ref="B400:B408"/>
    <mergeCell ref="B196:B208"/>
    <mergeCell ref="B181:B195"/>
    <mergeCell ref="B299:B310"/>
    <mergeCell ref="B288:B298"/>
    <mergeCell ref="B277:B287"/>
    <mergeCell ref="B264:B276"/>
    <mergeCell ref="B250:B263"/>
    <mergeCell ref="B7:E8"/>
    <mergeCell ref="B517:B518"/>
    <mergeCell ref="B519:B520"/>
    <mergeCell ref="B84:B101"/>
    <mergeCell ref="B66:B83"/>
    <mergeCell ref="B47:B65"/>
    <mergeCell ref="B29:B46"/>
    <mergeCell ref="B10:B28"/>
    <mergeCell ref="B166:B180"/>
    <mergeCell ref="B151:B165"/>
    <mergeCell ref="B135:B150"/>
    <mergeCell ref="B117:B134"/>
    <mergeCell ref="B102:B116"/>
    <mergeCell ref="B237:B249"/>
    <mergeCell ref="B224:B236"/>
    <mergeCell ref="B209:B223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79" orientation="portrait" r:id="rId1"/>
  <colBreaks count="1" manualBreakCount="1">
    <brk id="5" max="18" man="1"/>
  </colBreaks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FF00"/>
  </sheetPr>
  <dimension ref="A1:E585"/>
  <sheetViews>
    <sheetView showGridLines="0" view="pageBreakPreview" topLeftCell="A561" zoomScale="90" zoomScaleNormal="100" zoomScaleSheetLayoutView="90" workbookViewId="0">
      <selection activeCell="C23" sqref="C23"/>
    </sheetView>
  </sheetViews>
  <sheetFormatPr baseColWidth="10" defaultColWidth="35" defaultRowHeight="15" customHeight="1"/>
  <cols>
    <col min="1" max="1" width="1" style="18" customWidth="1"/>
    <col min="2" max="2" width="22.85546875" style="19" customWidth="1"/>
    <col min="3" max="3" width="31.42578125" style="19" customWidth="1"/>
    <col min="4" max="4" width="14.28515625" style="19" customWidth="1"/>
    <col min="5" max="5" width="16.85546875" style="19" customWidth="1"/>
    <col min="6" max="16384" width="35" style="18"/>
  </cols>
  <sheetData>
    <row r="1" spans="1:5" s="21" customFormat="1" ht="12" customHeight="1">
      <c r="B1" s="23"/>
      <c r="C1" s="20"/>
      <c r="D1" s="20"/>
      <c r="E1" s="20"/>
    </row>
    <row r="2" spans="1:5" s="21" customFormat="1" ht="15" customHeight="1">
      <c r="C2" s="25"/>
    </row>
    <row r="3" spans="1:5" s="21" customFormat="1" ht="15" customHeight="1">
      <c r="C3" s="25"/>
    </row>
    <row r="4" spans="1:5" s="21" customFormat="1" ht="30" customHeight="1">
      <c r="C4" s="25"/>
      <c r="D4" s="24"/>
    </row>
    <row r="5" spans="1:5" s="21" customFormat="1" ht="15" customHeight="1">
      <c r="C5" s="25"/>
      <c r="D5" s="24"/>
    </row>
    <row r="6" spans="1:5" s="21" customFormat="1" ht="24" customHeight="1">
      <c r="B6" s="46"/>
      <c r="C6" s="47"/>
      <c r="D6" s="47"/>
      <c r="E6" s="47"/>
    </row>
    <row r="7" spans="1:5" s="21" customFormat="1" ht="26.25" customHeight="1">
      <c r="A7" s="22"/>
      <c r="B7" s="118"/>
      <c r="C7" s="118"/>
      <c r="D7" s="118"/>
      <c r="E7" s="118"/>
    </row>
    <row r="8" spans="1:5" s="21" customFormat="1" ht="33" customHeight="1">
      <c r="A8" s="22"/>
      <c r="B8" s="118"/>
      <c r="C8" s="118"/>
      <c r="D8" s="118"/>
      <c r="E8" s="118"/>
    </row>
    <row r="9" spans="1:5" s="15" customFormat="1" ht="40.5" customHeight="1">
      <c r="B9" s="49" t="s">
        <v>22</v>
      </c>
      <c r="C9" s="50" t="s">
        <v>24</v>
      </c>
      <c r="D9" s="51" t="s">
        <v>20</v>
      </c>
      <c r="E9" s="49" t="s">
        <v>19</v>
      </c>
    </row>
    <row r="10" spans="1:5" ht="15" customHeight="1">
      <c r="B10" s="124" t="s">
        <v>86</v>
      </c>
      <c r="C10" s="60" t="s">
        <v>137</v>
      </c>
      <c r="D10" s="61">
        <v>1</v>
      </c>
      <c r="E10" s="62">
        <v>0</v>
      </c>
    </row>
    <row r="11" spans="1:5" ht="15" customHeight="1">
      <c r="B11" s="125"/>
      <c r="C11" s="60" t="s">
        <v>139</v>
      </c>
      <c r="D11" s="61">
        <v>4</v>
      </c>
      <c r="E11" s="62">
        <v>1E-3</v>
      </c>
    </row>
    <row r="12" spans="1:5" ht="15" customHeight="1">
      <c r="B12" s="125"/>
      <c r="C12" s="60" t="s">
        <v>142</v>
      </c>
      <c r="D12" s="61">
        <v>4</v>
      </c>
      <c r="E12" s="62">
        <v>1E-3</v>
      </c>
    </row>
    <row r="13" spans="1:5" ht="15" customHeight="1">
      <c r="B13" s="125"/>
      <c r="C13" s="60" t="s">
        <v>144</v>
      </c>
      <c r="D13" s="61">
        <v>6</v>
      </c>
      <c r="E13" s="62">
        <v>1E-3</v>
      </c>
    </row>
    <row r="14" spans="1:5" ht="15" customHeight="1">
      <c r="B14" s="125"/>
      <c r="C14" s="60" t="s">
        <v>151</v>
      </c>
      <c r="D14" s="61">
        <v>1</v>
      </c>
      <c r="E14" s="62">
        <v>0</v>
      </c>
    </row>
    <row r="15" spans="1:5" ht="15" customHeight="1">
      <c r="B15" s="126"/>
      <c r="C15" s="91" t="s">
        <v>29</v>
      </c>
      <c r="D15" s="65">
        <v>16</v>
      </c>
      <c r="E15" s="66">
        <v>4.0000000000000001E-3</v>
      </c>
    </row>
    <row r="16" spans="1:5" ht="15" customHeight="1">
      <c r="B16" s="124" t="s">
        <v>49</v>
      </c>
      <c r="C16" s="60" t="s">
        <v>137</v>
      </c>
      <c r="D16" s="61">
        <v>28</v>
      </c>
      <c r="E16" s="62">
        <v>6.0000000000000001E-3</v>
      </c>
    </row>
    <row r="17" spans="2:5" ht="15" customHeight="1">
      <c r="B17" s="125"/>
      <c r="C17" s="60" t="s">
        <v>138</v>
      </c>
      <c r="D17" s="61">
        <v>2</v>
      </c>
      <c r="E17" s="62">
        <v>0</v>
      </c>
    </row>
    <row r="18" spans="2:5" ht="15" customHeight="1">
      <c r="B18" s="125"/>
      <c r="C18" s="60" t="s">
        <v>139</v>
      </c>
      <c r="D18" s="61">
        <v>21</v>
      </c>
      <c r="E18" s="62">
        <v>5.0000000000000001E-3</v>
      </c>
    </row>
    <row r="19" spans="2:5" ht="15" customHeight="1">
      <c r="B19" s="125"/>
      <c r="C19" s="60" t="s">
        <v>140</v>
      </c>
      <c r="D19" s="61">
        <v>7</v>
      </c>
      <c r="E19" s="62">
        <v>2E-3</v>
      </c>
    </row>
    <row r="20" spans="2:5" ht="15" customHeight="1">
      <c r="B20" s="125"/>
      <c r="C20" s="60" t="s">
        <v>141</v>
      </c>
      <c r="D20" s="61">
        <v>13</v>
      </c>
      <c r="E20" s="62">
        <v>3.0000000000000001E-3</v>
      </c>
    </row>
    <row r="21" spans="2:5" ht="15" customHeight="1">
      <c r="B21" s="125"/>
      <c r="C21" s="60" t="s">
        <v>142</v>
      </c>
      <c r="D21" s="61">
        <v>65</v>
      </c>
      <c r="E21" s="62">
        <v>1.4E-2</v>
      </c>
    </row>
    <row r="22" spans="2:5" ht="15" customHeight="1">
      <c r="B22" s="125"/>
      <c r="C22" s="60" t="s">
        <v>225</v>
      </c>
      <c r="D22" s="61">
        <v>1</v>
      </c>
      <c r="E22" s="62">
        <v>0</v>
      </c>
    </row>
    <row r="23" spans="2:5" ht="15" customHeight="1">
      <c r="B23" s="125"/>
      <c r="C23" s="60" t="s">
        <v>143</v>
      </c>
      <c r="D23" s="61">
        <v>1</v>
      </c>
      <c r="E23" s="62">
        <v>0</v>
      </c>
    </row>
    <row r="24" spans="2:5" ht="15" customHeight="1">
      <c r="B24" s="125"/>
      <c r="C24" s="60" t="s">
        <v>144</v>
      </c>
      <c r="D24" s="61">
        <v>75</v>
      </c>
      <c r="E24" s="62">
        <v>1.7000000000000001E-2</v>
      </c>
    </row>
    <row r="25" spans="2:5" ht="15" customHeight="1">
      <c r="B25" s="125"/>
      <c r="C25" s="60" t="s">
        <v>145</v>
      </c>
      <c r="D25" s="61">
        <v>24</v>
      </c>
      <c r="E25" s="62">
        <v>5.0000000000000001E-3</v>
      </c>
    </row>
    <row r="26" spans="2:5" ht="15" customHeight="1">
      <c r="B26" s="125"/>
      <c r="C26" s="60" t="s">
        <v>146</v>
      </c>
      <c r="D26" s="61">
        <v>2</v>
      </c>
      <c r="E26" s="62">
        <v>0</v>
      </c>
    </row>
    <row r="27" spans="2:5" ht="15" customHeight="1">
      <c r="B27" s="125"/>
      <c r="C27" s="60" t="s">
        <v>152</v>
      </c>
      <c r="D27" s="61">
        <v>1</v>
      </c>
      <c r="E27" s="62">
        <v>0</v>
      </c>
    </row>
    <row r="28" spans="2:5" ht="15" customHeight="1">
      <c r="B28" s="125"/>
      <c r="C28" s="60" t="s">
        <v>147</v>
      </c>
      <c r="D28" s="61">
        <v>8</v>
      </c>
      <c r="E28" s="62">
        <v>2E-3</v>
      </c>
    </row>
    <row r="29" spans="2:5" ht="15" customHeight="1">
      <c r="B29" s="125"/>
      <c r="C29" s="60" t="s">
        <v>153</v>
      </c>
      <c r="D29" s="61">
        <v>1</v>
      </c>
      <c r="E29" s="62">
        <v>0</v>
      </c>
    </row>
    <row r="30" spans="2:5" ht="15" customHeight="1">
      <c r="B30" s="125"/>
      <c r="C30" s="60" t="s">
        <v>148</v>
      </c>
      <c r="D30" s="61">
        <v>2</v>
      </c>
      <c r="E30" s="62">
        <v>0</v>
      </c>
    </row>
    <row r="31" spans="2:5" ht="15" customHeight="1">
      <c r="B31" s="125"/>
      <c r="C31" s="60" t="s">
        <v>149</v>
      </c>
      <c r="D31" s="61">
        <v>17</v>
      </c>
      <c r="E31" s="62">
        <v>4.0000000000000001E-3</v>
      </c>
    </row>
    <row r="32" spans="2:5" ht="15" customHeight="1">
      <c r="B32" s="125"/>
      <c r="C32" s="60" t="s">
        <v>150</v>
      </c>
      <c r="D32" s="61">
        <v>4</v>
      </c>
      <c r="E32" s="62">
        <v>1E-3</v>
      </c>
    </row>
    <row r="33" spans="2:5" ht="15" customHeight="1">
      <c r="B33" s="125"/>
      <c r="C33" s="60" t="s">
        <v>151</v>
      </c>
      <c r="D33" s="61">
        <v>28</v>
      </c>
      <c r="E33" s="62">
        <v>6.0000000000000001E-3</v>
      </c>
    </row>
    <row r="34" spans="2:5" ht="15" customHeight="1">
      <c r="B34" s="126"/>
      <c r="C34" s="91" t="s">
        <v>29</v>
      </c>
      <c r="D34" s="65">
        <v>300</v>
      </c>
      <c r="E34" s="66">
        <v>6.6000000000000003E-2</v>
      </c>
    </row>
    <row r="35" spans="2:5" ht="15" customHeight="1">
      <c r="B35" s="124" t="s">
        <v>51</v>
      </c>
      <c r="C35" s="60" t="s">
        <v>137</v>
      </c>
      <c r="D35" s="61">
        <v>8</v>
      </c>
      <c r="E35" s="62">
        <v>2E-3</v>
      </c>
    </row>
    <row r="36" spans="2:5" ht="15" customHeight="1">
      <c r="B36" s="125"/>
      <c r="C36" s="60" t="s">
        <v>139</v>
      </c>
      <c r="D36" s="61">
        <v>12</v>
      </c>
      <c r="E36" s="62">
        <v>3.0000000000000001E-3</v>
      </c>
    </row>
    <row r="37" spans="2:5" ht="15" customHeight="1">
      <c r="B37" s="125"/>
      <c r="C37" s="60" t="s">
        <v>140</v>
      </c>
      <c r="D37" s="61">
        <v>14</v>
      </c>
      <c r="E37" s="62">
        <v>3.0000000000000001E-3</v>
      </c>
    </row>
    <row r="38" spans="2:5" ht="15" customHeight="1">
      <c r="B38" s="125"/>
      <c r="C38" s="60" t="s">
        <v>141</v>
      </c>
      <c r="D38" s="61">
        <v>6</v>
      </c>
      <c r="E38" s="62">
        <v>1E-3</v>
      </c>
    </row>
    <row r="39" spans="2:5" ht="15" customHeight="1">
      <c r="B39" s="125"/>
      <c r="C39" s="60" t="s">
        <v>142</v>
      </c>
      <c r="D39" s="61">
        <v>58</v>
      </c>
      <c r="E39" s="62">
        <v>1.2999999999999999E-2</v>
      </c>
    </row>
    <row r="40" spans="2:5" ht="15" customHeight="1">
      <c r="B40" s="125"/>
      <c r="C40" s="60" t="s">
        <v>225</v>
      </c>
      <c r="D40" s="61">
        <v>6</v>
      </c>
      <c r="E40" s="62">
        <v>1E-3</v>
      </c>
    </row>
    <row r="41" spans="2:5" ht="15" customHeight="1">
      <c r="B41" s="125"/>
      <c r="C41" s="60" t="s">
        <v>144</v>
      </c>
      <c r="D41" s="61">
        <v>89</v>
      </c>
      <c r="E41" s="62">
        <v>0.02</v>
      </c>
    </row>
    <row r="42" spans="2:5" ht="15" customHeight="1">
      <c r="B42" s="125"/>
      <c r="C42" s="60" t="s">
        <v>146</v>
      </c>
      <c r="D42" s="61">
        <v>1</v>
      </c>
      <c r="E42" s="62">
        <v>0</v>
      </c>
    </row>
    <row r="43" spans="2:5" ht="15" customHeight="1">
      <c r="B43" s="125"/>
      <c r="C43" s="60" t="s">
        <v>147</v>
      </c>
      <c r="D43" s="61">
        <v>9</v>
      </c>
      <c r="E43" s="62">
        <v>2E-3</v>
      </c>
    </row>
    <row r="44" spans="2:5" ht="15" customHeight="1">
      <c r="B44" s="125"/>
      <c r="C44" s="60" t="s">
        <v>153</v>
      </c>
      <c r="D44" s="61">
        <v>1</v>
      </c>
      <c r="E44" s="62">
        <v>0</v>
      </c>
    </row>
    <row r="45" spans="2:5" ht="15" customHeight="1">
      <c r="B45" s="125"/>
      <c r="C45" s="60" t="s">
        <v>148</v>
      </c>
      <c r="D45" s="61">
        <v>1</v>
      </c>
      <c r="E45" s="62">
        <v>0</v>
      </c>
    </row>
    <row r="46" spans="2:5" ht="15" customHeight="1">
      <c r="B46" s="125"/>
      <c r="C46" s="60" t="s">
        <v>149</v>
      </c>
      <c r="D46" s="61">
        <v>2</v>
      </c>
      <c r="E46" s="62">
        <v>0</v>
      </c>
    </row>
    <row r="47" spans="2:5" ht="15" customHeight="1">
      <c r="B47" s="125"/>
      <c r="C47" s="60" t="s">
        <v>150</v>
      </c>
      <c r="D47" s="61">
        <v>1</v>
      </c>
      <c r="E47" s="62">
        <v>0</v>
      </c>
    </row>
    <row r="48" spans="2:5" ht="15" customHeight="1">
      <c r="B48" s="125"/>
      <c r="C48" s="60" t="s">
        <v>151</v>
      </c>
      <c r="D48" s="61">
        <v>5</v>
      </c>
      <c r="E48" s="62">
        <v>1E-3</v>
      </c>
    </row>
    <row r="49" spans="2:5" ht="15" customHeight="1">
      <c r="B49" s="126"/>
      <c r="C49" s="91" t="s">
        <v>29</v>
      </c>
      <c r="D49" s="65">
        <v>213</v>
      </c>
      <c r="E49" s="66">
        <v>4.7E-2</v>
      </c>
    </row>
    <row r="50" spans="2:5" ht="15" customHeight="1">
      <c r="B50" s="124" t="s">
        <v>82</v>
      </c>
      <c r="C50" s="60" t="s">
        <v>137</v>
      </c>
      <c r="D50" s="61">
        <v>6</v>
      </c>
      <c r="E50" s="62">
        <v>1E-3</v>
      </c>
    </row>
    <row r="51" spans="2:5" ht="15" customHeight="1">
      <c r="B51" s="125"/>
      <c r="C51" s="60" t="s">
        <v>138</v>
      </c>
      <c r="D51" s="61">
        <v>1</v>
      </c>
      <c r="E51" s="62">
        <v>0</v>
      </c>
    </row>
    <row r="52" spans="2:5" ht="15" customHeight="1">
      <c r="B52" s="125"/>
      <c r="C52" s="60" t="s">
        <v>139</v>
      </c>
      <c r="D52" s="61">
        <v>3</v>
      </c>
      <c r="E52" s="62">
        <v>1E-3</v>
      </c>
    </row>
    <row r="53" spans="2:5" ht="15" customHeight="1">
      <c r="B53" s="125"/>
      <c r="C53" s="60" t="s">
        <v>140</v>
      </c>
      <c r="D53" s="61">
        <v>3</v>
      </c>
      <c r="E53" s="62">
        <v>1E-3</v>
      </c>
    </row>
    <row r="54" spans="2:5" ht="15" customHeight="1">
      <c r="B54" s="125"/>
      <c r="C54" s="60" t="s">
        <v>142</v>
      </c>
      <c r="D54" s="61">
        <v>3</v>
      </c>
      <c r="E54" s="62">
        <v>1E-3</v>
      </c>
    </row>
    <row r="55" spans="2:5" ht="15" customHeight="1">
      <c r="B55" s="125"/>
      <c r="C55" s="60" t="s">
        <v>143</v>
      </c>
      <c r="D55" s="61">
        <v>1</v>
      </c>
      <c r="E55" s="62">
        <v>0</v>
      </c>
    </row>
    <row r="56" spans="2:5" ht="15" customHeight="1">
      <c r="B56" s="125"/>
      <c r="C56" s="60" t="s">
        <v>144</v>
      </c>
      <c r="D56" s="61">
        <v>4</v>
      </c>
      <c r="E56" s="62">
        <v>1E-3</v>
      </c>
    </row>
    <row r="57" spans="2:5" ht="15" customHeight="1">
      <c r="B57" s="125"/>
      <c r="C57" s="60" t="s">
        <v>146</v>
      </c>
      <c r="D57" s="61">
        <v>3</v>
      </c>
      <c r="E57" s="62">
        <v>1E-3</v>
      </c>
    </row>
    <row r="58" spans="2:5" ht="15" customHeight="1">
      <c r="B58" s="125"/>
      <c r="C58" s="60" t="s">
        <v>147</v>
      </c>
      <c r="D58" s="61">
        <v>1</v>
      </c>
      <c r="E58" s="62">
        <v>0</v>
      </c>
    </row>
    <row r="59" spans="2:5" ht="15" customHeight="1">
      <c r="B59" s="125"/>
      <c r="C59" s="60" t="s">
        <v>153</v>
      </c>
      <c r="D59" s="61">
        <v>2</v>
      </c>
      <c r="E59" s="62">
        <v>0</v>
      </c>
    </row>
    <row r="60" spans="2:5" ht="15" customHeight="1">
      <c r="B60" s="125"/>
      <c r="C60" s="60" t="s">
        <v>150</v>
      </c>
      <c r="D60" s="61">
        <v>1</v>
      </c>
      <c r="E60" s="62">
        <v>0</v>
      </c>
    </row>
    <row r="61" spans="2:5" ht="15" customHeight="1">
      <c r="B61" s="125"/>
      <c r="C61" s="60" t="s">
        <v>151</v>
      </c>
      <c r="D61" s="61">
        <v>3</v>
      </c>
      <c r="E61" s="62">
        <v>1E-3</v>
      </c>
    </row>
    <row r="62" spans="2:5" ht="15" customHeight="1">
      <c r="B62" s="126"/>
      <c r="C62" s="91" t="s">
        <v>29</v>
      </c>
      <c r="D62" s="65">
        <v>31</v>
      </c>
      <c r="E62" s="66">
        <v>7.0000000000000001E-3</v>
      </c>
    </row>
    <row r="63" spans="2:5" ht="15" customHeight="1">
      <c r="B63" s="124" t="s">
        <v>68</v>
      </c>
      <c r="C63" s="60" t="s">
        <v>137</v>
      </c>
      <c r="D63" s="61">
        <v>3</v>
      </c>
      <c r="E63" s="62">
        <v>1E-3</v>
      </c>
    </row>
    <row r="64" spans="2:5" ht="15" customHeight="1">
      <c r="B64" s="125"/>
      <c r="C64" s="60" t="s">
        <v>139</v>
      </c>
      <c r="D64" s="61">
        <v>5</v>
      </c>
      <c r="E64" s="62">
        <v>1E-3</v>
      </c>
    </row>
    <row r="65" spans="2:5" ht="15" customHeight="1">
      <c r="B65" s="125"/>
      <c r="C65" s="60" t="s">
        <v>140</v>
      </c>
      <c r="D65" s="61">
        <v>1</v>
      </c>
      <c r="E65" s="62">
        <v>0</v>
      </c>
    </row>
    <row r="66" spans="2:5" ht="15" customHeight="1">
      <c r="B66" s="125"/>
      <c r="C66" s="60" t="s">
        <v>142</v>
      </c>
      <c r="D66" s="61">
        <v>24</v>
      </c>
      <c r="E66" s="62">
        <v>5.0000000000000001E-3</v>
      </c>
    </row>
    <row r="67" spans="2:5" ht="15" customHeight="1">
      <c r="B67" s="125"/>
      <c r="C67" s="60" t="s">
        <v>144</v>
      </c>
      <c r="D67" s="61">
        <v>15</v>
      </c>
      <c r="E67" s="62">
        <v>3.0000000000000001E-3</v>
      </c>
    </row>
    <row r="68" spans="2:5" ht="15" customHeight="1">
      <c r="B68" s="125"/>
      <c r="C68" s="60" t="s">
        <v>147</v>
      </c>
      <c r="D68" s="61">
        <v>4</v>
      </c>
      <c r="E68" s="62">
        <v>1E-3</v>
      </c>
    </row>
    <row r="69" spans="2:5" ht="15" customHeight="1">
      <c r="B69" s="125"/>
      <c r="C69" s="60" t="s">
        <v>149</v>
      </c>
      <c r="D69" s="61">
        <v>1</v>
      </c>
      <c r="E69" s="62">
        <v>0</v>
      </c>
    </row>
    <row r="70" spans="2:5" ht="15" customHeight="1">
      <c r="B70" s="125"/>
      <c r="C70" s="60" t="s">
        <v>151</v>
      </c>
      <c r="D70" s="61">
        <v>3</v>
      </c>
      <c r="E70" s="62">
        <v>1E-3</v>
      </c>
    </row>
    <row r="71" spans="2:5" ht="15" customHeight="1">
      <c r="B71" s="126"/>
      <c r="C71" s="91" t="s">
        <v>29</v>
      </c>
      <c r="D71" s="65">
        <v>56</v>
      </c>
      <c r="E71" s="66">
        <v>1.2E-2</v>
      </c>
    </row>
    <row r="72" spans="2:5" ht="15" customHeight="1">
      <c r="B72" s="124" t="s">
        <v>74</v>
      </c>
      <c r="C72" s="60" t="s">
        <v>137</v>
      </c>
      <c r="D72" s="61">
        <v>4</v>
      </c>
      <c r="E72" s="62">
        <v>1E-3</v>
      </c>
    </row>
    <row r="73" spans="2:5" ht="15" customHeight="1">
      <c r="B73" s="125"/>
      <c r="C73" s="60" t="s">
        <v>139</v>
      </c>
      <c r="D73" s="61">
        <v>4</v>
      </c>
      <c r="E73" s="62">
        <v>1E-3</v>
      </c>
    </row>
    <row r="74" spans="2:5" ht="15" customHeight="1">
      <c r="B74" s="125"/>
      <c r="C74" s="60" t="s">
        <v>140</v>
      </c>
      <c r="D74" s="61">
        <v>4</v>
      </c>
      <c r="E74" s="62">
        <v>1E-3</v>
      </c>
    </row>
    <row r="75" spans="2:5" ht="15" customHeight="1">
      <c r="B75" s="125"/>
      <c r="C75" s="60" t="s">
        <v>141</v>
      </c>
      <c r="D75" s="61">
        <v>4</v>
      </c>
      <c r="E75" s="62">
        <v>1E-3</v>
      </c>
    </row>
    <row r="76" spans="2:5" ht="15" customHeight="1">
      <c r="B76" s="125"/>
      <c r="C76" s="60" t="s">
        <v>142</v>
      </c>
      <c r="D76" s="61">
        <v>4</v>
      </c>
      <c r="E76" s="62">
        <v>1E-3</v>
      </c>
    </row>
    <row r="77" spans="2:5" ht="15" customHeight="1">
      <c r="B77" s="125"/>
      <c r="C77" s="60" t="s">
        <v>144</v>
      </c>
      <c r="D77" s="61">
        <v>7</v>
      </c>
      <c r="E77" s="62">
        <v>2E-3</v>
      </c>
    </row>
    <row r="78" spans="2:5" ht="15" customHeight="1">
      <c r="B78" s="125"/>
      <c r="C78" s="60" t="s">
        <v>152</v>
      </c>
      <c r="D78" s="61">
        <v>3</v>
      </c>
      <c r="E78" s="62">
        <v>1E-3</v>
      </c>
    </row>
    <row r="79" spans="2:5" ht="15" customHeight="1">
      <c r="B79" s="125"/>
      <c r="C79" s="60" t="s">
        <v>147</v>
      </c>
      <c r="D79" s="61">
        <v>3</v>
      </c>
      <c r="E79" s="62">
        <v>1E-3</v>
      </c>
    </row>
    <row r="80" spans="2:5" ht="15" customHeight="1">
      <c r="B80" s="125"/>
      <c r="C80" s="60" t="s">
        <v>148</v>
      </c>
      <c r="D80" s="61">
        <v>1</v>
      </c>
      <c r="E80" s="62">
        <v>0</v>
      </c>
    </row>
    <row r="81" spans="2:5" ht="15" customHeight="1">
      <c r="B81" s="125"/>
      <c r="C81" s="60" t="s">
        <v>151</v>
      </c>
      <c r="D81" s="61">
        <v>2</v>
      </c>
      <c r="E81" s="62">
        <v>0</v>
      </c>
    </row>
    <row r="82" spans="2:5" ht="15" customHeight="1">
      <c r="B82" s="126"/>
      <c r="C82" s="91" t="s">
        <v>29</v>
      </c>
      <c r="D82" s="65">
        <v>36</v>
      </c>
      <c r="E82" s="66">
        <v>8.0000000000000002E-3</v>
      </c>
    </row>
    <row r="83" spans="2:5" ht="15" customHeight="1">
      <c r="B83" s="124" t="s">
        <v>52</v>
      </c>
      <c r="C83" s="60" t="s">
        <v>137</v>
      </c>
      <c r="D83" s="61">
        <v>13</v>
      </c>
      <c r="E83" s="62">
        <v>3.0000000000000001E-3</v>
      </c>
    </row>
    <row r="84" spans="2:5" ht="15" customHeight="1">
      <c r="B84" s="125"/>
      <c r="C84" s="60" t="s">
        <v>138</v>
      </c>
      <c r="D84" s="61">
        <v>3</v>
      </c>
      <c r="E84" s="62">
        <v>1E-3</v>
      </c>
    </row>
    <row r="85" spans="2:5" ht="15" customHeight="1">
      <c r="B85" s="125"/>
      <c r="C85" s="60" t="s">
        <v>139</v>
      </c>
      <c r="D85" s="61">
        <v>16</v>
      </c>
      <c r="E85" s="62">
        <v>4.0000000000000001E-3</v>
      </c>
    </row>
    <row r="86" spans="2:5" ht="15" customHeight="1">
      <c r="B86" s="125"/>
      <c r="C86" s="60" t="s">
        <v>140</v>
      </c>
      <c r="D86" s="61">
        <v>15</v>
      </c>
      <c r="E86" s="62">
        <v>3.0000000000000001E-3</v>
      </c>
    </row>
    <row r="87" spans="2:5" ht="15" customHeight="1">
      <c r="B87" s="125"/>
      <c r="C87" s="60" t="s">
        <v>141</v>
      </c>
      <c r="D87" s="61">
        <v>8</v>
      </c>
      <c r="E87" s="62">
        <v>2E-3</v>
      </c>
    </row>
    <row r="88" spans="2:5" ht="15" customHeight="1">
      <c r="B88" s="125"/>
      <c r="C88" s="60" t="s">
        <v>142</v>
      </c>
      <c r="D88" s="61">
        <v>69</v>
      </c>
      <c r="E88" s="62">
        <v>1.4999999999999999E-2</v>
      </c>
    </row>
    <row r="89" spans="2:5" ht="15" customHeight="1">
      <c r="B89" s="125"/>
      <c r="C89" s="60" t="s">
        <v>143</v>
      </c>
      <c r="D89" s="61">
        <v>2</v>
      </c>
      <c r="E89" s="62">
        <v>0</v>
      </c>
    </row>
    <row r="90" spans="2:5" ht="15" customHeight="1">
      <c r="B90" s="125"/>
      <c r="C90" s="60" t="s">
        <v>144</v>
      </c>
      <c r="D90" s="61">
        <v>49</v>
      </c>
      <c r="E90" s="62">
        <v>1.0999999999999999E-2</v>
      </c>
    </row>
    <row r="91" spans="2:5" ht="15" customHeight="1">
      <c r="B91" s="125"/>
      <c r="C91" s="60" t="s">
        <v>145</v>
      </c>
      <c r="D91" s="61">
        <v>1</v>
      </c>
      <c r="E91" s="62">
        <v>0</v>
      </c>
    </row>
    <row r="92" spans="2:5" ht="15" customHeight="1">
      <c r="B92" s="125"/>
      <c r="C92" s="60" t="s">
        <v>146</v>
      </c>
      <c r="D92" s="61">
        <v>5</v>
      </c>
      <c r="E92" s="62">
        <v>1E-3</v>
      </c>
    </row>
    <row r="93" spans="2:5" ht="15" customHeight="1">
      <c r="B93" s="125"/>
      <c r="C93" s="60" t="s">
        <v>152</v>
      </c>
      <c r="D93" s="61">
        <v>1</v>
      </c>
      <c r="E93" s="62">
        <v>0</v>
      </c>
    </row>
    <row r="94" spans="2:5" ht="15" customHeight="1">
      <c r="B94" s="125"/>
      <c r="C94" s="60" t="s">
        <v>147</v>
      </c>
      <c r="D94" s="61">
        <v>3</v>
      </c>
      <c r="E94" s="62">
        <v>1E-3</v>
      </c>
    </row>
    <row r="95" spans="2:5" ht="15" customHeight="1">
      <c r="B95" s="125"/>
      <c r="C95" s="60" t="s">
        <v>148</v>
      </c>
      <c r="D95" s="61">
        <v>4</v>
      </c>
      <c r="E95" s="62">
        <v>1E-3</v>
      </c>
    </row>
    <row r="96" spans="2:5" ht="15" customHeight="1">
      <c r="B96" s="125"/>
      <c r="C96" s="60" t="s">
        <v>149</v>
      </c>
      <c r="D96" s="61">
        <v>4</v>
      </c>
      <c r="E96" s="62">
        <v>1E-3</v>
      </c>
    </row>
    <row r="97" spans="2:5" ht="15" customHeight="1">
      <c r="B97" s="125"/>
      <c r="C97" s="60" t="s">
        <v>150</v>
      </c>
      <c r="D97" s="61">
        <v>5</v>
      </c>
      <c r="E97" s="62">
        <v>1E-3</v>
      </c>
    </row>
    <row r="98" spans="2:5" ht="15" customHeight="1">
      <c r="B98" s="125"/>
      <c r="C98" s="60" t="s">
        <v>151</v>
      </c>
      <c r="D98" s="61">
        <v>8</v>
      </c>
      <c r="E98" s="62">
        <v>2E-3</v>
      </c>
    </row>
    <row r="99" spans="2:5" ht="15" customHeight="1">
      <c r="B99" s="126"/>
      <c r="C99" s="91" t="s">
        <v>29</v>
      </c>
      <c r="D99" s="65">
        <v>206</v>
      </c>
      <c r="E99" s="66">
        <v>4.4999999999999998E-2</v>
      </c>
    </row>
    <row r="100" spans="2:5" ht="15" customHeight="1">
      <c r="B100" s="124" t="s">
        <v>47</v>
      </c>
      <c r="C100" s="60" t="s">
        <v>137</v>
      </c>
      <c r="D100" s="61">
        <v>15</v>
      </c>
      <c r="E100" s="62">
        <v>3.0000000000000001E-3</v>
      </c>
    </row>
    <row r="101" spans="2:5" ht="15" customHeight="1">
      <c r="B101" s="125"/>
      <c r="C101" s="60" t="s">
        <v>138</v>
      </c>
      <c r="D101" s="61">
        <v>4</v>
      </c>
      <c r="E101" s="62">
        <v>1E-3</v>
      </c>
    </row>
    <row r="102" spans="2:5" ht="15" customHeight="1">
      <c r="B102" s="125"/>
      <c r="C102" s="60" t="s">
        <v>139</v>
      </c>
      <c r="D102" s="61">
        <v>39</v>
      </c>
      <c r="E102" s="62">
        <v>8.9999999999999993E-3</v>
      </c>
    </row>
    <row r="103" spans="2:5" ht="15" customHeight="1">
      <c r="B103" s="125"/>
      <c r="C103" s="60" t="s">
        <v>140</v>
      </c>
      <c r="D103" s="61">
        <v>13</v>
      </c>
      <c r="E103" s="62">
        <v>3.0000000000000001E-3</v>
      </c>
    </row>
    <row r="104" spans="2:5" ht="15" customHeight="1">
      <c r="B104" s="125"/>
      <c r="C104" s="60" t="s">
        <v>141</v>
      </c>
      <c r="D104" s="61">
        <v>16</v>
      </c>
      <c r="E104" s="62">
        <v>4.0000000000000001E-3</v>
      </c>
    </row>
    <row r="105" spans="2:5" ht="15" customHeight="1">
      <c r="B105" s="125"/>
      <c r="C105" s="60" t="s">
        <v>142</v>
      </c>
      <c r="D105" s="61">
        <v>101</v>
      </c>
      <c r="E105" s="62">
        <v>2.1999999999999999E-2</v>
      </c>
    </row>
    <row r="106" spans="2:5" ht="15" customHeight="1">
      <c r="B106" s="125"/>
      <c r="C106" s="60" t="s">
        <v>143</v>
      </c>
      <c r="D106" s="61">
        <v>4</v>
      </c>
      <c r="E106" s="62">
        <v>1E-3</v>
      </c>
    </row>
    <row r="107" spans="2:5" ht="15" customHeight="1">
      <c r="B107" s="125"/>
      <c r="C107" s="60" t="s">
        <v>144</v>
      </c>
      <c r="D107" s="61">
        <v>84</v>
      </c>
      <c r="E107" s="62">
        <v>1.9E-2</v>
      </c>
    </row>
    <row r="108" spans="2:5" ht="15" customHeight="1">
      <c r="B108" s="125"/>
      <c r="C108" s="60" t="s">
        <v>145</v>
      </c>
      <c r="D108" s="61">
        <v>9</v>
      </c>
      <c r="E108" s="62">
        <v>2E-3</v>
      </c>
    </row>
    <row r="109" spans="2:5" ht="15" customHeight="1">
      <c r="B109" s="125"/>
      <c r="C109" s="60" t="s">
        <v>146</v>
      </c>
      <c r="D109" s="61">
        <v>1</v>
      </c>
      <c r="E109" s="62">
        <v>0</v>
      </c>
    </row>
    <row r="110" spans="2:5" ht="15" customHeight="1">
      <c r="B110" s="125"/>
      <c r="C110" s="60" t="s">
        <v>147</v>
      </c>
      <c r="D110" s="61">
        <v>12</v>
      </c>
      <c r="E110" s="62">
        <v>3.0000000000000001E-3</v>
      </c>
    </row>
    <row r="111" spans="2:5" ht="15" customHeight="1">
      <c r="B111" s="125"/>
      <c r="C111" s="60" t="s">
        <v>153</v>
      </c>
      <c r="D111" s="61">
        <v>1</v>
      </c>
      <c r="E111" s="62">
        <v>0</v>
      </c>
    </row>
    <row r="112" spans="2:5" ht="15" customHeight="1">
      <c r="B112" s="125"/>
      <c r="C112" s="60" t="s">
        <v>148</v>
      </c>
      <c r="D112" s="61">
        <v>2</v>
      </c>
      <c r="E112" s="62">
        <v>0</v>
      </c>
    </row>
    <row r="113" spans="2:5" ht="15" customHeight="1">
      <c r="B113" s="125"/>
      <c r="C113" s="60" t="s">
        <v>150</v>
      </c>
      <c r="D113" s="61">
        <v>3</v>
      </c>
      <c r="E113" s="62">
        <v>1E-3</v>
      </c>
    </row>
    <row r="114" spans="2:5" ht="15" customHeight="1">
      <c r="B114" s="125"/>
      <c r="C114" s="60" t="s">
        <v>151</v>
      </c>
      <c r="D114" s="61">
        <v>9</v>
      </c>
      <c r="E114" s="62">
        <v>2E-3</v>
      </c>
    </row>
    <row r="115" spans="2:5" ht="15" customHeight="1">
      <c r="B115" s="126"/>
      <c r="C115" s="91" t="s">
        <v>29</v>
      </c>
      <c r="D115" s="65">
        <v>313</v>
      </c>
      <c r="E115" s="66">
        <v>6.9000000000000006E-2</v>
      </c>
    </row>
    <row r="116" spans="2:5" ht="15" customHeight="1">
      <c r="B116" s="124" t="s">
        <v>91</v>
      </c>
      <c r="C116" s="60" t="s">
        <v>140</v>
      </c>
      <c r="D116" s="61">
        <v>1</v>
      </c>
      <c r="E116" s="62">
        <v>0</v>
      </c>
    </row>
    <row r="117" spans="2:5" ht="15" customHeight="1">
      <c r="B117" s="125"/>
      <c r="C117" s="60" t="s">
        <v>142</v>
      </c>
      <c r="D117" s="61">
        <v>3</v>
      </c>
      <c r="E117" s="62">
        <v>1E-3</v>
      </c>
    </row>
    <row r="118" spans="2:5" ht="15" customHeight="1">
      <c r="B118" s="126"/>
      <c r="C118" s="91" t="s">
        <v>29</v>
      </c>
      <c r="D118" s="65">
        <v>4</v>
      </c>
      <c r="E118" s="66">
        <v>1E-3</v>
      </c>
    </row>
    <row r="119" spans="2:5" ht="15" customHeight="1">
      <c r="B119" s="124" t="s">
        <v>59</v>
      </c>
      <c r="C119" s="60" t="s">
        <v>137</v>
      </c>
      <c r="D119" s="61">
        <v>6</v>
      </c>
      <c r="E119" s="62">
        <v>1E-3</v>
      </c>
    </row>
    <row r="120" spans="2:5" ht="15" customHeight="1">
      <c r="B120" s="125"/>
      <c r="C120" s="60" t="s">
        <v>139</v>
      </c>
      <c r="D120" s="61">
        <v>8</v>
      </c>
      <c r="E120" s="62">
        <v>2E-3</v>
      </c>
    </row>
    <row r="121" spans="2:5" ht="15" customHeight="1">
      <c r="B121" s="125"/>
      <c r="C121" s="60" t="s">
        <v>140</v>
      </c>
      <c r="D121" s="61">
        <v>23</v>
      </c>
      <c r="E121" s="62">
        <v>5.0000000000000001E-3</v>
      </c>
    </row>
    <row r="122" spans="2:5" ht="15" customHeight="1">
      <c r="B122" s="125"/>
      <c r="C122" s="60" t="s">
        <v>141</v>
      </c>
      <c r="D122" s="61">
        <v>3</v>
      </c>
      <c r="E122" s="62">
        <v>1E-3</v>
      </c>
    </row>
    <row r="123" spans="2:5" ht="15" customHeight="1">
      <c r="B123" s="125"/>
      <c r="C123" s="60" t="s">
        <v>142</v>
      </c>
      <c r="D123" s="61">
        <v>21</v>
      </c>
      <c r="E123" s="62">
        <v>5.0000000000000001E-3</v>
      </c>
    </row>
    <row r="124" spans="2:5" ht="15" customHeight="1">
      <c r="B124" s="125"/>
      <c r="C124" s="60" t="s">
        <v>225</v>
      </c>
      <c r="D124" s="61">
        <v>2</v>
      </c>
      <c r="E124" s="62">
        <v>0</v>
      </c>
    </row>
    <row r="125" spans="2:5" ht="15" customHeight="1">
      <c r="B125" s="125"/>
      <c r="C125" s="60" t="s">
        <v>144</v>
      </c>
      <c r="D125" s="61">
        <v>11</v>
      </c>
      <c r="E125" s="62">
        <v>2E-3</v>
      </c>
    </row>
    <row r="126" spans="2:5" ht="15" customHeight="1">
      <c r="B126" s="125"/>
      <c r="C126" s="60" t="s">
        <v>145</v>
      </c>
      <c r="D126" s="61">
        <v>1</v>
      </c>
      <c r="E126" s="62">
        <v>0</v>
      </c>
    </row>
    <row r="127" spans="2:5" ht="15" customHeight="1">
      <c r="B127" s="125"/>
      <c r="C127" s="60" t="s">
        <v>146</v>
      </c>
      <c r="D127" s="61">
        <v>1</v>
      </c>
      <c r="E127" s="62">
        <v>0</v>
      </c>
    </row>
    <row r="128" spans="2:5" ht="15" customHeight="1">
      <c r="B128" s="125"/>
      <c r="C128" s="60" t="s">
        <v>147</v>
      </c>
      <c r="D128" s="61">
        <v>2</v>
      </c>
      <c r="E128" s="62">
        <v>0</v>
      </c>
    </row>
    <row r="129" spans="2:5" ht="15" customHeight="1">
      <c r="B129" s="125"/>
      <c r="C129" s="60" t="s">
        <v>153</v>
      </c>
      <c r="D129" s="61">
        <v>1</v>
      </c>
      <c r="E129" s="62">
        <v>0</v>
      </c>
    </row>
    <row r="130" spans="2:5" ht="15" customHeight="1">
      <c r="B130" s="125"/>
      <c r="C130" s="60" t="s">
        <v>148</v>
      </c>
      <c r="D130" s="61">
        <v>2</v>
      </c>
      <c r="E130" s="62">
        <v>0</v>
      </c>
    </row>
    <row r="131" spans="2:5" ht="15" customHeight="1">
      <c r="B131" s="125"/>
      <c r="C131" s="60" t="s">
        <v>150</v>
      </c>
      <c r="D131" s="61">
        <v>2</v>
      </c>
      <c r="E131" s="62">
        <v>0</v>
      </c>
    </row>
    <row r="132" spans="2:5" ht="15" customHeight="1">
      <c r="B132" s="125"/>
      <c r="C132" s="60" t="s">
        <v>151</v>
      </c>
      <c r="D132" s="61">
        <v>12</v>
      </c>
      <c r="E132" s="62">
        <v>3.0000000000000001E-3</v>
      </c>
    </row>
    <row r="133" spans="2:5" ht="15" customHeight="1">
      <c r="B133" s="126"/>
      <c r="C133" s="91" t="s">
        <v>29</v>
      </c>
      <c r="D133" s="65">
        <v>95</v>
      </c>
      <c r="E133" s="66">
        <v>2.1000000000000001E-2</v>
      </c>
    </row>
    <row r="134" spans="2:5" ht="15" customHeight="1">
      <c r="B134" s="124" t="s">
        <v>67</v>
      </c>
      <c r="C134" s="60" t="s">
        <v>137</v>
      </c>
      <c r="D134" s="61">
        <v>6</v>
      </c>
      <c r="E134" s="62">
        <v>1E-3</v>
      </c>
    </row>
    <row r="135" spans="2:5" ht="15" customHeight="1">
      <c r="B135" s="125"/>
      <c r="C135" s="60" t="s">
        <v>139</v>
      </c>
      <c r="D135" s="61">
        <v>13</v>
      </c>
      <c r="E135" s="62">
        <v>3.0000000000000001E-3</v>
      </c>
    </row>
    <row r="136" spans="2:5" ht="15" customHeight="1">
      <c r="B136" s="125"/>
      <c r="C136" s="60" t="s">
        <v>140</v>
      </c>
      <c r="D136" s="61">
        <v>8</v>
      </c>
      <c r="E136" s="62">
        <v>2E-3</v>
      </c>
    </row>
    <row r="137" spans="2:5" ht="15" customHeight="1">
      <c r="B137" s="125"/>
      <c r="C137" s="60" t="s">
        <v>141</v>
      </c>
      <c r="D137" s="61">
        <v>6</v>
      </c>
      <c r="E137" s="62">
        <v>1E-3</v>
      </c>
    </row>
    <row r="138" spans="2:5" ht="15" customHeight="1">
      <c r="B138" s="125"/>
      <c r="C138" s="60" t="s">
        <v>142</v>
      </c>
      <c r="D138" s="61">
        <v>22</v>
      </c>
      <c r="E138" s="62">
        <v>5.0000000000000001E-3</v>
      </c>
    </row>
    <row r="139" spans="2:5" ht="15" customHeight="1">
      <c r="B139" s="125"/>
      <c r="C139" s="60" t="s">
        <v>225</v>
      </c>
      <c r="D139" s="61">
        <v>2</v>
      </c>
      <c r="E139" s="62">
        <v>0</v>
      </c>
    </row>
    <row r="140" spans="2:5" ht="15" customHeight="1">
      <c r="B140" s="125"/>
      <c r="C140" s="60" t="s">
        <v>143</v>
      </c>
      <c r="D140" s="61">
        <v>1</v>
      </c>
      <c r="E140" s="62">
        <v>0</v>
      </c>
    </row>
    <row r="141" spans="2:5" ht="15" customHeight="1">
      <c r="B141" s="125"/>
      <c r="C141" s="60" t="s">
        <v>144</v>
      </c>
      <c r="D141" s="61">
        <v>27</v>
      </c>
      <c r="E141" s="62">
        <v>6.0000000000000001E-3</v>
      </c>
    </row>
    <row r="142" spans="2:5" ht="15" customHeight="1">
      <c r="B142" s="125"/>
      <c r="C142" s="60" t="s">
        <v>145</v>
      </c>
      <c r="D142" s="61">
        <v>3</v>
      </c>
      <c r="E142" s="62">
        <v>1E-3</v>
      </c>
    </row>
    <row r="143" spans="2:5" ht="15" customHeight="1">
      <c r="B143" s="125"/>
      <c r="C143" s="60" t="s">
        <v>146</v>
      </c>
      <c r="D143" s="61">
        <v>2</v>
      </c>
      <c r="E143" s="62">
        <v>0</v>
      </c>
    </row>
    <row r="144" spans="2:5" ht="15" customHeight="1">
      <c r="B144" s="125"/>
      <c r="C144" s="60" t="s">
        <v>147</v>
      </c>
      <c r="D144" s="61">
        <v>2</v>
      </c>
      <c r="E144" s="62">
        <v>0</v>
      </c>
    </row>
    <row r="145" spans="2:5" ht="15" customHeight="1">
      <c r="B145" s="125"/>
      <c r="C145" s="60" t="s">
        <v>153</v>
      </c>
      <c r="D145" s="61">
        <v>1</v>
      </c>
      <c r="E145" s="62">
        <v>0</v>
      </c>
    </row>
    <row r="146" spans="2:5" ht="15" customHeight="1">
      <c r="B146" s="125"/>
      <c r="C146" s="60" t="s">
        <v>148</v>
      </c>
      <c r="D146" s="61">
        <v>1</v>
      </c>
      <c r="E146" s="62">
        <v>0</v>
      </c>
    </row>
    <row r="147" spans="2:5" ht="15" customHeight="1">
      <c r="B147" s="125"/>
      <c r="C147" s="60" t="s">
        <v>150</v>
      </c>
      <c r="D147" s="61">
        <v>2</v>
      </c>
      <c r="E147" s="62">
        <v>0</v>
      </c>
    </row>
    <row r="148" spans="2:5" ht="15" customHeight="1">
      <c r="B148" s="125"/>
      <c r="C148" s="60" t="s">
        <v>151</v>
      </c>
      <c r="D148" s="61">
        <v>10</v>
      </c>
      <c r="E148" s="62">
        <v>2E-3</v>
      </c>
    </row>
    <row r="149" spans="2:5" ht="15" customHeight="1">
      <c r="B149" s="126"/>
      <c r="C149" s="91" t="s">
        <v>29</v>
      </c>
      <c r="D149" s="65">
        <v>106</v>
      </c>
      <c r="E149" s="66">
        <v>2.3E-2</v>
      </c>
    </row>
    <row r="150" spans="2:5" ht="15" customHeight="1">
      <c r="B150" s="124" t="s">
        <v>220</v>
      </c>
      <c r="C150" s="60" t="s">
        <v>141</v>
      </c>
      <c r="D150" s="61">
        <v>1</v>
      </c>
      <c r="E150" s="62">
        <v>0</v>
      </c>
    </row>
    <row r="151" spans="2:5" ht="15" customHeight="1">
      <c r="B151" s="126"/>
      <c r="C151" s="91" t="s">
        <v>29</v>
      </c>
      <c r="D151" s="65">
        <v>1</v>
      </c>
      <c r="E151" s="66">
        <v>0</v>
      </c>
    </row>
    <row r="152" spans="2:5" ht="15" customHeight="1">
      <c r="B152" s="124" t="s">
        <v>89</v>
      </c>
      <c r="C152" s="60" t="s">
        <v>137</v>
      </c>
      <c r="D152" s="61">
        <v>1</v>
      </c>
      <c r="E152" s="62">
        <v>0</v>
      </c>
    </row>
    <row r="153" spans="2:5" ht="15" customHeight="1">
      <c r="B153" s="125"/>
      <c r="C153" s="60" t="s">
        <v>142</v>
      </c>
      <c r="D153" s="61">
        <v>1</v>
      </c>
      <c r="E153" s="62">
        <v>0</v>
      </c>
    </row>
    <row r="154" spans="2:5" ht="15" customHeight="1">
      <c r="B154" s="125"/>
      <c r="C154" s="60" t="s">
        <v>144</v>
      </c>
      <c r="D154" s="61">
        <v>1</v>
      </c>
      <c r="E154" s="62">
        <v>0</v>
      </c>
    </row>
    <row r="155" spans="2:5" ht="15" customHeight="1">
      <c r="B155" s="125"/>
      <c r="C155" s="60" t="s">
        <v>147</v>
      </c>
      <c r="D155" s="61">
        <v>1</v>
      </c>
      <c r="E155" s="62">
        <v>0</v>
      </c>
    </row>
    <row r="156" spans="2:5" ht="15" customHeight="1">
      <c r="B156" s="126"/>
      <c r="C156" s="91" t="s">
        <v>29</v>
      </c>
      <c r="D156" s="65">
        <v>4</v>
      </c>
      <c r="E156" s="66">
        <v>1E-3</v>
      </c>
    </row>
    <row r="157" spans="2:5" ht="15" customHeight="1">
      <c r="B157" s="124" t="s">
        <v>63</v>
      </c>
      <c r="C157" s="60" t="s">
        <v>137</v>
      </c>
      <c r="D157" s="61">
        <v>2</v>
      </c>
      <c r="E157" s="62">
        <v>0</v>
      </c>
    </row>
    <row r="158" spans="2:5" ht="15" customHeight="1">
      <c r="B158" s="125"/>
      <c r="C158" s="60" t="s">
        <v>138</v>
      </c>
      <c r="D158" s="61">
        <v>1</v>
      </c>
      <c r="E158" s="62">
        <v>0</v>
      </c>
    </row>
    <row r="159" spans="2:5" ht="15" customHeight="1">
      <c r="B159" s="125"/>
      <c r="C159" s="60" t="s">
        <v>139</v>
      </c>
      <c r="D159" s="61">
        <v>11</v>
      </c>
      <c r="E159" s="62">
        <v>2E-3</v>
      </c>
    </row>
    <row r="160" spans="2:5" ht="15" customHeight="1">
      <c r="B160" s="125"/>
      <c r="C160" s="60" t="s">
        <v>140</v>
      </c>
      <c r="D160" s="61">
        <v>9</v>
      </c>
      <c r="E160" s="62">
        <v>2E-3</v>
      </c>
    </row>
    <row r="161" spans="2:5" ht="15" customHeight="1">
      <c r="B161" s="125"/>
      <c r="C161" s="60" t="s">
        <v>142</v>
      </c>
      <c r="D161" s="61">
        <v>18</v>
      </c>
      <c r="E161" s="62">
        <v>4.0000000000000001E-3</v>
      </c>
    </row>
    <row r="162" spans="2:5" ht="15" customHeight="1">
      <c r="B162" s="125"/>
      <c r="C162" s="60" t="s">
        <v>143</v>
      </c>
      <c r="D162" s="61">
        <v>2</v>
      </c>
      <c r="E162" s="62">
        <v>0</v>
      </c>
    </row>
    <row r="163" spans="2:5" ht="15" customHeight="1">
      <c r="B163" s="125"/>
      <c r="C163" s="60" t="s">
        <v>144</v>
      </c>
      <c r="D163" s="61">
        <v>21</v>
      </c>
      <c r="E163" s="62">
        <v>5.0000000000000001E-3</v>
      </c>
    </row>
    <row r="164" spans="2:5" ht="15" customHeight="1">
      <c r="B164" s="125"/>
      <c r="C164" s="60" t="s">
        <v>146</v>
      </c>
      <c r="D164" s="61">
        <v>2</v>
      </c>
      <c r="E164" s="62">
        <v>0</v>
      </c>
    </row>
    <row r="165" spans="2:5" ht="15" customHeight="1">
      <c r="B165" s="125"/>
      <c r="C165" s="60" t="s">
        <v>147</v>
      </c>
      <c r="D165" s="61">
        <v>1</v>
      </c>
      <c r="E165" s="62">
        <v>0</v>
      </c>
    </row>
    <row r="166" spans="2:5" ht="15" customHeight="1">
      <c r="B166" s="125"/>
      <c r="C166" s="60" t="s">
        <v>150</v>
      </c>
      <c r="D166" s="61">
        <v>1</v>
      </c>
      <c r="E166" s="62">
        <v>0</v>
      </c>
    </row>
    <row r="167" spans="2:5" ht="15" customHeight="1">
      <c r="B167" s="125"/>
      <c r="C167" s="60" t="s">
        <v>151</v>
      </c>
      <c r="D167" s="61">
        <v>3</v>
      </c>
      <c r="E167" s="62">
        <v>1E-3</v>
      </c>
    </row>
    <row r="168" spans="2:5" ht="15" customHeight="1">
      <c r="B168" s="126"/>
      <c r="C168" s="91" t="s">
        <v>29</v>
      </c>
      <c r="D168" s="65">
        <v>71</v>
      </c>
      <c r="E168" s="66">
        <v>1.6E-2</v>
      </c>
    </row>
    <row r="169" spans="2:5" ht="15" customHeight="1">
      <c r="B169" s="124" t="s">
        <v>75</v>
      </c>
      <c r="C169" s="60" t="s">
        <v>137</v>
      </c>
      <c r="D169" s="61">
        <v>8</v>
      </c>
      <c r="E169" s="62">
        <v>2E-3</v>
      </c>
    </row>
    <row r="170" spans="2:5" ht="15" customHeight="1">
      <c r="B170" s="125"/>
      <c r="C170" s="60" t="s">
        <v>139</v>
      </c>
      <c r="D170" s="61">
        <v>3</v>
      </c>
      <c r="E170" s="62">
        <v>1E-3</v>
      </c>
    </row>
    <row r="171" spans="2:5" ht="15" customHeight="1">
      <c r="B171" s="125"/>
      <c r="C171" s="60" t="s">
        <v>140</v>
      </c>
      <c r="D171" s="61">
        <v>3</v>
      </c>
      <c r="E171" s="62">
        <v>1E-3</v>
      </c>
    </row>
    <row r="172" spans="2:5" ht="15" customHeight="1">
      <c r="B172" s="125"/>
      <c r="C172" s="60" t="s">
        <v>141</v>
      </c>
      <c r="D172" s="61">
        <v>3</v>
      </c>
      <c r="E172" s="62">
        <v>1E-3</v>
      </c>
    </row>
    <row r="173" spans="2:5" ht="15" customHeight="1">
      <c r="B173" s="125"/>
      <c r="C173" s="60" t="s">
        <v>142</v>
      </c>
      <c r="D173" s="61">
        <v>3</v>
      </c>
      <c r="E173" s="62">
        <v>1E-3</v>
      </c>
    </row>
    <row r="174" spans="2:5" ht="15" customHeight="1">
      <c r="B174" s="125"/>
      <c r="C174" s="60" t="s">
        <v>144</v>
      </c>
      <c r="D174" s="61">
        <v>2</v>
      </c>
      <c r="E174" s="62">
        <v>0</v>
      </c>
    </row>
    <row r="175" spans="2:5" ht="15" customHeight="1">
      <c r="B175" s="125"/>
      <c r="C175" s="60" t="s">
        <v>152</v>
      </c>
      <c r="D175" s="61">
        <v>1</v>
      </c>
      <c r="E175" s="62">
        <v>0</v>
      </c>
    </row>
    <row r="176" spans="2:5" ht="15" customHeight="1">
      <c r="B176" s="125"/>
      <c r="C176" s="60" t="s">
        <v>148</v>
      </c>
      <c r="D176" s="61">
        <v>1</v>
      </c>
      <c r="E176" s="62">
        <v>0</v>
      </c>
    </row>
    <row r="177" spans="2:5" ht="15" customHeight="1">
      <c r="B177" s="125"/>
      <c r="C177" s="60" t="s">
        <v>150</v>
      </c>
      <c r="D177" s="61">
        <v>3</v>
      </c>
      <c r="E177" s="62">
        <v>1E-3</v>
      </c>
    </row>
    <row r="178" spans="2:5" ht="15" customHeight="1">
      <c r="B178" s="125"/>
      <c r="C178" s="60" t="s">
        <v>151</v>
      </c>
      <c r="D178" s="61">
        <v>2</v>
      </c>
      <c r="E178" s="62">
        <v>0</v>
      </c>
    </row>
    <row r="179" spans="2:5" ht="15" customHeight="1">
      <c r="B179" s="126"/>
      <c r="C179" s="91" t="s">
        <v>29</v>
      </c>
      <c r="D179" s="65">
        <v>29</v>
      </c>
      <c r="E179" s="66">
        <v>6.0000000000000001E-3</v>
      </c>
    </row>
    <row r="180" spans="2:5" ht="15" customHeight="1">
      <c r="B180" s="124" t="s">
        <v>50</v>
      </c>
      <c r="C180" s="60" t="s">
        <v>137</v>
      </c>
      <c r="D180" s="61">
        <v>34</v>
      </c>
      <c r="E180" s="62">
        <v>8.0000000000000002E-3</v>
      </c>
    </row>
    <row r="181" spans="2:5" ht="15" customHeight="1">
      <c r="B181" s="125"/>
      <c r="C181" s="60" t="s">
        <v>138</v>
      </c>
      <c r="D181" s="61">
        <v>3</v>
      </c>
      <c r="E181" s="62">
        <v>1E-3</v>
      </c>
    </row>
    <row r="182" spans="2:5" ht="15" customHeight="1">
      <c r="B182" s="125"/>
      <c r="C182" s="60" t="s">
        <v>139</v>
      </c>
      <c r="D182" s="61">
        <v>46</v>
      </c>
      <c r="E182" s="62">
        <v>0.01</v>
      </c>
    </row>
    <row r="183" spans="2:5" ht="15" customHeight="1">
      <c r="B183" s="125"/>
      <c r="C183" s="60" t="s">
        <v>140</v>
      </c>
      <c r="D183" s="61">
        <v>19</v>
      </c>
      <c r="E183" s="62">
        <v>4.0000000000000001E-3</v>
      </c>
    </row>
    <row r="184" spans="2:5" ht="15" customHeight="1">
      <c r="B184" s="125"/>
      <c r="C184" s="60" t="s">
        <v>141</v>
      </c>
      <c r="D184" s="61">
        <v>13</v>
      </c>
      <c r="E184" s="62">
        <v>3.0000000000000001E-3</v>
      </c>
    </row>
    <row r="185" spans="2:5" ht="15" customHeight="1">
      <c r="B185" s="125"/>
      <c r="C185" s="60" t="s">
        <v>142</v>
      </c>
      <c r="D185" s="61">
        <v>63</v>
      </c>
      <c r="E185" s="62">
        <v>1.4E-2</v>
      </c>
    </row>
    <row r="186" spans="2:5" ht="15" customHeight="1">
      <c r="B186" s="125"/>
      <c r="C186" s="60" t="s">
        <v>143</v>
      </c>
      <c r="D186" s="61">
        <v>5</v>
      </c>
      <c r="E186" s="62">
        <v>1E-3</v>
      </c>
    </row>
    <row r="187" spans="2:5" ht="15" customHeight="1">
      <c r="B187" s="125"/>
      <c r="C187" s="60" t="s">
        <v>144</v>
      </c>
      <c r="D187" s="61">
        <v>52</v>
      </c>
      <c r="E187" s="62">
        <v>1.0999999999999999E-2</v>
      </c>
    </row>
    <row r="188" spans="2:5" ht="15" customHeight="1">
      <c r="B188" s="125"/>
      <c r="C188" s="60" t="s">
        <v>145</v>
      </c>
      <c r="D188" s="61">
        <v>2</v>
      </c>
      <c r="E188" s="62">
        <v>0</v>
      </c>
    </row>
    <row r="189" spans="2:5" ht="15" customHeight="1">
      <c r="B189" s="125"/>
      <c r="C189" s="60" t="s">
        <v>146</v>
      </c>
      <c r="D189" s="61">
        <v>3</v>
      </c>
      <c r="E189" s="62">
        <v>1E-3</v>
      </c>
    </row>
    <row r="190" spans="2:5" ht="15" customHeight="1">
      <c r="B190" s="125"/>
      <c r="C190" s="60" t="s">
        <v>152</v>
      </c>
      <c r="D190" s="61">
        <v>3</v>
      </c>
      <c r="E190" s="62">
        <v>1E-3</v>
      </c>
    </row>
    <row r="191" spans="2:5" ht="15" customHeight="1">
      <c r="B191" s="125"/>
      <c r="C191" s="60" t="s">
        <v>147</v>
      </c>
      <c r="D191" s="61">
        <v>10</v>
      </c>
      <c r="E191" s="62">
        <v>2E-3</v>
      </c>
    </row>
    <row r="192" spans="2:5" ht="15" customHeight="1">
      <c r="B192" s="125"/>
      <c r="C192" s="60" t="s">
        <v>148</v>
      </c>
      <c r="D192" s="61">
        <v>7</v>
      </c>
      <c r="E192" s="62">
        <v>2E-3</v>
      </c>
    </row>
    <row r="193" spans="2:5" ht="15" customHeight="1">
      <c r="B193" s="125"/>
      <c r="C193" s="60" t="s">
        <v>149</v>
      </c>
      <c r="D193" s="61">
        <v>4</v>
      </c>
      <c r="E193" s="62">
        <v>1E-3</v>
      </c>
    </row>
    <row r="194" spans="2:5" ht="15" customHeight="1">
      <c r="B194" s="125"/>
      <c r="C194" s="60" t="s">
        <v>150</v>
      </c>
      <c r="D194" s="61">
        <v>4</v>
      </c>
      <c r="E194" s="62">
        <v>1E-3</v>
      </c>
    </row>
    <row r="195" spans="2:5" ht="15" customHeight="1">
      <c r="B195" s="125"/>
      <c r="C195" s="60" t="s">
        <v>151</v>
      </c>
      <c r="D195" s="61">
        <v>25</v>
      </c>
      <c r="E195" s="62">
        <v>6.0000000000000001E-3</v>
      </c>
    </row>
    <row r="196" spans="2:5" ht="15" customHeight="1">
      <c r="B196" s="126"/>
      <c r="C196" s="91" t="s">
        <v>29</v>
      </c>
      <c r="D196" s="65">
        <v>293</v>
      </c>
      <c r="E196" s="66">
        <v>6.5000000000000002E-2</v>
      </c>
    </row>
    <row r="197" spans="2:5" ht="15" customHeight="1">
      <c r="B197" s="124" t="s">
        <v>54</v>
      </c>
      <c r="C197" s="60" t="s">
        <v>137</v>
      </c>
      <c r="D197" s="61">
        <v>12</v>
      </c>
      <c r="E197" s="62">
        <v>3.0000000000000001E-3</v>
      </c>
    </row>
    <row r="198" spans="2:5" ht="15" customHeight="1">
      <c r="B198" s="125"/>
      <c r="C198" s="60" t="s">
        <v>138</v>
      </c>
      <c r="D198" s="61">
        <v>3</v>
      </c>
      <c r="E198" s="62">
        <v>1E-3</v>
      </c>
    </row>
    <row r="199" spans="2:5" ht="15" customHeight="1">
      <c r="B199" s="125"/>
      <c r="C199" s="60" t="s">
        <v>139</v>
      </c>
      <c r="D199" s="61">
        <v>22</v>
      </c>
      <c r="E199" s="62">
        <v>5.0000000000000001E-3</v>
      </c>
    </row>
    <row r="200" spans="2:5" ht="15" customHeight="1">
      <c r="B200" s="125"/>
      <c r="C200" s="60" t="s">
        <v>140</v>
      </c>
      <c r="D200" s="61">
        <v>13</v>
      </c>
      <c r="E200" s="62">
        <v>3.0000000000000001E-3</v>
      </c>
    </row>
    <row r="201" spans="2:5" ht="15" customHeight="1">
      <c r="B201" s="125"/>
      <c r="C201" s="60" t="s">
        <v>141</v>
      </c>
      <c r="D201" s="61">
        <v>3</v>
      </c>
      <c r="E201" s="62">
        <v>1E-3</v>
      </c>
    </row>
    <row r="202" spans="2:5" ht="15" customHeight="1">
      <c r="B202" s="125"/>
      <c r="C202" s="60" t="s">
        <v>142</v>
      </c>
      <c r="D202" s="61">
        <v>57</v>
      </c>
      <c r="E202" s="62">
        <v>1.2999999999999999E-2</v>
      </c>
    </row>
    <row r="203" spans="2:5" ht="15" customHeight="1">
      <c r="B203" s="125"/>
      <c r="C203" s="60" t="s">
        <v>225</v>
      </c>
      <c r="D203" s="61">
        <v>2</v>
      </c>
      <c r="E203" s="62">
        <v>0</v>
      </c>
    </row>
    <row r="204" spans="2:5" ht="15" customHeight="1">
      <c r="B204" s="125"/>
      <c r="C204" s="60" t="s">
        <v>143</v>
      </c>
      <c r="D204" s="61">
        <v>2</v>
      </c>
      <c r="E204" s="62">
        <v>0</v>
      </c>
    </row>
    <row r="205" spans="2:5" ht="15" customHeight="1">
      <c r="B205" s="125"/>
      <c r="C205" s="60" t="s">
        <v>144</v>
      </c>
      <c r="D205" s="61">
        <v>39</v>
      </c>
      <c r="E205" s="62">
        <v>8.9999999999999993E-3</v>
      </c>
    </row>
    <row r="206" spans="2:5" ht="15" customHeight="1">
      <c r="B206" s="125"/>
      <c r="C206" s="60" t="s">
        <v>145</v>
      </c>
      <c r="D206" s="61">
        <v>1</v>
      </c>
      <c r="E206" s="62">
        <v>0</v>
      </c>
    </row>
    <row r="207" spans="2:5" ht="15" customHeight="1">
      <c r="B207" s="125"/>
      <c r="C207" s="60" t="s">
        <v>146</v>
      </c>
      <c r="D207" s="61">
        <v>4</v>
      </c>
      <c r="E207" s="62">
        <v>1E-3</v>
      </c>
    </row>
    <row r="208" spans="2:5" ht="15" customHeight="1">
      <c r="B208" s="125"/>
      <c r="C208" s="60" t="s">
        <v>152</v>
      </c>
      <c r="D208" s="61">
        <v>1</v>
      </c>
      <c r="E208" s="62">
        <v>0</v>
      </c>
    </row>
    <row r="209" spans="2:5" ht="15" customHeight="1">
      <c r="B209" s="125"/>
      <c r="C209" s="60" t="s">
        <v>147</v>
      </c>
      <c r="D209" s="61">
        <v>1</v>
      </c>
      <c r="E209" s="62">
        <v>0</v>
      </c>
    </row>
    <row r="210" spans="2:5" ht="15" customHeight="1">
      <c r="B210" s="125"/>
      <c r="C210" s="60" t="s">
        <v>148</v>
      </c>
      <c r="D210" s="61">
        <v>1</v>
      </c>
      <c r="E210" s="62">
        <v>0</v>
      </c>
    </row>
    <row r="211" spans="2:5" ht="15" customHeight="1">
      <c r="B211" s="125"/>
      <c r="C211" s="60" t="s">
        <v>149</v>
      </c>
      <c r="D211" s="61">
        <v>3</v>
      </c>
      <c r="E211" s="62">
        <v>1E-3</v>
      </c>
    </row>
    <row r="212" spans="2:5" ht="15" customHeight="1">
      <c r="B212" s="125"/>
      <c r="C212" s="60" t="s">
        <v>150</v>
      </c>
      <c r="D212" s="61">
        <v>2</v>
      </c>
      <c r="E212" s="62">
        <v>0</v>
      </c>
    </row>
    <row r="213" spans="2:5" ht="15" customHeight="1">
      <c r="B213" s="125"/>
      <c r="C213" s="60" t="s">
        <v>151</v>
      </c>
      <c r="D213" s="61">
        <v>4</v>
      </c>
      <c r="E213" s="62">
        <v>1E-3</v>
      </c>
    </row>
    <row r="214" spans="2:5" ht="15" customHeight="1">
      <c r="B214" s="126"/>
      <c r="C214" s="91" t="s">
        <v>29</v>
      </c>
      <c r="D214" s="65">
        <v>170</v>
      </c>
      <c r="E214" s="66">
        <v>3.7999999999999999E-2</v>
      </c>
    </row>
    <row r="215" spans="2:5" ht="15" customHeight="1">
      <c r="B215" s="124" t="s">
        <v>60</v>
      </c>
      <c r="C215" s="60" t="s">
        <v>137</v>
      </c>
      <c r="D215" s="61">
        <v>12</v>
      </c>
      <c r="E215" s="62">
        <v>3.0000000000000001E-3</v>
      </c>
    </row>
    <row r="216" spans="2:5" ht="15" customHeight="1">
      <c r="B216" s="125"/>
      <c r="C216" s="60" t="s">
        <v>138</v>
      </c>
      <c r="D216" s="61">
        <v>1</v>
      </c>
      <c r="E216" s="62">
        <v>0</v>
      </c>
    </row>
    <row r="217" spans="2:5" ht="15" customHeight="1">
      <c r="B217" s="125"/>
      <c r="C217" s="60" t="s">
        <v>139</v>
      </c>
      <c r="D217" s="61">
        <v>15</v>
      </c>
      <c r="E217" s="62">
        <v>3.0000000000000001E-3</v>
      </c>
    </row>
    <row r="218" spans="2:5" ht="15" customHeight="1">
      <c r="B218" s="125"/>
      <c r="C218" s="60" t="s">
        <v>140</v>
      </c>
      <c r="D218" s="61">
        <v>1</v>
      </c>
      <c r="E218" s="62">
        <v>0</v>
      </c>
    </row>
    <row r="219" spans="2:5" ht="15" customHeight="1">
      <c r="B219" s="125"/>
      <c r="C219" s="60" t="s">
        <v>141</v>
      </c>
      <c r="D219" s="61">
        <v>12</v>
      </c>
      <c r="E219" s="62">
        <v>3.0000000000000001E-3</v>
      </c>
    </row>
    <row r="220" spans="2:5" ht="15" customHeight="1">
      <c r="B220" s="125"/>
      <c r="C220" s="60" t="s">
        <v>142</v>
      </c>
      <c r="D220" s="61">
        <v>16</v>
      </c>
      <c r="E220" s="62">
        <v>4.0000000000000001E-3</v>
      </c>
    </row>
    <row r="221" spans="2:5" ht="15" customHeight="1">
      <c r="B221" s="125"/>
      <c r="C221" s="60" t="s">
        <v>144</v>
      </c>
      <c r="D221" s="61">
        <v>13</v>
      </c>
      <c r="E221" s="62">
        <v>3.0000000000000001E-3</v>
      </c>
    </row>
    <row r="222" spans="2:5" ht="15" customHeight="1">
      <c r="B222" s="125"/>
      <c r="C222" s="60" t="s">
        <v>148</v>
      </c>
      <c r="D222" s="61">
        <v>1</v>
      </c>
      <c r="E222" s="62">
        <v>0</v>
      </c>
    </row>
    <row r="223" spans="2:5" ht="15" customHeight="1">
      <c r="B223" s="125"/>
      <c r="C223" s="60" t="s">
        <v>150</v>
      </c>
      <c r="D223" s="61">
        <v>2</v>
      </c>
      <c r="E223" s="62">
        <v>0</v>
      </c>
    </row>
    <row r="224" spans="2:5" ht="15" customHeight="1">
      <c r="B224" s="125"/>
      <c r="C224" s="60" t="s">
        <v>151</v>
      </c>
      <c r="D224" s="61">
        <v>4</v>
      </c>
      <c r="E224" s="62">
        <v>1E-3</v>
      </c>
    </row>
    <row r="225" spans="2:5" ht="15" customHeight="1">
      <c r="B225" s="126"/>
      <c r="C225" s="91" t="s">
        <v>29</v>
      </c>
      <c r="D225" s="65">
        <v>77</v>
      </c>
      <c r="E225" s="66">
        <v>1.7000000000000001E-2</v>
      </c>
    </row>
    <row r="226" spans="2:5" ht="15" customHeight="1">
      <c r="B226" s="124" t="s">
        <v>88</v>
      </c>
      <c r="C226" s="60" t="s">
        <v>137</v>
      </c>
      <c r="D226" s="61">
        <v>1</v>
      </c>
      <c r="E226" s="62">
        <v>0</v>
      </c>
    </row>
    <row r="227" spans="2:5" ht="15" customHeight="1">
      <c r="B227" s="125"/>
      <c r="C227" s="60" t="s">
        <v>139</v>
      </c>
      <c r="D227" s="61">
        <v>4</v>
      </c>
      <c r="E227" s="62">
        <v>1E-3</v>
      </c>
    </row>
    <row r="228" spans="2:5" ht="15" customHeight="1">
      <c r="B228" s="125"/>
      <c r="C228" s="60" t="s">
        <v>140</v>
      </c>
      <c r="D228" s="61">
        <v>1</v>
      </c>
      <c r="E228" s="62">
        <v>0</v>
      </c>
    </row>
    <row r="229" spans="2:5" ht="15" customHeight="1">
      <c r="B229" s="125"/>
      <c r="C229" s="60" t="s">
        <v>142</v>
      </c>
      <c r="D229" s="61">
        <v>1</v>
      </c>
      <c r="E229" s="62">
        <v>0</v>
      </c>
    </row>
    <row r="230" spans="2:5" ht="15" customHeight="1">
      <c r="B230" s="125"/>
      <c r="C230" s="60" t="s">
        <v>225</v>
      </c>
      <c r="D230" s="61">
        <v>1</v>
      </c>
      <c r="E230" s="62">
        <v>0</v>
      </c>
    </row>
    <row r="231" spans="2:5" ht="15" customHeight="1">
      <c r="B231" s="125"/>
      <c r="C231" s="60" t="s">
        <v>144</v>
      </c>
      <c r="D231" s="61">
        <v>4</v>
      </c>
      <c r="E231" s="62">
        <v>1E-3</v>
      </c>
    </row>
    <row r="232" spans="2:5" ht="15" customHeight="1">
      <c r="B232" s="125"/>
      <c r="C232" s="60" t="s">
        <v>147</v>
      </c>
      <c r="D232" s="61">
        <v>2</v>
      </c>
      <c r="E232" s="62">
        <v>0</v>
      </c>
    </row>
    <row r="233" spans="2:5" ht="15" customHeight="1">
      <c r="B233" s="125"/>
      <c r="C233" s="60" t="s">
        <v>153</v>
      </c>
      <c r="D233" s="61">
        <v>1</v>
      </c>
      <c r="E233" s="62">
        <v>0</v>
      </c>
    </row>
    <row r="234" spans="2:5" ht="15" customHeight="1">
      <c r="B234" s="125"/>
      <c r="C234" s="60" t="s">
        <v>151</v>
      </c>
      <c r="D234" s="61">
        <v>1</v>
      </c>
      <c r="E234" s="62">
        <v>0</v>
      </c>
    </row>
    <row r="235" spans="2:5" ht="15" customHeight="1">
      <c r="B235" s="126"/>
      <c r="C235" s="91" t="s">
        <v>29</v>
      </c>
      <c r="D235" s="65">
        <v>16</v>
      </c>
      <c r="E235" s="66">
        <v>4.0000000000000001E-3</v>
      </c>
    </row>
    <row r="236" spans="2:5" ht="15" customHeight="1">
      <c r="B236" s="124" t="s">
        <v>78</v>
      </c>
      <c r="C236" s="60" t="s">
        <v>137</v>
      </c>
      <c r="D236" s="61">
        <v>1</v>
      </c>
      <c r="E236" s="62">
        <v>0</v>
      </c>
    </row>
    <row r="237" spans="2:5" ht="15" customHeight="1">
      <c r="B237" s="125"/>
      <c r="C237" s="60" t="s">
        <v>138</v>
      </c>
      <c r="D237" s="61">
        <v>1</v>
      </c>
      <c r="E237" s="62">
        <v>0</v>
      </c>
    </row>
    <row r="238" spans="2:5" ht="15" customHeight="1">
      <c r="B238" s="125"/>
      <c r="C238" s="60" t="s">
        <v>139</v>
      </c>
      <c r="D238" s="61">
        <v>6</v>
      </c>
      <c r="E238" s="62">
        <v>1E-3</v>
      </c>
    </row>
    <row r="239" spans="2:5" ht="15" customHeight="1">
      <c r="B239" s="125"/>
      <c r="C239" s="60" t="s">
        <v>140</v>
      </c>
      <c r="D239" s="61">
        <v>3</v>
      </c>
      <c r="E239" s="62">
        <v>1E-3</v>
      </c>
    </row>
    <row r="240" spans="2:5" ht="15" customHeight="1">
      <c r="B240" s="125"/>
      <c r="C240" s="60" t="s">
        <v>141</v>
      </c>
      <c r="D240" s="61">
        <v>7</v>
      </c>
      <c r="E240" s="62">
        <v>2E-3</v>
      </c>
    </row>
    <row r="241" spans="2:5" ht="15" customHeight="1">
      <c r="B241" s="125"/>
      <c r="C241" s="60" t="s">
        <v>142</v>
      </c>
      <c r="D241" s="61">
        <v>9</v>
      </c>
      <c r="E241" s="62">
        <v>2E-3</v>
      </c>
    </row>
    <row r="242" spans="2:5" ht="15" customHeight="1">
      <c r="B242" s="125"/>
      <c r="C242" s="60" t="s">
        <v>225</v>
      </c>
      <c r="D242" s="61">
        <v>6</v>
      </c>
      <c r="E242" s="62">
        <v>1E-3</v>
      </c>
    </row>
    <row r="243" spans="2:5" ht="15" customHeight="1">
      <c r="B243" s="125"/>
      <c r="C243" s="60" t="s">
        <v>144</v>
      </c>
      <c r="D243" s="61">
        <v>5</v>
      </c>
      <c r="E243" s="62">
        <v>1E-3</v>
      </c>
    </row>
    <row r="244" spans="2:5" ht="15" customHeight="1">
      <c r="B244" s="125"/>
      <c r="C244" s="60" t="s">
        <v>146</v>
      </c>
      <c r="D244" s="61">
        <v>1</v>
      </c>
      <c r="E244" s="62">
        <v>0</v>
      </c>
    </row>
    <row r="245" spans="2:5" ht="15" customHeight="1">
      <c r="B245" s="125"/>
      <c r="C245" s="60" t="s">
        <v>151</v>
      </c>
      <c r="D245" s="61">
        <v>1</v>
      </c>
      <c r="E245" s="62">
        <v>0</v>
      </c>
    </row>
    <row r="246" spans="2:5" ht="15" customHeight="1">
      <c r="B246" s="126"/>
      <c r="C246" s="91" t="s">
        <v>29</v>
      </c>
      <c r="D246" s="65">
        <v>40</v>
      </c>
      <c r="E246" s="66">
        <v>8.9999999999999993E-3</v>
      </c>
    </row>
    <row r="247" spans="2:5" ht="15" customHeight="1">
      <c r="B247" s="124" t="s">
        <v>58</v>
      </c>
      <c r="C247" s="60" t="s">
        <v>137</v>
      </c>
      <c r="D247" s="61">
        <v>12</v>
      </c>
      <c r="E247" s="62">
        <v>3.0000000000000001E-3</v>
      </c>
    </row>
    <row r="248" spans="2:5" ht="15" customHeight="1">
      <c r="B248" s="125"/>
      <c r="C248" s="60" t="s">
        <v>138</v>
      </c>
      <c r="D248" s="61">
        <v>2</v>
      </c>
      <c r="E248" s="62">
        <v>0</v>
      </c>
    </row>
    <row r="249" spans="2:5" ht="15" customHeight="1">
      <c r="B249" s="125"/>
      <c r="C249" s="60" t="s">
        <v>139</v>
      </c>
      <c r="D249" s="61">
        <v>15</v>
      </c>
      <c r="E249" s="62">
        <v>3.0000000000000001E-3</v>
      </c>
    </row>
    <row r="250" spans="2:5" ht="15" customHeight="1">
      <c r="B250" s="125"/>
      <c r="C250" s="60" t="s">
        <v>140</v>
      </c>
      <c r="D250" s="61">
        <v>5</v>
      </c>
      <c r="E250" s="62">
        <v>1E-3</v>
      </c>
    </row>
    <row r="251" spans="2:5" ht="15" customHeight="1">
      <c r="B251" s="125"/>
      <c r="C251" s="60" t="s">
        <v>141</v>
      </c>
      <c r="D251" s="61">
        <v>7</v>
      </c>
      <c r="E251" s="62">
        <v>2E-3</v>
      </c>
    </row>
    <row r="252" spans="2:5" ht="15" customHeight="1">
      <c r="B252" s="125"/>
      <c r="C252" s="60" t="s">
        <v>142</v>
      </c>
      <c r="D252" s="61">
        <v>16</v>
      </c>
      <c r="E252" s="62">
        <v>4.0000000000000001E-3</v>
      </c>
    </row>
    <row r="253" spans="2:5" ht="15" customHeight="1">
      <c r="B253" s="125"/>
      <c r="C253" s="60" t="s">
        <v>143</v>
      </c>
      <c r="D253" s="61">
        <v>2</v>
      </c>
      <c r="E253" s="62">
        <v>0</v>
      </c>
    </row>
    <row r="254" spans="2:5" ht="15" customHeight="1">
      <c r="B254" s="125"/>
      <c r="C254" s="60" t="s">
        <v>144</v>
      </c>
      <c r="D254" s="61">
        <v>32</v>
      </c>
      <c r="E254" s="62">
        <v>7.0000000000000001E-3</v>
      </c>
    </row>
    <row r="255" spans="2:5" ht="15" customHeight="1">
      <c r="B255" s="125"/>
      <c r="C255" s="60" t="s">
        <v>152</v>
      </c>
      <c r="D255" s="61">
        <v>1</v>
      </c>
      <c r="E255" s="62">
        <v>0</v>
      </c>
    </row>
    <row r="256" spans="2:5" ht="15" customHeight="1">
      <c r="B256" s="125"/>
      <c r="C256" s="60" t="s">
        <v>147</v>
      </c>
      <c r="D256" s="61">
        <v>8</v>
      </c>
      <c r="E256" s="62">
        <v>2E-3</v>
      </c>
    </row>
    <row r="257" spans="2:5" ht="15" customHeight="1">
      <c r="B257" s="125"/>
      <c r="C257" s="60" t="s">
        <v>148</v>
      </c>
      <c r="D257" s="61">
        <v>1</v>
      </c>
      <c r="E257" s="62">
        <v>0</v>
      </c>
    </row>
    <row r="258" spans="2:5" ht="15" customHeight="1">
      <c r="B258" s="125"/>
      <c r="C258" s="60" t="s">
        <v>149</v>
      </c>
      <c r="D258" s="61">
        <v>5</v>
      </c>
      <c r="E258" s="62">
        <v>1E-3</v>
      </c>
    </row>
    <row r="259" spans="2:5" ht="15" customHeight="1">
      <c r="B259" s="125"/>
      <c r="C259" s="60" t="s">
        <v>150</v>
      </c>
      <c r="D259" s="61">
        <v>1</v>
      </c>
      <c r="E259" s="62">
        <v>0</v>
      </c>
    </row>
    <row r="260" spans="2:5" ht="15" customHeight="1">
      <c r="B260" s="125"/>
      <c r="C260" s="60" t="s">
        <v>151</v>
      </c>
      <c r="D260" s="61">
        <v>5</v>
      </c>
      <c r="E260" s="62">
        <v>1E-3</v>
      </c>
    </row>
    <row r="261" spans="2:5" ht="15" customHeight="1">
      <c r="B261" s="126"/>
      <c r="C261" s="91" t="s">
        <v>29</v>
      </c>
      <c r="D261" s="65">
        <v>112</v>
      </c>
      <c r="E261" s="66">
        <v>2.5000000000000001E-2</v>
      </c>
    </row>
    <row r="262" spans="2:5" ht="15" customHeight="1">
      <c r="B262" s="124" t="s">
        <v>57</v>
      </c>
      <c r="C262" s="60" t="s">
        <v>137</v>
      </c>
      <c r="D262" s="61">
        <v>9</v>
      </c>
      <c r="E262" s="62">
        <v>2E-3</v>
      </c>
    </row>
    <row r="263" spans="2:5" ht="15" customHeight="1">
      <c r="B263" s="125"/>
      <c r="C263" s="60" t="s">
        <v>138</v>
      </c>
      <c r="D263" s="61">
        <v>4</v>
      </c>
      <c r="E263" s="62">
        <v>1E-3</v>
      </c>
    </row>
    <row r="264" spans="2:5" ht="15" customHeight="1">
      <c r="B264" s="125"/>
      <c r="C264" s="60" t="s">
        <v>139</v>
      </c>
      <c r="D264" s="61">
        <v>18</v>
      </c>
      <c r="E264" s="62">
        <v>4.0000000000000001E-3</v>
      </c>
    </row>
    <row r="265" spans="2:5" ht="15" customHeight="1">
      <c r="B265" s="125"/>
      <c r="C265" s="60" t="s">
        <v>140</v>
      </c>
      <c r="D265" s="61">
        <v>14</v>
      </c>
      <c r="E265" s="62">
        <v>3.0000000000000001E-3</v>
      </c>
    </row>
    <row r="266" spans="2:5" ht="15" customHeight="1">
      <c r="B266" s="125"/>
      <c r="C266" s="60" t="s">
        <v>141</v>
      </c>
      <c r="D266" s="61">
        <v>2</v>
      </c>
      <c r="E266" s="62">
        <v>0</v>
      </c>
    </row>
    <row r="267" spans="2:5" ht="15" customHeight="1">
      <c r="B267" s="125"/>
      <c r="C267" s="60" t="s">
        <v>142</v>
      </c>
      <c r="D267" s="61">
        <v>19</v>
      </c>
      <c r="E267" s="62">
        <v>4.0000000000000001E-3</v>
      </c>
    </row>
    <row r="268" spans="2:5" ht="15" customHeight="1">
      <c r="B268" s="125"/>
      <c r="C268" s="60" t="s">
        <v>225</v>
      </c>
      <c r="D268" s="61">
        <v>1</v>
      </c>
      <c r="E268" s="62">
        <v>0</v>
      </c>
    </row>
    <row r="269" spans="2:5" ht="15" customHeight="1">
      <c r="B269" s="125"/>
      <c r="C269" s="60" t="s">
        <v>144</v>
      </c>
      <c r="D269" s="61">
        <v>9</v>
      </c>
      <c r="E269" s="62">
        <v>2E-3</v>
      </c>
    </row>
    <row r="270" spans="2:5" ht="15" customHeight="1">
      <c r="B270" s="125"/>
      <c r="C270" s="60" t="s">
        <v>145</v>
      </c>
      <c r="D270" s="61">
        <v>1</v>
      </c>
      <c r="E270" s="62">
        <v>0</v>
      </c>
    </row>
    <row r="271" spans="2:5" ht="15" customHeight="1">
      <c r="B271" s="125"/>
      <c r="C271" s="60" t="s">
        <v>146</v>
      </c>
      <c r="D271" s="61">
        <v>6</v>
      </c>
      <c r="E271" s="62">
        <v>1E-3</v>
      </c>
    </row>
    <row r="272" spans="2:5" ht="15" customHeight="1">
      <c r="B272" s="125"/>
      <c r="C272" s="60" t="s">
        <v>152</v>
      </c>
      <c r="D272" s="61">
        <v>1</v>
      </c>
      <c r="E272" s="62">
        <v>0</v>
      </c>
    </row>
    <row r="273" spans="2:5" ht="15" customHeight="1">
      <c r="B273" s="125"/>
      <c r="C273" s="60" t="s">
        <v>147</v>
      </c>
      <c r="D273" s="61">
        <v>6</v>
      </c>
      <c r="E273" s="62">
        <v>1E-3</v>
      </c>
    </row>
    <row r="274" spans="2:5" ht="15" customHeight="1">
      <c r="B274" s="125"/>
      <c r="C274" s="60" t="s">
        <v>149</v>
      </c>
      <c r="D274" s="61">
        <v>2</v>
      </c>
      <c r="E274" s="62">
        <v>0</v>
      </c>
    </row>
    <row r="275" spans="2:5" ht="15" customHeight="1">
      <c r="B275" s="125"/>
      <c r="C275" s="60" t="s">
        <v>150</v>
      </c>
      <c r="D275" s="61">
        <v>2</v>
      </c>
      <c r="E275" s="62">
        <v>0</v>
      </c>
    </row>
    <row r="276" spans="2:5" ht="15" customHeight="1">
      <c r="B276" s="125"/>
      <c r="C276" s="60" t="s">
        <v>151</v>
      </c>
      <c r="D276" s="61">
        <v>6</v>
      </c>
      <c r="E276" s="62">
        <v>1E-3</v>
      </c>
    </row>
    <row r="277" spans="2:5" ht="15" customHeight="1">
      <c r="B277" s="126"/>
      <c r="C277" s="91" t="s">
        <v>29</v>
      </c>
      <c r="D277" s="65">
        <v>100</v>
      </c>
      <c r="E277" s="66">
        <v>2.1999999999999999E-2</v>
      </c>
    </row>
    <row r="278" spans="2:5" ht="15" customHeight="1">
      <c r="B278" s="124" t="s">
        <v>53</v>
      </c>
      <c r="C278" s="60" t="s">
        <v>137</v>
      </c>
      <c r="D278" s="61">
        <v>21</v>
      </c>
      <c r="E278" s="62">
        <v>5.0000000000000001E-3</v>
      </c>
    </row>
    <row r="279" spans="2:5" ht="15" customHeight="1">
      <c r="B279" s="125"/>
      <c r="C279" s="60" t="s">
        <v>139</v>
      </c>
      <c r="D279" s="61">
        <v>24</v>
      </c>
      <c r="E279" s="62">
        <v>5.0000000000000001E-3</v>
      </c>
    </row>
    <row r="280" spans="2:5" ht="15" customHeight="1">
      <c r="B280" s="125"/>
      <c r="C280" s="60" t="s">
        <v>140</v>
      </c>
      <c r="D280" s="61">
        <v>22</v>
      </c>
      <c r="E280" s="62">
        <v>5.0000000000000001E-3</v>
      </c>
    </row>
    <row r="281" spans="2:5" ht="15" customHeight="1">
      <c r="B281" s="125"/>
      <c r="C281" s="60" t="s">
        <v>141</v>
      </c>
      <c r="D281" s="61">
        <v>41</v>
      </c>
      <c r="E281" s="62">
        <v>8.9999999999999993E-3</v>
      </c>
    </row>
    <row r="282" spans="2:5" ht="15" customHeight="1">
      <c r="B282" s="125"/>
      <c r="C282" s="60" t="s">
        <v>142</v>
      </c>
      <c r="D282" s="61">
        <v>22</v>
      </c>
      <c r="E282" s="62">
        <v>5.0000000000000001E-3</v>
      </c>
    </row>
    <row r="283" spans="2:5" ht="15" customHeight="1">
      <c r="B283" s="125"/>
      <c r="C283" s="60" t="s">
        <v>144</v>
      </c>
      <c r="D283" s="61">
        <v>26</v>
      </c>
      <c r="E283" s="62">
        <v>6.0000000000000001E-3</v>
      </c>
    </row>
    <row r="284" spans="2:5" ht="15" customHeight="1">
      <c r="B284" s="125"/>
      <c r="C284" s="60" t="s">
        <v>145</v>
      </c>
      <c r="D284" s="61">
        <v>8</v>
      </c>
      <c r="E284" s="62">
        <v>2E-3</v>
      </c>
    </row>
    <row r="285" spans="2:5" ht="15" customHeight="1">
      <c r="B285" s="125"/>
      <c r="C285" s="60" t="s">
        <v>146</v>
      </c>
      <c r="D285" s="61">
        <v>1</v>
      </c>
      <c r="E285" s="62">
        <v>0</v>
      </c>
    </row>
    <row r="286" spans="2:5" ht="15" customHeight="1">
      <c r="B286" s="125"/>
      <c r="C286" s="60" t="s">
        <v>147</v>
      </c>
      <c r="D286" s="61">
        <v>5</v>
      </c>
      <c r="E286" s="62">
        <v>1E-3</v>
      </c>
    </row>
    <row r="287" spans="2:5" ht="15" customHeight="1">
      <c r="B287" s="125"/>
      <c r="C287" s="60" t="s">
        <v>153</v>
      </c>
      <c r="D287" s="61">
        <v>2</v>
      </c>
      <c r="E287" s="62">
        <v>0</v>
      </c>
    </row>
    <row r="288" spans="2:5" ht="15" customHeight="1">
      <c r="B288" s="125"/>
      <c r="C288" s="60" t="s">
        <v>148</v>
      </c>
      <c r="D288" s="61">
        <v>1</v>
      </c>
      <c r="E288" s="62">
        <v>0</v>
      </c>
    </row>
    <row r="289" spans="2:5" ht="15" customHeight="1">
      <c r="B289" s="125"/>
      <c r="C289" s="60" t="s">
        <v>150</v>
      </c>
      <c r="D289" s="61">
        <v>2</v>
      </c>
      <c r="E289" s="62">
        <v>0</v>
      </c>
    </row>
    <row r="290" spans="2:5" ht="15" customHeight="1">
      <c r="B290" s="125"/>
      <c r="C290" s="60" t="s">
        <v>151</v>
      </c>
      <c r="D290" s="61">
        <v>7</v>
      </c>
      <c r="E290" s="62">
        <v>2E-3</v>
      </c>
    </row>
    <row r="291" spans="2:5" ht="15" customHeight="1">
      <c r="B291" s="126"/>
      <c r="C291" s="91" t="s">
        <v>29</v>
      </c>
      <c r="D291" s="65">
        <v>182</v>
      </c>
      <c r="E291" s="66">
        <v>0.04</v>
      </c>
    </row>
    <row r="292" spans="2:5" ht="15" customHeight="1">
      <c r="B292" s="124" t="s">
        <v>62</v>
      </c>
      <c r="C292" s="60" t="s">
        <v>137</v>
      </c>
      <c r="D292" s="61">
        <v>4</v>
      </c>
      <c r="E292" s="62">
        <v>1E-3</v>
      </c>
    </row>
    <row r="293" spans="2:5" ht="15" customHeight="1">
      <c r="B293" s="125"/>
      <c r="C293" s="60" t="s">
        <v>139</v>
      </c>
      <c r="D293" s="61">
        <v>4</v>
      </c>
      <c r="E293" s="62">
        <v>1E-3</v>
      </c>
    </row>
    <row r="294" spans="2:5" ht="15" customHeight="1">
      <c r="B294" s="125"/>
      <c r="C294" s="60" t="s">
        <v>140</v>
      </c>
      <c r="D294" s="61">
        <v>7</v>
      </c>
      <c r="E294" s="62">
        <v>2E-3</v>
      </c>
    </row>
    <row r="295" spans="2:5" ht="15" customHeight="1">
      <c r="B295" s="125"/>
      <c r="C295" s="60" t="s">
        <v>141</v>
      </c>
      <c r="D295" s="61">
        <v>1</v>
      </c>
      <c r="E295" s="62">
        <v>0</v>
      </c>
    </row>
    <row r="296" spans="2:5" ht="15" customHeight="1">
      <c r="B296" s="125"/>
      <c r="C296" s="60" t="s">
        <v>142</v>
      </c>
      <c r="D296" s="61">
        <v>13</v>
      </c>
      <c r="E296" s="62">
        <v>3.0000000000000001E-3</v>
      </c>
    </row>
    <row r="297" spans="2:5" ht="15" customHeight="1">
      <c r="B297" s="125"/>
      <c r="C297" s="60" t="s">
        <v>225</v>
      </c>
      <c r="D297" s="61">
        <v>2</v>
      </c>
      <c r="E297" s="62">
        <v>0</v>
      </c>
    </row>
    <row r="298" spans="2:5" ht="15" customHeight="1">
      <c r="B298" s="125"/>
      <c r="C298" s="60" t="s">
        <v>144</v>
      </c>
      <c r="D298" s="61">
        <v>13</v>
      </c>
      <c r="E298" s="62">
        <v>3.0000000000000001E-3</v>
      </c>
    </row>
    <row r="299" spans="2:5" ht="15" customHeight="1">
      <c r="B299" s="125"/>
      <c r="C299" s="60" t="s">
        <v>145</v>
      </c>
      <c r="D299" s="61">
        <v>1</v>
      </c>
      <c r="E299" s="62">
        <v>0</v>
      </c>
    </row>
    <row r="300" spans="2:5" ht="15" customHeight="1">
      <c r="B300" s="125"/>
      <c r="C300" s="60" t="s">
        <v>153</v>
      </c>
      <c r="D300" s="61">
        <v>1</v>
      </c>
      <c r="E300" s="62">
        <v>0</v>
      </c>
    </row>
    <row r="301" spans="2:5" ht="15" customHeight="1">
      <c r="B301" s="125"/>
      <c r="C301" s="60" t="s">
        <v>148</v>
      </c>
      <c r="D301" s="61">
        <v>2</v>
      </c>
      <c r="E301" s="62">
        <v>0</v>
      </c>
    </row>
    <row r="302" spans="2:5" ht="15" customHeight="1">
      <c r="B302" s="125"/>
      <c r="C302" s="60" t="s">
        <v>150</v>
      </c>
      <c r="D302" s="61">
        <v>1</v>
      </c>
      <c r="E302" s="62">
        <v>0</v>
      </c>
    </row>
    <row r="303" spans="2:5" ht="15" customHeight="1">
      <c r="B303" s="125"/>
      <c r="C303" s="60" t="s">
        <v>151</v>
      </c>
      <c r="D303" s="61">
        <v>4</v>
      </c>
      <c r="E303" s="62">
        <v>1E-3</v>
      </c>
    </row>
    <row r="304" spans="2:5" ht="15" customHeight="1">
      <c r="B304" s="126"/>
      <c r="C304" s="91" t="s">
        <v>29</v>
      </c>
      <c r="D304" s="65">
        <v>53</v>
      </c>
      <c r="E304" s="66">
        <v>1.2E-2</v>
      </c>
    </row>
    <row r="305" spans="2:5" ht="15" customHeight="1">
      <c r="B305" s="124" t="s">
        <v>73</v>
      </c>
      <c r="C305" s="60" t="s">
        <v>137</v>
      </c>
      <c r="D305" s="61">
        <v>1</v>
      </c>
      <c r="E305" s="62">
        <v>0</v>
      </c>
    </row>
    <row r="306" spans="2:5" ht="15" customHeight="1">
      <c r="B306" s="125"/>
      <c r="C306" s="60" t="s">
        <v>139</v>
      </c>
      <c r="D306" s="61">
        <v>2</v>
      </c>
      <c r="E306" s="62">
        <v>0</v>
      </c>
    </row>
    <row r="307" spans="2:5" ht="15" customHeight="1">
      <c r="B307" s="125"/>
      <c r="C307" s="60" t="s">
        <v>140</v>
      </c>
      <c r="D307" s="61">
        <v>4</v>
      </c>
      <c r="E307" s="62">
        <v>1E-3</v>
      </c>
    </row>
    <row r="308" spans="2:5" ht="15" customHeight="1">
      <c r="B308" s="125"/>
      <c r="C308" s="60" t="s">
        <v>141</v>
      </c>
      <c r="D308" s="61">
        <v>2</v>
      </c>
      <c r="E308" s="62">
        <v>0</v>
      </c>
    </row>
    <row r="309" spans="2:5" ht="15" customHeight="1">
      <c r="B309" s="125"/>
      <c r="C309" s="60" t="s">
        <v>142</v>
      </c>
      <c r="D309" s="61">
        <v>19</v>
      </c>
      <c r="E309" s="62">
        <v>4.0000000000000001E-3</v>
      </c>
    </row>
    <row r="310" spans="2:5" ht="15" customHeight="1">
      <c r="B310" s="125"/>
      <c r="C310" s="60" t="s">
        <v>225</v>
      </c>
      <c r="D310" s="61">
        <v>1</v>
      </c>
      <c r="E310" s="62">
        <v>0</v>
      </c>
    </row>
    <row r="311" spans="2:5" ht="15" customHeight="1">
      <c r="B311" s="125"/>
      <c r="C311" s="60" t="s">
        <v>144</v>
      </c>
      <c r="D311" s="61">
        <v>12</v>
      </c>
      <c r="E311" s="62">
        <v>3.0000000000000001E-3</v>
      </c>
    </row>
    <row r="312" spans="2:5" ht="15" customHeight="1">
      <c r="B312" s="125"/>
      <c r="C312" s="60" t="s">
        <v>145</v>
      </c>
      <c r="D312" s="61">
        <v>2</v>
      </c>
      <c r="E312" s="62">
        <v>0</v>
      </c>
    </row>
    <row r="313" spans="2:5" ht="15" customHeight="1">
      <c r="B313" s="125"/>
      <c r="C313" s="60" t="s">
        <v>146</v>
      </c>
      <c r="D313" s="61">
        <v>1</v>
      </c>
      <c r="E313" s="62">
        <v>0</v>
      </c>
    </row>
    <row r="314" spans="2:5" ht="15" customHeight="1">
      <c r="B314" s="125"/>
      <c r="C314" s="60" t="s">
        <v>148</v>
      </c>
      <c r="D314" s="61">
        <v>1</v>
      </c>
      <c r="E314" s="62">
        <v>0</v>
      </c>
    </row>
    <row r="315" spans="2:5" ht="15" customHeight="1">
      <c r="B315" s="125"/>
      <c r="C315" s="60" t="s">
        <v>151</v>
      </c>
      <c r="D315" s="61">
        <v>5</v>
      </c>
      <c r="E315" s="62">
        <v>1E-3</v>
      </c>
    </row>
    <row r="316" spans="2:5" ht="15" customHeight="1">
      <c r="B316" s="126"/>
      <c r="C316" s="91" t="s">
        <v>29</v>
      </c>
      <c r="D316" s="65">
        <v>50</v>
      </c>
      <c r="E316" s="66">
        <v>1.0999999999999999E-2</v>
      </c>
    </row>
    <row r="317" spans="2:5" ht="15" customHeight="1">
      <c r="B317" s="124" t="s">
        <v>219</v>
      </c>
      <c r="C317" s="60" t="s">
        <v>139</v>
      </c>
      <c r="D317" s="61">
        <v>3</v>
      </c>
      <c r="E317" s="62">
        <v>1E-3</v>
      </c>
    </row>
    <row r="318" spans="2:5" ht="15" customHeight="1">
      <c r="B318" s="125"/>
      <c r="C318" s="60" t="s">
        <v>140</v>
      </c>
      <c r="D318" s="61">
        <v>1</v>
      </c>
      <c r="E318" s="62">
        <v>0</v>
      </c>
    </row>
    <row r="319" spans="2:5" ht="15" customHeight="1">
      <c r="B319" s="125"/>
      <c r="C319" s="60" t="s">
        <v>141</v>
      </c>
      <c r="D319" s="61">
        <v>1</v>
      </c>
      <c r="E319" s="62">
        <v>0</v>
      </c>
    </row>
    <row r="320" spans="2:5" ht="15" customHeight="1">
      <c r="B320" s="125"/>
      <c r="C320" s="60" t="s">
        <v>142</v>
      </c>
      <c r="D320" s="61">
        <v>3</v>
      </c>
      <c r="E320" s="62">
        <v>1E-3</v>
      </c>
    </row>
    <row r="321" spans="2:5" ht="15" customHeight="1">
      <c r="B321" s="125"/>
      <c r="C321" s="60" t="s">
        <v>225</v>
      </c>
      <c r="D321" s="61">
        <v>1</v>
      </c>
      <c r="E321" s="62">
        <v>0</v>
      </c>
    </row>
    <row r="322" spans="2:5" ht="15" customHeight="1">
      <c r="B322" s="125"/>
      <c r="C322" s="60" t="s">
        <v>144</v>
      </c>
      <c r="D322" s="61">
        <v>8</v>
      </c>
      <c r="E322" s="62">
        <v>2E-3</v>
      </c>
    </row>
    <row r="323" spans="2:5" ht="15" customHeight="1">
      <c r="B323" s="125"/>
      <c r="C323" s="60" t="s">
        <v>146</v>
      </c>
      <c r="D323" s="61">
        <v>3</v>
      </c>
      <c r="E323" s="62">
        <v>1E-3</v>
      </c>
    </row>
    <row r="324" spans="2:5" ht="15" customHeight="1">
      <c r="B324" s="125"/>
      <c r="C324" s="60" t="s">
        <v>147</v>
      </c>
      <c r="D324" s="61">
        <v>1</v>
      </c>
      <c r="E324" s="62">
        <v>0</v>
      </c>
    </row>
    <row r="325" spans="2:5" ht="15" customHeight="1">
      <c r="B325" s="125"/>
      <c r="C325" s="60" t="s">
        <v>151</v>
      </c>
      <c r="D325" s="61">
        <v>3</v>
      </c>
      <c r="E325" s="62">
        <v>1E-3</v>
      </c>
    </row>
    <row r="326" spans="2:5" ht="15" customHeight="1">
      <c r="B326" s="126"/>
      <c r="C326" s="91" t="s">
        <v>29</v>
      </c>
      <c r="D326" s="65">
        <v>24</v>
      </c>
      <c r="E326" s="66">
        <v>5.0000000000000001E-3</v>
      </c>
    </row>
    <row r="327" spans="2:5" ht="15" customHeight="1">
      <c r="B327" s="124" t="s">
        <v>56</v>
      </c>
      <c r="C327" s="60" t="s">
        <v>137</v>
      </c>
      <c r="D327" s="61">
        <v>21</v>
      </c>
      <c r="E327" s="62">
        <v>5.0000000000000001E-3</v>
      </c>
    </row>
    <row r="328" spans="2:5" ht="15" customHeight="1">
      <c r="B328" s="125"/>
      <c r="C328" s="60" t="s">
        <v>139</v>
      </c>
      <c r="D328" s="61">
        <v>20</v>
      </c>
      <c r="E328" s="62">
        <v>4.0000000000000001E-3</v>
      </c>
    </row>
    <row r="329" spans="2:5" ht="15" customHeight="1">
      <c r="B329" s="125"/>
      <c r="C329" s="60" t="s">
        <v>140</v>
      </c>
      <c r="D329" s="61">
        <v>4</v>
      </c>
      <c r="E329" s="62">
        <v>1E-3</v>
      </c>
    </row>
    <row r="330" spans="2:5" ht="15" customHeight="1">
      <c r="B330" s="125"/>
      <c r="C330" s="60" t="s">
        <v>141</v>
      </c>
      <c r="D330" s="61">
        <v>3</v>
      </c>
      <c r="E330" s="62">
        <v>1E-3</v>
      </c>
    </row>
    <row r="331" spans="2:5" ht="15" customHeight="1">
      <c r="B331" s="125"/>
      <c r="C331" s="60" t="s">
        <v>142</v>
      </c>
      <c r="D331" s="61">
        <v>24</v>
      </c>
      <c r="E331" s="62">
        <v>5.0000000000000001E-3</v>
      </c>
    </row>
    <row r="332" spans="2:5" ht="15" customHeight="1">
      <c r="B332" s="125"/>
      <c r="C332" s="60" t="s">
        <v>144</v>
      </c>
      <c r="D332" s="61">
        <v>37</v>
      </c>
      <c r="E332" s="62">
        <v>8.0000000000000002E-3</v>
      </c>
    </row>
    <row r="333" spans="2:5" ht="15" customHeight="1">
      <c r="B333" s="125"/>
      <c r="C333" s="60" t="s">
        <v>146</v>
      </c>
      <c r="D333" s="61">
        <v>8</v>
      </c>
      <c r="E333" s="62">
        <v>2E-3</v>
      </c>
    </row>
    <row r="334" spans="2:5" ht="15" customHeight="1">
      <c r="B334" s="125"/>
      <c r="C334" s="60" t="s">
        <v>152</v>
      </c>
      <c r="D334" s="61">
        <v>4</v>
      </c>
      <c r="E334" s="62">
        <v>1E-3</v>
      </c>
    </row>
    <row r="335" spans="2:5" ht="15" customHeight="1">
      <c r="B335" s="125"/>
      <c r="C335" s="60" t="s">
        <v>147</v>
      </c>
      <c r="D335" s="61">
        <v>6</v>
      </c>
      <c r="E335" s="62">
        <v>1E-3</v>
      </c>
    </row>
    <row r="336" spans="2:5" ht="15" customHeight="1">
      <c r="B336" s="125"/>
      <c r="C336" s="60" t="s">
        <v>148</v>
      </c>
      <c r="D336" s="61">
        <v>5</v>
      </c>
      <c r="E336" s="62">
        <v>1E-3</v>
      </c>
    </row>
    <row r="337" spans="2:5" ht="15" customHeight="1">
      <c r="B337" s="125"/>
      <c r="C337" s="60" t="s">
        <v>149</v>
      </c>
      <c r="D337" s="61">
        <v>17</v>
      </c>
      <c r="E337" s="62">
        <v>4.0000000000000001E-3</v>
      </c>
    </row>
    <row r="338" spans="2:5" ht="15" customHeight="1">
      <c r="B338" s="125"/>
      <c r="C338" s="60" t="s">
        <v>150</v>
      </c>
      <c r="D338" s="61">
        <v>5</v>
      </c>
      <c r="E338" s="62">
        <v>1E-3</v>
      </c>
    </row>
    <row r="339" spans="2:5" ht="15" customHeight="1">
      <c r="B339" s="125"/>
      <c r="C339" s="60" t="s">
        <v>151</v>
      </c>
      <c r="D339" s="61">
        <v>26</v>
      </c>
      <c r="E339" s="62">
        <v>6.0000000000000001E-3</v>
      </c>
    </row>
    <row r="340" spans="2:5" ht="15" customHeight="1">
      <c r="B340" s="126"/>
      <c r="C340" s="91" t="s">
        <v>29</v>
      </c>
      <c r="D340" s="65">
        <v>180</v>
      </c>
      <c r="E340" s="66">
        <v>0.04</v>
      </c>
    </row>
    <row r="341" spans="2:5" ht="15" customHeight="1">
      <c r="B341" s="124" t="s">
        <v>65</v>
      </c>
      <c r="C341" s="60" t="s">
        <v>137</v>
      </c>
      <c r="D341" s="61">
        <v>4</v>
      </c>
      <c r="E341" s="62">
        <v>1E-3</v>
      </c>
    </row>
    <row r="342" spans="2:5" ht="15" customHeight="1">
      <c r="B342" s="125"/>
      <c r="C342" s="60" t="s">
        <v>138</v>
      </c>
      <c r="D342" s="61">
        <v>1</v>
      </c>
      <c r="E342" s="62">
        <v>0</v>
      </c>
    </row>
    <row r="343" spans="2:5" ht="15" customHeight="1">
      <c r="B343" s="125"/>
      <c r="C343" s="60" t="s">
        <v>139</v>
      </c>
      <c r="D343" s="61">
        <v>8</v>
      </c>
      <c r="E343" s="62">
        <v>2E-3</v>
      </c>
    </row>
    <row r="344" spans="2:5" ht="15" customHeight="1">
      <c r="B344" s="125"/>
      <c r="C344" s="60" t="s">
        <v>140</v>
      </c>
      <c r="D344" s="61">
        <v>7</v>
      </c>
      <c r="E344" s="62">
        <v>2E-3</v>
      </c>
    </row>
    <row r="345" spans="2:5" ht="15" customHeight="1">
      <c r="B345" s="125"/>
      <c r="C345" s="60" t="s">
        <v>141</v>
      </c>
      <c r="D345" s="61">
        <v>4</v>
      </c>
      <c r="E345" s="62">
        <v>1E-3</v>
      </c>
    </row>
    <row r="346" spans="2:5" ht="15" customHeight="1">
      <c r="B346" s="125"/>
      <c r="C346" s="60" t="s">
        <v>142</v>
      </c>
      <c r="D346" s="61">
        <v>31</v>
      </c>
      <c r="E346" s="62">
        <v>7.0000000000000001E-3</v>
      </c>
    </row>
    <row r="347" spans="2:5" ht="15" customHeight="1">
      <c r="B347" s="125"/>
      <c r="C347" s="60" t="s">
        <v>225</v>
      </c>
      <c r="D347" s="61">
        <v>4</v>
      </c>
      <c r="E347" s="62">
        <v>1E-3</v>
      </c>
    </row>
    <row r="348" spans="2:5" ht="15" customHeight="1">
      <c r="B348" s="125"/>
      <c r="C348" s="60" t="s">
        <v>143</v>
      </c>
      <c r="D348" s="61">
        <v>1</v>
      </c>
      <c r="E348" s="62">
        <v>0</v>
      </c>
    </row>
    <row r="349" spans="2:5" ht="15" customHeight="1">
      <c r="B349" s="125"/>
      <c r="C349" s="60" t="s">
        <v>144</v>
      </c>
      <c r="D349" s="61">
        <v>22</v>
      </c>
      <c r="E349" s="62">
        <v>5.0000000000000001E-3</v>
      </c>
    </row>
    <row r="350" spans="2:5" ht="15" customHeight="1">
      <c r="B350" s="125"/>
      <c r="C350" s="60" t="s">
        <v>146</v>
      </c>
      <c r="D350" s="61">
        <v>1</v>
      </c>
      <c r="E350" s="62">
        <v>0</v>
      </c>
    </row>
    <row r="351" spans="2:5" ht="15" customHeight="1">
      <c r="B351" s="125"/>
      <c r="C351" s="60" t="s">
        <v>149</v>
      </c>
      <c r="D351" s="61">
        <v>4</v>
      </c>
      <c r="E351" s="62">
        <v>1E-3</v>
      </c>
    </row>
    <row r="352" spans="2:5" ht="15" customHeight="1">
      <c r="B352" s="125"/>
      <c r="C352" s="60" t="s">
        <v>150</v>
      </c>
      <c r="D352" s="61">
        <v>2</v>
      </c>
      <c r="E352" s="62">
        <v>0</v>
      </c>
    </row>
    <row r="353" spans="2:5" ht="15" customHeight="1">
      <c r="B353" s="125"/>
      <c r="C353" s="60" t="s">
        <v>151</v>
      </c>
      <c r="D353" s="61">
        <v>3</v>
      </c>
      <c r="E353" s="62">
        <v>1E-3</v>
      </c>
    </row>
    <row r="354" spans="2:5" ht="15" customHeight="1">
      <c r="B354" s="126"/>
      <c r="C354" s="91" t="s">
        <v>29</v>
      </c>
      <c r="D354" s="65">
        <v>92</v>
      </c>
      <c r="E354" s="66">
        <v>0.02</v>
      </c>
    </row>
    <row r="355" spans="2:5" ht="15" customHeight="1">
      <c r="B355" s="124" t="s">
        <v>61</v>
      </c>
      <c r="C355" s="60" t="s">
        <v>137</v>
      </c>
      <c r="D355" s="61">
        <v>18</v>
      </c>
      <c r="E355" s="62">
        <v>4.0000000000000001E-3</v>
      </c>
    </row>
    <row r="356" spans="2:5" ht="15" customHeight="1">
      <c r="B356" s="125"/>
      <c r="C356" s="60" t="s">
        <v>138</v>
      </c>
      <c r="D356" s="61">
        <v>1</v>
      </c>
      <c r="E356" s="62">
        <v>0</v>
      </c>
    </row>
    <row r="357" spans="2:5" ht="15" customHeight="1">
      <c r="B357" s="125"/>
      <c r="C357" s="60" t="s">
        <v>139</v>
      </c>
      <c r="D357" s="61">
        <v>11</v>
      </c>
      <c r="E357" s="62">
        <v>2E-3</v>
      </c>
    </row>
    <row r="358" spans="2:5" ht="15" customHeight="1">
      <c r="B358" s="125"/>
      <c r="C358" s="60" t="s">
        <v>140</v>
      </c>
      <c r="D358" s="61">
        <v>18</v>
      </c>
      <c r="E358" s="62">
        <v>4.0000000000000001E-3</v>
      </c>
    </row>
    <row r="359" spans="2:5" ht="15" customHeight="1">
      <c r="B359" s="125"/>
      <c r="C359" s="60" t="s">
        <v>141</v>
      </c>
      <c r="D359" s="61">
        <v>5</v>
      </c>
      <c r="E359" s="62">
        <v>1E-3</v>
      </c>
    </row>
    <row r="360" spans="2:5" ht="15" customHeight="1">
      <c r="B360" s="125"/>
      <c r="C360" s="60" t="s">
        <v>142</v>
      </c>
      <c r="D360" s="61">
        <v>50</v>
      </c>
      <c r="E360" s="62">
        <v>1.0999999999999999E-2</v>
      </c>
    </row>
    <row r="361" spans="2:5" ht="15" customHeight="1">
      <c r="B361" s="125"/>
      <c r="C361" s="60" t="s">
        <v>143</v>
      </c>
      <c r="D361" s="61">
        <v>1</v>
      </c>
      <c r="E361" s="62">
        <v>0</v>
      </c>
    </row>
    <row r="362" spans="2:5" ht="15" customHeight="1">
      <c r="B362" s="125"/>
      <c r="C362" s="60" t="s">
        <v>144</v>
      </c>
      <c r="D362" s="61">
        <v>11</v>
      </c>
      <c r="E362" s="62">
        <v>2E-3</v>
      </c>
    </row>
    <row r="363" spans="2:5" ht="15" customHeight="1">
      <c r="B363" s="125"/>
      <c r="C363" s="60" t="s">
        <v>145</v>
      </c>
      <c r="D363" s="61">
        <v>1</v>
      </c>
      <c r="E363" s="62">
        <v>0</v>
      </c>
    </row>
    <row r="364" spans="2:5" ht="15" customHeight="1">
      <c r="B364" s="125"/>
      <c r="C364" s="60" t="s">
        <v>146</v>
      </c>
      <c r="D364" s="61">
        <v>1</v>
      </c>
      <c r="E364" s="62">
        <v>0</v>
      </c>
    </row>
    <row r="365" spans="2:5" ht="15" customHeight="1">
      <c r="B365" s="125"/>
      <c r="C365" s="60" t="s">
        <v>147</v>
      </c>
      <c r="D365" s="61">
        <v>1</v>
      </c>
      <c r="E365" s="62">
        <v>0</v>
      </c>
    </row>
    <row r="366" spans="2:5" ht="15" customHeight="1">
      <c r="B366" s="125"/>
      <c r="C366" s="60" t="s">
        <v>153</v>
      </c>
      <c r="D366" s="61">
        <v>2</v>
      </c>
      <c r="E366" s="62">
        <v>0</v>
      </c>
    </row>
    <row r="367" spans="2:5" ht="15" customHeight="1">
      <c r="B367" s="125"/>
      <c r="C367" s="60" t="s">
        <v>149</v>
      </c>
      <c r="D367" s="61">
        <v>7</v>
      </c>
      <c r="E367" s="62">
        <v>2E-3</v>
      </c>
    </row>
    <row r="368" spans="2:5" ht="15" customHeight="1">
      <c r="B368" s="125"/>
      <c r="C368" s="60" t="s">
        <v>151</v>
      </c>
      <c r="D368" s="61">
        <v>4</v>
      </c>
      <c r="E368" s="62">
        <v>1E-3</v>
      </c>
    </row>
    <row r="369" spans="2:5" ht="15" customHeight="1">
      <c r="B369" s="126"/>
      <c r="C369" s="91" t="s">
        <v>29</v>
      </c>
      <c r="D369" s="65">
        <v>131</v>
      </c>
      <c r="E369" s="66">
        <v>2.9000000000000001E-2</v>
      </c>
    </row>
    <row r="370" spans="2:5" ht="15" customHeight="1">
      <c r="B370" s="124" t="s">
        <v>85</v>
      </c>
      <c r="C370" s="60" t="s">
        <v>137</v>
      </c>
      <c r="D370" s="61">
        <v>7</v>
      </c>
      <c r="E370" s="62">
        <v>2E-3</v>
      </c>
    </row>
    <row r="371" spans="2:5" ht="15" customHeight="1">
      <c r="B371" s="125"/>
      <c r="C371" s="60" t="s">
        <v>138</v>
      </c>
      <c r="D371" s="61">
        <v>1</v>
      </c>
      <c r="E371" s="62">
        <v>0</v>
      </c>
    </row>
    <row r="372" spans="2:5" ht="15" customHeight="1">
      <c r="B372" s="125"/>
      <c r="C372" s="60" t="s">
        <v>139</v>
      </c>
      <c r="D372" s="61">
        <v>7</v>
      </c>
      <c r="E372" s="62">
        <v>2E-3</v>
      </c>
    </row>
    <row r="373" spans="2:5" ht="15" customHeight="1">
      <c r="B373" s="125"/>
      <c r="C373" s="60" t="s">
        <v>140</v>
      </c>
      <c r="D373" s="61">
        <v>2</v>
      </c>
      <c r="E373" s="62">
        <v>0</v>
      </c>
    </row>
    <row r="374" spans="2:5" ht="15" customHeight="1">
      <c r="B374" s="125"/>
      <c r="C374" s="60" t="s">
        <v>141</v>
      </c>
      <c r="D374" s="61">
        <v>3</v>
      </c>
      <c r="E374" s="62">
        <v>1E-3</v>
      </c>
    </row>
    <row r="375" spans="2:5" ht="15" customHeight="1">
      <c r="B375" s="125"/>
      <c r="C375" s="60" t="s">
        <v>142</v>
      </c>
      <c r="D375" s="61">
        <v>23</v>
      </c>
      <c r="E375" s="62">
        <v>5.0000000000000001E-3</v>
      </c>
    </row>
    <row r="376" spans="2:5" ht="15" customHeight="1">
      <c r="B376" s="125"/>
      <c r="C376" s="60" t="s">
        <v>225</v>
      </c>
      <c r="D376" s="61">
        <v>1</v>
      </c>
      <c r="E376" s="62">
        <v>0</v>
      </c>
    </row>
    <row r="377" spans="2:5" ht="15" customHeight="1">
      <c r="B377" s="125"/>
      <c r="C377" s="60" t="s">
        <v>143</v>
      </c>
      <c r="D377" s="61">
        <v>1</v>
      </c>
      <c r="E377" s="62">
        <v>0</v>
      </c>
    </row>
    <row r="378" spans="2:5" ht="15" customHeight="1">
      <c r="B378" s="125"/>
      <c r="C378" s="60" t="s">
        <v>144</v>
      </c>
      <c r="D378" s="61">
        <v>6</v>
      </c>
      <c r="E378" s="62">
        <v>1E-3</v>
      </c>
    </row>
    <row r="379" spans="2:5" ht="15" customHeight="1">
      <c r="B379" s="125"/>
      <c r="C379" s="60" t="s">
        <v>147</v>
      </c>
      <c r="D379" s="61">
        <v>3</v>
      </c>
      <c r="E379" s="62">
        <v>1E-3</v>
      </c>
    </row>
    <row r="380" spans="2:5" ht="15" customHeight="1">
      <c r="B380" s="125"/>
      <c r="C380" s="60" t="s">
        <v>151</v>
      </c>
      <c r="D380" s="61">
        <v>6</v>
      </c>
      <c r="E380" s="62">
        <v>1E-3</v>
      </c>
    </row>
    <row r="381" spans="2:5" ht="15" customHeight="1">
      <c r="B381" s="126"/>
      <c r="C381" s="91" t="s">
        <v>29</v>
      </c>
      <c r="D381" s="65">
        <v>60</v>
      </c>
      <c r="E381" s="66">
        <v>1.2999999999999999E-2</v>
      </c>
    </row>
    <row r="382" spans="2:5" ht="15" customHeight="1">
      <c r="B382" s="124" t="s">
        <v>48</v>
      </c>
      <c r="C382" s="60" t="s">
        <v>137</v>
      </c>
      <c r="D382" s="61">
        <v>10</v>
      </c>
      <c r="E382" s="62">
        <v>2E-3</v>
      </c>
    </row>
    <row r="383" spans="2:5" ht="15" customHeight="1">
      <c r="B383" s="125"/>
      <c r="C383" s="60" t="s">
        <v>138</v>
      </c>
      <c r="D383" s="61">
        <v>2</v>
      </c>
      <c r="E383" s="62">
        <v>0</v>
      </c>
    </row>
    <row r="384" spans="2:5" ht="15" customHeight="1">
      <c r="B384" s="125"/>
      <c r="C384" s="60" t="s">
        <v>139</v>
      </c>
      <c r="D384" s="61">
        <v>23</v>
      </c>
      <c r="E384" s="62">
        <v>5.0000000000000001E-3</v>
      </c>
    </row>
    <row r="385" spans="2:5" ht="15" customHeight="1">
      <c r="B385" s="125"/>
      <c r="C385" s="60" t="s">
        <v>140</v>
      </c>
      <c r="D385" s="61">
        <v>9</v>
      </c>
      <c r="E385" s="62">
        <v>2E-3</v>
      </c>
    </row>
    <row r="386" spans="2:5" ht="15" customHeight="1">
      <c r="B386" s="125"/>
      <c r="C386" s="60" t="s">
        <v>141</v>
      </c>
      <c r="D386" s="61">
        <v>3</v>
      </c>
      <c r="E386" s="62">
        <v>1E-3</v>
      </c>
    </row>
    <row r="387" spans="2:5" ht="15" customHeight="1">
      <c r="B387" s="125"/>
      <c r="C387" s="60" t="s">
        <v>142</v>
      </c>
      <c r="D387" s="61">
        <v>40</v>
      </c>
      <c r="E387" s="62">
        <v>8.9999999999999993E-3</v>
      </c>
    </row>
    <row r="388" spans="2:5" ht="15" customHeight="1">
      <c r="B388" s="125"/>
      <c r="C388" s="60" t="s">
        <v>143</v>
      </c>
      <c r="D388" s="61">
        <v>2</v>
      </c>
      <c r="E388" s="62">
        <v>0</v>
      </c>
    </row>
    <row r="389" spans="2:5" ht="15" customHeight="1">
      <c r="B389" s="125"/>
      <c r="C389" s="60" t="s">
        <v>144</v>
      </c>
      <c r="D389" s="61">
        <v>55</v>
      </c>
      <c r="E389" s="62">
        <v>1.2E-2</v>
      </c>
    </row>
    <row r="390" spans="2:5" ht="15" customHeight="1">
      <c r="B390" s="125"/>
      <c r="C390" s="60" t="s">
        <v>145</v>
      </c>
      <c r="D390" s="61">
        <v>3</v>
      </c>
      <c r="E390" s="62">
        <v>1E-3</v>
      </c>
    </row>
    <row r="391" spans="2:5" ht="15" customHeight="1">
      <c r="B391" s="125"/>
      <c r="C391" s="60" t="s">
        <v>146</v>
      </c>
      <c r="D391" s="61">
        <v>11</v>
      </c>
      <c r="E391" s="62">
        <v>2E-3</v>
      </c>
    </row>
    <row r="392" spans="2:5" ht="15" customHeight="1">
      <c r="B392" s="125"/>
      <c r="C392" s="60" t="s">
        <v>147</v>
      </c>
      <c r="D392" s="61">
        <v>9</v>
      </c>
      <c r="E392" s="62">
        <v>2E-3</v>
      </c>
    </row>
    <row r="393" spans="2:5" ht="15" customHeight="1">
      <c r="B393" s="125"/>
      <c r="C393" s="60" t="s">
        <v>149</v>
      </c>
      <c r="D393" s="61">
        <v>1</v>
      </c>
      <c r="E393" s="62">
        <v>0</v>
      </c>
    </row>
    <row r="394" spans="2:5" ht="15" customHeight="1">
      <c r="B394" s="125"/>
      <c r="C394" s="60" t="s">
        <v>150</v>
      </c>
      <c r="D394" s="61">
        <v>1</v>
      </c>
      <c r="E394" s="62">
        <v>0</v>
      </c>
    </row>
    <row r="395" spans="2:5" ht="15" customHeight="1">
      <c r="B395" s="125"/>
      <c r="C395" s="60" t="s">
        <v>151</v>
      </c>
      <c r="D395" s="61">
        <v>6</v>
      </c>
      <c r="E395" s="62">
        <v>1E-3</v>
      </c>
    </row>
    <row r="396" spans="2:5" ht="15" customHeight="1">
      <c r="B396" s="126"/>
      <c r="C396" s="91" t="s">
        <v>29</v>
      </c>
      <c r="D396" s="65">
        <v>175</v>
      </c>
      <c r="E396" s="66">
        <v>3.9E-2</v>
      </c>
    </row>
    <row r="397" spans="2:5" ht="15" customHeight="1">
      <c r="B397" s="124" t="s">
        <v>87</v>
      </c>
      <c r="C397" s="60" t="s">
        <v>137</v>
      </c>
      <c r="D397" s="61">
        <v>2</v>
      </c>
      <c r="E397" s="62">
        <v>0</v>
      </c>
    </row>
    <row r="398" spans="2:5" ht="15" customHeight="1">
      <c r="B398" s="125"/>
      <c r="C398" s="60" t="s">
        <v>138</v>
      </c>
      <c r="D398" s="61">
        <v>1</v>
      </c>
      <c r="E398" s="62">
        <v>0</v>
      </c>
    </row>
    <row r="399" spans="2:5" ht="15" customHeight="1">
      <c r="B399" s="125"/>
      <c r="C399" s="60" t="s">
        <v>139</v>
      </c>
      <c r="D399" s="61">
        <v>3</v>
      </c>
      <c r="E399" s="62">
        <v>1E-3</v>
      </c>
    </row>
    <row r="400" spans="2:5" ht="15" customHeight="1">
      <c r="B400" s="125"/>
      <c r="C400" s="60" t="s">
        <v>142</v>
      </c>
      <c r="D400" s="61">
        <v>6</v>
      </c>
      <c r="E400" s="62">
        <v>1E-3</v>
      </c>
    </row>
    <row r="401" spans="2:5" ht="15" customHeight="1">
      <c r="B401" s="125"/>
      <c r="C401" s="60" t="s">
        <v>143</v>
      </c>
      <c r="D401" s="61">
        <v>1</v>
      </c>
      <c r="E401" s="62">
        <v>0</v>
      </c>
    </row>
    <row r="402" spans="2:5" ht="15" customHeight="1">
      <c r="B402" s="125"/>
      <c r="C402" s="60" t="s">
        <v>144</v>
      </c>
      <c r="D402" s="61">
        <v>3</v>
      </c>
      <c r="E402" s="62">
        <v>1E-3</v>
      </c>
    </row>
    <row r="403" spans="2:5" ht="15" customHeight="1">
      <c r="B403" s="126"/>
      <c r="C403" s="91" t="s">
        <v>29</v>
      </c>
      <c r="D403" s="65">
        <v>16</v>
      </c>
      <c r="E403" s="66">
        <v>4.0000000000000001E-3</v>
      </c>
    </row>
    <row r="404" spans="2:5" ht="15" customHeight="1">
      <c r="B404" s="124" t="s">
        <v>66</v>
      </c>
      <c r="C404" s="60" t="s">
        <v>137</v>
      </c>
      <c r="D404" s="61">
        <v>1</v>
      </c>
      <c r="E404" s="62">
        <v>0</v>
      </c>
    </row>
    <row r="405" spans="2:5" ht="15" customHeight="1">
      <c r="B405" s="125"/>
      <c r="C405" s="60" t="s">
        <v>139</v>
      </c>
      <c r="D405" s="61">
        <v>7</v>
      </c>
      <c r="E405" s="62">
        <v>2E-3</v>
      </c>
    </row>
    <row r="406" spans="2:5" ht="15" customHeight="1">
      <c r="B406" s="125"/>
      <c r="C406" s="60" t="s">
        <v>140</v>
      </c>
      <c r="D406" s="61">
        <v>1</v>
      </c>
      <c r="E406" s="62">
        <v>0</v>
      </c>
    </row>
    <row r="407" spans="2:5" ht="15" customHeight="1">
      <c r="B407" s="125"/>
      <c r="C407" s="60" t="s">
        <v>142</v>
      </c>
      <c r="D407" s="61">
        <v>7</v>
      </c>
      <c r="E407" s="62">
        <v>2E-3</v>
      </c>
    </row>
    <row r="408" spans="2:5" ht="15" customHeight="1">
      <c r="B408" s="125"/>
      <c r="C408" s="60" t="s">
        <v>225</v>
      </c>
      <c r="D408" s="61">
        <v>1</v>
      </c>
      <c r="E408" s="62">
        <v>0</v>
      </c>
    </row>
    <row r="409" spans="2:5" ht="15" customHeight="1">
      <c r="B409" s="125"/>
      <c r="C409" s="60" t="s">
        <v>143</v>
      </c>
      <c r="D409" s="61">
        <v>1</v>
      </c>
      <c r="E409" s="62">
        <v>0</v>
      </c>
    </row>
    <row r="410" spans="2:5" ht="15" customHeight="1">
      <c r="B410" s="125"/>
      <c r="C410" s="60" t="s">
        <v>144</v>
      </c>
      <c r="D410" s="61">
        <v>8</v>
      </c>
      <c r="E410" s="62">
        <v>2E-3</v>
      </c>
    </row>
    <row r="411" spans="2:5" ht="15" customHeight="1">
      <c r="B411" s="125"/>
      <c r="C411" s="60" t="s">
        <v>145</v>
      </c>
      <c r="D411" s="61">
        <v>4</v>
      </c>
      <c r="E411" s="62">
        <v>1E-3</v>
      </c>
    </row>
    <row r="412" spans="2:5" ht="15" customHeight="1">
      <c r="B412" s="125"/>
      <c r="C412" s="60" t="s">
        <v>147</v>
      </c>
      <c r="D412" s="61">
        <v>3</v>
      </c>
      <c r="E412" s="62">
        <v>1E-3</v>
      </c>
    </row>
    <row r="413" spans="2:5" ht="15" customHeight="1">
      <c r="B413" s="125"/>
      <c r="C413" s="60" t="s">
        <v>150</v>
      </c>
      <c r="D413" s="61">
        <v>1</v>
      </c>
      <c r="E413" s="62">
        <v>0</v>
      </c>
    </row>
    <row r="414" spans="2:5" ht="15" customHeight="1">
      <c r="B414" s="125"/>
      <c r="C414" s="60" t="s">
        <v>151</v>
      </c>
      <c r="D414" s="61">
        <v>4</v>
      </c>
      <c r="E414" s="62">
        <v>1E-3</v>
      </c>
    </row>
    <row r="415" spans="2:5" ht="15" customHeight="1">
      <c r="B415" s="126"/>
      <c r="C415" s="91" t="s">
        <v>29</v>
      </c>
      <c r="D415" s="65">
        <v>38</v>
      </c>
      <c r="E415" s="66">
        <v>8.0000000000000002E-3</v>
      </c>
    </row>
    <row r="416" spans="2:5" ht="15" customHeight="1">
      <c r="B416" s="124" t="s">
        <v>81</v>
      </c>
      <c r="C416" s="60" t="s">
        <v>137</v>
      </c>
      <c r="D416" s="61">
        <v>3</v>
      </c>
      <c r="E416" s="62">
        <v>1E-3</v>
      </c>
    </row>
    <row r="417" spans="2:5" ht="15" customHeight="1">
      <c r="B417" s="125"/>
      <c r="C417" s="60" t="s">
        <v>140</v>
      </c>
      <c r="D417" s="61">
        <v>1</v>
      </c>
      <c r="E417" s="62">
        <v>0</v>
      </c>
    </row>
    <row r="418" spans="2:5" ht="15" customHeight="1">
      <c r="B418" s="125"/>
      <c r="C418" s="60" t="s">
        <v>142</v>
      </c>
      <c r="D418" s="61">
        <v>8</v>
      </c>
      <c r="E418" s="62">
        <v>2E-3</v>
      </c>
    </row>
    <row r="419" spans="2:5" ht="15" customHeight="1">
      <c r="B419" s="125"/>
      <c r="C419" s="60" t="s">
        <v>144</v>
      </c>
      <c r="D419" s="61">
        <v>3</v>
      </c>
      <c r="E419" s="62">
        <v>1E-3</v>
      </c>
    </row>
    <row r="420" spans="2:5" ht="15" customHeight="1">
      <c r="B420" s="125"/>
      <c r="C420" s="60" t="s">
        <v>152</v>
      </c>
      <c r="D420" s="61">
        <v>1</v>
      </c>
      <c r="E420" s="62">
        <v>0</v>
      </c>
    </row>
    <row r="421" spans="2:5" ht="15" customHeight="1">
      <c r="B421" s="126"/>
      <c r="C421" s="91" t="s">
        <v>29</v>
      </c>
      <c r="D421" s="65">
        <v>16</v>
      </c>
      <c r="E421" s="66">
        <v>4.0000000000000001E-3</v>
      </c>
    </row>
    <row r="422" spans="2:5" ht="15" customHeight="1">
      <c r="B422" s="124" t="s">
        <v>64</v>
      </c>
      <c r="C422" s="60" t="s">
        <v>139</v>
      </c>
      <c r="D422" s="61">
        <v>3</v>
      </c>
      <c r="E422" s="62">
        <v>1E-3</v>
      </c>
    </row>
    <row r="423" spans="2:5" ht="15" customHeight="1">
      <c r="B423" s="125"/>
      <c r="C423" s="60" t="s">
        <v>140</v>
      </c>
      <c r="D423" s="61">
        <v>3</v>
      </c>
      <c r="E423" s="62">
        <v>1E-3</v>
      </c>
    </row>
    <row r="424" spans="2:5" ht="15" customHeight="1">
      <c r="B424" s="125"/>
      <c r="C424" s="60" t="s">
        <v>142</v>
      </c>
      <c r="D424" s="61">
        <v>26</v>
      </c>
      <c r="E424" s="62">
        <v>6.0000000000000001E-3</v>
      </c>
    </row>
    <row r="425" spans="2:5" ht="15" customHeight="1">
      <c r="B425" s="125"/>
      <c r="C425" s="60" t="s">
        <v>225</v>
      </c>
      <c r="D425" s="61">
        <v>2</v>
      </c>
      <c r="E425" s="62">
        <v>0</v>
      </c>
    </row>
    <row r="426" spans="2:5" ht="15" customHeight="1">
      <c r="B426" s="125"/>
      <c r="C426" s="60" t="s">
        <v>144</v>
      </c>
      <c r="D426" s="61">
        <v>9</v>
      </c>
      <c r="E426" s="62">
        <v>2E-3</v>
      </c>
    </row>
    <row r="427" spans="2:5" ht="15" customHeight="1">
      <c r="B427" s="126"/>
      <c r="C427" s="91" t="s">
        <v>29</v>
      </c>
      <c r="D427" s="65">
        <v>43</v>
      </c>
      <c r="E427" s="66">
        <v>8.9999999999999993E-3</v>
      </c>
    </row>
    <row r="428" spans="2:5" ht="15" customHeight="1">
      <c r="B428" s="124" t="s">
        <v>46</v>
      </c>
      <c r="C428" s="60" t="s">
        <v>137</v>
      </c>
      <c r="D428" s="61">
        <v>22</v>
      </c>
      <c r="E428" s="62">
        <v>5.0000000000000001E-3</v>
      </c>
    </row>
    <row r="429" spans="2:5" ht="15" customHeight="1">
      <c r="B429" s="125"/>
      <c r="C429" s="60" t="s">
        <v>138</v>
      </c>
      <c r="D429" s="61">
        <v>4</v>
      </c>
      <c r="E429" s="62">
        <v>1E-3</v>
      </c>
    </row>
    <row r="430" spans="2:5" ht="15" customHeight="1">
      <c r="B430" s="125"/>
      <c r="C430" s="60" t="s">
        <v>139</v>
      </c>
      <c r="D430" s="61">
        <v>71</v>
      </c>
      <c r="E430" s="62">
        <v>1.6E-2</v>
      </c>
    </row>
    <row r="431" spans="2:5" ht="15" customHeight="1">
      <c r="B431" s="125"/>
      <c r="C431" s="60" t="s">
        <v>140</v>
      </c>
      <c r="D431" s="61">
        <v>51</v>
      </c>
      <c r="E431" s="62">
        <v>1.0999999999999999E-2</v>
      </c>
    </row>
    <row r="432" spans="2:5" ht="15" customHeight="1">
      <c r="B432" s="125"/>
      <c r="C432" s="60" t="s">
        <v>141</v>
      </c>
      <c r="D432" s="61">
        <v>23</v>
      </c>
      <c r="E432" s="62">
        <v>5.0000000000000001E-3</v>
      </c>
    </row>
    <row r="433" spans="2:5" ht="15" customHeight="1">
      <c r="B433" s="125"/>
      <c r="C433" s="60" t="s">
        <v>142</v>
      </c>
      <c r="D433" s="61">
        <v>149</v>
      </c>
      <c r="E433" s="62">
        <v>3.3000000000000002E-2</v>
      </c>
    </row>
    <row r="434" spans="2:5" ht="15" customHeight="1">
      <c r="B434" s="125"/>
      <c r="C434" s="60" t="s">
        <v>143</v>
      </c>
      <c r="D434" s="61">
        <v>1</v>
      </c>
      <c r="E434" s="62">
        <v>0</v>
      </c>
    </row>
    <row r="435" spans="2:5" ht="15" customHeight="1">
      <c r="B435" s="125"/>
      <c r="C435" s="60" t="s">
        <v>144</v>
      </c>
      <c r="D435" s="61">
        <v>147</v>
      </c>
      <c r="E435" s="62">
        <v>3.2000000000000001E-2</v>
      </c>
    </row>
    <row r="436" spans="2:5" ht="15" customHeight="1">
      <c r="B436" s="125"/>
      <c r="C436" s="60" t="s">
        <v>145</v>
      </c>
      <c r="D436" s="61">
        <v>9</v>
      </c>
      <c r="E436" s="62">
        <v>2E-3</v>
      </c>
    </row>
    <row r="437" spans="2:5" ht="15" customHeight="1">
      <c r="B437" s="125"/>
      <c r="C437" s="60" t="s">
        <v>146</v>
      </c>
      <c r="D437" s="61">
        <v>100</v>
      </c>
      <c r="E437" s="62">
        <v>2.1999999999999999E-2</v>
      </c>
    </row>
    <row r="438" spans="2:5" ht="15" customHeight="1">
      <c r="B438" s="125"/>
      <c r="C438" s="60" t="s">
        <v>152</v>
      </c>
      <c r="D438" s="61">
        <v>5</v>
      </c>
      <c r="E438" s="62">
        <v>1E-3</v>
      </c>
    </row>
    <row r="439" spans="2:5" ht="15" customHeight="1">
      <c r="B439" s="125"/>
      <c r="C439" s="60" t="s">
        <v>147</v>
      </c>
      <c r="D439" s="61">
        <v>14</v>
      </c>
      <c r="E439" s="62">
        <v>3.0000000000000001E-3</v>
      </c>
    </row>
    <row r="440" spans="2:5" ht="15" customHeight="1">
      <c r="B440" s="125"/>
      <c r="C440" s="60" t="s">
        <v>153</v>
      </c>
      <c r="D440" s="61">
        <v>2</v>
      </c>
      <c r="E440" s="62">
        <v>0</v>
      </c>
    </row>
    <row r="441" spans="2:5" ht="15" customHeight="1">
      <c r="B441" s="125"/>
      <c r="C441" s="60" t="s">
        <v>148</v>
      </c>
      <c r="D441" s="61">
        <v>28</v>
      </c>
      <c r="E441" s="62">
        <v>6.0000000000000001E-3</v>
      </c>
    </row>
    <row r="442" spans="2:5" ht="15" customHeight="1">
      <c r="B442" s="125"/>
      <c r="C442" s="60" t="s">
        <v>149</v>
      </c>
      <c r="D442" s="61">
        <v>5</v>
      </c>
      <c r="E442" s="62">
        <v>1E-3</v>
      </c>
    </row>
    <row r="443" spans="2:5" ht="15" customHeight="1">
      <c r="B443" s="125"/>
      <c r="C443" s="60" t="s">
        <v>150</v>
      </c>
      <c r="D443" s="61">
        <v>6</v>
      </c>
      <c r="E443" s="62">
        <v>1E-3</v>
      </c>
    </row>
    <row r="444" spans="2:5" ht="15" customHeight="1">
      <c r="B444" s="125"/>
      <c r="C444" s="60" t="s">
        <v>151</v>
      </c>
      <c r="D444" s="61">
        <v>22</v>
      </c>
      <c r="E444" s="62">
        <v>5.0000000000000001E-3</v>
      </c>
    </row>
    <row r="445" spans="2:5" ht="15" customHeight="1">
      <c r="B445" s="126"/>
      <c r="C445" s="91" t="s">
        <v>29</v>
      </c>
      <c r="D445" s="65">
        <v>659</v>
      </c>
      <c r="E445" s="66">
        <v>0.14499999999999999</v>
      </c>
    </row>
    <row r="446" spans="2:5" ht="15" customHeight="1">
      <c r="B446" s="124" t="s">
        <v>79</v>
      </c>
      <c r="C446" s="60" t="s">
        <v>137</v>
      </c>
      <c r="D446" s="61">
        <v>6</v>
      </c>
      <c r="E446" s="62">
        <v>1E-3</v>
      </c>
    </row>
    <row r="447" spans="2:5" ht="15" customHeight="1">
      <c r="B447" s="125"/>
      <c r="C447" s="60" t="s">
        <v>138</v>
      </c>
      <c r="D447" s="61">
        <v>1</v>
      </c>
      <c r="E447" s="62">
        <v>0</v>
      </c>
    </row>
    <row r="448" spans="2:5" ht="15" customHeight="1">
      <c r="B448" s="125"/>
      <c r="C448" s="60" t="s">
        <v>139</v>
      </c>
      <c r="D448" s="61">
        <v>3</v>
      </c>
      <c r="E448" s="62">
        <v>1E-3</v>
      </c>
    </row>
    <row r="449" spans="2:5" ht="15" customHeight="1">
      <c r="B449" s="125"/>
      <c r="C449" s="60" t="s">
        <v>140</v>
      </c>
      <c r="D449" s="61">
        <v>7</v>
      </c>
      <c r="E449" s="62">
        <v>2E-3</v>
      </c>
    </row>
    <row r="450" spans="2:5" ht="15" customHeight="1">
      <c r="B450" s="125"/>
      <c r="C450" s="60" t="s">
        <v>141</v>
      </c>
      <c r="D450" s="61">
        <v>1</v>
      </c>
      <c r="E450" s="62">
        <v>0</v>
      </c>
    </row>
    <row r="451" spans="2:5" ht="15" customHeight="1">
      <c r="B451" s="125"/>
      <c r="C451" s="60" t="s">
        <v>142</v>
      </c>
      <c r="D451" s="61">
        <v>3</v>
      </c>
      <c r="E451" s="62">
        <v>1E-3</v>
      </c>
    </row>
    <row r="452" spans="2:5" ht="15" customHeight="1">
      <c r="B452" s="125"/>
      <c r="C452" s="60" t="s">
        <v>225</v>
      </c>
      <c r="D452" s="61">
        <v>1</v>
      </c>
      <c r="E452" s="62">
        <v>0</v>
      </c>
    </row>
    <row r="453" spans="2:5" ht="15" customHeight="1">
      <c r="B453" s="125"/>
      <c r="C453" s="60" t="s">
        <v>144</v>
      </c>
      <c r="D453" s="61">
        <v>2</v>
      </c>
      <c r="E453" s="62">
        <v>0</v>
      </c>
    </row>
    <row r="454" spans="2:5" ht="15" customHeight="1">
      <c r="B454" s="125"/>
      <c r="C454" s="60" t="s">
        <v>146</v>
      </c>
      <c r="D454" s="61">
        <v>1</v>
      </c>
      <c r="E454" s="62">
        <v>0</v>
      </c>
    </row>
    <row r="455" spans="2:5" ht="15" customHeight="1">
      <c r="B455" s="125"/>
      <c r="C455" s="60" t="s">
        <v>147</v>
      </c>
      <c r="D455" s="61">
        <v>3</v>
      </c>
      <c r="E455" s="62">
        <v>1E-3</v>
      </c>
    </row>
    <row r="456" spans="2:5" ht="15" customHeight="1">
      <c r="B456" s="125"/>
      <c r="C456" s="60" t="s">
        <v>149</v>
      </c>
      <c r="D456" s="61">
        <v>1</v>
      </c>
      <c r="E456" s="62">
        <v>0</v>
      </c>
    </row>
    <row r="457" spans="2:5" ht="15" customHeight="1">
      <c r="B457" s="125"/>
      <c r="C457" s="60" t="s">
        <v>150</v>
      </c>
      <c r="D457" s="61">
        <v>2</v>
      </c>
      <c r="E457" s="62">
        <v>0</v>
      </c>
    </row>
    <row r="458" spans="2:5" ht="15" customHeight="1">
      <c r="B458" s="125"/>
      <c r="C458" s="60" t="s">
        <v>151</v>
      </c>
      <c r="D458" s="61">
        <v>2</v>
      </c>
      <c r="E458" s="62">
        <v>0</v>
      </c>
    </row>
    <row r="459" spans="2:5" ht="15" customHeight="1">
      <c r="B459" s="126"/>
      <c r="C459" s="91" t="s">
        <v>29</v>
      </c>
      <c r="D459" s="65">
        <v>33</v>
      </c>
      <c r="E459" s="66">
        <v>7.0000000000000001E-3</v>
      </c>
    </row>
    <row r="460" spans="2:5" ht="15" customHeight="1">
      <c r="B460" s="124" t="s">
        <v>70</v>
      </c>
      <c r="C460" s="60" t="s">
        <v>137</v>
      </c>
      <c r="D460" s="61">
        <v>1</v>
      </c>
      <c r="E460" s="62">
        <v>0</v>
      </c>
    </row>
    <row r="461" spans="2:5" ht="15" customHeight="1">
      <c r="B461" s="125"/>
      <c r="C461" s="60" t="s">
        <v>138</v>
      </c>
      <c r="D461" s="61">
        <v>1</v>
      </c>
      <c r="E461" s="62">
        <v>0</v>
      </c>
    </row>
    <row r="462" spans="2:5" ht="15" customHeight="1">
      <c r="B462" s="125"/>
      <c r="C462" s="60" t="s">
        <v>139</v>
      </c>
      <c r="D462" s="61">
        <v>6</v>
      </c>
      <c r="E462" s="62">
        <v>1E-3</v>
      </c>
    </row>
    <row r="463" spans="2:5" ht="15" customHeight="1">
      <c r="B463" s="125"/>
      <c r="C463" s="60" t="s">
        <v>140</v>
      </c>
      <c r="D463" s="61">
        <v>6</v>
      </c>
      <c r="E463" s="62">
        <v>1E-3</v>
      </c>
    </row>
    <row r="464" spans="2:5" ht="15" customHeight="1">
      <c r="B464" s="125"/>
      <c r="C464" s="60" t="s">
        <v>141</v>
      </c>
      <c r="D464" s="61">
        <v>3</v>
      </c>
      <c r="E464" s="62">
        <v>1E-3</v>
      </c>
    </row>
    <row r="465" spans="2:5" ht="15" customHeight="1">
      <c r="B465" s="125"/>
      <c r="C465" s="60" t="s">
        <v>142</v>
      </c>
      <c r="D465" s="61">
        <v>7</v>
      </c>
      <c r="E465" s="62">
        <v>2E-3</v>
      </c>
    </row>
    <row r="466" spans="2:5" ht="15" customHeight="1">
      <c r="B466" s="125"/>
      <c r="C466" s="60" t="s">
        <v>144</v>
      </c>
      <c r="D466" s="61">
        <v>17</v>
      </c>
      <c r="E466" s="62">
        <v>4.0000000000000001E-3</v>
      </c>
    </row>
    <row r="467" spans="2:5" ht="15" customHeight="1">
      <c r="B467" s="125"/>
      <c r="C467" s="60" t="s">
        <v>147</v>
      </c>
      <c r="D467" s="61">
        <v>1</v>
      </c>
      <c r="E467" s="62">
        <v>0</v>
      </c>
    </row>
    <row r="468" spans="2:5" ht="15" customHeight="1">
      <c r="B468" s="125"/>
      <c r="C468" s="60" t="s">
        <v>148</v>
      </c>
      <c r="D468" s="61">
        <v>1</v>
      </c>
      <c r="E468" s="62">
        <v>0</v>
      </c>
    </row>
    <row r="469" spans="2:5" ht="15" customHeight="1">
      <c r="B469" s="125"/>
      <c r="C469" s="60" t="s">
        <v>149</v>
      </c>
      <c r="D469" s="61">
        <v>1</v>
      </c>
      <c r="E469" s="62">
        <v>0</v>
      </c>
    </row>
    <row r="470" spans="2:5" ht="15" customHeight="1">
      <c r="B470" s="125"/>
      <c r="C470" s="60" t="s">
        <v>150</v>
      </c>
      <c r="D470" s="61">
        <v>2</v>
      </c>
      <c r="E470" s="62">
        <v>0</v>
      </c>
    </row>
    <row r="471" spans="2:5" ht="15" customHeight="1">
      <c r="B471" s="125"/>
      <c r="C471" s="60" t="s">
        <v>151</v>
      </c>
      <c r="D471" s="61">
        <v>5</v>
      </c>
      <c r="E471" s="62">
        <v>1E-3</v>
      </c>
    </row>
    <row r="472" spans="2:5" ht="15" customHeight="1">
      <c r="B472" s="126"/>
      <c r="C472" s="91" t="s">
        <v>29</v>
      </c>
      <c r="D472" s="65">
        <v>51</v>
      </c>
      <c r="E472" s="66">
        <v>1.0999999999999999E-2</v>
      </c>
    </row>
    <row r="473" spans="2:5" ht="15" customHeight="1">
      <c r="B473" s="124" t="s">
        <v>80</v>
      </c>
      <c r="C473" s="60" t="s">
        <v>137</v>
      </c>
      <c r="D473" s="61">
        <v>4</v>
      </c>
      <c r="E473" s="62">
        <v>1E-3</v>
      </c>
    </row>
    <row r="474" spans="2:5" ht="15" customHeight="1">
      <c r="B474" s="125"/>
      <c r="C474" s="60" t="s">
        <v>139</v>
      </c>
      <c r="D474" s="61">
        <v>5</v>
      </c>
      <c r="E474" s="62">
        <v>1E-3</v>
      </c>
    </row>
    <row r="475" spans="2:5" ht="15" customHeight="1">
      <c r="B475" s="125"/>
      <c r="C475" s="60" t="s">
        <v>140</v>
      </c>
      <c r="D475" s="61">
        <v>6</v>
      </c>
      <c r="E475" s="62">
        <v>1E-3</v>
      </c>
    </row>
    <row r="476" spans="2:5" ht="15" customHeight="1">
      <c r="B476" s="125"/>
      <c r="C476" s="60" t="s">
        <v>142</v>
      </c>
      <c r="D476" s="61">
        <v>9</v>
      </c>
      <c r="E476" s="62">
        <v>2E-3</v>
      </c>
    </row>
    <row r="477" spans="2:5" ht="15" customHeight="1">
      <c r="B477" s="125"/>
      <c r="C477" s="60" t="s">
        <v>143</v>
      </c>
      <c r="D477" s="61">
        <v>2</v>
      </c>
      <c r="E477" s="62">
        <v>0</v>
      </c>
    </row>
    <row r="478" spans="2:5" ht="15" customHeight="1">
      <c r="B478" s="125"/>
      <c r="C478" s="60" t="s">
        <v>144</v>
      </c>
      <c r="D478" s="61">
        <v>5</v>
      </c>
      <c r="E478" s="62">
        <v>1E-3</v>
      </c>
    </row>
    <row r="479" spans="2:5" ht="15" customHeight="1">
      <c r="B479" s="125"/>
      <c r="C479" s="60" t="s">
        <v>146</v>
      </c>
      <c r="D479" s="61">
        <v>1</v>
      </c>
      <c r="E479" s="62">
        <v>0</v>
      </c>
    </row>
    <row r="480" spans="2:5" ht="15" customHeight="1">
      <c r="B480" s="125"/>
      <c r="C480" s="60" t="s">
        <v>151</v>
      </c>
      <c r="D480" s="61">
        <v>2</v>
      </c>
      <c r="E480" s="62">
        <v>0</v>
      </c>
    </row>
    <row r="481" spans="2:5" ht="15" customHeight="1">
      <c r="B481" s="126"/>
      <c r="C481" s="91" t="s">
        <v>29</v>
      </c>
      <c r="D481" s="65">
        <v>34</v>
      </c>
      <c r="E481" s="66">
        <v>8.0000000000000002E-3</v>
      </c>
    </row>
    <row r="482" spans="2:5" ht="15" customHeight="1">
      <c r="B482" s="124" t="s">
        <v>69</v>
      </c>
      <c r="C482" s="60" t="s">
        <v>137</v>
      </c>
      <c r="D482" s="61">
        <v>4</v>
      </c>
      <c r="E482" s="62">
        <v>1E-3</v>
      </c>
    </row>
    <row r="483" spans="2:5" ht="15" customHeight="1">
      <c r="B483" s="125"/>
      <c r="C483" s="60" t="s">
        <v>139</v>
      </c>
      <c r="D483" s="61">
        <v>9</v>
      </c>
      <c r="E483" s="62">
        <v>2E-3</v>
      </c>
    </row>
    <row r="484" spans="2:5" ht="15" customHeight="1">
      <c r="B484" s="125"/>
      <c r="C484" s="60" t="s">
        <v>140</v>
      </c>
      <c r="D484" s="61">
        <v>3</v>
      </c>
      <c r="E484" s="62">
        <v>1E-3</v>
      </c>
    </row>
    <row r="485" spans="2:5" ht="15" customHeight="1">
      <c r="B485" s="125"/>
      <c r="C485" s="60" t="s">
        <v>141</v>
      </c>
      <c r="D485" s="61">
        <v>2</v>
      </c>
      <c r="E485" s="62">
        <v>0</v>
      </c>
    </row>
    <row r="486" spans="2:5" ht="15" customHeight="1">
      <c r="B486" s="125"/>
      <c r="C486" s="60" t="s">
        <v>142</v>
      </c>
      <c r="D486" s="61">
        <v>6</v>
      </c>
      <c r="E486" s="62">
        <v>1E-3</v>
      </c>
    </row>
    <row r="487" spans="2:5" ht="15" customHeight="1">
      <c r="B487" s="125"/>
      <c r="C487" s="60" t="s">
        <v>143</v>
      </c>
      <c r="D487" s="61">
        <v>2</v>
      </c>
      <c r="E487" s="62">
        <v>0</v>
      </c>
    </row>
    <row r="488" spans="2:5" ht="15" customHeight="1">
      <c r="B488" s="125"/>
      <c r="C488" s="60" t="s">
        <v>144</v>
      </c>
      <c r="D488" s="61">
        <v>8</v>
      </c>
      <c r="E488" s="62">
        <v>2E-3</v>
      </c>
    </row>
    <row r="489" spans="2:5" ht="15" customHeight="1">
      <c r="B489" s="125"/>
      <c r="C489" s="60" t="s">
        <v>146</v>
      </c>
      <c r="D489" s="61">
        <v>1</v>
      </c>
      <c r="E489" s="62">
        <v>0</v>
      </c>
    </row>
    <row r="490" spans="2:5" ht="15" customHeight="1">
      <c r="B490" s="125"/>
      <c r="C490" s="60" t="s">
        <v>147</v>
      </c>
      <c r="D490" s="61">
        <v>1</v>
      </c>
      <c r="E490" s="62">
        <v>0</v>
      </c>
    </row>
    <row r="491" spans="2:5" ht="15" customHeight="1">
      <c r="B491" s="125"/>
      <c r="C491" s="60" t="s">
        <v>148</v>
      </c>
      <c r="D491" s="61">
        <v>1</v>
      </c>
      <c r="E491" s="62">
        <v>0</v>
      </c>
    </row>
    <row r="492" spans="2:5" ht="15" customHeight="1">
      <c r="B492" s="125"/>
      <c r="C492" s="60" t="s">
        <v>149</v>
      </c>
      <c r="D492" s="61">
        <v>2</v>
      </c>
      <c r="E492" s="62">
        <v>0</v>
      </c>
    </row>
    <row r="493" spans="2:5" ht="15" customHeight="1">
      <c r="B493" s="125"/>
      <c r="C493" s="60" t="s">
        <v>150</v>
      </c>
      <c r="D493" s="61">
        <v>6</v>
      </c>
      <c r="E493" s="62">
        <v>1E-3</v>
      </c>
    </row>
    <row r="494" spans="2:5" ht="15" customHeight="1">
      <c r="B494" s="125"/>
      <c r="C494" s="60" t="s">
        <v>151</v>
      </c>
      <c r="D494" s="61">
        <v>5</v>
      </c>
      <c r="E494" s="62">
        <v>1E-3</v>
      </c>
    </row>
    <row r="495" spans="2:5" ht="15" customHeight="1">
      <c r="B495" s="126"/>
      <c r="C495" s="91" t="s">
        <v>29</v>
      </c>
      <c r="D495" s="65">
        <v>50</v>
      </c>
      <c r="E495" s="66">
        <v>1.0999999999999999E-2</v>
      </c>
    </row>
    <row r="496" spans="2:5" ht="15" customHeight="1">
      <c r="B496" s="124" t="s">
        <v>77</v>
      </c>
      <c r="C496" s="60" t="s">
        <v>137</v>
      </c>
      <c r="D496" s="61">
        <v>1</v>
      </c>
      <c r="E496" s="62">
        <v>0</v>
      </c>
    </row>
    <row r="497" spans="2:5" ht="15" customHeight="1">
      <c r="B497" s="125"/>
      <c r="C497" s="60" t="s">
        <v>139</v>
      </c>
      <c r="D497" s="61">
        <v>7</v>
      </c>
      <c r="E497" s="62">
        <v>2E-3</v>
      </c>
    </row>
    <row r="498" spans="2:5" ht="15" customHeight="1">
      <c r="B498" s="125"/>
      <c r="C498" s="60" t="s">
        <v>140</v>
      </c>
      <c r="D498" s="61">
        <v>10</v>
      </c>
      <c r="E498" s="62">
        <v>2E-3</v>
      </c>
    </row>
    <row r="499" spans="2:5" ht="15" customHeight="1">
      <c r="B499" s="125"/>
      <c r="C499" s="60" t="s">
        <v>141</v>
      </c>
      <c r="D499" s="61">
        <v>1</v>
      </c>
      <c r="E499" s="62">
        <v>0</v>
      </c>
    </row>
    <row r="500" spans="2:5" ht="15" customHeight="1">
      <c r="B500" s="125"/>
      <c r="C500" s="60" t="s">
        <v>142</v>
      </c>
      <c r="D500" s="61">
        <v>8</v>
      </c>
      <c r="E500" s="62">
        <v>2E-3</v>
      </c>
    </row>
    <row r="501" spans="2:5" ht="15" customHeight="1">
      <c r="B501" s="125"/>
      <c r="C501" s="60" t="s">
        <v>143</v>
      </c>
      <c r="D501" s="61">
        <v>1</v>
      </c>
      <c r="E501" s="62">
        <v>0</v>
      </c>
    </row>
    <row r="502" spans="2:5" ht="15" customHeight="1">
      <c r="B502" s="125"/>
      <c r="C502" s="60" t="s">
        <v>144</v>
      </c>
      <c r="D502" s="61">
        <v>5</v>
      </c>
      <c r="E502" s="62">
        <v>1E-3</v>
      </c>
    </row>
    <row r="503" spans="2:5" ht="15" customHeight="1">
      <c r="B503" s="125"/>
      <c r="C503" s="60" t="s">
        <v>145</v>
      </c>
      <c r="D503" s="61">
        <v>5</v>
      </c>
      <c r="E503" s="62">
        <v>1E-3</v>
      </c>
    </row>
    <row r="504" spans="2:5" ht="15" customHeight="1">
      <c r="B504" s="125"/>
      <c r="C504" s="60" t="s">
        <v>147</v>
      </c>
      <c r="D504" s="61">
        <v>1</v>
      </c>
      <c r="E504" s="62">
        <v>0</v>
      </c>
    </row>
    <row r="505" spans="2:5" ht="15" customHeight="1">
      <c r="B505" s="125"/>
      <c r="C505" s="60" t="s">
        <v>153</v>
      </c>
      <c r="D505" s="61">
        <v>1</v>
      </c>
      <c r="E505" s="62">
        <v>0</v>
      </c>
    </row>
    <row r="506" spans="2:5" ht="15" customHeight="1">
      <c r="B506" s="125"/>
      <c r="C506" s="60" t="s">
        <v>151</v>
      </c>
      <c r="D506" s="61">
        <v>2</v>
      </c>
      <c r="E506" s="62">
        <v>0</v>
      </c>
    </row>
    <row r="507" spans="2:5" ht="15" customHeight="1">
      <c r="B507" s="126"/>
      <c r="C507" s="91" t="s">
        <v>29</v>
      </c>
      <c r="D507" s="65">
        <v>42</v>
      </c>
      <c r="E507" s="66">
        <v>8.9999999999999993E-3</v>
      </c>
    </row>
    <row r="508" spans="2:5" ht="15" customHeight="1">
      <c r="B508" s="124" t="s">
        <v>83</v>
      </c>
      <c r="C508" s="60" t="s">
        <v>137</v>
      </c>
      <c r="D508" s="61">
        <v>1</v>
      </c>
      <c r="E508" s="62">
        <v>0</v>
      </c>
    </row>
    <row r="509" spans="2:5" ht="15" customHeight="1">
      <c r="B509" s="125"/>
      <c r="C509" s="60" t="s">
        <v>139</v>
      </c>
      <c r="D509" s="61">
        <v>5</v>
      </c>
      <c r="E509" s="62">
        <v>1E-3</v>
      </c>
    </row>
    <row r="510" spans="2:5" ht="15" customHeight="1">
      <c r="B510" s="125"/>
      <c r="C510" s="60" t="s">
        <v>140</v>
      </c>
      <c r="D510" s="61">
        <v>3</v>
      </c>
      <c r="E510" s="62">
        <v>1E-3</v>
      </c>
    </row>
    <row r="511" spans="2:5" ht="15" customHeight="1">
      <c r="B511" s="125"/>
      <c r="C511" s="60" t="s">
        <v>142</v>
      </c>
      <c r="D511" s="61">
        <v>4</v>
      </c>
      <c r="E511" s="62">
        <v>1E-3</v>
      </c>
    </row>
    <row r="512" spans="2:5" ht="15" customHeight="1">
      <c r="B512" s="125"/>
      <c r="C512" s="60" t="s">
        <v>150</v>
      </c>
      <c r="D512" s="61">
        <v>1</v>
      </c>
      <c r="E512" s="62">
        <v>0</v>
      </c>
    </row>
    <row r="513" spans="2:5" ht="15" customHeight="1">
      <c r="B513" s="126"/>
      <c r="C513" s="91" t="s">
        <v>29</v>
      </c>
      <c r="D513" s="65">
        <v>14</v>
      </c>
      <c r="E513" s="66">
        <v>3.0000000000000001E-3</v>
      </c>
    </row>
    <row r="514" spans="2:5" ht="15" customHeight="1">
      <c r="B514" s="124" t="s">
        <v>71</v>
      </c>
      <c r="C514" s="60" t="s">
        <v>137</v>
      </c>
      <c r="D514" s="61">
        <v>1</v>
      </c>
      <c r="E514" s="62">
        <v>0</v>
      </c>
    </row>
    <row r="515" spans="2:5" ht="15" customHeight="1">
      <c r="B515" s="125"/>
      <c r="C515" s="60" t="s">
        <v>139</v>
      </c>
      <c r="D515" s="61">
        <v>5</v>
      </c>
      <c r="E515" s="62">
        <v>1E-3</v>
      </c>
    </row>
    <row r="516" spans="2:5" ht="15" customHeight="1">
      <c r="B516" s="125"/>
      <c r="C516" s="60" t="s">
        <v>140</v>
      </c>
      <c r="D516" s="61">
        <v>6</v>
      </c>
      <c r="E516" s="62">
        <v>1E-3</v>
      </c>
    </row>
    <row r="517" spans="2:5" ht="15" customHeight="1">
      <c r="B517" s="125"/>
      <c r="C517" s="60" t="s">
        <v>141</v>
      </c>
      <c r="D517" s="61">
        <v>2</v>
      </c>
      <c r="E517" s="62">
        <v>0</v>
      </c>
    </row>
    <row r="518" spans="2:5" ht="15" customHeight="1">
      <c r="B518" s="125"/>
      <c r="C518" s="60" t="s">
        <v>142</v>
      </c>
      <c r="D518" s="61">
        <v>18</v>
      </c>
      <c r="E518" s="62">
        <v>4.0000000000000001E-3</v>
      </c>
    </row>
    <row r="519" spans="2:5" ht="15" customHeight="1">
      <c r="B519" s="125"/>
      <c r="C519" s="60" t="s">
        <v>225</v>
      </c>
      <c r="D519" s="61">
        <v>1</v>
      </c>
      <c r="E519" s="62">
        <v>0</v>
      </c>
    </row>
    <row r="520" spans="2:5" ht="15" customHeight="1">
      <c r="B520" s="125"/>
      <c r="C520" s="60" t="s">
        <v>144</v>
      </c>
      <c r="D520" s="61">
        <v>3</v>
      </c>
      <c r="E520" s="62">
        <v>1E-3</v>
      </c>
    </row>
    <row r="521" spans="2:5" ht="15" customHeight="1">
      <c r="B521" s="125"/>
      <c r="C521" s="60" t="s">
        <v>152</v>
      </c>
      <c r="D521" s="61">
        <v>1</v>
      </c>
      <c r="E521" s="62">
        <v>0</v>
      </c>
    </row>
    <row r="522" spans="2:5" ht="15" customHeight="1">
      <c r="B522" s="125"/>
      <c r="C522" s="60" t="s">
        <v>147</v>
      </c>
      <c r="D522" s="61">
        <v>1</v>
      </c>
      <c r="E522" s="62">
        <v>0</v>
      </c>
    </row>
    <row r="523" spans="2:5" ht="15" customHeight="1">
      <c r="B523" s="125"/>
      <c r="C523" s="60" t="s">
        <v>148</v>
      </c>
      <c r="D523" s="61">
        <v>1</v>
      </c>
      <c r="E523" s="62">
        <v>0</v>
      </c>
    </row>
    <row r="524" spans="2:5" ht="15" customHeight="1">
      <c r="B524" s="125"/>
      <c r="C524" s="60" t="s">
        <v>151</v>
      </c>
      <c r="D524" s="61">
        <v>4</v>
      </c>
      <c r="E524" s="62">
        <v>1E-3</v>
      </c>
    </row>
    <row r="525" spans="2:5" ht="15" customHeight="1">
      <c r="B525" s="126"/>
      <c r="C525" s="91" t="s">
        <v>29</v>
      </c>
      <c r="D525" s="65">
        <v>43</v>
      </c>
      <c r="E525" s="66">
        <v>8.9999999999999993E-3</v>
      </c>
    </row>
    <row r="526" spans="2:5" ht="15" customHeight="1">
      <c r="B526" s="124" t="s">
        <v>72</v>
      </c>
      <c r="C526" s="60" t="s">
        <v>137</v>
      </c>
      <c r="D526" s="61">
        <v>3</v>
      </c>
      <c r="E526" s="62">
        <v>1E-3</v>
      </c>
    </row>
    <row r="527" spans="2:5" ht="15" customHeight="1">
      <c r="B527" s="125"/>
      <c r="C527" s="60" t="s">
        <v>138</v>
      </c>
      <c r="D527" s="61">
        <v>1</v>
      </c>
      <c r="E527" s="62">
        <v>0</v>
      </c>
    </row>
    <row r="528" spans="2:5" ht="15" customHeight="1">
      <c r="B528" s="125"/>
      <c r="C528" s="60" t="s">
        <v>139</v>
      </c>
      <c r="D528" s="61">
        <v>7</v>
      </c>
      <c r="E528" s="62">
        <v>2E-3</v>
      </c>
    </row>
    <row r="529" spans="2:5" ht="15" customHeight="1">
      <c r="B529" s="125"/>
      <c r="C529" s="60" t="s">
        <v>140</v>
      </c>
      <c r="D529" s="61">
        <v>6</v>
      </c>
      <c r="E529" s="62">
        <v>1E-3</v>
      </c>
    </row>
    <row r="530" spans="2:5" ht="15" customHeight="1">
      <c r="B530" s="125"/>
      <c r="C530" s="60" t="s">
        <v>141</v>
      </c>
      <c r="D530" s="61">
        <v>1</v>
      </c>
      <c r="E530" s="62">
        <v>0</v>
      </c>
    </row>
    <row r="531" spans="2:5" ht="15" customHeight="1">
      <c r="B531" s="125"/>
      <c r="C531" s="60" t="s">
        <v>142</v>
      </c>
      <c r="D531" s="61">
        <v>7</v>
      </c>
      <c r="E531" s="62">
        <v>2E-3</v>
      </c>
    </row>
    <row r="532" spans="2:5" ht="15" customHeight="1">
      <c r="B532" s="125"/>
      <c r="C532" s="60" t="s">
        <v>144</v>
      </c>
      <c r="D532" s="61">
        <v>10</v>
      </c>
      <c r="E532" s="62">
        <v>2E-3</v>
      </c>
    </row>
    <row r="533" spans="2:5" ht="15" customHeight="1">
      <c r="B533" s="125"/>
      <c r="C533" s="60" t="s">
        <v>147</v>
      </c>
      <c r="D533" s="61">
        <v>5</v>
      </c>
      <c r="E533" s="62">
        <v>1E-3</v>
      </c>
    </row>
    <row r="534" spans="2:5" ht="15" customHeight="1">
      <c r="B534" s="125"/>
      <c r="C534" s="60" t="s">
        <v>148</v>
      </c>
      <c r="D534" s="61">
        <v>2</v>
      </c>
      <c r="E534" s="62">
        <v>0</v>
      </c>
    </row>
    <row r="535" spans="2:5" ht="15" customHeight="1">
      <c r="B535" s="125"/>
      <c r="C535" s="60" t="s">
        <v>149</v>
      </c>
      <c r="D535" s="61">
        <v>1</v>
      </c>
      <c r="E535" s="62">
        <v>0</v>
      </c>
    </row>
    <row r="536" spans="2:5" ht="15" customHeight="1">
      <c r="B536" s="125"/>
      <c r="C536" s="60" t="s">
        <v>150</v>
      </c>
      <c r="D536" s="61">
        <v>5</v>
      </c>
      <c r="E536" s="62">
        <v>1E-3</v>
      </c>
    </row>
    <row r="537" spans="2:5" ht="15" customHeight="1">
      <c r="B537" s="125"/>
      <c r="C537" s="60" t="s">
        <v>151</v>
      </c>
      <c r="D537" s="61">
        <v>12</v>
      </c>
      <c r="E537" s="62">
        <v>3.0000000000000001E-3</v>
      </c>
    </row>
    <row r="538" spans="2:5" ht="15" customHeight="1">
      <c r="B538" s="126"/>
      <c r="C538" s="91" t="s">
        <v>29</v>
      </c>
      <c r="D538" s="65">
        <v>60</v>
      </c>
      <c r="E538" s="66">
        <v>1.2999999999999999E-2</v>
      </c>
    </row>
    <row r="539" spans="2:5" ht="15" customHeight="1">
      <c r="B539" s="124" t="s">
        <v>76</v>
      </c>
      <c r="C539" s="60" t="s">
        <v>137</v>
      </c>
      <c r="D539" s="61">
        <v>1</v>
      </c>
      <c r="E539" s="62">
        <v>0</v>
      </c>
    </row>
    <row r="540" spans="2:5" ht="15" customHeight="1">
      <c r="B540" s="125"/>
      <c r="C540" s="60" t="s">
        <v>139</v>
      </c>
      <c r="D540" s="61">
        <v>5</v>
      </c>
      <c r="E540" s="62">
        <v>1E-3</v>
      </c>
    </row>
    <row r="541" spans="2:5" ht="15" customHeight="1">
      <c r="B541" s="125"/>
      <c r="C541" s="60" t="s">
        <v>140</v>
      </c>
      <c r="D541" s="61">
        <v>5</v>
      </c>
      <c r="E541" s="62">
        <v>1E-3</v>
      </c>
    </row>
    <row r="542" spans="2:5" ht="15" customHeight="1">
      <c r="B542" s="125"/>
      <c r="C542" s="60" t="s">
        <v>141</v>
      </c>
      <c r="D542" s="61">
        <v>2</v>
      </c>
      <c r="E542" s="62">
        <v>0</v>
      </c>
    </row>
    <row r="543" spans="2:5" ht="15" customHeight="1">
      <c r="B543" s="125"/>
      <c r="C543" s="60" t="s">
        <v>142</v>
      </c>
      <c r="D543" s="61">
        <v>4</v>
      </c>
      <c r="E543" s="62">
        <v>1E-3</v>
      </c>
    </row>
    <row r="544" spans="2:5" ht="15" customHeight="1">
      <c r="B544" s="125"/>
      <c r="C544" s="60" t="s">
        <v>143</v>
      </c>
      <c r="D544" s="61">
        <v>2</v>
      </c>
      <c r="E544" s="62">
        <v>0</v>
      </c>
    </row>
    <row r="545" spans="2:5" ht="15" customHeight="1">
      <c r="B545" s="125"/>
      <c r="C545" s="60" t="s">
        <v>144</v>
      </c>
      <c r="D545" s="61">
        <v>11</v>
      </c>
      <c r="E545" s="62">
        <v>2E-3</v>
      </c>
    </row>
    <row r="546" spans="2:5" ht="15" customHeight="1">
      <c r="B546" s="125"/>
      <c r="C546" s="60" t="s">
        <v>145</v>
      </c>
      <c r="D546" s="61">
        <v>1</v>
      </c>
      <c r="E546" s="62">
        <v>0</v>
      </c>
    </row>
    <row r="547" spans="2:5" ht="15" customHeight="1">
      <c r="B547" s="125"/>
      <c r="C547" s="60" t="s">
        <v>146</v>
      </c>
      <c r="D547" s="61">
        <v>1</v>
      </c>
      <c r="E547" s="62">
        <v>0</v>
      </c>
    </row>
    <row r="548" spans="2:5" ht="15" customHeight="1">
      <c r="B548" s="125"/>
      <c r="C548" s="60" t="s">
        <v>147</v>
      </c>
      <c r="D548" s="61">
        <v>6</v>
      </c>
      <c r="E548" s="62">
        <v>1E-3</v>
      </c>
    </row>
    <row r="549" spans="2:5" ht="15" customHeight="1">
      <c r="B549" s="125"/>
      <c r="C549" s="60" t="s">
        <v>151</v>
      </c>
      <c r="D549" s="61">
        <v>2</v>
      </c>
      <c r="E549" s="62">
        <v>0</v>
      </c>
    </row>
    <row r="550" spans="2:5" ht="15" customHeight="1">
      <c r="B550" s="126"/>
      <c r="C550" s="91" t="s">
        <v>29</v>
      </c>
      <c r="D550" s="65">
        <v>40</v>
      </c>
      <c r="E550" s="66">
        <v>8.9999999999999993E-3</v>
      </c>
    </row>
    <row r="551" spans="2:5" ht="15" customHeight="1">
      <c r="B551" s="124" t="s">
        <v>84</v>
      </c>
      <c r="C551" s="60" t="s">
        <v>138</v>
      </c>
      <c r="D551" s="61">
        <v>1</v>
      </c>
      <c r="E551" s="62">
        <v>0</v>
      </c>
    </row>
    <row r="552" spans="2:5" ht="15" customHeight="1">
      <c r="B552" s="125"/>
      <c r="C552" s="60" t="s">
        <v>139</v>
      </c>
      <c r="D552" s="61">
        <v>1</v>
      </c>
      <c r="E552" s="62">
        <v>0</v>
      </c>
    </row>
    <row r="553" spans="2:5" ht="15" customHeight="1">
      <c r="B553" s="125"/>
      <c r="C553" s="60" t="s">
        <v>140</v>
      </c>
      <c r="D553" s="61">
        <v>1</v>
      </c>
      <c r="E553" s="62">
        <v>0</v>
      </c>
    </row>
    <row r="554" spans="2:5" ht="15" customHeight="1">
      <c r="B554" s="125"/>
      <c r="C554" s="60" t="s">
        <v>141</v>
      </c>
      <c r="D554" s="61">
        <v>2</v>
      </c>
      <c r="E554" s="62">
        <v>0</v>
      </c>
    </row>
    <row r="555" spans="2:5" ht="15" customHeight="1">
      <c r="B555" s="125"/>
      <c r="C555" s="60" t="s">
        <v>144</v>
      </c>
      <c r="D555" s="61">
        <v>4</v>
      </c>
      <c r="E555" s="62">
        <v>1E-3</v>
      </c>
    </row>
    <row r="556" spans="2:5" ht="15" customHeight="1">
      <c r="B556" s="125"/>
      <c r="C556" s="60" t="s">
        <v>147</v>
      </c>
      <c r="D556" s="61">
        <v>2</v>
      </c>
      <c r="E556" s="62">
        <v>0</v>
      </c>
    </row>
    <row r="557" spans="2:5" ht="15" customHeight="1">
      <c r="B557" s="125"/>
      <c r="C557" s="60" t="s">
        <v>150</v>
      </c>
      <c r="D557" s="61">
        <v>1</v>
      </c>
      <c r="E557" s="62">
        <v>0</v>
      </c>
    </row>
    <row r="558" spans="2:5" ht="15" customHeight="1">
      <c r="B558" s="125"/>
      <c r="C558" s="60" t="s">
        <v>151</v>
      </c>
      <c r="D558" s="61">
        <v>2</v>
      </c>
      <c r="E558" s="62">
        <v>0</v>
      </c>
    </row>
    <row r="559" spans="2:5" ht="15" customHeight="1">
      <c r="B559" s="126"/>
      <c r="C559" s="91" t="s">
        <v>29</v>
      </c>
      <c r="D559" s="65">
        <v>14</v>
      </c>
      <c r="E559" s="66">
        <v>3.0000000000000001E-3</v>
      </c>
    </row>
    <row r="560" spans="2:5" ht="15" customHeight="1">
      <c r="B560" s="124" t="s">
        <v>90</v>
      </c>
      <c r="C560" s="60" t="s">
        <v>144</v>
      </c>
      <c r="D560" s="61">
        <v>1</v>
      </c>
      <c r="E560" s="62">
        <v>0</v>
      </c>
    </row>
    <row r="561" spans="2:5" ht="15" customHeight="1">
      <c r="B561" s="125"/>
      <c r="C561" s="60" t="s">
        <v>146</v>
      </c>
      <c r="D561" s="61">
        <v>1</v>
      </c>
      <c r="E561" s="62">
        <v>0</v>
      </c>
    </row>
    <row r="562" spans="2:5" ht="15" customHeight="1">
      <c r="B562" s="125"/>
      <c r="C562" s="60" t="s">
        <v>147</v>
      </c>
      <c r="D562" s="61">
        <v>1</v>
      </c>
      <c r="E562" s="62">
        <v>0</v>
      </c>
    </row>
    <row r="563" spans="2:5" ht="15" customHeight="1">
      <c r="B563" s="126"/>
      <c r="C563" s="91" t="s">
        <v>29</v>
      </c>
      <c r="D563" s="65">
        <v>3</v>
      </c>
      <c r="E563" s="66">
        <v>1E-3</v>
      </c>
    </row>
    <row r="564" spans="2:5" ht="15" customHeight="1">
      <c r="B564" s="124" t="s">
        <v>55</v>
      </c>
      <c r="C564" s="60" t="s">
        <v>137</v>
      </c>
      <c r="D564" s="61">
        <v>6</v>
      </c>
      <c r="E564" s="62">
        <v>1E-3</v>
      </c>
    </row>
    <row r="565" spans="2:5" ht="15" customHeight="1">
      <c r="B565" s="125"/>
      <c r="C565" s="60" t="s">
        <v>138</v>
      </c>
      <c r="D565" s="61">
        <v>1</v>
      </c>
      <c r="E565" s="62">
        <v>0</v>
      </c>
    </row>
    <row r="566" spans="2:5" ht="15" customHeight="1">
      <c r="B566" s="125"/>
      <c r="C566" s="60" t="s">
        <v>139</v>
      </c>
      <c r="D566" s="61">
        <v>6</v>
      </c>
      <c r="E566" s="62">
        <v>1E-3</v>
      </c>
    </row>
    <row r="567" spans="2:5" ht="15" customHeight="1">
      <c r="B567" s="125"/>
      <c r="C567" s="60" t="s">
        <v>140</v>
      </c>
      <c r="D567" s="61">
        <v>18</v>
      </c>
      <c r="E567" s="62">
        <v>4.0000000000000001E-3</v>
      </c>
    </row>
    <row r="568" spans="2:5" ht="15" customHeight="1">
      <c r="B568" s="125"/>
      <c r="C568" s="60" t="s">
        <v>141</v>
      </c>
      <c r="D568" s="61">
        <v>2</v>
      </c>
      <c r="E568" s="62">
        <v>0</v>
      </c>
    </row>
    <row r="569" spans="2:5" ht="15" customHeight="1">
      <c r="B569" s="125"/>
      <c r="C569" s="60" t="s">
        <v>142</v>
      </c>
      <c r="D569" s="61">
        <v>60</v>
      </c>
      <c r="E569" s="62">
        <v>1.2999999999999999E-2</v>
      </c>
    </row>
    <row r="570" spans="2:5" ht="15" customHeight="1">
      <c r="B570" s="125"/>
      <c r="C570" s="60" t="s">
        <v>144</v>
      </c>
      <c r="D570" s="61">
        <v>32</v>
      </c>
      <c r="E570" s="62">
        <v>7.0000000000000001E-3</v>
      </c>
    </row>
    <row r="571" spans="2:5" ht="15" customHeight="1">
      <c r="B571" s="125"/>
      <c r="C571" s="60" t="s">
        <v>146</v>
      </c>
      <c r="D571" s="61">
        <v>4</v>
      </c>
      <c r="E571" s="62">
        <v>1E-3</v>
      </c>
    </row>
    <row r="572" spans="2:5" ht="15" customHeight="1">
      <c r="B572" s="125"/>
      <c r="C572" s="60" t="s">
        <v>152</v>
      </c>
      <c r="D572" s="61">
        <v>1</v>
      </c>
      <c r="E572" s="62">
        <v>0</v>
      </c>
    </row>
    <row r="573" spans="2:5" ht="15" customHeight="1">
      <c r="B573" s="125"/>
      <c r="C573" s="60" t="s">
        <v>147</v>
      </c>
      <c r="D573" s="61">
        <v>1</v>
      </c>
      <c r="E573" s="62">
        <v>0</v>
      </c>
    </row>
    <row r="574" spans="2:5" ht="15" customHeight="1">
      <c r="B574" s="125"/>
      <c r="C574" s="60" t="s">
        <v>148</v>
      </c>
      <c r="D574" s="61">
        <v>3</v>
      </c>
      <c r="E574" s="62">
        <v>1E-3</v>
      </c>
    </row>
    <row r="575" spans="2:5" ht="15" customHeight="1">
      <c r="B575" s="125"/>
      <c r="C575" s="60" t="s">
        <v>149</v>
      </c>
      <c r="D575" s="61">
        <v>4</v>
      </c>
      <c r="E575" s="62">
        <v>1E-3</v>
      </c>
    </row>
    <row r="576" spans="2:5" ht="15" customHeight="1">
      <c r="B576" s="125"/>
      <c r="C576" s="60" t="s">
        <v>151</v>
      </c>
      <c r="D576" s="61">
        <v>3</v>
      </c>
      <c r="E576" s="62">
        <v>1E-3</v>
      </c>
    </row>
    <row r="577" spans="2:5" ht="15" customHeight="1">
      <c r="B577" s="126"/>
      <c r="C577" s="91" t="s">
        <v>29</v>
      </c>
      <c r="D577" s="65">
        <v>141</v>
      </c>
      <c r="E577" s="66">
        <v>3.1E-2</v>
      </c>
    </row>
    <row r="578" spans="2:5" ht="15" customHeight="1">
      <c r="B578" s="93" t="s">
        <v>316</v>
      </c>
      <c r="C578" s="94"/>
      <c r="D578" s="92">
        <v>4533</v>
      </c>
      <c r="E578" s="69">
        <v>1</v>
      </c>
    </row>
    <row r="579" spans="2:5" ht="15" customHeight="1">
      <c r="B579" s="48"/>
      <c r="C579" s="48"/>
      <c r="D579" s="48"/>
      <c r="E579" s="48"/>
    </row>
    <row r="580" spans="2:5" ht="15" customHeight="1">
      <c r="B580" s="38" t="s">
        <v>218</v>
      </c>
      <c r="C580" s="48"/>
      <c r="D580" s="48"/>
      <c r="E580" s="48"/>
    </row>
    <row r="581" spans="2:5" ht="15" customHeight="1">
      <c r="B581" s="40" t="s">
        <v>18</v>
      </c>
      <c r="C581" s="48"/>
      <c r="D581" s="48"/>
      <c r="E581" s="48"/>
    </row>
    <row r="582" spans="2:5" ht="15" customHeight="1">
      <c r="B582" s="41" t="s">
        <v>45</v>
      </c>
      <c r="C582" s="48"/>
      <c r="D582" s="48"/>
      <c r="E582" s="48"/>
    </row>
    <row r="583" spans="2:5" ht="15" customHeight="1">
      <c r="B583" s="38" t="s">
        <v>17</v>
      </c>
      <c r="C583" s="48"/>
      <c r="D583" s="48"/>
      <c r="E583" s="48"/>
    </row>
    <row r="584" spans="2:5" ht="15" customHeight="1">
      <c r="B584" s="38" t="s">
        <v>317</v>
      </c>
      <c r="C584" s="48"/>
      <c r="D584" s="48"/>
      <c r="E584" s="48"/>
    </row>
    <row r="585" spans="2:5" ht="15" customHeight="1">
      <c r="B585" s="48"/>
      <c r="C585" s="48"/>
      <c r="D585" s="48"/>
      <c r="E585" s="48"/>
    </row>
  </sheetData>
  <mergeCells count="49">
    <mergeCell ref="B150:B151"/>
    <mergeCell ref="B152:B156"/>
    <mergeCell ref="B157:B168"/>
    <mergeCell ref="B169:B179"/>
    <mergeCell ref="B370:B381"/>
    <mergeCell ref="B236:B246"/>
    <mergeCell ref="B247:B261"/>
    <mergeCell ref="B262:B277"/>
    <mergeCell ref="B7:E8"/>
    <mergeCell ref="B180:B196"/>
    <mergeCell ref="B197:B214"/>
    <mergeCell ref="B215:B225"/>
    <mergeCell ref="B226:B235"/>
    <mergeCell ref="B72:B82"/>
    <mergeCell ref="B83:B99"/>
    <mergeCell ref="B100:B115"/>
    <mergeCell ref="B116:B118"/>
    <mergeCell ref="B119:B133"/>
    <mergeCell ref="B10:B15"/>
    <mergeCell ref="B16:B34"/>
    <mergeCell ref="B35:B49"/>
    <mergeCell ref="B50:B62"/>
    <mergeCell ref="B63:B71"/>
    <mergeCell ref="B134:B149"/>
    <mergeCell ref="B564:B577"/>
    <mergeCell ref="B305:B316"/>
    <mergeCell ref="B317:B326"/>
    <mergeCell ref="B327:B340"/>
    <mergeCell ref="B341:B354"/>
    <mergeCell ref="B355:B369"/>
    <mergeCell ref="B482:B495"/>
    <mergeCell ref="B496:B507"/>
    <mergeCell ref="B422:B427"/>
    <mergeCell ref="B428:B445"/>
    <mergeCell ref="B446:B459"/>
    <mergeCell ref="B460:B472"/>
    <mergeCell ref="B473:B481"/>
    <mergeCell ref="B526:B538"/>
    <mergeCell ref="B539:B550"/>
    <mergeCell ref="B551:B559"/>
    <mergeCell ref="B508:B513"/>
    <mergeCell ref="B514:B525"/>
    <mergeCell ref="B278:B291"/>
    <mergeCell ref="B292:B304"/>
    <mergeCell ref="B560:B563"/>
    <mergeCell ref="B382:B396"/>
    <mergeCell ref="B397:B403"/>
    <mergeCell ref="B404:B415"/>
    <mergeCell ref="B416:B421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78" orientation="portrait" r:id="rId1"/>
  <colBreaks count="1" manualBreakCount="1">
    <brk id="5" max="18" man="1"/>
  </colBreaks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92D050"/>
  </sheetPr>
  <dimension ref="A1:F72"/>
  <sheetViews>
    <sheetView showGridLines="0" view="pageBreakPreview" topLeftCell="A25" zoomScaleNormal="100" zoomScaleSheetLayoutView="100" workbookViewId="0">
      <selection activeCell="C12" sqref="C12"/>
    </sheetView>
  </sheetViews>
  <sheetFormatPr baseColWidth="10" defaultColWidth="11.42578125" defaultRowHeight="15"/>
  <cols>
    <col min="1" max="1" width="9.28515625" style="13" customWidth="1"/>
    <col min="2" max="2" width="36" style="13" customWidth="1"/>
    <col min="3" max="3" width="17.7109375" style="14" customWidth="1"/>
    <col min="4" max="4" width="17.7109375" style="13" customWidth="1"/>
    <col min="5" max="5" width="9.28515625" style="13" customWidth="1"/>
    <col min="6" max="6" width="5.7109375" style="13" customWidth="1"/>
    <col min="7" max="16384" width="11.42578125" style="13"/>
  </cols>
  <sheetData>
    <row r="1" spans="1:6" s="15" customFormat="1" ht="15" customHeight="1">
      <c r="C1" s="17"/>
    </row>
    <row r="2" spans="1:6" s="15" customFormat="1" ht="15" customHeight="1">
      <c r="C2" s="17"/>
    </row>
    <row r="3" spans="1:6" s="15" customFormat="1" ht="15" customHeight="1">
      <c r="C3" s="17"/>
    </row>
    <row r="4" spans="1:6" s="15" customFormat="1" ht="30" customHeight="1">
      <c r="C4" s="17"/>
      <c r="D4" s="16"/>
    </row>
    <row r="5" spans="1:6" s="15" customFormat="1" ht="15" customHeight="1">
      <c r="C5" s="17"/>
      <c r="D5" s="16"/>
    </row>
    <row r="6" spans="1:6" s="15" customFormat="1" ht="15" customHeight="1">
      <c r="C6" s="17"/>
      <c r="D6" s="16"/>
    </row>
    <row r="7" spans="1:6" s="15" customFormat="1" ht="15" customHeight="1">
      <c r="A7" s="30"/>
      <c r="B7" s="117" t="s">
        <v>39</v>
      </c>
      <c r="C7" s="117"/>
      <c r="D7" s="117"/>
      <c r="E7" s="30"/>
      <c r="F7" s="30"/>
    </row>
    <row r="8" spans="1:6" s="15" customFormat="1" ht="15" customHeight="1">
      <c r="A8" s="30"/>
      <c r="B8" s="117"/>
      <c r="C8" s="117"/>
      <c r="D8" s="117"/>
      <c r="E8" s="30"/>
      <c r="F8" s="30"/>
    </row>
    <row r="9" spans="1:6" s="15" customFormat="1" ht="33" customHeight="1">
      <c r="A9" s="30"/>
      <c r="B9" s="117"/>
      <c r="C9" s="117"/>
      <c r="D9" s="117"/>
      <c r="E9" s="30"/>
      <c r="F9" s="30"/>
    </row>
    <row r="10" spans="1:6" s="15" customFormat="1" ht="4.5" customHeight="1">
      <c r="A10" s="30"/>
      <c r="B10" s="31"/>
      <c r="C10" s="31"/>
      <c r="D10" s="31"/>
      <c r="E10" s="30"/>
      <c r="F10" s="30"/>
    </row>
    <row r="11" spans="1:6" s="15" customFormat="1" ht="33" customHeight="1">
      <c r="A11" s="30"/>
      <c r="B11" s="42" t="s">
        <v>27</v>
      </c>
      <c r="C11" s="43" t="s">
        <v>26</v>
      </c>
      <c r="D11" s="44" t="s">
        <v>19</v>
      </c>
      <c r="E11" s="30"/>
      <c r="F11" s="30"/>
    </row>
    <row r="12" spans="1:6" ht="17.25" customHeight="1">
      <c r="A12" s="34"/>
      <c r="B12" s="74" t="s">
        <v>154</v>
      </c>
      <c r="C12" s="75">
        <v>55</v>
      </c>
      <c r="D12" s="76">
        <v>1.2133245091551E-2</v>
      </c>
      <c r="E12" s="34"/>
      <c r="F12" s="34"/>
    </row>
    <row r="13" spans="1:6" ht="16.5">
      <c r="A13" s="34"/>
      <c r="B13" s="74" t="s">
        <v>155</v>
      </c>
      <c r="C13" s="75">
        <v>15</v>
      </c>
      <c r="D13" s="76">
        <v>3.3090668431500002E-3</v>
      </c>
      <c r="E13" s="34"/>
      <c r="F13" s="34"/>
    </row>
    <row r="14" spans="1:6" ht="16.5">
      <c r="A14" s="34"/>
      <c r="B14" s="74" t="s">
        <v>156</v>
      </c>
      <c r="C14" s="75">
        <v>33</v>
      </c>
      <c r="D14" s="76">
        <v>7.279947054931E-3</v>
      </c>
      <c r="E14" s="34"/>
      <c r="F14" s="34"/>
    </row>
    <row r="15" spans="1:6" ht="16.5">
      <c r="A15" s="34"/>
      <c r="B15" s="74" t="s">
        <v>157</v>
      </c>
      <c r="C15" s="75">
        <v>73</v>
      </c>
      <c r="D15" s="76">
        <v>1.6104125303331E-2</v>
      </c>
      <c r="E15" s="34"/>
      <c r="F15" s="34"/>
    </row>
    <row r="16" spans="1:6" ht="16.5">
      <c r="A16" s="34"/>
      <c r="B16" s="74" t="s">
        <v>158</v>
      </c>
      <c r="C16" s="75">
        <v>35</v>
      </c>
      <c r="D16" s="76">
        <v>7.721155967351E-3</v>
      </c>
      <c r="E16" s="34"/>
      <c r="F16" s="34"/>
    </row>
    <row r="17" spans="1:6" ht="16.5">
      <c r="A17" s="34"/>
      <c r="B17" s="74" t="s">
        <v>159</v>
      </c>
      <c r="C17" s="75">
        <v>51</v>
      </c>
      <c r="D17" s="76">
        <v>1.1250827266711E-2</v>
      </c>
      <c r="E17" s="34"/>
      <c r="F17" s="34"/>
    </row>
    <row r="18" spans="1:6" ht="16.5">
      <c r="A18" s="34"/>
      <c r="B18" s="74" t="s">
        <v>160</v>
      </c>
      <c r="C18" s="75">
        <v>197</v>
      </c>
      <c r="D18" s="76">
        <v>4.3459077873372998E-2</v>
      </c>
      <c r="E18" s="34"/>
      <c r="F18" s="34"/>
    </row>
    <row r="19" spans="1:6" ht="16.5">
      <c r="A19" s="34"/>
      <c r="B19" s="74" t="s">
        <v>161</v>
      </c>
      <c r="C19" s="75">
        <v>394</v>
      </c>
      <c r="D19" s="76">
        <v>8.6918155746745995E-2</v>
      </c>
      <c r="E19" s="34"/>
      <c r="F19" s="34"/>
    </row>
    <row r="20" spans="1:6" ht="16.5">
      <c r="A20" s="34"/>
      <c r="B20" s="74" t="s">
        <v>162</v>
      </c>
      <c r="C20" s="75">
        <v>19</v>
      </c>
      <c r="D20" s="76">
        <v>4.1914846679899998E-3</v>
      </c>
      <c r="E20" s="34"/>
      <c r="F20" s="34"/>
    </row>
    <row r="21" spans="1:6" ht="16.5">
      <c r="A21" s="34"/>
      <c r="B21" s="74" t="s">
        <v>163</v>
      </c>
      <c r="C21" s="75">
        <v>79</v>
      </c>
      <c r="D21" s="76">
        <v>1.7427752040591001E-2</v>
      </c>
      <c r="E21" s="34"/>
      <c r="F21" s="34"/>
    </row>
    <row r="22" spans="1:6" ht="16.5">
      <c r="A22" s="34"/>
      <c r="B22" s="74" t="s">
        <v>164</v>
      </c>
      <c r="C22" s="75">
        <v>210</v>
      </c>
      <c r="D22" s="76">
        <v>4.6326935804102999E-2</v>
      </c>
      <c r="E22" s="34"/>
      <c r="F22" s="34"/>
    </row>
    <row r="23" spans="1:6" ht="16.5">
      <c r="A23" s="34"/>
      <c r="B23" s="74" t="s">
        <v>165</v>
      </c>
      <c r="C23" s="75">
        <v>1480</v>
      </c>
      <c r="D23" s="76">
        <v>0.32649459519082302</v>
      </c>
      <c r="E23" s="34"/>
      <c r="F23" s="34"/>
    </row>
    <row r="24" spans="1:6" ht="16.5">
      <c r="A24" s="34"/>
      <c r="B24" s="74" t="s">
        <v>166</v>
      </c>
      <c r="C24" s="75">
        <v>44</v>
      </c>
      <c r="D24" s="76">
        <v>9.7065960732409997E-3</v>
      </c>
      <c r="E24" s="34"/>
      <c r="F24" s="34"/>
    </row>
    <row r="25" spans="1:6" ht="16.5">
      <c r="A25" s="34"/>
      <c r="B25" s="74" t="s">
        <v>167</v>
      </c>
      <c r="C25" s="75">
        <v>243</v>
      </c>
      <c r="D25" s="76">
        <v>5.3606882859033998E-2</v>
      </c>
      <c r="E25" s="34"/>
      <c r="F25" s="34"/>
    </row>
    <row r="26" spans="1:6" ht="16.5">
      <c r="A26" s="34"/>
      <c r="B26" s="74" t="s">
        <v>168</v>
      </c>
      <c r="C26" s="75">
        <v>1293</v>
      </c>
      <c r="D26" s="76">
        <v>0.28524156187955002</v>
      </c>
      <c r="E26" s="34"/>
      <c r="F26" s="34"/>
    </row>
    <row r="27" spans="1:6" ht="16.5">
      <c r="A27" s="34"/>
      <c r="B27" s="74" t="s">
        <v>169</v>
      </c>
      <c r="C27" s="75">
        <v>13</v>
      </c>
      <c r="D27" s="76">
        <v>2.8678579307300001E-3</v>
      </c>
      <c r="E27" s="34"/>
      <c r="F27" s="34"/>
    </row>
    <row r="28" spans="1:6" ht="16.5">
      <c r="A28" s="34"/>
      <c r="B28" s="74" t="s">
        <v>170</v>
      </c>
      <c r="C28" s="75">
        <v>16</v>
      </c>
      <c r="D28" s="76">
        <v>3.5296712993600002E-3</v>
      </c>
      <c r="E28" s="34"/>
      <c r="F28" s="34"/>
    </row>
    <row r="29" spans="1:6" ht="16.5">
      <c r="A29" s="34"/>
      <c r="B29" s="74" t="s">
        <v>171</v>
      </c>
      <c r="C29" s="75">
        <v>14</v>
      </c>
      <c r="D29" s="76">
        <v>3.0884623869400002E-3</v>
      </c>
      <c r="E29" s="34"/>
      <c r="F29" s="34"/>
    </row>
    <row r="30" spans="1:6" ht="16.5">
      <c r="A30" s="34"/>
      <c r="B30" s="74" t="s">
        <v>172</v>
      </c>
      <c r="C30" s="75">
        <v>2</v>
      </c>
      <c r="D30" s="76">
        <v>4.4120891242000002E-4</v>
      </c>
      <c r="E30" s="34"/>
      <c r="F30" s="34"/>
    </row>
    <row r="31" spans="1:6" ht="16.5">
      <c r="A31" s="34"/>
      <c r="B31" s="74" t="s">
        <v>173</v>
      </c>
      <c r="C31" s="75">
        <v>54</v>
      </c>
      <c r="D31" s="76">
        <v>1.1912640635341001E-2</v>
      </c>
      <c r="E31" s="34"/>
      <c r="F31" s="34"/>
    </row>
    <row r="32" spans="1:6" ht="16.5">
      <c r="A32" s="34"/>
      <c r="B32" s="74" t="s">
        <v>174</v>
      </c>
      <c r="C32" s="75">
        <v>203</v>
      </c>
      <c r="D32" s="76">
        <v>4.4782704610633002E-2</v>
      </c>
      <c r="E32" s="34"/>
      <c r="F32" s="34"/>
    </row>
    <row r="33" spans="1:6" ht="16.5">
      <c r="A33" s="34"/>
      <c r="B33" s="74" t="s">
        <v>239</v>
      </c>
      <c r="C33" s="75">
        <v>3</v>
      </c>
      <c r="D33" s="76">
        <v>6.6181336863000003E-4</v>
      </c>
      <c r="E33" s="34"/>
      <c r="F33" s="34"/>
    </row>
    <row r="34" spans="1:6" ht="16.5">
      <c r="A34" s="34"/>
      <c r="B34" s="74" t="s">
        <v>175</v>
      </c>
      <c r="C34" s="75">
        <v>6</v>
      </c>
      <c r="D34" s="76">
        <v>1.3236267372600001E-3</v>
      </c>
      <c r="E34" s="34"/>
      <c r="F34" s="34"/>
    </row>
    <row r="35" spans="1:6" ht="16.5">
      <c r="A35" s="34"/>
      <c r="B35" s="74" t="s">
        <v>176</v>
      </c>
      <c r="C35" s="75">
        <v>1</v>
      </c>
      <c r="D35" s="76">
        <v>2.2060445621000001E-4</v>
      </c>
      <c r="E35" s="34"/>
      <c r="F35" s="34"/>
    </row>
    <row r="36" spans="1:6" ht="16.5">
      <c r="A36" s="34"/>
      <c r="B36" s="95" t="s">
        <v>249</v>
      </c>
      <c r="C36" s="72">
        <v>4533</v>
      </c>
      <c r="D36" s="73">
        <v>1</v>
      </c>
      <c r="E36" s="34"/>
      <c r="F36" s="34"/>
    </row>
    <row r="37" spans="1:6" ht="16.5">
      <c r="A37" s="34"/>
      <c r="B37" s="47"/>
      <c r="C37" s="39"/>
      <c r="D37" s="34"/>
      <c r="E37" s="34"/>
      <c r="F37" s="34"/>
    </row>
    <row r="38" spans="1:6" ht="16.5">
      <c r="A38" s="34"/>
      <c r="B38" s="38" t="s">
        <v>218</v>
      </c>
      <c r="C38" s="39"/>
      <c r="D38" s="34"/>
      <c r="E38" s="34"/>
      <c r="F38" s="34"/>
    </row>
    <row r="39" spans="1:6" ht="16.5">
      <c r="A39" s="34"/>
      <c r="B39" s="40" t="s">
        <v>18</v>
      </c>
      <c r="C39" s="39"/>
      <c r="D39" s="34"/>
      <c r="E39" s="34"/>
      <c r="F39" s="34"/>
    </row>
    <row r="40" spans="1:6" ht="16.5">
      <c r="A40" s="34"/>
      <c r="B40" s="41" t="s">
        <v>45</v>
      </c>
      <c r="C40" s="39"/>
      <c r="D40" s="34"/>
      <c r="E40" s="34"/>
      <c r="F40" s="34"/>
    </row>
    <row r="41" spans="1:6" ht="16.5">
      <c r="A41" s="34"/>
      <c r="B41" s="38" t="s">
        <v>17</v>
      </c>
      <c r="C41" s="39"/>
      <c r="D41" s="34"/>
      <c r="E41" s="34"/>
      <c r="F41" s="34"/>
    </row>
    <row r="42" spans="1:6" ht="16.5">
      <c r="A42" s="47"/>
      <c r="B42" s="38" t="s">
        <v>317</v>
      </c>
      <c r="C42" s="39"/>
      <c r="D42" s="34"/>
      <c r="E42" s="34"/>
      <c r="F42" s="34"/>
    </row>
    <row r="43" spans="1:6">
      <c r="A43" s="26"/>
    </row>
    <row r="47" spans="1:6">
      <c r="C47" s="13"/>
    </row>
    <row r="48" spans="1:6">
      <c r="C48" s="13"/>
    </row>
    <row r="49" spans="3:3">
      <c r="C49" s="13"/>
    </row>
    <row r="50" spans="3:3">
      <c r="C50" s="13"/>
    </row>
    <row r="51" spans="3:3">
      <c r="C51" s="13"/>
    </row>
    <row r="52" spans="3:3">
      <c r="C52" s="13"/>
    </row>
    <row r="53" spans="3:3">
      <c r="C53" s="13"/>
    </row>
    <row r="54" spans="3:3">
      <c r="C54" s="13"/>
    </row>
    <row r="55" spans="3:3">
      <c r="C55" s="13"/>
    </row>
    <row r="56" spans="3:3">
      <c r="C56" s="13"/>
    </row>
    <row r="57" spans="3:3">
      <c r="C57" s="13"/>
    </row>
    <row r="58" spans="3:3">
      <c r="C58" s="13"/>
    </row>
    <row r="59" spans="3:3">
      <c r="C59" s="13"/>
    </row>
    <row r="60" spans="3:3">
      <c r="C60" s="13"/>
    </row>
    <row r="61" spans="3:3">
      <c r="C61" s="13"/>
    </row>
    <row r="62" spans="3:3">
      <c r="C62" s="13"/>
    </row>
    <row r="63" spans="3:3">
      <c r="C63" s="13"/>
    </row>
    <row r="64" spans="3:3">
      <c r="C64" s="13"/>
    </row>
    <row r="65" spans="3:3">
      <c r="C65" s="13"/>
    </row>
    <row r="66" spans="3:3">
      <c r="C66" s="13"/>
    </row>
    <row r="67" spans="3:3">
      <c r="C67" s="13"/>
    </row>
    <row r="68" spans="3:3">
      <c r="C68" s="13"/>
    </row>
    <row r="69" spans="3:3">
      <c r="C69" s="13"/>
    </row>
    <row r="70" spans="3:3">
      <c r="C70" s="13"/>
    </row>
    <row r="71" spans="3:3">
      <c r="C71" s="13"/>
    </row>
    <row r="72" spans="3:3">
      <c r="C72" s="13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r:id="rId1"/>
  <headerFooter>
    <oddFooter>&amp;C&amp;P de &amp;N</oddFooter>
  </headerFooter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92D050"/>
  </sheetPr>
  <dimension ref="A1:E510"/>
  <sheetViews>
    <sheetView showGridLines="0" view="pageBreakPreview" topLeftCell="A494" zoomScaleNormal="100" zoomScaleSheetLayoutView="100" workbookViewId="0">
      <selection activeCell="C13" sqref="C13"/>
    </sheetView>
  </sheetViews>
  <sheetFormatPr baseColWidth="10" defaultColWidth="35" defaultRowHeight="15" customHeight="1"/>
  <cols>
    <col min="1" max="1" width="1" style="18" customWidth="1"/>
    <col min="2" max="2" width="22.85546875" style="19" customWidth="1"/>
    <col min="3" max="3" width="31.42578125" style="19" customWidth="1"/>
    <col min="4" max="4" width="14.28515625" style="19" customWidth="1"/>
    <col min="5" max="5" width="16.85546875" style="19" customWidth="1"/>
    <col min="6" max="16384" width="35" style="18"/>
  </cols>
  <sheetData>
    <row r="1" spans="1:5" s="21" customFormat="1" ht="12" customHeight="1">
      <c r="B1" s="23"/>
      <c r="C1" s="20"/>
      <c r="D1" s="20"/>
      <c r="E1" s="20"/>
    </row>
    <row r="2" spans="1:5" s="21" customFormat="1" ht="15" customHeight="1">
      <c r="C2" s="25"/>
    </row>
    <row r="3" spans="1:5" s="21" customFormat="1" ht="15" customHeight="1">
      <c r="C3" s="25"/>
    </row>
    <row r="4" spans="1:5" s="21" customFormat="1" ht="30" customHeight="1">
      <c r="C4" s="25"/>
      <c r="D4" s="24"/>
    </row>
    <row r="5" spans="1:5" s="21" customFormat="1" ht="15" customHeight="1">
      <c r="C5" s="25"/>
      <c r="D5" s="24"/>
    </row>
    <row r="6" spans="1:5" s="21" customFormat="1" ht="24" customHeight="1">
      <c r="B6" s="46"/>
      <c r="C6" s="47"/>
      <c r="D6" s="47"/>
      <c r="E6" s="47"/>
    </row>
    <row r="7" spans="1:5" s="21" customFormat="1" ht="26.25" customHeight="1">
      <c r="A7" s="22"/>
      <c r="B7" s="118"/>
      <c r="C7" s="118"/>
      <c r="D7" s="118"/>
      <c r="E7" s="118"/>
    </row>
    <row r="8" spans="1:5" s="21" customFormat="1" ht="33" customHeight="1">
      <c r="A8" s="22"/>
      <c r="B8" s="118"/>
      <c r="C8" s="118"/>
      <c r="D8" s="118"/>
      <c r="E8" s="118"/>
    </row>
    <row r="9" spans="1:5" s="15" customFormat="1" ht="40.5" customHeight="1">
      <c r="B9" s="49" t="s">
        <v>28</v>
      </c>
      <c r="C9" s="50" t="s">
        <v>25</v>
      </c>
      <c r="D9" s="51" t="s">
        <v>20</v>
      </c>
      <c r="E9" s="49" t="s">
        <v>19</v>
      </c>
    </row>
    <row r="10" spans="1:5" ht="15" customHeight="1">
      <c r="B10" s="124" t="s">
        <v>154</v>
      </c>
      <c r="C10" s="60" t="s">
        <v>92</v>
      </c>
      <c r="D10" s="61">
        <v>1</v>
      </c>
      <c r="E10" s="62">
        <v>0</v>
      </c>
    </row>
    <row r="11" spans="1:5">
      <c r="B11" s="125"/>
      <c r="C11" s="60" t="s">
        <v>95</v>
      </c>
      <c r="D11" s="61">
        <v>7</v>
      </c>
      <c r="E11" s="62">
        <v>2E-3</v>
      </c>
    </row>
    <row r="12" spans="1:5">
      <c r="B12" s="125"/>
      <c r="C12" s="60" t="s">
        <v>96</v>
      </c>
      <c r="D12" s="61">
        <v>1</v>
      </c>
      <c r="E12" s="62">
        <v>0</v>
      </c>
    </row>
    <row r="13" spans="1:5">
      <c r="B13" s="125"/>
      <c r="C13" s="60" t="s">
        <v>98</v>
      </c>
      <c r="D13" s="61">
        <v>1</v>
      </c>
      <c r="E13" s="62">
        <v>0</v>
      </c>
    </row>
    <row r="14" spans="1:5">
      <c r="B14" s="125"/>
      <c r="C14" s="60" t="s">
        <v>99</v>
      </c>
      <c r="D14" s="61">
        <v>4</v>
      </c>
      <c r="E14" s="62">
        <v>1E-3</v>
      </c>
    </row>
    <row r="15" spans="1:5">
      <c r="B15" s="125"/>
      <c r="C15" s="60" t="s">
        <v>100</v>
      </c>
      <c r="D15" s="61">
        <v>3</v>
      </c>
      <c r="E15" s="62">
        <v>1E-3</v>
      </c>
    </row>
    <row r="16" spans="1:5">
      <c r="B16" s="125"/>
      <c r="C16" s="60" t="s">
        <v>104</v>
      </c>
      <c r="D16" s="61">
        <v>1</v>
      </c>
      <c r="E16" s="62">
        <v>0</v>
      </c>
    </row>
    <row r="17" spans="2:5">
      <c r="B17" s="125"/>
      <c r="C17" s="60" t="s">
        <v>105</v>
      </c>
      <c r="D17" s="61">
        <v>1</v>
      </c>
      <c r="E17" s="62">
        <v>0</v>
      </c>
    </row>
    <row r="18" spans="2:5">
      <c r="B18" s="125"/>
      <c r="C18" s="60" t="s">
        <v>106</v>
      </c>
      <c r="D18" s="61">
        <v>2</v>
      </c>
      <c r="E18" s="62">
        <v>0</v>
      </c>
    </row>
    <row r="19" spans="2:5">
      <c r="B19" s="125"/>
      <c r="C19" s="60" t="s">
        <v>107</v>
      </c>
      <c r="D19" s="61">
        <v>1</v>
      </c>
      <c r="E19" s="62">
        <v>0</v>
      </c>
    </row>
    <row r="20" spans="2:5">
      <c r="B20" s="125"/>
      <c r="C20" s="60" t="s">
        <v>109</v>
      </c>
      <c r="D20" s="61">
        <v>2</v>
      </c>
      <c r="E20" s="62">
        <v>0</v>
      </c>
    </row>
    <row r="21" spans="2:5">
      <c r="B21" s="125"/>
      <c r="C21" s="60" t="s">
        <v>112</v>
      </c>
      <c r="D21" s="61">
        <v>2</v>
      </c>
      <c r="E21" s="62">
        <v>0</v>
      </c>
    </row>
    <row r="22" spans="2:5">
      <c r="B22" s="125"/>
      <c r="C22" s="60" t="s">
        <v>115</v>
      </c>
      <c r="D22" s="61">
        <v>1</v>
      </c>
      <c r="E22" s="62">
        <v>0</v>
      </c>
    </row>
    <row r="23" spans="2:5">
      <c r="B23" s="125"/>
      <c r="C23" s="60" t="s">
        <v>119</v>
      </c>
      <c r="D23" s="61">
        <v>1</v>
      </c>
      <c r="E23" s="62">
        <v>0</v>
      </c>
    </row>
    <row r="24" spans="2:5">
      <c r="B24" s="125"/>
      <c r="C24" s="60" t="s">
        <v>120</v>
      </c>
      <c r="D24" s="61">
        <v>7</v>
      </c>
      <c r="E24" s="62">
        <v>2E-3</v>
      </c>
    </row>
    <row r="25" spans="2:5">
      <c r="B25" s="125"/>
      <c r="C25" s="60" t="s">
        <v>122</v>
      </c>
      <c r="D25" s="61">
        <v>1</v>
      </c>
      <c r="E25" s="62">
        <v>0</v>
      </c>
    </row>
    <row r="26" spans="2:5">
      <c r="B26" s="125"/>
      <c r="C26" s="60" t="s">
        <v>127</v>
      </c>
      <c r="D26" s="61">
        <v>1</v>
      </c>
      <c r="E26" s="62">
        <v>0</v>
      </c>
    </row>
    <row r="27" spans="2:5">
      <c r="B27" s="125"/>
      <c r="C27" s="60" t="s">
        <v>129</v>
      </c>
      <c r="D27" s="61">
        <v>16</v>
      </c>
      <c r="E27" s="62">
        <v>4.0000000000000001E-3</v>
      </c>
    </row>
    <row r="28" spans="2:5">
      <c r="B28" s="125"/>
      <c r="C28" s="60" t="s">
        <v>132</v>
      </c>
      <c r="D28" s="61">
        <v>2</v>
      </c>
      <c r="E28" s="62">
        <v>0</v>
      </c>
    </row>
    <row r="29" spans="2:5">
      <c r="B29" s="126"/>
      <c r="C29" s="91" t="s">
        <v>29</v>
      </c>
      <c r="D29" s="65">
        <v>55</v>
      </c>
      <c r="E29" s="66">
        <v>1.2E-2</v>
      </c>
    </row>
    <row r="30" spans="2:5">
      <c r="B30" s="124" t="s">
        <v>226</v>
      </c>
      <c r="C30" s="60" t="s">
        <v>93</v>
      </c>
      <c r="D30" s="61">
        <v>1</v>
      </c>
      <c r="E30" s="62">
        <v>0</v>
      </c>
    </row>
    <row r="31" spans="2:5">
      <c r="B31" s="125"/>
      <c r="C31" s="60" t="s">
        <v>95</v>
      </c>
      <c r="D31" s="61">
        <v>2</v>
      </c>
      <c r="E31" s="62">
        <v>0</v>
      </c>
    </row>
    <row r="32" spans="2:5">
      <c r="B32" s="125"/>
      <c r="C32" s="60" t="s">
        <v>99</v>
      </c>
      <c r="D32" s="61">
        <v>1</v>
      </c>
      <c r="E32" s="62">
        <v>0</v>
      </c>
    </row>
    <row r="33" spans="2:5">
      <c r="B33" s="125"/>
      <c r="C33" s="60" t="s">
        <v>106</v>
      </c>
      <c r="D33" s="61">
        <v>1</v>
      </c>
      <c r="E33" s="62">
        <v>0</v>
      </c>
    </row>
    <row r="34" spans="2:5">
      <c r="B34" s="125"/>
      <c r="C34" s="60" t="s">
        <v>120</v>
      </c>
      <c r="D34" s="61">
        <v>1</v>
      </c>
      <c r="E34" s="62">
        <v>0</v>
      </c>
    </row>
    <row r="35" spans="2:5">
      <c r="B35" s="125"/>
      <c r="C35" s="60" t="s">
        <v>122</v>
      </c>
      <c r="D35" s="61">
        <v>1</v>
      </c>
      <c r="E35" s="62">
        <v>0</v>
      </c>
    </row>
    <row r="36" spans="2:5">
      <c r="B36" s="125"/>
      <c r="C36" s="60" t="s">
        <v>127</v>
      </c>
      <c r="D36" s="61">
        <v>1</v>
      </c>
      <c r="E36" s="62">
        <v>0</v>
      </c>
    </row>
    <row r="37" spans="2:5">
      <c r="B37" s="125"/>
      <c r="C37" s="60" t="s">
        <v>129</v>
      </c>
      <c r="D37" s="61">
        <v>7</v>
      </c>
      <c r="E37" s="62">
        <v>2E-3</v>
      </c>
    </row>
    <row r="38" spans="2:5">
      <c r="B38" s="126"/>
      <c r="C38" s="91" t="s">
        <v>29</v>
      </c>
      <c r="D38" s="65">
        <v>15</v>
      </c>
      <c r="E38" s="66">
        <v>3.0000000000000001E-3</v>
      </c>
    </row>
    <row r="39" spans="2:5">
      <c r="B39" s="124" t="s">
        <v>227</v>
      </c>
      <c r="C39" s="60" t="s">
        <v>95</v>
      </c>
      <c r="D39" s="61">
        <v>2</v>
      </c>
      <c r="E39" s="62">
        <v>0</v>
      </c>
    </row>
    <row r="40" spans="2:5">
      <c r="B40" s="125"/>
      <c r="C40" s="60" t="s">
        <v>96</v>
      </c>
      <c r="D40" s="61">
        <v>1</v>
      </c>
      <c r="E40" s="62">
        <v>0</v>
      </c>
    </row>
    <row r="41" spans="2:5">
      <c r="B41" s="125"/>
      <c r="C41" s="60" t="s">
        <v>99</v>
      </c>
      <c r="D41" s="61">
        <v>2</v>
      </c>
      <c r="E41" s="62">
        <v>0</v>
      </c>
    </row>
    <row r="42" spans="2:5">
      <c r="B42" s="125"/>
      <c r="C42" s="60" t="s">
        <v>101</v>
      </c>
      <c r="D42" s="61">
        <v>1</v>
      </c>
      <c r="E42" s="62">
        <v>0</v>
      </c>
    </row>
    <row r="43" spans="2:5">
      <c r="B43" s="125"/>
      <c r="C43" s="60" t="s">
        <v>103</v>
      </c>
      <c r="D43" s="61">
        <v>1</v>
      </c>
      <c r="E43" s="62">
        <v>0</v>
      </c>
    </row>
    <row r="44" spans="2:5">
      <c r="B44" s="125"/>
      <c r="C44" s="60" t="s">
        <v>112</v>
      </c>
      <c r="D44" s="61">
        <v>1</v>
      </c>
      <c r="E44" s="62">
        <v>0</v>
      </c>
    </row>
    <row r="45" spans="2:5">
      <c r="B45" s="125"/>
      <c r="C45" s="60" t="s">
        <v>114</v>
      </c>
      <c r="D45" s="61">
        <v>1</v>
      </c>
      <c r="E45" s="62">
        <v>0</v>
      </c>
    </row>
    <row r="46" spans="2:5">
      <c r="B46" s="125"/>
      <c r="C46" s="60" t="s">
        <v>116</v>
      </c>
      <c r="D46" s="61">
        <v>1</v>
      </c>
      <c r="E46" s="62">
        <v>0</v>
      </c>
    </row>
    <row r="47" spans="2:5">
      <c r="B47" s="125"/>
      <c r="C47" s="60" t="s">
        <v>120</v>
      </c>
      <c r="D47" s="61">
        <v>4</v>
      </c>
      <c r="E47" s="62">
        <v>1E-3</v>
      </c>
    </row>
    <row r="48" spans="2:5">
      <c r="B48" s="125"/>
      <c r="C48" s="60" t="s">
        <v>124</v>
      </c>
      <c r="D48" s="61">
        <v>1</v>
      </c>
      <c r="E48" s="62">
        <v>0</v>
      </c>
    </row>
    <row r="49" spans="2:5">
      <c r="B49" s="125"/>
      <c r="C49" s="60" t="s">
        <v>127</v>
      </c>
      <c r="D49" s="61">
        <v>3</v>
      </c>
      <c r="E49" s="62">
        <v>1E-3</v>
      </c>
    </row>
    <row r="50" spans="2:5">
      <c r="B50" s="125"/>
      <c r="C50" s="60" t="s">
        <v>128</v>
      </c>
      <c r="D50" s="61">
        <v>1</v>
      </c>
      <c r="E50" s="62">
        <v>0</v>
      </c>
    </row>
    <row r="51" spans="2:5">
      <c r="B51" s="125"/>
      <c r="C51" s="60" t="s">
        <v>129</v>
      </c>
      <c r="D51" s="61">
        <v>12</v>
      </c>
      <c r="E51" s="62">
        <v>3.0000000000000001E-3</v>
      </c>
    </row>
    <row r="52" spans="2:5">
      <c r="B52" s="125"/>
      <c r="C52" s="60" t="s">
        <v>132</v>
      </c>
      <c r="D52" s="61">
        <v>2</v>
      </c>
      <c r="E52" s="62">
        <v>0</v>
      </c>
    </row>
    <row r="53" spans="2:5">
      <c r="B53" s="126"/>
      <c r="C53" s="91" t="s">
        <v>29</v>
      </c>
      <c r="D53" s="65">
        <v>33</v>
      </c>
      <c r="E53" s="66">
        <v>7.0000000000000001E-3</v>
      </c>
    </row>
    <row r="54" spans="2:5">
      <c r="B54" s="124" t="s">
        <v>228</v>
      </c>
      <c r="C54" s="60" t="s">
        <v>95</v>
      </c>
      <c r="D54" s="61">
        <v>7</v>
      </c>
      <c r="E54" s="62">
        <v>2E-3</v>
      </c>
    </row>
    <row r="55" spans="2:5">
      <c r="B55" s="125"/>
      <c r="C55" s="60" t="s">
        <v>99</v>
      </c>
      <c r="D55" s="61">
        <v>8</v>
      </c>
      <c r="E55" s="62">
        <v>2E-3</v>
      </c>
    </row>
    <row r="56" spans="2:5">
      <c r="B56" s="125"/>
      <c r="C56" s="60" t="s">
        <v>100</v>
      </c>
      <c r="D56" s="61">
        <v>1</v>
      </c>
      <c r="E56" s="62">
        <v>0</v>
      </c>
    </row>
    <row r="57" spans="2:5">
      <c r="B57" s="125"/>
      <c r="C57" s="60" t="s">
        <v>101</v>
      </c>
      <c r="D57" s="61">
        <v>1</v>
      </c>
      <c r="E57" s="62">
        <v>0</v>
      </c>
    </row>
    <row r="58" spans="2:5">
      <c r="B58" s="125"/>
      <c r="C58" s="60" t="s">
        <v>102</v>
      </c>
      <c r="D58" s="61">
        <v>1</v>
      </c>
      <c r="E58" s="62">
        <v>0</v>
      </c>
    </row>
    <row r="59" spans="2:5">
      <c r="B59" s="125"/>
      <c r="C59" s="60" t="s">
        <v>103</v>
      </c>
      <c r="D59" s="61">
        <v>4</v>
      </c>
      <c r="E59" s="62">
        <v>1E-3</v>
      </c>
    </row>
    <row r="60" spans="2:5">
      <c r="B60" s="125"/>
      <c r="C60" s="60" t="s">
        <v>104</v>
      </c>
      <c r="D60" s="61">
        <v>1</v>
      </c>
      <c r="E60" s="62">
        <v>0</v>
      </c>
    </row>
    <row r="61" spans="2:5">
      <c r="B61" s="125"/>
      <c r="C61" s="60" t="s">
        <v>105</v>
      </c>
      <c r="D61" s="61">
        <v>1</v>
      </c>
      <c r="E61" s="62">
        <v>0</v>
      </c>
    </row>
    <row r="62" spans="2:5">
      <c r="B62" s="125"/>
      <c r="C62" s="60" t="s">
        <v>107</v>
      </c>
      <c r="D62" s="61">
        <v>2</v>
      </c>
      <c r="E62" s="62">
        <v>0</v>
      </c>
    </row>
    <row r="63" spans="2:5">
      <c r="B63" s="125"/>
      <c r="C63" s="60" t="s">
        <v>111</v>
      </c>
      <c r="D63" s="61">
        <v>2</v>
      </c>
      <c r="E63" s="62">
        <v>0</v>
      </c>
    </row>
    <row r="64" spans="2:5">
      <c r="B64" s="125"/>
      <c r="C64" s="60" t="s">
        <v>114</v>
      </c>
      <c r="D64" s="61">
        <v>2</v>
      </c>
      <c r="E64" s="62">
        <v>0</v>
      </c>
    </row>
    <row r="65" spans="2:5">
      <c r="B65" s="125"/>
      <c r="C65" s="60" t="s">
        <v>115</v>
      </c>
      <c r="D65" s="61">
        <v>2</v>
      </c>
      <c r="E65" s="62">
        <v>0</v>
      </c>
    </row>
    <row r="66" spans="2:5">
      <c r="B66" s="125"/>
      <c r="C66" s="60" t="s">
        <v>116</v>
      </c>
      <c r="D66" s="61">
        <v>1</v>
      </c>
      <c r="E66" s="62">
        <v>0</v>
      </c>
    </row>
    <row r="67" spans="2:5">
      <c r="B67" s="125"/>
      <c r="C67" s="60" t="s">
        <v>117</v>
      </c>
      <c r="D67" s="61">
        <v>2</v>
      </c>
      <c r="E67" s="62">
        <v>0</v>
      </c>
    </row>
    <row r="68" spans="2:5">
      <c r="B68" s="125"/>
      <c r="C68" s="60" t="s">
        <v>118</v>
      </c>
      <c r="D68" s="61">
        <v>2</v>
      </c>
      <c r="E68" s="62">
        <v>0</v>
      </c>
    </row>
    <row r="69" spans="2:5">
      <c r="B69" s="125"/>
      <c r="C69" s="60" t="s">
        <v>119</v>
      </c>
      <c r="D69" s="61">
        <v>2</v>
      </c>
      <c r="E69" s="62">
        <v>0</v>
      </c>
    </row>
    <row r="70" spans="2:5">
      <c r="B70" s="125"/>
      <c r="C70" s="60" t="s">
        <v>120</v>
      </c>
      <c r="D70" s="61">
        <v>6</v>
      </c>
      <c r="E70" s="62">
        <v>1E-3</v>
      </c>
    </row>
    <row r="71" spans="2:5">
      <c r="B71" s="125"/>
      <c r="C71" s="60" t="s">
        <v>123</v>
      </c>
      <c r="D71" s="61">
        <v>2</v>
      </c>
      <c r="E71" s="62">
        <v>0</v>
      </c>
    </row>
    <row r="72" spans="2:5">
      <c r="B72" s="125"/>
      <c r="C72" s="60" t="s">
        <v>125</v>
      </c>
      <c r="D72" s="61">
        <v>1</v>
      </c>
      <c r="E72" s="62">
        <v>0</v>
      </c>
    </row>
    <row r="73" spans="2:5">
      <c r="B73" s="125"/>
      <c r="C73" s="60" t="s">
        <v>127</v>
      </c>
      <c r="D73" s="61">
        <v>1</v>
      </c>
      <c r="E73" s="62">
        <v>0</v>
      </c>
    </row>
    <row r="74" spans="2:5">
      <c r="B74" s="125"/>
      <c r="C74" s="60" t="s">
        <v>129</v>
      </c>
      <c r="D74" s="61">
        <v>19</v>
      </c>
      <c r="E74" s="62">
        <v>4.0000000000000001E-3</v>
      </c>
    </row>
    <row r="75" spans="2:5">
      <c r="B75" s="125"/>
      <c r="C75" s="60" t="s">
        <v>130</v>
      </c>
      <c r="D75" s="61">
        <v>1</v>
      </c>
      <c r="E75" s="62">
        <v>0</v>
      </c>
    </row>
    <row r="76" spans="2:5">
      <c r="B76" s="125"/>
      <c r="C76" s="60" t="s">
        <v>131</v>
      </c>
      <c r="D76" s="61">
        <v>1</v>
      </c>
      <c r="E76" s="62">
        <v>0</v>
      </c>
    </row>
    <row r="77" spans="2:5">
      <c r="B77" s="125"/>
      <c r="C77" s="60" t="s">
        <v>132</v>
      </c>
      <c r="D77" s="61">
        <v>3</v>
      </c>
      <c r="E77" s="62">
        <v>1E-3</v>
      </c>
    </row>
    <row r="78" spans="2:5">
      <c r="B78" s="126"/>
      <c r="C78" s="91" t="s">
        <v>29</v>
      </c>
      <c r="D78" s="65">
        <v>73</v>
      </c>
      <c r="E78" s="66">
        <v>1.6E-2</v>
      </c>
    </row>
    <row r="79" spans="2:5">
      <c r="B79" s="124" t="s">
        <v>229</v>
      </c>
      <c r="C79" s="60" t="s">
        <v>92</v>
      </c>
      <c r="D79" s="61">
        <v>1</v>
      </c>
      <c r="E79" s="62">
        <v>0</v>
      </c>
    </row>
    <row r="80" spans="2:5">
      <c r="B80" s="125"/>
      <c r="C80" s="60" t="s">
        <v>95</v>
      </c>
      <c r="D80" s="61">
        <v>2</v>
      </c>
      <c r="E80" s="62">
        <v>0</v>
      </c>
    </row>
    <row r="81" spans="2:5">
      <c r="B81" s="125"/>
      <c r="C81" s="60" t="s">
        <v>96</v>
      </c>
      <c r="D81" s="61">
        <v>1</v>
      </c>
      <c r="E81" s="62">
        <v>0</v>
      </c>
    </row>
    <row r="82" spans="2:5">
      <c r="B82" s="125"/>
      <c r="C82" s="60" t="s">
        <v>97</v>
      </c>
      <c r="D82" s="61">
        <v>1</v>
      </c>
      <c r="E82" s="62">
        <v>0</v>
      </c>
    </row>
    <row r="83" spans="2:5">
      <c r="B83" s="125"/>
      <c r="C83" s="60" t="s">
        <v>99</v>
      </c>
      <c r="D83" s="61">
        <v>5</v>
      </c>
      <c r="E83" s="62">
        <v>1E-3</v>
      </c>
    </row>
    <row r="84" spans="2:5">
      <c r="B84" s="125"/>
      <c r="C84" s="60" t="s">
        <v>103</v>
      </c>
      <c r="D84" s="61">
        <v>2</v>
      </c>
      <c r="E84" s="62">
        <v>0</v>
      </c>
    </row>
    <row r="85" spans="2:5">
      <c r="B85" s="125"/>
      <c r="C85" s="60" t="s">
        <v>106</v>
      </c>
      <c r="D85" s="61">
        <v>1</v>
      </c>
      <c r="E85" s="62">
        <v>0</v>
      </c>
    </row>
    <row r="86" spans="2:5">
      <c r="B86" s="125"/>
      <c r="C86" s="60" t="s">
        <v>107</v>
      </c>
      <c r="D86" s="61">
        <v>1</v>
      </c>
      <c r="E86" s="62">
        <v>0</v>
      </c>
    </row>
    <row r="87" spans="2:5">
      <c r="B87" s="125"/>
      <c r="C87" s="60" t="s">
        <v>109</v>
      </c>
      <c r="D87" s="61">
        <v>1</v>
      </c>
      <c r="E87" s="62">
        <v>0</v>
      </c>
    </row>
    <row r="88" spans="2:5">
      <c r="B88" s="125"/>
      <c r="C88" s="60" t="s">
        <v>111</v>
      </c>
      <c r="D88" s="61">
        <v>1</v>
      </c>
      <c r="E88" s="62">
        <v>0</v>
      </c>
    </row>
    <row r="89" spans="2:5">
      <c r="B89" s="125"/>
      <c r="C89" s="60" t="s">
        <v>112</v>
      </c>
      <c r="D89" s="61">
        <v>1</v>
      </c>
      <c r="E89" s="62">
        <v>0</v>
      </c>
    </row>
    <row r="90" spans="2:5">
      <c r="B90" s="125"/>
      <c r="C90" s="60" t="s">
        <v>116</v>
      </c>
      <c r="D90" s="61">
        <v>1</v>
      </c>
      <c r="E90" s="62">
        <v>0</v>
      </c>
    </row>
    <row r="91" spans="2:5">
      <c r="B91" s="125"/>
      <c r="C91" s="60" t="s">
        <v>120</v>
      </c>
      <c r="D91" s="61">
        <v>4</v>
      </c>
      <c r="E91" s="62">
        <v>1E-3</v>
      </c>
    </row>
    <row r="92" spans="2:5">
      <c r="B92" s="125"/>
      <c r="C92" s="60" t="s">
        <v>123</v>
      </c>
      <c r="D92" s="61">
        <v>1</v>
      </c>
      <c r="E92" s="62">
        <v>0</v>
      </c>
    </row>
    <row r="93" spans="2:5">
      <c r="B93" s="125"/>
      <c r="C93" s="60" t="s">
        <v>125</v>
      </c>
      <c r="D93" s="61">
        <v>1</v>
      </c>
      <c r="E93" s="62">
        <v>0</v>
      </c>
    </row>
    <row r="94" spans="2:5">
      <c r="B94" s="125"/>
      <c r="C94" s="60" t="s">
        <v>129</v>
      </c>
      <c r="D94" s="61">
        <v>9</v>
      </c>
      <c r="E94" s="62">
        <v>2E-3</v>
      </c>
    </row>
    <row r="95" spans="2:5">
      <c r="B95" s="125"/>
      <c r="C95" s="60" t="s">
        <v>132</v>
      </c>
      <c r="D95" s="61">
        <v>1</v>
      </c>
      <c r="E95" s="62">
        <v>0</v>
      </c>
    </row>
    <row r="96" spans="2:5">
      <c r="B96" s="125"/>
      <c r="C96" s="60" t="s">
        <v>133</v>
      </c>
      <c r="D96" s="61">
        <v>1</v>
      </c>
      <c r="E96" s="62">
        <v>0</v>
      </c>
    </row>
    <row r="97" spans="2:5">
      <c r="B97" s="126"/>
      <c r="C97" s="91" t="s">
        <v>29</v>
      </c>
      <c r="D97" s="65">
        <v>35</v>
      </c>
      <c r="E97" s="66">
        <v>8.0000000000000002E-3</v>
      </c>
    </row>
    <row r="98" spans="2:5">
      <c r="B98" s="124" t="s">
        <v>230</v>
      </c>
      <c r="C98" s="60" t="s">
        <v>92</v>
      </c>
      <c r="D98" s="61">
        <v>1</v>
      </c>
      <c r="E98" s="62">
        <v>0</v>
      </c>
    </row>
    <row r="99" spans="2:5">
      <c r="B99" s="125"/>
      <c r="C99" s="60" t="s">
        <v>95</v>
      </c>
      <c r="D99" s="61">
        <v>4</v>
      </c>
      <c r="E99" s="62">
        <v>1E-3</v>
      </c>
    </row>
    <row r="100" spans="2:5">
      <c r="B100" s="125"/>
      <c r="C100" s="60" t="s">
        <v>96</v>
      </c>
      <c r="D100" s="61">
        <v>1</v>
      </c>
      <c r="E100" s="62">
        <v>0</v>
      </c>
    </row>
    <row r="101" spans="2:5">
      <c r="B101" s="125"/>
      <c r="C101" s="60" t="s">
        <v>99</v>
      </c>
      <c r="D101" s="61">
        <v>3</v>
      </c>
      <c r="E101" s="62">
        <v>1E-3</v>
      </c>
    </row>
    <row r="102" spans="2:5">
      <c r="B102" s="125"/>
      <c r="C102" s="60" t="s">
        <v>100</v>
      </c>
      <c r="D102" s="61">
        <v>1</v>
      </c>
      <c r="E102" s="62">
        <v>0</v>
      </c>
    </row>
    <row r="103" spans="2:5">
      <c r="B103" s="125"/>
      <c r="C103" s="60" t="s">
        <v>103</v>
      </c>
      <c r="D103" s="61">
        <v>1</v>
      </c>
      <c r="E103" s="62">
        <v>0</v>
      </c>
    </row>
    <row r="104" spans="2:5">
      <c r="B104" s="125"/>
      <c r="C104" s="60" t="s">
        <v>107</v>
      </c>
      <c r="D104" s="61">
        <v>1</v>
      </c>
      <c r="E104" s="62">
        <v>0</v>
      </c>
    </row>
    <row r="105" spans="2:5">
      <c r="B105" s="125"/>
      <c r="C105" s="60" t="s">
        <v>112</v>
      </c>
      <c r="D105" s="61">
        <v>1</v>
      </c>
      <c r="E105" s="62">
        <v>0</v>
      </c>
    </row>
    <row r="106" spans="2:5">
      <c r="B106" s="125"/>
      <c r="C106" s="60" t="s">
        <v>114</v>
      </c>
      <c r="D106" s="61">
        <v>2</v>
      </c>
      <c r="E106" s="62">
        <v>0</v>
      </c>
    </row>
    <row r="107" spans="2:5">
      <c r="B107" s="125"/>
      <c r="C107" s="60" t="s">
        <v>117</v>
      </c>
      <c r="D107" s="61">
        <v>4</v>
      </c>
      <c r="E107" s="62">
        <v>1E-3</v>
      </c>
    </row>
    <row r="108" spans="2:5">
      <c r="B108" s="125"/>
      <c r="C108" s="60" t="s">
        <v>120</v>
      </c>
      <c r="D108" s="61">
        <v>5</v>
      </c>
      <c r="E108" s="62">
        <v>1E-3</v>
      </c>
    </row>
    <row r="109" spans="2:5">
      <c r="B109" s="125"/>
      <c r="C109" s="60" t="s">
        <v>123</v>
      </c>
      <c r="D109" s="61">
        <v>2</v>
      </c>
      <c r="E109" s="62">
        <v>0</v>
      </c>
    </row>
    <row r="110" spans="2:5">
      <c r="B110" s="125"/>
      <c r="C110" s="60" t="s">
        <v>127</v>
      </c>
      <c r="D110" s="61">
        <v>1</v>
      </c>
      <c r="E110" s="62">
        <v>0</v>
      </c>
    </row>
    <row r="111" spans="2:5">
      <c r="B111" s="125"/>
      <c r="C111" s="60" t="s">
        <v>128</v>
      </c>
      <c r="D111" s="61">
        <v>2</v>
      </c>
      <c r="E111" s="62">
        <v>0</v>
      </c>
    </row>
    <row r="112" spans="2:5">
      <c r="B112" s="125"/>
      <c r="C112" s="60" t="s">
        <v>129</v>
      </c>
      <c r="D112" s="61">
        <v>20</v>
      </c>
      <c r="E112" s="62">
        <v>4.0000000000000001E-3</v>
      </c>
    </row>
    <row r="113" spans="2:5">
      <c r="B113" s="125"/>
      <c r="C113" s="60" t="s">
        <v>132</v>
      </c>
      <c r="D113" s="61">
        <v>1</v>
      </c>
      <c r="E113" s="62">
        <v>0</v>
      </c>
    </row>
    <row r="114" spans="2:5">
      <c r="B114" s="125"/>
      <c r="C114" s="60" t="s">
        <v>55</v>
      </c>
      <c r="D114" s="61">
        <v>1</v>
      </c>
      <c r="E114" s="62">
        <v>0</v>
      </c>
    </row>
    <row r="115" spans="2:5">
      <c r="B115" s="126"/>
      <c r="C115" s="91" t="s">
        <v>29</v>
      </c>
      <c r="D115" s="65">
        <v>51</v>
      </c>
      <c r="E115" s="66">
        <v>1.0999999999999999E-2</v>
      </c>
    </row>
    <row r="116" spans="2:5">
      <c r="B116" s="124" t="s">
        <v>231</v>
      </c>
      <c r="C116" s="60" t="s">
        <v>92</v>
      </c>
      <c r="D116" s="61">
        <v>6</v>
      </c>
      <c r="E116" s="62">
        <v>1E-3</v>
      </c>
    </row>
    <row r="117" spans="2:5">
      <c r="B117" s="125"/>
      <c r="C117" s="60" t="s">
        <v>93</v>
      </c>
      <c r="D117" s="61">
        <v>1</v>
      </c>
      <c r="E117" s="62">
        <v>0</v>
      </c>
    </row>
    <row r="118" spans="2:5">
      <c r="B118" s="125"/>
      <c r="C118" s="60" t="s">
        <v>94</v>
      </c>
      <c r="D118" s="61">
        <v>5</v>
      </c>
      <c r="E118" s="62">
        <v>1E-3</v>
      </c>
    </row>
    <row r="119" spans="2:5">
      <c r="B119" s="125"/>
      <c r="C119" s="60" t="s">
        <v>95</v>
      </c>
      <c r="D119" s="61">
        <v>26</v>
      </c>
      <c r="E119" s="62">
        <v>6.0000000000000001E-3</v>
      </c>
    </row>
    <row r="120" spans="2:5">
      <c r="B120" s="125"/>
      <c r="C120" s="60" t="s">
        <v>96</v>
      </c>
      <c r="D120" s="61">
        <v>6</v>
      </c>
      <c r="E120" s="62">
        <v>1E-3</v>
      </c>
    </row>
    <row r="121" spans="2:5">
      <c r="B121" s="125"/>
      <c r="C121" s="60" t="s">
        <v>99</v>
      </c>
      <c r="D121" s="61">
        <v>7</v>
      </c>
      <c r="E121" s="62">
        <v>2E-3</v>
      </c>
    </row>
    <row r="122" spans="2:5">
      <c r="B122" s="125"/>
      <c r="C122" s="60" t="s">
        <v>100</v>
      </c>
      <c r="D122" s="61">
        <v>12</v>
      </c>
      <c r="E122" s="62">
        <v>3.0000000000000001E-3</v>
      </c>
    </row>
    <row r="123" spans="2:5">
      <c r="B123" s="125"/>
      <c r="C123" s="60" t="s">
        <v>101</v>
      </c>
      <c r="D123" s="61">
        <v>1</v>
      </c>
      <c r="E123" s="62">
        <v>0</v>
      </c>
    </row>
    <row r="124" spans="2:5">
      <c r="B124" s="125"/>
      <c r="C124" s="60" t="s">
        <v>102</v>
      </c>
      <c r="D124" s="61">
        <v>6</v>
      </c>
      <c r="E124" s="62">
        <v>1E-3</v>
      </c>
    </row>
    <row r="125" spans="2:5">
      <c r="B125" s="125"/>
      <c r="C125" s="60" t="s">
        <v>103</v>
      </c>
      <c r="D125" s="61">
        <v>10</v>
      </c>
      <c r="E125" s="62">
        <v>2E-3</v>
      </c>
    </row>
    <row r="126" spans="2:5">
      <c r="B126" s="125"/>
      <c r="C126" s="60" t="s">
        <v>105</v>
      </c>
      <c r="D126" s="61">
        <v>1</v>
      </c>
      <c r="E126" s="62">
        <v>0</v>
      </c>
    </row>
    <row r="127" spans="2:5">
      <c r="B127" s="125"/>
      <c r="C127" s="60" t="s">
        <v>106</v>
      </c>
      <c r="D127" s="61">
        <v>2</v>
      </c>
      <c r="E127" s="62">
        <v>0</v>
      </c>
    </row>
    <row r="128" spans="2:5">
      <c r="B128" s="125"/>
      <c r="C128" s="60" t="s">
        <v>107</v>
      </c>
      <c r="D128" s="61">
        <v>2</v>
      </c>
      <c r="E128" s="62">
        <v>0</v>
      </c>
    </row>
    <row r="129" spans="2:5">
      <c r="B129" s="125"/>
      <c r="C129" s="60" t="s">
        <v>109</v>
      </c>
      <c r="D129" s="61">
        <v>1</v>
      </c>
      <c r="E129" s="62">
        <v>0</v>
      </c>
    </row>
    <row r="130" spans="2:5">
      <c r="B130" s="125"/>
      <c r="C130" s="60" t="s">
        <v>110</v>
      </c>
      <c r="D130" s="61">
        <v>2</v>
      </c>
      <c r="E130" s="62">
        <v>0</v>
      </c>
    </row>
    <row r="131" spans="2:5">
      <c r="B131" s="125"/>
      <c r="C131" s="60" t="s">
        <v>111</v>
      </c>
      <c r="D131" s="61">
        <v>2</v>
      </c>
      <c r="E131" s="62">
        <v>0</v>
      </c>
    </row>
    <row r="132" spans="2:5">
      <c r="B132" s="125"/>
      <c r="C132" s="60" t="s">
        <v>113</v>
      </c>
      <c r="D132" s="61">
        <v>4</v>
      </c>
      <c r="E132" s="62">
        <v>1E-3</v>
      </c>
    </row>
    <row r="133" spans="2:5">
      <c r="B133" s="125"/>
      <c r="C133" s="60" t="s">
        <v>114</v>
      </c>
      <c r="D133" s="61">
        <v>1</v>
      </c>
      <c r="E133" s="62">
        <v>0</v>
      </c>
    </row>
    <row r="134" spans="2:5">
      <c r="B134" s="125"/>
      <c r="C134" s="60" t="s">
        <v>222</v>
      </c>
      <c r="D134" s="61">
        <v>1</v>
      </c>
      <c r="E134" s="62">
        <v>0</v>
      </c>
    </row>
    <row r="135" spans="2:5">
      <c r="B135" s="125"/>
      <c r="C135" s="60" t="s">
        <v>115</v>
      </c>
      <c r="D135" s="61">
        <v>1</v>
      </c>
      <c r="E135" s="62">
        <v>0</v>
      </c>
    </row>
    <row r="136" spans="2:5">
      <c r="B136" s="125"/>
      <c r="C136" s="60" t="s">
        <v>116</v>
      </c>
      <c r="D136" s="61">
        <v>3</v>
      </c>
      <c r="E136" s="62">
        <v>1E-3</v>
      </c>
    </row>
    <row r="137" spans="2:5" ht="15" customHeight="1">
      <c r="B137" s="125"/>
      <c r="C137" s="60" t="s">
        <v>117</v>
      </c>
      <c r="D137" s="61">
        <v>1</v>
      </c>
      <c r="E137" s="62">
        <v>0</v>
      </c>
    </row>
    <row r="138" spans="2:5">
      <c r="B138" s="125"/>
      <c r="C138" s="60" t="s">
        <v>119</v>
      </c>
      <c r="D138" s="61">
        <v>2</v>
      </c>
      <c r="E138" s="62">
        <v>0</v>
      </c>
    </row>
    <row r="139" spans="2:5">
      <c r="B139" s="125"/>
      <c r="C139" s="60" t="s">
        <v>120</v>
      </c>
      <c r="D139" s="61">
        <v>13</v>
      </c>
      <c r="E139" s="62">
        <v>3.0000000000000001E-3</v>
      </c>
    </row>
    <row r="140" spans="2:5">
      <c r="B140" s="125"/>
      <c r="C140" s="60" t="s">
        <v>122</v>
      </c>
      <c r="D140" s="61">
        <v>2</v>
      </c>
      <c r="E140" s="62">
        <v>0</v>
      </c>
    </row>
    <row r="141" spans="2:5">
      <c r="B141" s="125"/>
      <c r="C141" s="60" t="s">
        <v>123</v>
      </c>
      <c r="D141" s="61">
        <v>3</v>
      </c>
      <c r="E141" s="62">
        <v>1E-3</v>
      </c>
    </row>
    <row r="142" spans="2:5">
      <c r="B142" s="125"/>
      <c r="C142" s="60" t="s">
        <v>124</v>
      </c>
      <c r="D142" s="61">
        <v>1</v>
      </c>
      <c r="E142" s="62">
        <v>0</v>
      </c>
    </row>
    <row r="143" spans="2:5">
      <c r="B143" s="125"/>
      <c r="C143" s="60" t="s">
        <v>125</v>
      </c>
      <c r="D143" s="61">
        <v>3</v>
      </c>
      <c r="E143" s="62">
        <v>1E-3</v>
      </c>
    </row>
    <row r="144" spans="2:5">
      <c r="B144" s="125"/>
      <c r="C144" s="60" t="s">
        <v>127</v>
      </c>
      <c r="D144" s="61">
        <v>3</v>
      </c>
      <c r="E144" s="62">
        <v>1E-3</v>
      </c>
    </row>
    <row r="145" spans="2:5">
      <c r="B145" s="125"/>
      <c r="C145" s="60" t="s">
        <v>128</v>
      </c>
      <c r="D145" s="61">
        <v>9</v>
      </c>
      <c r="E145" s="62">
        <v>2E-3</v>
      </c>
    </row>
    <row r="146" spans="2:5">
      <c r="B146" s="125"/>
      <c r="C146" s="60" t="s">
        <v>129</v>
      </c>
      <c r="D146" s="61">
        <v>49</v>
      </c>
      <c r="E146" s="62">
        <v>1.0999999999999999E-2</v>
      </c>
    </row>
    <row r="147" spans="2:5">
      <c r="B147" s="125"/>
      <c r="C147" s="60" t="s">
        <v>131</v>
      </c>
      <c r="D147" s="61">
        <v>1</v>
      </c>
      <c r="E147" s="62">
        <v>0</v>
      </c>
    </row>
    <row r="148" spans="2:5">
      <c r="B148" s="125"/>
      <c r="C148" s="60" t="s">
        <v>132</v>
      </c>
      <c r="D148" s="61">
        <v>7</v>
      </c>
      <c r="E148" s="62">
        <v>2E-3</v>
      </c>
    </row>
    <row r="149" spans="2:5">
      <c r="B149" s="125"/>
      <c r="C149" s="60" t="s">
        <v>55</v>
      </c>
      <c r="D149" s="61">
        <v>1</v>
      </c>
      <c r="E149" s="62">
        <v>0</v>
      </c>
    </row>
    <row r="150" spans="2:5">
      <c r="B150" s="125"/>
      <c r="C150" s="60" t="s">
        <v>134</v>
      </c>
      <c r="D150" s="61">
        <v>2</v>
      </c>
      <c r="E150" s="62">
        <v>0</v>
      </c>
    </row>
    <row r="151" spans="2:5">
      <c r="B151" s="126"/>
      <c r="C151" s="91" t="s">
        <v>29</v>
      </c>
      <c r="D151" s="65">
        <v>197</v>
      </c>
      <c r="E151" s="66">
        <v>4.2999999999999997E-2</v>
      </c>
    </row>
    <row r="152" spans="2:5" ht="15" customHeight="1">
      <c r="B152" s="124" t="s">
        <v>161</v>
      </c>
      <c r="C152" s="60" t="s">
        <v>92</v>
      </c>
      <c r="D152" s="61">
        <v>12</v>
      </c>
      <c r="E152" s="62">
        <v>3.0000000000000001E-3</v>
      </c>
    </row>
    <row r="153" spans="2:5">
      <c r="B153" s="125"/>
      <c r="C153" s="60" t="s">
        <v>93</v>
      </c>
      <c r="D153" s="61">
        <v>6</v>
      </c>
      <c r="E153" s="62">
        <v>1E-3</v>
      </c>
    </row>
    <row r="154" spans="2:5">
      <c r="B154" s="125"/>
      <c r="C154" s="60" t="s">
        <v>94</v>
      </c>
      <c r="D154" s="61">
        <v>5</v>
      </c>
      <c r="E154" s="62">
        <v>1E-3</v>
      </c>
    </row>
    <row r="155" spans="2:5">
      <c r="B155" s="125"/>
      <c r="C155" s="60" t="s">
        <v>95</v>
      </c>
      <c r="D155" s="61">
        <v>39</v>
      </c>
      <c r="E155" s="62">
        <v>8.9999999999999993E-3</v>
      </c>
    </row>
    <row r="156" spans="2:5">
      <c r="B156" s="125"/>
      <c r="C156" s="60" t="s">
        <v>96</v>
      </c>
      <c r="D156" s="61">
        <v>6</v>
      </c>
      <c r="E156" s="62">
        <v>1E-3</v>
      </c>
    </row>
    <row r="157" spans="2:5">
      <c r="B157" s="125"/>
      <c r="C157" s="60" t="s">
        <v>97</v>
      </c>
      <c r="D157" s="61">
        <v>6</v>
      </c>
      <c r="E157" s="62">
        <v>1E-3</v>
      </c>
    </row>
    <row r="158" spans="2:5">
      <c r="B158" s="125"/>
      <c r="C158" s="60" t="s">
        <v>99</v>
      </c>
      <c r="D158" s="61">
        <v>27</v>
      </c>
      <c r="E158" s="62">
        <v>6.0000000000000001E-3</v>
      </c>
    </row>
    <row r="159" spans="2:5">
      <c r="B159" s="125"/>
      <c r="C159" s="60" t="s">
        <v>100</v>
      </c>
      <c r="D159" s="61">
        <v>17</v>
      </c>
      <c r="E159" s="62">
        <v>4.0000000000000001E-3</v>
      </c>
    </row>
    <row r="160" spans="2:5">
      <c r="B160" s="125"/>
      <c r="C160" s="60" t="s">
        <v>101</v>
      </c>
      <c r="D160" s="61">
        <v>2</v>
      </c>
      <c r="E160" s="62">
        <v>0</v>
      </c>
    </row>
    <row r="161" spans="2:5">
      <c r="B161" s="125"/>
      <c r="C161" s="60" t="s">
        <v>102</v>
      </c>
      <c r="D161" s="61">
        <v>11</v>
      </c>
      <c r="E161" s="62">
        <v>2E-3</v>
      </c>
    </row>
    <row r="162" spans="2:5">
      <c r="B162" s="125"/>
      <c r="C162" s="60" t="s">
        <v>103</v>
      </c>
      <c r="D162" s="61">
        <v>14</v>
      </c>
      <c r="E162" s="62">
        <v>3.0000000000000001E-3</v>
      </c>
    </row>
    <row r="163" spans="2:5">
      <c r="B163" s="125"/>
      <c r="C163" s="60" t="s">
        <v>105</v>
      </c>
      <c r="D163" s="61">
        <v>3</v>
      </c>
      <c r="E163" s="62">
        <v>1E-3</v>
      </c>
    </row>
    <row r="164" spans="2:5">
      <c r="B164" s="125"/>
      <c r="C164" s="60" t="s">
        <v>106</v>
      </c>
      <c r="D164" s="61">
        <v>7</v>
      </c>
      <c r="E164" s="62">
        <v>2E-3</v>
      </c>
    </row>
    <row r="165" spans="2:5">
      <c r="B165" s="125"/>
      <c r="C165" s="60" t="s">
        <v>107</v>
      </c>
      <c r="D165" s="61">
        <v>8</v>
      </c>
      <c r="E165" s="62">
        <v>2E-3</v>
      </c>
    </row>
    <row r="166" spans="2:5">
      <c r="B166" s="125"/>
      <c r="C166" s="60" t="s">
        <v>109</v>
      </c>
      <c r="D166" s="61">
        <v>1</v>
      </c>
      <c r="E166" s="62">
        <v>0</v>
      </c>
    </row>
    <row r="167" spans="2:5">
      <c r="B167" s="125"/>
      <c r="C167" s="60" t="s">
        <v>111</v>
      </c>
      <c r="D167" s="61">
        <v>4</v>
      </c>
      <c r="E167" s="62">
        <v>1E-3</v>
      </c>
    </row>
    <row r="168" spans="2:5">
      <c r="B168" s="125"/>
      <c r="C168" s="60" t="s">
        <v>112</v>
      </c>
      <c r="D168" s="61">
        <v>6</v>
      </c>
      <c r="E168" s="62">
        <v>1E-3</v>
      </c>
    </row>
    <row r="169" spans="2:5">
      <c r="B169" s="125"/>
      <c r="C169" s="60" t="s">
        <v>113</v>
      </c>
      <c r="D169" s="61">
        <v>6</v>
      </c>
      <c r="E169" s="62">
        <v>1E-3</v>
      </c>
    </row>
    <row r="170" spans="2:5">
      <c r="B170" s="125"/>
      <c r="C170" s="60" t="s">
        <v>114</v>
      </c>
      <c r="D170" s="61">
        <v>5</v>
      </c>
      <c r="E170" s="62">
        <v>1E-3</v>
      </c>
    </row>
    <row r="171" spans="2:5">
      <c r="B171" s="125"/>
      <c r="C171" s="60" t="s">
        <v>115</v>
      </c>
      <c r="D171" s="61">
        <v>4</v>
      </c>
      <c r="E171" s="62">
        <v>1E-3</v>
      </c>
    </row>
    <row r="172" spans="2:5">
      <c r="B172" s="125"/>
      <c r="C172" s="60" t="s">
        <v>116</v>
      </c>
      <c r="D172" s="61">
        <v>1</v>
      </c>
      <c r="E172" s="62">
        <v>0</v>
      </c>
    </row>
    <row r="173" spans="2:5">
      <c r="B173" s="125"/>
      <c r="C173" s="60" t="s">
        <v>117</v>
      </c>
      <c r="D173" s="61">
        <v>4</v>
      </c>
      <c r="E173" s="62">
        <v>1E-3</v>
      </c>
    </row>
    <row r="174" spans="2:5">
      <c r="B174" s="125"/>
      <c r="C174" s="60" t="s">
        <v>119</v>
      </c>
      <c r="D174" s="61">
        <v>8</v>
      </c>
      <c r="E174" s="62">
        <v>2E-3</v>
      </c>
    </row>
    <row r="175" spans="2:5">
      <c r="B175" s="125"/>
      <c r="C175" s="60" t="s">
        <v>120</v>
      </c>
      <c r="D175" s="61">
        <v>34</v>
      </c>
      <c r="E175" s="62">
        <v>8.0000000000000002E-3</v>
      </c>
    </row>
    <row r="176" spans="2:5">
      <c r="B176" s="125"/>
      <c r="C176" s="60" t="s">
        <v>122</v>
      </c>
      <c r="D176" s="61">
        <v>8</v>
      </c>
      <c r="E176" s="62">
        <v>2E-3</v>
      </c>
    </row>
    <row r="177" spans="2:5">
      <c r="B177" s="125"/>
      <c r="C177" s="60" t="s">
        <v>123</v>
      </c>
      <c r="D177" s="61">
        <v>12</v>
      </c>
      <c r="E177" s="62">
        <v>3.0000000000000001E-3</v>
      </c>
    </row>
    <row r="178" spans="2:5">
      <c r="B178" s="125"/>
      <c r="C178" s="60" t="s">
        <v>124</v>
      </c>
      <c r="D178" s="61">
        <v>1</v>
      </c>
      <c r="E178" s="62">
        <v>0</v>
      </c>
    </row>
    <row r="179" spans="2:5">
      <c r="B179" s="125"/>
      <c r="C179" s="60" t="s">
        <v>125</v>
      </c>
      <c r="D179" s="61">
        <v>2</v>
      </c>
      <c r="E179" s="62">
        <v>0</v>
      </c>
    </row>
    <row r="180" spans="2:5">
      <c r="B180" s="125"/>
      <c r="C180" s="60" t="s">
        <v>127</v>
      </c>
      <c r="D180" s="61">
        <v>13</v>
      </c>
      <c r="E180" s="62">
        <v>3.0000000000000001E-3</v>
      </c>
    </row>
    <row r="181" spans="2:5">
      <c r="B181" s="125"/>
      <c r="C181" s="60" t="s">
        <v>128</v>
      </c>
      <c r="D181" s="61">
        <v>8</v>
      </c>
      <c r="E181" s="62">
        <v>2E-3</v>
      </c>
    </row>
    <row r="182" spans="2:5">
      <c r="B182" s="125"/>
      <c r="C182" s="60" t="s">
        <v>129</v>
      </c>
      <c r="D182" s="61">
        <v>86</v>
      </c>
      <c r="E182" s="62">
        <v>1.9E-2</v>
      </c>
    </row>
    <row r="183" spans="2:5">
      <c r="B183" s="125"/>
      <c r="C183" s="60" t="s">
        <v>130</v>
      </c>
      <c r="D183" s="61">
        <v>1</v>
      </c>
      <c r="E183" s="62">
        <v>0</v>
      </c>
    </row>
    <row r="184" spans="2:5">
      <c r="B184" s="125"/>
      <c r="C184" s="60" t="s">
        <v>131</v>
      </c>
      <c r="D184" s="61">
        <v>3</v>
      </c>
      <c r="E184" s="62">
        <v>1E-3</v>
      </c>
    </row>
    <row r="185" spans="2:5">
      <c r="B185" s="125"/>
      <c r="C185" s="60" t="s">
        <v>132</v>
      </c>
      <c r="D185" s="61">
        <v>20</v>
      </c>
      <c r="E185" s="62">
        <v>4.0000000000000001E-3</v>
      </c>
    </row>
    <row r="186" spans="2:5">
      <c r="B186" s="125"/>
      <c r="C186" s="60" t="s">
        <v>133</v>
      </c>
      <c r="D186" s="61">
        <v>4</v>
      </c>
      <c r="E186" s="62">
        <v>1E-3</v>
      </c>
    </row>
    <row r="187" spans="2:5" ht="15" customHeight="1">
      <c r="B187" s="126"/>
      <c r="C187" s="91" t="s">
        <v>29</v>
      </c>
      <c r="D187" s="65">
        <v>394</v>
      </c>
      <c r="E187" s="66">
        <v>8.6999999999999994E-2</v>
      </c>
    </row>
    <row r="188" spans="2:5">
      <c r="B188" s="124" t="s">
        <v>232</v>
      </c>
      <c r="C188" s="60" t="s">
        <v>95</v>
      </c>
      <c r="D188" s="61">
        <v>2</v>
      </c>
      <c r="E188" s="62">
        <v>0</v>
      </c>
    </row>
    <row r="189" spans="2:5">
      <c r="B189" s="125"/>
      <c r="C189" s="60" t="s">
        <v>96</v>
      </c>
      <c r="D189" s="61">
        <v>1</v>
      </c>
      <c r="E189" s="62">
        <v>0</v>
      </c>
    </row>
    <row r="190" spans="2:5">
      <c r="B190" s="125"/>
      <c r="C190" s="60" t="s">
        <v>100</v>
      </c>
      <c r="D190" s="61">
        <v>1</v>
      </c>
      <c r="E190" s="62">
        <v>0</v>
      </c>
    </row>
    <row r="191" spans="2:5">
      <c r="B191" s="125"/>
      <c r="C191" s="60" t="s">
        <v>105</v>
      </c>
      <c r="D191" s="61">
        <v>1</v>
      </c>
      <c r="E191" s="62">
        <v>0</v>
      </c>
    </row>
    <row r="192" spans="2:5">
      <c r="B192" s="125"/>
      <c r="C192" s="60" t="s">
        <v>107</v>
      </c>
      <c r="D192" s="61">
        <v>1</v>
      </c>
      <c r="E192" s="62">
        <v>0</v>
      </c>
    </row>
    <row r="193" spans="2:5">
      <c r="B193" s="125"/>
      <c r="C193" s="60" t="s">
        <v>113</v>
      </c>
      <c r="D193" s="61">
        <v>1</v>
      </c>
      <c r="E193" s="62">
        <v>0</v>
      </c>
    </row>
    <row r="194" spans="2:5">
      <c r="B194" s="125"/>
      <c r="C194" s="60" t="s">
        <v>114</v>
      </c>
      <c r="D194" s="61">
        <v>1</v>
      </c>
      <c r="E194" s="62">
        <v>0</v>
      </c>
    </row>
    <row r="195" spans="2:5">
      <c r="B195" s="125"/>
      <c r="C195" s="60" t="s">
        <v>120</v>
      </c>
      <c r="D195" s="61">
        <v>2</v>
      </c>
      <c r="E195" s="62">
        <v>0</v>
      </c>
    </row>
    <row r="196" spans="2:5">
      <c r="B196" s="125"/>
      <c r="C196" s="60" t="s">
        <v>129</v>
      </c>
      <c r="D196" s="61">
        <v>8</v>
      </c>
      <c r="E196" s="62">
        <v>2E-3</v>
      </c>
    </row>
    <row r="197" spans="2:5">
      <c r="B197" s="125"/>
      <c r="C197" s="60" t="s">
        <v>131</v>
      </c>
      <c r="D197" s="61">
        <v>1</v>
      </c>
      <c r="E197" s="62">
        <v>0</v>
      </c>
    </row>
    <row r="198" spans="2:5">
      <c r="B198" s="126"/>
      <c r="C198" s="91" t="s">
        <v>29</v>
      </c>
      <c r="D198" s="65">
        <v>19</v>
      </c>
      <c r="E198" s="66">
        <v>4.0000000000000001E-3</v>
      </c>
    </row>
    <row r="199" spans="2:5">
      <c r="B199" s="124" t="s">
        <v>233</v>
      </c>
      <c r="C199" s="60" t="s">
        <v>92</v>
      </c>
      <c r="D199" s="61">
        <v>1</v>
      </c>
      <c r="E199" s="62">
        <v>0</v>
      </c>
    </row>
    <row r="200" spans="2:5">
      <c r="B200" s="125"/>
      <c r="C200" s="60" t="s">
        <v>93</v>
      </c>
      <c r="D200" s="61">
        <v>1</v>
      </c>
      <c r="E200" s="62">
        <v>0</v>
      </c>
    </row>
    <row r="201" spans="2:5">
      <c r="B201" s="125"/>
      <c r="C201" s="60" t="s">
        <v>95</v>
      </c>
      <c r="D201" s="61">
        <v>5</v>
      </c>
      <c r="E201" s="62">
        <v>1E-3</v>
      </c>
    </row>
    <row r="202" spans="2:5">
      <c r="B202" s="125"/>
      <c r="C202" s="60" t="s">
        <v>96</v>
      </c>
      <c r="D202" s="61">
        <v>2</v>
      </c>
      <c r="E202" s="62">
        <v>0</v>
      </c>
    </row>
    <row r="203" spans="2:5">
      <c r="B203" s="125"/>
      <c r="C203" s="60" t="s">
        <v>97</v>
      </c>
      <c r="D203" s="61">
        <v>1</v>
      </c>
      <c r="E203" s="62">
        <v>0</v>
      </c>
    </row>
    <row r="204" spans="2:5">
      <c r="B204" s="125"/>
      <c r="C204" s="60" t="s">
        <v>99</v>
      </c>
      <c r="D204" s="61">
        <v>4</v>
      </c>
      <c r="E204" s="62">
        <v>1E-3</v>
      </c>
    </row>
    <row r="205" spans="2:5">
      <c r="B205" s="125"/>
      <c r="C205" s="60" t="s">
        <v>100</v>
      </c>
      <c r="D205" s="61">
        <v>2</v>
      </c>
      <c r="E205" s="62">
        <v>0</v>
      </c>
    </row>
    <row r="206" spans="2:5">
      <c r="B206" s="125"/>
      <c r="C206" s="60" t="s">
        <v>103</v>
      </c>
      <c r="D206" s="61">
        <v>2</v>
      </c>
      <c r="E206" s="62">
        <v>0</v>
      </c>
    </row>
    <row r="207" spans="2:5">
      <c r="B207" s="125"/>
      <c r="C207" s="60" t="s">
        <v>104</v>
      </c>
      <c r="D207" s="61">
        <v>1</v>
      </c>
      <c r="E207" s="62">
        <v>0</v>
      </c>
    </row>
    <row r="208" spans="2:5">
      <c r="B208" s="125"/>
      <c r="C208" s="60" t="s">
        <v>106</v>
      </c>
      <c r="D208" s="61">
        <v>1</v>
      </c>
      <c r="E208" s="62">
        <v>0</v>
      </c>
    </row>
    <row r="209" spans="2:5">
      <c r="B209" s="125"/>
      <c r="C209" s="60" t="s">
        <v>107</v>
      </c>
      <c r="D209" s="61">
        <v>2</v>
      </c>
      <c r="E209" s="62">
        <v>0</v>
      </c>
    </row>
    <row r="210" spans="2:5">
      <c r="B210" s="125"/>
      <c r="C210" s="60" t="s">
        <v>108</v>
      </c>
      <c r="D210" s="61">
        <v>1</v>
      </c>
      <c r="E210" s="62">
        <v>0</v>
      </c>
    </row>
    <row r="211" spans="2:5">
      <c r="B211" s="125"/>
      <c r="C211" s="60" t="s">
        <v>109</v>
      </c>
      <c r="D211" s="61">
        <v>1</v>
      </c>
      <c r="E211" s="62">
        <v>0</v>
      </c>
    </row>
    <row r="212" spans="2:5">
      <c r="B212" s="125"/>
      <c r="C212" s="60" t="s">
        <v>110</v>
      </c>
      <c r="D212" s="61">
        <v>1</v>
      </c>
      <c r="E212" s="62">
        <v>0</v>
      </c>
    </row>
    <row r="213" spans="2:5">
      <c r="B213" s="125"/>
      <c r="C213" s="60" t="s">
        <v>111</v>
      </c>
      <c r="D213" s="61">
        <v>1</v>
      </c>
      <c r="E213" s="62">
        <v>0</v>
      </c>
    </row>
    <row r="214" spans="2:5">
      <c r="B214" s="125"/>
      <c r="C214" s="60" t="s">
        <v>113</v>
      </c>
      <c r="D214" s="61">
        <v>1</v>
      </c>
      <c r="E214" s="62">
        <v>0</v>
      </c>
    </row>
    <row r="215" spans="2:5">
      <c r="B215" s="125"/>
      <c r="C215" s="60" t="s">
        <v>115</v>
      </c>
      <c r="D215" s="61">
        <v>1</v>
      </c>
      <c r="E215" s="62">
        <v>0</v>
      </c>
    </row>
    <row r="216" spans="2:5">
      <c r="B216" s="125"/>
      <c r="C216" s="60" t="s">
        <v>117</v>
      </c>
      <c r="D216" s="61">
        <v>1</v>
      </c>
      <c r="E216" s="62">
        <v>0</v>
      </c>
    </row>
    <row r="217" spans="2:5">
      <c r="B217" s="125"/>
      <c r="C217" s="60" t="s">
        <v>119</v>
      </c>
      <c r="D217" s="61">
        <v>2</v>
      </c>
      <c r="E217" s="62">
        <v>0</v>
      </c>
    </row>
    <row r="218" spans="2:5">
      <c r="B218" s="125"/>
      <c r="C218" s="60" t="s">
        <v>120</v>
      </c>
      <c r="D218" s="61">
        <v>4</v>
      </c>
      <c r="E218" s="62">
        <v>1E-3</v>
      </c>
    </row>
    <row r="219" spans="2:5">
      <c r="B219" s="125"/>
      <c r="C219" s="60" t="s">
        <v>122</v>
      </c>
      <c r="D219" s="61">
        <v>1</v>
      </c>
      <c r="E219" s="62">
        <v>0</v>
      </c>
    </row>
    <row r="220" spans="2:5">
      <c r="B220" s="125"/>
      <c r="C220" s="60" t="s">
        <v>123</v>
      </c>
      <c r="D220" s="61">
        <v>2</v>
      </c>
      <c r="E220" s="62">
        <v>0</v>
      </c>
    </row>
    <row r="221" spans="2:5">
      <c r="B221" s="125"/>
      <c r="C221" s="60" t="s">
        <v>124</v>
      </c>
      <c r="D221" s="61">
        <v>1</v>
      </c>
      <c r="E221" s="62">
        <v>0</v>
      </c>
    </row>
    <row r="222" spans="2:5">
      <c r="B222" s="125"/>
      <c r="C222" s="60" t="s">
        <v>125</v>
      </c>
      <c r="D222" s="61">
        <v>1</v>
      </c>
      <c r="E222" s="62">
        <v>0</v>
      </c>
    </row>
    <row r="223" spans="2:5">
      <c r="B223" s="125"/>
      <c r="C223" s="60" t="s">
        <v>127</v>
      </c>
      <c r="D223" s="61">
        <v>3</v>
      </c>
      <c r="E223" s="62">
        <v>1E-3</v>
      </c>
    </row>
    <row r="224" spans="2:5">
      <c r="B224" s="125"/>
      <c r="C224" s="60" t="s">
        <v>128</v>
      </c>
      <c r="D224" s="61">
        <v>2</v>
      </c>
      <c r="E224" s="62">
        <v>0</v>
      </c>
    </row>
    <row r="225" spans="2:5">
      <c r="B225" s="125"/>
      <c r="C225" s="60" t="s">
        <v>129</v>
      </c>
      <c r="D225" s="61">
        <v>25</v>
      </c>
      <c r="E225" s="62">
        <v>6.0000000000000001E-3</v>
      </c>
    </row>
    <row r="226" spans="2:5">
      <c r="B226" s="125"/>
      <c r="C226" s="60" t="s">
        <v>130</v>
      </c>
      <c r="D226" s="61">
        <v>1</v>
      </c>
      <c r="E226" s="62">
        <v>0</v>
      </c>
    </row>
    <row r="227" spans="2:5">
      <c r="B227" s="125"/>
      <c r="C227" s="60" t="s">
        <v>131</v>
      </c>
      <c r="D227" s="61">
        <v>1</v>
      </c>
      <c r="E227" s="62">
        <v>0</v>
      </c>
    </row>
    <row r="228" spans="2:5">
      <c r="B228" s="125"/>
      <c r="C228" s="60" t="s">
        <v>132</v>
      </c>
      <c r="D228" s="61">
        <v>5</v>
      </c>
      <c r="E228" s="62">
        <v>1E-3</v>
      </c>
    </row>
    <row r="229" spans="2:5">
      <c r="B229" s="125"/>
      <c r="C229" s="60" t="s">
        <v>55</v>
      </c>
      <c r="D229" s="61">
        <v>2</v>
      </c>
      <c r="E229" s="62">
        <v>0</v>
      </c>
    </row>
    <row r="230" spans="2:5">
      <c r="B230" s="126"/>
      <c r="C230" s="91" t="s">
        <v>29</v>
      </c>
      <c r="D230" s="65">
        <v>79</v>
      </c>
      <c r="E230" s="66">
        <v>1.7000000000000001E-2</v>
      </c>
    </row>
    <row r="231" spans="2:5">
      <c r="B231" s="124" t="s">
        <v>234</v>
      </c>
      <c r="C231" s="60" t="s">
        <v>92</v>
      </c>
      <c r="D231" s="61">
        <v>6</v>
      </c>
      <c r="E231" s="62">
        <v>1E-3</v>
      </c>
    </row>
    <row r="232" spans="2:5">
      <c r="B232" s="125"/>
      <c r="C232" s="60" t="s">
        <v>93</v>
      </c>
      <c r="D232" s="61">
        <v>5</v>
      </c>
      <c r="E232" s="62">
        <v>1E-3</v>
      </c>
    </row>
    <row r="233" spans="2:5">
      <c r="B233" s="125"/>
      <c r="C233" s="60" t="s">
        <v>94</v>
      </c>
      <c r="D233" s="61">
        <v>2</v>
      </c>
      <c r="E233" s="62">
        <v>0</v>
      </c>
    </row>
    <row r="234" spans="2:5">
      <c r="B234" s="125"/>
      <c r="C234" s="60" t="s">
        <v>95</v>
      </c>
      <c r="D234" s="61">
        <v>22</v>
      </c>
      <c r="E234" s="62">
        <v>5.0000000000000001E-3</v>
      </c>
    </row>
    <row r="235" spans="2:5">
      <c r="B235" s="125"/>
      <c r="C235" s="60" t="s">
        <v>96</v>
      </c>
      <c r="D235" s="61">
        <v>11</v>
      </c>
      <c r="E235" s="62">
        <v>2E-3</v>
      </c>
    </row>
    <row r="236" spans="2:5">
      <c r="B236" s="125"/>
      <c r="C236" s="60" t="s">
        <v>99</v>
      </c>
      <c r="D236" s="61">
        <v>11</v>
      </c>
      <c r="E236" s="62">
        <v>2E-3</v>
      </c>
    </row>
    <row r="237" spans="2:5">
      <c r="B237" s="125"/>
      <c r="C237" s="60" t="s">
        <v>100</v>
      </c>
      <c r="D237" s="61">
        <v>7</v>
      </c>
      <c r="E237" s="62">
        <v>2E-3</v>
      </c>
    </row>
    <row r="238" spans="2:5">
      <c r="B238" s="125"/>
      <c r="C238" s="60" t="s">
        <v>102</v>
      </c>
      <c r="D238" s="61">
        <v>10</v>
      </c>
      <c r="E238" s="62">
        <v>2E-3</v>
      </c>
    </row>
    <row r="239" spans="2:5">
      <c r="B239" s="125"/>
      <c r="C239" s="60" t="s">
        <v>103</v>
      </c>
      <c r="D239" s="61">
        <v>5</v>
      </c>
      <c r="E239" s="62">
        <v>1E-3</v>
      </c>
    </row>
    <row r="240" spans="2:5">
      <c r="B240" s="125"/>
      <c r="C240" s="60" t="s">
        <v>104</v>
      </c>
      <c r="D240" s="61">
        <v>1</v>
      </c>
      <c r="E240" s="62">
        <v>0</v>
      </c>
    </row>
    <row r="241" spans="2:5">
      <c r="B241" s="125"/>
      <c r="C241" s="60" t="s">
        <v>107</v>
      </c>
      <c r="D241" s="61">
        <v>3</v>
      </c>
      <c r="E241" s="62">
        <v>1E-3</v>
      </c>
    </row>
    <row r="242" spans="2:5">
      <c r="B242" s="125"/>
      <c r="C242" s="60" t="s">
        <v>112</v>
      </c>
      <c r="D242" s="61">
        <v>2</v>
      </c>
      <c r="E242" s="62">
        <v>0</v>
      </c>
    </row>
    <row r="243" spans="2:5">
      <c r="B243" s="125"/>
      <c r="C243" s="60" t="s">
        <v>113</v>
      </c>
      <c r="D243" s="61">
        <v>1</v>
      </c>
      <c r="E243" s="62">
        <v>0</v>
      </c>
    </row>
    <row r="244" spans="2:5">
      <c r="B244" s="125"/>
      <c r="C244" s="60" t="s">
        <v>114</v>
      </c>
      <c r="D244" s="61">
        <v>2</v>
      </c>
      <c r="E244" s="62">
        <v>0</v>
      </c>
    </row>
    <row r="245" spans="2:5">
      <c r="B245" s="125"/>
      <c r="C245" s="60" t="s">
        <v>116</v>
      </c>
      <c r="D245" s="61">
        <v>1</v>
      </c>
      <c r="E245" s="62">
        <v>0</v>
      </c>
    </row>
    <row r="246" spans="2:5">
      <c r="B246" s="125"/>
      <c r="C246" s="60" t="s">
        <v>117</v>
      </c>
      <c r="D246" s="61">
        <v>2</v>
      </c>
      <c r="E246" s="62">
        <v>0</v>
      </c>
    </row>
    <row r="247" spans="2:5">
      <c r="B247" s="125"/>
      <c r="C247" s="60" t="s">
        <v>119</v>
      </c>
      <c r="D247" s="61">
        <v>2</v>
      </c>
      <c r="E247" s="62">
        <v>0</v>
      </c>
    </row>
    <row r="248" spans="2:5">
      <c r="B248" s="125"/>
      <c r="C248" s="60" t="s">
        <v>120</v>
      </c>
      <c r="D248" s="61">
        <v>17</v>
      </c>
      <c r="E248" s="62">
        <v>4.0000000000000001E-3</v>
      </c>
    </row>
    <row r="249" spans="2:5">
      <c r="B249" s="125"/>
      <c r="C249" s="60" t="s">
        <v>122</v>
      </c>
      <c r="D249" s="61">
        <v>3</v>
      </c>
      <c r="E249" s="62">
        <v>1E-3</v>
      </c>
    </row>
    <row r="250" spans="2:5">
      <c r="B250" s="125"/>
      <c r="C250" s="60" t="s">
        <v>123</v>
      </c>
      <c r="D250" s="61">
        <v>2</v>
      </c>
      <c r="E250" s="62">
        <v>0</v>
      </c>
    </row>
    <row r="251" spans="2:5">
      <c r="B251" s="125"/>
      <c r="C251" s="60" t="s">
        <v>124</v>
      </c>
      <c r="D251" s="61">
        <v>1</v>
      </c>
      <c r="E251" s="62">
        <v>0</v>
      </c>
    </row>
    <row r="252" spans="2:5" ht="15" customHeight="1">
      <c r="B252" s="125"/>
      <c r="C252" s="60" t="s">
        <v>127</v>
      </c>
      <c r="D252" s="61">
        <v>4</v>
      </c>
      <c r="E252" s="62">
        <v>1E-3</v>
      </c>
    </row>
    <row r="253" spans="2:5">
      <c r="B253" s="125"/>
      <c r="C253" s="60" t="s">
        <v>128</v>
      </c>
      <c r="D253" s="61">
        <v>7</v>
      </c>
      <c r="E253" s="62">
        <v>2E-3</v>
      </c>
    </row>
    <row r="254" spans="2:5">
      <c r="B254" s="125"/>
      <c r="C254" s="60" t="s">
        <v>129</v>
      </c>
      <c r="D254" s="61">
        <v>61</v>
      </c>
      <c r="E254" s="62">
        <v>1.2999999999999999E-2</v>
      </c>
    </row>
    <row r="255" spans="2:5">
      <c r="B255" s="125"/>
      <c r="C255" s="60" t="s">
        <v>130</v>
      </c>
      <c r="D255" s="61">
        <v>1</v>
      </c>
      <c r="E255" s="62">
        <v>0</v>
      </c>
    </row>
    <row r="256" spans="2:5">
      <c r="B256" s="125"/>
      <c r="C256" s="60" t="s">
        <v>132</v>
      </c>
      <c r="D256" s="61">
        <v>14</v>
      </c>
      <c r="E256" s="62">
        <v>3.0000000000000001E-3</v>
      </c>
    </row>
    <row r="257" spans="2:5">
      <c r="B257" s="125"/>
      <c r="C257" s="60" t="s">
        <v>133</v>
      </c>
      <c r="D257" s="61">
        <v>6</v>
      </c>
      <c r="E257" s="62">
        <v>1E-3</v>
      </c>
    </row>
    <row r="258" spans="2:5">
      <c r="B258" s="125"/>
      <c r="C258" s="60" t="s">
        <v>134</v>
      </c>
      <c r="D258" s="61">
        <v>1</v>
      </c>
      <c r="E258" s="62">
        <v>0</v>
      </c>
    </row>
    <row r="259" spans="2:5">
      <c r="B259" s="126"/>
      <c r="C259" s="91" t="s">
        <v>29</v>
      </c>
      <c r="D259" s="65">
        <v>210</v>
      </c>
      <c r="E259" s="66">
        <v>4.5999999999999999E-2</v>
      </c>
    </row>
    <row r="260" spans="2:5" ht="15" customHeight="1">
      <c r="B260" s="124" t="s">
        <v>165</v>
      </c>
      <c r="C260" s="60" t="s">
        <v>92</v>
      </c>
      <c r="D260" s="61">
        <v>51</v>
      </c>
      <c r="E260" s="62">
        <v>1.0999999999999999E-2</v>
      </c>
    </row>
    <row r="261" spans="2:5">
      <c r="B261" s="125"/>
      <c r="C261" s="60" t="s">
        <v>93</v>
      </c>
      <c r="D261" s="61">
        <v>10</v>
      </c>
      <c r="E261" s="62">
        <v>2E-3</v>
      </c>
    </row>
    <row r="262" spans="2:5">
      <c r="B262" s="125"/>
      <c r="C262" s="60" t="s">
        <v>94</v>
      </c>
      <c r="D262" s="61">
        <v>17</v>
      </c>
      <c r="E262" s="62">
        <v>4.0000000000000001E-3</v>
      </c>
    </row>
    <row r="263" spans="2:5">
      <c r="B263" s="125"/>
      <c r="C263" s="60" t="s">
        <v>95</v>
      </c>
      <c r="D263" s="61">
        <v>112</v>
      </c>
      <c r="E263" s="62">
        <v>2.5000000000000001E-2</v>
      </c>
    </row>
    <row r="264" spans="2:5">
      <c r="B264" s="125"/>
      <c r="C264" s="60" t="s">
        <v>96</v>
      </c>
      <c r="D264" s="61">
        <v>32</v>
      </c>
      <c r="E264" s="62">
        <v>7.0000000000000001E-3</v>
      </c>
    </row>
    <row r="265" spans="2:5">
      <c r="B265" s="125"/>
      <c r="C265" s="60" t="s">
        <v>97</v>
      </c>
      <c r="D265" s="61">
        <v>4</v>
      </c>
      <c r="E265" s="62">
        <v>1E-3</v>
      </c>
    </row>
    <row r="266" spans="2:5">
      <c r="B266" s="125"/>
      <c r="C266" s="60" t="s">
        <v>98</v>
      </c>
      <c r="D266" s="61">
        <v>1</v>
      </c>
      <c r="E266" s="62">
        <v>0</v>
      </c>
    </row>
    <row r="267" spans="2:5">
      <c r="B267" s="125"/>
      <c r="C267" s="60" t="s">
        <v>99</v>
      </c>
      <c r="D267" s="61">
        <v>62</v>
      </c>
      <c r="E267" s="62">
        <v>1.4E-2</v>
      </c>
    </row>
    <row r="268" spans="2:5">
      <c r="B268" s="125"/>
      <c r="C268" s="60" t="s">
        <v>100</v>
      </c>
      <c r="D268" s="61">
        <v>88</v>
      </c>
      <c r="E268" s="62">
        <v>1.9E-2</v>
      </c>
    </row>
    <row r="269" spans="2:5">
      <c r="B269" s="125"/>
      <c r="C269" s="60" t="s">
        <v>101</v>
      </c>
      <c r="D269" s="61">
        <v>2</v>
      </c>
      <c r="E269" s="62">
        <v>0</v>
      </c>
    </row>
    <row r="270" spans="2:5">
      <c r="B270" s="125"/>
      <c r="C270" s="60" t="s">
        <v>102</v>
      </c>
      <c r="D270" s="61">
        <v>50</v>
      </c>
      <c r="E270" s="62">
        <v>1.0999999999999999E-2</v>
      </c>
    </row>
    <row r="271" spans="2:5">
      <c r="B271" s="125"/>
      <c r="C271" s="60" t="s">
        <v>103</v>
      </c>
      <c r="D271" s="61">
        <v>50</v>
      </c>
      <c r="E271" s="62">
        <v>1.0999999999999999E-2</v>
      </c>
    </row>
    <row r="272" spans="2:5">
      <c r="B272" s="125"/>
      <c r="C272" s="60" t="s">
        <v>104</v>
      </c>
      <c r="D272" s="61">
        <v>11</v>
      </c>
      <c r="E272" s="62">
        <v>2E-3</v>
      </c>
    </row>
    <row r="273" spans="2:5">
      <c r="B273" s="125"/>
      <c r="C273" s="60" t="s">
        <v>105</v>
      </c>
      <c r="D273" s="61">
        <v>15</v>
      </c>
      <c r="E273" s="62">
        <v>3.0000000000000001E-3</v>
      </c>
    </row>
    <row r="274" spans="2:5">
      <c r="B274" s="125"/>
      <c r="C274" s="60" t="s">
        <v>106</v>
      </c>
      <c r="D274" s="61">
        <v>14</v>
      </c>
      <c r="E274" s="62">
        <v>3.0000000000000001E-3</v>
      </c>
    </row>
    <row r="275" spans="2:5">
      <c r="B275" s="125"/>
      <c r="C275" s="60" t="s">
        <v>107</v>
      </c>
      <c r="D275" s="61">
        <v>23</v>
      </c>
      <c r="E275" s="62">
        <v>5.0000000000000001E-3</v>
      </c>
    </row>
    <row r="276" spans="2:5">
      <c r="B276" s="125"/>
      <c r="C276" s="60" t="s">
        <v>108</v>
      </c>
      <c r="D276" s="61">
        <v>2</v>
      </c>
      <c r="E276" s="62">
        <v>0</v>
      </c>
    </row>
    <row r="277" spans="2:5">
      <c r="B277" s="125"/>
      <c r="C277" s="60" t="s">
        <v>109</v>
      </c>
      <c r="D277" s="61">
        <v>8</v>
      </c>
      <c r="E277" s="62">
        <v>2E-3</v>
      </c>
    </row>
    <row r="278" spans="2:5">
      <c r="B278" s="125"/>
      <c r="C278" s="60" t="s">
        <v>110</v>
      </c>
      <c r="D278" s="61">
        <v>4</v>
      </c>
      <c r="E278" s="62">
        <v>1E-3</v>
      </c>
    </row>
    <row r="279" spans="2:5">
      <c r="B279" s="125"/>
      <c r="C279" s="60" t="s">
        <v>111</v>
      </c>
      <c r="D279" s="61">
        <v>19</v>
      </c>
      <c r="E279" s="62">
        <v>4.0000000000000001E-3</v>
      </c>
    </row>
    <row r="280" spans="2:5">
      <c r="B280" s="125"/>
      <c r="C280" s="60" t="s">
        <v>112</v>
      </c>
      <c r="D280" s="61">
        <v>9</v>
      </c>
      <c r="E280" s="62">
        <v>2E-3</v>
      </c>
    </row>
    <row r="281" spans="2:5">
      <c r="B281" s="125"/>
      <c r="C281" s="60" t="s">
        <v>113</v>
      </c>
      <c r="D281" s="61">
        <v>24</v>
      </c>
      <c r="E281" s="62">
        <v>5.0000000000000001E-3</v>
      </c>
    </row>
    <row r="282" spans="2:5">
      <c r="B282" s="125"/>
      <c r="C282" s="60" t="s">
        <v>114</v>
      </c>
      <c r="D282" s="61">
        <v>13</v>
      </c>
      <c r="E282" s="62">
        <v>3.0000000000000001E-3</v>
      </c>
    </row>
    <row r="283" spans="2:5">
      <c r="B283" s="125"/>
      <c r="C283" s="60" t="s">
        <v>115</v>
      </c>
      <c r="D283" s="61">
        <v>7</v>
      </c>
      <c r="E283" s="62">
        <v>2E-3</v>
      </c>
    </row>
    <row r="284" spans="2:5">
      <c r="B284" s="125"/>
      <c r="C284" s="60" t="s">
        <v>116</v>
      </c>
      <c r="D284" s="61">
        <v>13</v>
      </c>
      <c r="E284" s="62">
        <v>3.0000000000000001E-3</v>
      </c>
    </row>
    <row r="285" spans="2:5">
      <c r="B285" s="125"/>
      <c r="C285" s="60" t="s">
        <v>223</v>
      </c>
      <c r="D285" s="61">
        <v>1</v>
      </c>
      <c r="E285" s="62">
        <v>0</v>
      </c>
    </row>
    <row r="286" spans="2:5">
      <c r="B286" s="125"/>
      <c r="C286" s="60" t="s">
        <v>117</v>
      </c>
      <c r="D286" s="61">
        <v>13</v>
      </c>
      <c r="E286" s="62">
        <v>3.0000000000000001E-3</v>
      </c>
    </row>
    <row r="287" spans="2:5">
      <c r="B287" s="125"/>
      <c r="C287" s="60" t="s">
        <v>118</v>
      </c>
      <c r="D287" s="61">
        <v>6</v>
      </c>
      <c r="E287" s="62">
        <v>1E-3</v>
      </c>
    </row>
    <row r="288" spans="2:5">
      <c r="B288" s="125"/>
      <c r="C288" s="60" t="s">
        <v>119</v>
      </c>
      <c r="D288" s="61">
        <v>32</v>
      </c>
      <c r="E288" s="62">
        <v>7.0000000000000001E-3</v>
      </c>
    </row>
    <row r="289" spans="2:5">
      <c r="B289" s="125"/>
      <c r="C289" s="60" t="s">
        <v>120</v>
      </c>
      <c r="D289" s="61">
        <v>152</v>
      </c>
      <c r="E289" s="62">
        <v>3.4000000000000002E-2</v>
      </c>
    </row>
    <row r="290" spans="2:5">
      <c r="B290" s="125"/>
      <c r="C290" s="60" t="s">
        <v>122</v>
      </c>
      <c r="D290" s="61">
        <v>20</v>
      </c>
      <c r="E290" s="62">
        <v>4.0000000000000001E-3</v>
      </c>
    </row>
    <row r="291" spans="2:5">
      <c r="B291" s="125"/>
      <c r="C291" s="60" t="s">
        <v>123</v>
      </c>
      <c r="D291" s="61">
        <v>44</v>
      </c>
      <c r="E291" s="62">
        <v>0.01</v>
      </c>
    </row>
    <row r="292" spans="2:5">
      <c r="B292" s="125"/>
      <c r="C292" s="60" t="s">
        <v>124</v>
      </c>
      <c r="D292" s="61">
        <v>4</v>
      </c>
      <c r="E292" s="62">
        <v>1E-3</v>
      </c>
    </row>
    <row r="293" spans="2:5">
      <c r="B293" s="125"/>
      <c r="C293" s="60" t="s">
        <v>125</v>
      </c>
      <c r="D293" s="61">
        <v>10</v>
      </c>
      <c r="E293" s="62">
        <v>2E-3</v>
      </c>
    </row>
    <row r="294" spans="2:5">
      <c r="B294" s="125"/>
      <c r="C294" s="60" t="s">
        <v>126</v>
      </c>
      <c r="D294" s="61">
        <v>1</v>
      </c>
      <c r="E294" s="62">
        <v>0</v>
      </c>
    </row>
    <row r="295" spans="2:5">
      <c r="B295" s="125"/>
      <c r="C295" s="60" t="s">
        <v>127</v>
      </c>
      <c r="D295" s="61">
        <v>61</v>
      </c>
      <c r="E295" s="62">
        <v>1.2999999999999999E-2</v>
      </c>
    </row>
    <row r="296" spans="2:5" ht="15" customHeight="1">
      <c r="B296" s="125"/>
      <c r="C296" s="60" t="s">
        <v>128</v>
      </c>
      <c r="D296" s="61">
        <v>34</v>
      </c>
      <c r="E296" s="62">
        <v>8.0000000000000002E-3</v>
      </c>
    </row>
    <row r="297" spans="2:5">
      <c r="B297" s="125"/>
      <c r="C297" s="60" t="s">
        <v>129</v>
      </c>
      <c r="D297" s="61">
        <v>343</v>
      </c>
      <c r="E297" s="62">
        <v>7.5999999999999998E-2</v>
      </c>
    </row>
    <row r="298" spans="2:5">
      <c r="B298" s="125"/>
      <c r="C298" s="60" t="s">
        <v>130</v>
      </c>
      <c r="D298" s="61">
        <v>15</v>
      </c>
      <c r="E298" s="62">
        <v>3.0000000000000001E-3</v>
      </c>
    </row>
    <row r="299" spans="2:5">
      <c r="B299" s="125"/>
      <c r="C299" s="60" t="s">
        <v>131</v>
      </c>
      <c r="D299" s="61">
        <v>8</v>
      </c>
      <c r="E299" s="62">
        <v>2E-3</v>
      </c>
    </row>
    <row r="300" spans="2:5">
      <c r="B300" s="125"/>
      <c r="C300" s="60" t="s">
        <v>132</v>
      </c>
      <c r="D300" s="61">
        <v>63</v>
      </c>
      <c r="E300" s="62">
        <v>1.4E-2</v>
      </c>
    </row>
    <row r="301" spans="2:5">
      <c r="B301" s="125"/>
      <c r="C301" s="60" t="s">
        <v>55</v>
      </c>
      <c r="D301" s="61">
        <v>8</v>
      </c>
      <c r="E301" s="62">
        <v>2E-3</v>
      </c>
    </row>
    <row r="302" spans="2:5">
      <c r="B302" s="125"/>
      <c r="C302" s="60" t="s">
        <v>133</v>
      </c>
      <c r="D302" s="61">
        <v>22</v>
      </c>
      <c r="E302" s="62">
        <v>5.0000000000000001E-3</v>
      </c>
    </row>
    <row r="303" spans="2:5">
      <c r="B303" s="125"/>
      <c r="C303" s="60" t="s">
        <v>134</v>
      </c>
      <c r="D303" s="61">
        <v>2</v>
      </c>
      <c r="E303" s="62">
        <v>0</v>
      </c>
    </row>
    <row r="304" spans="2:5" ht="15" customHeight="1">
      <c r="B304" s="126"/>
      <c r="C304" s="91" t="s">
        <v>29</v>
      </c>
      <c r="D304" s="65">
        <v>1480</v>
      </c>
      <c r="E304" s="66">
        <v>0.32600000000000001</v>
      </c>
    </row>
    <row r="305" spans="2:5">
      <c r="B305" s="124" t="s">
        <v>166</v>
      </c>
      <c r="C305" s="60" t="s">
        <v>93</v>
      </c>
      <c r="D305" s="61">
        <v>2</v>
      </c>
      <c r="E305" s="62">
        <v>0</v>
      </c>
    </row>
    <row r="306" spans="2:5">
      <c r="B306" s="125"/>
      <c r="C306" s="60" t="s">
        <v>95</v>
      </c>
      <c r="D306" s="61">
        <v>9</v>
      </c>
      <c r="E306" s="62">
        <v>2E-3</v>
      </c>
    </row>
    <row r="307" spans="2:5">
      <c r="B307" s="125"/>
      <c r="C307" s="60" t="s">
        <v>96</v>
      </c>
      <c r="D307" s="61">
        <v>4</v>
      </c>
      <c r="E307" s="62">
        <v>1E-3</v>
      </c>
    </row>
    <row r="308" spans="2:5">
      <c r="B308" s="125"/>
      <c r="C308" s="60" t="s">
        <v>99</v>
      </c>
      <c r="D308" s="61">
        <v>3</v>
      </c>
      <c r="E308" s="62">
        <v>1E-3</v>
      </c>
    </row>
    <row r="309" spans="2:5">
      <c r="B309" s="125"/>
      <c r="C309" s="60" t="s">
        <v>100</v>
      </c>
      <c r="D309" s="61">
        <v>1</v>
      </c>
      <c r="E309" s="62">
        <v>0</v>
      </c>
    </row>
    <row r="310" spans="2:5">
      <c r="B310" s="125"/>
      <c r="C310" s="60" t="s">
        <v>102</v>
      </c>
      <c r="D310" s="61">
        <v>1</v>
      </c>
      <c r="E310" s="62">
        <v>0</v>
      </c>
    </row>
    <row r="311" spans="2:5">
      <c r="B311" s="125"/>
      <c r="C311" s="60" t="s">
        <v>103</v>
      </c>
      <c r="D311" s="61">
        <v>1</v>
      </c>
      <c r="E311" s="62">
        <v>0</v>
      </c>
    </row>
    <row r="312" spans="2:5">
      <c r="B312" s="125"/>
      <c r="C312" s="60" t="s">
        <v>107</v>
      </c>
      <c r="D312" s="61">
        <v>2</v>
      </c>
      <c r="E312" s="62">
        <v>0</v>
      </c>
    </row>
    <row r="313" spans="2:5" ht="15" customHeight="1">
      <c r="B313" s="125"/>
      <c r="C313" s="60" t="s">
        <v>110</v>
      </c>
      <c r="D313" s="61">
        <v>1</v>
      </c>
      <c r="E313" s="62">
        <v>0</v>
      </c>
    </row>
    <row r="314" spans="2:5">
      <c r="B314" s="125"/>
      <c r="C314" s="60" t="s">
        <v>112</v>
      </c>
      <c r="D314" s="61">
        <v>2</v>
      </c>
      <c r="E314" s="62">
        <v>0</v>
      </c>
    </row>
    <row r="315" spans="2:5">
      <c r="B315" s="125"/>
      <c r="C315" s="60" t="s">
        <v>117</v>
      </c>
      <c r="D315" s="61">
        <v>1</v>
      </c>
      <c r="E315" s="62">
        <v>0</v>
      </c>
    </row>
    <row r="316" spans="2:5">
      <c r="B316" s="125"/>
      <c r="C316" s="60" t="s">
        <v>122</v>
      </c>
      <c r="D316" s="61">
        <v>1</v>
      </c>
      <c r="E316" s="62">
        <v>0</v>
      </c>
    </row>
    <row r="317" spans="2:5">
      <c r="B317" s="125"/>
      <c r="C317" s="60" t="s">
        <v>125</v>
      </c>
      <c r="D317" s="61">
        <v>2</v>
      </c>
      <c r="E317" s="62">
        <v>0</v>
      </c>
    </row>
    <row r="318" spans="2:5">
      <c r="B318" s="125"/>
      <c r="C318" s="60" t="s">
        <v>128</v>
      </c>
      <c r="D318" s="61">
        <v>1</v>
      </c>
      <c r="E318" s="62">
        <v>0</v>
      </c>
    </row>
    <row r="319" spans="2:5">
      <c r="B319" s="125"/>
      <c r="C319" s="60" t="s">
        <v>129</v>
      </c>
      <c r="D319" s="61">
        <v>11</v>
      </c>
      <c r="E319" s="62">
        <v>2E-3</v>
      </c>
    </row>
    <row r="320" spans="2:5">
      <c r="B320" s="125"/>
      <c r="C320" s="60" t="s">
        <v>133</v>
      </c>
      <c r="D320" s="61">
        <v>2</v>
      </c>
      <c r="E320" s="62">
        <v>0</v>
      </c>
    </row>
    <row r="321" spans="2:5" ht="15" customHeight="1">
      <c r="B321" s="126"/>
      <c r="C321" s="91" t="s">
        <v>29</v>
      </c>
      <c r="D321" s="65">
        <v>44</v>
      </c>
      <c r="E321" s="66">
        <v>0.01</v>
      </c>
    </row>
    <row r="322" spans="2:5" ht="15" customHeight="1">
      <c r="B322" s="124" t="s">
        <v>167</v>
      </c>
      <c r="C322" s="60" t="s">
        <v>92</v>
      </c>
      <c r="D322" s="61">
        <v>9</v>
      </c>
      <c r="E322" s="62">
        <v>2E-3</v>
      </c>
    </row>
    <row r="323" spans="2:5">
      <c r="B323" s="125"/>
      <c r="C323" s="60" t="s">
        <v>93</v>
      </c>
      <c r="D323" s="61">
        <v>1</v>
      </c>
      <c r="E323" s="62">
        <v>0</v>
      </c>
    </row>
    <row r="324" spans="2:5">
      <c r="B324" s="125"/>
      <c r="C324" s="60" t="s">
        <v>95</v>
      </c>
      <c r="D324" s="61">
        <v>21</v>
      </c>
      <c r="E324" s="62">
        <v>5.0000000000000001E-3</v>
      </c>
    </row>
    <row r="325" spans="2:5">
      <c r="B325" s="125"/>
      <c r="C325" s="60" t="s">
        <v>96</v>
      </c>
      <c r="D325" s="61">
        <v>4</v>
      </c>
      <c r="E325" s="62">
        <v>1E-3</v>
      </c>
    </row>
    <row r="326" spans="2:5">
      <c r="B326" s="125"/>
      <c r="C326" s="60" t="s">
        <v>221</v>
      </c>
      <c r="D326" s="61">
        <v>1</v>
      </c>
      <c r="E326" s="62">
        <v>0</v>
      </c>
    </row>
    <row r="327" spans="2:5">
      <c r="B327" s="125"/>
      <c r="C327" s="60" t="s">
        <v>99</v>
      </c>
      <c r="D327" s="61">
        <v>14</v>
      </c>
      <c r="E327" s="62">
        <v>3.0000000000000001E-3</v>
      </c>
    </row>
    <row r="328" spans="2:5">
      <c r="B328" s="125"/>
      <c r="C328" s="60" t="s">
        <v>100</v>
      </c>
      <c r="D328" s="61">
        <v>13</v>
      </c>
      <c r="E328" s="62">
        <v>3.0000000000000001E-3</v>
      </c>
    </row>
    <row r="329" spans="2:5">
      <c r="B329" s="125"/>
      <c r="C329" s="60" t="s">
        <v>102</v>
      </c>
      <c r="D329" s="61">
        <v>5</v>
      </c>
      <c r="E329" s="62">
        <v>1E-3</v>
      </c>
    </row>
    <row r="330" spans="2:5">
      <c r="B330" s="125"/>
      <c r="C330" s="60" t="s">
        <v>103</v>
      </c>
      <c r="D330" s="61">
        <v>5</v>
      </c>
      <c r="E330" s="62">
        <v>1E-3</v>
      </c>
    </row>
    <row r="331" spans="2:5">
      <c r="B331" s="125"/>
      <c r="C331" s="60" t="s">
        <v>105</v>
      </c>
      <c r="D331" s="61">
        <v>3</v>
      </c>
      <c r="E331" s="62">
        <v>1E-3</v>
      </c>
    </row>
    <row r="332" spans="2:5">
      <c r="B332" s="125"/>
      <c r="C332" s="60" t="s">
        <v>106</v>
      </c>
      <c r="D332" s="61">
        <v>3</v>
      </c>
      <c r="E332" s="62">
        <v>1E-3</v>
      </c>
    </row>
    <row r="333" spans="2:5">
      <c r="B333" s="125"/>
      <c r="C333" s="60" t="s">
        <v>107</v>
      </c>
      <c r="D333" s="61">
        <v>8</v>
      </c>
      <c r="E333" s="62">
        <v>2E-3</v>
      </c>
    </row>
    <row r="334" spans="2:5">
      <c r="B334" s="125"/>
      <c r="C334" s="60" t="s">
        <v>109</v>
      </c>
      <c r="D334" s="61">
        <v>1</v>
      </c>
      <c r="E334" s="62">
        <v>0</v>
      </c>
    </row>
    <row r="335" spans="2:5">
      <c r="B335" s="125"/>
      <c r="C335" s="60" t="s">
        <v>110</v>
      </c>
      <c r="D335" s="61">
        <v>2</v>
      </c>
      <c r="E335" s="62">
        <v>0</v>
      </c>
    </row>
    <row r="336" spans="2:5">
      <c r="B336" s="125"/>
      <c r="C336" s="60" t="s">
        <v>111</v>
      </c>
      <c r="D336" s="61">
        <v>1</v>
      </c>
      <c r="E336" s="62">
        <v>0</v>
      </c>
    </row>
    <row r="337" spans="2:5">
      <c r="B337" s="125"/>
      <c r="C337" s="60" t="s">
        <v>113</v>
      </c>
      <c r="D337" s="61">
        <v>2</v>
      </c>
      <c r="E337" s="62">
        <v>0</v>
      </c>
    </row>
    <row r="338" spans="2:5">
      <c r="B338" s="125"/>
      <c r="C338" s="60" t="s">
        <v>114</v>
      </c>
      <c r="D338" s="61">
        <v>4</v>
      </c>
      <c r="E338" s="62">
        <v>1E-3</v>
      </c>
    </row>
    <row r="339" spans="2:5">
      <c r="B339" s="125"/>
      <c r="C339" s="60" t="s">
        <v>115</v>
      </c>
      <c r="D339" s="61">
        <v>1</v>
      </c>
      <c r="E339" s="62">
        <v>0</v>
      </c>
    </row>
    <row r="340" spans="2:5">
      <c r="B340" s="125"/>
      <c r="C340" s="60" t="s">
        <v>116</v>
      </c>
      <c r="D340" s="61">
        <v>3</v>
      </c>
      <c r="E340" s="62">
        <v>1E-3</v>
      </c>
    </row>
    <row r="341" spans="2:5">
      <c r="B341" s="125"/>
      <c r="C341" s="60" t="s">
        <v>117</v>
      </c>
      <c r="D341" s="61">
        <v>3</v>
      </c>
      <c r="E341" s="62">
        <v>1E-3</v>
      </c>
    </row>
    <row r="342" spans="2:5">
      <c r="B342" s="125"/>
      <c r="C342" s="60" t="s">
        <v>119</v>
      </c>
      <c r="D342" s="61">
        <v>5</v>
      </c>
      <c r="E342" s="62">
        <v>1E-3</v>
      </c>
    </row>
    <row r="343" spans="2:5">
      <c r="B343" s="125"/>
      <c r="C343" s="60" t="s">
        <v>120</v>
      </c>
      <c r="D343" s="61">
        <v>22</v>
      </c>
      <c r="E343" s="62">
        <v>5.0000000000000001E-3</v>
      </c>
    </row>
    <row r="344" spans="2:5">
      <c r="B344" s="125"/>
      <c r="C344" s="60" t="s">
        <v>122</v>
      </c>
      <c r="D344" s="61">
        <v>5</v>
      </c>
      <c r="E344" s="62">
        <v>1E-3</v>
      </c>
    </row>
    <row r="345" spans="2:5">
      <c r="B345" s="125"/>
      <c r="C345" s="60" t="s">
        <v>123</v>
      </c>
      <c r="D345" s="61">
        <v>7</v>
      </c>
      <c r="E345" s="62">
        <v>2E-3</v>
      </c>
    </row>
    <row r="346" spans="2:5">
      <c r="B346" s="125"/>
      <c r="C346" s="60" t="s">
        <v>124</v>
      </c>
      <c r="D346" s="61">
        <v>2</v>
      </c>
      <c r="E346" s="62">
        <v>0</v>
      </c>
    </row>
    <row r="347" spans="2:5" ht="15" customHeight="1">
      <c r="B347" s="125"/>
      <c r="C347" s="60" t="s">
        <v>125</v>
      </c>
      <c r="D347" s="61">
        <v>2</v>
      </c>
      <c r="E347" s="62">
        <v>0</v>
      </c>
    </row>
    <row r="348" spans="2:5">
      <c r="B348" s="125"/>
      <c r="C348" s="60" t="s">
        <v>127</v>
      </c>
      <c r="D348" s="61">
        <v>3</v>
      </c>
      <c r="E348" s="62">
        <v>1E-3</v>
      </c>
    </row>
    <row r="349" spans="2:5">
      <c r="B349" s="125"/>
      <c r="C349" s="60" t="s">
        <v>128</v>
      </c>
      <c r="D349" s="61">
        <v>7</v>
      </c>
      <c r="E349" s="62">
        <v>2E-3</v>
      </c>
    </row>
    <row r="350" spans="2:5">
      <c r="B350" s="125"/>
      <c r="C350" s="60" t="s">
        <v>129</v>
      </c>
      <c r="D350" s="61">
        <v>69</v>
      </c>
      <c r="E350" s="62">
        <v>1.4999999999999999E-2</v>
      </c>
    </row>
    <row r="351" spans="2:5">
      <c r="B351" s="125"/>
      <c r="C351" s="60" t="s">
        <v>130</v>
      </c>
      <c r="D351" s="61">
        <v>5</v>
      </c>
      <c r="E351" s="62">
        <v>1E-3</v>
      </c>
    </row>
    <row r="352" spans="2:5">
      <c r="B352" s="125"/>
      <c r="C352" s="60" t="s">
        <v>131</v>
      </c>
      <c r="D352" s="61">
        <v>1</v>
      </c>
      <c r="E352" s="62">
        <v>0</v>
      </c>
    </row>
    <row r="353" spans="2:5">
      <c r="B353" s="125"/>
      <c r="C353" s="60" t="s">
        <v>132</v>
      </c>
      <c r="D353" s="61">
        <v>8</v>
      </c>
      <c r="E353" s="62">
        <v>2E-3</v>
      </c>
    </row>
    <row r="354" spans="2:5">
      <c r="B354" s="125"/>
      <c r="C354" s="60" t="s">
        <v>133</v>
      </c>
      <c r="D354" s="61">
        <v>3</v>
      </c>
      <c r="E354" s="62">
        <v>1E-3</v>
      </c>
    </row>
    <row r="355" spans="2:5" ht="15" customHeight="1">
      <c r="B355" s="126"/>
      <c r="C355" s="91" t="s">
        <v>29</v>
      </c>
      <c r="D355" s="65">
        <v>243</v>
      </c>
      <c r="E355" s="66">
        <v>5.3999999999999999E-2</v>
      </c>
    </row>
    <row r="356" spans="2:5" ht="15" customHeight="1">
      <c r="B356" s="124" t="s">
        <v>168</v>
      </c>
      <c r="C356" s="60" t="s">
        <v>92</v>
      </c>
      <c r="D356" s="61">
        <v>46</v>
      </c>
      <c r="E356" s="62">
        <v>0.01</v>
      </c>
    </row>
    <row r="357" spans="2:5">
      <c r="B357" s="125"/>
      <c r="C357" s="60" t="s">
        <v>93</v>
      </c>
      <c r="D357" s="61">
        <v>10</v>
      </c>
      <c r="E357" s="62">
        <v>2E-3</v>
      </c>
    </row>
    <row r="358" spans="2:5">
      <c r="B358" s="125"/>
      <c r="C358" s="60" t="s">
        <v>94</v>
      </c>
      <c r="D358" s="61">
        <v>18</v>
      </c>
      <c r="E358" s="62">
        <v>4.0000000000000001E-3</v>
      </c>
    </row>
    <row r="359" spans="2:5">
      <c r="B359" s="125"/>
      <c r="C359" s="60" t="s">
        <v>95</v>
      </c>
      <c r="D359" s="61">
        <v>85</v>
      </c>
      <c r="E359" s="62">
        <v>1.9E-2</v>
      </c>
    </row>
    <row r="360" spans="2:5">
      <c r="B360" s="125"/>
      <c r="C360" s="60" t="s">
        <v>96</v>
      </c>
      <c r="D360" s="61">
        <v>23</v>
      </c>
      <c r="E360" s="62">
        <v>5.0000000000000001E-3</v>
      </c>
    </row>
    <row r="361" spans="2:5">
      <c r="B361" s="125"/>
      <c r="C361" s="60" t="s">
        <v>97</v>
      </c>
      <c r="D361" s="61">
        <v>8</v>
      </c>
      <c r="E361" s="62">
        <v>2E-3</v>
      </c>
    </row>
    <row r="362" spans="2:5">
      <c r="B362" s="125"/>
      <c r="C362" s="60" t="s">
        <v>98</v>
      </c>
      <c r="D362" s="61">
        <v>2</v>
      </c>
      <c r="E362" s="62">
        <v>0</v>
      </c>
    </row>
    <row r="363" spans="2:5">
      <c r="B363" s="125"/>
      <c r="C363" s="60" t="s">
        <v>99</v>
      </c>
      <c r="D363" s="61">
        <v>59</v>
      </c>
      <c r="E363" s="62">
        <v>1.2999999999999999E-2</v>
      </c>
    </row>
    <row r="364" spans="2:5">
      <c r="B364" s="125"/>
      <c r="C364" s="60" t="s">
        <v>100</v>
      </c>
      <c r="D364" s="61">
        <v>44</v>
      </c>
      <c r="E364" s="62">
        <v>0.01</v>
      </c>
    </row>
    <row r="365" spans="2:5">
      <c r="B365" s="125"/>
      <c r="C365" s="60" t="s">
        <v>101</v>
      </c>
      <c r="D365" s="61">
        <v>8</v>
      </c>
      <c r="E365" s="62">
        <v>2E-3</v>
      </c>
    </row>
    <row r="366" spans="2:5">
      <c r="B366" s="125"/>
      <c r="C366" s="60" t="s">
        <v>102</v>
      </c>
      <c r="D366" s="61">
        <v>46</v>
      </c>
      <c r="E366" s="62">
        <v>0.01</v>
      </c>
    </row>
    <row r="367" spans="2:5">
      <c r="B367" s="125"/>
      <c r="C367" s="60" t="s">
        <v>103</v>
      </c>
      <c r="D367" s="61">
        <v>57</v>
      </c>
      <c r="E367" s="62">
        <v>1.2999999999999999E-2</v>
      </c>
    </row>
    <row r="368" spans="2:5">
      <c r="B368" s="125"/>
      <c r="C368" s="60" t="s">
        <v>104</v>
      </c>
      <c r="D368" s="61">
        <v>6</v>
      </c>
      <c r="E368" s="62">
        <v>1E-3</v>
      </c>
    </row>
    <row r="369" spans="2:5">
      <c r="B369" s="125"/>
      <c r="C369" s="60" t="s">
        <v>105</v>
      </c>
      <c r="D369" s="61">
        <v>5</v>
      </c>
      <c r="E369" s="62">
        <v>1E-3</v>
      </c>
    </row>
    <row r="370" spans="2:5">
      <c r="B370" s="125"/>
      <c r="C370" s="60" t="s">
        <v>106</v>
      </c>
      <c r="D370" s="61">
        <v>16</v>
      </c>
      <c r="E370" s="62">
        <v>4.0000000000000001E-3</v>
      </c>
    </row>
    <row r="371" spans="2:5">
      <c r="B371" s="125"/>
      <c r="C371" s="60" t="s">
        <v>107</v>
      </c>
      <c r="D371" s="61">
        <v>30</v>
      </c>
      <c r="E371" s="62">
        <v>7.0000000000000001E-3</v>
      </c>
    </row>
    <row r="372" spans="2:5">
      <c r="B372" s="125"/>
      <c r="C372" s="60" t="s">
        <v>108</v>
      </c>
      <c r="D372" s="61">
        <v>1</v>
      </c>
      <c r="E372" s="62">
        <v>0</v>
      </c>
    </row>
    <row r="373" spans="2:5">
      <c r="B373" s="125"/>
      <c r="C373" s="60" t="s">
        <v>109</v>
      </c>
      <c r="D373" s="61">
        <v>12</v>
      </c>
      <c r="E373" s="62">
        <v>3.0000000000000001E-3</v>
      </c>
    </row>
    <row r="374" spans="2:5">
      <c r="B374" s="125"/>
      <c r="C374" s="60" t="s">
        <v>110</v>
      </c>
      <c r="D374" s="61">
        <v>2</v>
      </c>
      <c r="E374" s="62">
        <v>0</v>
      </c>
    </row>
    <row r="375" spans="2:5">
      <c r="B375" s="125"/>
      <c r="C375" s="60" t="s">
        <v>111</v>
      </c>
      <c r="D375" s="61">
        <v>12</v>
      </c>
      <c r="E375" s="62">
        <v>3.0000000000000001E-3</v>
      </c>
    </row>
    <row r="376" spans="2:5">
      <c r="B376" s="125"/>
      <c r="C376" s="60" t="s">
        <v>112</v>
      </c>
      <c r="D376" s="61">
        <v>13</v>
      </c>
      <c r="E376" s="62">
        <v>3.0000000000000001E-3</v>
      </c>
    </row>
    <row r="377" spans="2:5">
      <c r="B377" s="125"/>
      <c r="C377" s="60" t="s">
        <v>113</v>
      </c>
      <c r="D377" s="61">
        <v>16</v>
      </c>
      <c r="E377" s="62">
        <v>4.0000000000000001E-3</v>
      </c>
    </row>
    <row r="378" spans="2:5">
      <c r="B378" s="125"/>
      <c r="C378" s="60" t="s">
        <v>114</v>
      </c>
      <c r="D378" s="61">
        <v>17</v>
      </c>
      <c r="E378" s="62">
        <v>4.0000000000000001E-3</v>
      </c>
    </row>
    <row r="379" spans="2:5">
      <c r="B379" s="125"/>
      <c r="C379" s="60" t="s">
        <v>115</v>
      </c>
      <c r="D379" s="61">
        <v>17</v>
      </c>
      <c r="E379" s="62">
        <v>4.0000000000000001E-3</v>
      </c>
    </row>
    <row r="380" spans="2:5">
      <c r="B380" s="125"/>
      <c r="C380" s="60" t="s">
        <v>116</v>
      </c>
      <c r="D380" s="61">
        <v>9</v>
      </c>
      <c r="E380" s="62">
        <v>2E-3</v>
      </c>
    </row>
    <row r="381" spans="2:5">
      <c r="B381" s="125"/>
      <c r="C381" s="60" t="s">
        <v>117</v>
      </c>
      <c r="D381" s="61">
        <v>13</v>
      </c>
      <c r="E381" s="62">
        <v>3.0000000000000001E-3</v>
      </c>
    </row>
    <row r="382" spans="2:5">
      <c r="B382" s="125"/>
      <c r="C382" s="60" t="s">
        <v>118</v>
      </c>
      <c r="D382" s="61">
        <v>1</v>
      </c>
      <c r="E382" s="62">
        <v>0</v>
      </c>
    </row>
    <row r="383" spans="2:5">
      <c r="B383" s="125"/>
      <c r="C383" s="60" t="s">
        <v>119</v>
      </c>
      <c r="D383" s="61">
        <v>21</v>
      </c>
      <c r="E383" s="62">
        <v>5.0000000000000001E-3</v>
      </c>
    </row>
    <row r="384" spans="2:5">
      <c r="B384" s="125"/>
      <c r="C384" s="60" t="s">
        <v>120</v>
      </c>
      <c r="D384" s="61">
        <v>103</v>
      </c>
      <c r="E384" s="62">
        <v>2.3E-2</v>
      </c>
    </row>
    <row r="385" spans="2:5">
      <c r="B385" s="125"/>
      <c r="C385" s="60" t="s">
        <v>121</v>
      </c>
      <c r="D385" s="61">
        <v>1</v>
      </c>
      <c r="E385" s="62">
        <v>0</v>
      </c>
    </row>
    <row r="386" spans="2:5">
      <c r="B386" s="125"/>
      <c r="C386" s="60" t="s">
        <v>122</v>
      </c>
      <c r="D386" s="61">
        <v>25</v>
      </c>
      <c r="E386" s="62">
        <v>6.0000000000000001E-3</v>
      </c>
    </row>
    <row r="387" spans="2:5">
      <c r="B387" s="125"/>
      <c r="C387" s="60" t="s">
        <v>123</v>
      </c>
      <c r="D387" s="61">
        <v>43</v>
      </c>
      <c r="E387" s="62">
        <v>8.9999999999999993E-3</v>
      </c>
    </row>
    <row r="388" spans="2:5">
      <c r="B388" s="125"/>
      <c r="C388" s="60" t="s">
        <v>124</v>
      </c>
      <c r="D388" s="61">
        <v>1</v>
      </c>
      <c r="E388" s="62">
        <v>0</v>
      </c>
    </row>
    <row r="389" spans="2:5">
      <c r="B389" s="125"/>
      <c r="C389" s="60" t="s">
        <v>125</v>
      </c>
      <c r="D389" s="61">
        <v>11</v>
      </c>
      <c r="E389" s="62">
        <v>2E-3</v>
      </c>
    </row>
    <row r="390" spans="2:5" ht="15" customHeight="1">
      <c r="B390" s="125"/>
      <c r="C390" s="60" t="s">
        <v>127</v>
      </c>
      <c r="D390" s="61">
        <v>41</v>
      </c>
      <c r="E390" s="62">
        <v>8.9999999999999993E-3</v>
      </c>
    </row>
    <row r="391" spans="2:5">
      <c r="B391" s="125"/>
      <c r="C391" s="60" t="s">
        <v>224</v>
      </c>
      <c r="D391" s="61">
        <v>3</v>
      </c>
      <c r="E391" s="62">
        <v>1E-3</v>
      </c>
    </row>
    <row r="392" spans="2:5">
      <c r="B392" s="125"/>
      <c r="C392" s="60" t="s">
        <v>128</v>
      </c>
      <c r="D392" s="61">
        <v>35</v>
      </c>
      <c r="E392" s="62">
        <v>8.0000000000000002E-3</v>
      </c>
    </row>
    <row r="393" spans="2:5">
      <c r="B393" s="125"/>
      <c r="C393" s="60" t="s">
        <v>129</v>
      </c>
      <c r="D393" s="61">
        <v>340</v>
      </c>
      <c r="E393" s="62">
        <v>7.4999999999999997E-2</v>
      </c>
    </row>
    <row r="394" spans="2:5">
      <c r="B394" s="125"/>
      <c r="C394" s="60" t="s">
        <v>130</v>
      </c>
      <c r="D394" s="61">
        <v>6</v>
      </c>
      <c r="E394" s="62">
        <v>1E-3</v>
      </c>
    </row>
    <row r="395" spans="2:5">
      <c r="B395" s="125"/>
      <c r="C395" s="60" t="s">
        <v>131</v>
      </c>
      <c r="D395" s="61">
        <v>6</v>
      </c>
      <c r="E395" s="62">
        <v>1E-3</v>
      </c>
    </row>
    <row r="396" spans="2:5">
      <c r="B396" s="125"/>
      <c r="C396" s="60" t="s">
        <v>132</v>
      </c>
      <c r="D396" s="61">
        <v>42</v>
      </c>
      <c r="E396" s="62">
        <v>8.9999999999999993E-3</v>
      </c>
    </row>
    <row r="397" spans="2:5">
      <c r="B397" s="125"/>
      <c r="C397" s="60" t="s">
        <v>55</v>
      </c>
      <c r="D397" s="61">
        <v>10</v>
      </c>
      <c r="E397" s="62">
        <v>2E-3</v>
      </c>
    </row>
    <row r="398" spans="2:5">
      <c r="B398" s="125"/>
      <c r="C398" s="60" t="s">
        <v>133</v>
      </c>
      <c r="D398" s="61">
        <v>23</v>
      </c>
      <c r="E398" s="62">
        <v>5.0000000000000001E-3</v>
      </c>
    </row>
    <row r="399" spans="2:5" ht="15" customHeight="1">
      <c r="B399" s="125"/>
      <c r="C399" s="60" t="s">
        <v>134</v>
      </c>
      <c r="D399" s="61">
        <v>6</v>
      </c>
      <c r="E399" s="62">
        <v>1E-3</v>
      </c>
    </row>
    <row r="400" spans="2:5" ht="15" customHeight="1">
      <c r="B400" s="126"/>
      <c r="C400" s="91" t="s">
        <v>29</v>
      </c>
      <c r="D400" s="65">
        <v>1293</v>
      </c>
      <c r="E400" s="66">
        <v>0.28499999999999998</v>
      </c>
    </row>
    <row r="401" spans="2:5">
      <c r="B401" s="124" t="s">
        <v>235</v>
      </c>
      <c r="C401" s="60" t="s">
        <v>95</v>
      </c>
      <c r="D401" s="61">
        <v>1</v>
      </c>
      <c r="E401" s="62">
        <v>0</v>
      </c>
    </row>
    <row r="402" spans="2:5">
      <c r="B402" s="125"/>
      <c r="C402" s="60" t="s">
        <v>99</v>
      </c>
      <c r="D402" s="61">
        <v>2</v>
      </c>
      <c r="E402" s="62">
        <v>0</v>
      </c>
    </row>
    <row r="403" spans="2:5">
      <c r="B403" s="125"/>
      <c r="C403" s="60" t="s">
        <v>112</v>
      </c>
      <c r="D403" s="61">
        <v>1</v>
      </c>
      <c r="E403" s="62">
        <v>0</v>
      </c>
    </row>
    <row r="404" spans="2:5">
      <c r="B404" s="125"/>
      <c r="C404" s="60" t="s">
        <v>114</v>
      </c>
      <c r="D404" s="61">
        <v>1</v>
      </c>
      <c r="E404" s="62">
        <v>0</v>
      </c>
    </row>
    <row r="405" spans="2:5">
      <c r="B405" s="125"/>
      <c r="C405" s="60" t="s">
        <v>119</v>
      </c>
      <c r="D405" s="61">
        <v>1</v>
      </c>
      <c r="E405" s="62">
        <v>0</v>
      </c>
    </row>
    <row r="406" spans="2:5" ht="15" customHeight="1">
      <c r="B406" s="125"/>
      <c r="C406" s="60" t="s">
        <v>123</v>
      </c>
      <c r="D406" s="61">
        <v>1</v>
      </c>
      <c r="E406" s="62">
        <v>0</v>
      </c>
    </row>
    <row r="407" spans="2:5">
      <c r="B407" s="125"/>
      <c r="C407" s="60" t="s">
        <v>129</v>
      </c>
      <c r="D407" s="61">
        <v>5</v>
      </c>
      <c r="E407" s="62">
        <v>1E-3</v>
      </c>
    </row>
    <row r="408" spans="2:5">
      <c r="B408" s="125"/>
      <c r="C408" s="60" t="s">
        <v>133</v>
      </c>
      <c r="D408" s="61">
        <v>1</v>
      </c>
      <c r="E408" s="62">
        <v>0</v>
      </c>
    </row>
    <row r="409" spans="2:5" ht="15" customHeight="1">
      <c r="B409" s="126"/>
      <c r="C409" s="91" t="s">
        <v>29</v>
      </c>
      <c r="D409" s="65">
        <v>13</v>
      </c>
      <c r="E409" s="66">
        <v>3.0000000000000001E-3</v>
      </c>
    </row>
    <row r="410" spans="2:5">
      <c r="B410" s="124" t="s">
        <v>236</v>
      </c>
      <c r="C410" s="60" t="s">
        <v>92</v>
      </c>
      <c r="D410" s="61">
        <v>1</v>
      </c>
      <c r="E410" s="62">
        <v>0</v>
      </c>
    </row>
    <row r="411" spans="2:5">
      <c r="B411" s="125"/>
      <c r="C411" s="60" t="s">
        <v>93</v>
      </c>
      <c r="D411" s="61">
        <v>1</v>
      </c>
      <c r="E411" s="62">
        <v>0</v>
      </c>
    </row>
    <row r="412" spans="2:5">
      <c r="B412" s="125"/>
      <c r="C412" s="60" t="s">
        <v>95</v>
      </c>
      <c r="D412" s="61">
        <v>1</v>
      </c>
      <c r="E412" s="62">
        <v>0</v>
      </c>
    </row>
    <row r="413" spans="2:5">
      <c r="B413" s="125"/>
      <c r="C413" s="60" t="s">
        <v>107</v>
      </c>
      <c r="D413" s="61">
        <v>1</v>
      </c>
      <c r="E413" s="62">
        <v>0</v>
      </c>
    </row>
    <row r="414" spans="2:5" ht="15" customHeight="1">
      <c r="B414" s="125"/>
      <c r="C414" s="60" t="s">
        <v>116</v>
      </c>
      <c r="D414" s="61">
        <v>1</v>
      </c>
      <c r="E414" s="62">
        <v>0</v>
      </c>
    </row>
    <row r="415" spans="2:5">
      <c r="B415" s="125"/>
      <c r="C415" s="60" t="s">
        <v>120</v>
      </c>
      <c r="D415" s="61">
        <v>2</v>
      </c>
      <c r="E415" s="62">
        <v>0</v>
      </c>
    </row>
    <row r="416" spans="2:5">
      <c r="B416" s="125"/>
      <c r="C416" s="60" t="s">
        <v>123</v>
      </c>
      <c r="D416" s="61">
        <v>1</v>
      </c>
      <c r="E416" s="62">
        <v>0</v>
      </c>
    </row>
    <row r="417" spans="2:5">
      <c r="B417" s="125"/>
      <c r="C417" s="60" t="s">
        <v>124</v>
      </c>
      <c r="D417" s="61">
        <v>2</v>
      </c>
      <c r="E417" s="62">
        <v>0</v>
      </c>
    </row>
    <row r="418" spans="2:5">
      <c r="B418" s="125"/>
      <c r="C418" s="60" t="s">
        <v>129</v>
      </c>
      <c r="D418" s="61">
        <v>5</v>
      </c>
      <c r="E418" s="62">
        <v>1E-3</v>
      </c>
    </row>
    <row r="419" spans="2:5">
      <c r="B419" s="125"/>
      <c r="C419" s="60" t="s">
        <v>133</v>
      </c>
      <c r="D419" s="61">
        <v>1</v>
      </c>
      <c r="E419" s="62">
        <v>0</v>
      </c>
    </row>
    <row r="420" spans="2:5" ht="15" customHeight="1">
      <c r="B420" s="126"/>
      <c r="C420" s="91" t="s">
        <v>29</v>
      </c>
      <c r="D420" s="65">
        <v>16</v>
      </c>
      <c r="E420" s="66">
        <v>4.0000000000000001E-3</v>
      </c>
    </row>
    <row r="421" spans="2:5" ht="15" customHeight="1">
      <c r="B421" s="124" t="s">
        <v>237</v>
      </c>
      <c r="C421" s="60" t="s">
        <v>92</v>
      </c>
      <c r="D421" s="61">
        <v>1</v>
      </c>
      <c r="E421" s="62">
        <v>0</v>
      </c>
    </row>
    <row r="422" spans="2:5">
      <c r="B422" s="125"/>
      <c r="C422" s="60" t="s">
        <v>98</v>
      </c>
      <c r="D422" s="61">
        <v>1</v>
      </c>
      <c r="E422" s="62">
        <v>0</v>
      </c>
    </row>
    <row r="423" spans="2:5">
      <c r="B423" s="125"/>
      <c r="C423" s="60" t="s">
        <v>99</v>
      </c>
      <c r="D423" s="61">
        <v>2</v>
      </c>
      <c r="E423" s="62">
        <v>0</v>
      </c>
    </row>
    <row r="424" spans="2:5">
      <c r="B424" s="125"/>
      <c r="C424" s="60" t="s">
        <v>100</v>
      </c>
      <c r="D424" s="61">
        <v>2</v>
      </c>
      <c r="E424" s="62">
        <v>0</v>
      </c>
    </row>
    <row r="425" spans="2:5">
      <c r="B425" s="125"/>
      <c r="C425" s="60" t="s">
        <v>103</v>
      </c>
      <c r="D425" s="61">
        <v>1</v>
      </c>
      <c r="E425" s="62">
        <v>0</v>
      </c>
    </row>
    <row r="426" spans="2:5">
      <c r="B426" s="125"/>
      <c r="C426" s="60" t="s">
        <v>107</v>
      </c>
      <c r="D426" s="61">
        <v>1</v>
      </c>
      <c r="E426" s="62">
        <v>0</v>
      </c>
    </row>
    <row r="427" spans="2:5">
      <c r="B427" s="125"/>
      <c r="C427" s="60" t="s">
        <v>114</v>
      </c>
      <c r="D427" s="61">
        <v>1</v>
      </c>
      <c r="E427" s="62">
        <v>0</v>
      </c>
    </row>
    <row r="428" spans="2:5">
      <c r="B428" s="125"/>
      <c r="C428" s="60" t="s">
        <v>115</v>
      </c>
      <c r="D428" s="61">
        <v>1</v>
      </c>
      <c r="E428" s="62">
        <v>0</v>
      </c>
    </row>
    <row r="429" spans="2:5">
      <c r="B429" s="125"/>
      <c r="C429" s="60" t="s">
        <v>122</v>
      </c>
      <c r="D429" s="61">
        <v>1</v>
      </c>
      <c r="E429" s="62">
        <v>0</v>
      </c>
    </row>
    <row r="430" spans="2:5">
      <c r="B430" s="125"/>
      <c r="C430" s="60" t="s">
        <v>129</v>
      </c>
      <c r="D430" s="61">
        <v>3</v>
      </c>
      <c r="E430" s="62">
        <v>1E-3</v>
      </c>
    </row>
    <row r="431" spans="2:5" ht="15" customHeight="1">
      <c r="B431" s="126"/>
      <c r="C431" s="91" t="s">
        <v>29</v>
      </c>
      <c r="D431" s="65">
        <v>14</v>
      </c>
      <c r="E431" s="66">
        <v>3.0000000000000001E-3</v>
      </c>
    </row>
    <row r="432" spans="2:5">
      <c r="B432" s="124" t="s">
        <v>238</v>
      </c>
      <c r="C432" s="60" t="s">
        <v>107</v>
      </c>
      <c r="D432" s="61">
        <v>1</v>
      </c>
      <c r="E432" s="62">
        <v>0</v>
      </c>
    </row>
    <row r="433" spans="2:5">
      <c r="B433" s="125"/>
      <c r="C433" s="60" t="s">
        <v>113</v>
      </c>
      <c r="D433" s="61">
        <v>1</v>
      </c>
      <c r="E433" s="62">
        <v>0</v>
      </c>
    </row>
    <row r="434" spans="2:5" ht="15" customHeight="1">
      <c r="B434" s="126"/>
      <c r="C434" s="91" t="s">
        <v>29</v>
      </c>
      <c r="D434" s="65">
        <v>2</v>
      </c>
      <c r="E434" s="66">
        <v>0</v>
      </c>
    </row>
    <row r="435" spans="2:5">
      <c r="B435" s="124" t="s">
        <v>173</v>
      </c>
      <c r="C435" s="60" t="s">
        <v>92</v>
      </c>
      <c r="D435" s="61">
        <v>3</v>
      </c>
      <c r="E435" s="62">
        <v>1E-3</v>
      </c>
    </row>
    <row r="436" spans="2:5">
      <c r="B436" s="125"/>
      <c r="C436" s="60" t="s">
        <v>93</v>
      </c>
      <c r="D436" s="61">
        <v>2</v>
      </c>
      <c r="E436" s="62">
        <v>0</v>
      </c>
    </row>
    <row r="437" spans="2:5">
      <c r="B437" s="125"/>
      <c r="C437" s="60" t="s">
        <v>95</v>
      </c>
      <c r="D437" s="61">
        <v>7</v>
      </c>
      <c r="E437" s="62">
        <v>2E-3</v>
      </c>
    </row>
    <row r="438" spans="2:5">
      <c r="B438" s="125"/>
      <c r="C438" s="60" t="s">
        <v>99</v>
      </c>
      <c r="D438" s="61">
        <v>1</v>
      </c>
      <c r="E438" s="62">
        <v>0</v>
      </c>
    </row>
    <row r="439" spans="2:5">
      <c r="B439" s="125"/>
      <c r="C439" s="60" t="s">
        <v>100</v>
      </c>
      <c r="D439" s="61">
        <v>3</v>
      </c>
      <c r="E439" s="62">
        <v>1E-3</v>
      </c>
    </row>
    <row r="440" spans="2:5">
      <c r="B440" s="125"/>
      <c r="C440" s="60" t="s">
        <v>102</v>
      </c>
      <c r="D440" s="61">
        <v>4</v>
      </c>
      <c r="E440" s="62">
        <v>1E-3</v>
      </c>
    </row>
    <row r="441" spans="2:5">
      <c r="B441" s="125"/>
      <c r="C441" s="60" t="s">
        <v>103</v>
      </c>
      <c r="D441" s="61">
        <v>2</v>
      </c>
      <c r="E441" s="62">
        <v>0</v>
      </c>
    </row>
    <row r="442" spans="2:5">
      <c r="B442" s="125"/>
      <c r="C442" s="60" t="s">
        <v>105</v>
      </c>
      <c r="D442" s="61">
        <v>1</v>
      </c>
      <c r="E442" s="62">
        <v>0</v>
      </c>
    </row>
    <row r="443" spans="2:5">
      <c r="B443" s="125"/>
      <c r="C443" s="60" t="s">
        <v>106</v>
      </c>
      <c r="D443" s="61">
        <v>1</v>
      </c>
      <c r="E443" s="62">
        <v>0</v>
      </c>
    </row>
    <row r="444" spans="2:5">
      <c r="B444" s="125"/>
      <c r="C444" s="60" t="s">
        <v>107</v>
      </c>
      <c r="D444" s="61">
        <v>1</v>
      </c>
      <c r="E444" s="62">
        <v>0</v>
      </c>
    </row>
    <row r="445" spans="2:5">
      <c r="B445" s="125"/>
      <c r="C445" s="60" t="s">
        <v>114</v>
      </c>
      <c r="D445" s="61">
        <v>2</v>
      </c>
      <c r="E445" s="62">
        <v>0</v>
      </c>
    </row>
    <row r="446" spans="2:5">
      <c r="B446" s="125"/>
      <c r="C446" s="60" t="s">
        <v>120</v>
      </c>
      <c r="D446" s="61">
        <v>6</v>
      </c>
      <c r="E446" s="62">
        <v>1E-3</v>
      </c>
    </row>
    <row r="447" spans="2:5">
      <c r="B447" s="125"/>
      <c r="C447" s="60" t="s">
        <v>123</v>
      </c>
      <c r="D447" s="61">
        <v>1</v>
      </c>
      <c r="E447" s="62">
        <v>0</v>
      </c>
    </row>
    <row r="448" spans="2:5">
      <c r="B448" s="125"/>
      <c r="C448" s="60" t="s">
        <v>127</v>
      </c>
      <c r="D448" s="61">
        <v>3</v>
      </c>
      <c r="E448" s="62">
        <v>1E-3</v>
      </c>
    </row>
    <row r="449" spans="2:5">
      <c r="B449" s="125"/>
      <c r="C449" s="60" t="s">
        <v>128</v>
      </c>
      <c r="D449" s="61">
        <v>5</v>
      </c>
      <c r="E449" s="62">
        <v>1E-3</v>
      </c>
    </row>
    <row r="450" spans="2:5" ht="15" customHeight="1">
      <c r="B450" s="125"/>
      <c r="C450" s="60" t="s">
        <v>129</v>
      </c>
      <c r="D450" s="61">
        <v>8</v>
      </c>
      <c r="E450" s="62">
        <v>2E-3</v>
      </c>
    </row>
    <row r="451" spans="2:5">
      <c r="B451" s="125"/>
      <c r="C451" s="60" t="s">
        <v>131</v>
      </c>
      <c r="D451" s="61">
        <v>1</v>
      </c>
      <c r="E451" s="62">
        <v>0</v>
      </c>
    </row>
    <row r="452" spans="2:5">
      <c r="B452" s="125"/>
      <c r="C452" s="60" t="s">
        <v>132</v>
      </c>
      <c r="D452" s="61">
        <v>2</v>
      </c>
      <c r="E452" s="62">
        <v>0</v>
      </c>
    </row>
    <row r="453" spans="2:5">
      <c r="B453" s="125"/>
      <c r="C453" s="60" t="s">
        <v>133</v>
      </c>
      <c r="D453" s="61">
        <v>1</v>
      </c>
      <c r="E453" s="62">
        <v>0</v>
      </c>
    </row>
    <row r="454" spans="2:5" ht="15" customHeight="1">
      <c r="B454" s="126"/>
      <c r="C454" s="91" t="s">
        <v>29</v>
      </c>
      <c r="D454" s="65">
        <v>54</v>
      </c>
      <c r="E454" s="66">
        <v>1.2E-2</v>
      </c>
    </row>
    <row r="455" spans="2:5">
      <c r="B455" s="124" t="s">
        <v>174</v>
      </c>
      <c r="C455" s="60" t="s">
        <v>92</v>
      </c>
      <c r="D455" s="61">
        <v>6</v>
      </c>
      <c r="E455" s="62">
        <v>1E-3</v>
      </c>
    </row>
    <row r="456" spans="2:5">
      <c r="B456" s="125"/>
      <c r="C456" s="60" t="s">
        <v>93</v>
      </c>
      <c r="D456" s="61">
        <v>3</v>
      </c>
      <c r="E456" s="62">
        <v>1E-3</v>
      </c>
    </row>
    <row r="457" spans="2:5">
      <c r="B457" s="125"/>
      <c r="C457" s="60" t="s">
        <v>94</v>
      </c>
      <c r="D457" s="61">
        <v>1</v>
      </c>
      <c r="E457" s="62">
        <v>0</v>
      </c>
    </row>
    <row r="458" spans="2:5">
      <c r="B458" s="125"/>
      <c r="C458" s="60" t="s">
        <v>95</v>
      </c>
      <c r="D458" s="61">
        <v>20</v>
      </c>
      <c r="E458" s="62">
        <v>4.0000000000000001E-3</v>
      </c>
    </row>
    <row r="459" spans="2:5">
      <c r="B459" s="125"/>
      <c r="C459" s="60" t="s">
        <v>96</v>
      </c>
      <c r="D459" s="61">
        <v>2</v>
      </c>
      <c r="E459" s="62">
        <v>0</v>
      </c>
    </row>
    <row r="460" spans="2:5">
      <c r="B460" s="125"/>
      <c r="C460" s="60" t="s">
        <v>97</v>
      </c>
      <c r="D460" s="61">
        <v>2</v>
      </c>
      <c r="E460" s="62">
        <v>0</v>
      </c>
    </row>
    <row r="461" spans="2:5">
      <c r="B461" s="125"/>
      <c r="C461" s="60" t="s">
        <v>221</v>
      </c>
      <c r="D461" s="61">
        <v>1</v>
      </c>
      <c r="E461" s="62">
        <v>0</v>
      </c>
    </row>
    <row r="462" spans="2:5">
      <c r="B462" s="125"/>
      <c r="C462" s="60" t="s">
        <v>99</v>
      </c>
      <c r="D462" s="61">
        <v>9</v>
      </c>
      <c r="E462" s="62">
        <v>2E-3</v>
      </c>
    </row>
    <row r="463" spans="2:5">
      <c r="B463" s="125"/>
      <c r="C463" s="60" t="s">
        <v>100</v>
      </c>
      <c r="D463" s="61">
        <v>6</v>
      </c>
      <c r="E463" s="62">
        <v>1E-3</v>
      </c>
    </row>
    <row r="464" spans="2:5">
      <c r="B464" s="125"/>
      <c r="C464" s="60" t="s">
        <v>102</v>
      </c>
      <c r="D464" s="61">
        <v>6</v>
      </c>
      <c r="E464" s="62">
        <v>1E-3</v>
      </c>
    </row>
    <row r="465" spans="2:5">
      <c r="B465" s="125"/>
      <c r="C465" s="60" t="s">
        <v>103</v>
      </c>
      <c r="D465" s="61">
        <v>11</v>
      </c>
      <c r="E465" s="62">
        <v>2E-3</v>
      </c>
    </row>
    <row r="466" spans="2:5">
      <c r="B466" s="125"/>
      <c r="C466" s="60" t="s">
        <v>104</v>
      </c>
      <c r="D466" s="61">
        <v>1</v>
      </c>
      <c r="E466" s="62">
        <v>0</v>
      </c>
    </row>
    <row r="467" spans="2:5">
      <c r="B467" s="125"/>
      <c r="C467" s="60" t="s">
        <v>105</v>
      </c>
      <c r="D467" s="61">
        <v>1</v>
      </c>
      <c r="E467" s="62">
        <v>0</v>
      </c>
    </row>
    <row r="468" spans="2:5">
      <c r="B468" s="125"/>
      <c r="C468" s="60" t="s">
        <v>106</v>
      </c>
      <c r="D468" s="61">
        <v>2</v>
      </c>
      <c r="E468" s="62">
        <v>0</v>
      </c>
    </row>
    <row r="469" spans="2:5">
      <c r="B469" s="125"/>
      <c r="C469" s="60" t="s">
        <v>107</v>
      </c>
      <c r="D469" s="61">
        <v>3</v>
      </c>
      <c r="E469" s="62">
        <v>1E-3</v>
      </c>
    </row>
    <row r="470" spans="2:5">
      <c r="B470" s="125"/>
      <c r="C470" s="60" t="s">
        <v>109</v>
      </c>
      <c r="D470" s="61">
        <v>1</v>
      </c>
      <c r="E470" s="62">
        <v>0</v>
      </c>
    </row>
    <row r="471" spans="2:5">
      <c r="B471" s="125"/>
      <c r="C471" s="60" t="s">
        <v>110</v>
      </c>
      <c r="D471" s="61">
        <v>1</v>
      </c>
      <c r="E471" s="62">
        <v>0</v>
      </c>
    </row>
    <row r="472" spans="2:5">
      <c r="B472" s="125"/>
      <c r="C472" s="60" t="s">
        <v>111</v>
      </c>
      <c r="D472" s="61">
        <v>3</v>
      </c>
      <c r="E472" s="62">
        <v>1E-3</v>
      </c>
    </row>
    <row r="473" spans="2:5">
      <c r="B473" s="125"/>
      <c r="C473" s="60" t="s">
        <v>112</v>
      </c>
      <c r="D473" s="61">
        <v>3</v>
      </c>
      <c r="E473" s="62">
        <v>1E-3</v>
      </c>
    </row>
    <row r="474" spans="2:5">
      <c r="B474" s="125"/>
      <c r="C474" s="60" t="s">
        <v>113</v>
      </c>
      <c r="D474" s="61">
        <v>5</v>
      </c>
      <c r="E474" s="62">
        <v>1E-3</v>
      </c>
    </row>
    <row r="475" spans="2:5">
      <c r="B475" s="125"/>
      <c r="C475" s="60" t="s">
        <v>114</v>
      </c>
      <c r="D475" s="61">
        <v>2</v>
      </c>
      <c r="E475" s="62">
        <v>0</v>
      </c>
    </row>
    <row r="476" spans="2:5">
      <c r="B476" s="125"/>
      <c r="C476" s="60" t="s">
        <v>115</v>
      </c>
      <c r="D476" s="61">
        <v>3</v>
      </c>
      <c r="E476" s="62">
        <v>1E-3</v>
      </c>
    </row>
    <row r="477" spans="2:5">
      <c r="B477" s="125"/>
      <c r="C477" s="60" t="s">
        <v>116</v>
      </c>
      <c r="D477" s="61">
        <v>3</v>
      </c>
      <c r="E477" s="62">
        <v>1E-3</v>
      </c>
    </row>
    <row r="478" spans="2:5">
      <c r="B478" s="125"/>
      <c r="C478" s="60" t="s">
        <v>117</v>
      </c>
      <c r="D478" s="61">
        <v>1</v>
      </c>
      <c r="E478" s="62">
        <v>0</v>
      </c>
    </row>
    <row r="479" spans="2:5">
      <c r="B479" s="125"/>
      <c r="C479" s="60" t="s">
        <v>118</v>
      </c>
      <c r="D479" s="61">
        <v>1</v>
      </c>
      <c r="E479" s="62">
        <v>0</v>
      </c>
    </row>
    <row r="480" spans="2:5">
      <c r="B480" s="125"/>
      <c r="C480" s="60" t="s">
        <v>119</v>
      </c>
      <c r="D480" s="61">
        <v>4</v>
      </c>
      <c r="E480" s="62">
        <v>1E-3</v>
      </c>
    </row>
    <row r="481" spans="2:5">
      <c r="B481" s="125"/>
      <c r="C481" s="60" t="s">
        <v>120</v>
      </c>
      <c r="D481" s="61">
        <v>15</v>
      </c>
      <c r="E481" s="62">
        <v>3.0000000000000001E-3</v>
      </c>
    </row>
    <row r="482" spans="2:5">
      <c r="B482" s="125"/>
      <c r="C482" s="60" t="s">
        <v>122</v>
      </c>
      <c r="D482" s="61">
        <v>2</v>
      </c>
      <c r="E482" s="62">
        <v>0</v>
      </c>
    </row>
    <row r="483" spans="2:5">
      <c r="B483" s="125"/>
      <c r="C483" s="60" t="s">
        <v>123</v>
      </c>
      <c r="D483" s="61">
        <v>5</v>
      </c>
      <c r="E483" s="62">
        <v>1E-3</v>
      </c>
    </row>
    <row r="484" spans="2:5">
      <c r="B484" s="125"/>
      <c r="C484" s="60" t="s">
        <v>124</v>
      </c>
      <c r="D484" s="61">
        <v>2</v>
      </c>
      <c r="E484" s="62">
        <v>0</v>
      </c>
    </row>
    <row r="485" spans="2:5">
      <c r="B485" s="125"/>
      <c r="C485" s="60" t="s">
        <v>127</v>
      </c>
      <c r="D485" s="61">
        <v>5</v>
      </c>
      <c r="E485" s="62">
        <v>1E-3</v>
      </c>
    </row>
    <row r="486" spans="2:5">
      <c r="B486" s="125"/>
      <c r="C486" s="60" t="s">
        <v>128</v>
      </c>
      <c r="D486" s="61">
        <v>6</v>
      </c>
      <c r="E486" s="62">
        <v>1E-3</v>
      </c>
    </row>
    <row r="487" spans="2:5">
      <c r="B487" s="125"/>
      <c r="C487" s="60" t="s">
        <v>129</v>
      </c>
      <c r="D487" s="61">
        <v>55</v>
      </c>
      <c r="E487" s="62">
        <v>1.2E-2</v>
      </c>
    </row>
    <row r="488" spans="2:5">
      <c r="B488" s="125"/>
      <c r="C488" s="60" t="s">
        <v>130</v>
      </c>
      <c r="D488" s="61">
        <v>1</v>
      </c>
      <c r="E488" s="62">
        <v>0</v>
      </c>
    </row>
    <row r="489" spans="2:5">
      <c r="B489" s="125"/>
      <c r="C489" s="60" t="s">
        <v>132</v>
      </c>
      <c r="D489" s="61">
        <v>4</v>
      </c>
      <c r="E489" s="62">
        <v>1E-3</v>
      </c>
    </row>
    <row r="490" spans="2:5">
      <c r="B490" s="125"/>
      <c r="C490" s="60" t="s">
        <v>55</v>
      </c>
      <c r="D490" s="61">
        <v>1</v>
      </c>
      <c r="E490" s="62">
        <v>0</v>
      </c>
    </row>
    <row r="491" spans="2:5" ht="15" customHeight="1">
      <c r="B491" s="125"/>
      <c r="C491" s="60" t="s">
        <v>133</v>
      </c>
      <c r="D491" s="61">
        <v>5</v>
      </c>
      <c r="E491" s="62">
        <v>1E-3</v>
      </c>
    </row>
    <row r="492" spans="2:5">
      <c r="B492" s="125"/>
      <c r="C492" s="60" t="s">
        <v>134</v>
      </c>
      <c r="D492" s="61">
        <v>1</v>
      </c>
      <c r="E492" s="62">
        <v>0</v>
      </c>
    </row>
    <row r="493" spans="2:5" ht="15" customHeight="1">
      <c r="B493" s="126"/>
      <c r="C493" s="91" t="s">
        <v>29</v>
      </c>
      <c r="D493" s="65">
        <v>203</v>
      </c>
      <c r="E493" s="66">
        <v>4.4999999999999998E-2</v>
      </c>
    </row>
    <row r="494" spans="2:5" ht="15" customHeight="1">
      <c r="B494" s="124" t="s">
        <v>239</v>
      </c>
      <c r="C494" s="60" t="s">
        <v>128</v>
      </c>
      <c r="D494" s="61">
        <v>1</v>
      </c>
      <c r="E494" s="62">
        <v>0</v>
      </c>
    </row>
    <row r="495" spans="2:5" ht="15" customHeight="1">
      <c r="B495" s="125"/>
      <c r="C495" s="60" t="s">
        <v>129</v>
      </c>
      <c r="D495" s="61">
        <v>2</v>
      </c>
      <c r="E495" s="62">
        <v>0</v>
      </c>
    </row>
    <row r="496" spans="2:5" ht="15" customHeight="1">
      <c r="B496" s="126"/>
      <c r="C496" s="91" t="s">
        <v>29</v>
      </c>
      <c r="D496" s="65">
        <v>3</v>
      </c>
      <c r="E496" s="66">
        <v>1E-3</v>
      </c>
    </row>
    <row r="497" spans="2:5" ht="15" customHeight="1">
      <c r="B497" s="124" t="s">
        <v>175</v>
      </c>
      <c r="C497" s="60" t="s">
        <v>95</v>
      </c>
      <c r="D497" s="61">
        <v>1</v>
      </c>
      <c r="E497" s="62">
        <v>0</v>
      </c>
    </row>
    <row r="498" spans="2:5" ht="15" customHeight="1">
      <c r="B498" s="125"/>
      <c r="C498" s="60" t="s">
        <v>96</v>
      </c>
      <c r="D498" s="61">
        <v>1</v>
      </c>
      <c r="E498" s="62">
        <v>0</v>
      </c>
    </row>
    <row r="499" spans="2:5" ht="15" customHeight="1">
      <c r="B499" s="125"/>
      <c r="C499" s="60" t="s">
        <v>116</v>
      </c>
      <c r="D499" s="61">
        <v>1</v>
      </c>
      <c r="E499" s="62">
        <v>0</v>
      </c>
    </row>
    <row r="500" spans="2:5" ht="15" customHeight="1">
      <c r="B500" s="125"/>
      <c r="C500" s="60" t="s">
        <v>129</v>
      </c>
      <c r="D500" s="61">
        <v>3</v>
      </c>
      <c r="E500" s="62">
        <v>1E-3</v>
      </c>
    </row>
    <row r="501" spans="2:5" ht="15" customHeight="1">
      <c r="B501" s="126"/>
      <c r="C501" s="91" t="s">
        <v>29</v>
      </c>
      <c r="D501" s="65">
        <v>6</v>
      </c>
      <c r="E501" s="66">
        <v>1E-3</v>
      </c>
    </row>
    <row r="502" spans="2:5" ht="15" customHeight="1">
      <c r="B502" s="124" t="s">
        <v>176</v>
      </c>
      <c r="C502" s="60" t="s">
        <v>92</v>
      </c>
      <c r="D502" s="61">
        <v>1</v>
      </c>
      <c r="E502" s="62">
        <v>0</v>
      </c>
    </row>
    <row r="503" spans="2:5" ht="15" customHeight="1">
      <c r="B503" s="126"/>
      <c r="C503" s="91" t="s">
        <v>29</v>
      </c>
      <c r="D503" s="65">
        <v>1</v>
      </c>
      <c r="E503" s="66">
        <v>0</v>
      </c>
    </row>
    <row r="504" spans="2:5" ht="15" customHeight="1">
      <c r="B504" s="127" t="s">
        <v>316</v>
      </c>
      <c r="C504" s="127"/>
      <c r="D504" s="92">
        <v>4533</v>
      </c>
      <c r="E504" s="69">
        <v>1</v>
      </c>
    </row>
    <row r="505" spans="2:5" ht="15" customHeight="1">
      <c r="B505" s="48"/>
      <c r="C505" s="48"/>
      <c r="D505" s="48"/>
      <c r="E505" s="48"/>
    </row>
    <row r="506" spans="2:5" ht="15" customHeight="1">
      <c r="B506" s="38" t="s">
        <v>218</v>
      </c>
      <c r="C506" s="48"/>
      <c r="D506" s="48"/>
      <c r="E506" s="48"/>
    </row>
    <row r="507" spans="2:5" ht="15" customHeight="1">
      <c r="B507" s="40" t="s">
        <v>18</v>
      </c>
      <c r="C507" s="48"/>
      <c r="D507" s="48"/>
      <c r="E507" s="48"/>
    </row>
    <row r="508" spans="2:5" ht="15" customHeight="1">
      <c r="B508" s="41" t="s">
        <v>45</v>
      </c>
      <c r="C508" s="48"/>
      <c r="D508" s="48"/>
      <c r="E508" s="48"/>
    </row>
    <row r="509" spans="2:5" ht="15" customHeight="1">
      <c r="B509" s="38" t="s">
        <v>17</v>
      </c>
      <c r="C509" s="48"/>
      <c r="D509" s="48"/>
      <c r="E509" s="48"/>
    </row>
    <row r="510" spans="2:5" ht="15" customHeight="1">
      <c r="B510" s="38" t="s">
        <v>317</v>
      </c>
      <c r="C510" s="48"/>
      <c r="D510" s="48"/>
      <c r="E510" s="48"/>
    </row>
  </sheetData>
  <mergeCells count="26">
    <mergeCell ref="B356:B400"/>
    <mergeCell ref="B401:B409"/>
    <mergeCell ref="B497:B501"/>
    <mergeCell ref="B502:B503"/>
    <mergeCell ref="B410:B420"/>
    <mergeCell ref="B421:B431"/>
    <mergeCell ref="B432:B434"/>
    <mergeCell ref="B435:B454"/>
    <mergeCell ref="B455:B493"/>
    <mergeCell ref="B494:B496"/>
    <mergeCell ref="B7:E8"/>
    <mergeCell ref="B231:B259"/>
    <mergeCell ref="B504:C504"/>
    <mergeCell ref="B10:B29"/>
    <mergeCell ref="B30:B38"/>
    <mergeCell ref="B39:B53"/>
    <mergeCell ref="B54:B78"/>
    <mergeCell ref="B79:B97"/>
    <mergeCell ref="B98:B115"/>
    <mergeCell ref="B116:B151"/>
    <mergeCell ref="B152:B187"/>
    <mergeCell ref="B188:B198"/>
    <mergeCell ref="B199:B230"/>
    <mergeCell ref="B260:B304"/>
    <mergeCell ref="B305:B321"/>
    <mergeCell ref="B322:B355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78" orientation="portrait" r:id="rId1"/>
  <colBreaks count="1" manualBreakCount="1">
    <brk id="5" max="18" man="1"/>
  </colBreaks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92D050"/>
  </sheetPr>
  <dimension ref="A1:E609"/>
  <sheetViews>
    <sheetView showGridLines="0" view="pageBreakPreview" topLeftCell="A2" zoomScale="130" zoomScaleNormal="95" zoomScaleSheetLayoutView="130" workbookViewId="0">
      <selection activeCell="C9" sqref="C9"/>
    </sheetView>
  </sheetViews>
  <sheetFormatPr baseColWidth="10" defaultColWidth="35" defaultRowHeight="15" customHeight="1"/>
  <cols>
    <col min="1" max="1" width="1" style="18" customWidth="1"/>
    <col min="2" max="2" width="22.85546875" style="19" customWidth="1"/>
    <col min="3" max="3" width="38.7109375" style="19" bestFit="1" customWidth="1"/>
    <col min="4" max="4" width="14.28515625" style="19" customWidth="1"/>
    <col min="5" max="5" width="16.85546875" style="19" customWidth="1"/>
    <col min="6" max="16384" width="35" style="18"/>
  </cols>
  <sheetData>
    <row r="1" spans="1:5" s="21" customFormat="1" ht="12" customHeight="1">
      <c r="B1" s="23"/>
      <c r="C1" s="20"/>
      <c r="D1" s="20"/>
      <c r="E1" s="20"/>
    </row>
    <row r="2" spans="1:5" s="21" customFormat="1" ht="15" customHeight="1">
      <c r="C2" s="25"/>
    </row>
    <row r="3" spans="1:5" s="21" customFormat="1" ht="15" customHeight="1">
      <c r="C3" s="25"/>
    </row>
    <row r="4" spans="1:5" s="21" customFormat="1" ht="30" customHeight="1">
      <c r="C4" s="25"/>
      <c r="D4" s="24"/>
    </row>
    <row r="5" spans="1:5" s="21" customFormat="1" ht="15" customHeight="1">
      <c r="C5" s="25"/>
      <c r="D5" s="24"/>
    </row>
    <row r="6" spans="1:5" s="21" customFormat="1" ht="24" customHeight="1">
      <c r="B6" s="46"/>
      <c r="C6" s="47"/>
      <c r="D6" s="47"/>
      <c r="E6" s="47"/>
    </row>
    <row r="7" spans="1:5" s="21" customFormat="1" ht="26.25" customHeight="1">
      <c r="A7" s="22"/>
      <c r="B7" s="118"/>
      <c r="C7" s="118"/>
      <c r="D7" s="118"/>
      <c r="E7" s="118"/>
    </row>
    <row r="8" spans="1:5" s="21" customFormat="1" ht="33" customHeight="1">
      <c r="A8" s="22"/>
      <c r="B8" s="118"/>
      <c r="C8" s="118"/>
      <c r="D8" s="118"/>
      <c r="E8" s="118"/>
    </row>
    <row r="9" spans="1:5" s="15" customFormat="1" ht="40.5" customHeight="1">
      <c r="B9" s="49" t="s">
        <v>22</v>
      </c>
      <c r="C9" s="50" t="s">
        <v>27</v>
      </c>
      <c r="D9" s="51" t="s">
        <v>20</v>
      </c>
      <c r="E9" s="49" t="s">
        <v>19</v>
      </c>
    </row>
    <row r="10" spans="1:5" ht="15" customHeight="1">
      <c r="B10" s="124" t="s">
        <v>86</v>
      </c>
      <c r="C10" s="60" t="s">
        <v>228</v>
      </c>
      <c r="D10" s="61">
        <v>2</v>
      </c>
      <c r="E10" s="62">
        <v>0</v>
      </c>
    </row>
    <row r="11" spans="1:5" ht="15" customHeight="1">
      <c r="B11" s="125"/>
      <c r="C11" s="60" t="s">
        <v>161</v>
      </c>
      <c r="D11" s="61">
        <v>2</v>
      </c>
      <c r="E11" s="62">
        <v>0</v>
      </c>
    </row>
    <row r="12" spans="1:5" ht="15" customHeight="1">
      <c r="B12" s="125"/>
      <c r="C12" s="60" t="s">
        <v>165</v>
      </c>
      <c r="D12" s="61">
        <v>6</v>
      </c>
      <c r="E12" s="62">
        <v>1E-3</v>
      </c>
    </row>
    <row r="13" spans="1:5" ht="15" customHeight="1">
      <c r="B13" s="125"/>
      <c r="C13" s="60" t="s">
        <v>168</v>
      </c>
      <c r="D13" s="61">
        <v>6</v>
      </c>
      <c r="E13" s="62">
        <v>1E-3</v>
      </c>
    </row>
    <row r="14" spans="1:5" ht="15" customHeight="1">
      <c r="B14" s="126"/>
      <c r="C14" s="91" t="s">
        <v>29</v>
      </c>
      <c r="D14" s="65">
        <v>16</v>
      </c>
      <c r="E14" s="66">
        <v>4.0000000000000001E-3</v>
      </c>
    </row>
    <row r="15" spans="1:5" ht="15" customHeight="1">
      <c r="B15" s="124" t="s">
        <v>49</v>
      </c>
      <c r="C15" s="60" t="s">
        <v>154</v>
      </c>
      <c r="D15" s="61">
        <v>2</v>
      </c>
      <c r="E15" s="62">
        <v>0</v>
      </c>
    </row>
    <row r="16" spans="1:5" ht="15" customHeight="1">
      <c r="B16" s="125"/>
      <c r="C16" s="60" t="s">
        <v>227</v>
      </c>
      <c r="D16" s="61">
        <v>1</v>
      </c>
      <c r="E16" s="62">
        <v>0</v>
      </c>
    </row>
    <row r="17" spans="2:5" ht="15" customHeight="1">
      <c r="B17" s="125"/>
      <c r="C17" s="60" t="s">
        <v>228</v>
      </c>
      <c r="D17" s="61">
        <v>1</v>
      </c>
      <c r="E17" s="62">
        <v>0</v>
      </c>
    </row>
    <row r="18" spans="2:5" ht="15" customHeight="1">
      <c r="B18" s="125"/>
      <c r="C18" s="60" t="s">
        <v>229</v>
      </c>
      <c r="D18" s="61">
        <v>1</v>
      </c>
      <c r="E18" s="62">
        <v>0</v>
      </c>
    </row>
    <row r="19" spans="2:5" ht="15" customHeight="1">
      <c r="B19" s="125"/>
      <c r="C19" s="60" t="s">
        <v>230</v>
      </c>
      <c r="D19" s="61">
        <v>3</v>
      </c>
      <c r="E19" s="62">
        <v>1E-3</v>
      </c>
    </row>
    <row r="20" spans="2:5" ht="15" customHeight="1">
      <c r="B20" s="125"/>
      <c r="C20" s="60" t="s">
        <v>231</v>
      </c>
      <c r="D20" s="61">
        <v>16</v>
      </c>
      <c r="E20" s="62">
        <v>4.0000000000000001E-3</v>
      </c>
    </row>
    <row r="21" spans="2:5" ht="15" customHeight="1">
      <c r="B21" s="125"/>
      <c r="C21" s="60" t="s">
        <v>161</v>
      </c>
      <c r="D21" s="61">
        <v>25</v>
      </c>
      <c r="E21" s="62">
        <v>6.0000000000000001E-3</v>
      </c>
    </row>
    <row r="22" spans="2:5" ht="15" customHeight="1">
      <c r="B22" s="125"/>
      <c r="C22" s="60" t="s">
        <v>232</v>
      </c>
      <c r="D22" s="61">
        <v>1</v>
      </c>
      <c r="E22" s="62">
        <v>0</v>
      </c>
    </row>
    <row r="23" spans="2:5" ht="15" customHeight="1">
      <c r="B23" s="125"/>
      <c r="C23" s="60" t="s">
        <v>233</v>
      </c>
      <c r="D23" s="61">
        <v>4</v>
      </c>
      <c r="E23" s="62">
        <v>1E-3</v>
      </c>
    </row>
    <row r="24" spans="2:5" ht="15" customHeight="1">
      <c r="B24" s="125"/>
      <c r="C24" s="60" t="s">
        <v>234</v>
      </c>
      <c r="D24" s="61">
        <v>11</v>
      </c>
      <c r="E24" s="62">
        <v>2E-3</v>
      </c>
    </row>
    <row r="25" spans="2:5" ht="15" customHeight="1">
      <c r="B25" s="125"/>
      <c r="C25" s="60" t="s">
        <v>165</v>
      </c>
      <c r="D25" s="61">
        <v>120</v>
      </c>
      <c r="E25" s="62">
        <v>2.5999999999999999E-2</v>
      </c>
    </row>
    <row r="26" spans="2:5" ht="15" customHeight="1">
      <c r="B26" s="125"/>
      <c r="C26" s="60" t="s">
        <v>166</v>
      </c>
      <c r="D26" s="61">
        <v>2</v>
      </c>
      <c r="E26" s="62">
        <v>0</v>
      </c>
    </row>
    <row r="27" spans="2:5" ht="15" customHeight="1">
      <c r="B27" s="125"/>
      <c r="C27" s="60" t="s">
        <v>167</v>
      </c>
      <c r="D27" s="61">
        <v>19</v>
      </c>
      <c r="E27" s="62">
        <v>4.0000000000000001E-3</v>
      </c>
    </row>
    <row r="28" spans="2:5" ht="15" customHeight="1">
      <c r="B28" s="125"/>
      <c r="C28" s="60" t="s">
        <v>168</v>
      </c>
      <c r="D28" s="61">
        <v>71</v>
      </c>
      <c r="E28" s="62">
        <v>1.6E-2</v>
      </c>
    </row>
    <row r="29" spans="2:5" ht="15" customHeight="1">
      <c r="B29" s="125"/>
      <c r="C29" s="60" t="s">
        <v>236</v>
      </c>
      <c r="D29" s="61">
        <v>1</v>
      </c>
      <c r="E29" s="62">
        <v>0</v>
      </c>
    </row>
    <row r="30" spans="2:5" ht="15" customHeight="1">
      <c r="B30" s="125"/>
      <c r="C30" s="60" t="s">
        <v>237</v>
      </c>
      <c r="D30" s="61">
        <v>3</v>
      </c>
      <c r="E30" s="62">
        <v>1E-3</v>
      </c>
    </row>
    <row r="31" spans="2:5" ht="15" customHeight="1">
      <c r="B31" s="125"/>
      <c r="C31" s="60" t="s">
        <v>173</v>
      </c>
      <c r="D31" s="61">
        <v>7</v>
      </c>
      <c r="E31" s="62">
        <v>2E-3</v>
      </c>
    </row>
    <row r="32" spans="2:5" ht="15" customHeight="1">
      <c r="B32" s="125"/>
      <c r="C32" s="60" t="s">
        <v>174</v>
      </c>
      <c r="D32" s="61">
        <v>11</v>
      </c>
      <c r="E32" s="62">
        <v>2E-3</v>
      </c>
    </row>
    <row r="33" spans="2:5" ht="15" customHeight="1">
      <c r="B33" s="125"/>
      <c r="C33" s="60" t="s">
        <v>176</v>
      </c>
      <c r="D33" s="61">
        <v>1</v>
      </c>
      <c r="E33" s="62">
        <v>0</v>
      </c>
    </row>
    <row r="34" spans="2:5" ht="15" customHeight="1">
      <c r="B34" s="126"/>
      <c r="C34" s="91" t="s">
        <v>29</v>
      </c>
      <c r="D34" s="65">
        <v>300</v>
      </c>
      <c r="E34" s="66">
        <v>6.6000000000000003E-2</v>
      </c>
    </row>
    <row r="35" spans="2:5" ht="15" customHeight="1">
      <c r="B35" s="124" t="s">
        <v>51</v>
      </c>
      <c r="C35" s="60" t="s">
        <v>154</v>
      </c>
      <c r="D35" s="61">
        <v>3</v>
      </c>
      <c r="E35" s="62">
        <v>1E-3</v>
      </c>
    </row>
    <row r="36" spans="2:5" ht="15" customHeight="1">
      <c r="B36" s="125"/>
      <c r="C36" s="60" t="s">
        <v>226</v>
      </c>
      <c r="D36" s="61">
        <v>1</v>
      </c>
      <c r="E36" s="62">
        <v>0</v>
      </c>
    </row>
    <row r="37" spans="2:5" ht="15" customHeight="1">
      <c r="B37" s="125"/>
      <c r="C37" s="60" t="s">
        <v>227</v>
      </c>
      <c r="D37" s="61">
        <v>4</v>
      </c>
      <c r="E37" s="62">
        <v>1E-3</v>
      </c>
    </row>
    <row r="38" spans="2:5" ht="15" customHeight="1">
      <c r="B38" s="125"/>
      <c r="C38" s="60" t="s">
        <v>228</v>
      </c>
      <c r="D38" s="61">
        <v>2</v>
      </c>
      <c r="E38" s="62">
        <v>0</v>
      </c>
    </row>
    <row r="39" spans="2:5" ht="15" customHeight="1">
      <c r="B39" s="125"/>
      <c r="C39" s="60" t="s">
        <v>229</v>
      </c>
      <c r="D39" s="61">
        <v>1</v>
      </c>
      <c r="E39" s="62">
        <v>0</v>
      </c>
    </row>
    <row r="40" spans="2:5" ht="15" customHeight="1">
      <c r="B40" s="125"/>
      <c r="C40" s="60" t="s">
        <v>230</v>
      </c>
      <c r="D40" s="61">
        <v>4</v>
      </c>
      <c r="E40" s="62">
        <v>1E-3</v>
      </c>
    </row>
    <row r="41" spans="2:5" ht="15" customHeight="1">
      <c r="B41" s="125"/>
      <c r="C41" s="60" t="s">
        <v>231</v>
      </c>
      <c r="D41" s="61">
        <v>10</v>
      </c>
      <c r="E41" s="62">
        <v>2E-3</v>
      </c>
    </row>
    <row r="42" spans="2:5" ht="15" customHeight="1">
      <c r="B42" s="125"/>
      <c r="C42" s="60" t="s">
        <v>161</v>
      </c>
      <c r="D42" s="61">
        <v>15</v>
      </c>
      <c r="E42" s="62">
        <v>3.0000000000000001E-3</v>
      </c>
    </row>
    <row r="43" spans="2:5" ht="15" customHeight="1">
      <c r="B43" s="125"/>
      <c r="C43" s="60" t="s">
        <v>233</v>
      </c>
      <c r="D43" s="61">
        <v>10</v>
      </c>
      <c r="E43" s="62">
        <v>2E-3</v>
      </c>
    </row>
    <row r="44" spans="2:5" ht="15" customHeight="1">
      <c r="B44" s="125"/>
      <c r="C44" s="60" t="s">
        <v>234</v>
      </c>
      <c r="D44" s="61">
        <v>16</v>
      </c>
      <c r="E44" s="62">
        <v>4.0000000000000001E-3</v>
      </c>
    </row>
    <row r="45" spans="2:5" ht="15" customHeight="1">
      <c r="B45" s="125"/>
      <c r="C45" s="60" t="s">
        <v>165</v>
      </c>
      <c r="D45" s="61">
        <v>64</v>
      </c>
      <c r="E45" s="62">
        <v>1.4E-2</v>
      </c>
    </row>
    <row r="46" spans="2:5" ht="15" customHeight="1">
      <c r="B46" s="125"/>
      <c r="C46" s="60" t="s">
        <v>167</v>
      </c>
      <c r="D46" s="61">
        <v>11</v>
      </c>
      <c r="E46" s="62">
        <v>2E-3</v>
      </c>
    </row>
    <row r="47" spans="2:5" ht="15" customHeight="1">
      <c r="B47" s="125"/>
      <c r="C47" s="60" t="s">
        <v>168</v>
      </c>
      <c r="D47" s="61">
        <v>57</v>
      </c>
      <c r="E47" s="62">
        <v>1.2999999999999999E-2</v>
      </c>
    </row>
    <row r="48" spans="2:5" ht="15" customHeight="1">
      <c r="B48" s="125"/>
      <c r="C48" s="60" t="s">
        <v>235</v>
      </c>
      <c r="D48" s="61">
        <v>2</v>
      </c>
      <c r="E48" s="62">
        <v>0</v>
      </c>
    </row>
    <row r="49" spans="2:5" ht="15" customHeight="1">
      <c r="B49" s="125"/>
      <c r="C49" s="60" t="s">
        <v>173</v>
      </c>
      <c r="D49" s="61">
        <v>4</v>
      </c>
      <c r="E49" s="62">
        <v>1E-3</v>
      </c>
    </row>
    <row r="50" spans="2:5" ht="15" customHeight="1">
      <c r="B50" s="125"/>
      <c r="C50" s="60" t="s">
        <v>174</v>
      </c>
      <c r="D50" s="61">
        <v>7</v>
      </c>
      <c r="E50" s="62">
        <v>2E-3</v>
      </c>
    </row>
    <row r="51" spans="2:5" ht="15" customHeight="1">
      <c r="B51" s="125"/>
      <c r="C51" s="60" t="s">
        <v>239</v>
      </c>
      <c r="D51" s="61">
        <v>2</v>
      </c>
      <c r="E51" s="62">
        <v>0</v>
      </c>
    </row>
    <row r="52" spans="2:5" ht="15" customHeight="1">
      <c r="B52" s="126"/>
      <c r="C52" s="91" t="s">
        <v>29</v>
      </c>
      <c r="D52" s="65">
        <v>213</v>
      </c>
      <c r="E52" s="66">
        <v>4.7E-2</v>
      </c>
    </row>
    <row r="53" spans="2:5" ht="15" customHeight="1">
      <c r="B53" s="124" t="s">
        <v>82</v>
      </c>
      <c r="C53" s="60" t="s">
        <v>227</v>
      </c>
      <c r="D53" s="61">
        <v>1</v>
      </c>
      <c r="E53" s="62">
        <v>0</v>
      </c>
    </row>
    <row r="54" spans="2:5" ht="15" customHeight="1">
      <c r="B54" s="125"/>
      <c r="C54" s="60" t="s">
        <v>228</v>
      </c>
      <c r="D54" s="61">
        <v>1</v>
      </c>
      <c r="E54" s="62">
        <v>0</v>
      </c>
    </row>
    <row r="55" spans="2:5" ht="15" customHeight="1">
      <c r="B55" s="125"/>
      <c r="C55" s="60" t="s">
        <v>230</v>
      </c>
      <c r="D55" s="61">
        <v>1</v>
      </c>
      <c r="E55" s="62">
        <v>0</v>
      </c>
    </row>
    <row r="56" spans="2:5" ht="15" customHeight="1">
      <c r="B56" s="125"/>
      <c r="C56" s="60" t="s">
        <v>231</v>
      </c>
      <c r="D56" s="61">
        <v>3</v>
      </c>
      <c r="E56" s="62">
        <v>1E-3</v>
      </c>
    </row>
    <row r="57" spans="2:5" ht="15" customHeight="1">
      <c r="B57" s="125"/>
      <c r="C57" s="60" t="s">
        <v>161</v>
      </c>
      <c r="D57" s="61">
        <v>2</v>
      </c>
      <c r="E57" s="62">
        <v>0</v>
      </c>
    </row>
    <row r="58" spans="2:5" ht="15" customHeight="1">
      <c r="B58" s="125"/>
      <c r="C58" s="60" t="s">
        <v>165</v>
      </c>
      <c r="D58" s="61">
        <v>7</v>
      </c>
      <c r="E58" s="62">
        <v>2E-3</v>
      </c>
    </row>
    <row r="59" spans="2:5" ht="15" customHeight="1">
      <c r="B59" s="125"/>
      <c r="C59" s="60" t="s">
        <v>168</v>
      </c>
      <c r="D59" s="61">
        <v>14</v>
      </c>
      <c r="E59" s="62">
        <v>3.0000000000000001E-3</v>
      </c>
    </row>
    <row r="60" spans="2:5" ht="15" customHeight="1">
      <c r="B60" s="125"/>
      <c r="C60" s="60" t="s">
        <v>174</v>
      </c>
      <c r="D60" s="61">
        <v>2</v>
      </c>
      <c r="E60" s="62">
        <v>0</v>
      </c>
    </row>
    <row r="61" spans="2:5" ht="15" customHeight="1">
      <c r="B61" s="126"/>
      <c r="C61" s="91" t="s">
        <v>29</v>
      </c>
      <c r="D61" s="65">
        <v>31</v>
      </c>
      <c r="E61" s="66">
        <v>7.0000000000000001E-3</v>
      </c>
    </row>
    <row r="62" spans="2:5" ht="15" customHeight="1">
      <c r="B62" s="124" t="s">
        <v>68</v>
      </c>
      <c r="C62" s="60" t="s">
        <v>228</v>
      </c>
      <c r="D62" s="61">
        <v>2</v>
      </c>
      <c r="E62" s="62">
        <v>0</v>
      </c>
    </row>
    <row r="63" spans="2:5" ht="15" customHeight="1">
      <c r="B63" s="125"/>
      <c r="C63" s="60" t="s">
        <v>231</v>
      </c>
      <c r="D63" s="61">
        <v>2</v>
      </c>
      <c r="E63" s="62">
        <v>0</v>
      </c>
    </row>
    <row r="64" spans="2:5" ht="15" customHeight="1">
      <c r="B64" s="125"/>
      <c r="C64" s="60" t="s">
        <v>161</v>
      </c>
      <c r="D64" s="61">
        <v>10</v>
      </c>
      <c r="E64" s="62">
        <v>2E-3</v>
      </c>
    </row>
    <row r="65" spans="2:5" ht="15" customHeight="1">
      <c r="B65" s="125"/>
      <c r="C65" s="60" t="s">
        <v>232</v>
      </c>
      <c r="D65" s="61">
        <v>1</v>
      </c>
      <c r="E65" s="62">
        <v>0</v>
      </c>
    </row>
    <row r="66" spans="2:5" ht="15" customHeight="1">
      <c r="B66" s="125"/>
      <c r="C66" s="60" t="s">
        <v>233</v>
      </c>
      <c r="D66" s="61">
        <v>3</v>
      </c>
      <c r="E66" s="62">
        <v>1E-3</v>
      </c>
    </row>
    <row r="67" spans="2:5" ht="15" customHeight="1">
      <c r="B67" s="125"/>
      <c r="C67" s="60" t="s">
        <v>165</v>
      </c>
      <c r="D67" s="61">
        <v>19</v>
      </c>
      <c r="E67" s="62">
        <v>4.0000000000000001E-3</v>
      </c>
    </row>
    <row r="68" spans="2:5" ht="15" customHeight="1">
      <c r="B68" s="125"/>
      <c r="C68" s="60" t="s">
        <v>166</v>
      </c>
      <c r="D68" s="61">
        <v>1</v>
      </c>
      <c r="E68" s="62">
        <v>0</v>
      </c>
    </row>
    <row r="69" spans="2:5" ht="15" customHeight="1">
      <c r="B69" s="125"/>
      <c r="C69" s="60" t="s">
        <v>167</v>
      </c>
      <c r="D69" s="61">
        <v>4</v>
      </c>
      <c r="E69" s="62">
        <v>1E-3</v>
      </c>
    </row>
    <row r="70" spans="2:5" ht="15" customHeight="1">
      <c r="B70" s="125"/>
      <c r="C70" s="60" t="s">
        <v>168</v>
      </c>
      <c r="D70" s="61">
        <v>11</v>
      </c>
      <c r="E70" s="62">
        <v>2E-3</v>
      </c>
    </row>
    <row r="71" spans="2:5" ht="15" customHeight="1">
      <c r="B71" s="125"/>
      <c r="C71" s="60" t="s">
        <v>173</v>
      </c>
      <c r="D71" s="61">
        <v>1</v>
      </c>
      <c r="E71" s="62">
        <v>0</v>
      </c>
    </row>
    <row r="72" spans="2:5" ht="15" customHeight="1">
      <c r="B72" s="125"/>
      <c r="C72" s="60" t="s">
        <v>174</v>
      </c>
      <c r="D72" s="61">
        <v>2</v>
      </c>
      <c r="E72" s="62">
        <v>0</v>
      </c>
    </row>
    <row r="73" spans="2:5" ht="15" customHeight="1">
      <c r="B73" s="126"/>
      <c r="C73" s="91" t="s">
        <v>29</v>
      </c>
      <c r="D73" s="65">
        <v>56</v>
      </c>
      <c r="E73" s="66">
        <v>1.2E-2</v>
      </c>
    </row>
    <row r="74" spans="2:5" ht="15" customHeight="1">
      <c r="B74" s="124" t="s">
        <v>74</v>
      </c>
      <c r="C74" s="60" t="s">
        <v>226</v>
      </c>
      <c r="D74" s="61">
        <v>1</v>
      </c>
      <c r="E74" s="62">
        <v>0</v>
      </c>
    </row>
    <row r="75" spans="2:5" ht="15" customHeight="1">
      <c r="B75" s="125"/>
      <c r="C75" s="60" t="s">
        <v>227</v>
      </c>
      <c r="D75" s="61">
        <v>1</v>
      </c>
      <c r="E75" s="62">
        <v>0</v>
      </c>
    </row>
    <row r="76" spans="2:5" ht="15" customHeight="1">
      <c r="B76" s="125"/>
      <c r="C76" s="60" t="s">
        <v>229</v>
      </c>
      <c r="D76" s="61">
        <v>1</v>
      </c>
      <c r="E76" s="62">
        <v>0</v>
      </c>
    </row>
    <row r="77" spans="2:5" ht="15" customHeight="1">
      <c r="B77" s="125"/>
      <c r="C77" s="60" t="s">
        <v>231</v>
      </c>
      <c r="D77" s="61">
        <v>2</v>
      </c>
      <c r="E77" s="62">
        <v>0</v>
      </c>
    </row>
    <row r="78" spans="2:5" ht="15" customHeight="1">
      <c r="B78" s="125"/>
      <c r="C78" s="60" t="s">
        <v>161</v>
      </c>
      <c r="D78" s="61">
        <v>1</v>
      </c>
      <c r="E78" s="62">
        <v>0</v>
      </c>
    </row>
    <row r="79" spans="2:5" ht="15" customHeight="1">
      <c r="B79" s="125"/>
      <c r="C79" s="60" t="s">
        <v>232</v>
      </c>
      <c r="D79" s="61">
        <v>1</v>
      </c>
      <c r="E79" s="62">
        <v>0</v>
      </c>
    </row>
    <row r="80" spans="2:5" ht="15" customHeight="1">
      <c r="B80" s="125"/>
      <c r="C80" s="60" t="s">
        <v>233</v>
      </c>
      <c r="D80" s="61">
        <v>2</v>
      </c>
      <c r="E80" s="62">
        <v>0</v>
      </c>
    </row>
    <row r="81" spans="2:5" ht="15" customHeight="1">
      <c r="B81" s="125"/>
      <c r="C81" s="60" t="s">
        <v>234</v>
      </c>
      <c r="D81" s="61">
        <v>1</v>
      </c>
      <c r="E81" s="62">
        <v>0</v>
      </c>
    </row>
    <row r="82" spans="2:5" ht="15" customHeight="1">
      <c r="B82" s="125"/>
      <c r="C82" s="60" t="s">
        <v>165</v>
      </c>
      <c r="D82" s="61">
        <v>12</v>
      </c>
      <c r="E82" s="62">
        <v>3.0000000000000001E-3</v>
      </c>
    </row>
    <row r="83" spans="2:5" ht="15" customHeight="1">
      <c r="B83" s="125"/>
      <c r="C83" s="60" t="s">
        <v>166</v>
      </c>
      <c r="D83" s="61">
        <v>1</v>
      </c>
      <c r="E83" s="62">
        <v>0</v>
      </c>
    </row>
    <row r="84" spans="2:5" ht="15" customHeight="1">
      <c r="B84" s="125"/>
      <c r="C84" s="60" t="s">
        <v>167</v>
      </c>
      <c r="D84" s="61">
        <v>3</v>
      </c>
      <c r="E84" s="62">
        <v>1E-3</v>
      </c>
    </row>
    <row r="85" spans="2:5" ht="15" customHeight="1">
      <c r="B85" s="125"/>
      <c r="C85" s="60" t="s">
        <v>168</v>
      </c>
      <c r="D85" s="61">
        <v>6</v>
      </c>
      <c r="E85" s="62">
        <v>1E-3</v>
      </c>
    </row>
    <row r="86" spans="2:5" ht="15" customHeight="1">
      <c r="B86" s="125"/>
      <c r="C86" s="60" t="s">
        <v>174</v>
      </c>
      <c r="D86" s="61">
        <v>3</v>
      </c>
      <c r="E86" s="62">
        <v>1E-3</v>
      </c>
    </row>
    <row r="87" spans="2:5" ht="15" customHeight="1">
      <c r="B87" s="125"/>
      <c r="C87" s="60" t="s">
        <v>175</v>
      </c>
      <c r="D87" s="61">
        <v>1</v>
      </c>
      <c r="E87" s="62">
        <v>0</v>
      </c>
    </row>
    <row r="88" spans="2:5" ht="15" customHeight="1">
      <c r="B88" s="126"/>
      <c r="C88" s="91" t="s">
        <v>29</v>
      </c>
      <c r="D88" s="65">
        <v>36</v>
      </c>
      <c r="E88" s="66">
        <v>8.0000000000000002E-3</v>
      </c>
    </row>
    <row r="89" spans="2:5" ht="15" customHeight="1">
      <c r="B89" s="124" t="s">
        <v>52</v>
      </c>
      <c r="C89" s="60" t="s">
        <v>228</v>
      </c>
      <c r="D89" s="61">
        <v>2</v>
      </c>
      <c r="E89" s="62">
        <v>0</v>
      </c>
    </row>
    <row r="90" spans="2:5" ht="15" customHeight="1">
      <c r="B90" s="125"/>
      <c r="C90" s="60" t="s">
        <v>231</v>
      </c>
      <c r="D90" s="61">
        <v>9</v>
      </c>
      <c r="E90" s="62">
        <v>2E-3</v>
      </c>
    </row>
    <row r="91" spans="2:5" ht="15" customHeight="1">
      <c r="B91" s="125"/>
      <c r="C91" s="60" t="s">
        <v>161</v>
      </c>
      <c r="D91" s="61">
        <v>16</v>
      </c>
      <c r="E91" s="62">
        <v>4.0000000000000001E-3</v>
      </c>
    </row>
    <row r="92" spans="2:5" ht="15" customHeight="1">
      <c r="B92" s="125"/>
      <c r="C92" s="60" t="s">
        <v>234</v>
      </c>
      <c r="D92" s="61">
        <v>12</v>
      </c>
      <c r="E92" s="62">
        <v>3.0000000000000001E-3</v>
      </c>
    </row>
    <row r="93" spans="2:5" ht="15" customHeight="1">
      <c r="B93" s="125"/>
      <c r="C93" s="60" t="s">
        <v>165</v>
      </c>
      <c r="D93" s="61">
        <v>65</v>
      </c>
      <c r="E93" s="62">
        <v>1.4E-2</v>
      </c>
    </row>
    <row r="94" spans="2:5" ht="15" customHeight="1">
      <c r="B94" s="125"/>
      <c r="C94" s="60" t="s">
        <v>166</v>
      </c>
      <c r="D94" s="61">
        <v>2</v>
      </c>
      <c r="E94" s="62">
        <v>0</v>
      </c>
    </row>
    <row r="95" spans="2:5" ht="15" customHeight="1">
      <c r="B95" s="125"/>
      <c r="C95" s="60" t="s">
        <v>167</v>
      </c>
      <c r="D95" s="61">
        <v>13</v>
      </c>
      <c r="E95" s="62">
        <v>3.0000000000000001E-3</v>
      </c>
    </row>
    <row r="96" spans="2:5" ht="15" customHeight="1">
      <c r="B96" s="125"/>
      <c r="C96" s="60" t="s">
        <v>168</v>
      </c>
      <c r="D96" s="61">
        <v>70</v>
      </c>
      <c r="E96" s="62">
        <v>1.4999999999999999E-2</v>
      </c>
    </row>
    <row r="97" spans="2:5" ht="15" customHeight="1">
      <c r="B97" s="125"/>
      <c r="C97" s="60" t="s">
        <v>173</v>
      </c>
      <c r="D97" s="61">
        <v>5</v>
      </c>
      <c r="E97" s="62">
        <v>1E-3</v>
      </c>
    </row>
    <row r="98" spans="2:5" ht="15" customHeight="1">
      <c r="B98" s="125"/>
      <c r="C98" s="60" t="s">
        <v>174</v>
      </c>
      <c r="D98" s="61">
        <v>12</v>
      </c>
      <c r="E98" s="62">
        <v>3.0000000000000001E-3</v>
      </c>
    </row>
    <row r="99" spans="2:5" ht="15" customHeight="1">
      <c r="B99" s="126"/>
      <c r="C99" s="91" t="s">
        <v>29</v>
      </c>
      <c r="D99" s="65">
        <v>206</v>
      </c>
      <c r="E99" s="66">
        <v>4.4999999999999998E-2</v>
      </c>
    </row>
    <row r="100" spans="2:5" ht="15" customHeight="1">
      <c r="B100" s="124" t="s">
        <v>47</v>
      </c>
      <c r="C100" s="60" t="s">
        <v>154</v>
      </c>
      <c r="D100" s="61">
        <v>5</v>
      </c>
      <c r="E100" s="62">
        <v>1E-3</v>
      </c>
    </row>
    <row r="101" spans="2:5" ht="15" customHeight="1">
      <c r="B101" s="125"/>
      <c r="C101" s="60" t="s">
        <v>226</v>
      </c>
      <c r="D101" s="61">
        <v>2</v>
      </c>
      <c r="E101" s="62">
        <v>0</v>
      </c>
    </row>
    <row r="102" spans="2:5" ht="15" customHeight="1">
      <c r="B102" s="125"/>
      <c r="C102" s="60" t="s">
        <v>228</v>
      </c>
      <c r="D102" s="61">
        <v>2</v>
      </c>
      <c r="E102" s="62">
        <v>0</v>
      </c>
    </row>
    <row r="103" spans="2:5" ht="15" customHeight="1">
      <c r="B103" s="125"/>
      <c r="C103" s="60" t="s">
        <v>229</v>
      </c>
      <c r="D103" s="61">
        <v>1</v>
      </c>
      <c r="E103" s="62">
        <v>0</v>
      </c>
    </row>
    <row r="104" spans="2:5" ht="15" customHeight="1">
      <c r="B104" s="125"/>
      <c r="C104" s="60" t="s">
        <v>230</v>
      </c>
      <c r="D104" s="61">
        <v>5</v>
      </c>
      <c r="E104" s="62">
        <v>1E-3</v>
      </c>
    </row>
    <row r="105" spans="2:5" ht="15" customHeight="1">
      <c r="B105" s="125"/>
      <c r="C105" s="60" t="s">
        <v>231</v>
      </c>
      <c r="D105" s="61">
        <v>13</v>
      </c>
      <c r="E105" s="62">
        <v>3.0000000000000001E-3</v>
      </c>
    </row>
    <row r="106" spans="2:5" ht="15" customHeight="1">
      <c r="B106" s="125"/>
      <c r="C106" s="60" t="s">
        <v>161</v>
      </c>
      <c r="D106" s="61">
        <v>26</v>
      </c>
      <c r="E106" s="62">
        <v>6.0000000000000001E-3</v>
      </c>
    </row>
    <row r="107" spans="2:5" ht="15" customHeight="1">
      <c r="B107" s="125"/>
      <c r="C107" s="60" t="s">
        <v>233</v>
      </c>
      <c r="D107" s="61">
        <v>2</v>
      </c>
      <c r="E107" s="62">
        <v>0</v>
      </c>
    </row>
    <row r="108" spans="2:5" ht="15" customHeight="1">
      <c r="B108" s="125"/>
      <c r="C108" s="60" t="s">
        <v>234</v>
      </c>
      <c r="D108" s="61">
        <v>19</v>
      </c>
      <c r="E108" s="62">
        <v>4.0000000000000001E-3</v>
      </c>
    </row>
    <row r="109" spans="2:5" ht="15" customHeight="1">
      <c r="B109" s="125"/>
      <c r="C109" s="60" t="s">
        <v>165</v>
      </c>
      <c r="D109" s="61">
        <v>89</v>
      </c>
      <c r="E109" s="62">
        <v>0.02</v>
      </c>
    </row>
    <row r="110" spans="2:5" ht="15" customHeight="1">
      <c r="B110" s="125"/>
      <c r="C110" s="60" t="s">
        <v>166</v>
      </c>
      <c r="D110" s="61">
        <v>3</v>
      </c>
      <c r="E110" s="62">
        <v>1E-3</v>
      </c>
    </row>
    <row r="111" spans="2:5" ht="15" customHeight="1">
      <c r="B111" s="125"/>
      <c r="C111" s="60" t="s">
        <v>167</v>
      </c>
      <c r="D111" s="61">
        <v>22</v>
      </c>
      <c r="E111" s="62">
        <v>5.0000000000000001E-3</v>
      </c>
    </row>
    <row r="112" spans="2:5" ht="15" customHeight="1">
      <c r="B112" s="125"/>
      <c r="C112" s="60" t="s">
        <v>168</v>
      </c>
      <c r="D112" s="61">
        <v>102</v>
      </c>
      <c r="E112" s="62">
        <v>2.3E-2</v>
      </c>
    </row>
    <row r="113" spans="2:5" ht="15" customHeight="1">
      <c r="B113" s="125"/>
      <c r="C113" s="60" t="s">
        <v>236</v>
      </c>
      <c r="D113" s="61">
        <v>1</v>
      </c>
      <c r="E113" s="62">
        <v>0</v>
      </c>
    </row>
    <row r="114" spans="2:5" ht="15" customHeight="1">
      <c r="B114" s="125"/>
      <c r="C114" s="60" t="s">
        <v>237</v>
      </c>
      <c r="D114" s="61">
        <v>1</v>
      </c>
      <c r="E114" s="62">
        <v>0</v>
      </c>
    </row>
    <row r="115" spans="2:5" ht="15" customHeight="1">
      <c r="B115" s="125"/>
      <c r="C115" s="60" t="s">
        <v>173</v>
      </c>
      <c r="D115" s="61">
        <v>3</v>
      </c>
      <c r="E115" s="62">
        <v>1E-3</v>
      </c>
    </row>
    <row r="116" spans="2:5" ht="15" customHeight="1">
      <c r="B116" s="125"/>
      <c r="C116" s="60" t="s">
        <v>174</v>
      </c>
      <c r="D116" s="61">
        <v>17</v>
      </c>
      <c r="E116" s="62">
        <v>4.0000000000000001E-3</v>
      </c>
    </row>
    <row r="117" spans="2:5" ht="15" customHeight="1">
      <c r="B117" s="126"/>
      <c r="C117" s="91" t="s">
        <v>29</v>
      </c>
      <c r="D117" s="65">
        <v>313</v>
      </c>
      <c r="E117" s="66">
        <v>6.9000000000000006E-2</v>
      </c>
    </row>
    <row r="118" spans="2:5" ht="15" customHeight="1">
      <c r="B118" s="124" t="s">
        <v>91</v>
      </c>
      <c r="C118" s="60" t="s">
        <v>232</v>
      </c>
      <c r="D118" s="61">
        <v>1</v>
      </c>
      <c r="E118" s="62">
        <v>0</v>
      </c>
    </row>
    <row r="119" spans="2:5" ht="15" customHeight="1">
      <c r="B119" s="125"/>
      <c r="C119" s="60" t="s">
        <v>168</v>
      </c>
      <c r="D119" s="61">
        <v>3</v>
      </c>
      <c r="E119" s="62">
        <v>1E-3</v>
      </c>
    </row>
    <row r="120" spans="2:5" ht="15" customHeight="1">
      <c r="B120" s="126"/>
      <c r="C120" s="91" t="s">
        <v>29</v>
      </c>
      <c r="D120" s="65">
        <v>4</v>
      </c>
      <c r="E120" s="66">
        <v>1E-3</v>
      </c>
    </row>
    <row r="121" spans="2:5" ht="15" customHeight="1">
      <c r="B121" s="124" t="s">
        <v>59</v>
      </c>
      <c r="C121" s="60" t="s">
        <v>154</v>
      </c>
      <c r="D121" s="61">
        <v>1</v>
      </c>
      <c r="E121" s="62">
        <v>0</v>
      </c>
    </row>
    <row r="122" spans="2:5" ht="15" customHeight="1">
      <c r="B122" s="125"/>
      <c r="C122" s="60" t="s">
        <v>229</v>
      </c>
      <c r="D122" s="61">
        <v>1</v>
      </c>
      <c r="E122" s="62">
        <v>0</v>
      </c>
    </row>
    <row r="123" spans="2:5" ht="15" customHeight="1">
      <c r="B123" s="125"/>
      <c r="C123" s="60" t="s">
        <v>230</v>
      </c>
      <c r="D123" s="61">
        <v>1</v>
      </c>
      <c r="E123" s="62">
        <v>0</v>
      </c>
    </row>
    <row r="124" spans="2:5" ht="15" customHeight="1">
      <c r="B124" s="125"/>
      <c r="C124" s="60" t="s">
        <v>231</v>
      </c>
      <c r="D124" s="61">
        <v>8</v>
      </c>
      <c r="E124" s="62">
        <v>2E-3</v>
      </c>
    </row>
    <row r="125" spans="2:5" ht="15" customHeight="1">
      <c r="B125" s="125"/>
      <c r="C125" s="60" t="s">
        <v>161</v>
      </c>
      <c r="D125" s="61">
        <v>6</v>
      </c>
      <c r="E125" s="62">
        <v>1E-3</v>
      </c>
    </row>
    <row r="126" spans="2:5" ht="15" customHeight="1">
      <c r="B126" s="125"/>
      <c r="C126" s="60" t="s">
        <v>232</v>
      </c>
      <c r="D126" s="61">
        <v>1</v>
      </c>
      <c r="E126" s="62">
        <v>0</v>
      </c>
    </row>
    <row r="127" spans="2:5" ht="15" customHeight="1">
      <c r="B127" s="125"/>
      <c r="C127" s="60" t="s">
        <v>233</v>
      </c>
      <c r="D127" s="61">
        <v>2</v>
      </c>
      <c r="E127" s="62">
        <v>0</v>
      </c>
    </row>
    <row r="128" spans="2:5" ht="15" customHeight="1">
      <c r="B128" s="125"/>
      <c r="C128" s="60" t="s">
        <v>234</v>
      </c>
      <c r="D128" s="61">
        <v>11</v>
      </c>
      <c r="E128" s="62">
        <v>2E-3</v>
      </c>
    </row>
    <row r="129" spans="2:5" ht="15" customHeight="1">
      <c r="B129" s="125"/>
      <c r="C129" s="60" t="s">
        <v>165</v>
      </c>
      <c r="D129" s="61">
        <v>33</v>
      </c>
      <c r="E129" s="62">
        <v>7.0000000000000001E-3</v>
      </c>
    </row>
    <row r="130" spans="2:5" ht="15" customHeight="1">
      <c r="B130" s="125"/>
      <c r="C130" s="60" t="s">
        <v>166</v>
      </c>
      <c r="D130" s="61">
        <v>4</v>
      </c>
      <c r="E130" s="62">
        <v>1E-3</v>
      </c>
    </row>
    <row r="131" spans="2:5" ht="15" customHeight="1">
      <c r="B131" s="125"/>
      <c r="C131" s="60" t="s">
        <v>167</v>
      </c>
      <c r="D131" s="61">
        <v>4</v>
      </c>
      <c r="E131" s="62">
        <v>1E-3</v>
      </c>
    </row>
    <row r="132" spans="2:5" ht="15" customHeight="1">
      <c r="B132" s="125"/>
      <c r="C132" s="60" t="s">
        <v>168</v>
      </c>
      <c r="D132" s="61">
        <v>20</v>
      </c>
      <c r="E132" s="62">
        <v>4.0000000000000001E-3</v>
      </c>
    </row>
    <row r="133" spans="2:5" ht="15" customHeight="1">
      <c r="B133" s="125"/>
      <c r="C133" s="60" t="s">
        <v>174</v>
      </c>
      <c r="D133" s="61">
        <v>2</v>
      </c>
      <c r="E133" s="62">
        <v>0</v>
      </c>
    </row>
    <row r="134" spans="2:5" ht="15" customHeight="1">
      <c r="B134" s="125"/>
      <c r="C134" s="60" t="s">
        <v>175</v>
      </c>
      <c r="D134" s="61">
        <v>1</v>
      </c>
      <c r="E134" s="62">
        <v>0</v>
      </c>
    </row>
    <row r="135" spans="2:5" ht="15" customHeight="1">
      <c r="B135" s="126"/>
      <c r="C135" s="91" t="s">
        <v>29</v>
      </c>
      <c r="D135" s="65">
        <v>95</v>
      </c>
      <c r="E135" s="66">
        <v>2.1000000000000001E-2</v>
      </c>
    </row>
    <row r="136" spans="2:5" ht="15" customHeight="1">
      <c r="B136" s="124" t="s">
        <v>67</v>
      </c>
      <c r="C136" s="60" t="s">
        <v>154</v>
      </c>
      <c r="D136" s="61">
        <v>2</v>
      </c>
      <c r="E136" s="62">
        <v>0</v>
      </c>
    </row>
    <row r="137" spans="2:5" ht="15" customHeight="1">
      <c r="B137" s="125"/>
      <c r="C137" s="60" t="s">
        <v>226</v>
      </c>
      <c r="D137" s="61">
        <v>2</v>
      </c>
      <c r="E137" s="62">
        <v>0</v>
      </c>
    </row>
    <row r="138" spans="2:5" ht="15" customHeight="1">
      <c r="B138" s="125"/>
      <c r="C138" s="60" t="s">
        <v>228</v>
      </c>
      <c r="D138" s="61">
        <v>2</v>
      </c>
      <c r="E138" s="62">
        <v>0</v>
      </c>
    </row>
    <row r="139" spans="2:5" ht="15" customHeight="1">
      <c r="B139" s="125"/>
      <c r="C139" s="60" t="s">
        <v>229</v>
      </c>
      <c r="D139" s="61">
        <v>1</v>
      </c>
      <c r="E139" s="62">
        <v>0</v>
      </c>
    </row>
    <row r="140" spans="2:5" ht="15" customHeight="1">
      <c r="B140" s="125"/>
      <c r="C140" s="60" t="s">
        <v>231</v>
      </c>
      <c r="D140" s="61">
        <v>4</v>
      </c>
      <c r="E140" s="62">
        <v>1E-3</v>
      </c>
    </row>
    <row r="141" spans="2:5" ht="15" customHeight="1">
      <c r="B141" s="125"/>
      <c r="C141" s="60" t="s">
        <v>161</v>
      </c>
      <c r="D141" s="61">
        <v>12</v>
      </c>
      <c r="E141" s="62">
        <v>3.0000000000000001E-3</v>
      </c>
    </row>
    <row r="142" spans="2:5" ht="15" customHeight="1">
      <c r="B142" s="125"/>
      <c r="C142" s="60" t="s">
        <v>233</v>
      </c>
      <c r="D142" s="61">
        <v>2</v>
      </c>
      <c r="E142" s="62">
        <v>0</v>
      </c>
    </row>
    <row r="143" spans="2:5" ht="15" customHeight="1">
      <c r="B143" s="125"/>
      <c r="C143" s="60" t="s">
        <v>234</v>
      </c>
      <c r="D143" s="61">
        <v>2</v>
      </c>
      <c r="E143" s="62">
        <v>0</v>
      </c>
    </row>
    <row r="144" spans="2:5" ht="15" customHeight="1">
      <c r="B144" s="125"/>
      <c r="C144" s="60" t="s">
        <v>165</v>
      </c>
      <c r="D144" s="61">
        <v>36</v>
      </c>
      <c r="E144" s="62">
        <v>8.0000000000000002E-3</v>
      </c>
    </row>
    <row r="145" spans="2:5" ht="15" customHeight="1">
      <c r="B145" s="125"/>
      <c r="C145" s="60" t="s">
        <v>167</v>
      </c>
      <c r="D145" s="61">
        <v>5</v>
      </c>
      <c r="E145" s="62">
        <v>1E-3</v>
      </c>
    </row>
    <row r="146" spans="2:5" ht="15" customHeight="1">
      <c r="B146" s="125"/>
      <c r="C146" s="60" t="s">
        <v>168</v>
      </c>
      <c r="D146" s="61">
        <v>30</v>
      </c>
      <c r="E146" s="62">
        <v>7.0000000000000001E-3</v>
      </c>
    </row>
    <row r="147" spans="2:5" ht="15" customHeight="1">
      <c r="B147" s="125"/>
      <c r="C147" s="60" t="s">
        <v>237</v>
      </c>
      <c r="D147" s="61">
        <v>2</v>
      </c>
      <c r="E147" s="62">
        <v>0</v>
      </c>
    </row>
    <row r="148" spans="2:5" ht="15" customHeight="1">
      <c r="B148" s="125"/>
      <c r="C148" s="60" t="s">
        <v>174</v>
      </c>
      <c r="D148" s="61">
        <v>6</v>
      </c>
      <c r="E148" s="62">
        <v>1E-3</v>
      </c>
    </row>
    <row r="149" spans="2:5" ht="15" customHeight="1">
      <c r="B149" s="126"/>
      <c r="C149" s="91" t="s">
        <v>29</v>
      </c>
      <c r="D149" s="65">
        <v>106</v>
      </c>
      <c r="E149" s="66">
        <v>2.3E-2</v>
      </c>
    </row>
    <row r="150" spans="2:5" ht="15" customHeight="1">
      <c r="B150" s="124" t="s">
        <v>220</v>
      </c>
      <c r="C150" s="60" t="s">
        <v>237</v>
      </c>
      <c r="D150" s="61">
        <v>1</v>
      </c>
      <c r="E150" s="62">
        <v>0</v>
      </c>
    </row>
    <row r="151" spans="2:5" ht="15" customHeight="1">
      <c r="B151" s="126"/>
      <c r="C151" s="91" t="s">
        <v>29</v>
      </c>
      <c r="D151" s="65">
        <v>1</v>
      </c>
      <c r="E151" s="66">
        <v>0</v>
      </c>
    </row>
    <row r="152" spans="2:5" ht="15" customHeight="1">
      <c r="B152" s="124" t="s">
        <v>89</v>
      </c>
      <c r="C152" s="60" t="s">
        <v>234</v>
      </c>
      <c r="D152" s="61">
        <v>1</v>
      </c>
      <c r="E152" s="62">
        <v>0</v>
      </c>
    </row>
    <row r="153" spans="2:5" ht="15" customHeight="1">
      <c r="B153" s="125"/>
      <c r="C153" s="60" t="s">
        <v>165</v>
      </c>
      <c r="D153" s="61">
        <v>1</v>
      </c>
      <c r="E153" s="62">
        <v>0</v>
      </c>
    </row>
    <row r="154" spans="2:5" ht="15" customHeight="1">
      <c r="B154" s="125"/>
      <c r="C154" s="60" t="s">
        <v>167</v>
      </c>
      <c r="D154" s="61">
        <v>1</v>
      </c>
      <c r="E154" s="62">
        <v>0</v>
      </c>
    </row>
    <row r="155" spans="2:5" ht="15" customHeight="1">
      <c r="B155" s="125"/>
      <c r="C155" s="60" t="s">
        <v>174</v>
      </c>
      <c r="D155" s="61">
        <v>1</v>
      </c>
      <c r="E155" s="62">
        <v>0</v>
      </c>
    </row>
    <row r="156" spans="2:5" ht="15" customHeight="1">
      <c r="B156" s="126"/>
      <c r="C156" s="91" t="s">
        <v>29</v>
      </c>
      <c r="D156" s="65">
        <v>4</v>
      </c>
      <c r="E156" s="66">
        <v>1E-3</v>
      </c>
    </row>
    <row r="157" spans="2:5" ht="15" customHeight="1">
      <c r="B157" s="124" t="s">
        <v>63</v>
      </c>
      <c r="C157" s="60" t="s">
        <v>154</v>
      </c>
      <c r="D157" s="61">
        <v>1</v>
      </c>
      <c r="E157" s="62">
        <v>0</v>
      </c>
    </row>
    <row r="158" spans="2:5" ht="15" customHeight="1">
      <c r="B158" s="125"/>
      <c r="C158" s="60" t="s">
        <v>228</v>
      </c>
      <c r="D158" s="61">
        <v>1</v>
      </c>
      <c r="E158" s="62">
        <v>0</v>
      </c>
    </row>
    <row r="159" spans="2:5" ht="15" customHeight="1">
      <c r="B159" s="125"/>
      <c r="C159" s="60" t="s">
        <v>229</v>
      </c>
      <c r="D159" s="61">
        <v>1</v>
      </c>
      <c r="E159" s="62">
        <v>0</v>
      </c>
    </row>
    <row r="160" spans="2:5" ht="15" customHeight="1">
      <c r="B160" s="125"/>
      <c r="C160" s="60" t="s">
        <v>230</v>
      </c>
      <c r="D160" s="61">
        <v>2</v>
      </c>
      <c r="E160" s="62">
        <v>0</v>
      </c>
    </row>
    <row r="161" spans="2:5" ht="15" customHeight="1">
      <c r="B161" s="125"/>
      <c r="C161" s="60" t="s">
        <v>231</v>
      </c>
      <c r="D161" s="61">
        <v>6</v>
      </c>
      <c r="E161" s="62">
        <v>1E-3</v>
      </c>
    </row>
    <row r="162" spans="2:5" ht="15" customHeight="1">
      <c r="B162" s="125"/>
      <c r="C162" s="60" t="s">
        <v>161</v>
      </c>
      <c r="D162" s="61">
        <v>5</v>
      </c>
      <c r="E162" s="62">
        <v>1E-3</v>
      </c>
    </row>
    <row r="163" spans="2:5" ht="15" customHeight="1">
      <c r="B163" s="125"/>
      <c r="C163" s="60" t="s">
        <v>233</v>
      </c>
      <c r="D163" s="61">
        <v>2</v>
      </c>
      <c r="E163" s="62">
        <v>0</v>
      </c>
    </row>
    <row r="164" spans="2:5" ht="15" customHeight="1">
      <c r="B164" s="125"/>
      <c r="C164" s="60" t="s">
        <v>234</v>
      </c>
      <c r="D164" s="61">
        <v>1</v>
      </c>
      <c r="E164" s="62">
        <v>0</v>
      </c>
    </row>
    <row r="165" spans="2:5" ht="15" customHeight="1">
      <c r="B165" s="125"/>
      <c r="C165" s="60" t="s">
        <v>165</v>
      </c>
      <c r="D165" s="61">
        <v>19</v>
      </c>
      <c r="E165" s="62">
        <v>4.0000000000000001E-3</v>
      </c>
    </row>
    <row r="166" spans="2:5" ht="15" customHeight="1">
      <c r="B166" s="125"/>
      <c r="C166" s="60" t="s">
        <v>166</v>
      </c>
      <c r="D166" s="61">
        <v>2</v>
      </c>
      <c r="E166" s="62">
        <v>0</v>
      </c>
    </row>
    <row r="167" spans="2:5" ht="15" customHeight="1">
      <c r="B167" s="125"/>
      <c r="C167" s="60" t="s">
        <v>167</v>
      </c>
      <c r="D167" s="61">
        <v>3</v>
      </c>
      <c r="E167" s="62">
        <v>1E-3</v>
      </c>
    </row>
    <row r="168" spans="2:5" ht="15" customHeight="1">
      <c r="B168" s="125"/>
      <c r="C168" s="60" t="s">
        <v>168</v>
      </c>
      <c r="D168" s="61">
        <v>27</v>
      </c>
      <c r="E168" s="62">
        <v>6.0000000000000001E-3</v>
      </c>
    </row>
    <row r="169" spans="2:5" ht="15" customHeight="1">
      <c r="B169" s="125"/>
      <c r="C169" s="60" t="s">
        <v>237</v>
      </c>
      <c r="D169" s="61">
        <v>1</v>
      </c>
      <c r="E169" s="62">
        <v>0</v>
      </c>
    </row>
    <row r="170" spans="2:5" ht="15" customHeight="1">
      <c r="B170" s="126"/>
      <c r="C170" s="91" t="s">
        <v>29</v>
      </c>
      <c r="D170" s="65">
        <v>71</v>
      </c>
      <c r="E170" s="66">
        <v>1.6E-2</v>
      </c>
    </row>
    <row r="171" spans="2:5" ht="15" customHeight="1">
      <c r="B171" s="124" t="s">
        <v>75</v>
      </c>
      <c r="C171" s="60" t="s">
        <v>229</v>
      </c>
      <c r="D171" s="61">
        <v>1</v>
      </c>
      <c r="E171" s="62">
        <v>0</v>
      </c>
    </row>
    <row r="172" spans="2:5" ht="15" customHeight="1">
      <c r="B172" s="125"/>
      <c r="C172" s="60" t="s">
        <v>230</v>
      </c>
      <c r="D172" s="61">
        <v>1</v>
      </c>
      <c r="E172" s="62">
        <v>0</v>
      </c>
    </row>
    <row r="173" spans="2:5" ht="15" customHeight="1">
      <c r="B173" s="125"/>
      <c r="C173" s="60" t="s">
        <v>231</v>
      </c>
      <c r="D173" s="61">
        <v>4</v>
      </c>
      <c r="E173" s="62">
        <v>1E-3</v>
      </c>
    </row>
    <row r="174" spans="2:5" ht="15" customHeight="1">
      <c r="B174" s="125"/>
      <c r="C174" s="60" t="s">
        <v>161</v>
      </c>
      <c r="D174" s="61">
        <v>2</v>
      </c>
      <c r="E174" s="62">
        <v>0</v>
      </c>
    </row>
    <row r="175" spans="2:5" ht="15" customHeight="1">
      <c r="B175" s="125"/>
      <c r="C175" s="60" t="s">
        <v>232</v>
      </c>
      <c r="D175" s="61">
        <v>1</v>
      </c>
      <c r="E175" s="62">
        <v>0</v>
      </c>
    </row>
    <row r="176" spans="2:5" ht="15" customHeight="1">
      <c r="B176" s="125"/>
      <c r="C176" s="60" t="s">
        <v>234</v>
      </c>
      <c r="D176" s="61">
        <v>1</v>
      </c>
      <c r="E176" s="62">
        <v>0</v>
      </c>
    </row>
    <row r="177" spans="2:5" ht="15" customHeight="1">
      <c r="B177" s="125"/>
      <c r="C177" s="60" t="s">
        <v>165</v>
      </c>
      <c r="D177" s="61">
        <v>10</v>
      </c>
      <c r="E177" s="62">
        <v>2E-3</v>
      </c>
    </row>
    <row r="178" spans="2:5" ht="15" customHeight="1">
      <c r="B178" s="125"/>
      <c r="C178" s="60" t="s">
        <v>166</v>
      </c>
      <c r="D178" s="61">
        <v>1</v>
      </c>
      <c r="E178" s="62">
        <v>0</v>
      </c>
    </row>
    <row r="179" spans="2:5" ht="15" customHeight="1">
      <c r="B179" s="125"/>
      <c r="C179" s="60" t="s">
        <v>167</v>
      </c>
      <c r="D179" s="61">
        <v>2</v>
      </c>
      <c r="E179" s="62">
        <v>0</v>
      </c>
    </row>
    <row r="180" spans="2:5" ht="15" customHeight="1">
      <c r="B180" s="125"/>
      <c r="C180" s="60" t="s">
        <v>168</v>
      </c>
      <c r="D180" s="61">
        <v>6</v>
      </c>
      <c r="E180" s="62">
        <v>1E-3</v>
      </c>
    </row>
    <row r="181" spans="2:5" ht="15" customHeight="1">
      <c r="B181" s="126"/>
      <c r="C181" s="91" t="s">
        <v>29</v>
      </c>
      <c r="D181" s="65">
        <v>29</v>
      </c>
      <c r="E181" s="66">
        <v>6.0000000000000001E-3</v>
      </c>
    </row>
    <row r="182" spans="2:5" ht="15" customHeight="1">
      <c r="B182" s="124" t="s">
        <v>50</v>
      </c>
      <c r="C182" s="60" t="s">
        <v>154</v>
      </c>
      <c r="D182" s="61">
        <v>5</v>
      </c>
      <c r="E182" s="62">
        <v>1E-3</v>
      </c>
    </row>
    <row r="183" spans="2:5" ht="15" customHeight="1">
      <c r="B183" s="125"/>
      <c r="C183" s="60" t="s">
        <v>226</v>
      </c>
      <c r="D183" s="61">
        <v>1</v>
      </c>
      <c r="E183" s="62">
        <v>0</v>
      </c>
    </row>
    <row r="184" spans="2:5" ht="15" customHeight="1">
      <c r="B184" s="125"/>
      <c r="C184" s="60" t="s">
        <v>227</v>
      </c>
      <c r="D184" s="61">
        <v>3</v>
      </c>
      <c r="E184" s="62">
        <v>1E-3</v>
      </c>
    </row>
    <row r="185" spans="2:5" ht="15" customHeight="1">
      <c r="B185" s="125"/>
      <c r="C185" s="60" t="s">
        <v>228</v>
      </c>
      <c r="D185" s="61">
        <v>7</v>
      </c>
      <c r="E185" s="62">
        <v>2E-3</v>
      </c>
    </row>
    <row r="186" spans="2:5" ht="15" customHeight="1">
      <c r="B186" s="125"/>
      <c r="C186" s="60" t="s">
        <v>229</v>
      </c>
      <c r="D186" s="61">
        <v>1</v>
      </c>
      <c r="E186" s="62">
        <v>0</v>
      </c>
    </row>
    <row r="187" spans="2:5" ht="15" customHeight="1">
      <c r="B187" s="125"/>
      <c r="C187" s="60" t="s">
        <v>230</v>
      </c>
      <c r="D187" s="61">
        <v>4</v>
      </c>
      <c r="E187" s="62">
        <v>1E-3</v>
      </c>
    </row>
    <row r="188" spans="2:5" ht="15" customHeight="1">
      <c r="B188" s="125"/>
      <c r="C188" s="60" t="s">
        <v>231</v>
      </c>
      <c r="D188" s="61">
        <v>7</v>
      </c>
      <c r="E188" s="62">
        <v>2E-3</v>
      </c>
    </row>
    <row r="189" spans="2:5" ht="15" customHeight="1">
      <c r="B189" s="125"/>
      <c r="C189" s="60" t="s">
        <v>161</v>
      </c>
      <c r="D189" s="61">
        <v>19</v>
      </c>
      <c r="E189" s="62">
        <v>4.0000000000000001E-3</v>
      </c>
    </row>
    <row r="190" spans="2:5" ht="15" customHeight="1">
      <c r="B190" s="125"/>
      <c r="C190" s="60" t="s">
        <v>232</v>
      </c>
      <c r="D190" s="61">
        <v>1</v>
      </c>
      <c r="E190" s="62">
        <v>0</v>
      </c>
    </row>
    <row r="191" spans="2:5" ht="15" customHeight="1">
      <c r="B191" s="125"/>
      <c r="C191" s="60" t="s">
        <v>233</v>
      </c>
      <c r="D191" s="61">
        <v>6</v>
      </c>
      <c r="E191" s="62">
        <v>1E-3</v>
      </c>
    </row>
    <row r="192" spans="2:5" ht="15" customHeight="1">
      <c r="B192" s="125"/>
      <c r="C192" s="60" t="s">
        <v>234</v>
      </c>
      <c r="D192" s="61">
        <v>11</v>
      </c>
      <c r="E192" s="62">
        <v>2E-3</v>
      </c>
    </row>
    <row r="193" spans="2:5" ht="15" customHeight="1">
      <c r="B193" s="125"/>
      <c r="C193" s="60" t="s">
        <v>165</v>
      </c>
      <c r="D193" s="61">
        <v>87</v>
      </c>
      <c r="E193" s="62">
        <v>1.9E-2</v>
      </c>
    </row>
    <row r="194" spans="2:5" ht="15" customHeight="1">
      <c r="B194" s="125"/>
      <c r="C194" s="60" t="s">
        <v>166</v>
      </c>
      <c r="D194" s="61">
        <v>3</v>
      </c>
      <c r="E194" s="62">
        <v>1E-3</v>
      </c>
    </row>
    <row r="195" spans="2:5" ht="15" customHeight="1">
      <c r="B195" s="125"/>
      <c r="C195" s="60" t="s">
        <v>167</v>
      </c>
      <c r="D195" s="61">
        <v>19</v>
      </c>
      <c r="E195" s="62">
        <v>4.0000000000000001E-3</v>
      </c>
    </row>
    <row r="196" spans="2:5" ht="15" customHeight="1">
      <c r="B196" s="125"/>
      <c r="C196" s="60" t="s">
        <v>168</v>
      </c>
      <c r="D196" s="61">
        <v>99</v>
      </c>
      <c r="E196" s="62">
        <v>2.1999999999999999E-2</v>
      </c>
    </row>
    <row r="197" spans="2:5" ht="15" customHeight="1">
      <c r="B197" s="125"/>
      <c r="C197" s="60" t="s">
        <v>235</v>
      </c>
      <c r="D197" s="61">
        <v>1</v>
      </c>
      <c r="E197" s="62">
        <v>0</v>
      </c>
    </row>
    <row r="198" spans="2:5" ht="15" customHeight="1">
      <c r="B198" s="125"/>
      <c r="C198" s="60" t="s">
        <v>236</v>
      </c>
      <c r="D198" s="61">
        <v>3</v>
      </c>
      <c r="E198" s="62">
        <v>1E-3</v>
      </c>
    </row>
    <row r="199" spans="2:5" ht="15" customHeight="1">
      <c r="B199" s="125"/>
      <c r="C199" s="60" t="s">
        <v>173</v>
      </c>
      <c r="D199" s="61">
        <v>1</v>
      </c>
      <c r="E199" s="62">
        <v>0</v>
      </c>
    </row>
    <row r="200" spans="2:5" ht="15" customHeight="1">
      <c r="B200" s="125"/>
      <c r="C200" s="60" t="s">
        <v>174</v>
      </c>
      <c r="D200" s="61">
        <v>14</v>
      </c>
      <c r="E200" s="62">
        <v>3.0000000000000001E-3</v>
      </c>
    </row>
    <row r="201" spans="2:5" ht="15" customHeight="1">
      <c r="B201" s="125"/>
      <c r="C201" s="60" t="s">
        <v>175</v>
      </c>
      <c r="D201" s="61">
        <v>1</v>
      </c>
      <c r="E201" s="62">
        <v>0</v>
      </c>
    </row>
    <row r="202" spans="2:5" ht="15" customHeight="1">
      <c r="B202" s="126"/>
      <c r="C202" s="91" t="s">
        <v>29</v>
      </c>
      <c r="D202" s="65">
        <v>293</v>
      </c>
      <c r="E202" s="66">
        <v>6.5000000000000002E-2</v>
      </c>
    </row>
    <row r="203" spans="2:5" ht="15" customHeight="1">
      <c r="B203" s="124" t="s">
        <v>54</v>
      </c>
      <c r="C203" s="60" t="s">
        <v>227</v>
      </c>
      <c r="D203" s="61">
        <v>1</v>
      </c>
      <c r="E203" s="62">
        <v>0</v>
      </c>
    </row>
    <row r="204" spans="2:5" ht="15" customHeight="1">
      <c r="B204" s="125"/>
      <c r="C204" s="60" t="s">
        <v>228</v>
      </c>
      <c r="D204" s="61">
        <v>3</v>
      </c>
      <c r="E204" s="62">
        <v>1E-3</v>
      </c>
    </row>
    <row r="205" spans="2:5" ht="15" customHeight="1">
      <c r="B205" s="125"/>
      <c r="C205" s="60" t="s">
        <v>229</v>
      </c>
      <c r="D205" s="61">
        <v>3</v>
      </c>
      <c r="E205" s="62">
        <v>1E-3</v>
      </c>
    </row>
    <row r="206" spans="2:5" ht="15" customHeight="1">
      <c r="B206" s="125"/>
      <c r="C206" s="60" t="s">
        <v>230</v>
      </c>
      <c r="D206" s="61">
        <v>1</v>
      </c>
      <c r="E206" s="62">
        <v>0</v>
      </c>
    </row>
    <row r="207" spans="2:5" ht="15" customHeight="1">
      <c r="B207" s="125"/>
      <c r="C207" s="60" t="s">
        <v>231</v>
      </c>
      <c r="D207" s="61">
        <v>8</v>
      </c>
      <c r="E207" s="62">
        <v>2E-3</v>
      </c>
    </row>
    <row r="208" spans="2:5" ht="15" customHeight="1">
      <c r="B208" s="125"/>
      <c r="C208" s="60" t="s">
        <v>161</v>
      </c>
      <c r="D208" s="61">
        <v>18</v>
      </c>
      <c r="E208" s="62">
        <v>4.0000000000000001E-3</v>
      </c>
    </row>
    <row r="209" spans="2:5" ht="15" customHeight="1">
      <c r="B209" s="125"/>
      <c r="C209" s="60" t="s">
        <v>233</v>
      </c>
      <c r="D209" s="61">
        <v>3</v>
      </c>
      <c r="E209" s="62">
        <v>1E-3</v>
      </c>
    </row>
    <row r="210" spans="2:5" ht="15" customHeight="1">
      <c r="B210" s="125"/>
      <c r="C210" s="60" t="s">
        <v>234</v>
      </c>
      <c r="D210" s="61">
        <v>5</v>
      </c>
      <c r="E210" s="62">
        <v>1E-3</v>
      </c>
    </row>
    <row r="211" spans="2:5" ht="15" customHeight="1">
      <c r="B211" s="125"/>
      <c r="C211" s="60" t="s">
        <v>165</v>
      </c>
      <c r="D211" s="61">
        <v>51</v>
      </c>
      <c r="E211" s="62">
        <v>1.0999999999999999E-2</v>
      </c>
    </row>
    <row r="212" spans="2:5" ht="15" customHeight="1">
      <c r="B212" s="125"/>
      <c r="C212" s="60" t="s">
        <v>166</v>
      </c>
      <c r="D212" s="61">
        <v>1</v>
      </c>
      <c r="E212" s="62">
        <v>0</v>
      </c>
    </row>
    <row r="213" spans="2:5" ht="15" customHeight="1">
      <c r="B213" s="125"/>
      <c r="C213" s="60" t="s">
        <v>167</v>
      </c>
      <c r="D213" s="61">
        <v>4</v>
      </c>
      <c r="E213" s="62">
        <v>1E-3</v>
      </c>
    </row>
    <row r="214" spans="2:5" ht="15" customHeight="1">
      <c r="B214" s="125"/>
      <c r="C214" s="60" t="s">
        <v>168</v>
      </c>
      <c r="D214" s="61">
        <v>61</v>
      </c>
      <c r="E214" s="62">
        <v>1.2999999999999999E-2</v>
      </c>
    </row>
    <row r="215" spans="2:5" ht="15" customHeight="1">
      <c r="B215" s="125"/>
      <c r="C215" s="60" t="s">
        <v>173</v>
      </c>
      <c r="D215" s="61">
        <v>2</v>
      </c>
      <c r="E215" s="62">
        <v>0</v>
      </c>
    </row>
    <row r="216" spans="2:5" ht="15" customHeight="1">
      <c r="B216" s="125"/>
      <c r="C216" s="60" t="s">
        <v>174</v>
      </c>
      <c r="D216" s="61">
        <v>9</v>
      </c>
      <c r="E216" s="62">
        <v>2E-3</v>
      </c>
    </row>
    <row r="217" spans="2:5" ht="15" customHeight="1">
      <c r="B217" s="126"/>
      <c r="C217" s="91" t="s">
        <v>29</v>
      </c>
      <c r="D217" s="65">
        <v>170</v>
      </c>
      <c r="E217" s="66">
        <v>3.7999999999999999E-2</v>
      </c>
    </row>
    <row r="218" spans="2:5" ht="15" customHeight="1">
      <c r="B218" s="124" t="s">
        <v>60</v>
      </c>
      <c r="C218" s="60" t="s">
        <v>154</v>
      </c>
      <c r="D218" s="61">
        <v>1</v>
      </c>
      <c r="E218" s="62">
        <v>0</v>
      </c>
    </row>
    <row r="219" spans="2:5" ht="15" customHeight="1">
      <c r="B219" s="125"/>
      <c r="C219" s="60" t="s">
        <v>227</v>
      </c>
      <c r="D219" s="61">
        <v>1</v>
      </c>
      <c r="E219" s="62">
        <v>0</v>
      </c>
    </row>
    <row r="220" spans="2:5" ht="15" customHeight="1">
      <c r="B220" s="125"/>
      <c r="C220" s="60" t="s">
        <v>228</v>
      </c>
      <c r="D220" s="61">
        <v>3</v>
      </c>
      <c r="E220" s="62">
        <v>1E-3</v>
      </c>
    </row>
    <row r="221" spans="2:5" ht="15" customHeight="1">
      <c r="B221" s="125"/>
      <c r="C221" s="60" t="s">
        <v>230</v>
      </c>
      <c r="D221" s="61">
        <v>2</v>
      </c>
      <c r="E221" s="62">
        <v>0</v>
      </c>
    </row>
    <row r="222" spans="2:5" ht="15" customHeight="1">
      <c r="B222" s="125"/>
      <c r="C222" s="60" t="s">
        <v>231</v>
      </c>
      <c r="D222" s="61">
        <v>1</v>
      </c>
      <c r="E222" s="62">
        <v>0</v>
      </c>
    </row>
    <row r="223" spans="2:5" ht="15" customHeight="1">
      <c r="B223" s="125"/>
      <c r="C223" s="60" t="s">
        <v>161</v>
      </c>
      <c r="D223" s="61">
        <v>7</v>
      </c>
      <c r="E223" s="62">
        <v>2E-3</v>
      </c>
    </row>
    <row r="224" spans="2:5" ht="15" customHeight="1">
      <c r="B224" s="125"/>
      <c r="C224" s="60" t="s">
        <v>232</v>
      </c>
      <c r="D224" s="61">
        <v>2</v>
      </c>
      <c r="E224" s="62">
        <v>0</v>
      </c>
    </row>
    <row r="225" spans="2:5" ht="15" customHeight="1">
      <c r="B225" s="125"/>
      <c r="C225" s="60" t="s">
        <v>234</v>
      </c>
      <c r="D225" s="61">
        <v>2</v>
      </c>
      <c r="E225" s="62">
        <v>0</v>
      </c>
    </row>
    <row r="226" spans="2:5" ht="15" customHeight="1">
      <c r="B226" s="125"/>
      <c r="C226" s="60" t="s">
        <v>165</v>
      </c>
      <c r="D226" s="61">
        <v>26</v>
      </c>
      <c r="E226" s="62">
        <v>6.0000000000000001E-3</v>
      </c>
    </row>
    <row r="227" spans="2:5" ht="15" customHeight="1">
      <c r="B227" s="125"/>
      <c r="C227" s="60" t="s">
        <v>167</v>
      </c>
      <c r="D227" s="61">
        <v>5</v>
      </c>
      <c r="E227" s="62">
        <v>1E-3</v>
      </c>
    </row>
    <row r="228" spans="2:5" ht="15" customHeight="1">
      <c r="B228" s="125"/>
      <c r="C228" s="60" t="s">
        <v>168</v>
      </c>
      <c r="D228" s="61">
        <v>20</v>
      </c>
      <c r="E228" s="62">
        <v>4.0000000000000001E-3</v>
      </c>
    </row>
    <row r="229" spans="2:5" ht="15" customHeight="1">
      <c r="B229" s="125"/>
      <c r="C229" s="60" t="s">
        <v>235</v>
      </c>
      <c r="D229" s="61">
        <v>1</v>
      </c>
      <c r="E229" s="62">
        <v>0</v>
      </c>
    </row>
    <row r="230" spans="2:5" ht="15" customHeight="1">
      <c r="B230" s="125"/>
      <c r="C230" s="60" t="s">
        <v>237</v>
      </c>
      <c r="D230" s="61">
        <v>1</v>
      </c>
      <c r="E230" s="62">
        <v>0</v>
      </c>
    </row>
    <row r="231" spans="2:5" ht="15" customHeight="1">
      <c r="B231" s="125"/>
      <c r="C231" s="60" t="s">
        <v>173</v>
      </c>
      <c r="D231" s="61">
        <v>3</v>
      </c>
      <c r="E231" s="62">
        <v>1E-3</v>
      </c>
    </row>
    <row r="232" spans="2:5" ht="15" customHeight="1">
      <c r="B232" s="125"/>
      <c r="C232" s="60" t="s">
        <v>174</v>
      </c>
      <c r="D232" s="61">
        <v>2</v>
      </c>
      <c r="E232" s="62">
        <v>0</v>
      </c>
    </row>
    <row r="233" spans="2:5" ht="15" customHeight="1">
      <c r="B233" s="126"/>
      <c r="C233" s="91" t="s">
        <v>29</v>
      </c>
      <c r="D233" s="65">
        <v>77</v>
      </c>
      <c r="E233" s="66">
        <v>1.7000000000000001E-2</v>
      </c>
    </row>
    <row r="234" spans="2:5" ht="15" customHeight="1">
      <c r="B234" s="124" t="s">
        <v>88</v>
      </c>
      <c r="C234" s="60" t="s">
        <v>226</v>
      </c>
      <c r="D234" s="61">
        <v>1</v>
      </c>
      <c r="E234" s="62">
        <v>0</v>
      </c>
    </row>
    <row r="235" spans="2:5" ht="15" customHeight="1">
      <c r="B235" s="125"/>
      <c r="C235" s="60" t="s">
        <v>227</v>
      </c>
      <c r="D235" s="61">
        <v>2</v>
      </c>
      <c r="E235" s="62">
        <v>0</v>
      </c>
    </row>
    <row r="236" spans="2:5" ht="15" customHeight="1">
      <c r="B236" s="125"/>
      <c r="C236" s="60" t="s">
        <v>228</v>
      </c>
      <c r="D236" s="61">
        <v>1</v>
      </c>
      <c r="E236" s="62">
        <v>0</v>
      </c>
    </row>
    <row r="237" spans="2:5" ht="15" customHeight="1">
      <c r="B237" s="125"/>
      <c r="C237" s="60" t="s">
        <v>229</v>
      </c>
      <c r="D237" s="61">
        <v>2</v>
      </c>
      <c r="E237" s="62">
        <v>0</v>
      </c>
    </row>
    <row r="238" spans="2:5" ht="15" customHeight="1">
      <c r="B238" s="125"/>
      <c r="C238" s="60" t="s">
        <v>231</v>
      </c>
      <c r="D238" s="61">
        <v>2</v>
      </c>
      <c r="E238" s="62">
        <v>0</v>
      </c>
    </row>
    <row r="239" spans="2:5" ht="15" customHeight="1">
      <c r="B239" s="125"/>
      <c r="C239" s="60" t="s">
        <v>165</v>
      </c>
      <c r="D239" s="61">
        <v>3</v>
      </c>
      <c r="E239" s="62">
        <v>1E-3</v>
      </c>
    </row>
    <row r="240" spans="2:5" ht="15" customHeight="1">
      <c r="B240" s="125"/>
      <c r="C240" s="60" t="s">
        <v>168</v>
      </c>
      <c r="D240" s="61">
        <v>2</v>
      </c>
      <c r="E240" s="62">
        <v>0</v>
      </c>
    </row>
    <row r="241" spans="2:5" ht="15" customHeight="1">
      <c r="B241" s="125"/>
      <c r="C241" s="60" t="s">
        <v>174</v>
      </c>
      <c r="D241" s="61">
        <v>3</v>
      </c>
      <c r="E241" s="62">
        <v>1E-3</v>
      </c>
    </row>
    <row r="242" spans="2:5" ht="15" customHeight="1">
      <c r="B242" s="126"/>
      <c r="C242" s="91" t="s">
        <v>29</v>
      </c>
      <c r="D242" s="65">
        <v>16</v>
      </c>
      <c r="E242" s="66">
        <v>4.0000000000000001E-3</v>
      </c>
    </row>
    <row r="243" spans="2:5" ht="15" customHeight="1">
      <c r="B243" s="124" t="s">
        <v>78</v>
      </c>
      <c r="C243" s="60" t="s">
        <v>227</v>
      </c>
      <c r="D243" s="61">
        <v>1</v>
      </c>
      <c r="E243" s="62">
        <v>0</v>
      </c>
    </row>
    <row r="244" spans="2:5" ht="15" customHeight="1">
      <c r="B244" s="125"/>
      <c r="C244" s="60" t="s">
        <v>228</v>
      </c>
      <c r="D244" s="61">
        <v>1</v>
      </c>
      <c r="E244" s="62">
        <v>0</v>
      </c>
    </row>
    <row r="245" spans="2:5" ht="15" customHeight="1">
      <c r="B245" s="125"/>
      <c r="C245" s="60" t="s">
        <v>229</v>
      </c>
      <c r="D245" s="61">
        <v>1</v>
      </c>
      <c r="E245" s="62">
        <v>0</v>
      </c>
    </row>
    <row r="246" spans="2:5" ht="15" customHeight="1">
      <c r="B246" s="125"/>
      <c r="C246" s="60" t="s">
        <v>231</v>
      </c>
      <c r="D246" s="61">
        <v>3</v>
      </c>
      <c r="E246" s="62">
        <v>1E-3</v>
      </c>
    </row>
    <row r="247" spans="2:5" ht="15" customHeight="1">
      <c r="B247" s="125"/>
      <c r="C247" s="60" t="s">
        <v>161</v>
      </c>
      <c r="D247" s="61">
        <v>1</v>
      </c>
      <c r="E247" s="62">
        <v>0</v>
      </c>
    </row>
    <row r="248" spans="2:5" ht="15" customHeight="1">
      <c r="B248" s="125"/>
      <c r="C248" s="60" t="s">
        <v>234</v>
      </c>
      <c r="D248" s="61">
        <v>1</v>
      </c>
      <c r="E248" s="62">
        <v>0</v>
      </c>
    </row>
    <row r="249" spans="2:5" ht="15" customHeight="1">
      <c r="B249" s="125"/>
      <c r="C249" s="60" t="s">
        <v>165</v>
      </c>
      <c r="D249" s="61">
        <v>13</v>
      </c>
      <c r="E249" s="62">
        <v>3.0000000000000001E-3</v>
      </c>
    </row>
    <row r="250" spans="2:5" ht="15" customHeight="1">
      <c r="B250" s="125"/>
      <c r="C250" s="60" t="s">
        <v>167</v>
      </c>
      <c r="D250" s="61">
        <v>5</v>
      </c>
      <c r="E250" s="62">
        <v>1E-3</v>
      </c>
    </row>
    <row r="251" spans="2:5" ht="15" customHeight="1">
      <c r="B251" s="125"/>
      <c r="C251" s="60" t="s">
        <v>168</v>
      </c>
      <c r="D251" s="61">
        <v>9</v>
      </c>
      <c r="E251" s="62">
        <v>2E-3</v>
      </c>
    </row>
    <row r="252" spans="2:5" ht="15" customHeight="1">
      <c r="B252" s="125"/>
      <c r="C252" s="60" t="s">
        <v>236</v>
      </c>
      <c r="D252" s="61">
        <v>1</v>
      </c>
      <c r="E252" s="62">
        <v>0</v>
      </c>
    </row>
    <row r="253" spans="2:5" ht="15" customHeight="1">
      <c r="B253" s="125"/>
      <c r="C253" s="60" t="s">
        <v>174</v>
      </c>
      <c r="D253" s="61">
        <v>3</v>
      </c>
      <c r="E253" s="62">
        <v>1E-3</v>
      </c>
    </row>
    <row r="254" spans="2:5" ht="15" customHeight="1">
      <c r="B254" s="125"/>
      <c r="C254" s="60" t="s">
        <v>175</v>
      </c>
      <c r="D254" s="61">
        <v>1</v>
      </c>
      <c r="E254" s="62">
        <v>0</v>
      </c>
    </row>
    <row r="255" spans="2:5" ht="15" customHeight="1">
      <c r="B255" s="126"/>
      <c r="C255" s="91" t="s">
        <v>29</v>
      </c>
      <c r="D255" s="65">
        <v>40</v>
      </c>
      <c r="E255" s="66">
        <v>8.9999999999999993E-3</v>
      </c>
    </row>
    <row r="256" spans="2:5" ht="15" customHeight="1">
      <c r="B256" s="124" t="s">
        <v>58</v>
      </c>
      <c r="C256" s="60" t="s">
        <v>227</v>
      </c>
      <c r="D256" s="61">
        <v>1</v>
      </c>
      <c r="E256" s="62">
        <v>0</v>
      </c>
    </row>
    <row r="257" spans="2:5" ht="15" customHeight="1">
      <c r="B257" s="125"/>
      <c r="C257" s="60" t="s">
        <v>231</v>
      </c>
      <c r="D257" s="61">
        <v>9</v>
      </c>
      <c r="E257" s="62">
        <v>2E-3</v>
      </c>
    </row>
    <row r="258" spans="2:5" ht="15" customHeight="1">
      <c r="B258" s="125"/>
      <c r="C258" s="60" t="s">
        <v>161</v>
      </c>
      <c r="D258" s="61">
        <v>9</v>
      </c>
      <c r="E258" s="62">
        <v>2E-3</v>
      </c>
    </row>
    <row r="259" spans="2:5" ht="15" customHeight="1">
      <c r="B259" s="125"/>
      <c r="C259" s="60" t="s">
        <v>234</v>
      </c>
      <c r="D259" s="61">
        <v>6</v>
      </c>
      <c r="E259" s="62">
        <v>1E-3</v>
      </c>
    </row>
    <row r="260" spans="2:5" ht="15" customHeight="1">
      <c r="B260" s="125"/>
      <c r="C260" s="60" t="s">
        <v>165</v>
      </c>
      <c r="D260" s="61">
        <v>36</v>
      </c>
      <c r="E260" s="62">
        <v>8.0000000000000002E-3</v>
      </c>
    </row>
    <row r="261" spans="2:5" ht="15" customHeight="1">
      <c r="B261" s="125"/>
      <c r="C261" s="60" t="s">
        <v>167</v>
      </c>
      <c r="D261" s="61">
        <v>2</v>
      </c>
      <c r="E261" s="62">
        <v>0</v>
      </c>
    </row>
    <row r="262" spans="2:5" ht="15" customHeight="1">
      <c r="B262" s="125"/>
      <c r="C262" s="60" t="s">
        <v>168</v>
      </c>
      <c r="D262" s="61">
        <v>43</v>
      </c>
      <c r="E262" s="62">
        <v>8.9999999999999993E-3</v>
      </c>
    </row>
    <row r="263" spans="2:5" ht="15" customHeight="1">
      <c r="B263" s="125"/>
      <c r="C263" s="60" t="s">
        <v>173</v>
      </c>
      <c r="D263" s="61">
        <v>1</v>
      </c>
      <c r="E263" s="62">
        <v>0</v>
      </c>
    </row>
    <row r="264" spans="2:5" ht="15" customHeight="1">
      <c r="B264" s="125"/>
      <c r="C264" s="60" t="s">
        <v>174</v>
      </c>
      <c r="D264" s="61">
        <v>4</v>
      </c>
      <c r="E264" s="62">
        <v>1E-3</v>
      </c>
    </row>
    <row r="265" spans="2:5" ht="15" customHeight="1">
      <c r="B265" s="125"/>
      <c r="C265" s="60" t="s">
        <v>239</v>
      </c>
      <c r="D265" s="61">
        <v>1</v>
      </c>
      <c r="E265" s="62">
        <v>0</v>
      </c>
    </row>
    <row r="266" spans="2:5" ht="15" customHeight="1">
      <c r="B266" s="126"/>
      <c r="C266" s="91" t="s">
        <v>29</v>
      </c>
      <c r="D266" s="65">
        <v>112</v>
      </c>
      <c r="E266" s="66">
        <v>2.5000000000000001E-2</v>
      </c>
    </row>
    <row r="267" spans="2:5" ht="15" customHeight="1">
      <c r="B267" s="124" t="s">
        <v>57</v>
      </c>
      <c r="C267" s="60" t="s">
        <v>154</v>
      </c>
      <c r="D267" s="61">
        <v>1</v>
      </c>
      <c r="E267" s="62">
        <v>0</v>
      </c>
    </row>
    <row r="268" spans="2:5" ht="15" customHeight="1">
      <c r="B268" s="125"/>
      <c r="C268" s="60" t="s">
        <v>228</v>
      </c>
      <c r="D268" s="61">
        <v>2</v>
      </c>
      <c r="E268" s="62">
        <v>0</v>
      </c>
    </row>
    <row r="269" spans="2:5" ht="15" customHeight="1">
      <c r="B269" s="125"/>
      <c r="C269" s="60" t="s">
        <v>231</v>
      </c>
      <c r="D269" s="61">
        <v>5</v>
      </c>
      <c r="E269" s="62">
        <v>1E-3</v>
      </c>
    </row>
    <row r="270" spans="2:5" ht="15" customHeight="1">
      <c r="B270" s="125"/>
      <c r="C270" s="60" t="s">
        <v>161</v>
      </c>
      <c r="D270" s="61">
        <v>12</v>
      </c>
      <c r="E270" s="62">
        <v>3.0000000000000001E-3</v>
      </c>
    </row>
    <row r="271" spans="2:5" ht="15" customHeight="1">
      <c r="B271" s="125"/>
      <c r="C271" s="60" t="s">
        <v>232</v>
      </c>
      <c r="D271" s="61">
        <v>1</v>
      </c>
      <c r="E271" s="62">
        <v>0</v>
      </c>
    </row>
    <row r="272" spans="2:5" ht="15" customHeight="1">
      <c r="B272" s="125"/>
      <c r="C272" s="60" t="s">
        <v>233</v>
      </c>
      <c r="D272" s="61">
        <v>1</v>
      </c>
      <c r="E272" s="62">
        <v>0</v>
      </c>
    </row>
    <row r="273" spans="2:5" ht="15" customHeight="1">
      <c r="B273" s="125"/>
      <c r="C273" s="60" t="s">
        <v>234</v>
      </c>
      <c r="D273" s="61">
        <v>8</v>
      </c>
      <c r="E273" s="62">
        <v>2E-3</v>
      </c>
    </row>
    <row r="274" spans="2:5" ht="15" customHeight="1">
      <c r="B274" s="125"/>
      <c r="C274" s="60" t="s">
        <v>165</v>
      </c>
      <c r="D274" s="61">
        <v>29</v>
      </c>
      <c r="E274" s="62">
        <v>6.0000000000000001E-3</v>
      </c>
    </row>
    <row r="275" spans="2:5" ht="15" customHeight="1">
      <c r="B275" s="125"/>
      <c r="C275" s="60" t="s">
        <v>167</v>
      </c>
      <c r="D275" s="61">
        <v>3</v>
      </c>
      <c r="E275" s="62">
        <v>1E-3</v>
      </c>
    </row>
    <row r="276" spans="2:5" ht="15" customHeight="1">
      <c r="B276" s="125"/>
      <c r="C276" s="60" t="s">
        <v>168</v>
      </c>
      <c r="D276" s="61">
        <v>27</v>
      </c>
      <c r="E276" s="62">
        <v>6.0000000000000001E-3</v>
      </c>
    </row>
    <row r="277" spans="2:5" ht="15" customHeight="1">
      <c r="B277" s="125"/>
      <c r="C277" s="60" t="s">
        <v>173</v>
      </c>
      <c r="D277" s="61">
        <v>3</v>
      </c>
      <c r="E277" s="62">
        <v>1E-3</v>
      </c>
    </row>
    <row r="278" spans="2:5" ht="15" customHeight="1">
      <c r="B278" s="125"/>
      <c r="C278" s="60" t="s">
        <v>174</v>
      </c>
      <c r="D278" s="61">
        <v>8</v>
      </c>
      <c r="E278" s="62">
        <v>2E-3</v>
      </c>
    </row>
    <row r="279" spans="2:5" ht="15" customHeight="1">
      <c r="B279" s="126"/>
      <c r="C279" s="91" t="s">
        <v>29</v>
      </c>
      <c r="D279" s="65">
        <v>100</v>
      </c>
      <c r="E279" s="66">
        <v>2.1999999999999999E-2</v>
      </c>
    </row>
    <row r="280" spans="2:5" ht="15" customHeight="1">
      <c r="B280" s="124" t="s">
        <v>53</v>
      </c>
      <c r="C280" s="60" t="s">
        <v>154</v>
      </c>
      <c r="D280" s="61">
        <v>2</v>
      </c>
      <c r="E280" s="62">
        <v>0</v>
      </c>
    </row>
    <row r="281" spans="2:5" ht="15" customHeight="1">
      <c r="B281" s="125"/>
      <c r="C281" s="60" t="s">
        <v>226</v>
      </c>
      <c r="D281" s="61">
        <v>1</v>
      </c>
      <c r="E281" s="62">
        <v>0</v>
      </c>
    </row>
    <row r="282" spans="2:5" ht="15" customHeight="1">
      <c r="B282" s="125"/>
      <c r="C282" s="60" t="s">
        <v>227</v>
      </c>
      <c r="D282" s="61">
        <v>1</v>
      </c>
      <c r="E282" s="62">
        <v>0</v>
      </c>
    </row>
    <row r="283" spans="2:5" ht="15" customHeight="1">
      <c r="B283" s="125"/>
      <c r="C283" s="60" t="s">
        <v>228</v>
      </c>
      <c r="D283" s="61">
        <v>5</v>
      </c>
      <c r="E283" s="62">
        <v>1E-3</v>
      </c>
    </row>
    <row r="284" spans="2:5" ht="15" customHeight="1">
      <c r="B284" s="125"/>
      <c r="C284" s="60" t="s">
        <v>229</v>
      </c>
      <c r="D284" s="61">
        <v>3</v>
      </c>
      <c r="E284" s="62">
        <v>1E-3</v>
      </c>
    </row>
    <row r="285" spans="2:5" ht="15" customHeight="1">
      <c r="B285" s="125"/>
      <c r="C285" s="60" t="s">
        <v>230</v>
      </c>
      <c r="D285" s="61">
        <v>5</v>
      </c>
      <c r="E285" s="62">
        <v>1E-3</v>
      </c>
    </row>
    <row r="286" spans="2:5" ht="15" customHeight="1">
      <c r="B286" s="125"/>
      <c r="C286" s="60" t="s">
        <v>231</v>
      </c>
      <c r="D286" s="61">
        <v>9</v>
      </c>
      <c r="E286" s="62">
        <v>2E-3</v>
      </c>
    </row>
    <row r="287" spans="2:5" ht="15" customHeight="1">
      <c r="B287" s="125"/>
      <c r="C287" s="60" t="s">
        <v>161</v>
      </c>
      <c r="D287" s="61">
        <v>17</v>
      </c>
      <c r="E287" s="62">
        <v>4.0000000000000001E-3</v>
      </c>
    </row>
    <row r="288" spans="2:5" ht="15" customHeight="1">
      <c r="B288" s="125"/>
      <c r="C288" s="60" t="s">
        <v>232</v>
      </c>
      <c r="D288" s="61">
        <v>2</v>
      </c>
      <c r="E288" s="62">
        <v>0</v>
      </c>
    </row>
    <row r="289" spans="2:5" ht="15" customHeight="1">
      <c r="B289" s="125"/>
      <c r="C289" s="60" t="s">
        <v>233</v>
      </c>
      <c r="D289" s="61">
        <v>4</v>
      </c>
      <c r="E289" s="62">
        <v>1E-3</v>
      </c>
    </row>
    <row r="290" spans="2:5" ht="15" customHeight="1">
      <c r="B290" s="125"/>
      <c r="C290" s="60" t="s">
        <v>234</v>
      </c>
      <c r="D290" s="61">
        <v>8</v>
      </c>
      <c r="E290" s="62">
        <v>2E-3</v>
      </c>
    </row>
    <row r="291" spans="2:5" ht="15" customHeight="1">
      <c r="B291" s="125"/>
      <c r="C291" s="60" t="s">
        <v>165</v>
      </c>
      <c r="D291" s="61">
        <v>59</v>
      </c>
      <c r="E291" s="62">
        <v>1.2999999999999999E-2</v>
      </c>
    </row>
    <row r="292" spans="2:5" ht="15" customHeight="1">
      <c r="B292" s="125"/>
      <c r="C292" s="60" t="s">
        <v>166</v>
      </c>
      <c r="D292" s="61">
        <v>4</v>
      </c>
      <c r="E292" s="62">
        <v>1E-3</v>
      </c>
    </row>
    <row r="293" spans="2:5" ht="15" customHeight="1">
      <c r="B293" s="125"/>
      <c r="C293" s="60" t="s">
        <v>167</v>
      </c>
      <c r="D293" s="61">
        <v>8</v>
      </c>
      <c r="E293" s="62">
        <v>2E-3</v>
      </c>
    </row>
    <row r="294" spans="2:5" ht="15" customHeight="1">
      <c r="B294" s="125"/>
      <c r="C294" s="60" t="s">
        <v>168</v>
      </c>
      <c r="D294" s="61">
        <v>44</v>
      </c>
      <c r="E294" s="62">
        <v>0.01</v>
      </c>
    </row>
    <row r="295" spans="2:5" ht="15" customHeight="1">
      <c r="B295" s="125"/>
      <c r="C295" s="60" t="s">
        <v>235</v>
      </c>
      <c r="D295" s="61">
        <v>2</v>
      </c>
      <c r="E295" s="62">
        <v>0</v>
      </c>
    </row>
    <row r="296" spans="2:5" ht="15" customHeight="1">
      <c r="B296" s="125"/>
      <c r="C296" s="60" t="s">
        <v>236</v>
      </c>
      <c r="D296" s="61">
        <v>1</v>
      </c>
      <c r="E296" s="62">
        <v>0</v>
      </c>
    </row>
    <row r="297" spans="2:5" ht="15" customHeight="1">
      <c r="B297" s="125"/>
      <c r="C297" s="60" t="s">
        <v>237</v>
      </c>
      <c r="D297" s="61">
        <v>1</v>
      </c>
      <c r="E297" s="62">
        <v>0</v>
      </c>
    </row>
    <row r="298" spans="2:5" ht="15" customHeight="1">
      <c r="B298" s="125"/>
      <c r="C298" s="60" t="s">
        <v>174</v>
      </c>
      <c r="D298" s="61">
        <v>5</v>
      </c>
      <c r="E298" s="62">
        <v>1E-3</v>
      </c>
    </row>
    <row r="299" spans="2:5" ht="15" customHeight="1">
      <c r="B299" s="125"/>
      <c r="C299" s="60" t="s">
        <v>175</v>
      </c>
      <c r="D299" s="61">
        <v>1</v>
      </c>
      <c r="E299" s="62">
        <v>0</v>
      </c>
    </row>
    <row r="300" spans="2:5" ht="15" customHeight="1">
      <c r="B300" s="126"/>
      <c r="C300" s="91" t="s">
        <v>29</v>
      </c>
      <c r="D300" s="65">
        <v>182</v>
      </c>
      <c r="E300" s="66">
        <v>0.04</v>
      </c>
    </row>
    <row r="301" spans="2:5" ht="15" customHeight="1">
      <c r="B301" s="124" t="s">
        <v>62</v>
      </c>
      <c r="C301" s="60" t="s">
        <v>154</v>
      </c>
      <c r="D301" s="61">
        <v>1</v>
      </c>
      <c r="E301" s="62">
        <v>0</v>
      </c>
    </row>
    <row r="302" spans="2:5" ht="15" customHeight="1">
      <c r="B302" s="125"/>
      <c r="C302" s="60" t="s">
        <v>226</v>
      </c>
      <c r="D302" s="61">
        <v>1</v>
      </c>
      <c r="E302" s="62">
        <v>0</v>
      </c>
    </row>
    <row r="303" spans="2:5" ht="15" customHeight="1">
      <c r="B303" s="125"/>
      <c r="C303" s="60" t="s">
        <v>228</v>
      </c>
      <c r="D303" s="61">
        <v>3</v>
      </c>
      <c r="E303" s="62">
        <v>1E-3</v>
      </c>
    </row>
    <row r="304" spans="2:5" ht="15" customHeight="1">
      <c r="B304" s="125"/>
      <c r="C304" s="60" t="s">
        <v>230</v>
      </c>
      <c r="D304" s="61">
        <v>1</v>
      </c>
      <c r="E304" s="62">
        <v>0</v>
      </c>
    </row>
    <row r="305" spans="2:5" ht="15" customHeight="1">
      <c r="B305" s="125"/>
      <c r="C305" s="60" t="s">
        <v>231</v>
      </c>
      <c r="D305" s="61">
        <v>4</v>
      </c>
      <c r="E305" s="62">
        <v>1E-3</v>
      </c>
    </row>
    <row r="306" spans="2:5" ht="15" customHeight="1">
      <c r="B306" s="125"/>
      <c r="C306" s="60" t="s">
        <v>161</v>
      </c>
      <c r="D306" s="61">
        <v>9</v>
      </c>
      <c r="E306" s="62">
        <v>2E-3</v>
      </c>
    </row>
    <row r="307" spans="2:5" ht="15" customHeight="1">
      <c r="B307" s="125"/>
      <c r="C307" s="60" t="s">
        <v>233</v>
      </c>
      <c r="D307" s="61">
        <v>3</v>
      </c>
      <c r="E307" s="62">
        <v>1E-3</v>
      </c>
    </row>
    <row r="308" spans="2:5" ht="15" customHeight="1">
      <c r="B308" s="125"/>
      <c r="C308" s="60" t="s">
        <v>234</v>
      </c>
      <c r="D308" s="61">
        <v>2</v>
      </c>
      <c r="E308" s="62">
        <v>0</v>
      </c>
    </row>
    <row r="309" spans="2:5" ht="15" customHeight="1">
      <c r="B309" s="125"/>
      <c r="C309" s="60" t="s">
        <v>165</v>
      </c>
      <c r="D309" s="61">
        <v>14</v>
      </c>
      <c r="E309" s="62">
        <v>3.0000000000000001E-3</v>
      </c>
    </row>
    <row r="310" spans="2:5" ht="15" customHeight="1">
      <c r="B310" s="125"/>
      <c r="C310" s="60" t="s">
        <v>167</v>
      </c>
      <c r="D310" s="61">
        <v>5</v>
      </c>
      <c r="E310" s="62">
        <v>1E-3</v>
      </c>
    </row>
    <row r="311" spans="2:5" ht="15" customHeight="1">
      <c r="B311" s="125"/>
      <c r="C311" s="60" t="s">
        <v>168</v>
      </c>
      <c r="D311" s="61">
        <v>10</v>
      </c>
      <c r="E311" s="62">
        <v>2E-3</v>
      </c>
    </row>
    <row r="312" spans="2:5" ht="15" customHeight="1">
      <c r="B312" s="126"/>
      <c r="C312" s="91" t="s">
        <v>29</v>
      </c>
      <c r="D312" s="65">
        <v>53</v>
      </c>
      <c r="E312" s="66">
        <v>1.2E-2</v>
      </c>
    </row>
    <row r="313" spans="2:5" ht="15" customHeight="1">
      <c r="B313" s="124" t="s">
        <v>73</v>
      </c>
      <c r="C313" s="60" t="s">
        <v>229</v>
      </c>
      <c r="D313" s="61">
        <v>1</v>
      </c>
      <c r="E313" s="62">
        <v>0</v>
      </c>
    </row>
    <row r="314" spans="2:5" ht="15" customHeight="1">
      <c r="B314" s="125"/>
      <c r="C314" s="60" t="s">
        <v>161</v>
      </c>
      <c r="D314" s="61">
        <v>3</v>
      </c>
      <c r="E314" s="62">
        <v>1E-3</v>
      </c>
    </row>
    <row r="315" spans="2:5" ht="15" customHeight="1">
      <c r="B315" s="125"/>
      <c r="C315" s="60" t="s">
        <v>234</v>
      </c>
      <c r="D315" s="61">
        <v>4</v>
      </c>
      <c r="E315" s="62">
        <v>1E-3</v>
      </c>
    </row>
    <row r="316" spans="2:5" ht="15" customHeight="1">
      <c r="B316" s="125"/>
      <c r="C316" s="60" t="s">
        <v>165</v>
      </c>
      <c r="D316" s="61">
        <v>18</v>
      </c>
      <c r="E316" s="62">
        <v>4.0000000000000001E-3</v>
      </c>
    </row>
    <row r="317" spans="2:5" ht="15" customHeight="1">
      <c r="B317" s="125"/>
      <c r="C317" s="60" t="s">
        <v>166</v>
      </c>
      <c r="D317" s="61">
        <v>1</v>
      </c>
      <c r="E317" s="62">
        <v>0</v>
      </c>
    </row>
    <row r="318" spans="2:5" ht="15" customHeight="1">
      <c r="B318" s="125"/>
      <c r="C318" s="60" t="s">
        <v>167</v>
      </c>
      <c r="D318" s="61">
        <v>2</v>
      </c>
      <c r="E318" s="62">
        <v>0</v>
      </c>
    </row>
    <row r="319" spans="2:5" ht="15" customHeight="1">
      <c r="B319" s="125"/>
      <c r="C319" s="60" t="s">
        <v>168</v>
      </c>
      <c r="D319" s="61">
        <v>15</v>
      </c>
      <c r="E319" s="62">
        <v>3.0000000000000001E-3</v>
      </c>
    </row>
    <row r="320" spans="2:5" ht="15" customHeight="1">
      <c r="B320" s="125"/>
      <c r="C320" s="60" t="s">
        <v>235</v>
      </c>
      <c r="D320" s="61">
        <v>1</v>
      </c>
      <c r="E320" s="62">
        <v>0</v>
      </c>
    </row>
    <row r="321" spans="2:5" ht="15" customHeight="1">
      <c r="B321" s="125"/>
      <c r="C321" s="60" t="s">
        <v>236</v>
      </c>
      <c r="D321" s="61">
        <v>1</v>
      </c>
      <c r="E321" s="62">
        <v>0</v>
      </c>
    </row>
    <row r="322" spans="2:5" ht="15" customHeight="1">
      <c r="B322" s="125"/>
      <c r="C322" s="60" t="s">
        <v>173</v>
      </c>
      <c r="D322" s="61">
        <v>1</v>
      </c>
      <c r="E322" s="62">
        <v>0</v>
      </c>
    </row>
    <row r="323" spans="2:5" ht="15" customHeight="1">
      <c r="B323" s="125"/>
      <c r="C323" s="60" t="s">
        <v>174</v>
      </c>
      <c r="D323" s="61">
        <v>3</v>
      </c>
      <c r="E323" s="62">
        <v>1E-3</v>
      </c>
    </row>
    <row r="324" spans="2:5" ht="15" customHeight="1">
      <c r="B324" s="126"/>
      <c r="C324" s="91" t="s">
        <v>29</v>
      </c>
      <c r="D324" s="65">
        <v>50</v>
      </c>
      <c r="E324" s="66">
        <v>1.0999999999999999E-2</v>
      </c>
    </row>
    <row r="325" spans="2:5" ht="15" customHeight="1">
      <c r="B325" s="124" t="s">
        <v>219</v>
      </c>
      <c r="C325" s="60" t="s">
        <v>228</v>
      </c>
      <c r="D325" s="61">
        <v>2</v>
      </c>
      <c r="E325" s="62">
        <v>0</v>
      </c>
    </row>
    <row r="326" spans="2:5" ht="15" customHeight="1">
      <c r="B326" s="125"/>
      <c r="C326" s="60" t="s">
        <v>230</v>
      </c>
      <c r="D326" s="61">
        <v>2</v>
      </c>
      <c r="E326" s="62">
        <v>0</v>
      </c>
    </row>
    <row r="327" spans="2:5" ht="15" customHeight="1">
      <c r="B327" s="125"/>
      <c r="C327" s="60" t="s">
        <v>161</v>
      </c>
      <c r="D327" s="61">
        <v>2</v>
      </c>
      <c r="E327" s="62">
        <v>0</v>
      </c>
    </row>
    <row r="328" spans="2:5" ht="15" customHeight="1">
      <c r="B328" s="125"/>
      <c r="C328" s="60" t="s">
        <v>234</v>
      </c>
      <c r="D328" s="61">
        <v>1</v>
      </c>
      <c r="E328" s="62">
        <v>0</v>
      </c>
    </row>
    <row r="329" spans="2:5" ht="15" customHeight="1">
      <c r="B329" s="125"/>
      <c r="C329" s="60" t="s">
        <v>165</v>
      </c>
      <c r="D329" s="61">
        <v>3</v>
      </c>
      <c r="E329" s="62">
        <v>1E-3</v>
      </c>
    </row>
    <row r="330" spans="2:5" ht="15" customHeight="1">
      <c r="B330" s="125"/>
      <c r="C330" s="60" t="s">
        <v>166</v>
      </c>
      <c r="D330" s="61">
        <v>1</v>
      </c>
      <c r="E330" s="62">
        <v>0</v>
      </c>
    </row>
    <row r="331" spans="2:5" ht="15" customHeight="1">
      <c r="B331" s="125"/>
      <c r="C331" s="60" t="s">
        <v>167</v>
      </c>
      <c r="D331" s="61">
        <v>1</v>
      </c>
      <c r="E331" s="62">
        <v>0</v>
      </c>
    </row>
    <row r="332" spans="2:5" ht="15" customHeight="1">
      <c r="B332" s="125"/>
      <c r="C332" s="60" t="s">
        <v>168</v>
      </c>
      <c r="D332" s="61">
        <v>11</v>
      </c>
      <c r="E332" s="62">
        <v>2E-3</v>
      </c>
    </row>
    <row r="333" spans="2:5" ht="15" customHeight="1">
      <c r="B333" s="125"/>
      <c r="C333" s="60" t="s">
        <v>174</v>
      </c>
      <c r="D333" s="61">
        <v>1</v>
      </c>
      <c r="E333" s="62">
        <v>0</v>
      </c>
    </row>
    <row r="334" spans="2:5" ht="15" customHeight="1">
      <c r="B334" s="126"/>
      <c r="C334" s="91" t="s">
        <v>29</v>
      </c>
      <c r="D334" s="65">
        <v>24</v>
      </c>
      <c r="E334" s="66">
        <v>5.0000000000000001E-3</v>
      </c>
    </row>
    <row r="335" spans="2:5" ht="15" customHeight="1">
      <c r="B335" s="124" t="s">
        <v>56</v>
      </c>
      <c r="C335" s="60" t="s">
        <v>154</v>
      </c>
      <c r="D335" s="61">
        <v>1</v>
      </c>
      <c r="E335" s="62">
        <v>0</v>
      </c>
    </row>
    <row r="336" spans="2:5" ht="15" customHeight="1">
      <c r="B336" s="125"/>
      <c r="C336" s="60" t="s">
        <v>228</v>
      </c>
      <c r="D336" s="61">
        <v>2</v>
      </c>
      <c r="E336" s="62">
        <v>0</v>
      </c>
    </row>
    <row r="337" spans="2:5" ht="15" customHeight="1">
      <c r="B337" s="125"/>
      <c r="C337" s="60" t="s">
        <v>229</v>
      </c>
      <c r="D337" s="61">
        <v>1</v>
      </c>
      <c r="E337" s="62">
        <v>0</v>
      </c>
    </row>
    <row r="338" spans="2:5" ht="15" customHeight="1">
      <c r="B338" s="125"/>
      <c r="C338" s="60" t="s">
        <v>230</v>
      </c>
      <c r="D338" s="61">
        <v>1</v>
      </c>
      <c r="E338" s="62">
        <v>0</v>
      </c>
    </row>
    <row r="339" spans="2:5" ht="15" customHeight="1">
      <c r="B339" s="125"/>
      <c r="C339" s="60" t="s">
        <v>231</v>
      </c>
      <c r="D339" s="61">
        <v>7</v>
      </c>
      <c r="E339" s="62">
        <v>2E-3</v>
      </c>
    </row>
    <row r="340" spans="2:5" ht="15" customHeight="1">
      <c r="B340" s="125"/>
      <c r="C340" s="60" t="s">
        <v>161</v>
      </c>
      <c r="D340" s="61">
        <v>19</v>
      </c>
      <c r="E340" s="62">
        <v>4.0000000000000001E-3</v>
      </c>
    </row>
    <row r="341" spans="2:5" ht="15" customHeight="1">
      <c r="B341" s="125"/>
      <c r="C341" s="60" t="s">
        <v>232</v>
      </c>
      <c r="D341" s="61">
        <v>2</v>
      </c>
      <c r="E341" s="62">
        <v>0</v>
      </c>
    </row>
    <row r="342" spans="2:5" ht="15" customHeight="1">
      <c r="B342" s="125"/>
      <c r="C342" s="60" t="s">
        <v>233</v>
      </c>
      <c r="D342" s="61">
        <v>3</v>
      </c>
      <c r="E342" s="62">
        <v>1E-3</v>
      </c>
    </row>
    <row r="343" spans="2:5" ht="15" customHeight="1">
      <c r="B343" s="125"/>
      <c r="C343" s="60" t="s">
        <v>234</v>
      </c>
      <c r="D343" s="61">
        <v>5</v>
      </c>
      <c r="E343" s="62">
        <v>1E-3</v>
      </c>
    </row>
    <row r="344" spans="2:5" ht="15" customHeight="1">
      <c r="B344" s="125"/>
      <c r="C344" s="60" t="s">
        <v>165</v>
      </c>
      <c r="D344" s="61">
        <v>55</v>
      </c>
      <c r="E344" s="62">
        <v>1.2E-2</v>
      </c>
    </row>
    <row r="345" spans="2:5" ht="15" customHeight="1">
      <c r="B345" s="125"/>
      <c r="C345" s="60" t="s">
        <v>166</v>
      </c>
      <c r="D345" s="61">
        <v>2</v>
      </c>
      <c r="E345" s="62">
        <v>0</v>
      </c>
    </row>
    <row r="346" spans="2:5" ht="15" customHeight="1">
      <c r="B346" s="125"/>
      <c r="C346" s="60" t="s">
        <v>167</v>
      </c>
      <c r="D346" s="61">
        <v>12</v>
      </c>
      <c r="E346" s="62">
        <v>3.0000000000000001E-3</v>
      </c>
    </row>
    <row r="347" spans="2:5" ht="15" customHeight="1">
      <c r="B347" s="125"/>
      <c r="C347" s="60" t="s">
        <v>168</v>
      </c>
      <c r="D347" s="61">
        <v>53</v>
      </c>
      <c r="E347" s="62">
        <v>1.2E-2</v>
      </c>
    </row>
    <row r="348" spans="2:5" ht="15" customHeight="1">
      <c r="B348" s="125"/>
      <c r="C348" s="60" t="s">
        <v>236</v>
      </c>
      <c r="D348" s="61">
        <v>1</v>
      </c>
      <c r="E348" s="62">
        <v>0</v>
      </c>
    </row>
    <row r="349" spans="2:5" ht="15" customHeight="1">
      <c r="B349" s="125"/>
      <c r="C349" s="60" t="s">
        <v>237</v>
      </c>
      <c r="D349" s="61">
        <v>1</v>
      </c>
      <c r="E349" s="62">
        <v>0</v>
      </c>
    </row>
    <row r="350" spans="2:5" ht="15" customHeight="1">
      <c r="B350" s="125"/>
      <c r="C350" s="60" t="s">
        <v>238</v>
      </c>
      <c r="D350" s="61">
        <v>2</v>
      </c>
      <c r="E350" s="62">
        <v>0</v>
      </c>
    </row>
    <row r="351" spans="2:5" ht="15" customHeight="1">
      <c r="B351" s="125"/>
      <c r="C351" s="60" t="s">
        <v>173</v>
      </c>
      <c r="D351" s="61">
        <v>3</v>
      </c>
      <c r="E351" s="62">
        <v>1E-3</v>
      </c>
    </row>
    <row r="352" spans="2:5" ht="15" customHeight="1">
      <c r="B352" s="125"/>
      <c r="C352" s="60" t="s">
        <v>174</v>
      </c>
      <c r="D352" s="61">
        <v>10</v>
      </c>
      <c r="E352" s="62">
        <v>2E-3</v>
      </c>
    </row>
    <row r="353" spans="2:5" ht="15" customHeight="1">
      <c r="B353" s="126"/>
      <c r="C353" s="91" t="s">
        <v>29</v>
      </c>
      <c r="D353" s="65">
        <v>180</v>
      </c>
      <c r="E353" s="66">
        <v>0.04</v>
      </c>
    </row>
    <row r="354" spans="2:5" ht="15" customHeight="1">
      <c r="B354" s="124" t="s">
        <v>65</v>
      </c>
      <c r="C354" s="60" t="s">
        <v>154</v>
      </c>
      <c r="D354" s="61">
        <v>1</v>
      </c>
      <c r="E354" s="62">
        <v>0</v>
      </c>
    </row>
    <row r="355" spans="2:5" ht="15" customHeight="1">
      <c r="B355" s="125"/>
      <c r="C355" s="60" t="s">
        <v>228</v>
      </c>
      <c r="D355" s="61">
        <v>1</v>
      </c>
      <c r="E355" s="62">
        <v>0</v>
      </c>
    </row>
    <row r="356" spans="2:5" ht="15" customHeight="1">
      <c r="B356" s="125"/>
      <c r="C356" s="60" t="s">
        <v>229</v>
      </c>
      <c r="D356" s="61">
        <v>1</v>
      </c>
      <c r="E356" s="62">
        <v>0</v>
      </c>
    </row>
    <row r="357" spans="2:5" ht="15" customHeight="1">
      <c r="B357" s="125"/>
      <c r="C357" s="60" t="s">
        <v>231</v>
      </c>
      <c r="D357" s="61">
        <v>2</v>
      </c>
      <c r="E357" s="62">
        <v>0</v>
      </c>
    </row>
    <row r="358" spans="2:5" ht="15" customHeight="1">
      <c r="B358" s="125"/>
      <c r="C358" s="60" t="s">
        <v>161</v>
      </c>
      <c r="D358" s="61">
        <v>7</v>
      </c>
      <c r="E358" s="62">
        <v>2E-3</v>
      </c>
    </row>
    <row r="359" spans="2:5" ht="15" customHeight="1">
      <c r="B359" s="125"/>
      <c r="C359" s="60" t="s">
        <v>233</v>
      </c>
      <c r="D359" s="61">
        <v>3</v>
      </c>
      <c r="E359" s="62">
        <v>1E-3</v>
      </c>
    </row>
    <row r="360" spans="2:5" ht="15" customHeight="1">
      <c r="B360" s="125"/>
      <c r="C360" s="60" t="s">
        <v>234</v>
      </c>
      <c r="D360" s="61">
        <v>2</v>
      </c>
      <c r="E360" s="62">
        <v>0</v>
      </c>
    </row>
    <row r="361" spans="2:5" ht="15" customHeight="1">
      <c r="B361" s="125"/>
      <c r="C361" s="60" t="s">
        <v>165</v>
      </c>
      <c r="D361" s="61">
        <v>39</v>
      </c>
      <c r="E361" s="62">
        <v>8.9999999999999993E-3</v>
      </c>
    </row>
    <row r="362" spans="2:5" ht="15" customHeight="1">
      <c r="B362" s="125"/>
      <c r="C362" s="60" t="s">
        <v>167</v>
      </c>
      <c r="D362" s="61">
        <v>5</v>
      </c>
      <c r="E362" s="62">
        <v>1E-3</v>
      </c>
    </row>
    <row r="363" spans="2:5" ht="15" customHeight="1">
      <c r="B363" s="125"/>
      <c r="C363" s="60" t="s">
        <v>168</v>
      </c>
      <c r="D363" s="61">
        <v>25</v>
      </c>
      <c r="E363" s="62">
        <v>6.0000000000000001E-3</v>
      </c>
    </row>
    <row r="364" spans="2:5" ht="15" customHeight="1">
      <c r="B364" s="125"/>
      <c r="C364" s="60" t="s">
        <v>235</v>
      </c>
      <c r="D364" s="61">
        <v>1</v>
      </c>
      <c r="E364" s="62">
        <v>0</v>
      </c>
    </row>
    <row r="365" spans="2:5" ht="15" customHeight="1">
      <c r="B365" s="125"/>
      <c r="C365" s="60" t="s">
        <v>174</v>
      </c>
      <c r="D365" s="61">
        <v>5</v>
      </c>
      <c r="E365" s="62">
        <v>1E-3</v>
      </c>
    </row>
    <row r="366" spans="2:5" ht="15" customHeight="1">
      <c r="B366" s="126"/>
      <c r="C366" s="91" t="s">
        <v>29</v>
      </c>
      <c r="D366" s="65">
        <v>92</v>
      </c>
      <c r="E366" s="66">
        <v>0.02</v>
      </c>
    </row>
    <row r="367" spans="2:5" ht="15" customHeight="1">
      <c r="B367" s="124" t="s">
        <v>61</v>
      </c>
      <c r="C367" s="60" t="s">
        <v>228</v>
      </c>
      <c r="D367" s="61">
        <v>2</v>
      </c>
      <c r="E367" s="62">
        <v>0</v>
      </c>
    </row>
    <row r="368" spans="2:5" ht="15" customHeight="1">
      <c r="B368" s="125"/>
      <c r="C368" s="60" t="s">
        <v>229</v>
      </c>
      <c r="D368" s="61">
        <v>1</v>
      </c>
      <c r="E368" s="62">
        <v>0</v>
      </c>
    </row>
    <row r="369" spans="2:5" ht="15" customHeight="1">
      <c r="B369" s="125"/>
      <c r="C369" s="60" t="s">
        <v>230</v>
      </c>
      <c r="D369" s="61">
        <v>2</v>
      </c>
      <c r="E369" s="62">
        <v>0</v>
      </c>
    </row>
    <row r="370" spans="2:5" ht="15" customHeight="1">
      <c r="B370" s="125"/>
      <c r="C370" s="60" t="s">
        <v>231</v>
      </c>
      <c r="D370" s="61">
        <v>3</v>
      </c>
      <c r="E370" s="62">
        <v>1E-3</v>
      </c>
    </row>
    <row r="371" spans="2:5" ht="15" customHeight="1">
      <c r="B371" s="125"/>
      <c r="C371" s="60" t="s">
        <v>161</v>
      </c>
      <c r="D371" s="61">
        <v>12</v>
      </c>
      <c r="E371" s="62">
        <v>3.0000000000000001E-3</v>
      </c>
    </row>
    <row r="372" spans="2:5" ht="15" customHeight="1">
      <c r="B372" s="125"/>
      <c r="C372" s="60" t="s">
        <v>233</v>
      </c>
      <c r="D372" s="61">
        <v>2</v>
      </c>
      <c r="E372" s="62">
        <v>0</v>
      </c>
    </row>
    <row r="373" spans="2:5" ht="15" customHeight="1">
      <c r="B373" s="125"/>
      <c r="C373" s="60" t="s">
        <v>234</v>
      </c>
      <c r="D373" s="61">
        <v>3</v>
      </c>
      <c r="E373" s="62">
        <v>1E-3</v>
      </c>
    </row>
    <row r="374" spans="2:5" ht="15" customHeight="1">
      <c r="B374" s="125"/>
      <c r="C374" s="60" t="s">
        <v>165</v>
      </c>
      <c r="D374" s="61">
        <v>46</v>
      </c>
      <c r="E374" s="62">
        <v>0.01</v>
      </c>
    </row>
    <row r="375" spans="2:5" ht="15" customHeight="1">
      <c r="B375" s="125"/>
      <c r="C375" s="60" t="s">
        <v>167</v>
      </c>
      <c r="D375" s="61">
        <v>8</v>
      </c>
      <c r="E375" s="62">
        <v>2E-3</v>
      </c>
    </row>
    <row r="376" spans="2:5" ht="15" customHeight="1">
      <c r="B376" s="125"/>
      <c r="C376" s="60" t="s">
        <v>168</v>
      </c>
      <c r="D376" s="61">
        <v>44</v>
      </c>
      <c r="E376" s="62">
        <v>0.01</v>
      </c>
    </row>
    <row r="377" spans="2:5" ht="15" customHeight="1">
      <c r="B377" s="125"/>
      <c r="C377" s="60" t="s">
        <v>235</v>
      </c>
      <c r="D377" s="61">
        <v>1</v>
      </c>
      <c r="E377" s="62">
        <v>0</v>
      </c>
    </row>
    <row r="378" spans="2:5" ht="15" customHeight="1">
      <c r="B378" s="125"/>
      <c r="C378" s="60" t="s">
        <v>236</v>
      </c>
      <c r="D378" s="61">
        <v>1</v>
      </c>
      <c r="E378" s="62">
        <v>0</v>
      </c>
    </row>
    <row r="379" spans="2:5" ht="15" customHeight="1">
      <c r="B379" s="125"/>
      <c r="C379" s="60" t="s">
        <v>173</v>
      </c>
      <c r="D379" s="61">
        <v>1</v>
      </c>
      <c r="E379" s="62">
        <v>0</v>
      </c>
    </row>
    <row r="380" spans="2:5" ht="15" customHeight="1">
      <c r="B380" s="125"/>
      <c r="C380" s="60" t="s">
        <v>174</v>
      </c>
      <c r="D380" s="61">
        <v>5</v>
      </c>
      <c r="E380" s="62">
        <v>1E-3</v>
      </c>
    </row>
    <row r="381" spans="2:5" ht="15" customHeight="1">
      <c r="B381" s="126"/>
      <c r="C381" s="91" t="s">
        <v>29</v>
      </c>
      <c r="D381" s="65">
        <v>131</v>
      </c>
      <c r="E381" s="66">
        <v>2.9000000000000001E-2</v>
      </c>
    </row>
    <row r="382" spans="2:5" ht="15" customHeight="1">
      <c r="B382" s="124" t="s">
        <v>85</v>
      </c>
      <c r="C382" s="60" t="s">
        <v>154</v>
      </c>
      <c r="D382" s="61">
        <v>2</v>
      </c>
      <c r="E382" s="62">
        <v>0</v>
      </c>
    </row>
    <row r="383" spans="2:5" ht="15" customHeight="1">
      <c r="B383" s="125"/>
      <c r="C383" s="60" t="s">
        <v>228</v>
      </c>
      <c r="D383" s="61">
        <v>3</v>
      </c>
      <c r="E383" s="62">
        <v>1E-3</v>
      </c>
    </row>
    <row r="384" spans="2:5" ht="15" customHeight="1">
      <c r="B384" s="125"/>
      <c r="C384" s="60" t="s">
        <v>231</v>
      </c>
      <c r="D384" s="61">
        <v>2</v>
      </c>
      <c r="E384" s="62">
        <v>0</v>
      </c>
    </row>
    <row r="385" spans="2:5" ht="15" customHeight="1">
      <c r="B385" s="125"/>
      <c r="C385" s="60" t="s">
        <v>161</v>
      </c>
      <c r="D385" s="61">
        <v>4</v>
      </c>
      <c r="E385" s="62">
        <v>1E-3</v>
      </c>
    </row>
    <row r="386" spans="2:5" ht="15" customHeight="1">
      <c r="B386" s="125"/>
      <c r="C386" s="60" t="s">
        <v>233</v>
      </c>
      <c r="D386" s="61">
        <v>2</v>
      </c>
      <c r="E386" s="62">
        <v>0</v>
      </c>
    </row>
    <row r="387" spans="2:5" ht="15" customHeight="1">
      <c r="B387" s="125"/>
      <c r="C387" s="60" t="s">
        <v>234</v>
      </c>
      <c r="D387" s="61">
        <v>1</v>
      </c>
      <c r="E387" s="62">
        <v>0</v>
      </c>
    </row>
    <row r="388" spans="2:5" ht="15" customHeight="1">
      <c r="B388" s="125"/>
      <c r="C388" s="60" t="s">
        <v>165</v>
      </c>
      <c r="D388" s="61">
        <v>18</v>
      </c>
      <c r="E388" s="62">
        <v>4.0000000000000001E-3</v>
      </c>
    </row>
    <row r="389" spans="2:5" ht="15" customHeight="1">
      <c r="B389" s="125"/>
      <c r="C389" s="60" t="s">
        <v>167</v>
      </c>
      <c r="D389" s="61">
        <v>1</v>
      </c>
      <c r="E389" s="62">
        <v>0</v>
      </c>
    </row>
    <row r="390" spans="2:5" ht="15" customHeight="1">
      <c r="B390" s="125"/>
      <c r="C390" s="60" t="s">
        <v>168</v>
      </c>
      <c r="D390" s="61">
        <v>23</v>
      </c>
      <c r="E390" s="62">
        <v>5.0000000000000001E-3</v>
      </c>
    </row>
    <row r="391" spans="2:5" ht="15" customHeight="1">
      <c r="B391" s="125"/>
      <c r="C391" s="60" t="s">
        <v>237</v>
      </c>
      <c r="D391" s="61">
        <v>1</v>
      </c>
      <c r="E391" s="62">
        <v>0</v>
      </c>
    </row>
    <row r="392" spans="2:5" ht="15" customHeight="1">
      <c r="B392" s="125"/>
      <c r="C392" s="60" t="s">
        <v>174</v>
      </c>
      <c r="D392" s="61">
        <v>3</v>
      </c>
      <c r="E392" s="62">
        <v>1E-3</v>
      </c>
    </row>
    <row r="393" spans="2:5" ht="15" customHeight="1">
      <c r="B393" s="126"/>
      <c r="C393" s="91" t="s">
        <v>29</v>
      </c>
      <c r="D393" s="65">
        <v>60</v>
      </c>
      <c r="E393" s="66">
        <v>1.2999999999999999E-2</v>
      </c>
    </row>
    <row r="394" spans="2:5" ht="15" customHeight="1">
      <c r="B394" s="124" t="s">
        <v>48</v>
      </c>
      <c r="C394" s="60" t="s">
        <v>154</v>
      </c>
      <c r="D394" s="61">
        <v>4</v>
      </c>
      <c r="E394" s="62">
        <v>1E-3</v>
      </c>
    </row>
    <row r="395" spans="2:5" ht="15" customHeight="1">
      <c r="B395" s="125"/>
      <c r="C395" s="60" t="s">
        <v>227</v>
      </c>
      <c r="D395" s="61">
        <v>2</v>
      </c>
      <c r="E395" s="62">
        <v>0</v>
      </c>
    </row>
    <row r="396" spans="2:5" ht="15" customHeight="1">
      <c r="B396" s="125"/>
      <c r="C396" s="60" t="s">
        <v>228</v>
      </c>
      <c r="D396" s="61">
        <v>5</v>
      </c>
      <c r="E396" s="62">
        <v>1E-3</v>
      </c>
    </row>
    <row r="397" spans="2:5" ht="15" customHeight="1">
      <c r="B397" s="125"/>
      <c r="C397" s="60" t="s">
        <v>229</v>
      </c>
      <c r="D397" s="61">
        <v>4</v>
      </c>
      <c r="E397" s="62">
        <v>1E-3</v>
      </c>
    </row>
    <row r="398" spans="2:5" ht="15" customHeight="1">
      <c r="B398" s="125"/>
      <c r="C398" s="60" t="s">
        <v>230</v>
      </c>
      <c r="D398" s="61">
        <v>2</v>
      </c>
      <c r="E398" s="62">
        <v>0</v>
      </c>
    </row>
    <row r="399" spans="2:5" ht="15" customHeight="1">
      <c r="B399" s="125"/>
      <c r="C399" s="60" t="s">
        <v>231</v>
      </c>
      <c r="D399" s="61">
        <v>3</v>
      </c>
      <c r="E399" s="62">
        <v>1E-3</v>
      </c>
    </row>
    <row r="400" spans="2:5" ht="15" customHeight="1">
      <c r="B400" s="125"/>
      <c r="C400" s="60" t="s">
        <v>161</v>
      </c>
      <c r="D400" s="61">
        <v>18</v>
      </c>
      <c r="E400" s="62">
        <v>4.0000000000000001E-3</v>
      </c>
    </row>
    <row r="401" spans="2:5" ht="15" customHeight="1">
      <c r="B401" s="125"/>
      <c r="C401" s="60" t="s">
        <v>233</v>
      </c>
      <c r="D401" s="61">
        <v>1</v>
      </c>
      <c r="E401" s="62">
        <v>0</v>
      </c>
    </row>
    <row r="402" spans="2:5" ht="15" customHeight="1">
      <c r="B402" s="125"/>
      <c r="C402" s="60" t="s">
        <v>234</v>
      </c>
      <c r="D402" s="61">
        <v>8</v>
      </c>
      <c r="E402" s="62">
        <v>2E-3</v>
      </c>
    </row>
    <row r="403" spans="2:5" ht="15" customHeight="1">
      <c r="B403" s="125"/>
      <c r="C403" s="60" t="s">
        <v>165</v>
      </c>
      <c r="D403" s="61">
        <v>51</v>
      </c>
      <c r="E403" s="62">
        <v>1.0999999999999999E-2</v>
      </c>
    </row>
    <row r="404" spans="2:5" ht="15" customHeight="1">
      <c r="B404" s="125"/>
      <c r="C404" s="60" t="s">
        <v>166</v>
      </c>
      <c r="D404" s="61">
        <v>3</v>
      </c>
      <c r="E404" s="62">
        <v>1E-3</v>
      </c>
    </row>
    <row r="405" spans="2:5" ht="15" customHeight="1">
      <c r="B405" s="125"/>
      <c r="C405" s="60" t="s">
        <v>167</v>
      </c>
      <c r="D405" s="61">
        <v>10</v>
      </c>
      <c r="E405" s="62">
        <v>2E-3</v>
      </c>
    </row>
    <row r="406" spans="2:5" ht="15" customHeight="1">
      <c r="B406" s="125"/>
      <c r="C406" s="60" t="s">
        <v>168</v>
      </c>
      <c r="D406" s="61">
        <v>49</v>
      </c>
      <c r="E406" s="62">
        <v>1.0999999999999999E-2</v>
      </c>
    </row>
    <row r="407" spans="2:5" ht="15" customHeight="1">
      <c r="B407" s="125"/>
      <c r="C407" s="60" t="s">
        <v>235</v>
      </c>
      <c r="D407" s="61">
        <v>2</v>
      </c>
      <c r="E407" s="62">
        <v>0</v>
      </c>
    </row>
    <row r="408" spans="2:5" ht="15" customHeight="1">
      <c r="B408" s="125"/>
      <c r="C408" s="60" t="s">
        <v>237</v>
      </c>
      <c r="D408" s="61">
        <v>2</v>
      </c>
      <c r="E408" s="62">
        <v>0</v>
      </c>
    </row>
    <row r="409" spans="2:5" ht="15" customHeight="1">
      <c r="B409" s="125"/>
      <c r="C409" s="60" t="s">
        <v>173</v>
      </c>
      <c r="D409" s="61">
        <v>2</v>
      </c>
      <c r="E409" s="62">
        <v>0</v>
      </c>
    </row>
    <row r="410" spans="2:5" ht="15" customHeight="1">
      <c r="B410" s="125"/>
      <c r="C410" s="60" t="s">
        <v>174</v>
      </c>
      <c r="D410" s="61">
        <v>9</v>
      </c>
      <c r="E410" s="62">
        <v>2E-3</v>
      </c>
    </row>
    <row r="411" spans="2:5" ht="15" customHeight="1">
      <c r="B411" s="126"/>
      <c r="C411" s="91" t="s">
        <v>29</v>
      </c>
      <c r="D411" s="65">
        <v>175</v>
      </c>
      <c r="E411" s="66">
        <v>3.9E-2</v>
      </c>
    </row>
    <row r="412" spans="2:5" ht="15" customHeight="1">
      <c r="B412" s="124" t="s">
        <v>87</v>
      </c>
      <c r="C412" s="60" t="s">
        <v>154</v>
      </c>
      <c r="D412" s="61">
        <v>1</v>
      </c>
      <c r="E412" s="62">
        <v>0</v>
      </c>
    </row>
    <row r="413" spans="2:5" ht="15" customHeight="1">
      <c r="B413" s="125"/>
      <c r="C413" s="60" t="s">
        <v>229</v>
      </c>
      <c r="D413" s="61">
        <v>1</v>
      </c>
      <c r="E413" s="62">
        <v>0</v>
      </c>
    </row>
    <row r="414" spans="2:5" ht="15" customHeight="1">
      <c r="B414" s="125"/>
      <c r="C414" s="60" t="s">
        <v>231</v>
      </c>
      <c r="D414" s="61">
        <v>2</v>
      </c>
      <c r="E414" s="62">
        <v>0</v>
      </c>
    </row>
    <row r="415" spans="2:5" ht="15" customHeight="1">
      <c r="B415" s="125"/>
      <c r="C415" s="60" t="s">
        <v>161</v>
      </c>
      <c r="D415" s="61">
        <v>2</v>
      </c>
      <c r="E415" s="62">
        <v>0</v>
      </c>
    </row>
    <row r="416" spans="2:5" ht="15" customHeight="1">
      <c r="B416" s="125"/>
      <c r="C416" s="60" t="s">
        <v>165</v>
      </c>
      <c r="D416" s="61">
        <v>6</v>
      </c>
      <c r="E416" s="62">
        <v>1E-3</v>
      </c>
    </row>
    <row r="417" spans="2:5" ht="15" customHeight="1">
      <c r="B417" s="125"/>
      <c r="C417" s="60" t="s">
        <v>167</v>
      </c>
      <c r="D417" s="61">
        <v>1</v>
      </c>
      <c r="E417" s="62">
        <v>0</v>
      </c>
    </row>
    <row r="418" spans="2:5" ht="15" customHeight="1">
      <c r="B418" s="125"/>
      <c r="C418" s="60" t="s">
        <v>168</v>
      </c>
      <c r="D418" s="61">
        <v>3</v>
      </c>
      <c r="E418" s="62">
        <v>1E-3</v>
      </c>
    </row>
    <row r="419" spans="2:5" ht="15" customHeight="1">
      <c r="B419" s="126"/>
      <c r="C419" s="91" t="s">
        <v>29</v>
      </c>
      <c r="D419" s="65">
        <v>16</v>
      </c>
      <c r="E419" s="66">
        <v>4.0000000000000001E-3</v>
      </c>
    </row>
    <row r="420" spans="2:5" ht="15" customHeight="1">
      <c r="B420" s="124" t="s">
        <v>66</v>
      </c>
      <c r="C420" s="60" t="s">
        <v>226</v>
      </c>
      <c r="D420" s="61">
        <v>1</v>
      </c>
      <c r="E420" s="62">
        <v>0</v>
      </c>
    </row>
    <row r="421" spans="2:5" ht="15" customHeight="1">
      <c r="B421" s="125"/>
      <c r="C421" s="60" t="s">
        <v>231</v>
      </c>
      <c r="D421" s="61">
        <v>1</v>
      </c>
      <c r="E421" s="62">
        <v>0</v>
      </c>
    </row>
    <row r="422" spans="2:5" ht="15" customHeight="1">
      <c r="B422" s="125"/>
      <c r="C422" s="60" t="s">
        <v>161</v>
      </c>
      <c r="D422" s="61">
        <v>6</v>
      </c>
      <c r="E422" s="62">
        <v>1E-3</v>
      </c>
    </row>
    <row r="423" spans="2:5" ht="15" customHeight="1">
      <c r="B423" s="125"/>
      <c r="C423" s="60" t="s">
        <v>233</v>
      </c>
      <c r="D423" s="61">
        <v>1</v>
      </c>
      <c r="E423" s="62">
        <v>0</v>
      </c>
    </row>
    <row r="424" spans="2:5" ht="15" customHeight="1">
      <c r="B424" s="125"/>
      <c r="C424" s="60" t="s">
        <v>234</v>
      </c>
      <c r="D424" s="61">
        <v>4</v>
      </c>
      <c r="E424" s="62">
        <v>1E-3</v>
      </c>
    </row>
    <row r="425" spans="2:5" ht="15" customHeight="1">
      <c r="B425" s="125"/>
      <c r="C425" s="60" t="s">
        <v>165</v>
      </c>
      <c r="D425" s="61">
        <v>9</v>
      </c>
      <c r="E425" s="62">
        <v>2E-3</v>
      </c>
    </row>
    <row r="426" spans="2:5" ht="15" customHeight="1">
      <c r="B426" s="125"/>
      <c r="C426" s="60" t="s">
        <v>166</v>
      </c>
      <c r="D426" s="61">
        <v>2</v>
      </c>
      <c r="E426" s="62">
        <v>0</v>
      </c>
    </row>
    <row r="427" spans="2:5" ht="15" customHeight="1">
      <c r="B427" s="125"/>
      <c r="C427" s="60" t="s">
        <v>167</v>
      </c>
      <c r="D427" s="61">
        <v>1</v>
      </c>
      <c r="E427" s="62">
        <v>0</v>
      </c>
    </row>
    <row r="428" spans="2:5" ht="15" customHeight="1">
      <c r="B428" s="125"/>
      <c r="C428" s="60" t="s">
        <v>168</v>
      </c>
      <c r="D428" s="61">
        <v>9</v>
      </c>
      <c r="E428" s="62">
        <v>2E-3</v>
      </c>
    </row>
    <row r="429" spans="2:5" ht="15" customHeight="1">
      <c r="B429" s="125"/>
      <c r="C429" s="60" t="s">
        <v>236</v>
      </c>
      <c r="D429" s="61">
        <v>1</v>
      </c>
      <c r="E429" s="62">
        <v>0</v>
      </c>
    </row>
    <row r="430" spans="2:5" ht="15" customHeight="1">
      <c r="B430" s="125"/>
      <c r="C430" s="60" t="s">
        <v>173</v>
      </c>
      <c r="D430" s="61">
        <v>1</v>
      </c>
      <c r="E430" s="62">
        <v>0</v>
      </c>
    </row>
    <row r="431" spans="2:5" ht="15" customHeight="1">
      <c r="B431" s="125"/>
      <c r="C431" s="60" t="s">
        <v>174</v>
      </c>
      <c r="D431" s="61">
        <v>2</v>
      </c>
      <c r="E431" s="62">
        <v>0</v>
      </c>
    </row>
    <row r="432" spans="2:5" ht="15" customHeight="1">
      <c r="B432" s="126"/>
      <c r="C432" s="91" t="s">
        <v>29</v>
      </c>
      <c r="D432" s="65">
        <v>38</v>
      </c>
      <c r="E432" s="66">
        <v>8.0000000000000002E-3</v>
      </c>
    </row>
    <row r="433" spans="2:5" ht="15" customHeight="1">
      <c r="B433" s="124" t="s">
        <v>81</v>
      </c>
      <c r="C433" s="60" t="s">
        <v>227</v>
      </c>
      <c r="D433" s="61">
        <v>1</v>
      </c>
      <c r="E433" s="62">
        <v>0</v>
      </c>
    </row>
    <row r="434" spans="2:5" ht="15" customHeight="1">
      <c r="B434" s="125"/>
      <c r="C434" s="60" t="s">
        <v>161</v>
      </c>
      <c r="D434" s="61">
        <v>1</v>
      </c>
      <c r="E434" s="62">
        <v>0</v>
      </c>
    </row>
    <row r="435" spans="2:5" ht="15" customHeight="1">
      <c r="B435" s="125"/>
      <c r="C435" s="60" t="s">
        <v>233</v>
      </c>
      <c r="D435" s="61">
        <v>1</v>
      </c>
      <c r="E435" s="62">
        <v>0</v>
      </c>
    </row>
    <row r="436" spans="2:5" ht="15" customHeight="1">
      <c r="B436" s="125"/>
      <c r="C436" s="60" t="s">
        <v>234</v>
      </c>
      <c r="D436" s="61">
        <v>1</v>
      </c>
      <c r="E436" s="62">
        <v>0</v>
      </c>
    </row>
    <row r="437" spans="2:5" ht="15" customHeight="1">
      <c r="B437" s="125"/>
      <c r="C437" s="60" t="s">
        <v>165</v>
      </c>
      <c r="D437" s="61">
        <v>6</v>
      </c>
      <c r="E437" s="62">
        <v>1E-3</v>
      </c>
    </row>
    <row r="438" spans="2:5" ht="15" customHeight="1">
      <c r="B438" s="125"/>
      <c r="C438" s="60" t="s">
        <v>167</v>
      </c>
      <c r="D438" s="61">
        <v>2</v>
      </c>
      <c r="E438" s="62">
        <v>0</v>
      </c>
    </row>
    <row r="439" spans="2:5" ht="15" customHeight="1">
      <c r="B439" s="125"/>
      <c r="C439" s="60" t="s">
        <v>168</v>
      </c>
      <c r="D439" s="61">
        <v>1</v>
      </c>
      <c r="E439" s="62">
        <v>0</v>
      </c>
    </row>
    <row r="440" spans="2:5" ht="15" customHeight="1">
      <c r="B440" s="125"/>
      <c r="C440" s="60" t="s">
        <v>236</v>
      </c>
      <c r="D440" s="61">
        <v>2</v>
      </c>
      <c r="E440" s="62">
        <v>0</v>
      </c>
    </row>
    <row r="441" spans="2:5" ht="15" customHeight="1">
      <c r="B441" s="125"/>
      <c r="C441" s="60" t="s">
        <v>174</v>
      </c>
      <c r="D441" s="61">
        <v>1</v>
      </c>
      <c r="E441" s="62">
        <v>0</v>
      </c>
    </row>
    <row r="442" spans="2:5" ht="15" customHeight="1">
      <c r="B442" s="126"/>
      <c r="C442" s="91" t="s">
        <v>29</v>
      </c>
      <c r="D442" s="65">
        <v>16</v>
      </c>
      <c r="E442" s="66">
        <v>4.0000000000000001E-3</v>
      </c>
    </row>
    <row r="443" spans="2:5" ht="15" customHeight="1">
      <c r="B443" s="124" t="s">
        <v>64</v>
      </c>
      <c r="C443" s="60" t="s">
        <v>227</v>
      </c>
      <c r="D443" s="61">
        <v>1</v>
      </c>
      <c r="E443" s="62">
        <v>0</v>
      </c>
    </row>
    <row r="444" spans="2:5" ht="15" customHeight="1">
      <c r="B444" s="125"/>
      <c r="C444" s="60" t="s">
        <v>229</v>
      </c>
      <c r="D444" s="61">
        <v>1</v>
      </c>
      <c r="E444" s="62">
        <v>0</v>
      </c>
    </row>
    <row r="445" spans="2:5" ht="15" customHeight="1">
      <c r="B445" s="125"/>
      <c r="C445" s="60" t="s">
        <v>230</v>
      </c>
      <c r="D445" s="61">
        <v>1</v>
      </c>
      <c r="E445" s="62">
        <v>0</v>
      </c>
    </row>
    <row r="446" spans="2:5" ht="15" customHeight="1">
      <c r="B446" s="125"/>
      <c r="C446" s="60" t="s">
        <v>231</v>
      </c>
      <c r="D446" s="61">
        <v>4</v>
      </c>
      <c r="E446" s="62">
        <v>1E-3</v>
      </c>
    </row>
    <row r="447" spans="2:5" ht="15" customHeight="1">
      <c r="B447" s="125"/>
      <c r="C447" s="60" t="s">
        <v>161</v>
      </c>
      <c r="D447" s="61">
        <v>4</v>
      </c>
      <c r="E447" s="62">
        <v>1E-3</v>
      </c>
    </row>
    <row r="448" spans="2:5" ht="15" customHeight="1">
      <c r="B448" s="125"/>
      <c r="C448" s="60" t="s">
        <v>232</v>
      </c>
      <c r="D448" s="61">
        <v>2</v>
      </c>
      <c r="E448" s="62">
        <v>0</v>
      </c>
    </row>
    <row r="449" spans="2:5" ht="15" customHeight="1">
      <c r="B449" s="125"/>
      <c r="C449" s="60" t="s">
        <v>234</v>
      </c>
      <c r="D449" s="61">
        <v>1</v>
      </c>
      <c r="E449" s="62">
        <v>0</v>
      </c>
    </row>
    <row r="450" spans="2:5" ht="15" customHeight="1">
      <c r="B450" s="125"/>
      <c r="C450" s="60" t="s">
        <v>165</v>
      </c>
      <c r="D450" s="61">
        <v>11</v>
      </c>
      <c r="E450" s="62">
        <v>2E-3</v>
      </c>
    </row>
    <row r="451" spans="2:5" ht="15" customHeight="1">
      <c r="B451" s="125"/>
      <c r="C451" s="60" t="s">
        <v>167</v>
      </c>
      <c r="D451" s="61">
        <v>3</v>
      </c>
      <c r="E451" s="62">
        <v>1E-3</v>
      </c>
    </row>
    <row r="452" spans="2:5" ht="15" customHeight="1">
      <c r="B452" s="125"/>
      <c r="C452" s="60" t="s">
        <v>168</v>
      </c>
      <c r="D452" s="61">
        <v>13</v>
      </c>
      <c r="E452" s="62">
        <v>3.0000000000000001E-3</v>
      </c>
    </row>
    <row r="453" spans="2:5" ht="15" customHeight="1">
      <c r="B453" s="125"/>
      <c r="C453" s="60" t="s">
        <v>174</v>
      </c>
      <c r="D453" s="61">
        <v>2</v>
      </c>
      <c r="E453" s="62">
        <v>0</v>
      </c>
    </row>
    <row r="454" spans="2:5" ht="15" customHeight="1">
      <c r="B454" s="126"/>
      <c r="C454" s="91" t="s">
        <v>29</v>
      </c>
      <c r="D454" s="65">
        <v>43</v>
      </c>
      <c r="E454" s="66">
        <v>8.9999999999999993E-3</v>
      </c>
    </row>
    <row r="455" spans="2:5" ht="15" customHeight="1">
      <c r="B455" s="124" t="s">
        <v>46</v>
      </c>
      <c r="C455" s="60" t="s">
        <v>154</v>
      </c>
      <c r="D455" s="61">
        <v>10</v>
      </c>
      <c r="E455" s="62">
        <v>2E-3</v>
      </c>
    </row>
    <row r="456" spans="2:5" ht="15" customHeight="1">
      <c r="B456" s="125"/>
      <c r="C456" s="60" t="s">
        <v>226</v>
      </c>
      <c r="D456" s="61">
        <v>2</v>
      </c>
      <c r="E456" s="62">
        <v>0</v>
      </c>
    </row>
    <row r="457" spans="2:5" ht="15" customHeight="1">
      <c r="B457" s="125"/>
      <c r="C457" s="60" t="s">
        <v>227</v>
      </c>
      <c r="D457" s="61">
        <v>7</v>
      </c>
      <c r="E457" s="62">
        <v>2E-3</v>
      </c>
    </row>
    <row r="458" spans="2:5" ht="15" customHeight="1">
      <c r="B458" s="125"/>
      <c r="C458" s="60" t="s">
        <v>228</v>
      </c>
      <c r="D458" s="61">
        <v>7</v>
      </c>
      <c r="E458" s="62">
        <v>2E-3</v>
      </c>
    </row>
    <row r="459" spans="2:5" ht="15" customHeight="1">
      <c r="B459" s="125"/>
      <c r="C459" s="60" t="s">
        <v>229</v>
      </c>
      <c r="D459" s="61">
        <v>4</v>
      </c>
      <c r="E459" s="62">
        <v>1E-3</v>
      </c>
    </row>
    <row r="460" spans="2:5" ht="15" customHeight="1">
      <c r="B460" s="125"/>
      <c r="C460" s="60" t="s">
        <v>230</v>
      </c>
      <c r="D460" s="61">
        <v>7</v>
      </c>
      <c r="E460" s="62">
        <v>2E-3</v>
      </c>
    </row>
    <row r="461" spans="2:5" ht="15" customHeight="1">
      <c r="B461" s="125"/>
      <c r="C461" s="60" t="s">
        <v>231</v>
      </c>
      <c r="D461" s="61">
        <v>24</v>
      </c>
      <c r="E461" s="62">
        <v>5.0000000000000001E-3</v>
      </c>
    </row>
    <row r="462" spans="2:5" ht="15" customHeight="1">
      <c r="B462" s="125"/>
      <c r="C462" s="60" t="s">
        <v>161</v>
      </c>
      <c r="D462" s="61">
        <v>56</v>
      </c>
      <c r="E462" s="62">
        <v>1.2E-2</v>
      </c>
    </row>
    <row r="463" spans="2:5" ht="15" customHeight="1">
      <c r="B463" s="125"/>
      <c r="C463" s="60" t="s">
        <v>232</v>
      </c>
      <c r="D463" s="61">
        <v>2</v>
      </c>
      <c r="E463" s="62">
        <v>0</v>
      </c>
    </row>
    <row r="464" spans="2:5" ht="15" customHeight="1">
      <c r="B464" s="125"/>
      <c r="C464" s="60" t="s">
        <v>233</v>
      </c>
      <c r="D464" s="61">
        <v>9</v>
      </c>
      <c r="E464" s="62">
        <v>2E-3</v>
      </c>
    </row>
    <row r="465" spans="2:5" ht="15" customHeight="1">
      <c r="B465" s="125"/>
      <c r="C465" s="60" t="s">
        <v>234</v>
      </c>
      <c r="D465" s="61">
        <v>29</v>
      </c>
      <c r="E465" s="62">
        <v>6.0000000000000001E-3</v>
      </c>
    </row>
    <row r="466" spans="2:5" ht="15" customHeight="1">
      <c r="B466" s="125"/>
      <c r="C466" s="60" t="s">
        <v>165</v>
      </c>
      <c r="D466" s="61">
        <v>265</v>
      </c>
      <c r="E466" s="62">
        <v>5.8000000000000003E-2</v>
      </c>
    </row>
    <row r="467" spans="2:5" ht="15" customHeight="1">
      <c r="B467" s="125"/>
      <c r="C467" s="60" t="s">
        <v>167</v>
      </c>
      <c r="D467" s="61">
        <v>32</v>
      </c>
      <c r="E467" s="62">
        <v>7.0000000000000001E-3</v>
      </c>
    </row>
    <row r="468" spans="2:5" ht="15" customHeight="1">
      <c r="B468" s="125"/>
      <c r="C468" s="60" t="s">
        <v>168</v>
      </c>
      <c r="D468" s="61">
        <v>170</v>
      </c>
      <c r="E468" s="62">
        <v>3.7999999999999999E-2</v>
      </c>
    </row>
    <row r="469" spans="2:5" ht="15" customHeight="1">
      <c r="B469" s="125"/>
      <c r="C469" s="60" t="s">
        <v>236</v>
      </c>
      <c r="D469" s="61">
        <v>2</v>
      </c>
      <c r="E469" s="62">
        <v>0</v>
      </c>
    </row>
    <row r="470" spans="2:5" ht="15" customHeight="1">
      <c r="B470" s="125"/>
      <c r="C470" s="60" t="s">
        <v>173</v>
      </c>
      <c r="D470" s="61">
        <v>11</v>
      </c>
      <c r="E470" s="62">
        <v>2E-3</v>
      </c>
    </row>
    <row r="471" spans="2:5" ht="15" customHeight="1">
      <c r="B471" s="125"/>
      <c r="C471" s="60" t="s">
        <v>174</v>
      </c>
      <c r="D471" s="61">
        <v>22</v>
      </c>
      <c r="E471" s="62">
        <v>5.0000000000000001E-3</v>
      </c>
    </row>
    <row r="472" spans="2:5" ht="15" customHeight="1">
      <c r="B472" s="126"/>
      <c r="C472" s="91" t="s">
        <v>29</v>
      </c>
      <c r="D472" s="65">
        <v>659</v>
      </c>
      <c r="E472" s="66">
        <v>0.14499999999999999</v>
      </c>
    </row>
    <row r="473" spans="2:5" ht="15" customHeight="1">
      <c r="B473" s="124" t="s">
        <v>79</v>
      </c>
      <c r="C473" s="60" t="s">
        <v>154</v>
      </c>
      <c r="D473" s="61">
        <v>1</v>
      </c>
      <c r="E473" s="62">
        <v>0</v>
      </c>
    </row>
    <row r="474" spans="2:5" ht="15" customHeight="1">
      <c r="B474" s="125"/>
      <c r="C474" s="60" t="s">
        <v>228</v>
      </c>
      <c r="D474" s="61">
        <v>1</v>
      </c>
      <c r="E474" s="62">
        <v>0</v>
      </c>
    </row>
    <row r="475" spans="2:5" ht="15" customHeight="1">
      <c r="B475" s="125"/>
      <c r="C475" s="60" t="s">
        <v>231</v>
      </c>
      <c r="D475" s="61">
        <v>1</v>
      </c>
      <c r="E475" s="62">
        <v>0</v>
      </c>
    </row>
    <row r="476" spans="2:5" ht="15" customHeight="1">
      <c r="B476" s="125"/>
      <c r="C476" s="60" t="s">
        <v>161</v>
      </c>
      <c r="D476" s="61">
        <v>2</v>
      </c>
      <c r="E476" s="62">
        <v>0</v>
      </c>
    </row>
    <row r="477" spans="2:5" ht="15" customHeight="1">
      <c r="B477" s="125"/>
      <c r="C477" s="60" t="s">
        <v>233</v>
      </c>
      <c r="D477" s="61">
        <v>2</v>
      </c>
      <c r="E477" s="62">
        <v>0</v>
      </c>
    </row>
    <row r="478" spans="2:5" ht="15" customHeight="1">
      <c r="B478" s="125"/>
      <c r="C478" s="60" t="s">
        <v>234</v>
      </c>
      <c r="D478" s="61">
        <v>3</v>
      </c>
      <c r="E478" s="62">
        <v>1E-3</v>
      </c>
    </row>
    <row r="479" spans="2:5" ht="15" customHeight="1">
      <c r="B479" s="125"/>
      <c r="C479" s="60" t="s">
        <v>165</v>
      </c>
      <c r="D479" s="61">
        <v>11</v>
      </c>
      <c r="E479" s="62">
        <v>2E-3</v>
      </c>
    </row>
    <row r="480" spans="2:5" ht="15" customHeight="1">
      <c r="B480" s="125"/>
      <c r="C480" s="60" t="s">
        <v>166</v>
      </c>
      <c r="D480" s="61">
        <v>1</v>
      </c>
      <c r="E480" s="62">
        <v>0</v>
      </c>
    </row>
    <row r="481" spans="2:5" ht="15" customHeight="1">
      <c r="B481" s="125"/>
      <c r="C481" s="60" t="s">
        <v>167</v>
      </c>
      <c r="D481" s="61">
        <v>1</v>
      </c>
      <c r="E481" s="62">
        <v>0</v>
      </c>
    </row>
    <row r="482" spans="2:5" ht="15" customHeight="1">
      <c r="B482" s="125"/>
      <c r="C482" s="60" t="s">
        <v>168</v>
      </c>
      <c r="D482" s="61">
        <v>8</v>
      </c>
      <c r="E482" s="62">
        <v>2E-3</v>
      </c>
    </row>
    <row r="483" spans="2:5" ht="15" customHeight="1">
      <c r="B483" s="125"/>
      <c r="C483" s="60" t="s">
        <v>173</v>
      </c>
      <c r="D483" s="61">
        <v>1</v>
      </c>
      <c r="E483" s="62">
        <v>0</v>
      </c>
    </row>
    <row r="484" spans="2:5" ht="15" customHeight="1">
      <c r="B484" s="125"/>
      <c r="C484" s="60" t="s">
        <v>174</v>
      </c>
      <c r="D484" s="61">
        <v>1</v>
      </c>
      <c r="E484" s="62">
        <v>0</v>
      </c>
    </row>
    <row r="485" spans="2:5" ht="15" customHeight="1">
      <c r="B485" s="126"/>
      <c r="C485" s="91" t="s">
        <v>29</v>
      </c>
      <c r="D485" s="65">
        <v>33</v>
      </c>
      <c r="E485" s="66">
        <v>7.0000000000000001E-3</v>
      </c>
    </row>
    <row r="486" spans="2:5" ht="15" customHeight="1">
      <c r="B486" s="124" t="s">
        <v>70</v>
      </c>
      <c r="C486" s="60" t="s">
        <v>154</v>
      </c>
      <c r="D486" s="61">
        <v>2</v>
      </c>
      <c r="E486" s="62">
        <v>0</v>
      </c>
    </row>
    <row r="487" spans="2:5" ht="15" customHeight="1">
      <c r="B487" s="125"/>
      <c r="C487" s="60" t="s">
        <v>227</v>
      </c>
      <c r="D487" s="61">
        <v>1</v>
      </c>
      <c r="E487" s="62">
        <v>0</v>
      </c>
    </row>
    <row r="488" spans="2:5" ht="15" customHeight="1">
      <c r="B488" s="125"/>
      <c r="C488" s="60" t="s">
        <v>229</v>
      </c>
      <c r="D488" s="61">
        <v>1</v>
      </c>
      <c r="E488" s="62">
        <v>0</v>
      </c>
    </row>
    <row r="489" spans="2:5" ht="15" customHeight="1">
      <c r="B489" s="125"/>
      <c r="C489" s="60" t="s">
        <v>230</v>
      </c>
      <c r="D489" s="61">
        <v>1</v>
      </c>
      <c r="E489" s="62">
        <v>0</v>
      </c>
    </row>
    <row r="490" spans="2:5" ht="15" customHeight="1">
      <c r="B490" s="125"/>
      <c r="C490" s="60" t="s">
        <v>161</v>
      </c>
      <c r="D490" s="61">
        <v>7</v>
      </c>
      <c r="E490" s="62">
        <v>2E-3</v>
      </c>
    </row>
    <row r="491" spans="2:5" ht="15" customHeight="1">
      <c r="B491" s="125"/>
      <c r="C491" s="60" t="s">
        <v>234</v>
      </c>
      <c r="D491" s="61">
        <v>3</v>
      </c>
      <c r="E491" s="62">
        <v>1E-3</v>
      </c>
    </row>
    <row r="492" spans="2:5" ht="15" customHeight="1">
      <c r="B492" s="125"/>
      <c r="C492" s="60" t="s">
        <v>165</v>
      </c>
      <c r="D492" s="61">
        <v>12</v>
      </c>
      <c r="E492" s="62">
        <v>3.0000000000000001E-3</v>
      </c>
    </row>
    <row r="493" spans="2:5" ht="15" customHeight="1">
      <c r="B493" s="125"/>
      <c r="C493" s="60" t="s">
        <v>166</v>
      </c>
      <c r="D493" s="61">
        <v>3</v>
      </c>
      <c r="E493" s="62">
        <v>1E-3</v>
      </c>
    </row>
    <row r="494" spans="2:5" ht="15" customHeight="1">
      <c r="B494" s="125"/>
      <c r="C494" s="60" t="s">
        <v>168</v>
      </c>
      <c r="D494" s="61">
        <v>16</v>
      </c>
      <c r="E494" s="62">
        <v>4.0000000000000001E-3</v>
      </c>
    </row>
    <row r="495" spans="2:5" ht="15" customHeight="1">
      <c r="B495" s="125"/>
      <c r="C495" s="60" t="s">
        <v>235</v>
      </c>
      <c r="D495" s="61">
        <v>1</v>
      </c>
      <c r="E495" s="62">
        <v>0</v>
      </c>
    </row>
    <row r="496" spans="2:5" ht="15" customHeight="1">
      <c r="B496" s="125"/>
      <c r="C496" s="60" t="s">
        <v>174</v>
      </c>
      <c r="D496" s="61">
        <v>4</v>
      </c>
      <c r="E496" s="62">
        <v>1E-3</v>
      </c>
    </row>
    <row r="497" spans="2:5" ht="15" customHeight="1">
      <c r="B497" s="126"/>
      <c r="C497" s="91" t="s">
        <v>29</v>
      </c>
      <c r="D497" s="65">
        <v>51</v>
      </c>
      <c r="E497" s="66">
        <v>1.0999999999999999E-2</v>
      </c>
    </row>
    <row r="498" spans="2:5" ht="15" customHeight="1">
      <c r="B498" s="124" t="s">
        <v>80</v>
      </c>
      <c r="C498" s="60" t="s">
        <v>228</v>
      </c>
      <c r="D498" s="61">
        <v>1</v>
      </c>
      <c r="E498" s="62">
        <v>0</v>
      </c>
    </row>
    <row r="499" spans="2:5" ht="15" customHeight="1">
      <c r="B499" s="125"/>
      <c r="C499" s="60" t="s">
        <v>231</v>
      </c>
      <c r="D499" s="61">
        <v>1</v>
      </c>
      <c r="E499" s="62">
        <v>0</v>
      </c>
    </row>
    <row r="500" spans="2:5" ht="15" customHeight="1">
      <c r="B500" s="125"/>
      <c r="C500" s="60" t="s">
        <v>161</v>
      </c>
      <c r="D500" s="61">
        <v>1</v>
      </c>
      <c r="E500" s="62">
        <v>0</v>
      </c>
    </row>
    <row r="501" spans="2:5" ht="15" customHeight="1">
      <c r="B501" s="125"/>
      <c r="C501" s="60" t="s">
        <v>233</v>
      </c>
      <c r="D501" s="61">
        <v>1</v>
      </c>
      <c r="E501" s="62">
        <v>0</v>
      </c>
    </row>
    <row r="502" spans="2:5" ht="15" customHeight="1">
      <c r="B502" s="125"/>
      <c r="C502" s="60" t="s">
        <v>234</v>
      </c>
      <c r="D502" s="61">
        <v>2</v>
      </c>
      <c r="E502" s="62">
        <v>0</v>
      </c>
    </row>
    <row r="503" spans="2:5" ht="15" customHeight="1">
      <c r="B503" s="125"/>
      <c r="C503" s="60" t="s">
        <v>165</v>
      </c>
      <c r="D503" s="61">
        <v>15</v>
      </c>
      <c r="E503" s="62">
        <v>3.0000000000000001E-3</v>
      </c>
    </row>
    <row r="504" spans="2:5" ht="15" customHeight="1">
      <c r="B504" s="125"/>
      <c r="C504" s="60" t="s">
        <v>167</v>
      </c>
      <c r="D504" s="61">
        <v>1</v>
      </c>
      <c r="E504" s="62">
        <v>0</v>
      </c>
    </row>
    <row r="505" spans="2:5" ht="15" customHeight="1">
      <c r="B505" s="125"/>
      <c r="C505" s="60" t="s">
        <v>168</v>
      </c>
      <c r="D505" s="61">
        <v>9</v>
      </c>
      <c r="E505" s="62">
        <v>2E-3</v>
      </c>
    </row>
    <row r="506" spans="2:5" ht="15" customHeight="1">
      <c r="B506" s="125"/>
      <c r="C506" s="60" t="s">
        <v>174</v>
      </c>
      <c r="D506" s="61">
        <v>3</v>
      </c>
      <c r="E506" s="62">
        <v>1E-3</v>
      </c>
    </row>
    <row r="507" spans="2:5" ht="15" customHeight="1">
      <c r="B507" s="126"/>
      <c r="C507" s="91" t="s">
        <v>29</v>
      </c>
      <c r="D507" s="65">
        <v>34</v>
      </c>
      <c r="E507" s="66">
        <v>8.0000000000000002E-3</v>
      </c>
    </row>
    <row r="508" spans="2:5" ht="15" customHeight="1">
      <c r="B508" s="124" t="s">
        <v>69</v>
      </c>
      <c r="C508" s="60" t="s">
        <v>154</v>
      </c>
      <c r="D508" s="61">
        <v>1</v>
      </c>
      <c r="E508" s="62">
        <v>0</v>
      </c>
    </row>
    <row r="509" spans="2:5" ht="15" customHeight="1">
      <c r="B509" s="125"/>
      <c r="C509" s="60" t="s">
        <v>228</v>
      </c>
      <c r="D509" s="61">
        <v>2</v>
      </c>
      <c r="E509" s="62">
        <v>0</v>
      </c>
    </row>
    <row r="510" spans="2:5" ht="15" customHeight="1">
      <c r="B510" s="125"/>
      <c r="C510" s="60" t="s">
        <v>230</v>
      </c>
      <c r="D510" s="61">
        <v>1</v>
      </c>
      <c r="E510" s="62">
        <v>0</v>
      </c>
    </row>
    <row r="511" spans="2:5" ht="15" customHeight="1">
      <c r="B511" s="125"/>
      <c r="C511" s="60" t="s">
        <v>231</v>
      </c>
      <c r="D511" s="61">
        <v>2</v>
      </c>
      <c r="E511" s="62">
        <v>0</v>
      </c>
    </row>
    <row r="512" spans="2:5" ht="15" customHeight="1">
      <c r="B512" s="125"/>
      <c r="C512" s="60" t="s">
        <v>161</v>
      </c>
      <c r="D512" s="61">
        <v>1</v>
      </c>
      <c r="E512" s="62">
        <v>0</v>
      </c>
    </row>
    <row r="513" spans="2:5" ht="15" customHeight="1">
      <c r="B513" s="125"/>
      <c r="C513" s="60" t="s">
        <v>232</v>
      </c>
      <c r="D513" s="61">
        <v>1</v>
      </c>
      <c r="E513" s="62">
        <v>0</v>
      </c>
    </row>
    <row r="514" spans="2:5" ht="15" customHeight="1">
      <c r="B514" s="125"/>
      <c r="C514" s="60" t="s">
        <v>233</v>
      </c>
      <c r="D514" s="61">
        <v>1</v>
      </c>
      <c r="E514" s="62">
        <v>0</v>
      </c>
    </row>
    <row r="515" spans="2:5" ht="15" customHeight="1">
      <c r="B515" s="125"/>
      <c r="C515" s="60" t="s">
        <v>234</v>
      </c>
      <c r="D515" s="61">
        <v>5</v>
      </c>
      <c r="E515" s="62">
        <v>1E-3</v>
      </c>
    </row>
    <row r="516" spans="2:5" ht="15" customHeight="1">
      <c r="B516" s="125"/>
      <c r="C516" s="60" t="s">
        <v>165</v>
      </c>
      <c r="D516" s="61">
        <v>15</v>
      </c>
      <c r="E516" s="62">
        <v>3.0000000000000001E-3</v>
      </c>
    </row>
    <row r="517" spans="2:5" ht="15" customHeight="1">
      <c r="B517" s="125"/>
      <c r="C517" s="60" t="s">
        <v>167</v>
      </c>
      <c r="D517" s="61">
        <v>2</v>
      </c>
      <c r="E517" s="62">
        <v>0</v>
      </c>
    </row>
    <row r="518" spans="2:5" ht="15" customHeight="1">
      <c r="B518" s="125"/>
      <c r="C518" s="60" t="s">
        <v>168</v>
      </c>
      <c r="D518" s="61">
        <v>16</v>
      </c>
      <c r="E518" s="62">
        <v>4.0000000000000001E-3</v>
      </c>
    </row>
    <row r="519" spans="2:5" ht="15" customHeight="1">
      <c r="B519" s="125"/>
      <c r="C519" s="60" t="s">
        <v>174</v>
      </c>
      <c r="D519" s="61">
        <v>3</v>
      </c>
      <c r="E519" s="62">
        <v>1E-3</v>
      </c>
    </row>
    <row r="520" spans="2:5" ht="15" customHeight="1">
      <c r="B520" s="126"/>
      <c r="C520" s="91" t="s">
        <v>29</v>
      </c>
      <c r="D520" s="65">
        <v>50</v>
      </c>
      <c r="E520" s="66">
        <v>1.0999999999999999E-2</v>
      </c>
    </row>
    <row r="521" spans="2:5" ht="15" customHeight="1">
      <c r="B521" s="124" t="s">
        <v>77</v>
      </c>
      <c r="C521" s="60" t="s">
        <v>154</v>
      </c>
      <c r="D521" s="61">
        <v>1</v>
      </c>
      <c r="E521" s="62">
        <v>0</v>
      </c>
    </row>
    <row r="522" spans="2:5" ht="15" customHeight="1">
      <c r="B522" s="125"/>
      <c r="C522" s="60" t="s">
        <v>227</v>
      </c>
      <c r="D522" s="61">
        <v>1</v>
      </c>
      <c r="E522" s="62">
        <v>0</v>
      </c>
    </row>
    <row r="523" spans="2:5" ht="15" customHeight="1">
      <c r="B523" s="125"/>
      <c r="C523" s="60" t="s">
        <v>228</v>
      </c>
      <c r="D523" s="61">
        <v>2</v>
      </c>
      <c r="E523" s="62">
        <v>0</v>
      </c>
    </row>
    <row r="524" spans="2:5" ht="15" customHeight="1">
      <c r="B524" s="125"/>
      <c r="C524" s="60" t="s">
        <v>231</v>
      </c>
      <c r="D524" s="61">
        <v>4</v>
      </c>
      <c r="E524" s="62">
        <v>1E-3</v>
      </c>
    </row>
    <row r="525" spans="2:5" ht="15" customHeight="1">
      <c r="B525" s="125"/>
      <c r="C525" s="60" t="s">
        <v>161</v>
      </c>
      <c r="D525" s="61">
        <v>1</v>
      </c>
      <c r="E525" s="62">
        <v>0</v>
      </c>
    </row>
    <row r="526" spans="2:5" ht="15" customHeight="1">
      <c r="B526" s="125"/>
      <c r="C526" s="60" t="s">
        <v>234</v>
      </c>
      <c r="D526" s="61">
        <v>5</v>
      </c>
      <c r="E526" s="62">
        <v>1E-3</v>
      </c>
    </row>
    <row r="527" spans="2:5" ht="15" customHeight="1">
      <c r="B527" s="125"/>
      <c r="C527" s="60" t="s">
        <v>165</v>
      </c>
      <c r="D527" s="61">
        <v>7</v>
      </c>
      <c r="E527" s="62">
        <v>2E-3</v>
      </c>
    </row>
    <row r="528" spans="2:5" ht="15" customHeight="1">
      <c r="B528" s="125"/>
      <c r="C528" s="60" t="s">
        <v>166</v>
      </c>
      <c r="D528" s="61">
        <v>2</v>
      </c>
      <c r="E528" s="62">
        <v>0</v>
      </c>
    </row>
    <row r="529" spans="2:5" ht="15" customHeight="1">
      <c r="B529" s="125"/>
      <c r="C529" s="60" t="s">
        <v>167</v>
      </c>
      <c r="D529" s="61">
        <v>1</v>
      </c>
      <c r="E529" s="62">
        <v>0</v>
      </c>
    </row>
    <row r="530" spans="2:5" ht="15" customHeight="1">
      <c r="B530" s="125"/>
      <c r="C530" s="60" t="s">
        <v>168</v>
      </c>
      <c r="D530" s="61">
        <v>13</v>
      </c>
      <c r="E530" s="62">
        <v>3.0000000000000001E-3</v>
      </c>
    </row>
    <row r="531" spans="2:5" ht="15" customHeight="1">
      <c r="B531" s="125"/>
      <c r="C531" s="60" t="s">
        <v>173</v>
      </c>
      <c r="D531" s="61">
        <v>3</v>
      </c>
      <c r="E531" s="62">
        <v>1E-3</v>
      </c>
    </row>
    <row r="532" spans="2:5" ht="15" customHeight="1">
      <c r="B532" s="125"/>
      <c r="C532" s="60" t="s">
        <v>174</v>
      </c>
      <c r="D532" s="61">
        <v>2</v>
      </c>
      <c r="E532" s="62">
        <v>0</v>
      </c>
    </row>
    <row r="533" spans="2:5" ht="15" customHeight="1">
      <c r="B533" s="126"/>
      <c r="C533" s="91" t="s">
        <v>29</v>
      </c>
      <c r="D533" s="65">
        <v>42</v>
      </c>
      <c r="E533" s="66">
        <v>8.9999999999999993E-3</v>
      </c>
    </row>
    <row r="534" spans="2:5" ht="15" customHeight="1">
      <c r="B534" s="124" t="s">
        <v>83</v>
      </c>
      <c r="C534" s="60" t="s">
        <v>154</v>
      </c>
      <c r="D534" s="61">
        <v>1</v>
      </c>
      <c r="E534" s="62">
        <v>0</v>
      </c>
    </row>
    <row r="535" spans="2:5" ht="15" customHeight="1">
      <c r="B535" s="125"/>
      <c r="C535" s="60" t="s">
        <v>165</v>
      </c>
      <c r="D535" s="61">
        <v>5</v>
      </c>
      <c r="E535" s="62">
        <v>1E-3</v>
      </c>
    </row>
    <row r="536" spans="2:5" ht="15" customHeight="1">
      <c r="B536" s="125"/>
      <c r="C536" s="60" t="s">
        <v>167</v>
      </c>
      <c r="D536" s="61">
        <v>3</v>
      </c>
      <c r="E536" s="62">
        <v>1E-3</v>
      </c>
    </row>
    <row r="537" spans="2:5" ht="15" customHeight="1">
      <c r="B537" s="125"/>
      <c r="C537" s="60" t="s">
        <v>168</v>
      </c>
      <c r="D537" s="61">
        <v>2</v>
      </c>
      <c r="E537" s="62">
        <v>0</v>
      </c>
    </row>
    <row r="538" spans="2:5" ht="15" customHeight="1">
      <c r="B538" s="125"/>
      <c r="C538" s="60" t="s">
        <v>174</v>
      </c>
      <c r="D538" s="61">
        <v>3</v>
      </c>
      <c r="E538" s="62">
        <v>1E-3</v>
      </c>
    </row>
    <row r="539" spans="2:5" ht="15" customHeight="1">
      <c r="B539" s="126"/>
      <c r="C539" s="91" t="s">
        <v>29</v>
      </c>
      <c r="D539" s="65">
        <v>14</v>
      </c>
      <c r="E539" s="66">
        <v>3.0000000000000001E-3</v>
      </c>
    </row>
    <row r="540" spans="2:5" ht="15" customHeight="1">
      <c r="B540" s="124" t="s">
        <v>71</v>
      </c>
      <c r="C540" s="60" t="s">
        <v>228</v>
      </c>
      <c r="D540" s="61">
        <v>1</v>
      </c>
      <c r="E540" s="62">
        <v>0</v>
      </c>
    </row>
    <row r="541" spans="2:5" ht="15" customHeight="1">
      <c r="B541" s="125"/>
      <c r="C541" s="60" t="s">
        <v>231</v>
      </c>
      <c r="D541" s="61">
        <v>4</v>
      </c>
      <c r="E541" s="62">
        <v>1E-3</v>
      </c>
    </row>
    <row r="542" spans="2:5" ht="15" customHeight="1">
      <c r="B542" s="125"/>
      <c r="C542" s="60" t="s">
        <v>161</v>
      </c>
      <c r="D542" s="61">
        <v>10</v>
      </c>
      <c r="E542" s="62">
        <v>2E-3</v>
      </c>
    </row>
    <row r="543" spans="2:5" ht="15" customHeight="1">
      <c r="B543" s="125"/>
      <c r="C543" s="60" t="s">
        <v>234</v>
      </c>
      <c r="D543" s="61">
        <v>2</v>
      </c>
      <c r="E543" s="62">
        <v>0</v>
      </c>
    </row>
    <row r="544" spans="2:5" ht="15" customHeight="1">
      <c r="B544" s="125"/>
      <c r="C544" s="60" t="s">
        <v>165</v>
      </c>
      <c r="D544" s="61">
        <v>14</v>
      </c>
      <c r="E544" s="62">
        <v>3.0000000000000001E-3</v>
      </c>
    </row>
    <row r="545" spans="2:5" ht="15" customHeight="1">
      <c r="B545" s="125"/>
      <c r="C545" s="60" t="s">
        <v>167</v>
      </c>
      <c r="D545" s="61">
        <v>3</v>
      </c>
      <c r="E545" s="62">
        <v>1E-3</v>
      </c>
    </row>
    <row r="546" spans="2:5" ht="15" customHeight="1">
      <c r="B546" s="125"/>
      <c r="C546" s="60" t="s">
        <v>168</v>
      </c>
      <c r="D546" s="61">
        <v>8</v>
      </c>
      <c r="E546" s="62">
        <v>2E-3</v>
      </c>
    </row>
    <row r="547" spans="2:5" ht="15" customHeight="1">
      <c r="B547" s="125"/>
      <c r="C547" s="60" t="s">
        <v>174</v>
      </c>
      <c r="D547" s="61">
        <v>1</v>
      </c>
      <c r="E547" s="62">
        <v>0</v>
      </c>
    </row>
    <row r="548" spans="2:5" ht="15" customHeight="1">
      <c r="B548" s="126"/>
      <c r="C548" s="91" t="s">
        <v>29</v>
      </c>
      <c r="D548" s="65">
        <v>43</v>
      </c>
      <c r="E548" s="66">
        <v>8.9999999999999993E-3</v>
      </c>
    </row>
    <row r="549" spans="2:5" ht="15" customHeight="1">
      <c r="B549" s="124" t="s">
        <v>72</v>
      </c>
      <c r="C549" s="60" t="s">
        <v>154</v>
      </c>
      <c r="D549" s="61">
        <v>1</v>
      </c>
      <c r="E549" s="62">
        <v>0</v>
      </c>
    </row>
    <row r="550" spans="2:5" ht="15" customHeight="1">
      <c r="B550" s="125"/>
      <c r="C550" s="60" t="s">
        <v>226</v>
      </c>
      <c r="D550" s="61">
        <v>2</v>
      </c>
      <c r="E550" s="62">
        <v>0</v>
      </c>
    </row>
    <row r="551" spans="2:5" ht="15" customHeight="1">
      <c r="B551" s="125"/>
      <c r="C551" s="60" t="s">
        <v>228</v>
      </c>
      <c r="D551" s="61">
        <v>1</v>
      </c>
      <c r="E551" s="62">
        <v>0</v>
      </c>
    </row>
    <row r="552" spans="2:5" ht="15" customHeight="1">
      <c r="B552" s="125"/>
      <c r="C552" s="60" t="s">
        <v>230</v>
      </c>
      <c r="D552" s="61">
        <v>2</v>
      </c>
      <c r="E552" s="62">
        <v>0</v>
      </c>
    </row>
    <row r="553" spans="2:5" ht="15" customHeight="1">
      <c r="B553" s="125"/>
      <c r="C553" s="60" t="s">
        <v>231</v>
      </c>
      <c r="D553" s="61">
        <v>5</v>
      </c>
      <c r="E553" s="62">
        <v>1E-3</v>
      </c>
    </row>
    <row r="554" spans="2:5" ht="15" customHeight="1">
      <c r="B554" s="125"/>
      <c r="C554" s="60" t="s">
        <v>161</v>
      </c>
      <c r="D554" s="61">
        <v>5</v>
      </c>
      <c r="E554" s="62">
        <v>1E-3</v>
      </c>
    </row>
    <row r="555" spans="2:5" ht="15" customHeight="1">
      <c r="B555" s="125"/>
      <c r="C555" s="60" t="s">
        <v>233</v>
      </c>
      <c r="D555" s="61">
        <v>1</v>
      </c>
      <c r="E555" s="62">
        <v>0</v>
      </c>
    </row>
    <row r="556" spans="2:5" ht="15" customHeight="1">
      <c r="B556" s="125"/>
      <c r="C556" s="60" t="s">
        <v>234</v>
      </c>
      <c r="D556" s="61">
        <v>1</v>
      </c>
      <c r="E556" s="62">
        <v>0</v>
      </c>
    </row>
    <row r="557" spans="2:5" ht="15" customHeight="1">
      <c r="B557" s="125"/>
      <c r="C557" s="60" t="s">
        <v>165</v>
      </c>
      <c r="D557" s="61">
        <v>15</v>
      </c>
      <c r="E557" s="62">
        <v>3.0000000000000001E-3</v>
      </c>
    </row>
    <row r="558" spans="2:5" ht="15" customHeight="1">
      <c r="B558" s="125"/>
      <c r="C558" s="60" t="s">
        <v>166</v>
      </c>
      <c r="D558" s="61">
        <v>3</v>
      </c>
      <c r="E558" s="62">
        <v>1E-3</v>
      </c>
    </row>
    <row r="559" spans="2:5" ht="15" customHeight="1">
      <c r="B559" s="125"/>
      <c r="C559" s="60" t="s">
        <v>167</v>
      </c>
      <c r="D559" s="61">
        <v>7</v>
      </c>
      <c r="E559" s="62">
        <v>2E-3</v>
      </c>
    </row>
    <row r="560" spans="2:5" ht="15" customHeight="1">
      <c r="B560" s="125"/>
      <c r="C560" s="60" t="s">
        <v>168</v>
      </c>
      <c r="D560" s="61">
        <v>11</v>
      </c>
      <c r="E560" s="62">
        <v>2E-3</v>
      </c>
    </row>
    <row r="561" spans="2:5" ht="15" customHeight="1">
      <c r="B561" s="125"/>
      <c r="C561" s="60" t="s">
        <v>235</v>
      </c>
      <c r="D561" s="61">
        <v>1</v>
      </c>
      <c r="E561" s="62">
        <v>0</v>
      </c>
    </row>
    <row r="562" spans="2:5" ht="15" customHeight="1">
      <c r="B562" s="125"/>
      <c r="C562" s="60" t="s">
        <v>174</v>
      </c>
      <c r="D562" s="61">
        <v>4</v>
      </c>
      <c r="E562" s="62">
        <v>1E-3</v>
      </c>
    </row>
    <row r="563" spans="2:5" ht="15" customHeight="1">
      <c r="B563" s="125"/>
      <c r="C563" s="60" t="s">
        <v>175</v>
      </c>
      <c r="D563" s="61">
        <v>1</v>
      </c>
      <c r="E563" s="62">
        <v>0</v>
      </c>
    </row>
    <row r="564" spans="2:5" ht="15" customHeight="1">
      <c r="B564" s="126"/>
      <c r="C564" s="91" t="s">
        <v>29</v>
      </c>
      <c r="D564" s="65">
        <v>60</v>
      </c>
      <c r="E564" s="66">
        <v>1.2999999999999999E-2</v>
      </c>
    </row>
    <row r="565" spans="2:5" ht="15" customHeight="1">
      <c r="B565" s="124" t="s">
        <v>76</v>
      </c>
      <c r="C565" s="60" t="s">
        <v>154</v>
      </c>
      <c r="D565" s="61">
        <v>1</v>
      </c>
      <c r="E565" s="62">
        <v>0</v>
      </c>
    </row>
    <row r="566" spans="2:5" ht="15" customHeight="1">
      <c r="B566" s="125"/>
      <c r="C566" s="60" t="s">
        <v>227</v>
      </c>
      <c r="D566" s="61">
        <v>1</v>
      </c>
      <c r="E566" s="62">
        <v>0</v>
      </c>
    </row>
    <row r="567" spans="2:5" ht="15" customHeight="1">
      <c r="B567" s="125"/>
      <c r="C567" s="60" t="s">
        <v>230</v>
      </c>
      <c r="D567" s="61">
        <v>2</v>
      </c>
      <c r="E567" s="62">
        <v>0</v>
      </c>
    </row>
    <row r="568" spans="2:5" ht="15" customHeight="1">
      <c r="B568" s="125"/>
      <c r="C568" s="60" t="s">
        <v>231</v>
      </c>
      <c r="D568" s="61">
        <v>1</v>
      </c>
      <c r="E568" s="62">
        <v>0</v>
      </c>
    </row>
    <row r="569" spans="2:5" ht="15" customHeight="1">
      <c r="B569" s="125"/>
      <c r="C569" s="60" t="s">
        <v>161</v>
      </c>
      <c r="D569" s="61">
        <v>5</v>
      </c>
      <c r="E569" s="62">
        <v>1E-3</v>
      </c>
    </row>
    <row r="570" spans="2:5" ht="15" customHeight="1">
      <c r="B570" s="125"/>
      <c r="C570" s="60" t="s">
        <v>233</v>
      </c>
      <c r="D570" s="61">
        <v>1</v>
      </c>
      <c r="E570" s="62">
        <v>0</v>
      </c>
    </row>
    <row r="571" spans="2:5" ht="15" customHeight="1">
      <c r="B571" s="125"/>
      <c r="C571" s="60" t="s">
        <v>234</v>
      </c>
      <c r="D571" s="61">
        <v>2</v>
      </c>
      <c r="E571" s="62">
        <v>0</v>
      </c>
    </row>
    <row r="572" spans="2:5" ht="15" customHeight="1">
      <c r="B572" s="125"/>
      <c r="C572" s="60" t="s">
        <v>165</v>
      </c>
      <c r="D572" s="61">
        <v>14</v>
      </c>
      <c r="E572" s="62">
        <v>3.0000000000000001E-3</v>
      </c>
    </row>
    <row r="573" spans="2:5" ht="15" customHeight="1">
      <c r="B573" s="125"/>
      <c r="C573" s="60" t="s">
        <v>166</v>
      </c>
      <c r="D573" s="61">
        <v>2</v>
      </c>
      <c r="E573" s="62">
        <v>0</v>
      </c>
    </row>
    <row r="574" spans="2:5" ht="15" customHeight="1">
      <c r="B574" s="125"/>
      <c r="C574" s="60" t="s">
        <v>167</v>
      </c>
      <c r="D574" s="61">
        <v>1</v>
      </c>
      <c r="E574" s="62">
        <v>0</v>
      </c>
    </row>
    <row r="575" spans="2:5" ht="15" customHeight="1">
      <c r="B575" s="125"/>
      <c r="C575" s="60" t="s">
        <v>168</v>
      </c>
      <c r="D575" s="61">
        <v>8</v>
      </c>
      <c r="E575" s="62">
        <v>2E-3</v>
      </c>
    </row>
    <row r="576" spans="2:5" ht="15" customHeight="1">
      <c r="B576" s="125"/>
      <c r="C576" s="60" t="s">
        <v>236</v>
      </c>
      <c r="D576" s="61">
        <v>1</v>
      </c>
      <c r="E576" s="62">
        <v>0</v>
      </c>
    </row>
    <row r="577" spans="2:5" ht="15" customHeight="1">
      <c r="B577" s="125"/>
      <c r="C577" s="60" t="s">
        <v>174</v>
      </c>
      <c r="D577" s="61">
        <v>1</v>
      </c>
      <c r="E577" s="62">
        <v>0</v>
      </c>
    </row>
    <row r="578" spans="2:5" ht="15" customHeight="1">
      <c r="B578" s="126"/>
      <c r="C578" s="91" t="s">
        <v>29</v>
      </c>
      <c r="D578" s="65">
        <v>40</v>
      </c>
      <c r="E578" s="66">
        <v>8.9999999999999993E-3</v>
      </c>
    </row>
    <row r="579" spans="2:5" ht="15" customHeight="1">
      <c r="B579" s="124" t="s">
        <v>84</v>
      </c>
      <c r="C579" s="60" t="s">
        <v>231</v>
      </c>
      <c r="D579" s="61">
        <v>1</v>
      </c>
      <c r="E579" s="62">
        <v>0</v>
      </c>
    </row>
    <row r="580" spans="2:5" ht="15" customHeight="1">
      <c r="B580" s="125"/>
      <c r="C580" s="60" t="s">
        <v>233</v>
      </c>
      <c r="D580" s="61">
        <v>2</v>
      </c>
      <c r="E580" s="62">
        <v>0</v>
      </c>
    </row>
    <row r="581" spans="2:5" ht="15" customHeight="1">
      <c r="B581" s="125"/>
      <c r="C581" s="60" t="s">
        <v>165</v>
      </c>
      <c r="D581" s="61">
        <v>3</v>
      </c>
      <c r="E581" s="62">
        <v>1E-3</v>
      </c>
    </row>
    <row r="582" spans="2:5" ht="15" customHeight="1">
      <c r="B582" s="125"/>
      <c r="C582" s="60" t="s">
        <v>168</v>
      </c>
      <c r="D582" s="61">
        <v>8</v>
      </c>
      <c r="E582" s="62">
        <v>2E-3</v>
      </c>
    </row>
    <row r="583" spans="2:5" ht="15" customHeight="1">
      <c r="B583" s="126"/>
      <c r="C583" s="91" t="s">
        <v>29</v>
      </c>
      <c r="D583" s="65">
        <v>14</v>
      </c>
      <c r="E583" s="66">
        <v>3.0000000000000001E-3</v>
      </c>
    </row>
    <row r="584" spans="2:5" ht="15" customHeight="1">
      <c r="B584" s="124" t="s">
        <v>90</v>
      </c>
      <c r="C584" s="60" t="s">
        <v>234</v>
      </c>
      <c r="D584" s="61">
        <v>1</v>
      </c>
      <c r="E584" s="62">
        <v>0</v>
      </c>
    </row>
    <row r="585" spans="2:5" ht="15" customHeight="1">
      <c r="B585" s="125"/>
      <c r="C585" s="60" t="s">
        <v>165</v>
      </c>
      <c r="D585" s="61">
        <v>1</v>
      </c>
      <c r="E585" s="62">
        <v>0</v>
      </c>
    </row>
    <row r="586" spans="2:5" ht="15" customHeight="1">
      <c r="B586" s="125"/>
      <c r="C586" s="60" t="s">
        <v>174</v>
      </c>
      <c r="D586" s="61">
        <v>1</v>
      </c>
      <c r="E586" s="62">
        <v>0</v>
      </c>
    </row>
    <row r="587" spans="2:5" ht="15" customHeight="1">
      <c r="B587" s="126"/>
      <c r="C587" s="91" t="s">
        <v>29</v>
      </c>
      <c r="D587" s="65">
        <v>3</v>
      </c>
      <c r="E587" s="66">
        <v>1E-3</v>
      </c>
    </row>
    <row r="588" spans="2:5" ht="15" customHeight="1">
      <c r="B588" s="124" t="s">
        <v>55</v>
      </c>
      <c r="C588" s="60" t="s">
        <v>154</v>
      </c>
      <c r="D588" s="61">
        <v>4</v>
      </c>
      <c r="E588" s="62">
        <v>1E-3</v>
      </c>
    </row>
    <row r="589" spans="2:5" ht="15" customHeight="1">
      <c r="B589" s="125"/>
      <c r="C589" s="60" t="s">
        <v>227</v>
      </c>
      <c r="D589" s="61">
        <v>2</v>
      </c>
      <c r="E589" s="62">
        <v>0</v>
      </c>
    </row>
    <row r="590" spans="2:5" ht="15" customHeight="1">
      <c r="B590" s="125"/>
      <c r="C590" s="60" t="s">
        <v>228</v>
      </c>
      <c r="D590" s="61">
        <v>3</v>
      </c>
      <c r="E590" s="62">
        <v>1E-3</v>
      </c>
    </row>
    <row r="591" spans="2:5" ht="15" customHeight="1">
      <c r="B591" s="125"/>
      <c r="C591" s="60" t="s">
        <v>229</v>
      </c>
      <c r="D591" s="61">
        <v>2</v>
      </c>
      <c r="E591" s="62">
        <v>0</v>
      </c>
    </row>
    <row r="592" spans="2:5" ht="15" customHeight="1">
      <c r="B592" s="125"/>
      <c r="C592" s="60" t="s">
        <v>231</v>
      </c>
      <c r="D592" s="61">
        <v>5</v>
      </c>
      <c r="E592" s="62">
        <v>1E-3</v>
      </c>
    </row>
    <row r="593" spans="2:5" ht="15" customHeight="1">
      <c r="B593" s="125"/>
      <c r="C593" s="60" t="s">
        <v>161</v>
      </c>
      <c r="D593" s="61">
        <v>14</v>
      </c>
      <c r="E593" s="62">
        <v>3.0000000000000001E-3</v>
      </c>
    </row>
    <row r="594" spans="2:5" ht="15" customHeight="1">
      <c r="B594" s="125"/>
      <c r="C594" s="60" t="s">
        <v>233</v>
      </c>
      <c r="D594" s="61">
        <v>5</v>
      </c>
      <c r="E594" s="62">
        <v>1E-3</v>
      </c>
    </row>
    <row r="595" spans="2:5" ht="15" customHeight="1">
      <c r="B595" s="125"/>
      <c r="C595" s="60" t="s">
        <v>234</v>
      </c>
      <c r="D595" s="61">
        <v>9</v>
      </c>
      <c r="E595" s="62">
        <v>2E-3</v>
      </c>
    </row>
    <row r="596" spans="2:5" ht="15" customHeight="1">
      <c r="B596" s="125"/>
      <c r="C596" s="60" t="s">
        <v>165</v>
      </c>
      <c r="D596" s="61">
        <v>42</v>
      </c>
      <c r="E596" s="62">
        <v>8.9999999999999993E-3</v>
      </c>
    </row>
    <row r="597" spans="2:5" ht="15" customHeight="1">
      <c r="B597" s="125"/>
      <c r="C597" s="60" t="s">
        <v>167</v>
      </c>
      <c r="D597" s="61">
        <v>8</v>
      </c>
      <c r="E597" s="62">
        <v>2E-3</v>
      </c>
    </row>
    <row r="598" spans="2:5" ht="15" customHeight="1">
      <c r="B598" s="125"/>
      <c r="C598" s="60" t="s">
        <v>168</v>
      </c>
      <c r="D598" s="61">
        <v>40</v>
      </c>
      <c r="E598" s="62">
        <v>8.9999999999999993E-3</v>
      </c>
    </row>
    <row r="599" spans="2:5" ht="15" customHeight="1">
      <c r="B599" s="125"/>
      <c r="C599" s="60" t="s">
        <v>173</v>
      </c>
      <c r="D599" s="61">
        <v>1</v>
      </c>
      <c r="E599" s="62">
        <v>0</v>
      </c>
    </row>
    <row r="600" spans="2:5" ht="15" customHeight="1">
      <c r="B600" s="125"/>
      <c r="C600" s="60" t="s">
        <v>174</v>
      </c>
      <c r="D600" s="61">
        <v>6</v>
      </c>
      <c r="E600" s="62">
        <v>1E-3</v>
      </c>
    </row>
    <row r="601" spans="2:5" ht="15" customHeight="1">
      <c r="B601" s="126"/>
      <c r="C601" s="91" t="s">
        <v>29</v>
      </c>
      <c r="D601" s="65">
        <v>141</v>
      </c>
      <c r="E601" s="66">
        <v>3.1E-2</v>
      </c>
    </row>
    <row r="602" spans="2:5" ht="15" customHeight="1">
      <c r="B602" s="128" t="s">
        <v>316</v>
      </c>
      <c r="C602" s="129"/>
      <c r="D602" s="68">
        <v>4533</v>
      </c>
      <c r="E602" s="69">
        <v>1</v>
      </c>
    </row>
    <row r="603" spans="2:5" ht="15" customHeight="1">
      <c r="B603" s="48"/>
      <c r="C603" s="48"/>
      <c r="D603" s="48"/>
      <c r="E603" s="48"/>
    </row>
    <row r="604" spans="2:5" ht="15" customHeight="1">
      <c r="B604" s="38" t="s">
        <v>218</v>
      </c>
      <c r="C604" s="48"/>
      <c r="D604" s="48"/>
      <c r="E604" s="48"/>
    </row>
    <row r="605" spans="2:5" ht="15" customHeight="1">
      <c r="B605" s="40" t="s">
        <v>18</v>
      </c>
      <c r="C605" s="48"/>
      <c r="D605" s="48"/>
      <c r="E605" s="48"/>
    </row>
    <row r="606" spans="2:5" ht="15" customHeight="1">
      <c r="B606" s="41" t="s">
        <v>45</v>
      </c>
      <c r="C606" s="48"/>
      <c r="D606" s="48"/>
      <c r="E606" s="48"/>
    </row>
    <row r="607" spans="2:5" ht="15" customHeight="1">
      <c r="B607" s="38" t="s">
        <v>17</v>
      </c>
      <c r="C607" s="48"/>
      <c r="D607" s="48"/>
      <c r="E607" s="48"/>
    </row>
    <row r="608" spans="2:5" ht="15" customHeight="1">
      <c r="B608" s="38" t="s">
        <v>317</v>
      </c>
      <c r="C608" s="48"/>
      <c r="D608" s="48"/>
      <c r="E608" s="48"/>
    </row>
    <row r="609" spans="2:5" ht="15" customHeight="1">
      <c r="B609" s="48"/>
      <c r="C609" s="48"/>
      <c r="D609" s="48"/>
      <c r="E609" s="48"/>
    </row>
  </sheetData>
  <mergeCells count="50">
    <mergeCell ref="B588:B601"/>
    <mergeCell ref="B473:B485"/>
    <mergeCell ref="B486:B497"/>
    <mergeCell ref="B498:B507"/>
    <mergeCell ref="B508:B520"/>
    <mergeCell ref="B521:B533"/>
    <mergeCell ref="B579:B583"/>
    <mergeCell ref="B584:B587"/>
    <mergeCell ref="B313:B324"/>
    <mergeCell ref="B325:B334"/>
    <mergeCell ref="B335:B353"/>
    <mergeCell ref="B354:B366"/>
    <mergeCell ref="B367:B381"/>
    <mergeCell ref="B10:B14"/>
    <mergeCell ref="B15:B34"/>
    <mergeCell ref="B35:B52"/>
    <mergeCell ref="B53:B61"/>
    <mergeCell ref="B62:B73"/>
    <mergeCell ref="B382:B393"/>
    <mergeCell ref="B74:B88"/>
    <mergeCell ref="B89:B99"/>
    <mergeCell ref="B100:B117"/>
    <mergeCell ref="B118:B120"/>
    <mergeCell ref="B121:B135"/>
    <mergeCell ref="B171:B181"/>
    <mergeCell ref="B182:B202"/>
    <mergeCell ref="B203:B217"/>
    <mergeCell ref="B218:B233"/>
    <mergeCell ref="B234:B242"/>
    <mergeCell ref="B243:B255"/>
    <mergeCell ref="B256:B266"/>
    <mergeCell ref="B267:B279"/>
    <mergeCell ref="B280:B300"/>
    <mergeCell ref="B301:B312"/>
    <mergeCell ref="B7:E8"/>
    <mergeCell ref="B602:C602"/>
    <mergeCell ref="B136:B149"/>
    <mergeCell ref="B150:B151"/>
    <mergeCell ref="B152:B156"/>
    <mergeCell ref="B157:B170"/>
    <mergeCell ref="B565:B578"/>
    <mergeCell ref="B534:B539"/>
    <mergeCell ref="B540:B548"/>
    <mergeCell ref="B549:B564"/>
    <mergeCell ref="B394:B411"/>
    <mergeCell ref="B412:B419"/>
    <mergeCell ref="B420:B432"/>
    <mergeCell ref="B433:B442"/>
    <mergeCell ref="B443:B454"/>
    <mergeCell ref="B455:B472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75" orientation="portrait" r:id="rId1"/>
  <rowBreaks count="1" manualBreakCount="1">
    <brk id="561" max="4" man="1"/>
  </rowBreaks>
  <colBreaks count="1" manualBreakCount="1">
    <brk id="5" max="18" man="1"/>
  </colBreaks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00B050"/>
  </sheetPr>
  <dimension ref="A1:F20"/>
  <sheetViews>
    <sheetView showGridLines="0" view="pageBreakPreview" topLeftCell="A9" zoomScaleNormal="100" zoomScaleSheetLayoutView="100" workbookViewId="0">
      <selection activeCell="C11" sqref="C11"/>
    </sheetView>
  </sheetViews>
  <sheetFormatPr baseColWidth="10" defaultColWidth="11.42578125" defaultRowHeight="15"/>
  <cols>
    <col min="1" max="1" width="9.28515625" style="13" customWidth="1"/>
    <col min="2" max="2" width="21.7109375" style="13" customWidth="1"/>
    <col min="3" max="3" width="17.7109375" style="14" customWidth="1"/>
    <col min="4" max="4" width="17.7109375" style="13" customWidth="1"/>
    <col min="5" max="5" width="9.28515625" style="13" customWidth="1"/>
    <col min="6" max="6" width="5.7109375" style="13" customWidth="1"/>
    <col min="7" max="16384" width="11.42578125" style="13"/>
  </cols>
  <sheetData>
    <row r="1" spans="1:6" s="15" customFormat="1" ht="15" customHeight="1">
      <c r="C1" s="17"/>
    </row>
    <row r="2" spans="1:6" s="15" customFormat="1" ht="15" customHeight="1">
      <c r="C2" s="17"/>
    </row>
    <row r="3" spans="1:6" s="15" customFormat="1" ht="15" customHeight="1">
      <c r="C3" s="17"/>
    </row>
    <row r="4" spans="1:6" s="15" customFormat="1" ht="30" customHeight="1">
      <c r="C4" s="17"/>
      <c r="D4" s="16"/>
    </row>
    <row r="5" spans="1:6" s="15" customFormat="1" ht="15" customHeight="1">
      <c r="C5" s="17"/>
      <c r="D5" s="16"/>
    </row>
    <row r="6" spans="1:6" s="15" customFormat="1" ht="15" customHeight="1">
      <c r="C6" s="17"/>
      <c r="D6" s="16"/>
    </row>
    <row r="7" spans="1:6" s="15" customFormat="1" ht="15" customHeight="1">
      <c r="A7" s="30"/>
      <c r="B7" s="117" t="s">
        <v>38</v>
      </c>
      <c r="C7" s="117"/>
      <c r="D7" s="117"/>
      <c r="E7" s="30"/>
      <c r="F7" s="30"/>
    </row>
    <row r="8" spans="1:6" s="15" customFormat="1" ht="15" customHeight="1">
      <c r="A8" s="30"/>
      <c r="B8" s="117"/>
      <c r="C8" s="117"/>
      <c r="D8" s="117"/>
      <c r="E8" s="30"/>
      <c r="F8" s="30"/>
    </row>
    <row r="9" spans="1:6" s="15" customFormat="1" ht="33" customHeight="1">
      <c r="A9" s="30"/>
      <c r="B9" s="117"/>
      <c r="C9" s="117"/>
      <c r="D9" s="117"/>
      <c r="E9" s="30"/>
      <c r="F9" s="30"/>
    </row>
    <row r="10" spans="1:6" s="15" customFormat="1" ht="4.5" customHeight="1">
      <c r="A10" s="30"/>
      <c r="B10" s="31"/>
      <c r="C10" s="31"/>
      <c r="D10" s="31"/>
      <c r="E10" s="30"/>
      <c r="F10" s="30"/>
    </row>
    <row r="11" spans="1:6" s="15" customFormat="1" ht="33" customHeight="1">
      <c r="A11" s="30"/>
      <c r="B11" s="42" t="s">
        <v>30</v>
      </c>
      <c r="C11" s="43" t="s">
        <v>20</v>
      </c>
      <c r="D11" s="44" t="s">
        <v>19</v>
      </c>
      <c r="E11" s="30"/>
      <c r="F11" s="30"/>
    </row>
    <row r="12" spans="1:6" ht="16.5">
      <c r="A12" s="34"/>
      <c r="B12" s="74" t="s">
        <v>243</v>
      </c>
      <c r="C12" s="75">
        <v>1475</v>
      </c>
      <c r="D12" s="76">
        <v>0.325391572909773</v>
      </c>
      <c r="E12" s="34"/>
      <c r="F12" s="34"/>
    </row>
    <row r="13" spans="1:6" ht="16.5">
      <c r="A13" s="34"/>
      <c r="B13" s="74" t="s">
        <v>136</v>
      </c>
      <c r="C13" s="75">
        <v>3058</v>
      </c>
      <c r="D13" s="76">
        <v>0.67460842709022695</v>
      </c>
      <c r="E13" s="34"/>
      <c r="F13" s="34"/>
    </row>
    <row r="14" spans="1:6" ht="16.5">
      <c r="A14" s="34"/>
      <c r="B14" s="95" t="s">
        <v>316</v>
      </c>
      <c r="C14" s="72">
        <v>4533</v>
      </c>
      <c r="D14" s="73">
        <v>1</v>
      </c>
      <c r="E14" s="34"/>
      <c r="F14" s="34"/>
    </row>
    <row r="15" spans="1:6" ht="16.5">
      <c r="A15" s="34"/>
      <c r="B15" s="34"/>
      <c r="C15" s="39"/>
      <c r="D15" s="39"/>
      <c r="E15" s="34"/>
      <c r="F15" s="34"/>
    </row>
    <row r="16" spans="1:6" ht="16.5">
      <c r="A16" s="34"/>
      <c r="B16" s="38" t="s">
        <v>218</v>
      </c>
      <c r="C16" s="39"/>
      <c r="D16" s="39"/>
      <c r="E16" s="34"/>
      <c r="F16" s="34"/>
    </row>
    <row r="17" spans="1:6" ht="16.5">
      <c r="A17" s="34"/>
      <c r="B17" s="40" t="s">
        <v>18</v>
      </c>
      <c r="C17" s="52"/>
      <c r="D17" s="52"/>
      <c r="E17" s="34"/>
      <c r="F17" s="34"/>
    </row>
    <row r="18" spans="1:6" ht="16.5">
      <c r="A18" s="34"/>
      <c r="B18" s="41" t="s">
        <v>45</v>
      </c>
      <c r="C18" s="53"/>
      <c r="D18" s="53"/>
      <c r="E18" s="34"/>
      <c r="F18" s="34"/>
    </row>
    <row r="19" spans="1:6" ht="16.5">
      <c r="A19" s="34"/>
      <c r="B19" s="38" t="s">
        <v>17</v>
      </c>
      <c r="C19" s="39"/>
      <c r="D19" s="34"/>
      <c r="E19" s="34"/>
      <c r="F19" s="34"/>
    </row>
    <row r="20" spans="1:6" ht="16.5">
      <c r="A20" s="34"/>
      <c r="B20" s="38" t="s">
        <v>317</v>
      </c>
      <c r="C20" s="39"/>
      <c r="D20" s="34"/>
      <c r="E20" s="34"/>
      <c r="F20" s="34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r:id="rId1"/>
  <headerFooter>
    <oddFooter>&amp;C&amp;P de &amp;N</oddFooter>
  </headerFooter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00B050"/>
  </sheetPr>
  <dimension ref="A1:F163"/>
  <sheetViews>
    <sheetView showGridLines="0" view="pageBreakPreview" topLeftCell="A142" zoomScale="90" zoomScaleNormal="98" zoomScaleSheetLayoutView="90" workbookViewId="0">
      <selection activeCell="D157" sqref="D157"/>
    </sheetView>
  </sheetViews>
  <sheetFormatPr baseColWidth="10" defaultColWidth="11.42578125" defaultRowHeight="11.25"/>
  <cols>
    <col min="1" max="1" width="5.7109375" style="15" customWidth="1"/>
    <col min="2" max="3" width="23.7109375" style="21" customWidth="1"/>
    <col min="4" max="4" width="15.7109375" style="24" customWidth="1"/>
    <col min="5" max="5" width="15.7109375" style="21" customWidth="1"/>
    <col min="6" max="6" width="2.85546875" style="15" customWidth="1"/>
    <col min="7" max="16384" width="11.42578125" style="15"/>
  </cols>
  <sheetData>
    <row r="1" spans="1:6" s="13" customFormat="1" ht="15">
      <c r="B1" s="21"/>
      <c r="C1" s="21"/>
    </row>
    <row r="2" spans="1:6" s="21" customFormat="1">
      <c r="B2" s="27"/>
    </row>
    <row r="3" spans="1:6" ht="15" customHeight="1">
      <c r="B3" s="28"/>
      <c r="C3" s="17"/>
      <c r="D3" s="15"/>
      <c r="F3" s="21"/>
    </row>
    <row r="4" spans="1:6" ht="30" customHeight="1">
      <c r="B4" s="28"/>
      <c r="C4" s="17"/>
      <c r="D4" s="15"/>
      <c r="F4" s="21"/>
    </row>
    <row r="5" spans="1:6" ht="15" customHeight="1">
      <c r="B5" s="28"/>
      <c r="C5" s="17"/>
      <c r="D5" s="15"/>
      <c r="F5" s="21"/>
    </row>
    <row r="6" spans="1:6" s="21" customFormat="1">
      <c r="B6" s="23"/>
      <c r="C6" s="20"/>
    </row>
    <row r="7" spans="1:6" s="21" customFormat="1">
      <c r="B7" s="27"/>
    </row>
    <row r="8" spans="1:6" s="13" customFormat="1" ht="15" customHeight="1">
      <c r="A8" s="34"/>
      <c r="B8" s="117" t="s">
        <v>216</v>
      </c>
      <c r="C8" s="117"/>
      <c r="D8" s="117"/>
      <c r="E8" s="117"/>
      <c r="F8" s="34"/>
    </row>
    <row r="9" spans="1:6" s="13" customFormat="1" ht="15" customHeight="1">
      <c r="A9" s="34"/>
      <c r="B9" s="117"/>
      <c r="C9" s="117"/>
      <c r="D9" s="117"/>
      <c r="E9" s="117"/>
      <c r="F9" s="54"/>
    </row>
    <row r="10" spans="1:6" s="13" customFormat="1" ht="15" customHeight="1">
      <c r="A10" s="34"/>
      <c r="B10" s="117"/>
      <c r="C10" s="117"/>
      <c r="D10" s="117"/>
      <c r="E10" s="117"/>
      <c r="F10" s="34"/>
    </row>
    <row r="11" spans="1:6" s="13" customFormat="1" ht="15" customHeight="1">
      <c r="A11" s="34"/>
      <c r="B11" s="55"/>
      <c r="C11" s="55"/>
      <c r="D11" s="55"/>
      <c r="E11" s="55"/>
      <c r="F11" s="34"/>
    </row>
    <row r="12" spans="1:6" s="13" customFormat="1" ht="26.25" customHeight="1">
      <c r="A12" s="34"/>
      <c r="B12" s="59" t="s">
        <v>22</v>
      </c>
      <c r="C12" s="59" t="s">
        <v>30</v>
      </c>
      <c r="D12" s="59" t="s">
        <v>20</v>
      </c>
      <c r="E12" s="59" t="s">
        <v>19</v>
      </c>
      <c r="F12" s="34"/>
    </row>
    <row r="13" spans="1:6" ht="14.45" customHeight="1">
      <c r="A13" s="30"/>
      <c r="B13" s="124" t="s">
        <v>86</v>
      </c>
      <c r="C13" s="60" t="s">
        <v>135</v>
      </c>
      <c r="D13" s="61">
        <v>4</v>
      </c>
      <c r="E13" s="62">
        <v>1E-3</v>
      </c>
      <c r="F13" s="30"/>
    </row>
    <row r="14" spans="1:6" ht="14.45" customHeight="1">
      <c r="A14" s="30"/>
      <c r="B14" s="125"/>
      <c r="C14" s="60" t="s">
        <v>136</v>
      </c>
      <c r="D14" s="61">
        <v>12</v>
      </c>
      <c r="E14" s="62">
        <v>3.0000000000000001E-3</v>
      </c>
      <c r="F14" s="30"/>
    </row>
    <row r="15" spans="1:6" ht="14.45" customHeight="1">
      <c r="A15" s="30"/>
      <c r="B15" s="126"/>
      <c r="C15" s="91" t="s">
        <v>29</v>
      </c>
      <c r="D15" s="65">
        <v>16</v>
      </c>
      <c r="E15" s="66">
        <v>4.0000000000000001E-3</v>
      </c>
      <c r="F15" s="30"/>
    </row>
    <row r="16" spans="1:6" ht="14.45" customHeight="1">
      <c r="A16" s="30"/>
      <c r="B16" s="124" t="s">
        <v>49</v>
      </c>
      <c r="C16" s="60" t="s">
        <v>135</v>
      </c>
      <c r="D16" s="61">
        <v>94</v>
      </c>
      <c r="E16" s="62">
        <v>2.1000000000000001E-2</v>
      </c>
      <c r="F16" s="30"/>
    </row>
    <row r="17" spans="1:6" ht="14.45" customHeight="1">
      <c r="A17" s="30"/>
      <c r="B17" s="125"/>
      <c r="C17" s="60" t="s">
        <v>136</v>
      </c>
      <c r="D17" s="61">
        <v>206</v>
      </c>
      <c r="E17" s="62">
        <v>4.4999999999999998E-2</v>
      </c>
      <c r="F17" s="30"/>
    </row>
    <row r="18" spans="1:6" ht="14.45" customHeight="1">
      <c r="A18" s="30"/>
      <c r="B18" s="126"/>
      <c r="C18" s="91" t="s">
        <v>29</v>
      </c>
      <c r="D18" s="65">
        <v>300</v>
      </c>
      <c r="E18" s="66">
        <v>6.6000000000000003E-2</v>
      </c>
      <c r="F18" s="30"/>
    </row>
    <row r="19" spans="1:6" ht="14.45" customHeight="1">
      <c r="A19" s="30"/>
      <c r="B19" s="124" t="s">
        <v>51</v>
      </c>
      <c r="C19" s="60" t="s">
        <v>135</v>
      </c>
      <c r="D19" s="61">
        <v>63</v>
      </c>
      <c r="E19" s="62">
        <v>1.4E-2</v>
      </c>
      <c r="F19" s="30"/>
    </row>
    <row r="20" spans="1:6" ht="14.45" customHeight="1">
      <c r="A20" s="30"/>
      <c r="B20" s="125"/>
      <c r="C20" s="60" t="s">
        <v>136</v>
      </c>
      <c r="D20" s="61">
        <v>150</v>
      </c>
      <c r="E20" s="62">
        <v>3.3000000000000002E-2</v>
      </c>
      <c r="F20" s="30"/>
    </row>
    <row r="21" spans="1:6" ht="14.45" customHeight="1">
      <c r="A21" s="30"/>
      <c r="B21" s="126"/>
      <c r="C21" s="91" t="s">
        <v>29</v>
      </c>
      <c r="D21" s="65">
        <v>213</v>
      </c>
      <c r="E21" s="66">
        <v>4.7E-2</v>
      </c>
      <c r="F21" s="30"/>
    </row>
    <row r="22" spans="1:6" ht="14.45" customHeight="1">
      <c r="A22" s="30"/>
      <c r="B22" s="124" t="s">
        <v>82</v>
      </c>
      <c r="C22" s="60" t="s">
        <v>135</v>
      </c>
      <c r="D22" s="61">
        <v>7</v>
      </c>
      <c r="E22" s="62">
        <v>2E-3</v>
      </c>
      <c r="F22" s="30"/>
    </row>
    <row r="23" spans="1:6" ht="14.45" customHeight="1">
      <c r="A23" s="30"/>
      <c r="B23" s="125"/>
      <c r="C23" s="60" t="s">
        <v>136</v>
      </c>
      <c r="D23" s="61">
        <v>24</v>
      </c>
      <c r="E23" s="62">
        <v>5.0000000000000001E-3</v>
      </c>
      <c r="F23" s="30"/>
    </row>
    <row r="24" spans="1:6" ht="14.45" customHeight="1">
      <c r="A24" s="30"/>
      <c r="B24" s="126"/>
      <c r="C24" s="91" t="s">
        <v>29</v>
      </c>
      <c r="D24" s="65">
        <v>31</v>
      </c>
      <c r="E24" s="66">
        <v>7.0000000000000001E-3</v>
      </c>
      <c r="F24" s="30"/>
    </row>
    <row r="25" spans="1:6" ht="14.45" customHeight="1">
      <c r="A25" s="30"/>
      <c r="B25" s="124" t="s">
        <v>68</v>
      </c>
      <c r="C25" s="60" t="s">
        <v>135</v>
      </c>
      <c r="D25" s="61">
        <v>13</v>
      </c>
      <c r="E25" s="62">
        <v>3.0000000000000001E-3</v>
      </c>
      <c r="F25" s="30"/>
    </row>
    <row r="26" spans="1:6" ht="14.45" customHeight="1">
      <c r="A26" s="30"/>
      <c r="B26" s="125"/>
      <c r="C26" s="60" t="s">
        <v>136</v>
      </c>
      <c r="D26" s="61">
        <v>43</v>
      </c>
      <c r="E26" s="62">
        <v>8.9999999999999993E-3</v>
      </c>
      <c r="F26" s="30"/>
    </row>
    <row r="27" spans="1:6" ht="14.45" customHeight="1">
      <c r="A27" s="30"/>
      <c r="B27" s="126"/>
      <c r="C27" s="91" t="s">
        <v>29</v>
      </c>
      <c r="D27" s="65">
        <v>56</v>
      </c>
      <c r="E27" s="66">
        <v>1.2E-2</v>
      </c>
      <c r="F27" s="30"/>
    </row>
    <row r="28" spans="1:6" ht="14.45" customHeight="1">
      <c r="A28" s="30"/>
      <c r="B28" s="124" t="s">
        <v>74</v>
      </c>
      <c r="C28" s="60" t="s">
        <v>135</v>
      </c>
      <c r="D28" s="61">
        <v>15</v>
      </c>
      <c r="E28" s="62">
        <v>3.0000000000000001E-3</v>
      </c>
      <c r="F28" s="30"/>
    </row>
    <row r="29" spans="1:6" ht="14.45" customHeight="1">
      <c r="A29" s="30"/>
      <c r="B29" s="125"/>
      <c r="C29" s="60" t="s">
        <v>136</v>
      </c>
      <c r="D29" s="61">
        <v>21</v>
      </c>
      <c r="E29" s="62">
        <v>5.0000000000000001E-3</v>
      </c>
      <c r="F29" s="30"/>
    </row>
    <row r="30" spans="1:6" ht="14.45" customHeight="1">
      <c r="A30" s="30"/>
      <c r="B30" s="126"/>
      <c r="C30" s="91" t="s">
        <v>29</v>
      </c>
      <c r="D30" s="65">
        <v>36</v>
      </c>
      <c r="E30" s="66">
        <v>8.0000000000000002E-3</v>
      </c>
      <c r="F30" s="30"/>
    </row>
    <row r="31" spans="1:6" ht="14.45" customHeight="1">
      <c r="A31" s="30"/>
      <c r="B31" s="124" t="s">
        <v>52</v>
      </c>
      <c r="C31" s="60" t="s">
        <v>135</v>
      </c>
      <c r="D31" s="61">
        <v>64</v>
      </c>
      <c r="E31" s="62">
        <v>1.4E-2</v>
      </c>
      <c r="F31" s="30"/>
    </row>
    <row r="32" spans="1:6" ht="14.45" customHeight="1">
      <c r="A32" s="30"/>
      <c r="B32" s="125"/>
      <c r="C32" s="60" t="s">
        <v>136</v>
      </c>
      <c r="D32" s="61">
        <v>142</v>
      </c>
      <c r="E32" s="62">
        <v>3.1E-2</v>
      </c>
      <c r="F32" s="30"/>
    </row>
    <row r="33" spans="1:6" ht="14.45" customHeight="1">
      <c r="A33" s="30"/>
      <c r="B33" s="126"/>
      <c r="C33" s="91" t="s">
        <v>29</v>
      </c>
      <c r="D33" s="65">
        <v>206</v>
      </c>
      <c r="E33" s="66">
        <v>4.4999999999999998E-2</v>
      </c>
      <c r="F33" s="30"/>
    </row>
    <row r="34" spans="1:6" ht="14.45" customHeight="1">
      <c r="A34" s="30"/>
      <c r="B34" s="124" t="s">
        <v>47</v>
      </c>
      <c r="C34" s="60" t="s">
        <v>135</v>
      </c>
      <c r="D34" s="61">
        <v>102</v>
      </c>
      <c r="E34" s="62">
        <v>2.3E-2</v>
      </c>
      <c r="F34" s="30"/>
    </row>
    <row r="35" spans="1:6" ht="14.45" customHeight="1">
      <c r="A35" s="30"/>
      <c r="B35" s="125"/>
      <c r="C35" s="60" t="s">
        <v>136</v>
      </c>
      <c r="D35" s="61">
        <v>211</v>
      </c>
      <c r="E35" s="62">
        <v>4.7E-2</v>
      </c>
      <c r="F35" s="30"/>
    </row>
    <row r="36" spans="1:6" ht="14.45" customHeight="1">
      <c r="A36" s="30"/>
      <c r="B36" s="126"/>
      <c r="C36" s="91" t="s">
        <v>29</v>
      </c>
      <c r="D36" s="65">
        <v>313</v>
      </c>
      <c r="E36" s="66">
        <v>6.9000000000000006E-2</v>
      </c>
      <c r="F36" s="30"/>
    </row>
    <row r="37" spans="1:6" ht="14.45" customHeight="1">
      <c r="A37" s="30"/>
      <c r="B37" s="124" t="s">
        <v>91</v>
      </c>
      <c r="C37" s="60" t="s">
        <v>135</v>
      </c>
      <c r="D37" s="61">
        <v>3</v>
      </c>
      <c r="E37" s="62">
        <v>1E-3</v>
      </c>
      <c r="F37" s="30"/>
    </row>
    <row r="38" spans="1:6" ht="14.45" customHeight="1">
      <c r="A38" s="30"/>
      <c r="B38" s="125"/>
      <c r="C38" s="60" t="s">
        <v>136</v>
      </c>
      <c r="D38" s="61">
        <v>1</v>
      </c>
      <c r="E38" s="62">
        <v>0</v>
      </c>
      <c r="F38" s="30"/>
    </row>
    <row r="39" spans="1:6" ht="14.45" customHeight="1">
      <c r="A39" s="30"/>
      <c r="B39" s="126"/>
      <c r="C39" s="91" t="s">
        <v>29</v>
      </c>
      <c r="D39" s="65">
        <v>4</v>
      </c>
      <c r="E39" s="66">
        <v>1E-3</v>
      </c>
      <c r="F39" s="30"/>
    </row>
    <row r="40" spans="1:6" ht="14.45" customHeight="1">
      <c r="A40" s="30"/>
      <c r="B40" s="124" t="s">
        <v>59</v>
      </c>
      <c r="C40" s="60" t="s">
        <v>135</v>
      </c>
      <c r="D40" s="61">
        <v>27</v>
      </c>
      <c r="E40" s="62">
        <v>6.0000000000000001E-3</v>
      </c>
      <c r="F40" s="30"/>
    </row>
    <row r="41" spans="1:6" ht="14.45" customHeight="1">
      <c r="A41" s="30"/>
      <c r="B41" s="125"/>
      <c r="C41" s="60" t="s">
        <v>136</v>
      </c>
      <c r="D41" s="61">
        <v>68</v>
      </c>
      <c r="E41" s="62">
        <v>1.4999999999999999E-2</v>
      </c>
      <c r="F41" s="30"/>
    </row>
    <row r="42" spans="1:6" ht="14.45" customHeight="1">
      <c r="A42" s="30"/>
      <c r="B42" s="126"/>
      <c r="C42" s="91" t="s">
        <v>29</v>
      </c>
      <c r="D42" s="65">
        <v>95</v>
      </c>
      <c r="E42" s="66">
        <v>2.1000000000000001E-2</v>
      </c>
      <c r="F42" s="30"/>
    </row>
    <row r="43" spans="1:6" ht="14.45" customHeight="1">
      <c r="A43" s="30"/>
      <c r="B43" s="124" t="s">
        <v>67</v>
      </c>
      <c r="C43" s="60" t="s">
        <v>135</v>
      </c>
      <c r="D43" s="61">
        <v>25</v>
      </c>
      <c r="E43" s="62">
        <v>6.0000000000000001E-3</v>
      </c>
      <c r="F43" s="30"/>
    </row>
    <row r="44" spans="1:6" ht="14.45" customHeight="1">
      <c r="A44" s="30"/>
      <c r="B44" s="125"/>
      <c r="C44" s="60" t="s">
        <v>136</v>
      </c>
      <c r="D44" s="61">
        <v>81</v>
      </c>
      <c r="E44" s="62">
        <v>1.7999999999999999E-2</v>
      </c>
      <c r="F44" s="30"/>
    </row>
    <row r="45" spans="1:6" ht="14.45" customHeight="1">
      <c r="A45" s="30"/>
      <c r="B45" s="126"/>
      <c r="C45" s="91" t="s">
        <v>29</v>
      </c>
      <c r="D45" s="65">
        <v>106</v>
      </c>
      <c r="E45" s="66">
        <v>2.3E-2</v>
      </c>
      <c r="F45" s="30"/>
    </row>
    <row r="46" spans="1:6" ht="14.45" customHeight="1">
      <c r="A46" s="30"/>
      <c r="B46" s="124" t="s">
        <v>220</v>
      </c>
      <c r="C46" s="60" t="s">
        <v>135</v>
      </c>
      <c r="D46" s="61">
        <v>1</v>
      </c>
      <c r="E46" s="62">
        <v>0</v>
      </c>
      <c r="F46" s="30"/>
    </row>
    <row r="47" spans="1:6" ht="14.45" customHeight="1">
      <c r="A47" s="30"/>
      <c r="B47" s="126"/>
      <c r="C47" s="91" t="s">
        <v>29</v>
      </c>
      <c r="D47" s="65">
        <v>1</v>
      </c>
      <c r="E47" s="66">
        <v>0</v>
      </c>
      <c r="F47" s="30"/>
    </row>
    <row r="48" spans="1:6" ht="14.45" customHeight="1">
      <c r="A48" s="30"/>
      <c r="B48" s="124" t="s">
        <v>89</v>
      </c>
      <c r="C48" s="60" t="s">
        <v>135</v>
      </c>
      <c r="D48" s="61">
        <v>1</v>
      </c>
      <c r="E48" s="62">
        <v>0</v>
      </c>
      <c r="F48" s="30"/>
    </row>
    <row r="49" spans="1:6" ht="14.45" customHeight="1">
      <c r="A49" s="30"/>
      <c r="B49" s="125"/>
      <c r="C49" s="60" t="s">
        <v>136</v>
      </c>
      <c r="D49" s="61">
        <v>3</v>
      </c>
      <c r="E49" s="62">
        <v>1E-3</v>
      </c>
      <c r="F49" s="30"/>
    </row>
    <row r="50" spans="1:6" ht="14.45" customHeight="1">
      <c r="A50" s="30"/>
      <c r="B50" s="126"/>
      <c r="C50" s="91" t="s">
        <v>29</v>
      </c>
      <c r="D50" s="65">
        <v>4</v>
      </c>
      <c r="E50" s="66">
        <v>1E-3</v>
      </c>
      <c r="F50" s="30"/>
    </row>
    <row r="51" spans="1:6" ht="14.45" customHeight="1">
      <c r="A51" s="30"/>
      <c r="B51" s="124" t="s">
        <v>63</v>
      </c>
      <c r="C51" s="60" t="s">
        <v>135</v>
      </c>
      <c r="D51" s="61">
        <v>22</v>
      </c>
      <c r="E51" s="62">
        <v>5.0000000000000001E-3</v>
      </c>
      <c r="F51" s="30"/>
    </row>
    <row r="52" spans="1:6" ht="14.45" customHeight="1">
      <c r="A52" s="30"/>
      <c r="B52" s="125"/>
      <c r="C52" s="60" t="s">
        <v>136</v>
      </c>
      <c r="D52" s="61">
        <v>49</v>
      </c>
      <c r="E52" s="62">
        <v>1.0999999999999999E-2</v>
      </c>
      <c r="F52" s="30"/>
    </row>
    <row r="53" spans="1:6" ht="14.45" customHeight="1">
      <c r="A53" s="30"/>
      <c r="B53" s="126"/>
      <c r="C53" s="91" t="s">
        <v>29</v>
      </c>
      <c r="D53" s="65">
        <v>71</v>
      </c>
      <c r="E53" s="66">
        <v>1.6E-2</v>
      </c>
      <c r="F53" s="30"/>
    </row>
    <row r="54" spans="1:6" ht="14.45" customHeight="1">
      <c r="A54" s="30"/>
      <c r="B54" s="124" t="s">
        <v>75</v>
      </c>
      <c r="C54" s="60" t="s">
        <v>135</v>
      </c>
      <c r="D54" s="61">
        <v>10</v>
      </c>
      <c r="E54" s="62">
        <v>2E-3</v>
      </c>
      <c r="F54" s="30"/>
    </row>
    <row r="55" spans="1:6" ht="14.45" customHeight="1">
      <c r="A55" s="30"/>
      <c r="B55" s="125"/>
      <c r="C55" s="60" t="s">
        <v>136</v>
      </c>
      <c r="D55" s="61">
        <v>19</v>
      </c>
      <c r="E55" s="62">
        <v>4.0000000000000001E-3</v>
      </c>
      <c r="F55" s="30"/>
    </row>
    <row r="56" spans="1:6" ht="14.45" customHeight="1">
      <c r="A56" s="30"/>
      <c r="B56" s="126"/>
      <c r="C56" s="91" t="s">
        <v>29</v>
      </c>
      <c r="D56" s="65">
        <v>29</v>
      </c>
      <c r="E56" s="66">
        <v>6.0000000000000001E-3</v>
      </c>
      <c r="F56" s="30"/>
    </row>
    <row r="57" spans="1:6" ht="14.45" customHeight="1">
      <c r="A57" s="30"/>
      <c r="B57" s="124" t="s">
        <v>50</v>
      </c>
      <c r="C57" s="60" t="s">
        <v>135</v>
      </c>
      <c r="D57" s="61">
        <v>109</v>
      </c>
      <c r="E57" s="62">
        <v>2.4E-2</v>
      </c>
      <c r="F57" s="30"/>
    </row>
    <row r="58" spans="1:6" ht="14.45" customHeight="1">
      <c r="A58" s="30"/>
      <c r="B58" s="125"/>
      <c r="C58" s="60" t="s">
        <v>136</v>
      </c>
      <c r="D58" s="61">
        <v>184</v>
      </c>
      <c r="E58" s="62">
        <v>4.1000000000000002E-2</v>
      </c>
      <c r="F58" s="30"/>
    </row>
    <row r="59" spans="1:6" ht="14.45" customHeight="1">
      <c r="A59" s="30"/>
      <c r="B59" s="126"/>
      <c r="C59" s="91" t="s">
        <v>29</v>
      </c>
      <c r="D59" s="65">
        <v>293</v>
      </c>
      <c r="E59" s="66">
        <v>6.5000000000000002E-2</v>
      </c>
      <c r="F59" s="30"/>
    </row>
    <row r="60" spans="1:6" ht="14.45" customHeight="1">
      <c r="A60" s="30"/>
      <c r="B60" s="124" t="s">
        <v>54</v>
      </c>
      <c r="C60" s="60" t="s">
        <v>135</v>
      </c>
      <c r="D60" s="61">
        <v>54</v>
      </c>
      <c r="E60" s="62">
        <v>1.2E-2</v>
      </c>
      <c r="F60" s="30"/>
    </row>
    <row r="61" spans="1:6" ht="14.45" customHeight="1">
      <c r="A61" s="30"/>
      <c r="B61" s="125"/>
      <c r="C61" s="60" t="s">
        <v>136</v>
      </c>
      <c r="D61" s="61">
        <v>116</v>
      </c>
      <c r="E61" s="62">
        <v>2.5999999999999999E-2</v>
      </c>
      <c r="F61" s="30"/>
    </row>
    <row r="62" spans="1:6" ht="14.45" customHeight="1">
      <c r="A62" s="30"/>
      <c r="B62" s="126"/>
      <c r="C62" s="91" t="s">
        <v>29</v>
      </c>
      <c r="D62" s="65">
        <v>170</v>
      </c>
      <c r="E62" s="66">
        <v>3.7999999999999999E-2</v>
      </c>
      <c r="F62" s="30"/>
    </row>
    <row r="63" spans="1:6" ht="14.45" customHeight="1">
      <c r="A63" s="30"/>
      <c r="B63" s="124" t="s">
        <v>60</v>
      </c>
      <c r="C63" s="60" t="s">
        <v>135</v>
      </c>
      <c r="D63" s="61">
        <v>25</v>
      </c>
      <c r="E63" s="62">
        <v>6.0000000000000001E-3</v>
      </c>
      <c r="F63" s="30"/>
    </row>
    <row r="64" spans="1:6" ht="14.45" customHeight="1">
      <c r="A64" s="30"/>
      <c r="B64" s="125"/>
      <c r="C64" s="60" t="s">
        <v>136</v>
      </c>
      <c r="D64" s="61">
        <v>52</v>
      </c>
      <c r="E64" s="62">
        <v>1.0999999999999999E-2</v>
      </c>
      <c r="F64" s="30"/>
    </row>
    <row r="65" spans="1:6" ht="14.45" customHeight="1">
      <c r="A65" s="30"/>
      <c r="B65" s="126"/>
      <c r="C65" s="91" t="s">
        <v>29</v>
      </c>
      <c r="D65" s="65">
        <v>77</v>
      </c>
      <c r="E65" s="66">
        <v>1.7000000000000001E-2</v>
      </c>
      <c r="F65" s="30"/>
    </row>
    <row r="66" spans="1:6" ht="14.45" customHeight="1">
      <c r="A66" s="30"/>
      <c r="B66" s="124" t="s">
        <v>88</v>
      </c>
      <c r="C66" s="60" t="s">
        <v>135</v>
      </c>
      <c r="D66" s="61">
        <v>6</v>
      </c>
      <c r="E66" s="62">
        <v>1E-3</v>
      </c>
      <c r="F66" s="30"/>
    </row>
    <row r="67" spans="1:6" ht="14.45" customHeight="1">
      <c r="A67" s="30"/>
      <c r="B67" s="125"/>
      <c r="C67" s="60" t="s">
        <v>136</v>
      </c>
      <c r="D67" s="61">
        <v>10</v>
      </c>
      <c r="E67" s="62">
        <v>2E-3</v>
      </c>
      <c r="F67" s="30"/>
    </row>
    <row r="68" spans="1:6" ht="14.45" customHeight="1">
      <c r="A68" s="30"/>
      <c r="B68" s="126"/>
      <c r="C68" s="91" t="s">
        <v>29</v>
      </c>
      <c r="D68" s="65">
        <v>16</v>
      </c>
      <c r="E68" s="66">
        <v>4.0000000000000001E-3</v>
      </c>
      <c r="F68" s="30"/>
    </row>
    <row r="69" spans="1:6" ht="14.45" customHeight="1">
      <c r="A69" s="30"/>
      <c r="B69" s="124" t="s">
        <v>78</v>
      </c>
      <c r="C69" s="60" t="s">
        <v>135</v>
      </c>
      <c r="D69" s="61">
        <v>13</v>
      </c>
      <c r="E69" s="62">
        <v>3.0000000000000001E-3</v>
      </c>
      <c r="F69" s="30"/>
    </row>
    <row r="70" spans="1:6" ht="14.45" customHeight="1">
      <c r="A70" s="30"/>
      <c r="B70" s="125"/>
      <c r="C70" s="60" t="s">
        <v>136</v>
      </c>
      <c r="D70" s="61">
        <v>27</v>
      </c>
      <c r="E70" s="62">
        <v>6.0000000000000001E-3</v>
      </c>
      <c r="F70" s="30"/>
    </row>
    <row r="71" spans="1:6" ht="14.45" customHeight="1">
      <c r="A71" s="30"/>
      <c r="B71" s="126"/>
      <c r="C71" s="91" t="s">
        <v>29</v>
      </c>
      <c r="D71" s="65">
        <v>40</v>
      </c>
      <c r="E71" s="66">
        <v>8.9999999999999993E-3</v>
      </c>
      <c r="F71" s="30"/>
    </row>
    <row r="72" spans="1:6" ht="14.45" customHeight="1">
      <c r="A72" s="30"/>
      <c r="B72" s="124" t="s">
        <v>58</v>
      </c>
      <c r="C72" s="60" t="s">
        <v>135</v>
      </c>
      <c r="D72" s="61">
        <v>44</v>
      </c>
      <c r="E72" s="62">
        <v>0.01</v>
      </c>
      <c r="F72" s="30"/>
    </row>
    <row r="73" spans="1:6" ht="14.45" customHeight="1">
      <c r="A73" s="30"/>
      <c r="B73" s="125"/>
      <c r="C73" s="60" t="s">
        <v>136</v>
      </c>
      <c r="D73" s="61">
        <v>68</v>
      </c>
      <c r="E73" s="62">
        <v>1.4999999999999999E-2</v>
      </c>
      <c r="F73" s="30"/>
    </row>
    <row r="74" spans="1:6" ht="14.45" customHeight="1">
      <c r="A74" s="30"/>
      <c r="B74" s="126"/>
      <c r="C74" s="91" t="s">
        <v>29</v>
      </c>
      <c r="D74" s="65">
        <v>112</v>
      </c>
      <c r="E74" s="66">
        <v>2.5000000000000001E-2</v>
      </c>
      <c r="F74" s="30"/>
    </row>
    <row r="75" spans="1:6" ht="14.45" customHeight="1">
      <c r="A75" s="30"/>
      <c r="B75" s="124" t="s">
        <v>57</v>
      </c>
      <c r="C75" s="60" t="s">
        <v>135</v>
      </c>
      <c r="D75" s="61">
        <v>39</v>
      </c>
      <c r="E75" s="62">
        <v>8.9999999999999993E-3</v>
      </c>
      <c r="F75" s="30"/>
    </row>
    <row r="76" spans="1:6" ht="14.45" customHeight="1">
      <c r="A76" s="30"/>
      <c r="B76" s="125"/>
      <c r="C76" s="60" t="s">
        <v>136</v>
      </c>
      <c r="D76" s="61">
        <v>61</v>
      </c>
      <c r="E76" s="62">
        <v>1.2999999999999999E-2</v>
      </c>
      <c r="F76" s="30"/>
    </row>
    <row r="77" spans="1:6" ht="14.45" customHeight="1">
      <c r="A77" s="30"/>
      <c r="B77" s="126"/>
      <c r="C77" s="91" t="s">
        <v>29</v>
      </c>
      <c r="D77" s="65">
        <v>100</v>
      </c>
      <c r="E77" s="66">
        <v>2.1999999999999999E-2</v>
      </c>
      <c r="F77" s="30"/>
    </row>
    <row r="78" spans="1:6" ht="14.45" customHeight="1">
      <c r="A78" s="30"/>
      <c r="B78" s="124" t="s">
        <v>53</v>
      </c>
      <c r="C78" s="60" t="s">
        <v>135</v>
      </c>
      <c r="D78" s="61">
        <v>72</v>
      </c>
      <c r="E78" s="62">
        <v>1.6E-2</v>
      </c>
      <c r="F78" s="30"/>
    </row>
    <row r="79" spans="1:6" ht="14.45" customHeight="1">
      <c r="A79" s="30"/>
      <c r="B79" s="125"/>
      <c r="C79" s="60" t="s">
        <v>136</v>
      </c>
      <c r="D79" s="61">
        <v>110</v>
      </c>
      <c r="E79" s="62">
        <v>2.4E-2</v>
      </c>
      <c r="F79" s="30"/>
    </row>
    <row r="80" spans="1:6" ht="14.45" customHeight="1">
      <c r="A80" s="30"/>
      <c r="B80" s="126"/>
      <c r="C80" s="91" t="s">
        <v>29</v>
      </c>
      <c r="D80" s="65">
        <v>182</v>
      </c>
      <c r="E80" s="66">
        <v>0.04</v>
      </c>
      <c r="F80" s="30"/>
    </row>
    <row r="81" spans="1:6" ht="14.45" customHeight="1">
      <c r="A81" s="30"/>
      <c r="B81" s="124" t="s">
        <v>62</v>
      </c>
      <c r="C81" s="60" t="s">
        <v>135</v>
      </c>
      <c r="D81" s="61">
        <v>13</v>
      </c>
      <c r="E81" s="62">
        <v>3.0000000000000001E-3</v>
      </c>
      <c r="F81" s="30"/>
    </row>
    <row r="82" spans="1:6" ht="14.45" customHeight="1">
      <c r="A82" s="30"/>
      <c r="B82" s="125"/>
      <c r="C82" s="60" t="s">
        <v>136</v>
      </c>
      <c r="D82" s="61">
        <v>40</v>
      </c>
      <c r="E82" s="62">
        <v>8.9999999999999993E-3</v>
      </c>
      <c r="F82" s="30"/>
    </row>
    <row r="83" spans="1:6" ht="14.45" customHeight="1">
      <c r="A83" s="30"/>
      <c r="B83" s="126"/>
      <c r="C83" s="91" t="s">
        <v>29</v>
      </c>
      <c r="D83" s="65">
        <v>53</v>
      </c>
      <c r="E83" s="66">
        <v>1.2E-2</v>
      </c>
      <c r="F83" s="30"/>
    </row>
    <row r="84" spans="1:6" ht="14.45" customHeight="1">
      <c r="A84" s="30"/>
      <c r="B84" s="124" t="s">
        <v>73</v>
      </c>
      <c r="C84" s="60" t="s">
        <v>135</v>
      </c>
      <c r="D84" s="61">
        <v>14</v>
      </c>
      <c r="E84" s="62">
        <v>3.0000000000000001E-3</v>
      </c>
      <c r="F84" s="30"/>
    </row>
    <row r="85" spans="1:6" ht="14.45" customHeight="1">
      <c r="A85" s="30"/>
      <c r="B85" s="125"/>
      <c r="C85" s="60" t="s">
        <v>136</v>
      </c>
      <c r="D85" s="61">
        <v>36</v>
      </c>
      <c r="E85" s="62">
        <v>8.0000000000000002E-3</v>
      </c>
      <c r="F85" s="30"/>
    </row>
    <row r="86" spans="1:6" ht="14.45" customHeight="1">
      <c r="A86" s="30"/>
      <c r="B86" s="126"/>
      <c r="C86" s="91" t="s">
        <v>29</v>
      </c>
      <c r="D86" s="65">
        <v>50</v>
      </c>
      <c r="E86" s="66">
        <v>1.0999999999999999E-2</v>
      </c>
      <c r="F86" s="30"/>
    </row>
    <row r="87" spans="1:6" ht="14.45" customHeight="1">
      <c r="A87" s="30"/>
      <c r="B87" s="124" t="s">
        <v>219</v>
      </c>
      <c r="C87" s="60" t="s">
        <v>135</v>
      </c>
      <c r="D87" s="61">
        <v>9</v>
      </c>
      <c r="E87" s="62">
        <v>2E-3</v>
      </c>
      <c r="F87" s="30"/>
    </row>
    <row r="88" spans="1:6" ht="14.45" customHeight="1">
      <c r="A88" s="30"/>
      <c r="B88" s="125"/>
      <c r="C88" s="60" t="s">
        <v>136</v>
      </c>
      <c r="D88" s="61">
        <v>15</v>
      </c>
      <c r="E88" s="62">
        <v>3.0000000000000001E-3</v>
      </c>
      <c r="F88" s="30"/>
    </row>
    <row r="89" spans="1:6" ht="14.45" customHeight="1">
      <c r="A89" s="30"/>
      <c r="B89" s="126"/>
      <c r="C89" s="91" t="s">
        <v>29</v>
      </c>
      <c r="D89" s="65">
        <v>24</v>
      </c>
      <c r="E89" s="66">
        <v>5.0000000000000001E-3</v>
      </c>
      <c r="F89" s="30"/>
    </row>
    <row r="90" spans="1:6" ht="14.45" customHeight="1">
      <c r="A90" s="30"/>
      <c r="B90" s="124" t="s">
        <v>56</v>
      </c>
      <c r="C90" s="60" t="s">
        <v>135</v>
      </c>
      <c r="D90" s="61">
        <v>54</v>
      </c>
      <c r="E90" s="62">
        <v>1.2E-2</v>
      </c>
      <c r="F90" s="30"/>
    </row>
    <row r="91" spans="1:6" ht="14.45" customHeight="1">
      <c r="A91" s="30"/>
      <c r="B91" s="125"/>
      <c r="C91" s="60" t="s">
        <v>136</v>
      </c>
      <c r="D91" s="61">
        <v>126</v>
      </c>
      <c r="E91" s="62">
        <v>2.8000000000000001E-2</v>
      </c>
      <c r="F91" s="30"/>
    </row>
    <row r="92" spans="1:6" ht="14.45" customHeight="1">
      <c r="A92" s="30"/>
      <c r="B92" s="126"/>
      <c r="C92" s="91" t="s">
        <v>29</v>
      </c>
      <c r="D92" s="65">
        <v>180</v>
      </c>
      <c r="E92" s="66">
        <v>0.04</v>
      </c>
      <c r="F92" s="30"/>
    </row>
    <row r="93" spans="1:6" ht="14.45" customHeight="1">
      <c r="A93" s="30"/>
      <c r="B93" s="124" t="s">
        <v>65</v>
      </c>
      <c r="C93" s="60" t="s">
        <v>135</v>
      </c>
      <c r="D93" s="61">
        <v>26</v>
      </c>
      <c r="E93" s="62">
        <v>6.0000000000000001E-3</v>
      </c>
      <c r="F93" s="30"/>
    </row>
    <row r="94" spans="1:6" ht="14.45" customHeight="1">
      <c r="A94" s="30"/>
      <c r="B94" s="125"/>
      <c r="C94" s="60" t="s">
        <v>136</v>
      </c>
      <c r="D94" s="61">
        <v>66</v>
      </c>
      <c r="E94" s="62">
        <v>1.4999999999999999E-2</v>
      </c>
      <c r="F94" s="30"/>
    </row>
    <row r="95" spans="1:6" ht="14.45" customHeight="1">
      <c r="A95" s="30"/>
      <c r="B95" s="126"/>
      <c r="C95" s="91" t="s">
        <v>29</v>
      </c>
      <c r="D95" s="65">
        <v>92</v>
      </c>
      <c r="E95" s="66">
        <v>0.02</v>
      </c>
      <c r="F95" s="30"/>
    </row>
    <row r="96" spans="1:6" ht="14.45" customHeight="1">
      <c r="A96" s="30"/>
      <c r="B96" s="124" t="s">
        <v>61</v>
      </c>
      <c r="C96" s="60" t="s">
        <v>135</v>
      </c>
      <c r="D96" s="61">
        <v>39</v>
      </c>
      <c r="E96" s="62">
        <v>8.9999999999999993E-3</v>
      </c>
      <c r="F96" s="30"/>
    </row>
    <row r="97" spans="1:6" ht="14.45" customHeight="1">
      <c r="A97" s="30"/>
      <c r="B97" s="125"/>
      <c r="C97" s="60" t="s">
        <v>136</v>
      </c>
      <c r="D97" s="61">
        <v>92</v>
      </c>
      <c r="E97" s="62">
        <v>0.02</v>
      </c>
      <c r="F97" s="30"/>
    </row>
    <row r="98" spans="1:6" ht="14.45" customHeight="1">
      <c r="A98" s="30"/>
      <c r="B98" s="126"/>
      <c r="C98" s="91" t="s">
        <v>29</v>
      </c>
      <c r="D98" s="65">
        <v>131</v>
      </c>
      <c r="E98" s="66">
        <v>2.9000000000000001E-2</v>
      </c>
      <c r="F98" s="30"/>
    </row>
    <row r="99" spans="1:6" ht="14.45" customHeight="1">
      <c r="A99" s="30"/>
      <c r="B99" s="124" t="s">
        <v>85</v>
      </c>
      <c r="C99" s="60" t="s">
        <v>135</v>
      </c>
      <c r="D99" s="61">
        <v>21</v>
      </c>
      <c r="E99" s="62">
        <v>5.0000000000000001E-3</v>
      </c>
      <c r="F99" s="30"/>
    </row>
    <row r="100" spans="1:6" ht="14.45" customHeight="1">
      <c r="A100" s="30"/>
      <c r="B100" s="125"/>
      <c r="C100" s="60" t="s">
        <v>136</v>
      </c>
      <c r="D100" s="61">
        <v>39</v>
      </c>
      <c r="E100" s="62">
        <v>8.9999999999999993E-3</v>
      </c>
      <c r="F100" s="30"/>
    </row>
    <row r="101" spans="1:6" ht="14.45" customHeight="1">
      <c r="A101" s="30"/>
      <c r="B101" s="126"/>
      <c r="C101" s="91" t="s">
        <v>29</v>
      </c>
      <c r="D101" s="65">
        <v>60</v>
      </c>
      <c r="E101" s="66">
        <v>1.2999999999999999E-2</v>
      </c>
      <c r="F101" s="30"/>
    </row>
    <row r="102" spans="1:6" ht="14.45" customHeight="1">
      <c r="A102" s="30"/>
      <c r="B102" s="124" t="s">
        <v>48</v>
      </c>
      <c r="C102" s="60" t="s">
        <v>135</v>
      </c>
      <c r="D102" s="61">
        <v>51</v>
      </c>
      <c r="E102" s="62">
        <v>1.0999999999999999E-2</v>
      </c>
      <c r="F102" s="30"/>
    </row>
    <row r="103" spans="1:6" ht="14.45" customHeight="1">
      <c r="A103" s="30"/>
      <c r="B103" s="125"/>
      <c r="C103" s="60" t="s">
        <v>136</v>
      </c>
      <c r="D103" s="61">
        <v>124</v>
      </c>
      <c r="E103" s="62">
        <v>2.7E-2</v>
      </c>
      <c r="F103" s="30"/>
    </row>
    <row r="104" spans="1:6" ht="14.45" customHeight="1">
      <c r="A104" s="30"/>
      <c r="B104" s="126"/>
      <c r="C104" s="91" t="s">
        <v>29</v>
      </c>
      <c r="D104" s="65">
        <v>175</v>
      </c>
      <c r="E104" s="66">
        <v>3.9E-2</v>
      </c>
      <c r="F104" s="30"/>
    </row>
    <row r="105" spans="1:6" ht="14.45" customHeight="1">
      <c r="A105" s="30"/>
      <c r="B105" s="124" t="s">
        <v>87</v>
      </c>
      <c r="C105" s="60" t="s">
        <v>135</v>
      </c>
      <c r="D105" s="61">
        <v>5</v>
      </c>
      <c r="E105" s="62">
        <v>1E-3</v>
      </c>
      <c r="F105" s="30"/>
    </row>
    <row r="106" spans="1:6" ht="14.45" customHeight="1">
      <c r="A106" s="30"/>
      <c r="B106" s="125"/>
      <c r="C106" s="60" t="s">
        <v>136</v>
      </c>
      <c r="D106" s="61">
        <v>11</v>
      </c>
      <c r="E106" s="62">
        <v>2E-3</v>
      </c>
      <c r="F106" s="30"/>
    </row>
    <row r="107" spans="1:6" ht="14.45" customHeight="1">
      <c r="A107" s="30"/>
      <c r="B107" s="126"/>
      <c r="C107" s="91" t="s">
        <v>29</v>
      </c>
      <c r="D107" s="65">
        <v>16</v>
      </c>
      <c r="E107" s="66">
        <v>4.0000000000000001E-3</v>
      </c>
      <c r="F107" s="30"/>
    </row>
    <row r="108" spans="1:6" ht="14.45" customHeight="1">
      <c r="A108" s="30"/>
      <c r="B108" s="124" t="s">
        <v>66</v>
      </c>
      <c r="C108" s="60" t="s">
        <v>135</v>
      </c>
      <c r="D108" s="61">
        <v>13</v>
      </c>
      <c r="E108" s="62">
        <v>3.0000000000000001E-3</v>
      </c>
      <c r="F108" s="30"/>
    </row>
    <row r="109" spans="1:6" ht="14.45" customHeight="1">
      <c r="A109" s="30"/>
      <c r="B109" s="125"/>
      <c r="C109" s="60" t="s">
        <v>136</v>
      </c>
      <c r="D109" s="61">
        <v>25</v>
      </c>
      <c r="E109" s="62">
        <v>6.0000000000000001E-3</v>
      </c>
      <c r="F109" s="30"/>
    </row>
    <row r="110" spans="1:6" ht="14.45" customHeight="1">
      <c r="A110" s="30"/>
      <c r="B110" s="126"/>
      <c r="C110" s="91" t="s">
        <v>29</v>
      </c>
      <c r="D110" s="65">
        <v>38</v>
      </c>
      <c r="E110" s="66">
        <v>8.0000000000000002E-3</v>
      </c>
      <c r="F110" s="30"/>
    </row>
    <row r="111" spans="1:6" ht="14.45" customHeight="1">
      <c r="A111" s="30"/>
      <c r="B111" s="124" t="s">
        <v>81</v>
      </c>
      <c r="C111" s="60" t="s">
        <v>135</v>
      </c>
      <c r="D111" s="61">
        <v>4</v>
      </c>
      <c r="E111" s="62">
        <v>1E-3</v>
      </c>
      <c r="F111" s="30"/>
    </row>
    <row r="112" spans="1:6" ht="14.45" customHeight="1">
      <c r="A112" s="30"/>
      <c r="B112" s="125"/>
      <c r="C112" s="60" t="s">
        <v>136</v>
      </c>
      <c r="D112" s="61">
        <v>12</v>
      </c>
      <c r="E112" s="62">
        <v>3.0000000000000001E-3</v>
      </c>
      <c r="F112" s="30"/>
    </row>
    <row r="113" spans="1:6" ht="14.45" customHeight="1">
      <c r="A113" s="30"/>
      <c r="B113" s="126"/>
      <c r="C113" s="91" t="s">
        <v>29</v>
      </c>
      <c r="D113" s="65">
        <v>16</v>
      </c>
      <c r="E113" s="66">
        <v>4.0000000000000001E-3</v>
      </c>
      <c r="F113" s="30"/>
    </row>
    <row r="114" spans="1:6" ht="14.45" customHeight="1">
      <c r="A114" s="30"/>
      <c r="B114" s="124" t="s">
        <v>64</v>
      </c>
      <c r="C114" s="60" t="s">
        <v>135</v>
      </c>
      <c r="D114" s="61">
        <v>9</v>
      </c>
      <c r="E114" s="62">
        <v>2E-3</v>
      </c>
      <c r="F114" s="30"/>
    </row>
    <row r="115" spans="1:6" ht="14.45" customHeight="1">
      <c r="A115" s="30"/>
      <c r="B115" s="125"/>
      <c r="C115" s="60" t="s">
        <v>136</v>
      </c>
      <c r="D115" s="61">
        <v>34</v>
      </c>
      <c r="E115" s="62">
        <v>8.0000000000000002E-3</v>
      </c>
      <c r="F115" s="30"/>
    </row>
    <row r="116" spans="1:6" ht="14.45" customHeight="1">
      <c r="A116" s="30"/>
      <c r="B116" s="126"/>
      <c r="C116" s="91" t="s">
        <v>29</v>
      </c>
      <c r="D116" s="65">
        <v>43</v>
      </c>
      <c r="E116" s="66">
        <v>8.9999999999999993E-3</v>
      </c>
      <c r="F116" s="30"/>
    </row>
    <row r="117" spans="1:6" ht="14.45" customHeight="1">
      <c r="A117" s="30"/>
      <c r="B117" s="124" t="s">
        <v>46</v>
      </c>
      <c r="C117" s="60" t="s">
        <v>135</v>
      </c>
      <c r="D117" s="61">
        <v>228</v>
      </c>
      <c r="E117" s="62">
        <v>0.05</v>
      </c>
      <c r="F117" s="30"/>
    </row>
    <row r="118" spans="1:6" ht="14.45" customHeight="1">
      <c r="A118" s="30"/>
      <c r="B118" s="125"/>
      <c r="C118" s="60" t="s">
        <v>136</v>
      </c>
      <c r="D118" s="61">
        <v>431</v>
      </c>
      <c r="E118" s="62">
        <v>9.5000000000000001E-2</v>
      </c>
      <c r="F118" s="30"/>
    </row>
    <row r="119" spans="1:6" ht="14.45" customHeight="1">
      <c r="A119" s="30"/>
      <c r="B119" s="126"/>
      <c r="C119" s="91" t="s">
        <v>29</v>
      </c>
      <c r="D119" s="65">
        <v>659</v>
      </c>
      <c r="E119" s="66">
        <v>0.14499999999999999</v>
      </c>
      <c r="F119" s="30"/>
    </row>
    <row r="120" spans="1:6" ht="14.45" customHeight="1">
      <c r="A120" s="30"/>
      <c r="B120" s="124" t="s">
        <v>79</v>
      </c>
      <c r="C120" s="60" t="s">
        <v>135</v>
      </c>
      <c r="D120" s="61">
        <v>11</v>
      </c>
      <c r="E120" s="62">
        <v>2E-3</v>
      </c>
      <c r="F120" s="30"/>
    </row>
    <row r="121" spans="1:6" ht="14.45" customHeight="1">
      <c r="A121" s="30"/>
      <c r="B121" s="125"/>
      <c r="C121" s="60" t="s">
        <v>136</v>
      </c>
      <c r="D121" s="61">
        <v>22</v>
      </c>
      <c r="E121" s="62">
        <v>5.0000000000000001E-3</v>
      </c>
      <c r="F121" s="30"/>
    </row>
    <row r="122" spans="1:6" ht="14.45" customHeight="1">
      <c r="A122" s="30"/>
      <c r="B122" s="126"/>
      <c r="C122" s="91" t="s">
        <v>29</v>
      </c>
      <c r="D122" s="65">
        <v>33</v>
      </c>
      <c r="E122" s="66">
        <v>7.0000000000000001E-3</v>
      </c>
      <c r="F122" s="30"/>
    </row>
    <row r="123" spans="1:6" ht="14.45" customHeight="1">
      <c r="A123" s="30"/>
      <c r="B123" s="124" t="s">
        <v>70</v>
      </c>
      <c r="C123" s="60" t="s">
        <v>135</v>
      </c>
      <c r="D123" s="61">
        <v>18</v>
      </c>
      <c r="E123" s="62">
        <v>4.0000000000000001E-3</v>
      </c>
      <c r="F123" s="30"/>
    </row>
    <row r="124" spans="1:6" ht="14.45" customHeight="1">
      <c r="A124" s="30"/>
      <c r="B124" s="125"/>
      <c r="C124" s="60" t="s">
        <v>136</v>
      </c>
      <c r="D124" s="61">
        <v>33</v>
      </c>
      <c r="E124" s="62">
        <v>7.0000000000000001E-3</v>
      </c>
      <c r="F124" s="30"/>
    </row>
    <row r="125" spans="1:6" ht="14.45" customHeight="1">
      <c r="A125" s="30"/>
      <c r="B125" s="126"/>
      <c r="C125" s="91" t="s">
        <v>29</v>
      </c>
      <c r="D125" s="65">
        <v>51</v>
      </c>
      <c r="E125" s="66">
        <v>1.0999999999999999E-2</v>
      </c>
      <c r="F125" s="30"/>
    </row>
    <row r="126" spans="1:6" ht="14.45" customHeight="1">
      <c r="A126" s="30"/>
      <c r="B126" s="124" t="s">
        <v>80</v>
      </c>
      <c r="C126" s="60" t="s">
        <v>135</v>
      </c>
      <c r="D126" s="61">
        <v>12</v>
      </c>
      <c r="E126" s="62">
        <v>3.0000000000000001E-3</v>
      </c>
      <c r="F126" s="30"/>
    </row>
    <row r="127" spans="1:6" ht="14.45" customHeight="1">
      <c r="A127" s="30"/>
      <c r="B127" s="125"/>
      <c r="C127" s="60" t="s">
        <v>136</v>
      </c>
      <c r="D127" s="61">
        <v>22</v>
      </c>
      <c r="E127" s="62">
        <v>5.0000000000000001E-3</v>
      </c>
      <c r="F127" s="30"/>
    </row>
    <row r="128" spans="1:6" ht="14.45" customHeight="1">
      <c r="A128" s="30"/>
      <c r="B128" s="126"/>
      <c r="C128" s="91" t="s">
        <v>29</v>
      </c>
      <c r="D128" s="65">
        <v>34</v>
      </c>
      <c r="E128" s="66">
        <v>8.0000000000000002E-3</v>
      </c>
      <c r="F128" s="30"/>
    </row>
    <row r="129" spans="1:6" ht="14.45" customHeight="1">
      <c r="A129" s="30"/>
      <c r="B129" s="124" t="s">
        <v>69</v>
      </c>
      <c r="C129" s="60" t="s">
        <v>135</v>
      </c>
      <c r="D129" s="61">
        <v>19</v>
      </c>
      <c r="E129" s="62">
        <v>4.0000000000000001E-3</v>
      </c>
      <c r="F129" s="30"/>
    </row>
    <row r="130" spans="1:6" ht="14.45" customHeight="1">
      <c r="A130" s="30"/>
      <c r="B130" s="125"/>
      <c r="C130" s="60" t="s">
        <v>136</v>
      </c>
      <c r="D130" s="61">
        <v>31</v>
      </c>
      <c r="E130" s="62">
        <v>7.0000000000000001E-3</v>
      </c>
      <c r="F130" s="30"/>
    </row>
    <row r="131" spans="1:6" ht="14.45" customHeight="1">
      <c r="A131" s="30"/>
      <c r="B131" s="126"/>
      <c r="C131" s="91" t="s">
        <v>29</v>
      </c>
      <c r="D131" s="65">
        <v>50</v>
      </c>
      <c r="E131" s="66">
        <v>1.0999999999999999E-2</v>
      </c>
      <c r="F131" s="30"/>
    </row>
    <row r="132" spans="1:6" ht="14.45" customHeight="1">
      <c r="A132" s="30"/>
      <c r="B132" s="124" t="s">
        <v>77</v>
      </c>
      <c r="C132" s="60" t="s">
        <v>135</v>
      </c>
      <c r="D132" s="61">
        <v>13</v>
      </c>
      <c r="E132" s="62">
        <v>3.0000000000000001E-3</v>
      </c>
      <c r="F132" s="30"/>
    </row>
    <row r="133" spans="1:6" ht="14.45" customHeight="1">
      <c r="A133" s="30"/>
      <c r="B133" s="125"/>
      <c r="C133" s="60" t="s">
        <v>136</v>
      </c>
      <c r="D133" s="61">
        <v>29</v>
      </c>
      <c r="E133" s="62">
        <v>6.0000000000000001E-3</v>
      </c>
      <c r="F133" s="30"/>
    </row>
    <row r="134" spans="1:6" ht="14.45" customHeight="1">
      <c r="A134" s="30"/>
      <c r="B134" s="126"/>
      <c r="C134" s="91" t="s">
        <v>29</v>
      </c>
      <c r="D134" s="65">
        <v>42</v>
      </c>
      <c r="E134" s="66">
        <v>8.9999999999999993E-3</v>
      </c>
      <c r="F134" s="30"/>
    </row>
    <row r="135" spans="1:6" ht="14.45" customHeight="1">
      <c r="A135" s="30"/>
      <c r="B135" s="124" t="s">
        <v>83</v>
      </c>
      <c r="C135" s="60" t="s">
        <v>135</v>
      </c>
      <c r="D135" s="61">
        <v>5</v>
      </c>
      <c r="E135" s="62">
        <v>1E-3</v>
      </c>
      <c r="F135" s="30"/>
    </row>
    <row r="136" spans="1:6" ht="14.45" customHeight="1">
      <c r="A136" s="30"/>
      <c r="B136" s="125"/>
      <c r="C136" s="60" t="s">
        <v>136</v>
      </c>
      <c r="D136" s="61">
        <v>9</v>
      </c>
      <c r="E136" s="62">
        <v>2E-3</v>
      </c>
      <c r="F136" s="30"/>
    </row>
    <row r="137" spans="1:6" ht="14.45" customHeight="1">
      <c r="A137" s="30"/>
      <c r="B137" s="126"/>
      <c r="C137" s="91" t="s">
        <v>29</v>
      </c>
      <c r="D137" s="65">
        <v>14</v>
      </c>
      <c r="E137" s="66">
        <v>3.0000000000000001E-3</v>
      </c>
      <c r="F137" s="30"/>
    </row>
    <row r="138" spans="1:6" ht="14.45" customHeight="1">
      <c r="A138" s="30"/>
      <c r="B138" s="124" t="s">
        <v>71</v>
      </c>
      <c r="C138" s="60" t="s">
        <v>135</v>
      </c>
      <c r="D138" s="61">
        <v>18</v>
      </c>
      <c r="E138" s="62">
        <v>4.0000000000000001E-3</v>
      </c>
      <c r="F138" s="30"/>
    </row>
    <row r="139" spans="1:6" ht="14.45" customHeight="1">
      <c r="A139" s="30"/>
      <c r="B139" s="125"/>
      <c r="C139" s="60" t="s">
        <v>136</v>
      </c>
      <c r="D139" s="61">
        <v>25</v>
      </c>
      <c r="E139" s="62">
        <v>6.0000000000000001E-3</v>
      </c>
      <c r="F139" s="30"/>
    </row>
    <row r="140" spans="1:6" ht="14.45" customHeight="1">
      <c r="A140" s="30"/>
      <c r="B140" s="126"/>
      <c r="C140" s="91" t="s">
        <v>29</v>
      </c>
      <c r="D140" s="65">
        <v>43</v>
      </c>
      <c r="E140" s="66">
        <v>8.9999999999999993E-3</v>
      </c>
      <c r="F140" s="30"/>
    </row>
    <row r="141" spans="1:6" ht="14.45" customHeight="1">
      <c r="A141" s="30"/>
      <c r="B141" s="124" t="s">
        <v>72</v>
      </c>
      <c r="C141" s="60" t="s">
        <v>135</v>
      </c>
      <c r="D141" s="61">
        <v>22</v>
      </c>
      <c r="E141" s="62">
        <v>5.0000000000000001E-3</v>
      </c>
      <c r="F141" s="30"/>
    </row>
    <row r="142" spans="1:6" ht="14.45" customHeight="1">
      <c r="A142" s="30"/>
      <c r="B142" s="125"/>
      <c r="C142" s="60" t="s">
        <v>136</v>
      </c>
      <c r="D142" s="61">
        <v>38</v>
      </c>
      <c r="E142" s="62">
        <v>8.0000000000000002E-3</v>
      </c>
      <c r="F142" s="30"/>
    </row>
    <row r="143" spans="1:6" ht="14.45" customHeight="1">
      <c r="A143" s="30"/>
      <c r="B143" s="126"/>
      <c r="C143" s="91" t="s">
        <v>29</v>
      </c>
      <c r="D143" s="65">
        <v>60</v>
      </c>
      <c r="E143" s="66">
        <v>1.2999999999999999E-2</v>
      </c>
      <c r="F143" s="30"/>
    </row>
    <row r="144" spans="1:6" ht="14.45" customHeight="1">
      <c r="A144" s="30"/>
      <c r="B144" s="124" t="s">
        <v>76</v>
      </c>
      <c r="C144" s="60" t="s">
        <v>135</v>
      </c>
      <c r="D144" s="61">
        <v>13</v>
      </c>
      <c r="E144" s="62">
        <v>3.0000000000000001E-3</v>
      </c>
      <c r="F144" s="30"/>
    </row>
    <row r="145" spans="1:6" ht="14.45" customHeight="1">
      <c r="A145" s="30"/>
      <c r="B145" s="125"/>
      <c r="C145" s="60" t="s">
        <v>136</v>
      </c>
      <c r="D145" s="61">
        <v>27</v>
      </c>
      <c r="E145" s="62">
        <v>6.0000000000000001E-3</v>
      </c>
      <c r="F145" s="30"/>
    </row>
    <row r="146" spans="1:6" ht="14.45" customHeight="1">
      <c r="A146" s="30"/>
      <c r="B146" s="126"/>
      <c r="C146" s="91" t="s">
        <v>29</v>
      </c>
      <c r="D146" s="65">
        <v>40</v>
      </c>
      <c r="E146" s="66">
        <v>8.9999999999999993E-3</v>
      </c>
      <c r="F146" s="30"/>
    </row>
    <row r="147" spans="1:6" ht="14.45" customHeight="1">
      <c r="A147" s="30"/>
      <c r="B147" s="124" t="s">
        <v>84</v>
      </c>
      <c r="C147" s="60" t="s">
        <v>135</v>
      </c>
      <c r="D147" s="61">
        <v>2</v>
      </c>
      <c r="E147" s="62">
        <v>0</v>
      </c>
      <c r="F147" s="30"/>
    </row>
    <row r="148" spans="1:6" ht="14.45" customHeight="1">
      <c r="A148" s="30"/>
      <c r="B148" s="125"/>
      <c r="C148" s="60" t="s">
        <v>136</v>
      </c>
      <c r="D148" s="61">
        <v>12</v>
      </c>
      <c r="E148" s="62">
        <v>3.0000000000000001E-3</v>
      </c>
      <c r="F148" s="30"/>
    </row>
    <row r="149" spans="1:6" ht="14.45" customHeight="1">
      <c r="A149" s="30"/>
      <c r="B149" s="126"/>
      <c r="C149" s="91" t="s">
        <v>29</v>
      </c>
      <c r="D149" s="65">
        <v>14</v>
      </c>
      <c r="E149" s="66">
        <v>3.0000000000000001E-3</v>
      </c>
      <c r="F149" s="30"/>
    </row>
    <row r="150" spans="1:6" ht="14.45" customHeight="1">
      <c r="A150" s="30"/>
      <c r="B150" s="124" t="s">
        <v>90</v>
      </c>
      <c r="C150" s="60" t="s">
        <v>135</v>
      </c>
      <c r="D150" s="61">
        <v>1</v>
      </c>
      <c r="E150" s="62">
        <v>0</v>
      </c>
      <c r="F150" s="30"/>
    </row>
    <row r="151" spans="1:6" ht="14.45" customHeight="1">
      <c r="A151" s="30"/>
      <c r="B151" s="125"/>
      <c r="C151" s="60" t="s">
        <v>136</v>
      </c>
      <c r="D151" s="61">
        <v>2</v>
      </c>
      <c r="E151" s="62">
        <v>0</v>
      </c>
      <c r="F151" s="30"/>
    </row>
    <row r="152" spans="1:6" ht="14.45" customHeight="1">
      <c r="A152" s="30"/>
      <c r="B152" s="126"/>
      <c r="C152" s="91" t="s">
        <v>29</v>
      </c>
      <c r="D152" s="65">
        <v>3</v>
      </c>
      <c r="E152" s="66">
        <v>1E-3</v>
      </c>
      <c r="F152" s="30"/>
    </row>
    <row r="153" spans="1:6" ht="14.45" customHeight="1">
      <c r="A153" s="30"/>
      <c r="B153" s="124" t="s">
        <v>55</v>
      </c>
      <c r="C153" s="60" t="s">
        <v>135</v>
      </c>
      <c r="D153" s="61">
        <v>42</v>
      </c>
      <c r="E153" s="62">
        <v>8.9999999999999993E-3</v>
      </c>
      <c r="F153" s="30"/>
    </row>
    <row r="154" spans="1:6" ht="14.45" customHeight="1">
      <c r="A154" s="30"/>
      <c r="B154" s="125"/>
      <c r="C154" s="60" t="s">
        <v>136</v>
      </c>
      <c r="D154" s="61">
        <v>99</v>
      </c>
      <c r="E154" s="62">
        <v>2.1999999999999999E-2</v>
      </c>
      <c r="F154" s="30"/>
    </row>
    <row r="155" spans="1:6" ht="14.45" customHeight="1">
      <c r="A155" s="30"/>
      <c r="B155" s="126"/>
      <c r="C155" s="91" t="s">
        <v>29</v>
      </c>
      <c r="D155" s="65">
        <v>141</v>
      </c>
      <c r="E155" s="66">
        <v>3.1E-2</v>
      </c>
      <c r="F155" s="30"/>
    </row>
    <row r="156" spans="1:6" ht="14.45" customHeight="1">
      <c r="A156" s="30"/>
      <c r="B156" s="127" t="s">
        <v>316</v>
      </c>
      <c r="C156" s="127"/>
      <c r="D156" s="92">
        <v>4533</v>
      </c>
      <c r="E156" s="69">
        <v>1</v>
      </c>
      <c r="F156" s="30"/>
    </row>
    <row r="157" spans="1:6" ht="14.45" customHeight="1">
      <c r="A157" s="30"/>
      <c r="B157" s="38"/>
      <c r="C157" s="47"/>
      <c r="D157" s="56"/>
      <c r="E157" s="47"/>
      <c r="F157" s="30"/>
    </row>
    <row r="158" spans="1:6" ht="14.45" customHeight="1">
      <c r="A158" s="30"/>
      <c r="B158" s="38" t="s">
        <v>218</v>
      </c>
      <c r="C158" s="47"/>
      <c r="D158" s="56"/>
      <c r="E158" s="47"/>
      <c r="F158" s="30"/>
    </row>
    <row r="159" spans="1:6" ht="12.75">
      <c r="A159" s="30"/>
      <c r="B159" s="40" t="s">
        <v>18</v>
      </c>
      <c r="C159" s="47"/>
      <c r="D159" s="56"/>
      <c r="E159" s="47"/>
      <c r="F159" s="30"/>
    </row>
    <row r="160" spans="1:6" ht="12.75">
      <c r="A160" s="30"/>
      <c r="B160" s="41" t="s">
        <v>45</v>
      </c>
      <c r="C160" s="47"/>
      <c r="D160" s="56"/>
      <c r="E160" s="47"/>
      <c r="F160" s="30"/>
    </row>
    <row r="161" spans="1:6" ht="12.75">
      <c r="A161" s="30"/>
      <c r="B161" s="38" t="s">
        <v>17</v>
      </c>
      <c r="C161" s="47"/>
      <c r="D161" s="56"/>
      <c r="E161" s="47"/>
      <c r="F161" s="30"/>
    </row>
    <row r="162" spans="1:6" ht="12.75">
      <c r="A162" s="30"/>
      <c r="B162" s="38" t="s">
        <v>317</v>
      </c>
      <c r="C162" s="47"/>
      <c r="D162" s="56"/>
      <c r="E162" s="47"/>
      <c r="F162" s="30"/>
    </row>
    <row r="163" spans="1:6" ht="12.75">
      <c r="A163" s="30"/>
      <c r="B163" s="47"/>
      <c r="C163" s="47"/>
      <c r="D163" s="56"/>
      <c r="E163" s="47"/>
      <c r="F163" s="30"/>
    </row>
  </sheetData>
  <mergeCells count="50">
    <mergeCell ref="B117:B119"/>
    <mergeCell ref="B120:B122"/>
    <mergeCell ref="B123:B125"/>
    <mergeCell ref="B126:B128"/>
    <mergeCell ref="B78:B80"/>
    <mergeCell ref="B81:B83"/>
    <mergeCell ref="B84:B86"/>
    <mergeCell ref="B87:B89"/>
    <mergeCell ref="B114:B116"/>
    <mergeCell ref="B54:B56"/>
    <mergeCell ref="B57:B59"/>
    <mergeCell ref="B60:B62"/>
    <mergeCell ref="B63:B65"/>
    <mergeCell ref="B75:B77"/>
    <mergeCell ref="B8:E10"/>
    <mergeCell ref="B13:B15"/>
    <mergeCell ref="B16:B18"/>
    <mergeCell ref="B34:B36"/>
    <mergeCell ref="B37:B39"/>
    <mergeCell ref="B19:B21"/>
    <mergeCell ref="B22:B24"/>
    <mergeCell ref="B25:B27"/>
    <mergeCell ref="B28:B30"/>
    <mergeCell ref="B31:B33"/>
    <mergeCell ref="B40:B42"/>
    <mergeCell ref="B105:B107"/>
    <mergeCell ref="B108:B110"/>
    <mergeCell ref="B111:B113"/>
    <mergeCell ref="B43:B45"/>
    <mergeCell ref="B46:B47"/>
    <mergeCell ref="B48:B50"/>
    <mergeCell ref="B66:B68"/>
    <mergeCell ref="B69:B71"/>
    <mergeCell ref="B72:B74"/>
    <mergeCell ref="B90:B92"/>
    <mergeCell ref="B93:B95"/>
    <mergeCell ref="B96:B98"/>
    <mergeCell ref="B99:B101"/>
    <mergeCell ref="B102:B104"/>
    <mergeCell ref="B51:B53"/>
    <mergeCell ref="B129:B131"/>
    <mergeCell ref="B132:B134"/>
    <mergeCell ref="B135:B137"/>
    <mergeCell ref="B138:B140"/>
    <mergeCell ref="B156:C156"/>
    <mergeCell ref="B141:B143"/>
    <mergeCell ref="B144:B146"/>
    <mergeCell ref="B147:B149"/>
    <mergeCell ref="B150:B152"/>
    <mergeCell ref="B153:B155"/>
  </mergeCells>
  <printOptions horizontalCentered="1"/>
  <pageMargins left="0.74803149606299213" right="0.74803149606299213" top="0.98425196850393704" bottom="0.98425196850393704" header="0.51181102362204722" footer="0.51181102362204722"/>
  <pageSetup scale="61" orientation="portrait" r:id="rId1"/>
  <headerFooter>
    <oddFooter>&amp;C&amp;P de &amp;N</oddFooter>
  </headerFooter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00B050"/>
  </sheetPr>
  <dimension ref="A1:F157"/>
  <sheetViews>
    <sheetView showGridLines="0" view="pageBreakPreview" zoomScale="90" zoomScaleNormal="98" zoomScaleSheetLayoutView="90" workbookViewId="0">
      <selection activeCell="D151" sqref="D151"/>
    </sheetView>
  </sheetViews>
  <sheetFormatPr baseColWidth="10" defaultColWidth="11.42578125" defaultRowHeight="11.25"/>
  <cols>
    <col min="1" max="1" width="5.7109375" style="15" customWidth="1"/>
    <col min="2" max="3" width="23.7109375" style="21" customWidth="1"/>
    <col min="4" max="4" width="15.7109375" style="24" customWidth="1"/>
    <col min="5" max="5" width="15.7109375" style="21" customWidth="1"/>
    <col min="6" max="6" width="3.140625" style="15" customWidth="1"/>
    <col min="7" max="16384" width="11.42578125" style="15"/>
  </cols>
  <sheetData>
    <row r="1" spans="1:6" s="13" customFormat="1" ht="15">
      <c r="B1" s="21"/>
      <c r="C1" s="21"/>
    </row>
    <row r="2" spans="1:6" s="21" customFormat="1">
      <c r="B2" s="27"/>
    </row>
    <row r="3" spans="1:6" ht="15" customHeight="1">
      <c r="B3" s="28"/>
      <c r="C3" s="17"/>
      <c r="D3" s="15"/>
      <c r="F3" s="21"/>
    </row>
    <row r="4" spans="1:6" ht="30" customHeight="1">
      <c r="B4" s="28"/>
      <c r="C4" s="17"/>
      <c r="D4" s="15"/>
      <c r="F4" s="21"/>
    </row>
    <row r="5" spans="1:6" ht="15" customHeight="1">
      <c r="B5" s="28"/>
      <c r="C5" s="17"/>
      <c r="D5" s="15"/>
      <c r="F5" s="21"/>
    </row>
    <row r="6" spans="1:6" s="21" customFormat="1">
      <c r="B6" s="23"/>
      <c r="C6" s="20"/>
    </row>
    <row r="7" spans="1:6" s="21" customFormat="1">
      <c r="B7" s="27"/>
    </row>
    <row r="8" spans="1:6" s="13" customFormat="1" ht="15" customHeight="1">
      <c r="A8" s="34"/>
      <c r="B8" s="117" t="s">
        <v>40</v>
      </c>
      <c r="C8" s="117"/>
      <c r="D8" s="117"/>
      <c r="E8" s="117"/>
      <c r="F8" s="34"/>
    </row>
    <row r="9" spans="1:6" s="13" customFormat="1" ht="15" customHeight="1">
      <c r="A9" s="34"/>
      <c r="B9" s="117"/>
      <c r="C9" s="117"/>
      <c r="D9" s="117"/>
      <c r="E9" s="117"/>
      <c r="F9" s="54"/>
    </row>
    <row r="10" spans="1:6" s="13" customFormat="1" ht="15" customHeight="1">
      <c r="A10" s="34"/>
      <c r="B10" s="117"/>
      <c r="C10" s="117"/>
      <c r="D10" s="117"/>
      <c r="E10" s="117"/>
      <c r="F10" s="34"/>
    </row>
    <row r="11" spans="1:6" s="13" customFormat="1" ht="15" customHeight="1">
      <c r="A11" s="34"/>
      <c r="B11" s="55"/>
      <c r="C11" s="55"/>
      <c r="D11" s="55"/>
      <c r="E11" s="55"/>
      <c r="F11" s="34"/>
    </row>
    <row r="12" spans="1:6" s="13" customFormat="1" ht="26.25" customHeight="1">
      <c r="A12" s="34"/>
      <c r="B12" s="59" t="s">
        <v>25</v>
      </c>
      <c r="C12" s="59" t="s">
        <v>30</v>
      </c>
      <c r="D12" s="59" t="s">
        <v>20</v>
      </c>
      <c r="E12" s="59" t="s">
        <v>19</v>
      </c>
      <c r="F12" s="34"/>
    </row>
    <row r="13" spans="1:6" ht="14.45" customHeight="1">
      <c r="A13" s="30"/>
      <c r="B13" s="124" t="s">
        <v>92</v>
      </c>
      <c r="C13" s="60" t="s">
        <v>135</v>
      </c>
      <c r="D13" s="61">
        <v>36</v>
      </c>
      <c r="E13" s="62">
        <v>8.0000000000000002E-3</v>
      </c>
      <c r="F13" s="30"/>
    </row>
    <row r="14" spans="1:6" ht="14.45" customHeight="1">
      <c r="A14" s="30"/>
      <c r="B14" s="125"/>
      <c r="C14" s="60" t="s">
        <v>136</v>
      </c>
      <c r="D14" s="61">
        <v>110</v>
      </c>
      <c r="E14" s="62">
        <v>2.4E-2</v>
      </c>
      <c r="F14" s="30"/>
    </row>
    <row r="15" spans="1:6" ht="14.45" customHeight="1">
      <c r="A15" s="30"/>
      <c r="B15" s="126"/>
      <c r="C15" s="70" t="s">
        <v>29</v>
      </c>
      <c r="D15" s="63">
        <v>146</v>
      </c>
      <c r="E15" s="67">
        <v>3.2000000000000001E-2</v>
      </c>
      <c r="F15" s="30"/>
    </row>
    <row r="16" spans="1:6" ht="14.45" customHeight="1">
      <c r="A16" s="30"/>
      <c r="B16" s="124" t="s">
        <v>93</v>
      </c>
      <c r="C16" s="60" t="s">
        <v>135</v>
      </c>
      <c r="D16" s="61">
        <v>15</v>
      </c>
      <c r="E16" s="62">
        <v>3.0000000000000001E-3</v>
      </c>
      <c r="F16" s="30"/>
    </row>
    <row r="17" spans="1:6" ht="14.45" customHeight="1">
      <c r="A17" s="30"/>
      <c r="B17" s="125"/>
      <c r="C17" s="60" t="s">
        <v>136</v>
      </c>
      <c r="D17" s="61">
        <v>28</v>
      </c>
      <c r="E17" s="62">
        <v>6.0000000000000001E-3</v>
      </c>
      <c r="F17" s="30"/>
    </row>
    <row r="18" spans="1:6" ht="14.45" customHeight="1">
      <c r="A18" s="30"/>
      <c r="B18" s="126"/>
      <c r="C18" s="70" t="s">
        <v>29</v>
      </c>
      <c r="D18" s="64">
        <v>43</v>
      </c>
      <c r="E18" s="66">
        <v>8.9999999999999993E-3</v>
      </c>
      <c r="F18" s="30"/>
    </row>
    <row r="19" spans="1:6" ht="14.45" customHeight="1">
      <c r="A19" s="30"/>
      <c r="B19" s="124" t="s">
        <v>94</v>
      </c>
      <c r="C19" s="60" t="s">
        <v>135</v>
      </c>
      <c r="D19" s="61">
        <v>15</v>
      </c>
      <c r="E19" s="62">
        <v>3.0000000000000001E-3</v>
      </c>
      <c r="F19" s="30"/>
    </row>
    <row r="20" spans="1:6" ht="14.45" customHeight="1">
      <c r="A20" s="30"/>
      <c r="B20" s="125"/>
      <c r="C20" s="60" t="s">
        <v>136</v>
      </c>
      <c r="D20" s="61">
        <v>33</v>
      </c>
      <c r="E20" s="62">
        <v>7.0000000000000001E-3</v>
      </c>
      <c r="F20" s="30"/>
    </row>
    <row r="21" spans="1:6" ht="14.45" customHeight="1">
      <c r="A21" s="30"/>
      <c r="B21" s="126"/>
      <c r="C21" s="70" t="s">
        <v>29</v>
      </c>
      <c r="D21" s="64">
        <v>48</v>
      </c>
      <c r="E21" s="66">
        <v>1.0999999999999999E-2</v>
      </c>
      <c r="F21" s="30"/>
    </row>
    <row r="22" spans="1:6" ht="14.45" customHeight="1">
      <c r="A22" s="30"/>
      <c r="B22" s="124" t="s">
        <v>95</v>
      </c>
      <c r="C22" s="60" t="s">
        <v>135</v>
      </c>
      <c r="D22" s="61">
        <v>136</v>
      </c>
      <c r="E22" s="62">
        <v>0.03</v>
      </c>
      <c r="F22" s="30"/>
    </row>
    <row r="23" spans="1:6" ht="14.45" customHeight="1">
      <c r="A23" s="30"/>
      <c r="B23" s="125"/>
      <c r="C23" s="60" t="s">
        <v>136</v>
      </c>
      <c r="D23" s="61">
        <v>239</v>
      </c>
      <c r="E23" s="62">
        <v>5.2999999999999999E-2</v>
      </c>
      <c r="F23" s="30"/>
    </row>
    <row r="24" spans="1:6" ht="14.45" customHeight="1">
      <c r="A24" s="30"/>
      <c r="B24" s="126"/>
      <c r="C24" s="70" t="s">
        <v>29</v>
      </c>
      <c r="D24" s="64">
        <v>375</v>
      </c>
      <c r="E24" s="66">
        <v>8.3000000000000004E-2</v>
      </c>
      <c r="F24" s="30"/>
    </row>
    <row r="25" spans="1:6" ht="14.45" customHeight="1">
      <c r="A25" s="30"/>
      <c r="B25" s="124" t="s">
        <v>96</v>
      </c>
      <c r="C25" s="60" t="s">
        <v>135</v>
      </c>
      <c r="D25" s="61">
        <v>28</v>
      </c>
      <c r="E25" s="62">
        <v>6.0000000000000001E-3</v>
      </c>
      <c r="F25" s="30"/>
    </row>
    <row r="26" spans="1:6" ht="14.45" customHeight="1">
      <c r="A26" s="30"/>
      <c r="B26" s="125"/>
      <c r="C26" s="60" t="s">
        <v>136</v>
      </c>
      <c r="D26" s="61">
        <v>68</v>
      </c>
      <c r="E26" s="62">
        <v>1.4999999999999999E-2</v>
      </c>
      <c r="F26" s="30"/>
    </row>
    <row r="27" spans="1:6" ht="14.45" customHeight="1">
      <c r="A27" s="30"/>
      <c r="B27" s="126"/>
      <c r="C27" s="70" t="s">
        <v>29</v>
      </c>
      <c r="D27" s="65">
        <v>96</v>
      </c>
      <c r="E27" s="66">
        <v>2.1000000000000001E-2</v>
      </c>
      <c r="F27" s="30"/>
    </row>
    <row r="28" spans="1:6" ht="14.45" customHeight="1">
      <c r="A28" s="30"/>
      <c r="B28" s="124" t="s">
        <v>97</v>
      </c>
      <c r="C28" s="60" t="s">
        <v>135</v>
      </c>
      <c r="D28" s="61">
        <v>7</v>
      </c>
      <c r="E28" s="62">
        <v>2E-3</v>
      </c>
      <c r="F28" s="30"/>
    </row>
    <row r="29" spans="1:6" ht="14.45" customHeight="1">
      <c r="A29" s="30"/>
      <c r="B29" s="125"/>
      <c r="C29" s="60" t="s">
        <v>136</v>
      </c>
      <c r="D29" s="61">
        <v>15</v>
      </c>
      <c r="E29" s="62">
        <v>3.0000000000000001E-3</v>
      </c>
      <c r="F29" s="30"/>
    </row>
    <row r="30" spans="1:6" ht="14.45" customHeight="1">
      <c r="A30" s="30"/>
      <c r="B30" s="126"/>
      <c r="C30" s="70" t="s">
        <v>29</v>
      </c>
      <c r="D30" s="65">
        <v>22</v>
      </c>
      <c r="E30" s="66">
        <v>5.0000000000000001E-3</v>
      </c>
      <c r="F30" s="30"/>
    </row>
    <row r="31" spans="1:6" ht="14.45" customHeight="1">
      <c r="A31" s="30"/>
      <c r="B31" s="124" t="s">
        <v>98</v>
      </c>
      <c r="C31" s="60" t="s">
        <v>135</v>
      </c>
      <c r="D31" s="61">
        <v>4</v>
      </c>
      <c r="E31" s="62">
        <v>1E-3</v>
      </c>
      <c r="F31" s="30"/>
    </row>
    <row r="32" spans="1:6" ht="14.45" customHeight="1">
      <c r="A32" s="30"/>
      <c r="B32" s="125"/>
      <c r="C32" s="60" t="s">
        <v>136</v>
      </c>
      <c r="D32" s="61">
        <v>1</v>
      </c>
      <c r="E32" s="62">
        <v>0</v>
      </c>
      <c r="F32" s="30"/>
    </row>
    <row r="33" spans="1:6" ht="14.45" customHeight="1">
      <c r="A33" s="30"/>
      <c r="B33" s="126"/>
      <c r="C33" s="70" t="s">
        <v>29</v>
      </c>
      <c r="D33" s="65">
        <v>5</v>
      </c>
      <c r="E33" s="66">
        <v>1E-3</v>
      </c>
      <c r="F33" s="30"/>
    </row>
    <row r="34" spans="1:6" ht="14.45" customHeight="1">
      <c r="A34" s="30"/>
      <c r="B34" s="124" t="s">
        <v>221</v>
      </c>
      <c r="C34" s="60" t="s">
        <v>136</v>
      </c>
      <c r="D34" s="61">
        <v>2</v>
      </c>
      <c r="E34" s="62">
        <v>0</v>
      </c>
      <c r="F34" s="30"/>
    </row>
    <row r="35" spans="1:6" ht="14.45" customHeight="1">
      <c r="A35" s="30"/>
      <c r="B35" s="126"/>
      <c r="C35" s="70" t="s">
        <v>29</v>
      </c>
      <c r="D35" s="65">
        <v>2</v>
      </c>
      <c r="E35" s="66">
        <v>0</v>
      </c>
      <c r="F35" s="30"/>
    </row>
    <row r="36" spans="1:6" ht="14.45" customHeight="1">
      <c r="A36" s="30"/>
      <c r="B36" s="124" t="s">
        <v>99</v>
      </c>
      <c r="C36" s="60" t="s">
        <v>135</v>
      </c>
      <c r="D36" s="61">
        <v>61</v>
      </c>
      <c r="E36" s="62">
        <v>1.2999999999999999E-2</v>
      </c>
      <c r="F36" s="30"/>
    </row>
    <row r="37" spans="1:6" ht="14.45" customHeight="1">
      <c r="A37" s="30"/>
      <c r="B37" s="125"/>
      <c r="C37" s="60" t="s">
        <v>136</v>
      </c>
      <c r="D37" s="61">
        <v>163</v>
      </c>
      <c r="E37" s="62">
        <v>3.5999999999999997E-2</v>
      </c>
      <c r="F37" s="30"/>
    </row>
    <row r="38" spans="1:6" ht="14.45" customHeight="1">
      <c r="A38" s="30"/>
      <c r="B38" s="126"/>
      <c r="C38" s="70" t="s">
        <v>29</v>
      </c>
      <c r="D38" s="65">
        <v>224</v>
      </c>
      <c r="E38" s="66">
        <v>4.9000000000000002E-2</v>
      </c>
      <c r="F38" s="30"/>
    </row>
    <row r="39" spans="1:6" ht="14.45" customHeight="1">
      <c r="A39" s="30"/>
      <c r="B39" s="124" t="s">
        <v>100</v>
      </c>
      <c r="C39" s="60" t="s">
        <v>135</v>
      </c>
      <c r="D39" s="61">
        <v>70</v>
      </c>
      <c r="E39" s="62">
        <v>1.4999999999999999E-2</v>
      </c>
      <c r="F39" s="30"/>
    </row>
    <row r="40" spans="1:6" ht="14.45" customHeight="1">
      <c r="A40" s="30"/>
      <c r="B40" s="125"/>
      <c r="C40" s="60" t="s">
        <v>136</v>
      </c>
      <c r="D40" s="61">
        <v>131</v>
      </c>
      <c r="E40" s="62">
        <v>2.9000000000000001E-2</v>
      </c>
      <c r="F40" s="30"/>
    </row>
    <row r="41" spans="1:6" ht="14.45" customHeight="1">
      <c r="A41" s="30"/>
      <c r="B41" s="126"/>
      <c r="C41" s="70" t="s">
        <v>29</v>
      </c>
      <c r="D41" s="65">
        <v>201</v>
      </c>
      <c r="E41" s="66">
        <v>4.3999999999999997E-2</v>
      </c>
      <c r="F41" s="30"/>
    </row>
    <row r="42" spans="1:6" ht="14.45" customHeight="1">
      <c r="A42" s="30"/>
      <c r="B42" s="124" t="s">
        <v>101</v>
      </c>
      <c r="C42" s="60" t="s">
        <v>135</v>
      </c>
      <c r="D42" s="61">
        <v>3</v>
      </c>
      <c r="E42" s="62">
        <v>1E-3</v>
      </c>
      <c r="F42" s="30"/>
    </row>
    <row r="43" spans="1:6" ht="14.45" customHeight="1">
      <c r="A43" s="30"/>
      <c r="B43" s="125"/>
      <c r="C43" s="60" t="s">
        <v>136</v>
      </c>
      <c r="D43" s="61">
        <v>12</v>
      </c>
      <c r="E43" s="62">
        <v>3.0000000000000001E-3</v>
      </c>
      <c r="F43" s="30"/>
    </row>
    <row r="44" spans="1:6" ht="14.45" customHeight="1">
      <c r="A44" s="30"/>
      <c r="B44" s="126"/>
      <c r="C44" s="70" t="s">
        <v>29</v>
      </c>
      <c r="D44" s="65">
        <v>15</v>
      </c>
      <c r="E44" s="66">
        <v>3.0000000000000001E-3</v>
      </c>
      <c r="F44" s="30"/>
    </row>
    <row r="45" spans="1:6" ht="14.45" customHeight="1">
      <c r="A45" s="30"/>
      <c r="B45" s="124" t="s">
        <v>102</v>
      </c>
      <c r="C45" s="60" t="s">
        <v>135</v>
      </c>
      <c r="D45" s="61">
        <v>38</v>
      </c>
      <c r="E45" s="62">
        <v>8.0000000000000002E-3</v>
      </c>
      <c r="F45" s="30"/>
    </row>
    <row r="46" spans="1:6" ht="14.45" customHeight="1">
      <c r="A46" s="30"/>
      <c r="B46" s="125"/>
      <c r="C46" s="60" t="s">
        <v>136</v>
      </c>
      <c r="D46" s="61">
        <v>102</v>
      </c>
      <c r="E46" s="62">
        <v>2.3E-2</v>
      </c>
      <c r="F46" s="30"/>
    </row>
    <row r="47" spans="1:6" ht="14.45" customHeight="1">
      <c r="A47" s="30"/>
      <c r="B47" s="126"/>
      <c r="C47" s="70" t="s">
        <v>29</v>
      </c>
      <c r="D47" s="65">
        <v>140</v>
      </c>
      <c r="E47" s="66">
        <v>3.1E-2</v>
      </c>
      <c r="F47" s="30"/>
    </row>
    <row r="48" spans="1:6" ht="14.45" customHeight="1">
      <c r="A48" s="30"/>
      <c r="B48" s="124" t="s">
        <v>103</v>
      </c>
      <c r="C48" s="60" t="s">
        <v>135</v>
      </c>
      <c r="D48" s="61">
        <v>57</v>
      </c>
      <c r="E48" s="62">
        <v>1.2999999999999999E-2</v>
      </c>
      <c r="F48" s="30"/>
    </row>
    <row r="49" spans="1:6" ht="14.45" customHeight="1">
      <c r="A49" s="30"/>
      <c r="B49" s="125"/>
      <c r="C49" s="60" t="s">
        <v>136</v>
      </c>
      <c r="D49" s="61">
        <v>109</v>
      </c>
      <c r="E49" s="62">
        <v>2.4E-2</v>
      </c>
      <c r="F49" s="30"/>
    </row>
    <row r="50" spans="1:6" ht="14.45" customHeight="1">
      <c r="A50" s="30"/>
      <c r="B50" s="126"/>
      <c r="C50" s="70" t="s">
        <v>29</v>
      </c>
      <c r="D50" s="65">
        <v>166</v>
      </c>
      <c r="E50" s="66">
        <v>3.6999999999999998E-2</v>
      </c>
      <c r="F50" s="30"/>
    </row>
    <row r="51" spans="1:6" ht="14.45" customHeight="1">
      <c r="A51" s="30"/>
      <c r="B51" s="124" t="s">
        <v>104</v>
      </c>
      <c r="C51" s="60" t="s">
        <v>135</v>
      </c>
      <c r="D51" s="61">
        <v>8</v>
      </c>
      <c r="E51" s="62">
        <v>2E-3</v>
      </c>
      <c r="F51" s="30"/>
    </row>
    <row r="52" spans="1:6" ht="14.45" customHeight="1">
      <c r="A52" s="30"/>
      <c r="B52" s="125"/>
      <c r="C52" s="60" t="s">
        <v>136</v>
      </c>
      <c r="D52" s="61">
        <v>14</v>
      </c>
      <c r="E52" s="62">
        <v>3.0000000000000001E-3</v>
      </c>
      <c r="F52" s="30"/>
    </row>
    <row r="53" spans="1:6" ht="14.45" customHeight="1">
      <c r="A53" s="30"/>
      <c r="B53" s="126"/>
      <c r="C53" s="70" t="s">
        <v>29</v>
      </c>
      <c r="D53" s="65">
        <v>22</v>
      </c>
      <c r="E53" s="66">
        <v>5.0000000000000001E-3</v>
      </c>
      <c r="F53" s="30"/>
    </row>
    <row r="54" spans="1:6" ht="14.45" customHeight="1">
      <c r="A54" s="30"/>
      <c r="B54" s="124" t="s">
        <v>105</v>
      </c>
      <c r="C54" s="60" t="s">
        <v>135</v>
      </c>
      <c r="D54" s="61">
        <v>10</v>
      </c>
      <c r="E54" s="62">
        <v>2E-3</v>
      </c>
      <c r="F54" s="30"/>
    </row>
    <row r="55" spans="1:6" ht="14.45" customHeight="1">
      <c r="A55" s="30"/>
      <c r="B55" s="125"/>
      <c r="C55" s="60" t="s">
        <v>136</v>
      </c>
      <c r="D55" s="61">
        <v>22</v>
      </c>
      <c r="E55" s="62">
        <v>5.0000000000000001E-3</v>
      </c>
      <c r="F55" s="30"/>
    </row>
    <row r="56" spans="1:6" ht="14.45" customHeight="1">
      <c r="A56" s="30"/>
      <c r="B56" s="126"/>
      <c r="C56" s="70" t="s">
        <v>29</v>
      </c>
      <c r="D56" s="65">
        <v>32</v>
      </c>
      <c r="E56" s="66">
        <v>7.0000000000000001E-3</v>
      </c>
      <c r="F56" s="30"/>
    </row>
    <row r="57" spans="1:6" ht="14.45" customHeight="1">
      <c r="A57" s="30"/>
      <c r="B57" s="124" t="s">
        <v>106</v>
      </c>
      <c r="C57" s="60" t="s">
        <v>135</v>
      </c>
      <c r="D57" s="61">
        <v>15</v>
      </c>
      <c r="E57" s="62">
        <v>3.0000000000000001E-3</v>
      </c>
      <c r="F57" s="30"/>
    </row>
    <row r="58" spans="1:6" ht="14.45" customHeight="1">
      <c r="A58" s="30"/>
      <c r="B58" s="125"/>
      <c r="C58" s="60" t="s">
        <v>136</v>
      </c>
      <c r="D58" s="61">
        <v>35</v>
      </c>
      <c r="E58" s="62">
        <v>8.0000000000000002E-3</v>
      </c>
      <c r="F58" s="30"/>
    </row>
    <row r="59" spans="1:6" ht="14.45" customHeight="1">
      <c r="A59" s="30"/>
      <c r="B59" s="126"/>
      <c r="C59" s="70" t="s">
        <v>29</v>
      </c>
      <c r="D59" s="65">
        <v>50</v>
      </c>
      <c r="E59" s="66">
        <v>1.0999999999999999E-2</v>
      </c>
      <c r="F59" s="30"/>
    </row>
    <row r="60" spans="1:6" ht="14.45" customHeight="1">
      <c r="A60" s="30"/>
      <c r="B60" s="124" t="s">
        <v>107</v>
      </c>
      <c r="C60" s="60" t="s">
        <v>135</v>
      </c>
      <c r="D60" s="61">
        <v>24</v>
      </c>
      <c r="E60" s="62">
        <v>5.0000000000000001E-3</v>
      </c>
      <c r="F60" s="30"/>
    </row>
    <row r="61" spans="1:6" ht="14.45" customHeight="1">
      <c r="A61" s="30"/>
      <c r="B61" s="125"/>
      <c r="C61" s="60" t="s">
        <v>136</v>
      </c>
      <c r="D61" s="61">
        <v>67</v>
      </c>
      <c r="E61" s="62">
        <v>1.4999999999999999E-2</v>
      </c>
      <c r="F61" s="30"/>
    </row>
    <row r="62" spans="1:6" ht="14.45" customHeight="1">
      <c r="A62" s="30"/>
      <c r="B62" s="126"/>
      <c r="C62" s="70" t="s">
        <v>29</v>
      </c>
      <c r="D62" s="65">
        <v>91</v>
      </c>
      <c r="E62" s="66">
        <v>0.02</v>
      </c>
      <c r="F62" s="30"/>
    </row>
    <row r="63" spans="1:6" ht="14.45" customHeight="1">
      <c r="A63" s="30"/>
      <c r="B63" s="124" t="s">
        <v>108</v>
      </c>
      <c r="C63" s="60" t="s">
        <v>135</v>
      </c>
      <c r="D63" s="61">
        <v>2</v>
      </c>
      <c r="E63" s="62">
        <v>0</v>
      </c>
      <c r="F63" s="30"/>
    </row>
    <row r="64" spans="1:6" ht="14.45" customHeight="1">
      <c r="A64" s="30"/>
      <c r="B64" s="125"/>
      <c r="C64" s="60" t="s">
        <v>136</v>
      </c>
      <c r="D64" s="61">
        <v>2</v>
      </c>
      <c r="E64" s="62">
        <v>0</v>
      </c>
      <c r="F64" s="30"/>
    </row>
    <row r="65" spans="1:6" ht="14.45" customHeight="1">
      <c r="A65" s="30"/>
      <c r="B65" s="126"/>
      <c r="C65" s="70" t="s">
        <v>29</v>
      </c>
      <c r="D65" s="65">
        <v>4</v>
      </c>
      <c r="E65" s="66">
        <v>1E-3</v>
      </c>
      <c r="F65" s="30"/>
    </row>
    <row r="66" spans="1:6" ht="14.45" customHeight="1">
      <c r="A66" s="30"/>
      <c r="B66" s="124" t="s">
        <v>109</v>
      </c>
      <c r="C66" s="60" t="s">
        <v>135</v>
      </c>
      <c r="D66" s="61">
        <v>7</v>
      </c>
      <c r="E66" s="62">
        <v>2E-3</v>
      </c>
      <c r="F66" s="30"/>
    </row>
    <row r="67" spans="1:6" ht="14.45" customHeight="1">
      <c r="A67" s="30"/>
      <c r="B67" s="125"/>
      <c r="C67" s="60" t="s">
        <v>136</v>
      </c>
      <c r="D67" s="61">
        <v>21</v>
      </c>
      <c r="E67" s="62">
        <v>5.0000000000000001E-3</v>
      </c>
      <c r="F67" s="30"/>
    </row>
    <row r="68" spans="1:6" ht="14.45" customHeight="1">
      <c r="A68" s="30"/>
      <c r="B68" s="126"/>
      <c r="C68" s="70" t="s">
        <v>29</v>
      </c>
      <c r="D68" s="65">
        <v>28</v>
      </c>
      <c r="E68" s="66">
        <v>6.0000000000000001E-3</v>
      </c>
      <c r="F68" s="30"/>
    </row>
    <row r="69" spans="1:6" ht="14.45" customHeight="1">
      <c r="A69" s="30"/>
      <c r="B69" s="124" t="s">
        <v>110</v>
      </c>
      <c r="C69" s="60" t="s">
        <v>135</v>
      </c>
      <c r="D69" s="61">
        <v>5</v>
      </c>
      <c r="E69" s="62">
        <v>1E-3</v>
      </c>
      <c r="F69" s="30"/>
    </row>
    <row r="70" spans="1:6" ht="14.45" customHeight="1">
      <c r="A70" s="30"/>
      <c r="B70" s="125"/>
      <c r="C70" s="60" t="s">
        <v>136</v>
      </c>
      <c r="D70" s="61">
        <v>8</v>
      </c>
      <c r="E70" s="62">
        <v>2E-3</v>
      </c>
      <c r="F70" s="30"/>
    </row>
    <row r="71" spans="1:6" ht="14.45" customHeight="1">
      <c r="A71" s="30"/>
      <c r="B71" s="126"/>
      <c r="C71" s="70" t="s">
        <v>29</v>
      </c>
      <c r="D71" s="65">
        <v>13</v>
      </c>
      <c r="E71" s="66">
        <v>3.0000000000000001E-3</v>
      </c>
      <c r="F71" s="30"/>
    </row>
    <row r="72" spans="1:6" ht="14.45" customHeight="1">
      <c r="A72" s="30"/>
      <c r="B72" s="124" t="s">
        <v>111</v>
      </c>
      <c r="C72" s="60" t="s">
        <v>135</v>
      </c>
      <c r="D72" s="61">
        <v>13</v>
      </c>
      <c r="E72" s="62">
        <v>3.0000000000000001E-3</v>
      </c>
      <c r="F72" s="30"/>
    </row>
    <row r="73" spans="1:6" ht="14.45" customHeight="1">
      <c r="A73" s="30"/>
      <c r="B73" s="125"/>
      <c r="C73" s="60" t="s">
        <v>136</v>
      </c>
      <c r="D73" s="61">
        <v>32</v>
      </c>
      <c r="E73" s="62">
        <v>7.0000000000000001E-3</v>
      </c>
      <c r="F73" s="30"/>
    </row>
    <row r="74" spans="1:6" ht="14.45" customHeight="1">
      <c r="A74" s="30"/>
      <c r="B74" s="126"/>
      <c r="C74" s="70" t="s">
        <v>29</v>
      </c>
      <c r="D74" s="65">
        <v>45</v>
      </c>
      <c r="E74" s="66">
        <v>0.01</v>
      </c>
      <c r="F74" s="30"/>
    </row>
    <row r="75" spans="1:6" ht="14.45" customHeight="1">
      <c r="A75" s="30"/>
      <c r="B75" s="124" t="s">
        <v>112</v>
      </c>
      <c r="C75" s="60" t="s">
        <v>135</v>
      </c>
      <c r="D75" s="61">
        <v>14</v>
      </c>
      <c r="E75" s="62">
        <v>3.0000000000000001E-3</v>
      </c>
      <c r="F75" s="30"/>
    </row>
    <row r="76" spans="1:6" ht="14.45" customHeight="1">
      <c r="A76" s="30"/>
      <c r="B76" s="125"/>
      <c r="C76" s="60" t="s">
        <v>136</v>
      </c>
      <c r="D76" s="61">
        <v>27</v>
      </c>
      <c r="E76" s="62">
        <v>6.0000000000000001E-3</v>
      </c>
      <c r="F76" s="30"/>
    </row>
    <row r="77" spans="1:6" ht="14.45" customHeight="1">
      <c r="A77" s="30"/>
      <c r="B77" s="126"/>
      <c r="C77" s="70" t="s">
        <v>29</v>
      </c>
      <c r="D77" s="65">
        <v>41</v>
      </c>
      <c r="E77" s="66">
        <v>8.9999999999999993E-3</v>
      </c>
      <c r="F77" s="30"/>
    </row>
    <row r="78" spans="1:6" ht="14.45" customHeight="1">
      <c r="A78" s="30"/>
      <c r="B78" s="124" t="s">
        <v>113</v>
      </c>
      <c r="C78" s="60" t="s">
        <v>135</v>
      </c>
      <c r="D78" s="61">
        <v>22</v>
      </c>
      <c r="E78" s="62">
        <v>5.0000000000000001E-3</v>
      </c>
      <c r="F78" s="30"/>
    </row>
    <row r="79" spans="1:6" ht="14.45" customHeight="1">
      <c r="A79" s="30"/>
      <c r="B79" s="125"/>
      <c r="C79" s="60" t="s">
        <v>136</v>
      </c>
      <c r="D79" s="61">
        <v>39</v>
      </c>
      <c r="E79" s="62">
        <v>8.9999999999999993E-3</v>
      </c>
      <c r="F79" s="30"/>
    </row>
    <row r="80" spans="1:6" ht="14.45" customHeight="1">
      <c r="A80" s="30"/>
      <c r="B80" s="126"/>
      <c r="C80" s="70" t="s">
        <v>29</v>
      </c>
      <c r="D80" s="65">
        <v>61</v>
      </c>
      <c r="E80" s="66">
        <v>1.2999999999999999E-2</v>
      </c>
      <c r="F80" s="30"/>
    </row>
    <row r="81" spans="1:6" ht="14.45" customHeight="1">
      <c r="A81" s="30"/>
      <c r="B81" s="124" t="s">
        <v>114</v>
      </c>
      <c r="C81" s="60" t="s">
        <v>135</v>
      </c>
      <c r="D81" s="61">
        <v>17</v>
      </c>
      <c r="E81" s="62">
        <v>4.0000000000000001E-3</v>
      </c>
      <c r="F81" s="30"/>
    </row>
    <row r="82" spans="1:6" ht="14.45" customHeight="1">
      <c r="A82" s="30"/>
      <c r="B82" s="125"/>
      <c r="C82" s="60" t="s">
        <v>136</v>
      </c>
      <c r="D82" s="61">
        <v>37</v>
      </c>
      <c r="E82" s="62">
        <v>8.0000000000000002E-3</v>
      </c>
      <c r="F82" s="30"/>
    </row>
    <row r="83" spans="1:6" ht="14.45" customHeight="1">
      <c r="A83" s="30"/>
      <c r="B83" s="126"/>
      <c r="C83" s="70" t="s">
        <v>29</v>
      </c>
      <c r="D83" s="65">
        <v>54</v>
      </c>
      <c r="E83" s="66">
        <v>1.2E-2</v>
      </c>
      <c r="F83" s="30"/>
    </row>
    <row r="84" spans="1:6" ht="14.45" customHeight="1">
      <c r="A84" s="30"/>
      <c r="B84" s="124" t="s">
        <v>222</v>
      </c>
      <c r="C84" s="60" t="s">
        <v>136</v>
      </c>
      <c r="D84" s="61">
        <v>1</v>
      </c>
      <c r="E84" s="62">
        <v>0</v>
      </c>
      <c r="F84" s="30"/>
    </row>
    <row r="85" spans="1:6" ht="14.45" customHeight="1">
      <c r="A85" s="30"/>
      <c r="B85" s="126"/>
      <c r="C85" s="70" t="s">
        <v>29</v>
      </c>
      <c r="D85" s="65">
        <v>1</v>
      </c>
      <c r="E85" s="66">
        <v>0</v>
      </c>
      <c r="F85" s="30"/>
    </row>
    <row r="86" spans="1:6" ht="14.45" customHeight="1">
      <c r="A86" s="30"/>
      <c r="B86" s="124" t="s">
        <v>115</v>
      </c>
      <c r="C86" s="60" t="s">
        <v>135</v>
      </c>
      <c r="D86" s="61">
        <v>14</v>
      </c>
      <c r="E86" s="62">
        <v>3.0000000000000001E-3</v>
      </c>
      <c r="F86" s="30"/>
    </row>
    <row r="87" spans="1:6" ht="14.45" customHeight="1">
      <c r="A87" s="30"/>
      <c r="B87" s="125"/>
      <c r="C87" s="60" t="s">
        <v>136</v>
      </c>
      <c r="D87" s="61">
        <v>24</v>
      </c>
      <c r="E87" s="62">
        <v>5.0000000000000001E-3</v>
      </c>
      <c r="F87" s="30"/>
    </row>
    <row r="88" spans="1:6" ht="14.45" customHeight="1">
      <c r="A88" s="30"/>
      <c r="B88" s="126"/>
      <c r="C88" s="70" t="s">
        <v>29</v>
      </c>
      <c r="D88" s="65">
        <v>38</v>
      </c>
      <c r="E88" s="66">
        <v>8.0000000000000002E-3</v>
      </c>
      <c r="F88" s="30"/>
    </row>
    <row r="89" spans="1:6" ht="14.45" customHeight="1">
      <c r="A89" s="30"/>
      <c r="B89" s="124" t="s">
        <v>116</v>
      </c>
      <c r="C89" s="60" t="s">
        <v>135</v>
      </c>
      <c r="D89" s="61">
        <v>13</v>
      </c>
      <c r="E89" s="62">
        <v>3.0000000000000001E-3</v>
      </c>
      <c r="F89" s="30"/>
    </row>
    <row r="90" spans="1:6" ht="14.45" customHeight="1">
      <c r="A90" s="30"/>
      <c r="B90" s="125"/>
      <c r="C90" s="60" t="s">
        <v>136</v>
      </c>
      <c r="D90" s="61">
        <v>25</v>
      </c>
      <c r="E90" s="62">
        <v>6.0000000000000001E-3</v>
      </c>
      <c r="F90" s="30"/>
    </row>
    <row r="91" spans="1:6" ht="14.45" customHeight="1">
      <c r="A91" s="30"/>
      <c r="B91" s="126"/>
      <c r="C91" s="70" t="s">
        <v>29</v>
      </c>
      <c r="D91" s="65">
        <v>38</v>
      </c>
      <c r="E91" s="66">
        <v>8.0000000000000002E-3</v>
      </c>
      <c r="F91" s="30"/>
    </row>
    <row r="92" spans="1:6" ht="14.45" customHeight="1">
      <c r="A92" s="30"/>
      <c r="B92" s="124" t="s">
        <v>223</v>
      </c>
      <c r="C92" s="60" t="s">
        <v>136</v>
      </c>
      <c r="D92" s="61">
        <v>1</v>
      </c>
      <c r="E92" s="62">
        <v>0</v>
      </c>
      <c r="F92" s="30"/>
    </row>
    <row r="93" spans="1:6" ht="14.45" customHeight="1">
      <c r="A93" s="30"/>
      <c r="B93" s="126"/>
      <c r="C93" s="70" t="s">
        <v>29</v>
      </c>
      <c r="D93" s="65">
        <v>1</v>
      </c>
      <c r="E93" s="66">
        <v>0</v>
      </c>
      <c r="F93" s="30"/>
    </row>
    <row r="94" spans="1:6" ht="14.45" customHeight="1">
      <c r="A94" s="30"/>
      <c r="B94" s="124" t="s">
        <v>117</v>
      </c>
      <c r="C94" s="60" t="s">
        <v>135</v>
      </c>
      <c r="D94" s="61">
        <v>12</v>
      </c>
      <c r="E94" s="62">
        <v>3.0000000000000001E-3</v>
      </c>
      <c r="F94" s="30"/>
    </row>
    <row r="95" spans="1:6" ht="14.45" customHeight="1">
      <c r="A95" s="30"/>
      <c r="B95" s="125"/>
      <c r="C95" s="60" t="s">
        <v>136</v>
      </c>
      <c r="D95" s="61">
        <v>33</v>
      </c>
      <c r="E95" s="62">
        <v>7.0000000000000001E-3</v>
      </c>
      <c r="F95" s="30"/>
    </row>
    <row r="96" spans="1:6" ht="14.45" customHeight="1">
      <c r="A96" s="30"/>
      <c r="B96" s="126"/>
      <c r="C96" s="70" t="s">
        <v>29</v>
      </c>
      <c r="D96" s="65">
        <v>45</v>
      </c>
      <c r="E96" s="66">
        <v>0.01</v>
      </c>
      <c r="F96" s="30"/>
    </row>
    <row r="97" spans="1:6" ht="14.45" customHeight="1">
      <c r="A97" s="30"/>
      <c r="B97" s="124" t="s">
        <v>118</v>
      </c>
      <c r="C97" s="60" t="s">
        <v>135</v>
      </c>
      <c r="D97" s="61">
        <v>1</v>
      </c>
      <c r="E97" s="62">
        <v>0</v>
      </c>
      <c r="F97" s="30"/>
    </row>
    <row r="98" spans="1:6" ht="14.45" customHeight="1">
      <c r="A98" s="30"/>
      <c r="B98" s="125"/>
      <c r="C98" s="60" t="s">
        <v>136</v>
      </c>
      <c r="D98" s="61">
        <v>9</v>
      </c>
      <c r="E98" s="62">
        <v>2E-3</v>
      </c>
      <c r="F98" s="30"/>
    </row>
    <row r="99" spans="1:6" ht="14.45" customHeight="1">
      <c r="A99" s="30"/>
      <c r="B99" s="126"/>
      <c r="C99" s="70" t="s">
        <v>29</v>
      </c>
      <c r="D99" s="65">
        <v>10</v>
      </c>
      <c r="E99" s="66">
        <v>2E-3</v>
      </c>
      <c r="F99" s="30"/>
    </row>
    <row r="100" spans="1:6" ht="14.45" customHeight="1">
      <c r="A100" s="30"/>
      <c r="B100" s="124" t="s">
        <v>119</v>
      </c>
      <c r="C100" s="60" t="s">
        <v>135</v>
      </c>
      <c r="D100" s="61">
        <v>21</v>
      </c>
      <c r="E100" s="62">
        <v>5.0000000000000001E-3</v>
      </c>
      <c r="F100" s="30"/>
    </row>
    <row r="101" spans="1:6" ht="14.45" customHeight="1">
      <c r="A101" s="30"/>
      <c r="B101" s="125"/>
      <c r="C101" s="60" t="s">
        <v>136</v>
      </c>
      <c r="D101" s="61">
        <v>59</v>
      </c>
      <c r="E101" s="62">
        <v>1.2999999999999999E-2</v>
      </c>
      <c r="F101" s="30"/>
    </row>
    <row r="102" spans="1:6" ht="14.45" customHeight="1">
      <c r="A102" s="30"/>
      <c r="B102" s="126"/>
      <c r="C102" s="70" t="s">
        <v>29</v>
      </c>
      <c r="D102" s="65">
        <v>80</v>
      </c>
      <c r="E102" s="66">
        <v>1.7999999999999999E-2</v>
      </c>
      <c r="F102" s="30"/>
    </row>
    <row r="103" spans="1:6" ht="14.45" customHeight="1">
      <c r="A103" s="30"/>
      <c r="B103" s="124" t="s">
        <v>120</v>
      </c>
      <c r="C103" s="60" t="s">
        <v>135</v>
      </c>
      <c r="D103" s="61">
        <v>143</v>
      </c>
      <c r="E103" s="62">
        <v>3.2000000000000001E-2</v>
      </c>
      <c r="F103" s="30"/>
    </row>
    <row r="104" spans="1:6" ht="14.45" customHeight="1">
      <c r="A104" s="30"/>
      <c r="B104" s="125"/>
      <c r="C104" s="60" t="s">
        <v>136</v>
      </c>
      <c r="D104" s="61">
        <v>254</v>
      </c>
      <c r="E104" s="62">
        <v>5.6000000000000001E-2</v>
      </c>
      <c r="F104" s="30"/>
    </row>
    <row r="105" spans="1:6" ht="14.45" customHeight="1">
      <c r="A105" s="30"/>
      <c r="B105" s="126"/>
      <c r="C105" s="70" t="s">
        <v>29</v>
      </c>
      <c r="D105" s="65">
        <v>397</v>
      </c>
      <c r="E105" s="66">
        <v>8.7999999999999995E-2</v>
      </c>
      <c r="F105" s="30"/>
    </row>
    <row r="106" spans="1:6" ht="14.45" customHeight="1">
      <c r="A106" s="30"/>
      <c r="B106" s="124" t="s">
        <v>121</v>
      </c>
      <c r="C106" s="60" t="s">
        <v>136</v>
      </c>
      <c r="D106" s="61">
        <v>1</v>
      </c>
      <c r="E106" s="62">
        <v>0</v>
      </c>
      <c r="F106" s="30"/>
    </row>
    <row r="107" spans="1:6" ht="14.45" customHeight="1">
      <c r="A107" s="30"/>
      <c r="B107" s="126"/>
      <c r="C107" s="70" t="s">
        <v>29</v>
      </c>
      <c r="D107" s="65">
        <v>1</v>
      </c>
      <c r="E107" s="66">
        <v>0</v>
      </c>
      <c r="F107" s="30"/>
    </row>
    <row r="108" spans="1:6" ht="14.45" customHeight="1">
      <c r="A108" s="30"/>
      <c r="B108" s="124" t="s">
        <v>122</v>
      </c>
      <c r="C108" s="60" t="s">
        <v>135</v>
      </c>
      <c r="D108" s="61">
        <v>17</v>
      </c>
      <c r="E108" s="62">
        <v>4.0000000000000001E-3</v>
      </c>
      <c r="F108" s="30"/>
    </row>
    <row r="109" spans="1:6" ht="14.45" customHeight="1">
      <c r="A109" s="30"/>
      <c r="B109" s="125"/>
      <c r="C109" s="60" t="s">
        <v>136</v>
      </c>
      <c r="D109" s="61">
        <v>53</v>
      </c>
      <c r="E109" s="62">
        <v>1.2E-2</v>
      </c>
      <c r="F109" s="30"/>
    </row>
    <row r="110" spans="1:6" ht="14.45" customHeight="1">
      <c r="A110" s="30"/>
      <c r="B110" s="126"/>
      <c r="C110" s="70" t="s">
        <v>29</v>
      </c>
      <c r="D110" s="65">
        <v>70</v>
      </c>
      <c r="E110" s="66">
        <v>1.4999999999999999E-2</v>
      </c>
      <c r="F110" s="30"/>
    </row>
    <row r="111" spans="1:6" ht="14.45" customHeight="1">
      <c r="A111" s="30"/>
      <c r="B111" s="124" t="s">
        <v>123</v>
      </c>
      <c r="C111" s="60" t="s">
        <v>135</v>
      </c>
      <c r="D111" s="61">
        <v>39</v>
      </c>
      <c r="E111" s="62">
        <v>8.9999999999999993E-3</v>
      </c>
      <c r="F111" s="30"/>
    </row>
    <row r="112" spans="1:6" ht="14.45" customHeight="1">
      <c r="A112" s="30"/>
      <c r="B112" s="125"/>
      <c r="C112" s="60" t="s">
        <v>136</v>
      </c>
      <c r="D112" s="61">
        <v>87</v>
      </c>
      <c r="E112" s="62">
        <v>1.9E-2</v>
      </c>
      <c r="F112" s="30"/>
    </row>
    <row r="113" spans="1:6" ht="14.45" customHeight="1">
      <c r="A113" s="30"/>
      <c r="B113" s="126"/>
      <c r="C113" s="70" t="s">
        <v>29</v>
      </c>
      <c r="D113" s="65">
        <v>126</v>
      </c>
      <c r="E113" s="66">
        <v>2.8000000000000001E-2</v>
      </c>
      <c r="F113" s="30"/>
    </row>
    <row r="114" spans="1:6" ht="14.45" customHeight="1">
      <c r="A114" s="30"/>
      <c r="B114" s="124" t="s">
        <v>124</v>
      </c>
      <c r="C114" s="60" t="s">
        <v>135</v>
      </c>
      <c r="D114" s="61">
        <v>4</v>
      </c>
      <c r="E114" s="62">
        <v>1E-3</v>
      </c>
      <c r="F114" s="30"/>
    </row>
    <row r="115" spans="1:6" ht="14.45" customHeight="1">
      <c r="A115" s="30"/>
      <c r="B115" s="125"/>
      <c r="C115" s="60" t="s">
        <v>136</v>
      </c>
      <c r="D115" s="61">
        <v>12</v>
      </c>
      <c r="E115" s="62">
        <v>3.0000000000000001E-3</v>
      </c>
      <c r="F115" s="30"/>
    </row>
    <row r="116" spans="1:6" ht="14.45" customHeight="1">
      <c r="A116" s="30"/>
      <c r="B116" s="126"/>
      <c r="C116" s="70" t="s">
        <v>29</v>
      </c>
      <c r="D116" s="65">
        <v>16</v>
      </c>
      <c r="E116" s="66">
        <v>4.0000000000000001E-3</v>
      </c>
      <c r="F116" s="30"/>
    </row>
    <row r="117" spans="1:6" ht="14.45" customHeight="1">
      <c r="A117" s="30"/>
      <c r="B117" s="124" t="s">
        <v>125</v>
      </c>
      <c r="C117" s="60" t="s">
        <v>135</v>
      </c>
      <c r="D117" s="61">
        <v>13</v>
      </c>
      <c r="E117" s="62">
        <v>3.0000000000000001E-3</v>
      </c>
      <c r="F117" s="30"/>
    </row>
    <row r="118" spans="1:6" ht="14.45" customHeight="1">
      <c r="A118" s="30"/>
      <c r="B118" s="125"/>
      <c r="C118" s="60" t="s">
        <v>136</v>
      </c>
      <c r="D118" s="61">
        <v>20</v>
      </c>
      <c r="E118" s="62">
        <v>4.0000000000000001E-3</v>
      </c>
      <c r="F118" s="30"/>
    </row>
    <row r="119" spans="1:6" ht="14.45" customHeight="1">
      <c r="A119" s="30"/>
      <c r="B119" s="126"/>
      <c r="C119" s="70" t="s">
        <v>29</v>
      </c>
      <c r="D119" s="65">
        <v>33</v>
      </c>
      <c r="E119" s="66">
        <v>7.0000000000000001E-3</v>
      </c>
      <c r="F119" s="30"/>
    </row>
    <row r="120" spans="1:6" ht="14.45" customHeight="1">
      <c r="A120" s="30"/>
      <c r="B120" s="124" t="s">
        <v>126</v>
      </c>
      <c r="C120" s="60" t="s">
        <v>136</v>
      </c>
      <c r="D120" s="61">
        <v>1</v>
      </c>
      <c r="E120" s="62">
        <v>0</v>
      </c>
      <c r="F120" s="30"/>
    </row>
    <row r="121" spans="1:6" ht="14.45" customHeight="1">
      <c r="A121" s="30"/>
      <c r="B121" s="126"/>
      <c r="C121" s="70" t="s">
        <v>29</v>
      </c>
      <c r="D121" s="65">
        <v>1</v>
      </c>
      <c r="E121" s="66">
        <v>0</v>
      </c>
      <c r="F121" s="30"/>
    </row>
    <row r="122" spans="1:6" ht="14.45" customHeight="1">
      <c r="A122" s="30"/>
      <c r="B122" s="124" t="s">
        <v>127</v>
      </c>
      <c r="C122" s="60" t="s">
        <v>135</v>
      </c>
      <c r="D122" s="61">
        <v>48</v>
      </c>
      <c r="E122" s="62">
        <v>1.0999999999999999E-2</v>
      </c>
      <c r="F122" s="30"/>
    </row>
    <row r="123" spans="1:6" ht="14.45" customHeight="1">
      <c r="A123" s="30"/>
      <c r="B123" s="125"/>
      <c r="C123" s="60" t="s">
        <v>136</v>
      </c>
      <c r="D123" s="61">
        <v>95</v>
      </c>
      <c r="E123" s="62">
        <v>2.1000000000000001E-2</v>
      </c>
      <c r="F123" s="30"/>
    </row>
    <row r="124" spans="1:6" ht="14.45" customHeight="1">
      <c r="A124" s="30"/>
      <c r="B124" s="126"/>
      <c r="C124" s="70" t="s">
        <v>29</v>
      </c>
      <c r="D124" s="65">
        <v>143</v>
      </c>
      <c r="E124" s="66">
        <v>3.2000000000000001E-2</v>
      </c>
      <c r="F124" s="30"/>
    </row>
    <row r="125" spans="1:6" ht="14.45" customHeight="1">
      <c r="A125" s="30"/>
      <c r="B125" s="124" t="s">
        <v>224</v>
      </c>
      <c r="C125" s="60" t="s">
        <v>136</v>
      </c>
      <c r="D125" s="61">
        <v>3</v>
      </c>
      <c r="E125" s="62">
        <v>1E-3</v>
      </c>
      <c r="F125" s="30"/>
    </row>
    <row r="126" spans="1:6" ht="14.45" customHeight="1">
      <c r="A126" s="30"/>
      <c r="B126" s="126"/>
      <c r="C126" s="70" t="s">
        <v>29</v>
      </c>
      <c r="D126" s="65">
        <v>3</v>
      </c>
      <c r="E126" s="66">
        <v>1E-3</v>
      </c>
      <c r="F126" s="30"/>
    </row>
    <row r="127" spans="1:6" ht="14.45" customHeight="1">
      <c r="A127" s="30"/>
      <c r="B127" s="124" t="s">
        <v>128</v>
      </c>
      <c r="C127" s="60" t="s">
        <v>135</v>
      </c>
      <c r="D127" s="61">
        <v>43</v>
      </c>
      <c r="E127" s="62">
        <v>8.9999999999999993E-3</v>
      </c>
      <c r="F127" s="30"/>
    </row>
    <row r="128" spans="1:6" ht="14.45" customHeight="1">
      <c r="A128" s="30"/>
      <c r="B128" s="125"/>
      <c r="C128" s="60" t="s">
        <v>136</v>
      </c>
      <c r="D128" s="61">
        <v>75</v>
      </c>
      <c r="E128" s="62">
        <v>1.7000000000000001E-2</v>
      </c>
      <c r="F128" s="30"/>
    </row>
    <row r="129" spans="1:6" ht="14.45" customHeight="1">
      <c r="A129" s="30"/>
      <c r="B129" s="126"/>
      <c r="C129" s="70" t="s">
        <v>29</v>
      </c>
      <c r="D129" s="65">
        <v>118</v>
      </c>
      <c r="E129" s="66">
        <v>2.5999999999999999E-2</v>
      </c>
      <c r="F129" s="30"/>
    </row>
    <row r="130" spans="1:6" ht="14.45" customHeight="1">
      <c r="A130" s="30"/>
      <c r="B130" s="124" t="s">
        <v>129</v>
      </c>
      <c r="C130" s="60" t="s">
        <v>135</v>
      </c>
      <c r="D130" s="61">
        <v>399</v>
      </c>
      <c r="E130" s="62">
        <v>8.7999999999999995E-2</v>
      </c>
      <c r="F130" s="30"/>
    </row>
    <row r="131" spans="1:6" ht="14.45" customHeight="1">
      <c r="A131" s="30"/>
      <c r="B131" s="125"/>
      <c r="C131" s="60" t="s">
        <v>136</v>
      </c>
      <c r="D131" s="61">
        <v>757</v>
      </c>
      <c r="E131" s="62">
        <v>0.16700000000000001</v>
      </c>
      <c r="F131" s="30"/>
    </row>
    <row r="132" spans="1:6" ht="14.45" customHeight="1">
      <c r="A132" s="30"/>
      <c r="B132" s="126"/>
      <c r="C132" s="70" t="s">
        <v>29</v>
      </c>
      <c r="D132" s="65">
        <v>1156</v>
      </c>
      <c r="E132" s="66">
        <v>0.255</v>
      </c>
      <c r="F132" s="30"/>
    </row>
    <row r="133" spans="1:6" ht="14.45" customHeight="1">
      <c r="A133" s="30"/>
      <c r="B133" s="124" t="s">
        <v>130</v>
      </c>
      <c r="C133" s="60" t="s">
        <v>135</v>
      </c>
      <c r="D133" s="61">
        <v>11</v>
      </c>
      <c r="E133" s="62">
        <v>2E-3</v>
      </c>
      <c r="F133" s="30"/>
    </row>
    <row r="134" spans="1:6" ht="14.45" customHeight="1">
      <c r="A134" s="30"/>
      <c r="B134" s="125"/>
      <c r="C134" s="60" t="s">
        <v>136</v>
      </c>
      <c r="D134" s="61">
        <v>20</v>
      </c>
      <c r="E134" s="62">
        <v>4.0000000000000001E-3</v>
      </c>
      <c r="F134" s="30"/>
    </row>
    <row r="135" spans="1:6" ht="14.45" customHeight="1">
      <c r="A135" s="30"/>
      <c r="B135" s="126"/>
      <c r="C135" s="70" t="s">
        <v>29</v>
      </c>
      <c r="D135" s="65">
        <v>31</v>
      </c>
      <c r="E135" s="66">
        <v>7.0000000000000001E-3</v>
      </c>
      <c r="F135" s="30"/>
    </row>
    <row r="136" spans="1:6" ht="14.45" customHeight="1">
      <c r="A136" s="30"/>
      <c r="B136" s="124" t="s">
        <v>131</v>
      </c>
      <c r="C136" s="60" t="s">
        <v>135</v>
      </c>
      <c r="D136" s="61">
        <v>3</v>
      </c>
      <c r="E136" s="62">
        <v>1E-3</v>
      </c>
      <c r="F136" s="30"/>
    </row>
    <row r="137" spans="1:6" ht="14.45" customHeight="1">
      <c r="A137" s="30"/>
      <c r="B137" s="125"/>
      <c r="C137" s="60" t="s">
        <v>136</v>
      </c>
      <c r="D137" s="61">
        <v>20</v>
      </c>
      <c r="E137" s="62">
        <v>4.0000000000000001E-3</v>
      </c>
      <c r="F137" s="30"/>
    </row>
    <row r="138" spans="1:6" ht="14.45" customHeight="1">
      <c r="A138" s="30"/>
      <c r="B138" s="126"/>
      <c r="C138" s="70" t="s">
        <v>29</v>
      </c>
      <c r="D138" s="65">
        <v>23</v>
      </c>
      <c r="E138" s="66">
        <v>5.0000000000000001E-3</v>
      </c>
      <c r="F138" s="30"/>
    </row>
    <row r="139" spans="1:6" ht="14.45" customHeight="1">
      <c r="A139" s="30"/>
      <c r="B139" s="124" t="s">
        <v>132</v>
      </c>
      <c r="C139" s="60" t="s">
        <v>135</v>
      </c>
      <c r="D139" s="61">
        <v>57</v>
      </c>
      <c r="E139" s="62">
        <v>1.2999999999999999E-2</v>
      </c>
      <c r="F139" s="30"/>
    </row>
    <row r="140" spans="1:6" ht="14.45" customHeight="1">
      <c r="A140" s="30"/>
      <c r="B140" s="125"/>
      <c r="C140" s="60" t="s">
        <v>136</v>
      </c>
      <c r="D140" s="61">
        <v>117</v>
      </c>
      <c r="E140" s="62">
        <v>2.5999999999999999E-2</v>
      </c>
      <c r="F140" s="30"/>
    </row>
    <row r="141" spans="1:6" ht="14.45" customHeight="1">
      <c r="A141" s="30"/>
      <c r="B141" s="126"/>
      <c r="C141" s="70" t="s">
        <v>29</v>
      </c>
      <c r="D141" s="65">
        <v>174</v>
      </c>
      <c r="E141" s="66">
        <v>3.7999999999999999E-2</v>
      </c>
      <c r="F141" s="30"/>
    </row>
    <row r="142" spans="1:6" ht="14.45" customHeight="1">
      <c r="A142" s="30"/>
      <c r="B142" s="124" t="s">
        <v>55</v>
      </c>
      <c r="C142" s="60" t="s">
        <v>135</v>
      </c>
      <c r="D142" s="61">
        <v>5</v>
      </c>
      <c r="E142" s="62">
        <v>1E-3</v>
      </c>
      <c r="F142" s="30"/>
    </row>
    <row r="143" spans="1:6" ht="14.45" customHeight="1">
      <c r="A143" s="30"/>
      <c r="B143" s="125"/>
      <c r="C143" s="60" t="s">
        <v>136</v>
      </c>
      <c r="D143" s="61">
        <v>18</v>
      </c>
      <c r="E143" s="62">
        <v>4.0000000000000001E-3</v>
      </c>
      <c r="F143" s="30"/>
    </row>
    <row r="144" spans="1:6" ht="14.45" customHeight="1">
      <c r="A144" s="30"/>
      <c r="B144" s="126"/>
      <c r="C144" s="70" t="s">
        <v>29</v>
      </c>
      <c r="D144" s="65">
        <v>23</v>
      </c>
      <c r="E144" s="66">
        <v>5.0000000000000001E-3</v>
      </c>
      <c r="F144" s="30"/>
    </row>
    <row r="145" spans="1:6" ht="14.45" customHeight="1">
      <c r="A145" s="30"/>
      <c r="B145" s="124" t="s">
        <v>133</v>
      </c>
      <c r="C145" s="60" t="s">
        <v>135</v>
      </c>
      <c r="D145" s="61">
        <v>22</v>
      </c>
      <c r="E145" s="62">
        <v>5.0000000000000001E-3</v>
      </c>
      <c r="F145" s="30"/>
    </row>
    <row r="146" spans="1:6" ht="14.45" customHeight="1">
      <c r="A146" s="30"/>
      <c r="B146" s="125"/>
      <c r="C146" s="60" t="s">
        <v>136</v>
      </c>
      <c r="D146" s="61">
        <v>47</v>
      </c>
      <c r="E146" s="62">
        <v>0.01</v>
      </c>
      <c r="F146" s="30"/>
    </row>
    <row r="147" spans="1:6" ht="14.45" customHeight="1">
      <c r="A147" s="30"/>
      <c r="B147" s="126"/>
      <c r="C147" s="70" t="s">
        <v>29</v>
      </c>
      <c r="D147" s="65">
        <v>69</v>
      </c>
      <c r="E147" s="66">
        <v>1.4999999999999999E-2</v>
      </c>
      <c r="F147" s="30"/>
    </row>
    <row r="148" spans="1:6" ht="14.45" customHeight="1">
      <c r="A148" s="30"/>
      <c r="B148" s="124" t="s">
        <v>134</v>
      </c>
      <c r="C148" s="60" t="s">
        <v>135</v>
      </c>
      <c r="D148" s="61">
        <v>3</v>
      </c>
      <c r="E148" s="62">
        <v>1E-3</v>
      </c>
      <c r="F148" s="30"/>
    </row>
    <row r="149" spans="1:6" ht="14.45" customHeight="1">
      <c r="A149" s="30"/>
      <c r="B149" s="125"/>
      <c r="C149" s="60" t="s">
        <v>136</v>
      </c>
      <c r="D149" s="61">
        <v>9</v>
      </c>
      <c r="E149" s="62">
        <v>2E-3</v>
      </c>
      <c r="F149" s="30"/>
    </row>
    <row r="150" spans="1:6" ht="14.45" customHeight="1">
      <c r="A150" s="30"/>
      <c r="B150" s="126"/>
      <c r="C150" s="70" t="s">
        <v>29</v>
      </c>
      <c r="D150" s="65">
        <v>12</v>
      </c>
      <c r="E150" s="66">
        <v>3.0000000000000001E-3</v>
      </c>
      <c r="F150" s="30"/>
    </row>
    <row r="151" spans="1:6" ht="11.25" customHeight="1">
      <c r="A151" s="30"/>
      <c r="B151" s="127" t="s">
        <v>29</v>
      </c>
      <c r="C151" s="127"/>
      <c r="D151" s="92">
        <v>4533</v>
      </c>
      <c r="E151" s="69">
        <v>1</v>
      </c>
      <c r="F151" s="30"/>
    </row>
    <row r="152" spans="1:6" ht="12.75">
      <c r="A152" s="30"/>
      <c r="B152" s="47"/>
      <c r="C152" s="47"/>
      <c r="D152" s="56"/>
      <c r="E152" s="47"/>
      <c r="F152" s="30"/>
    </row>
    <row r="153" spans="1:6" ht="12.75">
      <c r="A153" s="30"/>
      <c r="B153" s="38" t="s">
        <v>218</v>
      </c>
      <c r="C153" s="47"/>
      <c r="D153" s="56"/>
      <c r="E153" s="47"/>
      <c r="F153" s="30"/>
    </row>
    <row r="154" spans="1:6" ht="12.75">
      <c r="A154" s="30"/>
      <c r="B154" s="40" t="s">
        <v>18</v>
      </c>
      <c r="C154" s="47"/>
      <c r="D154" s="56"/>
      <c r="E154" s="47"/>
      <c r="F154" s="30"/>
    </row>
    <row r="155" spans="1:6" ht="12.75">
      <c r="A155" s="30"/>
      <c r="B155" s="41" t="s">
        <v>45</v>
      </c>
      <c r="C155" s="47"/>
      <c r="D155" s="56"/>
      <c r="E155" s="47"/>
      <c r="F155" s="30"/>
    </row>
    <row r="156" spans="1:6" ht="12.75">
      <c r="A156" s="30"/>
      <c r="B156" s="38" t="s">
        <v>17</v>
      </c>
      <c r="C156" s="47"/>
      <c r="D156" s="56"/>
      <c r="E156" s="47"/>
      <c r="F156" s="30"/>
    </row>
    <row r="157" spans="1:6" ht="12.75">
      <c r="A157" s="30"/>
      <c r="B157" s="38" t="s">
        <v>317</v>
      </c>
      <c r="C157" s="47"/>
      <c r="D157" s="56"/>
      <c r="E157" s="47"/>
      <c r="F157" s="30"/>
    </row>
  </sheetData>
  <mergeCells count="50">
    <mergeCell ref="B8:E10"/>
    <mergeCell ref="B22:B24"/>
    <mergeCell ref="B25:B27"/>
    <mergeCell ref="B94:B96"/>
    <mergeCell ref="B72:B74"/>
    <mergeCell ref="B75:B77"/>
    <mergeCell ref="B78:B80"/>
    <mergeCell ref="B66:B68"/>
    <mergeCell ref="B69:B71"/>
    <mergeCell ref="B81:B83"/>
    <mergeCell ref="B84:B85"/>
    <mergeCell ref="B86:B88"/>
    <mergeCell ref="B89:B91"/>
    <mergeCell ref="B92:B93"/>
    <mergeCell ref="B13:B15"/>
    <mergeCell ref="B16:B18"/>
    <mergeCell ref="B19:B21"/>
    <mergeCell ref="B151:C151"/>
    <mergeCell ref="B139:B141"/>
    <mergeCell ref="B142:B144"/>
    <mergeCell ref="B145:B147"/>
    <mergeCell ref="B148:B150"/>
    <mergeCell ref="B114:B116"/>
    <mergeCell ref="B117:B119"/>
    <mergeCell ref="B120:B121"/>
    <mergeCell ref="B122:B124"/>
    <mergeCell ref="B111:B113"/>
    <mergeCell ref="B57:B59"/>
    <mergeCell ref="B60:B62"/>
    <mergeCell ref="B63:B65"/>
    <mergeCell ref="B28:B30"/>
    <mergeCell ref="B31:B33"/>
    <mergeCell ref="B34:B35"/>
    <mergeCell ref="B36:B38"/>
    <mergeCell ref="B39:B41"/>
    <mergeCell ref="B42:B44"/>
    <mergeCell ref="B45:B47"/>
    <mergeCell ref="B48:B50"/>
    <mergeCell ref="B51:B53"/>
    <mergeCell ref="B54:B56"/>
    <mergeCell ref="B97:B99"/>
    <mergeCell ref="B100:B102"/>
    <mergeCell ref="B130:B132"/>
    <mergeCell ref="B133:B135"/>
    <mergeCell ref="B136:B138"/>
    <mergeCell ref="B103:B105"/>
    <mergeCell ref="B106:B107"/>
    <mergeCell ref="B108:B110"/>
    <mergeCell ref="B125:B126"/>
    <mergeCell ref="B127:B129"/>
  </mergeCells>
  <printOptions horizontalCentered="1"/>
  <pageMargins left="0.74803149606299213" right="0.74803149606299213" top="0.98425196850393704" bottom="0.98425196850393704" header="0.51181102362204722" footer="0.51181102362204722"/>
  <pageSetup scale="61" orientation="portrait" r:id="rId1"/>
  <headerFooter>
    <oddFooter>&amp;C&amp;P de &amp;N</oddFooter>
  </headerFooter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rgb="FF00B0F0"/>
  </sheetPr>
  <dimension ref="A1:G37"/>
  <sheetViews>
    <sheetView showGridLines="0" view="pageBreakPreview" topLeftCell="A22" zoomScaleNormal="100" zoomScaleSheetLayoutView="100" workbookViewId="0">
      <selection activeCell="E23" sqref="E23"/>
    </sheetView>
  </sheetViews>
  <sheetFormatPr baseColWidth="10" defaultColWidth="11.42578125" defaultRowHeight="11.25"/>
  <cols>
    <col min="1" max="1" width="5.7109375" style="15" customWidth="1"/>
    <col min="2" max="2" width="19" style="21" customWidth="1"/>
    <col min="3" max="3" width="27.7109375" style="21" customWidth="1"/>
    <col min="4" max="4" width="17.140625" style="24" customWidth="1"/>
    <col min="5" max="5" width="16.5703125" style="24" customWidth="1"/>
    <col min="6" max="6" width="16.5703125" style="21" customWidth="1"/>
    <col min="7" max="7" width="3.5703125" style="15" customWidth="1"/>
    <col min="8" max="16384" width="11.42578125" style="15"/>
  </cols>
  <sheetData>
    <row r="1" spans="1:7" s="13" customFormat="1" ht="15">
      <c r="B1" s="21"/>
      <c r="C1" s="21"/>
    </row>
    <row r="2" spans="1:7" s="21" customFormat="1">
      <c r="B2" s="27"/>
    </row>
    <row r="3" spans="1:7" ht="15" customHeight="1">
      <c r="B3" s="28"/>
      <c r="C3" s="17"/>
      <c r="D3" s="15"/>
      <c r="E3" s="15"/>
      <c r="G3" s="21"/>
    </row>
    <row r="4" spans="1:7" ht="30" customHeight="1">
      <c r="B4" s="28"/>
      <c r="C4" s="17"/>
      <c r="D4" s="15"/>
      <c r="E4" s="15"/>
      <c r="G4" s="21"/>
    </row>
    <row r="5" spans="1:7" ht="15" customHeight="1">
      <c r="B5" s="28"/>
      <c r="C5" s="17"/>
      <c r="D5" s="15"/>
      <c r="E5" s="15"/>
      <c r="G5" s="21"/>
    </row>
    <row r="6" spans="1:7" s="21" customFormat="1">
      <c r="B6" s="23"/>
      <c r="C6" s="20"/>
    </row>
    <row r="7" spans="1:7" s="21" customFormat="1">
      <c r="B7" s="27"/>
    </row>
    <row r="8" spans="1:7" s="13" customFormat="1" ht="15" customHeight="1">
      <c r="A8" s="34"/>
      <c r="B8" s="117" t="s">
        <v>34</v>
      </c>
      <c r="C8" s="117"/>
      <c r="D8" s="117"/>
      <c r="E8" s="117"/>
      <c r="F8" s="117"/>
      <c r="G8" s="34"/>
    </row>
    <row r="9" spans="1:7" s="13" customFormat="1" ht="15" customHeight="1">
      <c r="A9" s="34"/>
      <c r="B9" s="117"/>
      <c r="C9" s="117"/>
      <c r="D9" s="117"/>
      <c r="E9" s="117"/>
      <c r="F9" s="117"/>
      <c r="G9" s="54"/>
    </row>
    <row r="10" spans="1:7" s="13" customFormat="1" ht="15" customHeight="1">
      <c r="A10" s="34"/>
      <c r="B10" s="117"/>
      <c r="C10" s="117"/>
      <c r="D10" s="117"/>
      <c r="E10" s="117"/>
      <c r="F10" s="117"/>
      <c r="G10" s="34"/>
    </row>
    <row r="11" spans="1:7" s="13" customFormat="1" ht="15" customHeight="1">
      <c r="A11" s="34"/>
      <c r="B11" s="55"/>
      <c r="C11" s="55"/>
      <c r="D11" s="55"/>
      <c r="E11" s="55"/>
      <c r="F11" s="55"/>
      <c r="G11" s="34"/>
    </row>
    <row r="12" spans="1:7" s="13" customFormat="1" ht="42.75">
      <c r="A12" s="34"/>
      <c r="B12" s="59" t="s">
        <v>30</v>
      </c>
      <c r="C12" s="59" t="s">
        <v>33</v>
      </c>
      <c r="D12" s="59" t="s">
        <v>20</v>
      </c>
      <c r="E12" s="59" t="s">
        <v>32</v>
      </c>
      <c r="F12" s="59" t="s">
        <v>31</v>
      </c>
      <c r="G12" s="34"/>
    </row>
    <row r="13" spans="1:7" ht="14.45" customHeight="1">
      <c r="A13" s="30"/>
      <c r="B13" s="131" t="s">
        <v>242</v>
      </c>
      <c r="C13" s="74" t="s">
        <v>240</v>
      </c>
      <c r="D13" s="75">
        <v>3</v>
      </c>
      <c r="E13" s="76">
        <f>D13/$D$21</f>
        <v>2.0338983050847458E-3</v>
      </c>
      <c r="F13" s="76">
        <f>D13/$D$31</f>
        <v>6.6181336863004633E-4</v>
      </c>
      <c r="G13" s="30"/>
    </row>
    <row r="14" spans="1:7" ht="14.45" customHeight="1">
      <c r="A14" s="30"/>
      <c r="B14" s="132"/>
      <c r="C14" s="74" t="s">
        <v>177</v>
      </c>
      <c r="D14" s="75">
        <v>4</v>
      </c>
      <c r="E14" s="76">
        <f t="shared" ref="E14:E20" si="0">D14/$D$21</f>
        <v>2.7118644067796612E-3</v>
      </c>
      <c r="F14" s="76">
        <f t="shared" ref="F14:F20" si="1">D14/$D$31</f>
        <v>8.8241782484006174E-4</v>
      </c>
      <c r="G14" s="30"/>
    </row>
    <row r="15" spans="1:7" ht="14.45" customHeight="1">
      <c r="A15" s="30"/>
      <c r="B15" s="132"/>
      <c r="C15" s="74" t="s">
        <v>178</v>
      </c>
      <c r="D15" s="75">
        <v>368</v>
      </c>
      <c r="E15" s="76">
        <f t="shared" si="0"/>
        <v>0.24949152542372882</v>
      </c>
      <c r="F15" s="76">
        <f t="shared" si="1"/>
        <v>8.1182439885285687E-2</v>
      </c>
      <c r="G15" s="30"/>
    </row>
    <row r="16" spans="1:7" ht="14.45" customHeight="1">
      <c r="A16" s="30"/>
      <c r="B16" s="132"/>
      <c r="C16" s="74" t="s">
        <v>179</v>
      </c>
      <c r="D16" s="75">
        <v>463</v>
      </c>
      <c r="E16" s="76">
        <f t="shared" si="0"/>
        <v>0.31389830508474575</v>
      </c>
      <c r="F16" s="76">
        <f t="shared" si="1"/>
        <v>0.10213986322523715</v>
      </c>
      <c r="G16" s="30"/>
    </row>
    <row r="17" spans="1:7" ht="14.45" customHeight="1">
      <c r="A17" s="30"/>
      <c r="B17" s="132"/>
      <c r="C17" s="74" t="s">
        <v>180</v>
      </c>
      <c r="D17" s="75">
        <v>389</v>
      </c>
      <c r="E17" s="76">
        <f t="shared" si="0"/>
        <v>0.26372881355932204</v>
      </c>
      <c r="F17" s="76">
        <f t="shared" si="1"/>
        <v>8.5815133465696011E-2</v>
      </c>
      <c r="G17" s="30"/>
    </row>
    <row r="18" spans="1:7" ht="14.45" customHeight="1">
      <c r="A18" s="30"/>
      <c r="B18" s="132"/>
      <c r="C18" s="74" t="s">
        <v>181</v>
      </c>
      <c r="D18" s="75">
        <v>232</v>
      </c>
      <c r="E18" s="76">
        <f t="shared" si="0"/>
        <v>0.15728813559322033</v>
      </c>
      <c r="F18" s="76">
        <f t="shared" si="1"/>
        <v>5.118023384072358E-2</v>
      </c>
      <c r="G18" s="30"/>
    </row>
    <row r="19" spans="1:7" ht="14.45" customHeight="1">
      <c r="A19" s="30"/>
      <c r="B19" s="132"/>
      <c r="C19" s="74" t="s">
        <v>182</v>
      </c>
      <c r="D19" s="75">
        <v>12</v>
      </c>
      <c r="E19" s="76">
        <f t="shared" si="0"/>
        <v>8.1355932203389832E-3</v>
      </c>
      <c r="F19" s="76">
        <f t="shared" si="1"/>
        <v>2.6472534745201853E-3</v>
      </c>
      <c r="G19" s="30"/>
    </row>
    <row r="20" spans="1:7" ht="14.45" customHeight="1">
      <c r="A20" s="30"/>
      <c r="B20" s="132"/>
      <c r="C20" s="74" t="s">
        <v>183</v>
      </c>
      <c r="D20" s="75">
        <v>4</v>
      </c>
      <c r="E20" s="76">
        <f t="shared" si="0"/>
        <v>2.7118644067796612E-3</v>
      </c>
      <c r="F20" s="76">
        <f t="shared" si="1"/>
        <v>8.8241782484006174E-4</v>
      </c>
      <c r="G20" s="30"/>
    </row>
    <row r="21" spans="1:7" ht="14.45" customHeight="1">
      <c r="A21" s="30"/>
      <c r="B21" s="133"/>
      <c r="C21" s="100" t="s">
        <v>29</v>
      </c>
      <c r="D21" s="101">
        <v>1475</v>
      </c>
      <c r="E21" s="102"/>
      <c r="F21" s="107">
        <f>D21/D31</f>
        <v>0.32539157290977277</v>
      </c>
      <c r="G21" s="30"/>
    </row>
    <row r="22" spans="1:7" ht="14.45" customHeight="1">
      <c r="A22" s="30"/>
      <c r="B22" s="131" t="s">
        <v>241</v>
      </c>
      <c r="C22" s="74" t="s">
        <v>240</v>
      </c>
      <c r="D22" s="75">
        <v>1</v>
      </c>
      <c r="E22" s="76">
        <f>D22/$D$30</f>
        <v>3.2701111837802487E-4</v>
      </c>
      <c r="F22" s="76">
        <f>D22/$D$31</f>
        <v>2.2060445621001543E-4</v>
      </c>
      <c r="G22" s="30"/>
    </row>
    <row r="23" spans="1:7" ht="14.45" customHeight="1">
      <c r="A23" s="30"/>
      <c r="B23" s="132"/>
      <c r="C23" s="74" t="s">
        <v>177</v>
      </c>
      <c r="D23" s="75">
        <v>9</v>
      </c>
      <c r="E23" s="76">
        <f t="shared" ref="E23:E29" si="2">D23/$D$30</f>
        <v>2.9431000654022237E-3</v>
      </c>
      <c r="F23" s="76">
        <f t="shared" ref="F23:F29" si="3">D23/$D$31</f>
        <v>1.9854401058901389E-3</v>
      </c>
      <c r="G23" s="30"/>
    </row>
    <row r="24" spans="1:7" ht="14.45" customHeight="1">
      <c r="A24" s="30"/>
      <c r="B24" s="132"/>
      <c r="C24" s="74" t="s">
        <v>178</v>
      </c>
      <c r="D24" s="75">
        <v>831</v>
      </c>
      <c r="E24" s="76">
        <f t="shared" si="2"/>
        <v>0.27174623937213865</v>
      </c>
      <c r="F24" s="76">
        <f t="shared" si="3"/>
        <v>0.18332230311052283</v>
      </c>
      <c r="G24" s="30"/>
    </row>
    <row r="25" spans="1:7" ht="14.45" customHeight="1">
      <c r="A25" s="30"/>
      <c r="B25" s="132"/>
      <c r="C25" s="74" t="s">
        <v>179</v>
      </c>
      <c r="D25" s="75">
        <v>1047</v>
      </c>
      <c r="E25" s="76">
        <f t="shared" si="2"/>
        <v>0.34238064094179205</v>
      </c>
      <c r="F25" s="76">
        <f t="shared" si="3"/>
        <v>0.23097286565188616</v>
      </c>
      <c r="G25" s="30"/>
    </row>
    <row r="26" spans="1:7" ht="14.45" customHeight="1">
      <c r="A26" s="30"/>
      <c r="B26" s="132"/>
      <c r="C26" s="74" t="s">
        <v>180</v>
      </c>
      <c r="D26" s="75">
        <v>771</v>
      </c>
      <c r="E26" s="76">
        <f t="shared" si="2"/>
        <v>0.25212557226945714</v>
      </c>
      <c r="F26" s="76">
        <f t="shared" si="3"/>
        <v>0.17008603573792191</v>
      </c>
      <c r="G26" s="30"/>
    </row>
    <row r="27" spans="1:7" ht="14.45" customHeight="1">
      <c r="A27" s="30"/>
      <c r="B27" s="132"/>
      <c r="C27" s="74" t="s">
        <v>181</v>
      </c>
      <c r="D27" s="75">
        <v>377</v>
      </c>
      <c r="E27" s="76">
        <f t="shared" si="2"/>
        <v>0.12328319162851537</v>
      </c>
      <c r="F27" s="76">
        <f t="shared" si="3"/>
        <v>8.3167879991175822E-2</v>
      </c>
      <c r="G27" s="30"/>
    </row>
    <row r="28" spans="1:7" ht="14.45" customHeight="1">
      <c r="A28" s="30"/>
      <c r="B28" s="132"/>
      <c r="C28" s="74" t="s">
        <v>182</v>
      </c>
      <c r="D28" s="75">
        <v>21</v>
      </c>
      <c r="E28" s="76">
        <f t="shared" si="2"/>
        <v>6.8672334859385216E-3</v>
      </c>
      <c r="F28" s="76">
        <f t="shared" si="3"/>
        <v>4.6326935804103242E-3</v>
      </c>
      <c r="G28" s="30"/>
    </row>
    <row r="29" spans="1:7" ht="14.45" customHeight="1">
      <c r="A29" s="30"/>
      <c r="B29" s="132"/>
      <c r="C29" s="74" t="s">
        <v>183</v>
      </c>
      <c r="D29" s="75">
        <v>1</v>
      </c>
      <c r="E29" s="76">
        <f t="shared" si="2"/>
        <v>3.2701111837802487E-4</v>
      </c>
      <c r="F29" s="76">
        <f t="shared" si="3"/>
        <v>2.2060445621001543E-4</v>
      </c>
      <c r="G29" s="30"/>
    </row>
    <row r="30" spans="1:7" ht="14.45" customHeight="1">
      <c r="A30" s="30"/>
      <c r="B30" s="133"/>
      <c r="C30" s="100" t="s">
        <v>29</v>
      </c>
      <c r="D30" s="101">
        <v>3058</v>
      </c>
      <c r="E30" s="102"/>
      <c r="F30" s="107">
        <f>D30/D31</f>
        <v>0.67460842709022717</v>
      </c>
      <c r="G30" s="30"/>
    </row>
    <row r="31" spans="1:7" ht="14.45" customHeight="1">
      <c r="A31" s="30"/>
      <c r="B31" s="130" t="s">
        <v>316</v>
      </c>
      <c r="C31" s="130"/>
      <c r="D31" s="103">
        <v>4533</v>
      </c>
      <c r="E31" s="104">
        <v>1</v>
      </c>
      <c r="F31" s="73">
        <f>D31/D31</f>
        <v>1</v>
      </c>
      <c r="G31" s="30"/>
    </row>
    <row r="32" spans="1:7" ht="14.45" customHeight="1">
      <c r="A32" s="30"/>
      <c r="B32" s="41"/>
      <c r="C32" s="47"/>
      <c r="D32" s="56"/>
      <c r="E32" s="56"/>
      <c r="F32" s="47"/>
      <c r="G32" s="30"/>
    </row>
    <row r="33" spans="1:7" ht="14.45" customHeight="1">
      <c r="A33" s="30"/>
      <c r="B33" s="38" t="s">
        <v>218</v>
      </c>
      <c r="C33" s="47"/>
      <c r="D33" s="56"/>
      <c r="E33" s="56"/>
      <c r="F33" s="47"/>
      <c r="G33" s="30"/>
    </row>
    <row r="34" spans="1:7" ht="14.45" customHeight="1">
      <c r="A34" s="30"/>
      <c r="B34" s="40" t="s">
        <v>18</v>
      </c>
      <c r="C34" s="47"/>
      <c r="D34" s="56"/>
      <c r="E34" s="56"/>
      <c r="F34" s="47"/>
      <c r="G34" s="30"/>
    </row>
    <row r="35" spans="1:7" ht="12.75">
      <c r="A35" s="30"/>
      <c r="B35" s="41" t="s">
        <v>45</v>
      </c>
      <c r="C35" s="47"/>
      <c r="D35" s="56"/>
      <c r="E35" s="56"/>
      <c r="F35" s="47"/>
      <c r="G35" s="30"/>
    </row>
    <row r="36" spans="1:7" ht="12.75">
      <c r="A36" s="30"/>
      <c r="B36" s="38" t="s">
        <v>17</v>
      </c>
      <c r="C36" s="47"/>
      <c r="D36" s="56"/>
      <c r="E36" s="56"/>
      <c r="F36" s="47"/>
      <c r="G36" s="30"/>
    </row>
    <row r="37" spans="1:7" ht="12.75">
      <c r="A37" s="30"/>
      <c r="B37" s="38" t="s">
        <v>317</v>
      </c>
      <c r="C37" s="47"/>
      <c r="D37" s="56"/>
      <c r="E37" s="56"/>
      <c r="F37" s="47"/>
      <c r="G37" s="30"/>
    </row>
  </sheetData>
  <mergeCells count="4">
    <mergeCell ref="B31:C31"/>
    <mergeCell ref="B8:F10"/>
    <mergeCell ref="B13:B21"/>
    <mergeCell ref="B22:B30"/>
  </mergeCells>
  <printOptions horizontalCentered="1"/>
  <pageMargins left="0.74803149606299213" right="0.74803149606299213" top="0.98425196850393704" bottom="0.98425196850393704" header="0.51181102362204722" footer="0.51181102362204722"/>
  <pageSetup scale="80" orientation="portrait" r:id="rId1"/>
  <headerFooter>
    <oddFooter>&amp;C&amp;P de &amp;N</oddFooter>
  </headerFooter>
  <ignoredErrors>
    <ignoredError sqref="F21" formula="1"/>
  </ignoredErrors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rgb="FF7030A0"/>
  </sheetPr>
  <dimension ref="A1:E56"/>
  <sheetViews>
    <sheetView showGridLines="0" view="pageBreakPreview" zoomScaleNormal="100" zoomScaleSheetLayoutView="100" workbookViewId="0">
      <selection activeCell="B15" sqref="B15"/>
    </sheetView>
  </sheetViews>
  <sheetFormatPr baseColWidth="10" defaultColWidth="11.42578125" defaultRowHeight="15"/>
  <cols>
    <col min="1" max="1" width="9.28515625" style="13" customWidth="1"/>
    <col min="2" max="2" width="44" style="13" bestFit="1" customWidth="1"/>
    <col min="3" max="3" width="17.7109375" style="14" customWidth="1"/>
    <col min="4" max="4" width="17.7109375" style="13" customWidth="1"/>
    <col min="5" max="5" width="9.28515625" style="13" customWidth="1"/>
    <col min="6" max="6" width="3.85546875" style="13" customWidth="1"/>
    <col min="7" max="16384" width="11.42578125" style="13"/>
  </cols>
  <sheetData>
    <row r="1" spans="1:5" s="15" customFormat="1" ht="15" customHeight="1">
      <c r="C1" s="17"/>
    </row>
    <row r="2" spans="1:5" s="15" customFormat="1" ht="15" customHeight="1">
      <c r="C2" s="17"/>
    </row>
    <row r="3" spans="1:5" s="15" customFormat="1" ht="15" customHeight="1">
      <c r="C3" s="17"/>
    </row>
    <row r="4" spans="1:5" s="15" customFormat="1" ht="30" customHeight="1">
      <c r="C4" s="17"/>
      <c r="D4" s="16"/>
    </row>
    <row r="5" spans="1:5" s="15" customFormat="1" ht="15" customHeight="1">
      <c r="C5" s="17"/>
      <c r="D5" s="16"/>
    </row>
    <row r="6" spans="1:5" s="15" customFormat="1" ht="15" customHeight="1">
      <c r="C6" s="17"/>
      <c r="D6" s="16"/>
    </row>
    <row r="7" spans="1:5" s="15" customFormat="1" ht="15" customHeight="1">
      <c r="A7" s="30"/>
      <c r="B7" s="117" t="s">
        <v>217</v>
      </c>
      <c r="C7" s="117"/>
      <c r="D7" s="117"/>
      <c r="E7" s="30"/>
    </row>
    <row r="8" spans="1:5" s="15" customFormat="1" ht="15" customHeight="1">
      <c r="A8" s="30"/>
      <c r="B8" s="117"/>
      <c r="C8" s="117"/>
      <c r="D8" s="117"/>
      <c r="E8" s="30"/>
    </row>
    <row r="9" spans="1:5" s="15" customFormat="1" ht="33" customHeight="1">
      <c r="A9" s="30"/>
      <c r="B9" s="117"/>
      <c r="C9" s="117"/>
      <c r="D9" s="117"/>
      <c r="E9" s="30"/>
    </row>
    <row r="10" spans="1:5" s="15" customFormat="1" ht="4.5" customHeight="1">
      <c r="A10" s="30"/>
      <c r="B10" s="31"/>
      <c r="C10" s="31"/>
      <c r="D10" s="31"/>
      <c r="E10" s="30"/>
    </row>
    <row r="11" spans="1:5" s="15" customFormat="1" ht="33" customHeight="1">
      <c r="A11" s="30"/>
      <c r="B11" s="42" t="s">
        <v>35</v>
      </c>
      <c r="C11" s="43" t="s">
        <v>20</v>
      </c>
      <c r="D11" s="44" t="s">
        <v>19</v>
      </c>
      <c r="E11" s="30"/>
    </row>
    <row r="12" spans="1:5" ht="14.45" customHeight="1">
      <c r="A12" s="34"/>
      <c r="B12" s="60" t="s">
        <v>184</v>
      </c>
      <c r="C12" s="78">
        <v>2796</v>
      </c>
      <c r="D12" s="62">
        <v>0.61699999999999999</v>
      </c>
      <c r="E12" s="57"/>
    </row>
    <row r="13" spans="1:5" ht="14.45" customHeight="1">
      <c r="A13" s="34"/>
      <c r="B13" s="60" t="s">
        <v>185</v>
      </c>
      <c r="C13" s="61">
        <v>644</v>
      </c>
      <c r="D13" s="62">
        <v>0.14199999999999999</v>
      </c>
      <c r="E13" s="57"/>
    </row>
    <row r="14" spans="1:5" ht="14.45" customHeight="1">
      <c r="A14" s="34"/>
      <c r="B14" s="60" t="s">
        <v>186</v>
      </c>
      <c r="C14" s="61">
        <v>370</v>
      </c>
      <c r="D14" s="62">
        <v>8.2000000000000003E-2</v>
      </c>
      <c r="E14" s="57"/>
    </row>
    <row r="15" spans="1:5" ht="14.45" customHeight="1">
      <c r="A15" s="34"/>
      <c r="B15" s="60" t="s">
        <v>187</v>
      </c>
      <c r="C15" s="61">
        <v>136</v>
      </c>
      <c r="D15" s="62">
        <v>0.03</v>
      </c>
      <c r="E15" s="57"/>
    </row>
    <row r="16" spans="1:5" ht="14.45" customHeight="1">
      <c r="A16" s="34"/>
      <c r="B16" s="60" t="s">
        <v>188</v>
      </c>
      <c r="C16" s="61">
        <v>100</v>
      </c>
      <c r="D16" s="62">
        <v>2.1999999999999999E-2</v>
      </c>
      <c r="E16" s="57"/>
    </row>
    <row r="17" spans="1:5" ht="14.45" customHeight="1">
      <c r="A17" s="34"/>
      <c r="B17" s="60" t="s">
        <v>190</v>
      </c>
      <c r="C17" s="61">
        <v>89</v>
      </c>
      <c r="D17" s="62">
        <v>0.02</v>
      </c>
      <c r="E17" s="57"/>
    </row>
    <row r="18" spans="1:5" ht="14.45" customHeight="1">
      <c r="A18" s="34"/>
      <c r="B18" s="60" t="s">
        <v>189</v>
      </c>
      <c r="C18" s="61">
        <v>65</v>
      </c>
      <c r="D18" s="62">
        <v>1.4E-2</v>
      </c>
      <c r="E18" s="57"/>
    </row>
    <row r="19" spans="1:5" ht="14.45" customHeight="1">
      <c r="A19" s="34"/>
      <c r="B19" s="60" t="s">
        <v>191</v>
      </c>
      <c r="C19" s="61">
        <v>61</v>
      </c>
      <c r="D19" s="62">
        <v>1.2999999999999999E-2</v>
      </c>
      <c r="E19" s="57"/>
    </row>
    <row r="20" spans="1:5" ht="14.45" customHeight="1">
      <c r="A20" s="34"/>
      <c r="B20" s="60" t="s">
        <v>192</v>
      </c>
      <c r="C20" s="61">
        <v>53</v>
      </c>
      <c r="D20" s="62">
        <v>1.2E-2</v>
      </c>
      <c r="E20" s="57"/>
    </row>
    <row r="21" spans="1:5" ht="14.45" customHeight="1">
      <c r="A21" s="34"/>
      <c r="B21" s="60" t="s">
        <v>193</v>
      </c>
      <c r="C21" s="61">
        <v>45</v>
      </c>
      <c r="D21" s="62">
        <v>0.01</v>
      </c>
      <c r="E21" s="57"/>
    </row>
    <row r="22" spans="1:5" ht="14.45" customHeight="1">
      <c r="A22" s="34"/>
      <c r="B22" s="60" t="s">
        <v>196</v>
      </c>
      <c r="C22" s="61">
        <v>27</v>
      </c>
      <c r="D22" s="62">
        <v>6.0000000000000001E-3</v>
      </c>
      <c r="E22" s="57"/>
    </row>
    <row r="23" spans="1:5" ht="14.45" customHeight="1">
      <c r="A23" s="34"/>
      <c r="B23" s="60" t="s">
        <v>194</v>
      </c>
      <c r="C23" s="61">
        <v>23</v>
      </c>
      <c r="D23" s="62">
        <v>5.0000000000000001E-3</v>
      </c>
      <c r="E23" s="57"/>
    </row>
    <row r="24" spans="1:5" ht="14.45" customHeight="1">
      <c r="A24" s="34"/>
      <c r="B24" s="60" t="s">
        <v>197</v>
      </c>
      <c r="C24" s="61">
        <v>21</v>
      </c>
      <c r="D24" s="62">
        <v>5.0000000000000001E-3</v>
      </c>
      <c r="E24" s="57"/>
    </row>
    <row r="25" spans="1:5" ht="14.45" customHeight="1">
      <c r="A25" s="34"/>
      <c r="B25" s="60" t="s">
        <v>198</v>
      </c>
      <c r="C25" s="61">
        <v>16</v>
      </c>
      <c r="D25" s="62">
        <v>4.0000000000000001E-3</v>
      </c>
      <c r="E25" s="57"/>
    </row>
    <row r="26" spans="1:5" ht="14.45" customHeight="1">
      <c r="A26" s="34"/>
      <c r="B26" s="60" t="s">
        <v>201</v>
      </c>
      <c r="C26" s="61">
        <v>12</v>
      </c>
      <c r="D26" s="62">
        <v>3.0000000000000001E-3</v>
      </c>
      <c r="E26" s="57"/>
    </row>
    <row r="27" spans="1:5" ht="14.45" customHeight="1">
      <c r="A27" s="34"/>
      <c r="B27" s="60" t="s">
        <v>206</v>
      </c>
      <c r="C27" s="61">
        <v>9</v>
      </c>
      <c r="D27" s="62">
        <v>2E-3</v>
      </c>
      <c r="E27" s="57"/>
    </row>
    <row r="28" spans="1:5" ht="14.45" customHeight="1">
      <c r="A28" s="34"/>
      <c r="B28" s="60" t="s">
        <v>199</v>
      </c>
      <c r="C28" s="61">
        <v>8</v>
      </c>
      <c r="D28" s="62">
        <v>2E-3</v>
      </c>
      <c r="E28" s="57"/>
    </row>
    <row r="29" spans="1:5" ht="14.45" customHeight="1">
      <c r="A29" s="34"/>
      <c r="B29" s="60" t="s">
        <v>202</v>
      </c>
      <c r="C29" s="61">
        <v>8</v>
      </c>
      <c r="D29" s="62">
        <v>2E-3</v>
      </c>
      <c r="E29" s="57"/>
    </row>
    <row r="30" spans="1:5" ht="14.45" customHeight="1">
      <c r="A30" s="34"/>
      <c r="B30" s="60" t="s">
        <v>200</v>
      </c>
      <c r="C30" s="61">
        <v>8</v>
      </c>
      <c r="D30" s="62">
        <v>2E-3</v>
      </c>
      <c r="E30" s="57"/>
    </row>
    <row r="31" spans="1:5" ht="14.45" customHeight="1">
      <c r="A31" s="34"/>
      <c r="B31" s="60" t="s">
        <v>195</v>
      </c>
      <c r="C31" s="61">
        <v>6</v>
      </c>
      <c r="D31" s="62">
        <v>1E-3</v>
      </c>
      <c r="E31" s="57"/>
    </row>
    <row r="32" spans="1:5" ht="14.45" customHeight="1">
      <c r="A32" s="34"/>
      <c r="B32" s="60" t="s">
        <v>205</v>
      </c>
      <c r="C32" s="61">
        <v>5</v>
      </c>
      <c r="D32" s="62">
        <v>1E-3</v>
      </c>
      <c r="E32" s="57"/>
    </row>
    <row r="33" spans="1:5" ht="14.45" customHeight="1">
      <c r="A33" s="34"/>
      <c r="B33" s="60" t="s">
        <v>204</v>
      </c>
      <c r="C33" s="61">
        <v>5</v>
      </c>
      <c r="D33" s="62">
        <v>1E-3</v>
      </c>
      <c r="E33" s="57"/>
    </row>
    <row r="34" spans="1:5" ht="14.45" customHeight="1">
      <c r="A34" s="34"/>
      <c r="B34" s="60" t="s">
        <v>244</v>
      </c>
      <c r="C34" s="61">
        <v>4</v>
      </c>
      <c r="D34" s="62">
        <v>1E-3</v>
      </c>
      <c r="E34" s="57"/>
    </row>
    <row r="35" spans="1:5" ht="14.45" customHeight="1">
      <c r="A35" s="34"/>
      <c r="B35" s="60" t="s">
        <v>207</v>
      </c>
      <c r="C35" s="61">
        <v>3</v>
      </c>
      <c r="D35" s="62">
        <v>1E-3</v>
      </c>
      <c r="E35" s="57"/>
    </row>
    <row r="36" spans="1:5" ht="14.45" customHeight="1">
      <c r="A36" s="34"/>
      <c r="B36" s="60" t="s">
        <v>203</v>
      </c>
      <c r="C36" s="61">
        <v>3</v>
      </c>
      <c r="D36" s="62">
        <v>1E-3</v>
      </c>
      <c r="E36" s="57"/>
    </row>
    <row r="37" spans="1:5" ht="14.45" customHeight="1">
      <c r="A37" s="47"/>
      <c r="B37" s="60" t="s">
        <v>208</v>
      </c>
      <c r="C37" s="61">
        <v>2</v>
      </c>
      <c r="D37" s="62">
        <v>0</v>
      </c>
      <c r="E37" s="57"/>
    </row>
    <row r="38" spans="1:5" ht="14.45" customHeight="1">
      <c r="A38" s="34"/>
      <c r="B38" s="60" t="s">
        <v>245</v>
      </c>
      <c r="C38" s="61">
        <v>2</v>
      </c>
      <c r="D38" s="62">
        <v>0</v>
      </c>
      <c r="E38" s="57"/>
    </row>
    <row r="39" spans="1:5" ht="14.45" customHeight="1">
      <c r="A39" s="34"/>
      <c r="B39" s="60" t="s">
        <v>213</v>
      </c>
      <c r="C39" s="61">
        <v>2</v>
      </c>
      <c r="D39" s="62">
        <v>0</v>
      </c>
      <c r="E39" s="57"/>
    </row>
    <row r="40" spans="1:5" ht="14.45" customHeight="1">
      <c r="A40" s="34"/>
      <c r="B40" s="60" t="s">
        <v>246</v>
      </c>
      <c r="C40" s="61">
        <v>1</v>
      </c>
      <c r="D40" s="62">
        <v>0</v>
      </c>
      <c r="E40" s="57"/>
    </row>
    <row r="41" spans="1:5" ht="14.45" customHeight="1">
      <c r="A41" s="34"/>
      <c r="B41" s="60" t="s">
        <v>212</v>
      </c>
      <c r="C41" s="61">
        <v>1</v>
      </c>
      <c r="D41" s="62">
        <v>0</v>
      </c>
      <c r="E41" s="57"/>
    </row>
    <row r="42" spans="1:5" ht="14.45" customHeight="1">
      <c r="A42" s="34"/>
      <c r="B42" s="60" t="s">
        <v>214</v>
      </c>
      <c r="C42" s="61">
        <v>1</v>
      </c>
      <c r="D42" s="62">
        <v>0</v>
      </c>
      <c r="E42" s="57"/>
    </row>
    <row r="43" spans="1:5" ht="14.45" customHeight="1">
      <c r="A43" s="34"/>
      <c r="B43" s="60" t="s">
        <v>210</v>
      </c>
      <c r="C43" s="61">
        <v>1</v>
      </c>
      <c r="D43" s="62">
        <v>0</v>
      </c>
      <c r="E43" s="57"/>
    </row>
    <row r="44" spans="1:5" ht="14.45" customHeight="1">
      <c r="A44" s="34"/>
      <c r="B44" s="60" t="s">
        <v>247</v>
      </c>
      <c r="C44" s="61">
        <v>1</v>
      </c>
      <c r="D44" s="62">
        <v>0</v>
      </c>
      <c r="E44" s="57"/>
    </row>
    <row r="45" spans="1:5" ht="14.45" customHeight="1">
      <c r="A45" s="34"/>
      <c r="B45" s="60" t="s">
        <v>209</v>
      </c>
      <c r="C45" s="61">
        <v>1</v>
      </c>
      <c r="D45" s="62">
        <v>0</v>
      </c>
      <c r="E45" s="57"/>
    </row>
    <row r="46" spans="1:5" ht="14.45" customHeight="1">
      <c r="A46" s="34"/>
      <c r="B46" s="60" t="s">
        <v>239</v>
      </c>
      <c r="C46" s="61">
        <v>1</v>
      </c>
      <c r="D46" s="62">
        <v>0</v>
      </c>
      <c r="E46" s="57"/>
    </row>
    <row r="47" spans="1:5" ht="14.45" customHeight="1">
      <c r="A47" s="34"/>
      <c r="B47" s="60" t="s">
        <v>248</v>
      </c>
      <c r="C47" s="61">
        <v>1</v>
      </c>
      <c r="D47" s="62">
        <v>0</v>
      </c>
      <c r="E47" s="57"/>
    </row>
    <row r="48" spans="1:5" ht="14.45" customHeight="1">
      <c r="A48" s="34"/>
      <c r="B48" s="60" t="s">
        <v>215</v>
      </c>
      <c r="C48" s="61">
        <v>1</v>
      </c>
      <c r="D48" s="62">
        <v>0</v>
      </c>
      <c r="E48" s="57"/>
    </row>
    <row r="49" spans="1:5" ht="14.45" customHeight="1">
      <c r="A49" s="34"/>
      <c r="B49" s="60" t="s">
        <v>211</v>
      </c>
      <c r="C49" s="61">
        <v>1</v>
      </c>
      <c r="D49" s="62">
        <v>0</v>
      </c>
      <c r="E49" s="57"/>
    </row>
    <row r="50" spans="1:5" ht="14.45" customHeight="1">
      <c r="A50" s="34"/>
      <c r="B50" s="79" t="s">
        <v>316</v>
      </c>
      <c r="C50" s="37">
        <v>4533</v>
      </c>
      <c r="D50" s="80">
        <v>1</v>
      </c>
      <c r="E50" s="58"/>
    </row>
    <row r="51" spans="1:5" ht="14.45" customHeight="1">
      <c r="A51" s="34"/>
      <c r="B51" s="34"/>
      <c r="C51" s="39"/>
      <c r="D51" s="34"/>
      <c r="E51" s="34"/>
    </row>
    <row r="52" spans="1:5" ht="14.45" customHeight="1">
      <c r="A52" s="34"/>
      <c r="B52" s="38" t="s">
        <v>218</v>
      </c>
      <c r="C52" s="39"/>
      <c r="D52" s="34"/>
      <c r="E52" s="34"/>
    </row>
    <row r="53" spans="1:5" ht="14.45" customHeight="1">
      <c r="A53" s="34"/>
      <c r="B53" s="40" t="s">
        <v>18</v>
      </c>
      <c r="C53" s="39"/>
      <c r="D53" s="34"/>
      <c r="E53" s="34"/>
    </row>
    <row r="54" spans="1:5" ht="14.45" customHeight="1">
      <c r="A54" s="34"/>
      <c r="B54" s="41" t="s">
        <v>45</v>
      </c>
      <c r="C54" s="39"/>
      <c r="D54" s="34"/>
      <c r="E54" s="34"/>
    </row>
    <row r="55" spans="1:5" ht="14.45" customHeight="1">
      <c r="A55" s="34"/>
      <c r="B55" s="38" t="s">
        <v>17</v>
      </c>
      <c r="C55" s="39"/>
      <c r="D55" s="34"/>
      <c r="E55" s="34"/>
    </row>
    <row r="56" spans="1:5" ht="14.45" customHeight="1">
      <c r="A56" s="34"/>
      <c r="B56" s="38" t="s">
        <v>317</v>
      </c>
      <c r="C56" s="39"/>
      <c r="D56" s="34"/>
      <c r="E56" s="34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63" fitToWidth="0" fitToHeight="0" orientation="portrait" r:id="rId1"/>
  <headerFooter>
    <oddFooter>&amp;C&amp;P de &amp;N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15</vt:i4>
      </vt:variant>
      <vt:variant>
        <vt:lpstr>Rangos con nombre</vt:lpstr>
      </vt:variant>
      <vt:variant>
        <vt:i4>24</vt:i4>
      </vt:variant>
    </vt:vector>
  </HeadingPairs>
  <TitlesOfParts>
    <vt:vector size="39" baseType="lpstr">
      <vt:lpstr>Índice</vt:lpstr>
      <vt:lpstr>Tabasco_EdoUsa</vt:lpstr>
      <vt:lpstr>Tabasco_Cons</vt:lpstr>
      <vt:lpstr>TabascoXCons</vt:lpstr>
      <vt:lpstr>Tabasco_EdoMun</vt:lpstr>
      <vt:lpstr>Tabasco_USAMuni</vt:lpstr>
      <vt:lpstr>Tabasco_MUNICIPIO</vt:lpstr>
      <vt:lpstr>Tabasco_educ_gral</vt:lpstr>
      <vt:lpstr>Tabasco_NivelE_Cons</vt:lpstr>
      <vt:lpstr>Tabasco_EducCons</vt:lpstr>
      <vt:lpstr>Tabasco_GenGral</vt:lpstr>
      <vt:lpstr>Tabasco_GENERO</vt:lpstr>
      <vt:lpstr>Tabasco_GENERO_EUA</vt:lpstr>
      <vt:lpstr>Tabasco_Gen_Edad</vt:lpstr>
      <vt:lpstr>Tabasco_ocup_gral</vt:lpstr>
      <vt:lpstr>Tabasco_EdoMun!Área_de_impresión</vt:lpstr>
      <vt:lpstr>Tabasco_educ_gral!Área_de_impresión</vt:lpstr>
      <vt:lpstr>Tabasco_EducCons!Área_de_impresión</vt:lpstr>
      <vt:lpstr>Tabasco_Gen_Edad!Área_de_impresión</vt:lpstr>
      <vt:lpstr>Tabasco_GENERO!Área_de_impresión</vt:lpstr>
      <vt:lpstr>Tabasco_GENERO_EUA!Área_de_impresión</vt:lpstr>
      <vt:lpstr>Tabasco_MUNICIPIO!Área_de_impresión</vt:lpstr>
      <vt:lpstr>Tabasco_NivelE_Cons!Área_de_impresión</vt:lpstr>
      <vt:lpstr>Tabasco_ocup_gral!Área_de_impresión</vt:lpstr>
      <vt:lpstr>Tabasco_USAMuni!Área_de_impresión</vt:lpstr>
      <vt:lpstr>Tabasco_Cons!Títulos_a_imprimir</vt:lpstr>
      <vt:lpstr>Tabasco_EdoMun!Títulos_a_imprimir</vt:lpstr>
      <vt:lpstr>Tabasco_EdoUsa!Títulos_a_imprimir</vt:lpstr>
      <vt:lpstr>Tabasco_educ_gral!Títulos_a_imprimir</vt:lpstr>
      <vt:lpstr>Tabasco_EducCons!Títulos_a_imprimir</vt:lpstr>
      <vt:lpstr>Tabasco_Gen_Edad!Títulos_a_imprimir</vt:lpstr>
      <vt:lpstr>Tabasco_GENERO!Títulos_a_imprimir</vt:lpstr>
      <vt:lpstr>Tabasco_GENERO_EUA!Títulos_a_imprimir</vt:lpstr>
      <vt:lpstr>Tabasco_GenGral!Títulos_a_imprimir</vt:lpstr>
      <vt:lpstr>Tabasco_MUNICIPIO!Títulos_a_imprimir</vt:lpstr>
      <vt:lpstr>Tabasco_NivelE_Cons!Títulos_a_imprimir</vt:lpstr>
      <vt:lpstr>Tabasco_ocup_gral!Títulos_a_imprimir</vt:lpstr>
      <vt:lpstr>Tabasco_USAMuni!Títulos_a_imprimir</vt:lpstr>
      <vt:lpstr>TabascoXCons!Títulos_a_imprimir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Lidia</dc:creator>
  <cp:lastModifiedBy>García Ayala, Miguel Ángel</cp:lastModifiedBy>
  <cp:lastPrinted>2025-02-19T17:09:50Z</cp:lastPrinted>
  <dcterms:created xsi:type="dcterms:W3CDTF">2020-06-04T00:36:39Z</dcterms:created>
  <dcterms:modified xsi:type="dcterms:W3CDTF">2025-08-23T03:18:32Z</dcterms:modified>
</cp:coreProperties>
</file>