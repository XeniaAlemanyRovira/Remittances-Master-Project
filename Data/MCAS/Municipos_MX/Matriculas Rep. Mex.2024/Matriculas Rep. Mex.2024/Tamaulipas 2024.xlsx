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628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4\República Mexicana\FINALES_RM\"/>
    </mc:Choice>
  </mc:AlternateContent>
  <xr:revisionPtr revIDLastSave="0" documentId="13_ncr:1_{E2507801-5778-47BE-81FB-438AD8711C6A}" xr6:coauthVersionLast="47" xr6:coauthVersionMax="47" xr10:uidLastSave="{00000000-0000-0000-0000-000000000000}"/>
  <bookViews>
    <workbookView xWindow="-120" yWindow="-120" windowWidth="20730" windowHeight="11160" tabRatio="812" firstSheet="10" activeTab="14" xr2:uid="{00000000-000D-0000-FFFF-FFFF00000000}"/>
  </bookViews>
  <sheets>
    <sheet name="Índice" sheetId="1" r:id="rId1"/>
    <sheet name="Tamaulipas_EdoUsa" sheetId="2" r:id="rId2"/>
    <sheet name="Tamaulipas_Cons" sheetId="15" r:id="rId3"/>
    <sheet name="TamaulipasXCons" sheetId="16" r:id="rId4"/>
    <sheet name="Tamaulipas_EdoMun" sheetId="5" r:id="rId5"/>
    <sheet name="Tamaulipas_USAMuni" sheetId="6" r:id="rId6"/>
    <sheet name="Tamaulipas_MUNICIPIO" sheetId="7" r:id="rId7"/>
    <sheet name="Tamaulipas_educ_gral" sheetId="8" r:id="rId8"/>
    <sheet name="Tamaulipas_NivelE_Cons" sheetId="9" r:id="rId9"/>
    <sheet name="Tamaulipas_EducCons" sheetId="10" r:id="rId10"/>
    <sheet name="Tamaulipas_GenGral" sheetId="11" r:id="rId11"/>
    <sheet name="Tamaulipas_GENERO" sheetId="12" r:id="rId12"/>
    <sheet name="Tamaulipas_GENERO_EUA" sheetId="17" r:id="rId13"/>
    <sheet name="Tamaulipas_Gen_Edad" sheetId="13" r:id="rId14"/>
    <sheet name="Tamaulipas_ocup_gral" sheetId="14" r:id="rId15"/>
  </sheets>
  <definedNames>
    <definedName name="_xlnm._FilterDatabase" localSheetId="2" hidden="1">Tamaulipas_Cons!$B$11:$D$11</definedName>
    <definedName name="_xlnm._FilterDatabase" localSheetId="4" hidden="1">Tamaulipas_EdoMun!$B$11:$D$11</definedName>
    <definedName name="_xlnm._FilterDatabase" localSheetId="1" hidden="1">Tamaulipas_EdoUsa!$B$11:$D$11</definedName>
    <definedName name="_xlnm._FilterDatabase" localSheetId="7" hidden="1">Tamaulipas_educ_gral!$B$11:$D$11</definedName>
    <definedName name="_xlnm._FilterDatabase" localSheetId="9" hidden="1">Tamaulipas_EducCons!$A$9:$D$9</definedName>
    <definedName name="_xlnm._FilterDatabase" localSheetId="11" hidden="1">Tamaulipas_GENERO!$B$12:$E$144</definedName>
    <definedName name="_xlnm._FilterDatabase" localSheetId="12" hidden="1">Tamaulipas_GENERO_EUA!$B$12:$E$144</definedName>
    <definedName name="_xlnm._FilterDatabase" localSheetId="10" hidden="1">Tamaulipas_GenGral!$B$11:$D$11</definedName>
    <definedName name="_xlnm._FilterDatabase" localSheetId="6" hidden="1">Tamaulipas_MUNICIPIO!$B$9:$E$9</definedName>
    <definedName name="_xlnm._FilterDatabase" localSheetId="8" hidden="1">Tamaulipas_NivelE_Cons!$B$9:$E$9</definedName>
    <definedName name="_xlnm._FilterDatabase" localSheetId="14" hidden="1">Tamaulipas_ocup_gral!$B$11:$D$11</definedName>
    <definedName name="_xlnm._FilterDatabase" localSheetId="5" hidden="1">Tamaulipas_USAMuni!$B$9:$E$9</definedName>
    <definedName name="_xlnm._FilterDatabase" localSheetId="3" hidden="1">TamaulipasXCons!$B$11:$D$11</definedName>
    <definedName name="_xlnm.Print_Area" localSheetId="7">Tamaulipas_educ_gral!$A$1:$F$43</definedName>
    <definedName name="_xlnm.Print_Area" localSheetId="9">Tamaulipas_EducCons!$A$1:$D$743</definedName>
    <definedName name="_xlnm.Print_Area" localSheetId="13">Tamaulipas_Gen_Edad!$A$1:$F$41</definedName>
    <definedName name="_xlnm.Print_Area" localSheetId="11">Tamaulipas_GENERO!$A$1:$F$170</definedName>
    <definedName name="_xlnm.Print_Area" localSheetId="12">Tamaulipas_GENERO_EUA!$A$1:$F$160</definedName>
    <definedName name="_xlnm.Print_Area" localSheetId="10">Tamaulipas_GenGral!$A$1:$F$21</definedName>
    <definedName name="_xlnm.Print_Area" localSheetId="6">Tamaulipas_MUNICIPIO!$A$1:$E$1061</definedName>
    <definedName name="_xlnm.Print_Area" localSheetId="8">Tamaulipas_NivelE_Cons!$A$1:$E$588</definedName>
    <definedName name="_xlnm.Print_Area" localSheetId="14">Tamaulipas_ocup_gral!$A$1:$E$81</definedName>
    <definedName name="_xlnm.Print_Area" localSheetId="5">Tamaulipas_USAMuni!$A$1:$E$840</definedName>
    <definedName name="_xlnm.Print_Titles" localSheetId="2">Tamaulipas_Cons!$1:$11</definedName>
    <definedName name="_xlnm.Print_Titles" localSheetId="4">Tamaulipas_EdoMun!$1:$11</definedName>
    <definedName name="_xlnm.Print_Titles" localSheetId="1">Tamaulipas_EdoUsa!$1:$11</definedName>
    <definedName name="_xlnm.Print_Titles" localSheetId="7">Tamaulipas_educ_gral!$1:$11</definedName>
    <definedName name="_xlnm.Print_Titles" localSheetId="9">Tamaulipas_EducCons!$1:$9</definedName>
    <definedName name="_xlnm.Print_Titles" localSheetId="13">Tamaulipas_Gen_Edad!$1:$12</definedName>
    <definedName name="_xlnm.Print_Titles" localSheetId="11">Tamaulipas_GENERO!$1:$12</definedName>
    <definedName name="_xlnm.Print_Titles" localSheetId="12">Tamaulipas_GENERO_EUA!$1:$12</definedName>
    <definedName name="_xlnm.Print_Titles" localSheetId="10">Tamaulipas_GenGral!$1:$11</definedName>
    <definedName name="_xlnm.Print_Titles" localSheetId="6">Tamaulipas_MUNICIPIO!$1:$9</definedName>
    <definedName name="_xlnm.Print_Titles" localSheetId="8">Tamaulipas_NivelE_Cons!$1:$9</definedName>
    <definedName name="_xlnm.Print_Titles" localSheetId="14">Tamaulipas_ocup_gral!$1:$11</definedName>
    <definedName name="_xlnm.Print_Titles" localSheetId="5">Tamaulipas_USAMuni!$1:$9</definedName>
    <definedName name="_xlnm.Print_Titles" localSheetId="3">TamaulipasXCons!$1:$11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9" i="13" l="1"/>
  <c r="F29" i="13"/>
  <c r="D21" i="16"/>
  <c r="D20" i="16"/>
  <c r="D19" i="16"/>
  <c r="D18" i="16"/>
  <c r="D17" i="16"/>
  <c r="D16" i="16"/>
  <c r="D15" i="16"/>
  <c r="D14" i="16"/>
  <c r="D13" i="16"/>
  <c r="D12" i="16"/>
  <c r="F35" i="13"/>
  <c r="F34" i="13"/>
  <c r="F32" i="13"/>
  <c r="F33" i="13"/>
  <c r="F31" i="13"/>
  <c r="F23" i="13"/>
  <c r="F24" i="13"/>
  <c r="F25" i="13"/>
  <c r="F26" i="13"/>
  <c r="F27" i="13"/>
  <c r="F28" i="13"/>
  <c r="F22" i="13"/>
  <c r="F14" i="13"/>
  <c r="F15" i="13"/>
  <c r="F16" i="13"/>
  <c r="F17" i="13"/>
  <c r="F18" i="13"/>
  <c r="F19" i="13"/>
  <c r="F20" i="13"/>
  <c r="F13" i="13"/>
  <c r="E32" i="13"/>
  <c r="E33" i="13"/>
  <c r="E31" i="13"/>
  <c r="E23" i="13"/>
  <c r="E24" i="13"/>
  <c r="E25" i="13"/>
  <c r="E26" i="13"/>
  <c r="E27" i="13"/>
  <c r="E28" i="13"/>
  <c r="E22" i="13"/>
  <c r="E14" i="13"/>
  <c r="E15" i="13"/>
  <c r="E16" i="13"/>
  <c r="E17" i="13"/>
  <c r="E18" i="13"/>
  <c r="E19" i="13"/>
  <c r="E20" i="13"/>
  <c r="E13" i="13"/>
  <c r="C22" i="16"/>
  <c r="D22" i="16" l="1"/>
</calcChain>
</file>

<file path=xl/sharedStrings.xml><?xml version="1.0" encoding="utf-8"?>
<sst xmlns="http://schemas.openxmlformats.org/spreadsheetml/2006/main" count="4162" uniqueCount="310">
  <si>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</si>
  <si>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</si>
  <si>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</si>
  <si>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</si>
  <si>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</si>
  <si>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</si>
  <si>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</si>
  <si>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</si>
  <si>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</si>
  <si>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</si>
  <si>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</si>
  <si>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</si>
  <si>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</si>
  <si>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</si>
  <si>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</si>
  <si>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</si>
  <si>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</si>
  <si>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 xml:space="preserve">Secretaría de Relaciones Exteriores </t>
  </si>
  <si>
    <t>Fuente: Expedición de Matrículas Consulares de Alta Seguridad en los Consulados de México en E.E.U.U.</t>
  </si>
  <si>
    <t>Porcentaje de Matrículas</t>
  </si>
  <si>
    <t>Número de Matrículas</t>
  </si>
  <si>
    <t xml:space="preserve">Estado </t>
  </si>
  <si>
    <t>Consulado</t>
  </si>
  <si>
    <t>Municipio de origen</t>
  </si>
  <si>
    <t>Municipio de Origen</t>
  </si>
  <si>
    <t>Estado</t>
  </si>
  <si>
    <t>Número de matrículas</t>
  </si>
  <si>
    <t>Nivel de Estudios</t>
  </si>
  <si>
    <t>Nivel</t>
  </si>
  <si>
    <t>Género</t>
  </si>
  <si>
    <t>Porcentaje con respecto al total de Matrículas</t>
  </si>
  <si>
    <t>Porcentaje con respecto al Género</t>
  </si>
  <si>
    <t>Edad Cumplida</t>
  </si>
  <si>
    <t>Ocupación</t>
  </si>
  <si>
    <t>5.3 Por Estado de la Unión Americana</t>
  </si>
  <si>
    <t>MATRÍCULAS CONSULARES DE ALTA SEGURIDAD EXPEDIDAS A ORIGINARIOS DE TAMAULIPAS EN LOS CONSULADOS DE MÉXICO EN EE.UU.</t>
  </si>
  <si>
    <t xml:space="preserve">MATRÍCULAS CONSULARES EXPEDIDAS A ORIGINARIOS DE TAMAULIPAS POR GÉNERO EN EE.UU </t>
  </si>
  <si>
    <t>MATRÍCULAS CONSULARES EXPEDIDAS EN EE.UU. A ORIGINARIOS DE TAMAULIPAS POR NIVEL DE EDUCACIÓN</t>
  </si>
  <si>
    <t>MATRÍCULAS CONSULARES EXPEDIDAS A ORIGINARIOS DE TAMAULIPAS POR GÉNERO Y CONSULADO</t>
  </si>
  <si>
    <t>MATRÍCULAS CONSULARES EXPEDIDAS A ORIGINARIOS DE TAMAULIPAS POR GÉNERO Y POR ESTADO DE LA UNIÓN AMERICANA</t>
  </si>
  <si>
    <t xml:space="preserve">MATRÍCULAS CONSULARES DE ALTA SEGURIDAD EXPEDIDAS POR MUNICIPIO A ORIGINARIOS DEL ESTADO DE TAMAULIPAS EN LOS CONSULADOS DE MÉXICO EN EE.UU. </t>
  </si>
  <si>
    <t>MATRÍCULAS CONSULARES DE ALTA SEGURIDAD EXPEDIDAS A ORIGINARIOS DE TAMAULIPAS POR ESTADO DE LA UNIÓN AMERICANA.</t>
  </si>
  <si>
    <t>LOS 10 CONSULADOS  DE MÉXICO EN EE.UU., CON MAYOR NÚMERO DE EXPEDICIÓN DE  MATRÍCULAS CONSULARES DE ALTA SEGURIDAD A ORIGINARIOS DE TAMAULIPAS</t>
  </si>
  <si>
    <t>TOTAL TOP 10</t>
  </si>
  <si>
    <t>TOTAL GENERAL</t>
  </si>
  <si>
    <t>Elaborado por: Análisis de Información, Instituto de Mexicanas y Mexicanos en el Exterior</t>
  </si>
  <si>
    <t>MCALLEN</t>
  </si>
  <si>
    <t>HOUSTON</t>
  </si>
  <si>
    <t>BROWNSVILLE</t>
  </si>
  <si>
    <t>DALLAS</t>
  </si>
  <si>
    <t>LAREDO</t>
  </si>
  <si>
    <t>SAN ANTONIO</t>
  </si>
  <si>
    <t>ATLANTA</t>
  </si>
  <si>
    <t>CHICAGO</t>
  </si>
  <si>
    <t>RALEIGH</t>
  </si>
  <si>
    <t>LITTLE ROCK</t>
  </si>
  <si>
    <t>AUSTIN</t>
  </si>
  <si>
    <t>NUEVA ORLEANS</t>
  </si>
  <si>
    <t>ORLANDO</t>
  </si>
  <si>
    <t>OKLAHOMA CITY</t>
  </si>
  <si>
    <t>DETROIT</t>
  </si>
  <si>
    <t>MIAMI</t>
  </si>
  <si>
    <t>KANSAS CITY</t>
  </si>
  <si>
    <t>SAINT PAUL</t>
  </si>
  <si>
    <t>INDIANAPOLIS</t>
  </si>
  <si>
    <t>LOS ANGELES</t>
  </si>
  <si>
    <t>WASHINGTON</t>
  </si>
  <si>
    <t>OMAHA</t>
  </si>
  <si>
    <t>FILADELFIA</t>
  </si>
  <si>
    <t>DENVER</t>
  </si>
  <si>
    <t>MILWAUKEE</t>
  </si>
  <si>
    <t>FRESNO</t>
  </si>
  <si>
    <t>NUEVA YORK</t>
  </si>
  <si>
    <t>ALBUQUERQUE</t>
  </si>
  <si>
    <t>SANTA ANA</t>
  </si>
  <si>
    <t>PHOENIX</t>
  </si>
  <si>
    <t>SAN JOSE</t>
  </si>
  <si>
    <t>LAS VEGAS</t>
  </si>
  <si>
    <t>SAN BERNARDINO</t>
  </si>
  <si>
    <t>PRESIDIO</t>
  </si>
  <si>
    <t>BOSTON</t>
  </si>
  <si>
    <t>SACRAMENTO</t>
  </si>
  <si>
    <t>SAN DIEGO</t>
  </si>
  <si>
    <t>SAN FRANCISCO</t>
  </si>
  <si>
    <t>SALT LAKE CITY</t>
  </si>
  <si>
    <t>EL PASO</t>
  </si>
  <si>
    <t>BOISE</t>
  </si>
  <si>
    <t>OXNARD</t>
  </si>
  <si>
    <t>DEL RIO</t>
  </si>
  <si>
    <t>PORTLAND</t>
  </si>
  <si>
    <t>EAGLE PASS</t>
  </si>
  <si>
    <t>NEW BRUNSWICK</t>
  </si>
  <si>
    <t>SEATTLE</t>
  </si>
  <si>
    <t>TUCSON</t>
  </si>
  <si>
    <t>YUMA</t>
  </si>
  <si>
    <t>CALEXICO</t>
  </si>
  <si>
    <t>ALABAMA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</si>
  <si>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</si>
  <si>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</si>
  <si>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</si>
  <si>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</si>
  <si>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</si>
  <si>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</si>
  <si>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</si>
  <si>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</si>
  <si>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</si>
  <si>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IDAHO</t>
  </si>
  <si>
    <t>ILLINOIS</t>
  </si>
  <si>
    <t>INDIANA</t>
  </si>
  <si>
    <t>IOWA</t>
  </si>
  <si>
    <t>KANSAS</t>
  </si>
  <si>
    <t>KENTUCKY</t>
  </si>
  <si>
    <t>LOUISIANA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</si>
  <si>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</si>
  <si>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</si>
  <si>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</si>
  <si>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</si>
  <si>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</si>
  <si>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</si>
  <si>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</si>
  <si>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</si>
  <si>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</si>
  <si>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</si>
  <si>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</si>
  <si>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</si>
  <si>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</si>
  <si>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</si>
  <si>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</si>
  <si>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</si>
  <si>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</si>
  <si>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</si>
  <si>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</si>
  <si>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</si>
  <si>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</si>
  <si>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</si>
  <si>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</si>
  <si>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</si>
  <si>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</si>
  <si>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</si>
  <si>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WEST VIRGINIA</t>
  </si>
  <si>
    <t>WISCONSIN</t>
  </si>
  <si>
    <t>WYOMING</t>
  </si>
  <si>
    <t>FEMENINO</t>
  </si>
  <si>
    <t>MASCULINO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</si>
  <si>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</si>
  <si>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</si>
  <si>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</si>
  <si>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</si>
  <si>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</si>
  <si>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</si>
  <si>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</si>
  <si>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</si>
  <si>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</si>
  <si>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</si>
  <si>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</si>
  <si>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</si>
  <si>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</si>
  <si>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</si>
  <si>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</si>
  <si>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1o. AÑO DE PROFESIONAL</t>
  </si>
  <si>
    <t>2o. AÑO DE PROFESIONAL</t>
  </si>
  <si>
    <t>3er. AÑO DE PROFESIONAL</t>
  </si>
  <si>
    <t>4o. AÑO DE PROFESIONAL</t>
  </si>
  <si>
    <t>PROFESIONAL PASANTE</t>
  </si>
  <si>
    <t>PROFESIONAL TITULADO</t>
  </si>
  <si>
    <t>MENORES DE EDAD</t>
  </si>
  <si>
    <t>POSGRADO [MAESTRIA]</t>
  </si>
  <si>
    <t>POSGRADO [DOCTORADO]</t>
  </si>
  <si>
    <t>KINDERGARTEN</t>
  </si>
  <si>
    <t>ABASOLO</t>
  </si>
  <si>
    <t>ALDAMA</t>
  </si>
  <si>
    <t>ALTAMIRA</t>
  </si>
  <si>
    <t>BURGOS</t>
  </si>
  <si>
    <t>BUSTAMANTE</t>
  </si>
  <si>
    <t>CIUDAD MADERO</t>
  </si>
  <si>
    <t>CRUILLAS</t>
  </si>
  <si>
    <t>EL MANTE</t>
  </si>
  <si>
    <t>GONZÁLEZ</t>
  </si>
  <si>
    <t>JAUMAVE</t>
  </si>
  <si>
    <t>LLERA</t>
  </si>
  <si>
    <t>MATAMOROS</t>
  </si>
  <si>
    <t>MIGUEL ALEMÁN</t>
  </si>
  <si>
    <t>NUEVO LAREDO</t>
  </si>
  <si>
    <t>NUEVO MORELOS</t>
  </si>
  <si>
    <t>OCAMPO</t>
  </si>
  <si>
    <t>REYNOSA</t>
  </si>
  <si>
    <t>RÍO BRAVO</t>
  </si>
  <si>
    <t>SAN FERNANDO</t>
  </si>
  <si>
    <t>SOTO LA MARINA</t>
  </si>
  <si>
    <t>TAMPICO</t>
  </si>
  <si>
    <t>TULA</t>
  </si>
  <si>
    <t>VALLE HERMOSO</t>
  </si>
  <si>
    <t>VICTORIA</t>
  </si>
  <si>
    <t>XICOTÉNCATL</t>
  </si>
  <si>
    <t>GUSTAVO DÍAZ ORDAZ</t>
  </si>
  <si>
    <t>VILLAGRÁN</t>
  </si>
  <si>
    <t>ANTIGUO MORELOS</t>
  </si>
  <si>
    <t>CAMARGO</t>
  </si>
  <si>
    <t>GÓMEZ FARÍAS</t>
  </si>
  <si>
    <t>GÜÉMEZ</t>
  </si>
  <si>
    <t>JIMÉNEZ</t>
  </si>
  <si>
    <t>MIER</t>
  </si>
  <si>
    <t>MIQUIHUANA</t>
  </si>
  <si>
    <t>MÉNDEZ</t>
  </si>
  <si>
    <t>HIDALGO</t>
  </si>
  <si>
    <t>MAINERO</t>
  </si>
  <si>
    <t>PADILLA</t>
  </si>
  <si>
    <t>SAN CARLOS</t>
  </si>
  <si>
    <t>CASAS</t>
  </si>
  <si>
    <t>PALMILLAS</t>
  </si>
  <si>
    <t>GUERRERO</t>
  </si>
  <si>
    <t>SAN NICOLÁS</t>
  </si>
  <si>
    <t>ENTRE 11 Y 17 AÑOS</t>
  </si>
  <si>
    <t>ENTRE 18 Y 28 AÑOS</t>
  </si>
  <si>
    <t>ENTRE 29 Y 39 AÑOS</t>
  </si>
  <si>
    <t>ENTRE 40 Y 49 AÑOS</t>
  </si>
  <si>
    <t>ENTRE 50 Y 65 AÑOS</t>
  </si>
  <si>
    <t>ENTRE 66 Y 75 AÑOS</t>
  </si>
  <si>
    <t>MAS DE 75 AÑOS</t>
  </si>
  <si>
    <t>EMPLEADO(A)</t>
  </si>
  <si>
    <t>HOGAR</t>
  </si>
  <si>
    <t>ESTUDIANTE</t>
  </si>
  <si>
    <t>CONSTRUCCIÓN, TRAB. DE LA IND. DE LA</t>
  </si>
  <si>
    <t>OBRERO(A)</t>
  </si>
  <si>
    <t>VENDEDOR(A)</t>
  </si>
  <si>
    <t>JARDINERO(A)</t>
  </si>
  <si>
    <t>ALIMENTOS Y BEBIDAS, ESP. EN PREPARACIÓN DE</t>
  </si>
  <si>
    <t>MECÁNICO(A)</t>
  </si>
  <si>
    <t>PINTOR(A)</t>
  </si>
  <si>
    <t>PROFESIONISTA</t>
  </si>
  <si>
    <t>JUBILADO(A)/PENSIONADO(A)</t>
  </si>
  <si>
    <t>AGROPECUARIA, TRAB. DE LA INDUSTRIA</t>
  </si>
  <si>
    <t>CARPINTERO/TAPICERO</t>
  </si>
  <si>
    <t>EMPRESARIO(A)</t>
  </si>
  <si>
    <t>CHOFER</t>
  </si>
  <si>
    <t>LIMPIEZA, EMPLEADO DE</t>
  </si>
  <si>
    <t>MESERO(A)</t>
  </si>
  <si>
    <t>DESEMPLEADO</t>
  </si>
  <si>
    <t>TÉCNICO(A) EN MANTENIMIENTO</t>
  </si>
  <si>
    <t>OPERARIO(A)</t>
  </si>
  <si>
    <t>SIN ESPECIFICAR</t>
  </si>
  <si>
    <t>SOLDADOR</t>
  </si>
  <si>
    <t>BELLEZA, PROFESIONAL DE SERVICIOS DE</t>
  </si>
  <si>
    <t>CAJERO(A)/COBRADOR(A)</t>
  </si>
  <si>
    <t>ENFERMERO(A)/TRAB. DE APOYO EN SALUD</t>
  </si>
  <si>
    <t>PROFESOR(A)</t>
  </si>
  <si>
    <t>CARNICERO(A)</t>
  </si>
  <si>
    <t>ADMINISTRADOR(A)/CONTADOR(A)</t>
  </si>
  <si>
    <t>ARTISTA INTERPRETATIVO(A)</t>
  </si>
  <si>
    <t>PROFESIONAL TÉCNICO</t>
  </si>
  <si>
    <t>DISCAPACITADO</t>
  </si>
  <si>
    <t>INGENIERO(A)</t>
  </si>
  <si>
    <t>MINISTRO(A) RELIGIOSO(A)</t>
  </si>
  <si>
    <t>AUXILIARES ADMINISTRATIVOS Y DE OFICINA</t>
  </si>
  <si>
    <t>GERENTE/DIRECTOR(A)</t>
  </si>
  <si>
    <t>COMERCIANTE</t>
  </si>
  <si>
    <t>OTRO</t>
  </si>
  <si>
    <t>SUPERVISOR(A)</t>
  </si>
  <si>
    <t>FOTÓGRAFO(A)</t>
  </si>
  <si>
    <t>DISEÑADOR(A)</t>
  </si>
  <si>
    <t>HOJALATERO</t>
  </si>
  <si>
    <t>INVESTIGADOR(A)</t>
  </si>
  <si>
    <t>ABOGADO(A)</t>
  </si>
  <si>
    <t>MÉDICO(A) /ESP. EN SALUD</t>
  </si>
  <si>
    <t>POLICÍA/ SERV. SEGURIDAD Y PROTECCIÓN</t>
  </si>
  <si>
    <t>TRABAJADOR(A) DOMÉSTICO(A)</t>
  </si>
  <si>
    <t>ARTISTA PLÁSTICO/PINTOR(A)</t>
  </si>
  <si>
    <t>CONSULTOR</t>
  </si>
  <si>
    <t>AEROCOMERCIAL, TRAB. DE LA INDUSTRIA</t>
  </si>
  <si>
    <t>DEPORTISTA/ENTRENADOR DEPORTIVO</t>
  </si>
  <si>
    <t>EXTRACCIÓN, TRAB. DE LA INDUSTRIA DE LA</t>
  </si>
  <si>
    <t>HERRERO(A)/CERRAJERO(A)/JOYERO(A)</t>
  </si>
  <si>
    <t>MISIONERO(A)</t>
  </si>
  <si>
    <t>MATRÍCULAS CONSULARES EXPEDIDAS A ORIGINARIOS DE TAMAULIPAS POR GÉNERO Y EDAD 
EN EE.UU.</t>
  </si>
  <si>
    <t>MATRÍCULAS CONSULARES EXPEDIDAS EN EE.UU. ORIGINARIOS DE TAMAULIPAS POR PERFIL OCUPACIONAL</t>
  </si>
  <si>
    <t>Tamaño de la muestra: 808,027</t>
  </si>
  <si>
    <t>HAWAII</t>
  </si>
  <si>
    <t>NO BINARIO</t>
  </si>
  <si>
    <t>DESCONOCIDO</t>
  </si>
  <si>
    <t>1O. PRIMARIA</t>
  </si>
  <si>
    <t>2O. PRIMARIA</t>
  </si>
  <si>
    <t>3O. PRIMARIA</t>
  </si>
  <si>
    <t>4O. PRIMARIA</t>
  </si>
  <si>
    <t>5O. PRIMARIA</t>
  </si>
  <si>
    <t>6O. PRIMARIA</t>
  </si>
  <si>
    <t>1O. SECUNDARIA</t>
  </si>
  <si>
    <t>2O. SECUNDARIA</t>
  </si>
  <si>
    <t>3O. SECUNDARIA</t>
  </si>
  <si>
    <t>1O. AÑO DE PROFESIONAL</t>
  </si>
  <si>
    <t>2O. AÑO DE PROFESIONAL</t>
  </si>
  <si>
    <t>3ER. AÑO DE PROFESIONAL</t>
  </si>
  <si>
    <t>4O. AÑO DE PROFESIONAL</t>
  </si>
  <si>
    <t>ENTRE 00 Y 10 AÑOS</t>
  </si>
  <si>
    <t xml:space="preserve">NO BINARIO   </t>
  </si>
  <si>
    <t xml:space="preserve">MASCULINO  </t>
  </si>
  <si>
    <t xml:space="preserve">FEMENINO  </t>
  </si>
  <si>
    <t>TRABAJADOR(A) SOCIAL</t>
  </si>
  <si>
    <t>ARTESANO(A)</t>
  </si>
  <si>
    <t>DIPLOMÁTICO(A)</t>
  </si>
  <si>
    <t>LOCUTOR(A)/ANIMADOR(A)</t>
  </si>
  <si>
    <t>MARINERO</t>
  </si>
  <si>
    <t>MILITAR</t>
  </si>
  <si>
    <t>SERVIDOR(A) PÚBLICO(A)</t>
  </si>
  <si>
    <t>VETERINARIO</t>
  </si>
  <si>
    <t>TOTAL</t>
  </si>
  <si>
    <t xml:space="preserve">TOTAL </t>
  </si>
  <si>
    <t xml:space="preserve"> TOTAL</t>
  </si>
  <si>
    <t xml:space="preserve"> TOTAL </t>
  </si>
  <si>
    <t>Junio de 2025</t>
  </si>
  <si>
    <t xml:space="preserve">  Matrículas consulares expedidas a originarios de Tamaulipas en el 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</si>
</sst>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.0%"/>
    <numFmt numFmtId="165" formatCode="#,###"/>
  </numFmts>
  <fonts count="28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8"/>
      <color theme="1"/>
      <name val="Arial"/>
      <family val="2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11"/>
      <name val="Arial Narrow"/>
      <family val="2"/>
    </font>
    <font>
      <b/>
      <sz val="12"/>
      <color theme="0"/>
      <name val="Montserrat"/>
    </font>
    <font>
      <sz val="12"/>
      <color theme="1"/>
      <name val="Montserrat"/>
    </font>
    <font>
      <u/>
      <sz val="12"/>
      <color theme="10"/>
      <name val="Montserrat"/>
    </font>
    <font>
      <sz val="8"/>
      <color theme="1"/>
      <name val="Noto Sans"/>
      <family val="2"/>
    </font>
    <font>
      <sz val="10"/>
      <color theme="1"/>
      <name val="Noto Sans"/>
      <family val="2"/>
    </font>
    <font>
      <sz val="11"/>
      <color theme="1"/>
      <name val="Noto Sans"/>
      <family val="2"/>
    </font>
    <font>
      <b/>
      <sz val="9"/>
      <color theme="0"/>
      <name val="Noto Sans"/>
      <family val="2"/>
    </font>
    <font>
      <sz val="7"/>
      <color indexed="8"/>
      <name val="Noto Sans"/>
      <family val="2"/>
    </font>
    <font>
      <b/>
      <sz val="9"/>
      <color indexed="9"/>
      <name val="Noto Sans"/>
      <family val="2"/>
    </font>
    <font>
      <sz val="11"/>
      <name val="Noto Sans"/>
      <family val="2"/>
    </font>
    <font>
      <sz val="8"/>
      <color indexed="8"/>
      <name val="Noto Sans"/>
      <family val="2"/>
    </font>
    <font>
      <sz val="10"/>
      <name val="Noto Sans"/>
      <family val="2"/>
    </font>
    <font>
      <b/>
      <sz val="9"/>
      <color rgb="FFFFFFFF"/>
      <name val="Noto Sans"/>
      <family val="2"/>
    </font>
    <font>
      <sz val="9"/>
      <color rgb="FF000000"/>
      <name val="Noto Sans"/>
      <family val="2"/>
    </font>
    <font>
      <sz val="9"/>
      <color theme="1"/>
      <name val="Noto Sans"/>
      <family val="2"/>
    </font>
    <font>
      <sz val="9"/>
      <color rgb="FF000000"/>
      <name val="Noto Sans"/>
      <family val="2"/>
    </font>
    <font>
      <b/>
      <sz val="9"/>
      <color theme="0"/>
      <name val="Noto Sans"/>
      <family val="2"/>
    </font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theme="0" tint="-0.249977111117893"/>
        <bgColor indexed="64"/>
      </patternFill>
    </fill>
  </fills>
  <borders count="2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8" fillId="0" borderId="0"/>
    <xf numFmtId="9" fontId="27" fillId="0" borderId="0" applyFont="0" applyFill="0" applyBorder="0" applyAlignment="0" applyProtection="0"/>
  </cellStyleXfs>
  <cellXfs count="126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3" borderId="0" xfId="0" applyFill="1"/>
    <xf numFmtId="3" fontId="0" fillId="3" borderId="0" xfId="0" applyNumberFormat="1" applyFill="1"/>
    <xf numFmtId="0" fontId="4" fillId="0" borderId="0" xfId="0" applyFont="1"/>
    <xf numFmtId="3" fontId="4" fillId="0" borderId="0" xfId="0" applyNumberFormat="1" applyFont="1"/>
    <xf numFmtId="1" fontId="4" fillId="0" borderId="0" xfId="0" applyNumberFormat="1" applyFont="1"/>
    <xf numFmtId="0" fontId="1" fillId="0" borderId="4" xfId="0" applyFont="1" applyBorder="1" applyAlignment="1">
      <alignment horizontal="left" wrapText="1"/>
    </xf>
    <xf numFmtId="0" fontId="1" fillId="0" borderId="0" xfId="0" applyFont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5" fillId="3" borderId="0" xfId="0" applyFont="1" applyFill="1"/>
    <xf numFmtId="0" fontId="6" fillId="3" borderId="0" xfId="0" applyFont="1" applyFill="1"/>
    <xf numFmtId="0" fontId="7" fillId="3" borderId="0" xfId="0" applyFont="1" applyFill="1"/>
    <xf numFmtId="0" fontId="4" fillId="3" borderId="0" xfId="0" applyFont="1" applyFill="1"/>
    <xf numFmtId="0" fontId="9" fillId="3" borderId="0" xfId="0" applyFont="1" applyFill="1"/>
    <xf numFmtId="0" fontId="7" fillId="3" borderId="0" xfId="0" applyFont="1" applyFill="1" applyAlignment="1">
      <alignment vertical="center"/>
    </xf>
    <xf numFmtId="3" fontId="4" fillId="3" borderId="0" xfId="0" applyNumberFormat="1" applyFont="1" applyFill="1"/>
    <xf numFmtId="1" fontId="4" fillId="3" borderId="0" xfId="0" applyNumberFormat="1" applyFont="1" applyFill="1"/>
    <xf numFmtId="0" fontId="4" fillId="3" borderId="0" xfId="0" applyFont="1" applyFill="1" applyAlignment="1">
      <alignment vertical="center"/>
    </xf>
    <xf numFmtId="0" fontId="4" fillId="0" borderId="0" xfId="0" applyFont="1" applyAlignment="1">
      <alignment vertical="center"/>
    </xf>
    <xf numFmtId="0" fontId="11" fillId="0" borderId="4" xfId="0" applyFont="1" applyBorder="1"/>
    <xf numFmtId="0" fontId="12" fillId="0" borderId="0" xfId="1" applyFont="1" applyBorder="1" applyAlignment="1">
      <alignment horizontal="left"/>
    </xf>
    <xf numFmtId="0" fontId="13" fillId="0" borderId="0" xfId="0" applyFont="1"/>
    <xf numFmtId="0" fontId="15" fillId="0" borderId="0" xfId="0" applyFont="1" applyAlignment="1">
      <alignment horizontal="center" vertical="center" wrapText="1"/>
    </xf>
    <xf numFmtId="0" fontId="15" fillId="3" borderId="0" xfId="0" applyFont="1" applyFill="1"/>
    <xf numFmtId="0" fontId="17" fillId="3" borderId="0" xfId="0" applyFont="1" applyFill="1" applyAlignment="1">
      <alignment vertical="top"/>
    </xf>
    <xf numFmtId="3" fontId="15" fillId="3" borderId="0" xfId="0" applyNumberFormat="1" applyFont="1" applyFill="1"/>
    <xf numFmtId="0" fontId="17" fillId="3" borderId="0" xfId="0" applyFont="1" applyFill="1"/>
    <xf numFmtId="0" fontId="17" fillId="3" borderId="0" xfId="0" applyFont="1" applyFill="1" applyAlignment="1">
      <alignment vertical="center"/>
    </xf>
    <xf numFmtId="49" fontId="16" fillId="4" borderId="9" xfId="0" applyNumberFormat="1" applyFont="1" applyFill="1" applyBorder="1" applyAlignment="1">
      <alignment vertical="center" wrapText="1"/>
    </xf>
    <xf numFmtId="3" fontId="16" fillId="4" borderId="9" xfId="0" applyNumberFormat="1" applyFont="1" applyFill="1" applyBorder="1" applyAlignment="1">
      <alignment horizontal="right" vertical="center" wrapText="1"/>
    </xf>
    <xf numFmtId="0" fontId="15" fillId="0" borderId="0" xfId="0" applyFont="1"/>
    <xf numFmtId="0" fontId="13" fillId="3" borderId="0" xfId="0" applyFont="1" applyFill="1" applyAlignment="1">
      <alignment vertical="center"/>
    </xf>
    <xf numFmtId="0" fontId="13" fillId="3" borderId="0" xfId="0" applyFont="1" applyFill="1"/>
    <xf numFmtId="0" fontId="18" fillId="2" borderId="10" xfId="3" applyFont="1" applyFill="1" applyBorder="1" applyAlignment="1">
      <alignment horizontal="center" vertical="center" wrapText="1"/>
    </xf>
    <xf numFmtId="0" fontId="16" fillId="2" borderId="10" xfId="3" applyFont="1" applyFill="1" applyBorder="1" applyAlignment="1">
      <alignment horizontal="center" vertical="center" wrapText="1"/>
    </xf>
    <xf numFmtId="1" fontId="18" fillId="2" borderId="10" xfId="3" applyNumberFormat="1" applyFont="1" applyFill="1" applyBorder="1" applyAlignment="1">
      <alignment horizontal="center" vertical="center" wrapText="1"/>
    </xf>
    <xf numFmtId="0" fontId="19" fillId="3" borderId="0" xfId="0" applyFont="1" applyFill="1"/>
    <xf numFmtId="0" fontId="16" fillId="2" borderId="11" xfId="0" applyFont="1" applyFill="1" applyBorder="1" applyAlignment="1">
      <alignment horizontal="center" vertical="center" wrapText="1"/>
    </xf>
    <xf numFmtId="1" fontId="16" fillId="2" borderId="10" xfId="0" applyNumberFormat="1" applyFont="1" applyFill="1" applyBorder="1" applyAlignment="1">
      <alignment horizontal="center" vertical="center" wrapText="1"/>
    </xf>
    <xf numFmtId="0" fontId="16" fillId="2" borderId="10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justify" vertical="center"/>
    </xf>
    <xf numFmtId="0" fontId="20" fillId="0" borderId="0" xfId="0" applyFont="1" applyAlignment="1">
      <alignment vertical="top"/>
    </xf>
    <xf numFmtId="0" fontId="21" fillId="3" borderId="0" xfId="0" applyFont="1" applyFill="1"/>
    <xf numFmtId="0" fontId="21" fillId="3" borderId="12" xfId="0" applyFont="1" applyFill="1" applyBorder="1" applyAlignment="1">
      <alignment horizontal="center" vertical="distributed"/>
    </xf>
    <xf numFmtId="3" fontId="13" fillId="3" borderId="0" xfId="0" applyNumberFormat="1" applyFont="1" applyFill="1"/>
    <xf numFmtId="0" fontId="23" fillId="0" borderId="9" xfId="0" applyFont="1" applyBorder="1" applyAlignment="1">
      <alignment vertical="center" wrapText="1"/>
    </xf>
    <xf numFmtId="165" fontId="23" fillId="6" borderId="9" xfId="0" applyNumberFormat="1" applyFont="1" applyFill="1" applyBorder="1" applyAlignment="1">
      <alignment horizontal="right" vertical="top" wrapText="1"/>
    </xf>
    <xf numFmtId="164" fontId="23" fillId="6" borderId="9" xfId="0" applyNumberFormat="1" applyFont="1" applyFill="1" applyBorder="1" applyAlignment="1">
      <alignment horizontal="right" vertical="top" wrapText="1"/>
    </xf>
    <xf numFmtId="0" fontId="16" fillId="4" borderId="9" xfId="0" applyFont="1" applyFill="1" applyBorder="1" applyAlignment="1">
      <alignment vertical="center" wrapText="1"/>
    </xf>
    <xf numFmtId="165" fontId="16" fillId="4" borderId="9" xfId="0" applyNumberFormat="1" applyFont="1" applyFill="1" applyBorder="1" applyAlignment="1">
      <alignment horizontal="right" vertical="top" wrapText="1"/>
    </xf>
    <xf numFmtId="164" fontId="16" fillId="4" borderId="9" xfId="0" applyNumberFormat="1" applyFont="1" applyFill="1" applyBorder="1" applyAlignment="1">
      <alignment horizontal="right" vertical="top" wrapText="1"/>
    </xf>
    <xf numFmtId="49" fontId="24" fillId="0" borderId="9" xfId="0" applyNumberFormat="1" applyFont="1" applyBorder="1" applyAlignment="1">
      <alignment vertical="top" wrapText="1"/>
    </xf>
    <xf numFmtId="165" fontId="16" fillId="4" borderId="9" xfId="0" applyNumberFormat="1" applyFont="1" applyFill="1" applyBorder="1" applyAlignment="1">
      <alignment horizontal="left" vertical="top" wrapText="1"/>
    </xf>
    <xf numFmtId="0" fontId="24" fillId="3" borderId="9" xfId="0" applyFont="1" applyFill="1" applyBorder="1"/>
    <xf numFmtId="49" fontId="16" fillId="7" borderId="9" xfId="0" applyNumberFormat="1" applyFont="1" applyFill="1" applyBorder="1" applyAlignment="1">
      <alignment vertical="center" wrapText="1"/>
    </xf>
    <xf numFmtId="3" fontId="16" fillId="7" borderId="9" xfId="0" applyNumberFormat="1" applyFont="1" applyFill="1" applyBorder="1" applyAlignment="1">
      <alignment horizontal="right" vertical="center" wrapText="1"/>
    </xf>
    <xf numFmtId="164" fontId="16" fillId="7" borderId="9" xfId="0" applyNumberFormat="1" applyFont="1" applyFill="1" applyBorder="1" applyAlignment="1">
      <alignment horizontal="right" vertical="center" wrapText="1"/>
    </xf>
    <xf numFmtId="10" fontId="16" fillId="4" borderId="9" xfId="0" applyNumberFormat="1" applyFont="1" applyFill="1" applyBorder="1" applyAlignment="1">
      <alignment horizontal="right" vertical="center" wrapText="1"/>
    </xf>
    <xf numFmtId="3" fontId="23" fillId="6" borderId="9" xfId="0" applyNumberFormat="1" applyFont="1" applyFill="1" applyBorder="1" applyAlignment="1">
      <alignment horizontal="right" vertical="center" wrapText="1"/>
    </xf>
    <xf numFmtId="10" fontId="23" fillId="6" borderId="9" xfId="0" applyNumberFormat="1" applyFont="1" applyFill="1" applyBorder="1" applyAlignment="1">
      <alignment horizontal="right" vertical="center" wrapText="1"/>
    </xf>
    <xf numFmtId="0" fontId="23" fillId="6" borderId="9" xfId="0" applyFont="1" applyFill="1" applyBorder="1" applyAlignment="1">
      <alignment horizontal="right" vertical="center" wrapText="1"/>
    </xf>
    <xf numFmtId="0" fontId="25" fillId="0" borderId="9" xfId="0" applyFont="1" applyBorder="1" applyAlignment="1">
      <alignment vertical="center" wrapText="1"/>
    </xf>
    <xf numFmtId="3" fontId="25" fillId="6" borderId="9" xfId="0" applyNumberFormat="1" applyFont="1" applyFill="1" applyBorder="1" applyAlignment="1">
      <alignment horizontal="right" vertical="center" wrapText="1"/>
    </xf>
    <xf numFmtId="10" fontId="25" fillId="6" borderId="9" xfId="0" applyNumberFormat="1" applyFont="1" applyFill="1" applyBorder="1" applyAlignment="1">
      <alignment horizontal="right" vertical="center" wrapText="1"/>
    </xf>
    <xf numFmtId="0" fontId="25" fillId="6" borderId="9" xfId="0" applyFont="1" applyFill="1" applyBorder="1" applyAlignment="1">
      <alignment horizontal="right" vertical="center" wrapText="1"/>
    </xf>
    <xf numFmtId="0" fontId="26" fillId="7" borderId="9" xfId="0" applyFont="1" applyFill="1" applyBorder="1" applyAlignment="1">
      <alignment vertical="center" wrapText="1"/>
    </xf>
    <xf numFmtId="3" fontId="26" fillId="7" borderId="9" xfId="0" applyNumberFormat="1" applyFont="1" applyFill="1" applyBorder="1" applyAlignment="1">
      <alignment horizontal="right" vertical="center" wrapText="1"/>
    </xf>
    <xf numFmtId="10" fontId="26" fillId="7" borderId="9" xfId="0" applyNumberFormat="1" applyFont="1" applyFill="1" applyBorder="1" applyAlignment="1">
      <alignment horizontal="right" vertical="center" wrapText="1"/>
    </xf>
    <xf numFmtId="3" fontId="26" fillId="4" borderId="9" xfId="0" applyNumberFormat="1" applyFont="1" applyFill="1" applyBorder="1" applyAlignment="1">
      <alignment horizontal="right" vertical="center" wrapText="1"/>
    </xf>
    <xf numFmtId="10" fontId="26" fillId="4" borderId="9" xfId="0" applyNumberFormat="1" applyFont="1" applyFill="1" applyBorder="1" applyAlignment="1">
      <alignment horizontal="right" vertical="center" wrapText="1"/>
    </xf>
    <xf numFmtId="0" fontId="26" fillId="7" borderId="15" xfId="0" applyFont="1" applyFill="1" applyBorder="1" applyAlignment="1">
      <alignment vertical="center" wrapText="1"/>
    </xf>
    <xf numFmtId="0" fontId="26" fillId="7" borderId="9" xfId="0" applyFont="1" applyFill="1" applyBorder="1" applyAlignment="1">
      <alignment horizontal="right" vertical="center" wrapText="1"/>
    </xf>
    <xf numFmtId="0" fontId="26" fillId="4" borderId="9" xfId="0" applyFont="1" applyFill="1" applyBorder="1" applyAlignment="1">
      <alignment horizontal="right" vertical="center" wrapText="1"/>
    </xf>
    <xf numFmtId="49" fontId="16" fillId="4" borderId="9" xfId="0" applyNumberFormat="1" applyFont="1" applyFill="1" applyBorder="1" applyAlignment="1">
      <alignment vertical="top" wrapText="1"/>
    </xf>
    <xf numFmtId="0" fontId="22" fillId="5" borderId="10" xfId="3" applyFont="1" applyFill="1" applyBorder="1" applyAlignment="1">
      <alignment horizontal="center" vertical="center" wrapText="1"/>
    </xf>
    <xf numFmtId="49" fontId="26" fillId="7" borderId="9" xfId="0" applyNumberFormat="1" applyFont="1" applyFill="1" applyBorder="1" applyAlignment="1">
      <alignment vertical="top" wrapText="1"/>
    </xf>
    <xf numFmtId="165" fontId="26" fillId="7" borderId="9" xfId="0" applyNumberFormat="1" applyFont="1" applyFill="1" applyBorder="1" applyAlignment="1">
      <alignment horizontal="right" vertical="top" wrapText="1"/>
    </xf>
    <xf numFmtId="164" fontId="26" fillId="7" borderId="9" xfId="0" applyNumberFormat="1" applyFont="1" applyFill="1" applyBorder="1" applyAlignment="1">
      <alignment horizontal="right" vertical="top" wrapText="1"/>
    </xf>
    <xf numFmtId="165" fontId="26" fillId="4" borderId="9" xfId="0" applyNumberFormat="1" applyFont="1" applyFill="1" applyBorder="1" applyAlignment="1">
      <alignment horizontal="right" vertical="top" wrapText="1"/>
    </xf>
    <xf numFmtId="0" fontId="16" fillId="7" borderId="9" xfId="0" applyFont="1" applyFill="1" applyBorder="1" applyAlignment="1">
      <alignment vertical="center" wrapText="1"/>
    </xf>
    <xf numFmtId="9" fontId="24" fillId="3" borderId="9" xfId="4" applyFont="1" applyFill="1" applyBorder="1"/>
    <xf numFmtId="9" fontId="16" fillId="7" borderId="9" xfId="4" applyFont="1" applyFill="1" applyBorder="1"/>
    <xf numFmtId="9" fontId="16" fillId="4" borderId="9" xfId="4" applyFont="1" applyFill="1" applyBorder="1"/>
    <xf numFmtId="0" fontId="12" fillId="0" borderId="4" xfId="1" applyFont="1" applyBorder="1" applyAlignment="1">
      <alignment horizontal="left"/>
    </xf>
    <xf numFmtId="0" fontId="12" fillId="0" borderId="0" xfId="1" applyFont="1" applyBorder="1" applyAlignment="1">
      <alignment horizontal="left"/>
    </xf>
    <xf numFmtId="0" fontId="12" fillId="0" borderId="5" xfId="1" applyFont="1" applyBorder="1" applyAlignment="1">
      <alignment horizontal="left"/>
    </xf>
    <xf numFmtId="0" fontId="10" fillId="2" borderId="1" xfId="0" applyFont="1" applyFill="1" applyBorder="1" applyAlignment="1">
      <alignment horizontal="center" wrapText="1"/>
    </xf>
    <xf numFmtId="0" fontId="10" fillId="2" borderId="2" xfId="0" applyFont="1" applyFill="1" applyBorder="1" applyAlignment="1">
      <alignment horizontal="center" wrapText="1"/>
    </xf>
    <xf numFmtId="0" fontId="10" fillId="2" borderId="3" xfId="0" applyFont="1" applyFill="1" applyBorder="1" applyAlignment="1">
      <alignment horizontal="center" wrapText="1"/>
    </xf>
    <xf numFmtId="0" fontId="11" fillId="0" borderId="4" xfId="0" applyFont="1" applyBorder="1" applyAlignment="1">
      <alignment horizontal="left" wrapText="1"/>
    </xf>
    <xf numFmtId="0" fontId="11" fillId="0" borderId="0" xfId="0" applyFont="1" applyAlignment="1">
      <alignment horizontal="left" wrapText="1"/>
    </xf>
    <xf numFmtId="0" fontId="11" fillId="0" borderId="5" xfId="0" applyFont="1" applyBorder="1" applyAlignment="1">
      <alignment horizontal="left" wrapText="1"/>
    </xf>
    <xf numFmtId="0" fontId="14" fillId="0" borderId="0" xfId="0" applyFont="1" applyAlignment="1">
      <alignment horizontal="center" vertical="center" wrapText="1"/>
    </xf>
    <xf numFmtId="0" fontId="25" fillId="0" borderId="10" xfId="0" applyFont="1" applyBorder="1" applyAlignment="1">
      <alignment horizontal="center" vertical="center" wrapText="1"/>
    </xf>
    <xf numFmtId="0" fontId="25" fillId="0" borderId="17" xfId="0" applyFont="1" applyBorder="1" applyAlignment="1">
      <alignment horizontal="center" vertical="center" wrapText="1"/>
    </xf>
    <xf numFmtId="0" fontId="25" fillId="0" borderId="18" xfId="0" applyFont="1" applyBorder="1" applyAlignment="1">
      <alignment horizontal="center" vertical="center" wrapText="1"/>
    </xf>
    <xf numFmtId="0" fontId="26" fillId="4" borderId="19" xfId="0" applyFont="1" applyFill="1" applyBorder="1" applyAlignment="1">
      <alignment horizontal="left" vertical="center" wrapText="1"/>
    </xf>
    <xf numFmtId="0" fontId="26" fillId="4" borderId="15" xfId="0" applyFont="1" applyFill="1" applyBorder="1" applyAlignment="1">
      <alignment horizontal="left" vertical="center" wrapText="1"/>
    </xf>
    <xf numFmtId="0" fontId="15" fillId="3" borderId="0" xfId="0" applyFont="1" applyFill="1" applyAlignment="1">
      <alignment horizontal="center" wrapText="1"/>
    </xf>
    <xf numFmtId="0" fontId="25" fillId="0" borderId="11" xfId="0" applyFont="1" applyBorder="1" applyAlignment="1">
      <alignment horizontal="center" vertical="center" wrapText="1"/>
    </xf>
    <xf numFmtId="0" fontId="25" fillId="0" borderId="13" xfId="0" applyFont="1" applyBorder="1" applyAlignment="1">
      <alignment horizontal="center" vertical="center" wrapText="1"/>
    </xf>
    <xf numFmtId="0" fontId="25" fillId="0" borderId="16" xfId="0" applyFont="1" applyBorder="1" applyAlignment="1">
      <alignment horizontal="center" vertical="center" wrapText="1"/>
    </xf>
    <xf numFmtId="0" fontId="23" fillId="0" borderId="10" xfId="0" applyFont="1" applyBorder="1" applyAlignment="1">
      <alignment horizontal="center" vertical="center" wrapText="1"/>
    </xf>
    <xf numFmtId="0" fontId="23" fillId="0" borderId="17" xfId="0" applyFont="1" applyBorder="1" applyAlignment="1">
      <alignment horizontal="center" vertical="center" wrapText="1"/>
    </xf>
    <xf numFmtId="0" fontId="23" fillId="0" borderId="18" xfId="0" applyFont="1" applyBorder="1" applyAlignment="1">
      <alignment horizontal="center" vertical="center" wrapText="1"/>
    </xf>
    <xf numFmtId="0" fontId="26" fillId="4" borderId="9" xfId="0" applyFont="1" applyFill="1" applyBorder="1" applyAlignment="1">
      <alignment vertical="center" wrapText="1"/>
    </xf>
    <xf numFmtId="0" fontId="23" fillId="0" borderId="20" xfId="0" applyFont="1" applyBorder="1" applyAlignment="1">
      <alignment horizontal="center" vertical="center" wrapText="1"/>
    </xf>
    <xf numFmtId="0" fontId="23" fillId="0" borderId="14" xfId="0" applyFont="1" applyBorder="1" applyAlignment="1">
      <alignment horizontal="center" vertical="center" wrapText="1"/>
    </xf>
    <xf numFmtId="0" fontId="23" fillId="0" borderId="21" xfId="0" applyFont="1" applyBorder="1" applyAlignment="1">
      <alignment horizontal="center" vertical="center" wrapText="1"/>
    </xf>
    <xf numFmtId="0" fontId="23" fillId="0" borderId="11" xfId="0" applyFont="1" applyBorder="1" applyAlignment="1">
      <alignment horizontal="center" vertical="center" wrapText="1"/>
    </xf>
    <xf numFmtId="0" fontId="23" fillId="0" borderId="13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49" fontId="24" fillId="0" borderId="10" xfId="0" applyNumberFormat="1" applyFont="1" applyBorder="1" applyAlignment="1">
      <alignment horizontal="center" vertical="center" wrapText="1"/>
    </xf>
    <xf numFmtId="49" fontId="24" fillId="0" borderId="17" xfId="0" applyNumberFormat="1" applyFont="1" applyBorder="1" applyAlignment="1">
      <alignment horizontal="center" vertical="center" wrapText="1"/>
    </xf>
    <xf numFmtId="49" fontId="24" fillId="0" borderId="18" xfId="0" applyNumberFormat="1" applyFont="1" applyBorder="1" applyAlignment="1">
      <alignment horizontal="center" vertical="center" wrapText="1"/>
    </xf>
    <xf numFmtId="49" fontId="26" fillId="4" borderId="19" xfId="0" applyNumberFormat="1" applyFont="1" applyFill="1" applyBorder="1" applyAlignment="1">
      <alignment horizontal="center" vertical="top" wrapText="1"/>
    </xf>
    <xf numFmtId="49" fontId="26" fillId="4" borderId="15" xfId="0" applyNumberFormat="1" applyFont="1" applyFill="1" applyBorder="1" applyAlignment="1">
      <alignment horizontal="center" vertical="top" wrapText="1"/>
    </xf>
  </cellXfs>
  <cellStyles count="5">
    <cellStyle name="Hipervínculo" xfId="1" builtinId="8"/>
    <cellStyle name="Normal" xfId="0" builtinId="0"/>
    <cellStyle name="Normal 2" xfId="2" xr:uid="{00000000-0005-0000-0000-000002000000}"/>
    <cellStyle name="Normal_Hoja1" xfId="3" xr:uid="{00000000-0005-0000-0000-000003000000}"/>
    <cellStyle name="Porcentaje" xfId="4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643531</xdr:colOff>
      <xdr:row>1</xdr:row>
      <xdr:rowOff>208021</xdr:rowOff>
    </xdr:from>
    <xdr:to>
      <xdr:col>3</xdr:col>
      <xdr:colOff>1155628</xdr:colOff>
      <xdr:row>2</xdr:row>
      <xdr:rowOff>208021</xdr:rowOff>
    </xdr:to>
    <xdr:sp macro="" textlink="">
      <xdr:nvSpPr>
        <xdr:cNvPr id="2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3969954" y="742886"/>
          <a:ext cx="512097" cy="22713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TAMAULIPAS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133350</xdr:colOff>
      <xdr:row>7</xdr:row>
      <xdr:rowOff>95250</xdr:rowOff>
    </xdr:from>
    <xdr:to>
      <xdr:col>5</xdr:col>
      <xdr:colOff>26322</xdr:colOff>
      <xdr:row>8</xdr:row>
      <xdr:rowOff>95250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/>
      </xdr:nvSpPr>
      <xdr:spPr>
        <a:xfrm>
          <a:off x="3181350" y="1428750"/>
          <a:ext cx="654972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90283</xdr:colOff>
      <xdr:row>1</xdr:row>
      <xdr:rowOff>33132</xdr:rowOff>
    </xdr:from>
    <xdr:to>
      <xdr:col>1</xdr:col>
      <xdr:colOff>1090408</xdr:colOff>
      <xdr:row>2</xdr:row>
      <xdr:rowOff>64509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E4688C11-7130-45CA-8FA2-4DFB0D9433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0283" y="223632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313912</xdr:colOff>
      <xdr:row>0</xdr:row>
      <xdr:rowOff>149087</xdr:rowOff>
    </xdr:from>
    <xdr:to>
      <xdr:col>5</xdr:col>
      <xdr:colOff>132936</xdr:colOff>
      <xdr:row>3</xdr:row>
      <xdr:rowOff>46022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29B8ACF4-FEF0-4ED9-A509-02710BA35A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53390" y="149087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TAMAULIPAS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257175</xdr:colOff>
      <xdr:row>7</xdr:row>
      <xdr:rowOff>180975</xdr:rowOff>
    </xdr:from>
    <xdr:to>
      <xdr:col>5</xdr:col>
      <xdr:colOff>150147</xdr:colOff>
      <xdr:row>8</xdr:row>
      <xdr:rowOff>174830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3305175" y="1514475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113750</xdr:colOff>
      <xdr:row>1</xdr:row>
      <xdr:rowOff>130315</xdr:rowOff>
    </xdr:from>
    <xdr:to>
      <xdr:col>1</xdr:col>
      <xdr:colOff>1113875</xdr:colOff>
      <xdr:row>2</xdr:row>
      <xdr:rowOff>161692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EAA692FE-A8ED-4B3F-A43A-CBDF5A3FAD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750" y="320815"/>
          <a:ext cx="1647825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425452</xdr:colOff>
      <xdr:row>1</xdr:row>
      <xdr:rowOff>102981</xdr:rowOff>
    </xdr:from>
    <xdr:to>
      <xdr:col>5</xdr:col>
      <xdr:colOff>244476</xdr:colOff>
      <xdr:row>3</xdr:row>
      <xdr:rowOff>190416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7FED2F43-83C7-4F7D-A130-D6011064E4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67302" y="293481"/>
          <a:ext cx="466724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TAMAULIPAS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247650</xdr:colOff>
      <xdr:row>8</xdr:row>
      <xdr:rowOff>0</xdr:rowOff>
    </xdr:from>
    <xdr:to>
      <xdr:col>5</xdr:col>
      <xdr:colOff>140622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329565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113750</xdr:colOff>
      <xdr:row>1</xdr:row>
      <xdr:rowOff>137216</xdr:rowOff>
    </xdr:from>
    <xdr:to>
      <xdr:col>1</xdr:col>
      <xdr:colOff>1113875</xdr:colOff>
      <xdr:row>2</xdr:row>
      <xdr:rowOff>168593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1333253C-93DD-4535-B343-E37636FA15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750" y="327716"/>
          <a:ext cx="1647825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458306</xdr:colOff>
      <xdr:row>1</xdr:row>
      <xdr:rowOff>57702</xdr:rowOff>
    </xdr:from>
    <xdr:to>
      <xdr:col>5</xdr:col>
      <xdr:colOff>277330</xdr:colOff>
      <xdr:row>3</xdr:row>
      <xdr:rowOff>145137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E4E38A3E-F72F-4A54-B0A4-B632A87D3D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00156" y="248202"/>
          <a:ext cx="466724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57152</xdr:colOff>
      <xdr:row>1</xdr:row>
      <xdr:rowOff>0</xdr:rowOff>
    </xdr:from>
    <xdr:to>
      <xdr:col>5</xdr:col>
      <xdr:colOff>171175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 txBox="1"/>
      </xdr:nvSpPr>
      <xdr:spPr>
        <a:xfrm>
          <a:off x="57152" y="193261"/>
          <a:ext cx="6563414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TAMAULIPAS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171450</xdr:colOff>
      <xdr:row>8</xdr:row>
      <xdr:rowOff>9525</xdr:rowOff>
    </xdr:from>
    <xdr:to>
      <xdr:col>5</xdr:col>
      <xdr:colOff>64422</xdr:colOff>
      <xdr:row>8</xdr:row>
      <xdr:rowOff>193880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4600575" y="172402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159612</xdr:colOff>
      <xdr:row>1</xdr:row>
      <xdr:rowOff>119332</xdr:rowOff>
    </xdr:from>
    <xdr:to>
      <xdr:col>1</xdr:col>
      <xdr:colOff>1159737</xdr:colOff>
      <xdr:row>2</xdr:row>
      <xdr:rowOff>150709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F93F07FD-D2A9-4E1F-817C-049BC33D0A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9612" y="309832"/>
          <a:ext cx="1649236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266978</xdr:colOff>
      <xdr:row>1</xdr:row>
      <xdr:rowOff>108901</xdr:rowOff>
    </xdr:from>
    <xdr:to>
      <xdr:col>5</xdr:col>
      <xdr:colOff>58087</xdr:colOff>
      <xdr:row>3</xdr:row>
      <xdr:rowOff>196336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B82183FD-89C6-4196-8AC3-1487FC0232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7811" y="299401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TAMAULIPAS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POR MUNICIPIO A ORIGINARIOS DEL ESTADO DE TAMAULIPAS POR ESTADO EN EE.UU.</a:t>
          </a:r>
        </a:p>
      </xdr:txBody>
    </xdr:sp>
    <xdr:clientData/>
  </xdr:twoCellAnchor>
  <xdr:twoCellAnchor>
    <xdr:from>
      <xdr:col>4</xdr:col>
      <xdr:colOff>548270</xdr:colOff>
      <xdr:row>7</xdr:row>
      <xdr:rowOff>6863</xdr:rowOff>
    </xdr:from>
    <xdr:to>
      <xdr:col>4</xdr:col>
      <xdr:colOff>1058499</xdr:colOff>
      <xdr:row>7</xdr:row>
      <xdr:rowOff>189724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/>
      </xdr:nvSpPr>
      <xdr:spPr>
        <a:xfrm>
          <a:off x="5538623" y="1754981"/>
          <a:ext cx="510229" cy="18286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77320</xdr:colOff>
      <xdr:row>1</xdr:row>
      <xdr:rowOff>102858</xdr:rowOff>
    </xdr:from>
    <xdr:to>
      <xdr:col>2</xdr:col>
      <xdr:colOff>174641</xdr:colOff>
      <xdr:row>2</xdr:row>
      <xdr:rowOff>134235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F50D7F2-BFAB-4916-A946-A86F292B03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4555" y="259740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469525</xdr:colOff>
      <xdr:row>1</xdr:row>
      <xdr:rowOff>58033</xdr:rowOff>
    </xdr:from>
    <xdr:to>
      <xdr:col>4</xdr:col>
      <xdr:colOff>909745</xdr:colOff>
      <xdr:row>3</xdr:row>
      <xdr:rowOff>145468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209C6F3D-4E31-4C1C-96AE-23EF185479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43231" y="214915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TAMAULIPAS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POR MUNICIPIO A ORIGINARIOS DEL ESTADO DE TAMAULIPAS EN LOS CONSULADOS DE MÉXICO EN EE.UU.</a:t>
          </a:r>
        </a:p>
      </xdr:txBody>
    </xdr:sp>
    <xdr:clientData/>
  </xdr:twoCellAnchor>
  <xdr:twoCellAnchor>
    <xdr:from>
      <xdr:col>4</xdr:col>
      <xdr:colOff>545224</xdr:colOff>
      <xdr:row>7</xdr:row>
      <xdr:rowOff>118241</xdr:rowOff>
    </xdr:from>
    <xdr:to>
      <xdr:col>4</xdr:col>
      <xdr:colOff>1057321</xdr:colOff>
      <xdr:row>7</xdr:row>
      <xdr:rowOff>302596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SpPr/>
      </xdr:nvSpPr>
      <xdr:spPr>
        <a:xfrm>
          <a:off x="5182914" y="1859017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55297</xdr:colOff>
      <xdr:row>1</xdr:row>
      <xdr:rowOff>135620</xdr:rowOff>
    </xdr:from>
    <xdr:to>
      <xdr:col>2</xdr:col>
      <xdr:colOff>148649</xdr:colOff>
      <xdr:row>2</xdr:row>
      <xdr:rowOff>168981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AC19152A-F9DE-4B6C-B14D-04E62632DE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5853" y="290842"/>
          <a:ext cx="1687907" cy="22386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542572</xdr:colOff>
      <xdr:row>1</xdr:row>
      <xdr:rowOff>93286</xdr:rowOff>
    </xdr:from>
    <xdr:to>
      <xdr:col>4</xdr:col>
      <xdr:colOff>982792</xdr:colOff>
      <xdr:row>3</xdr:row>
      <xdr:rowOff>184690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C2DDF421-DF86-47CA-9550-346FCA6EAE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57850" y="248508"/>
          <a:ext cx="440220" cy="47240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171174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 txBox="1"/>
      </xdr:nvSpPr>
      <xdr:spPr>
        <a:xfrm>
          <a:off x="57151" y="193261"/>
          <a:ext cx="6254197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TAMAULIPAS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171450</xdr:colOff>
      <xdr:row>7</xdr:row>
      <xdr:rowOff>171450</xdr:rowOff>
    </xdr:from>
    <xdr:to>
      <xdr:col>5</xdr:col>
      <xdr:colOff>64422</xdr:colOff>
      <xdr:row>8</xdr:row>
      <xdr:rowOff>165305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SpPr/>
      </xdr:nvSpPr>
      <xdr:spPr>
        <a:xfrm>
          <a:off x="4600575" y="169545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115683</xdr:colOff>
      <xdr:row>1</xdr:row>
      <xdr:rowOff>133627</xdr:rowOff>
    </xdr:from>
    <xdr:to>
      <xdr:col>1</xdr:col>
      <xdr:colOff>1115808</xdr:colOff>
      <xdr:row>2</xdr:row>
      <xdr:rowOff>165004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B98BFC4E-1FC7-4885-9026-32212ABB4F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5683" y="324127"/>
          <a:ext cx="1647825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287131</xdr:colOff>
      <xdr:row>1</xdr:row>
      <xdr:rowOff>97459</xdr:rowOff>
    </xdr:from>
    <xdr:to>
      <xdr:col>5</xdr:col>
      <xdr:colOff>79651</xdr:colOff>
      <xdr:row>3</xdr:row>
      <xdr:rowOff>184894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FA881335-A4E7-40A6-97E2-658311FAC9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86231" y="287959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TAMAULIPAS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A ORIGINARIOS DEL ESTADO DE TAMAULIPAS POR NIVEL DE EDUCACIÓN Y ESTADO EN EE.UU</a:t>
          </a:r>
        </a:p>
      </xdr:txBody>
    </xdr:sp>
    <xdr:clientData/>
  </xdr:twoCellAnchor>
  <xdr:twoCellAnchor>
    <xdr:from>
      <xdr:col>4</xdr:col>
      <xdr:colOff>515937</xdr:colOff>
      <xdr:row>7</xdr:row>
      <xdr:rowOff>109141</xdr:rowOff>
    </xdr:from>
    <xdr:to>
      <xdr:col>4</xdr:col>
      <xdr:colOff>1028034</xdr:colOff>
      <xdr:row>7</xdr:row>
      <xdr:rowOff>293496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SpPr/>
      </xdr:nvSpPr>
      <xdr:spPr>
        <a:xfrm>
          <a:off x="5159375" y="1845469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70970</xdr:colOff>
      <xdr:row>1</xdr:row>
      <xdr:rowOff>131246</xdr:rowOff>
    </xdr:from>
    <xdr:to>
      <xdr:col>2</xdr:col>
      <xdr:colOff>168291</xdr:colOff>
      <xdr:row>2</xdr:row>
      <xdr:rowOff>162623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D53CC0F9-1052-4C31-A452-A286394DB3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0820" y="283646"/>
          <a:ext cx="169117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553944</xdr:colOff>
      <xdr:row>1</xdr:row>
      <xdr:rowOff>96134</xdr:rowOff>
    </xdr:from>
    <xdr:to>
      <xdr:col>4</xdr:col>
      <xdr:colOff>994164</xdr:colOff>
      <xdr:row>3</xdr:row>
      <xdr:rowOff>183569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E4BBE2E4-131D-4C68-A580-9CAE85DAF4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19644" y="248534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2004</xdr:rowOff>
    </xdr:from>
    <xdr:to>
      <xdr:col>3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TAMAULIPAS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0</xdr:colOff>
      <xdr:row>5</xdr:row>
      <xdr:rowOff>263190</xdr:rowOff>
    </xdr:from>
    <xdr:to>
      <xdr:col>3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A ORIGINARIOS DEL ESTADO DE TAMAULIPAS POR CONSULADO Y NIVEL DE EDUCACIÓN EN EE.UU.</a:t>
          </a:r>
        </a:p>
      </xdr:txBody>
    </xdr:sp>
    <xdr:clientData/>
  </xdr:twoCellAnchor>
  <xdr:twoCellAnchor>
    <xdr:from>
      <xdr:col>3</xdr:col>
      <xdr:colOff>450645</xdr:colOff>
      <xdr:row>7</xdr:row>
      <xdr:rowOff>133145</xdr:rowOff>
    </xdr:from>
    <xdr:to>
      <xdr:col>3</xdr:col>
      <xdr:colOff>962742</xdr:colOff>
      <xdr:row>7</xdr:row>
      <xdr:rowOff>317500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SpPr/>
      </xdr:nvSpPr>
      <xdr:spPr>
        <a:xfrm>
          <a:off x="5100484" y="1894758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63208</xdr:colOff>
      <xdr:row>1</xdr:row>
      <xdr:rowOff>170923</xdr:rowOff>
    </xdr:from>
    <xdr:to>
      <xdr:col>1</xdr:col>
      <xdr:colOff>160528</xdr:colOff>
      <xdr:row>3</xdr:row>
      <xdr:rowOff>11800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C45E945E-C4BD-4BD3-A647-F20E49565A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3764" y="326145"/>
          <a:ext cx="1691876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572452</xdr:colOff>
      <xdr:row>1</xdr:row>
      <xdr:rowOff>98708</xdr:rowOff>
    </xdr:from>
    <xdr:to>
      <xdr:col>3</xdr:col>
      <xdr:colOff>1012672</xdr:colOff>
      <xdr:row>3</xdr:row>
      <xdr:rowOff>186143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30CAAB0B-CC89-4B7D-B572-DA3E1FCBC1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99396" y="253930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TAMAULIPAS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247650</xdr:colOff>
      <xdr:row>8</xdr:row>
      <xdr:rowOff>0</xdr:rowOff>
    </xdr:from>
    <xdr:to>
      <xdr:col>5</xdr:col>
      <xdr:colOff>140622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A00-000005000000}"/>
            </a:ext>
          </a:extLst>
        </xdr:cNvPr>
        <xdr:cNvSpPr/>
      </xdr:nvSpPr>
      <xdr:spPr>
        <a:xfrm>
          <a:off x="4676775" y="17145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113750</xdr:colOff>
      <xdr:row>1</xdr:row>
      <xdr:rowOff>128382</xdr:rowOff>
    </xdr:from>
    <xdr:to>
      <xdr:col>1</xdr:col>
      <xdr:colOff>1113875</xdr:colOff>
      <xdr:row>2</xdr:row>
      <xdr:rowOff>159759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3E5B870F-7E08-4359-8020-692F498A996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750" y="318882"/>
          <a:ext cx="1651000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445054</xdr:colOff>
      <xdr:row>1</xdr:row>
      <xdr:rowOff>81101</xdr:rowOff>
    </xdr:from>
    <xdr:to>
      <xdr:col>5</xdr:col>
      <xdr:colOff>264078</xdr:colOff>
      <xdr:row>3</xdr:row>
      <xdr:rowOff>168536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73775911-44CA-4CC2-BB06-C6B87CA9C8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88492" y="271601"/>
          <a:ext cx="469899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TAMAULIPAS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514554</xdr:colOff>
      <xdr:row>9</xdr:row>
      <xdr:rowOff>40353</xdr:rowOff>
    </xdr:from>
    <xdr:to>
      <xdr:col>5</xdr:col>
      <xdr:colOff>12700</xdr:colOff>
      <xdr:row>10</xdr:row>
      <xdr:rowOff>30111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B00-000005000000}"/>
            </a:ext>
          </a:extLst>
        </xdr:cNvPr>
        <xdr:cNvSpPr/>
      </xdr:nvSpPr>
      <xdr:spPr>
        <a:xfrm>
          <a:off x="5327854" y="1754853"/>
          <a:ext cx="596696" cy="180258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209550</xdr:colOff>
      <xdr:row>1</xdr:row>
      <xdr:rowOff>68679</xdr:rowOff>
    </xdr:from>
    <xdr:to>
      <xdr:col>2</xdr:col>
      <xdr:colOff>249721</xdr:colOff>
      <xdr:row>2</xdr:row>
      <xdr:rowOff>141331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5E2B6939-5531-47BE-B5A5-4DA3A81E5D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0550" y="259179"/>
          <a:ext cx="1621321" cy="2155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600075</xdr:colOff>
      <xdr:row>1</xdr:row>
      <xdr:rowOff>27404</xdr:rowOff>
    </xdr:from>
    <xdr:to>
      <xdr:col>4</xdr:col>
      <xdr:colOff>1040295</xdr:colOff>
      <xdr:row>3</xdr:row>
      <xdr:rowOff>156114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3AF05445-2933-45FE-BD20-BE98532DF1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13375" y="211554"/>
          <a:ext cx="440220" cy="4462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381000" y="97254"/>
          <a:ext cx="4886325" cy="11886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TAMAULIPAS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501854</xdr:colOff>
      <xdr:row>8</xdr:row>
      <xdr:rowOff>122903</xdr:rowOff>
    </xdr:from>
    <xdr:to>
      <xdr:col>5</xdr:col>
      <xdr:colOff>0</xdr:colOff>
      <xdr:row>9</xdr:row>
      <xdr:rowOff>112661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SpPr/>
      </xdr:nvSpPr>
      <xdr:spPr>
        <a:xfrm>
          <a:off x="4702379" y="1694528"/>
          <a:ext cx="507796" cy="180258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103717</xdr:colOff>
      <xdr:row>1</xdr:row>
      <xdr:rowOff>93374</xdr:rowOff>
    </xdr:from>
    <xdr:to>
      <xdr:col>2</xdr:col>
      <xdr:colOff>143888</xdr:colOff>
      <xdr:row>2</xdr:row>
      <xdr:rowOff>165320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B905ABAB-9748-415D-AD6F-3AFF01A8C52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5884" y="276818"/>
          <a:ext cx="1698226" cy="19894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594078</xdr:colOff>
      <xdr:row>1</xdr:row>
      <xdr:rowOff>42221</xdr:rowOff>
    </xdr:from>
    <xdr:to>
      <xdr:col>4</xdr:col>
      <xdr:colOff>1034298</xdr:colOff>
      <xdr:row>3</xdr:row>
      <xdr:rowOff>177281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2A3639D0-9186-4362-9198-8EC6868197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13022" y="225665"/>
          <a:ext cx="440220" cy="4525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310439</xdr:colOff>
      <xdr:row>0</xdr:row>
      <xdr:rowOff>97254</xdr:rowOff>
    </xdr:from>
    <xdr:to>
      <xdr:col>5</xdr:col>
      <xdr:colOff>1122533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310439" y="97254"/>
          <a:ext cx="6745816" cy="11568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TAMAULIPAS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5</xdr:col>
      <xdr:colOff>552450</xdr:colOff>
      <xdr:row>8</xdr:row>
      <xdr:rowOff>184150</xdr:rowOff>
    </xdr:from>
    <xdr:to>
      <xdr:col>5</xdr:col>
      <xdr:colOff>1085008</xdr:colOff>
      <xdr:row>10</xdr:row>
      <xdr:rowOff>31750</xdr:rowOff>
    </xdr:to>
    <xdr:sp macro="" textlink="">
      <xdr:nvSpPr>
        <xdr:cNvPr id="5" name="Rectángulo redondeado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SpPr/>
      </xdr:nvSpPr>
      <xdr:spPr>
        <a:xfrm>
          <a:off x="6486172" y="1708150"/>
          <a:ext cx="532558" cy="228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158045</xdr:colOff>
      <xdr:row>1</xdr:row>
      <xdr:rowOff>100783</xdr:rowOff>
    </xdr:from>
    <xdr:to>
      <xdr:col>2</xdr:col>
      <xdr:colOff>491374</xdr:colOff>
      <xdr:row>2</xdr:row>
      <xdr:rowOff>179785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01A1AC8-1883-4FBB-934C-C6AC2A0930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9045" y="291283"/>
          <a:ext cx="1603329" cy="22716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522817</xdr:colOff>
      <xdr:row>1</xdr:row>
      <xdr:rowOff>43631</xdr:rowOff>
    </xdr:from>
    <xdr:to>
      <xdr:col>5</xdr:col>
      <xdr:colOff>963037</xdr:colOff>
      <xdr:row>3</xdr:row>
      <xdr:rowOff>171635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6C78088-E2BB-4E94-82AC-12B7FFE51F9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6539" y="227075"/>
          <a:ext cx="440220" cy="44550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4</xdr:col>
      <xdr:colOff>519044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 txBox="1"/>
      </xdr:nvSpPr>
      <xdr:spPr>
        <a:xfrm>
          <a:off x="57151" y="193261"/>
          <a:ext cx="6640719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TAMAULIPAS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3</xdr:col>
      <xdr:colOff>1085850</xdr:colOff>
      <xdr:row>8</xdr:row>
      <xdr:rowOff>90419</xdr:rowOff>
    </xdr:from>
    <xdr:to>
      <xdr:col>4</xdr:col>
      <xdr:colOff>494980</xdr:colOff>
      <xdr:row>8</xdr:row>
      <xdr:rowOff>266701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E00-000005000000}"/>
            </a:ext>
          </a:extLst>
        </xdr:cNvPr>
        <xdr:cNvSpPr/>
      </xdr:nvSpPr>
      <xdr:spPr>
        <a:xfrm>
          <a:off x="5810250" y="1804919"/>
          <a:ext cx="590230" cy="176282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109333</xdr:colOff>
      <xdr:row>1</xdr:row>
      <xdr:rowOff>89177</xdr:rowOff>
    </xdr:from>
    <xdr:to>
      <xdr:col>1</xdr:col>
      <xdr:colOff>1109458</xdr:colOff>
      <xdr:row>2</xdr:row>
      <xdr:rowOff>120554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E448D8AD-20E4-4490-9AD6-65CE6F023E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333" y="279677"/>
          <a:ext cx="1647825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1186899</xdr:colOff>
      <xdr:row>1</xdr:row>
      <xdr:rowOff>65709</xdr:rowOff>
    </xdr:from>
    <xdr:to>
      <xdr:col>4</xdr:col>
      <xdr:colOff>442706</xdr:colOff>
      <xdr:row>3</xdr:row>
      <xdr:rowOff>153144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87AA21CD-FB94-4575-8C9C-0470674EC8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133549" y="256209"/>
          <a:ext cx="494057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9"/>
  <sheetViews>
    <sheetView showGridLines="0" view="pageBreakPreview" zoomScale="130" zoomScaleNormal="100" zoomScaleSheetLayoutView="130" workbookViewId="0">
      <selection activeCell="A8" sqref="A8:D8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95" t="s">
        <v>309</v>
      </c>
      <c r="B1" s="96"/>
      <c r="C1" s="96"/>
      <c r="D1" s="97"/>
    </row>
    <row r="2" spans="1:4">
      <c r="A2" s="2"/>
      <c r="B2" s="3"/>
      <c r="C2" s="3"/>
      <c r="D2" s="4"/>
    </row>
    <row r="3" spans="1:4">
      <c r="A3" s="98" t="s">
        <v>0</v>
      </c>
      <c r="B3" s="99"/>
      <c r="C3" s="99"/>
      <c r="D3" s="100"/>
    </row>
    <row r="4" spans="1:4">
      <c r="A4" s="98"/>
      <c r="B4" s="99"/>
      <c r="C4" s="99"/>
      <c r="D4" s="100"/>
    </row>
    <row r="5" spans="1:4">
      <c r="A5" s="15"/>
      <c r="B5" s="16"/>
      <c r="C5" s="16"/>
      <c r="D5" s="17"/>
    </row>
    <row r="6" spans="1:4" ht="18.75">
      <c r="A6" s="92" t="s">
        <v>1</v>
      </c>
      <c r="B6" s="93"/>
      <c r="C6" s="93"/>
      <c r="D6" s="94"/>
    </row>
    <row r="7" spans="1:4">
      <c r="A7" s="5"/>
      <c r="D7" s="6"/>
    </row>
    <row r="8" spans="1:4" ht="18.75">
      <c r="A8" s="92" t="s">
        <v>2</v>
      </c>
      <c r="B8" s="93"/>
      <c r="C8" s="93"/>
      <c r="D8" s="94"/>
    </row>
    <row r="9" spans="1:4" ht="18.75">
      <c r="A9" s="5"/>
      <c r="B9" s="92" t="s">
        <v>3</v>
      </c>
      <c r="C9" s="93"/>
      <c r="D9" s="93"/>
    </row>
    <row r="10" spans="1:4">
      <c r="A10" s="5"/>
      <c r="D10" s="6"/>
    </row>
    <row r="11" spans="1:4" ht="18.75">
      <c r="A11" s="28" t="s">
        <v>4</v>
      </c>
      <c r="D11" s="6"/>
    </row>
    <row r="12" spans="1:4" ht="18.75">
      <c r="A12" s="5"/>
      <c r="B12" s="92" t="s">
        <v>5</v>
      </c>
      <c r="C12" s="93"/>
      <c r="D12" s="93"/>
    </row>
    <row r="13" spans="1:4" ht="18.75">
      <c r="A13" s="5"/>
      <c r="B13" s="92" t="s">
        <v>6</v>
      </c>
      <c r="C13" s="93"/>
      <c r="D13" s="93"/>
    </row>
    <row r="14" spans="1:4" ht="18.75">
      <c r="A14" s="5"/>
      <c r="B14" s="92" t="s">
        <v>7</v>
      </c>
      <c r="C14" s="93"/>
      <c r="D14" s="93"/>
    </row>
    <row r="15" spans="1:4">
      <c r="A15" s="5"/>
      <c r="D15" s="6"/>
    </row>
    <row r="16" spans="1:4" ht="18.75">
      <c r="A16" s="28" t="s">
        <v>8</v>
      </c>
      <c r="D16" s="6"/>
    </row>
    <row r="17" spans="1:4" ht="18.75">
      <c r="A17" s="5"/>
      <c r="B17" s="92" t="s">
        <v>9</v>
      </c>
      <c r="C17" s="93"/>
      <c r="D17" s="93"/>
    </row>
    <row r="18" spans="1:4" ht="18.75">
      <c r="A18" s="5"/>
      <c r="B18" s="92" t="s">
        <v>10</v>
      </c>
      <c r="C18" s="93"/>
      <c r="D18" s="93"/>
    </row>
    <row r="19" spans="1:4" ht="18.75">
      <c r="A19" s="5"/>
      <c r="B19" s="92" t="s">
        <v>11</v>
      </c>
      <c r="C19" s="93"/>
      <c r="D19" s="93"/>
    </row>
    <row r="20" spans="1:4">
      <c r="A20" s="5"/>
      <c r="D20" s="6"/>
    </row>
    <row r="21" spans="1:4" ht="18.75">
      <c r="A21" s="28" t="s">
        <v>12</v>
      </c>
      <c r="D21" s="6"/>
    </row>
    <row r="22" spans="1:4" ht="18.75">
      <c r="A22" s="5"/>
      <c r="B22" s="92" t="s">
        <v>13</v>
      </c>
      <c r="C22" s="93"/>
      <c r="D22" s="93"/>
    </row>
    <row r="23" spans="1:4" ht="18.75">
      <c r="A23" s="5"/>
      <c r="B23" s="92" t="s">
        <v>14</v>
      </c>
      <c r="C23" s="93"/>
      <c r="D23" s="93"/>
    </row>
    <row r="24" spans="1:4" ht="18.75">
      <c r="A24" s="5"/>
      <c r="B24" s="29" t="s">
        <v>34</v>
      </c>
      <c r="C24" s="29"/>
      <c r="D24" s="29"/>
    </row>
    <row r="25" spans="1:4">
      <c r="A25" s="5"/>
      <c r="D25" s="6"/>
    </row>
    <row r="26" spans="1:4" ht="18.75">
      <c r="A26" s="92" t="s">
        <v>15</v>
      </c>
      <c r="B26" s="93"/>
      <c r="C26" s="93"/>
      <c r="D26" s="94"/>
    </row>
    <row r="27" spans="1:4">
      <c r="A27" s="5"/>
      <c r="D27" s="6"/>
    </row>
    <row r="28" spans="1:4" ht="18.75">
      <c r="A28" s="92" t="s">
        <v>16</v>
      </c>
      <c r="B28" s="93"/>
      <c r="C28" s="93"/>
      <c r="D28" s="94"/>
    </row>
    <row r="29" spans="1:4" ht="18.75" thickBot="1">
      <c r="A29" s="7"/>
      <c r="B29" s="8"/>
      <c r="C29" s="8"/>
      <c r="D29" s="9"/>
    </row>
  </sheetData>
  <mergeCells count="15">
    <mergeCell ref="B12:D12"/>
    <mergeCell ref="A1:D1"/>
    <mergeCell ref="A3:D4"/>
    <mergeCell ref="A6:D6"/>
    <mergeCell ref="A8:D8"/>
    <mergeCell ref="B9:D9"/>
    <mergeCell ref="B23:D23"/>
    <mergeCell ref="A26:D26"/>
    <mergeCell ref="A28:D28"/>
    <mergeCell ref="B13:D13"/>
    <mergeCell ref="B14:D14"/>
    <mergeCell ref="B17:D17"/>
    <mergeCell ref="B18:D18"/>
    <mergeCell ref="B19:D19"/>
    <mergeCell ref="B22:D22"/>
  </mergeCells>
  <hyperlinks>
    <hyperlink ref="A6" location="Aguascalientes_EdoUsa!A1" display="1. Por Estados de USA" xr:uid="{00000000-0004-0000-0000-000000000000}"/>
    <hyperlink ref="A8" location="Aguascalientes_Cons_2018!A1" display="2. Por Circunscripción Consular" xr:uid="{00000000-0004-0000-0000-000001000000}"/>
    <hyperlink ref="B9" location="AguascalientesXCons2018!A1" display="2.1 Top ten por circunscripción consular" xr:uid="{00000000-0004-0000-0000-000002000000}"/>
    <hyperlink ref="B12" location="Aguascalientes_EdoMun!A1" display="3.1 Municipio general" xr:uid="{00000000-0004-0000-0000-000003000000}"/>
    <hyperlink ref="B13" location="Aguascalientes_USAMuni2016!A1" display="3.2 Por Estado de USA" xr:uid="{00000000-0004-0000-0000-000004000000}"/>
    <hyperlink ref="B14" location="Aguascalientes_MUNICIPIO!A1" display="3.3 Por Circunscripción Consular" xr:uid="{00000000-0004-0000-0000-000005000000}"/>
    <hyperlink ref="B17" location="Aguascalientes_educ_gral!A1" display="4.1 Educación general" xr:uid="{00000000-0004-0000-0000-000006000000}"/>
    <hyperlink ref="B18" location="Aguascalientes_NivelE_Cons!A1" display="4.2 Por Estado de USA" xr:uid="{00000000-0004-0000-0000-000007000000}"/>
    <hyperlink ref="B19" location="Aguascalientes_EducCons!A1" display="4.3 Por Circunscripción Consular" xr:uid="{00000000-0004-0000-0000-000008000000}"/>
    <hyperlink ref="B22" location="Aguascalientes_GenGral!A1" display="5.1 Género General" xr:uid="{00000000-0004-0000-0000-000009000000}"/>
    <hyperlink ref="B23" location="Aguascalientes_GENERO!A1" display="5.3 Por Circunscripción Consular" xr:uid="{00000000-0004-0000-0000-00000A000000}"/>
    <hyperlink ref="A26" location="Aguascalientes_Gen_Edad!A1" display="6. Por estructura de Edad" xr:uid="{00000000-0004-0000-0000-00000B000000}"/>
    <hyperlink ref="A28" location="Aguascalientes_ocup_gral!A1" display="7. Por Ocupación" xr:uid="{00000000-0004-0000-0000-00000C000000}"/>
    <hyperlink ref="B13:D13" location="Tamaulipas_USAMuni!A1" display="3.2 Por Estado de USA" xr:uid="{00000000-0004-0000-0000-00000D000000}"/>
    <hyperlink ref="A8:D8" location="Tamaulipas_Cons!A1" display="2. Por Circunscripción Consular" xr:uid="{00000000-0004-0000-0000-00000E000000}"/>
    <hyperlink ref="B9:D9" location="TamaulipasXCons!A1" display="2.1 Top ten por circunscripción consular" xr:uid="{00000000-0004-0000-0000-00000F000000}"/>
    <hyperlink ref="A6:D6" location="Tamaulipas_EdoUsa!A1" display="1. Por Estados de USA" xr:uid="{00000000-0004-0000-0000-000010000000}"/>
    <hyperlink ref="B12:D12" location="Tamaulipas_EdoMun!A1" display="3.1 Municipio general" xr:uid="{00000000-0004-0000-0000-000011000000}"/>
    <hyperlink ref="B14:D14" location="Tamaulipas_MUNICIPIO!A1" display="3.3 Por Circunscripción Consular" xr:uid="{00000000-0004-0000-0000-000012000000}"/>
    <hyperlink ref="B17:D17" location="Tamaulipas_educ_gral!A1" display="4.1 Educación general" xr:uid="{00000000-0004-0000-0000-000013000000}"/>
    <hyperlink ref="B18:D18" location="Tamaulipas_NivelE_Cons!A1" display="4.2 Por Estado de USA" xr:uid="{00000000-0004-0000-0000-000014000000}"/>
    <hyperlink ref="B19:D19" location="Tamaulipas_EducCons!A1" display="4.3 Por Circunscripción Consular" xr:uid="{00000000-0004-0000-0000-000015000000}"/>
    <hyperlink ref="B22:D22" location="Tamaulipas_GenGral!A1" display="5.1 Género General" xr:uid="{00000000-0004-0000-0000-000016000000}"/>
    <hyperlink ref="B23:D23" location="Tamaulipas_GENERO!A1" display="5.2 Por Circunscripción Consular" xr:uid="{00000000-0004-0000-0000-000017000000}"/>
    <hyperlink ref="A26:D26" location="Tamaulipas_Gen_Edad!A1" display="6. Por estructura de Edad" xr:uid="{00000000-0004-0000-0000-000018000000}"/>
    <hyperlink ref="A28:D28" location="Tamaulipas_ocup_gral!A1" display="7. Por Ocupación" xr:uid="{00000000-0004-0000-0000-000019000000}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F66"/>
  <sheetViews>
    <sheetView showGridLines="0" view="pageBreakPreview" zoomScale="110" zoomScaleNormal="100" zoomScaleSheetLayoutView="110" workbookViewId="0">
      <selection activeCell="B12" sqref="B12"/>
    </sheetView>
  </sheetViews>
  <sheetFormatPr baseColWidth="10" defaultColWidth="11.42578125" defaultRowHeight="15"/>
  <cols>
    <col min="1" max="1" width="9.28515625" style="10" customWidth="1"/>
    <col min="2" max="2" width="21.7109375" style="10" customWidth="1"/>
    <col min="3" max="3" width="17.7109375" style="11" customWidth="1"/>
    <col min="4" max="4" width="17.7109375" style="10" customWidth="1"/>
    <col min="5" max="5" width="9.28515625" style="10" customWidth="1"/>
    <col min="6" max="6" width="5.7109375" style="10" customWidth="1"/>
    <col min="7" max="16384" width="11.42578125" style="10"/>
  </cols>
  <sheetData>
    <row r="1" spans="1:6" s="12" customFormat="1" ht="15" customHeight="1">
      <c r="C1" s="14"/>
    </row>
    <row r="2" spans="1:6" s="12" customFormat="1" ht="15" customHeight="1">
      <c r="C2" s="14"/>
    </row>
    <row r="3" spans="1:6" s="12" customFormat="1" ht="15" customHeight="1">
      <c r="C3" s="14"/>
    </row>
    <row r="4" spans="1:6" s="12" customFormat="1" ht="30" customHeight="1">
      <c r="C4" s="14"/>
      <c r="D4" s="13"/>
    </row>
    <row r="5" spans="1:6" s="12" customFormat="1" ht="15" customHeight="1">
      <c r="C5" s="14"/>
      <c r="D5" s="13"/>
    </row>
    <row r="6" spans="1:6" s="12" customFormat="1" ht="15" customHeight="1">
      <c r="C6" s="14"/>
      <c r="D6" s="13"/>
    </row>
    <row r="7" spans="1:6" s="12" customFormat="1" ht="15" customHeight="1">
      <c r="A7" s="30"/>
      <c r="B7" s="101" t="s">
        <v>41</v>
      </c>
      <c r="C7" s="101"/>
      <c r="D7" s="101"/>
      <c r="E7" s="30"/>
      <c r="F7" s="30"/>
    </row>
    <row r="8" spans="1:6" s="12" customFormat="1" ht="15" customHeight="1">
      <c r="A8" s="30"/>
      <c r="B8" s="101"/>
      <c r="C8" s="101"/>
      <c r="D8" s="101"/>
      <c r="E8" s="30"/>
      <c r="F8" s="30"/>
    </row>
    <row r="9" spans="1:6" s="12" customFormat="1" ht="33" customHeight="1">
      <c r="A9" s="30"/>
      <c r="B9" s="101"/>
      <c r="C9" s="101"/>
      <c r="D9" s="101"/>
      <c r="E9" s="30"/>
      <c r="F9" s="30"/>
    </row>
    <row r="10" spans="1:6" s="12" customFormat="1" ht="4.5" customHeight="1">
      <c r="A10" s="30"/>
      <c r="B10" s="31"/>
      <c r="C10" s="31"/>
      <c r="D10" s="31"/>
      <c r="E10" s="30"/>
      <c r="F10" s="30"/>
    </row>
    <row r="11" spans="1:6" s="12" customFormat="1" ht="33" customHeight="1">
      <c r="A11" s="30"/>
      <c r="B11" s="48" t="s">
        <v>21</v>
      </c>
      <c r="C11" s="47" t="s">
        <v>20</v>
      </c>
      <c r="D11" s="48" t="s">
        <v>19</v>
      </c>
      <c r="E11" s="30"/>
      <c r="F11" s="30"/>
    </row>
    <row r="12" spans="1:6" ht="16.5">
      <c r="A12" s="32"/>
      <c r="B12" s="54" t="s">
        <v>135</v>
      </c>
      <c r="C12" s="55">
        <v>19348</v>
      </c>
      <c r="D12" s="56">
        <v>0.79330845873139499</v>
      </c>
      <c r="E12" s="32"/>
      <c r="F12" s="32"/>
    </row>
    <row r="13" spans="1:6" ht="16.5">
      <c r="A13" s="32"/>
      <c r="B13" s="54" t="s">
        <v>105</v>
      </c>
      <c r="C13" s="55">
        <v>531</v>
      </c>
      <c r="D13" s="56">
        <v>2.1772110377628998E-2</v>
      </c>
      <c r="E13" s="32"/>
      <c r="F13" s="32"/>
    </row>
    <row r="14" spans="1:6" ht="16.5">
      <c r="A14" s="32"/>
      <c r="B14" s="54" t="s">
        <v>125</v>
      </c>
      <c r="C14" s="55">
        <v>417</v>
      </c>
      <c r="D14" s="56">
        <v>1.7097871991471999E-2</v>
      </c>
      <c r="E14" s="32"/>
      <c r="F14" s="32"/>
    </row>
    <row r="15" spans="1:6" ht="16.5">
      <c r="A15" s="32"/>
      <c r="B15" s="54" t="s">
        <v>104</v>
      </c>
      <c r="C15" s="55">
        <v>401</v>
      </c>
      <c r="D15" s="56">
        <v>1.6441838533765001E-2</v>
      </c>
      <c r="E15" s="32"/>
      <c r="F15" s="32"/>
    </row>
    <row r="16" spans="1:6" ht="16.5">
      <c r="A16" s="32"/>
      <c r="B16" s="54" t="s">
        <v>107</v>
      </c>
      <c r="C16" s="55">
        <v>379</v>
      </c>
      <c r="D16" s="56">
        <v>1.5539792529419E-2</v>
      </c>
      <c r="E16" s="32"/>
      <c r="F16" s="32"/>
    </row>
    <row r="17" spans="1:6" ht="16.5">
      <c r="A17" s="32"/>
      <c r="B17" s="54" t="s">
        <v>99</v>
      </c>
      <c r="C17" s="55">
        <v>359</v>
      </c>
      <c r="D17" s="56">
        <v>1.4719750707286001E-2</v>
      </c>
      <c r="E17" s="32"/>
      <c r="F17" s="32"/>
    </row>
    <row r="18" spans="1:6" ht="16.5">
      <c r="A18" s="32"/>
      <c r="B18" s="54" t="s">
        <v>128</v>
      </c>
      <c r="C18" s="55">
        <v>327</v>
      </c>
      <c r="D18" s="56">
        <v>1.3407683791873E-2</v>
      </c>
      <c r="E18" s="32"/>
      <c r="F18" s="32"/>
    </row>
    <row r="19" spans="1:6" ht="16.5">
      <c r="A19" s="32"/>
      <c r="B19" s="54" t="s">
        <v>134</v>
      </c>
      <c r="C19" s="55">
        <v>296</v>
      </c>
      <c r="D19" s="56">
        <v>1.2136618967567001E-2</v>
      </c>
      <c r="E19" s="32"/>
      <c r="F19" s="32"/>
    </row>
    <row r="20" spans="1:6" ht="16.5">
      <c r="A20" s="32"/>
      <c r="B20" s="54" t="s">
        <v>98</v>
      </c>
      <c r="C20" s="55">
        <v>232</v>
      </c>
      <c r="D20" s="56">
        <v>9.5124851367420007E-3</v>
      </c>
      <c r="E20" s="32"/>
      <c r="F20" s="32"/>
    </row>
    <row r="21" spans="1:6" ht="16.5">
      <c r="A21" s="32"/>
      <c r="B21" s="54" t="s">
        <v>115</v>
      </c>
      <c r="C21" s="55">
        <v>204</v>
      </c>
      <c r="D21" s="56">
        <v>8.3644265857560005E-3</v>
      </c>
      <c r="E21" s="32"/>
      <c r="F21" s="32"/>
    </row>
    <row r="22" spans="1:6" ht="16.5">
      <c r="A22" s="32"/>
      <c r="B22" s="54" t="s">
        <v>112</v>
      </c>
      <c r="C22" s="55">
        <v>168</v>
      </c>
      <c r="D22" s="56">
        <v>6.8883513059170001E-3</v>
      </c>
      <c r="E22" s="32"/>
      <c r="F22" s="32"/>
    </row>
    <row r="23" spans="1:6" ht="16.5">
      <c r="A23" s="32"/>
      <c r="B23" s="54" t="s">
        <v>96</v>
      </c>
      <c r="C23" s="55">
        <v>158</v>
      </c>
      <c r="D23" s="56">
        <v>6.4783303948499999E-3</v>
      </c>
      <c r="E23" s="32"/>
      <c r="F23" s="32"/>
    </row>
    <row r="24" spans="1:6" ht="16.5">
      <c r="A24" s="32"/>
      <c r="B24" s="54" t="s">
        <v>108</v>
      </c>
      <c r="C24" s="55">
        <v>153</v>
      </c>
      <c r="D24" s="56">
        <v>6.2733199393170003E-3</v>
      </c>
      <c r="E24" s="32"/>
      <c r="F24" s="32"/>
    </row>
    <row r="25" spans="1:6" ht="16.5">
      <c r="A25" s="32"/>
      <c r="B25" s="54" t="s">
        <v>116</v>
      </c>
      <c r="C25" s="55">
        <v>149</v>
      </c>
      <c r="D25" s="56">
        <v>6.1093115748900003E-3</v>
      </c>
      <c r="E25" s="32"/>
      <c r="F25" s="32"/>
    </row>
    <row r="26" spans="1:6" ht="16.5">
      <c r="A26" s="32"/>
      <c r="B26" s="54" t="s">
        <v>132</v>
      </c>
      <c r="C26" s="55">
        <v>132</v>
      </c>
      <c r="D26" s="56">
        <v>5.4122760260769997E-3</v>
      </c>
      <c r="E26" s="32"/>
      <c r="F26" s="32"/>
    </row>
    <row r="27" spans="1:6" ht="16.5">
      <c r="A27" s="32"/>
      <c r="B27" s="54" t="s">
        <v>117</v>
      </c>
      <c r="C27" s="55">
        <v>119</v>
      </c>
      <c r="D27" s="56">
        <v>4.879248841691E-3</v>
      </c>
      <c r="E27" s="32"/>
      <c r="F27" s="32"/>
    </row>
    <row r="28" spans="1:6" ht="16.5">
      <c r="A28" s="32"/>
      <c r="B28" s="54" t="s">
        <v>127</v>
      </c>
      <c r="C28" s="55">
        <v>115</v>
      </c>
      <c r="D28" s="56">
        <v>4.7152404772639999E-3</v>
      </c>
      <c r="E28" s="32"/>
      <c r="F28" s="32"/>
    </row>
    <row r="29" spans="1:6" ht="16.5">
      <c r="A29" s="32"/>
      <c r="B29" s="54" t="s">
        <v>118</v>
      </c>
      <c r="C29" s="55">
        <v>102</v>
      </c>
      <c r="D29" s="56">
        <v>4.1822132928780002E-3</v>
      </c>
      <c r="E29" s="32"/>
      <c r="F29" s="32"/>
    </row>
    <row r="30" spans="1:6" ht="16.5">
      <c r="A30" s="32"/>
      <c r="B30" s="54" t="s">
        <v>111</v>
      </c>
      <c r="C30" s="55">
        <v>99</v>
      </c>
      <c r="D30" s="56">
        <v>4.0592070195579998E-3</v>
      </c>
      <c r="E30" s="32"/>
      <c r="F30" s="32"/>
    </row>
    <row r="31" spans="1:6" ht="16.5">
      <c r="A31" s="32"/>
      <c r="B31" s="54" t="s">
        <v>140</v>
      </c>
      <c r="C31" s="55">
        <v>85</v>
      </c>
      <c r="D31" s="56">
        <v>3.485177744065E-3</v>
      </c>
      <c r="E31" s="32"/>
      <c r="F31" s="32"/>
    </row>
    <row r="32" spans="1:6" ht="16.5">
      <c r="A32" s="32"/>
      <c r="B32" s="54" t="s">
        <v>138</v>
      </c>
      <c r="C32" s="55">
        <v>71</v>
      </c>
      <c r="D32" s="56">
        <v>2.9111484685719999E-3</v>
      </c>
      <c r="E32" s="32"/>
      <c r="F32" s="32"/>
    </row>
    <row r="33" spans="1:6" ht="16.5">
      <c r="A33" s="32"/>
      <c r="B33" s="54" t="s">
        <v>100</v>
      </c>
      <c r="C33" s="55">
        <v>61</v>
      </c>
      <c r="D33" s="56">
        <v>2.5011275575050002E-3</v>
      </c>
      <c r="E33" s="32"/>
      <c r="F33" s="32"/>
    </row>
    <row r="34" spans="1:6" ht="16.5">
      <c r="A34" s="32"/>
      <c r="B34" s="54" t="s">
        <v>120</v>
      </c>
      <c r="C34" s="55">
        <v>56</v>
      </c>
      <c r="D34" s="56">
        <v>2.2961171019720002E-3</v>
      </c>
      <c r="E34" s="32"/>
      <c r="F34" s="32"/>
    </row>
    <row r="35" spans="1:6" ht="16.5">
      <c r="A35" s="32"/>
      <c r="B35" s="54" t="s">
        <v>110</v>
      </c>
      <c r="C35" s="55">
        <v>51</v>
      </c>
      <c r="D35" s="56">
        <v>2.0911066464390001E-3</v>
      </c>
      <c r="E35" s="32"/>
      <c r="F35" s="32"/>
    </row>
    <row r="36" spans="1:6" ht="16.5">
      <c r="A36" s="32"/>
      <c r="B36" s="54" t="s">
        <v>121</v>
      </c>
      <c r="C36" s="55">
        <v>47</v>
      </c>
      <c r="D36" s="56">
        <v>1.927098282012E-3</v>
      </c>
      <c r="E36" s="32"/>
      <c r="F36" s="32"/>
    </row>
    <row r="37" spans="1:6" ht="16.5">
      <c r="A37" s="32"/>
      <c r="B37" s="54" t="s">
        <v>109</v>
      </c>
      <c r="C37" s="55">
        <v>44</v>
      </c>
      <c r="D37" s="56">
        <v>1.804092008692E-3</v>
      </c>
      <c r="E37" s="32"/>
      <c r="F37" s="32"/>
    </row>
    <row r="38" spans="1:6" ht="16.5">
      <c r="A38" s="32"/>
      <c r="B38" s="54" t="s">
        <v>124</v>
      </c>
      <c r="C38" s="55">
        <v>41</v>
      </c>
      <c r="D38" s="56">
        <v>1.681085735373E-3</v>
      </c>
      <c r="E38" s="32"/>
      <c r="F38" s="32"/>
    </row>
    <row r="39" spans="1:6" ht="16.5">
      <c r="A39" s="32"/>
      <c r="B39" s="54" t="s">
        <v>97</v>
      </c>
      <c r="C39" s="55">
        <v>34</v>
      </c>
      <c r="D39" s="56">
        <v>1.3940710976259999E-3</v>
      </c>
      <c r="E39" s="32"/>
      <c r="F39" s="32"/>
    </row>
    <row r="40" spans="1:6" ht="16.5">
      <c r="A40" s="32"/>
      <c r="B40" s="54" t="s">
        <v>122</v>
      </c>
      <c r="C40" s="55">
        <v>24</v>
      </c>
      <c r="D40" s="56">
        <v>9.8405018656000007E-4</v>
      </c>
      <c r="E40" s="32"/>
      <c r="F40" s="32"/>
    </row>
    <row r="41" spans="1:6" ht="16.5">
      <c r="A41" s="32"/>
      <c r="B41" s="54" t="s">
        <v>136</v>
      </c>
      <c r="C41" s="55">
        <v>24</v>
      </c>
      <c r="D41" s="56">
        <v>9.8405018656000007E-4</v>
      </c>
      <c r="E41" s="32"/>
      <c r="F41" s="32"/>
    </row>
    <row r="42" spans="1:6" ht="16.5">
      <c r="A42" s="32"/>
      <c r="B42" s="54" t="s">
        <v>102</v>
      </c>
      <c r="C42" s="55">
        <v>19</v>
      </c>
      <c r="D42" s="56">
        <v>7.7903973102599997E-4</v>
      </c>
      <c r="E42" s="32"/>
      <c r="F42" s="32"/>
    </row>
    <row r="43" spans="1:6" ht="16.5">
      <c r="A43" s="32"/>
      <c r="B43" s="54" t="s">
        <v>113</v>
      </c>
      <c r="C43" s="55">
        <v>19</v>
      </c>
      <c r="D43" s="56">
        <v>7.7903973102599997E-4</v>
      </c>
      <c r="E43" s="32"/>
      <c r="F43" s="32"/>
    </row>
    <row r="44" spans="1:6" ht="16.5">
      <c r="A44" s="32"/>
      <c r="B44" s="54" t="s">
        <v>106</v>
      </c>
      <c r="C44" s="55">
        <v>18</v>
      </c>
      <c r="D44" s="56">
        <v>7.3803763992E-4</v>
      </c>
      <c r="E44" s="32"/>
      <c r="F44" s="32"/>
    </row>
    <row r="45" spans="1:6" ht="16.5">
      <c r="A45" s="32"/>
      <c r="B45" s="54" t="s">
        <v>101</v>
      </c>
      <c r="C45" s="55">
        <v>17</v>
      </c>
      <c r="D45" s="56">
        <v>6.9703554881299997E-4</v>
      </c>
      <c r="E45" s="32"/>
      <c r="F45" s="32"/>
    </row>
    <row r="46" spans="1:6" ht="16.5">
      <c r="A46" s="32"/>
      <c r="B46" s="54" t="s">
        <v>130</v>
      </c>
      <c r="C46" s="55">
        <v>17</v>
      </c>
      <c r="D46" s="56">
        <v>6.9703554881299997E-4</v>
      </c>
      <c r="E46" s="32"/>
      <c r="F46" s="32"/>
    </row>
    <row r="47" spans="1:6" ht="16.5">
      <c r="A47" s="32"/>
      <c r="B47" s="54" t="s">
        <v>66</v>
      </c>
      <c r="C47" s="55">
        <v>16</v>
      </c>
      <c r="D47" s="56">
        <v>6.5603345770600004E-4</v>
      </c>
      <c r="E47" s="32"/>
      <c r="F47" s="32"/>
    </row>
    <row r="48" spans="1:6" ht="16.5">
      <c r="A48" s="32"/>
      <c r="B48" s="54" t="s">
        <v>123</v>
      </c>
      <c r="C48" s="55">
        <v>15</v>
      </c>
      <c r="D48" s="56">
        <v>6.1503136659999996E-4</v>
      </c>
      <c r="E48" s="32"/>
      <c r="F48" s="32"/>
    </row>
    <row r="49" spans="1:6" ht="16.5">
      <c r="A49" s="32"/>
      <c r="B49" s="54" t="s">
        <v>129</v>
      </c>
      <c r="C49" s="55">
        <v>11</v>
      </c>
      <c r="D49" s="56">
        <v>4.51023002173E-4</v>
      </c>
      <c r="E49" s="32"/>
      <c r="F49" s="32"/>
    </row>
    <row r="50" spans="1:6" ht="16.5">
      <c r="A50" s="32"/>
      <c r="B50" s="54" t="s">
        <v>114</v>
      </c>
      <c r="C50" s="55">
        <v>9</v>
      </c>
      <c r="D50" s="56">
        <v>3.6901881996E-4</v>
      </c>
      <c r="E50" s="32"/>
      <c r="F50" s="32"/>
    </row>
    <row r="51" spans="1:6" ht="16.5">
      <c r="A51" s="32"/>
      <c r="B51" s="54" t="s">
        <v>131</v>
      </c>
      <c r="C51" s="55">
        <v>5</v>
      </c>
      <c r="D51" s="56">
        <v>2.0501045553300001E-4</v>
      </c>
      <c r="E51" s="32"/>
      <c r="F51" s="32"/>
    </row>
    <row r="52" spans="1:6" ht="16.5">
      <c r="A52" s="32"/>
      <c r="B52" s="54" t="s">
        <v>103</v>
      </c>
      <c r="C52" s="55">
        <v>3</v>
      </c>
      <c r="D52" s="56">
        <v>1.2300627332000001E-4</v>
      </c>
      <c r="E52" s="32"/>
      <c r="F52" s="32"/>
    </row>
    <row r="53" spans="1:6" ht="16.5">
      <c r="A53" s="32"/>
      <c r="B53" s="54" t="s">
        <v>141</v>
      </c>
      <c r="C53" s="55">
        <v>3</v>
      </c>
      <c r="D53" s="56">
        <v>1.2300627332000001E-4</v>
      </c>
      <c r="E53" s="32"/>
      <c r="F53" s="32"/>
    </row>
    <row r="54" spans="1:6" ht="16.5">
      <c r="A54" s="32"/>
      <c r="B54" s="54" t="s">
        <v>276</v>
      </c>
      <c r="C54" s="55">
        <v>2</v>
      </c>
      <c r="D54" s="56">
        <v>8.2004182213000001E-5</v>
      </c>
      <c r="E54" s="32"/>
      <c r="F54" s="32"/>
    </row>
    <row r="55" spans="1:6" ht="16.5">
      <c r="A55" s="32"/>
      <c r="B55" s="54" t="s">
        <v>119</v>
      </c>
      <c r="C55" s="55">
        <v>2</v>
      </c>
      <c r="D55" s="56">
        <v>8.2004182213000001E-5</v>
      </c>
      <c r="E55" s="32"/>
      <c r="F55" s="32"/>
    </row>
    <row r="56" spans="1:6" ht="16.5">
      <c r="A56" s="32"/>
      <c r="B56" s="54" t="s">
        <v>126</v>
      </c>
      <c r="C56" s="55">
        <v>2</v>
      </c>
      <c r="D56" s="56">
        <v>8.2004182213000001E-5</v>
      </c>
      <c r="E56" s="32"/>
      <c r="F56" s="32"/>
    </row>
    <row r="57" spans="1:6" ht="16.5">
      <c r="A57" s="32"/>
      <c r="B57" s="54" t="s">
        <v>133</v>
      </c>
      <c r="C57" s="55">
        <v>2</v>
      </c>
      <c r="D57" s="56">
        <v>8.2004182213000001E-5</v>
      </c>
      <c r="E57" s="32"/>
      <c r="F57" s="32"/>
    </row>
    <row r="58" spans="1:6" ht="16.5">
      <c r="A58" s="32"/>
      <c r="B58" s="54" t="s">
        <v>137</v>
      </c>
      <c r="C58" s="55">
        <v>1</v>
      </c>
      <c r="D58" s="56">
        <v>4.1002091107000001E-5</v>
      </c>
      <c r="E58" s="32"/>
      <c r="F58" s="32"/>
    </row>
    <row r="59" spans="1:6" ht="16.5">
      <c r="A59" s="32"/>
      <c r="B59" s="54" t="s">
        <v>139</v>
      </c>
      <c r="C59" s="55">
        <v>1</v>
      </c>
      <c r="D59" s="56">
        <v>4.1002091107000001E-5</v>
      </c>
      <c r="E59" s="32"/>
      <c r="F59" s="32"/>
    </row>
    <row r="60" spans="1:6" ht="16.5">
      <c r="A60" s="32"/>
      <c r="B60" s="57" t="s">
        <v>304</v>
      </c>
      <c r="C60" s="58">
        <v>24389</v>
      </c>
      <c r="D60" s="59">
        <v>1</v>
      </c>
      <c r="E60" s="32"/>
      <c r="F60" s="32"/>
    </row>
    <row r="61" spans="1:6" ht="16.5">
      <c r="A61" s="32"/>
      <c r="B61" s="33"/>
      <c r="C61" s="34"/>
      <c r="D61" s="32"/>
      <c r="E61" s="32"/>
      <c r="F61" s="32"/>
    </row>
    <row r="62" spans="1:6" ht="16.5">
      <c r="A62" s="32"/>
      <c r="B62" s="35" t="s">
        <v>275</v>
      </c>
      <c r="C62" s="34"/>
      <c r="D62" s="32"/>
      <c r="E62" s="32"/>
      <c r="F62" s="32"/>
    </row>
    <row r="63" spans="1:6" ht="16.5">
      <c r="A63" s="32"/>
      <c r="B63" s="36" t="s">
        <v>18</v>
      </c>
      <c r="C63" s="34"/>
      <c r="D63" s="32"/>
      <c r="E63" s="32"/>
      <c r="F63" s="32"/>
    </row>
    <row r="64" spans="1:6" ht="16.5">
      <c r="A64" s="32"/>
      <c r="B64" s="33" t="s">
        <v>45</v>
      </c>
      <c r="C64" s="34"/>
      <c r="D64" s="32"/>
      <c r="E64" s="32"/>
      <c r="F64" s="32"/>
    </row>
    <row r="65" spans="1:6" ht="16.5">
      <c r="A65" s="32"/>
      <c r="B65" s="35" t="s">
        <v>17</v>
      </c>
      <c r="C65" s="34"/>
      <c r="D65" s="32"/>
      <c r="E65" s="32"/>
      <c r="F65" s="32"/>
    </row>
    <row r="66" spans="1:6" ht="16.5">
      <c r="A66" s="32"/>
      <c r="B66" s="35" t="s">
        <v>308</v>
      </c>
      <c r="C66" s="34"/>
      <c r="D66" s="32"/>
      <c r="E66" s="32"/>
      <c r="F66" s="3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F68"/>
  <sheetViews>
    <sheetView showGridLines="0" view="pageBreakPreview" zoomScaleNormal="100" zoomScaleSheetLayoutView="100" workbookViewId="0">
      <selection activeCell="B15" sqref="B15"/>
    </sheetView>
  </sheetViews>
  <sheetFormatPr baseColWidth="10" defaultColWidth="11.42578125" defaultRowHeight="15"/>
  <cols>
    <col min="1" max="1" width="9.28515625" style="10" customWidth="1"/>
    <col min="2" max="2" width="21.7109375" style="10" customWidth="1"/>
    <col min="3" max="3" width="17.7109375" style="11" customWidth="1"/>
    <col min="4" max="4" width="17.7109375" style="10" customWidth="1"/>
    <col min="5" max="5" width="9.28515625" style="10" customWidth="1"/>
    <col min="6" max="6" width="5.7109375" style="10" customWidth="1"/>
    <col min="7" max="16384" width="11.42578125" style="10"/>
  </cols>
  <sheetData>
    <row r="1" spans="1:6" s="12" customFormat="1" ht="15" customHeight="1">
      <c r="C1" s="14"/>
    </row>
    <row r="2" spans="1:6" s="12" customFormat="1" ht="15" customHeight="1">
      <c r="C2" s="14"/>
    </row>
    <row r="3" spans="1:6" s="12" customFormat="1" ht="15" customHeight="1">
      <c r="C3" s="14"/>
    </row>
    <row r="4" spans="1:6" s="12" customFormat="1" ht="30" customHeight="1">
      <c r="C4" s="14"/>
      <c r="D4" s="13"/>
    </row>
    <row r="5" spans="1:6" s="12" customFormat="1" ht="15" customHeight="1">
      <c r="C5" s="14"/>
      <c r="D5" s="13"/>
    </row>
    <row r="6" spans="1:6" s="12" customFormat="1" ht="15" customHeight="1">
      <c r="C6" s="14"/>
      <c r="D6" s="13"/>
    </row>
    <row r="7" spans="1:6" s="12" customFormat="1" ht="15" customHeight="1">
      <c r="A7" s="30"/>
      <c r="B7" s="101" t="s">
        <v>35</v>
      </c>
      <c r="C7" s="101"/>
      <c r="D7" s="101"/>
      <c r="E7" s="30"/>
      <c r="F7" s="30"/>
    </row>
    <row r="8" spans="1:6" s="12" customFormat="1" ht="15" customHeight="1">
      <c r="A8" s="30"/>
      <c r="B8" s="101"/>
      <c r="C8" s="101"/>
      <c r="D8" s="101"/>
      <c r="E8" s="30"/>
      <c r="F8" s="30"/>
    </row>
    <row r="9" spans="1:6" s="12" customFormat="1" ht="33" customHeight="1">
      <c r="A9" s="30"/>
      <c r="B9" s="101"/>
      <c r="C9" s="101"/>
      <c r="D9" s="101"/>
      <c r="E9" s="30"/>
      <c r="F9" s="30"/>
    </row>
    <row r="10" spans="1:6" s="12" customFormat="1" ht="4.5" customHeight="1">
      <c r="A10" s="30"/>
      <c r="B10" s="31"/>
      <c r="C10" s="31"/>
      <c r="D10" s="31"/>
      <c r="E10" s="30"/>
      <c r="F10" s="30"/>
    </row>
    <row r="11" spans="1:6" s="12" customFormat="1" ht="33" customHeight="1">
      <c r="A11" s="30"/>
      <c r="B11" s="48" t="s">
        <v>22</v>
      </c>
      <c r="C11" s="47" t="s">
        <v>20</v>
      </c>
      <c r="D11" s="48" t="s">
        <v>19</v>
      </c>
      <c r="E11" s="30"/>
      <c r="F11" s="30"/>
    </row>
    <row r="12" spans="1:6" ht="16.5">
      <c r="A12" s="32"/>
      <c r="B12" s="60" t="s">
        <v>47</v>
      </c>
      <c r="C12" s="55">
        <v>5923</v>
      </c>
      <c r="D12" s="56">
        <v>0.24285538562466699</v>
      </c>
      <c r="E12" s="32"/>
      <c r="F12" s="32"/>
    </row>
    <row r="13" spans="1:6" ht="16.5">
      <c r="A13" s="32"/>
      <c r="B13" s="60" t="s">
        <v>46</v>
      </c>
      <c r="C13" s="55">
        <v>5611</v>
      </c>
      <c r="D13" s="56">
        <v>0.23006273319939299</v>
      </c>
      <c r="E13" s="32"/>
      <c r="F13" s="32"/>
    </row>
    <row r="14" spans="1:6" ht="16.5">
      <c r="A14" s="32"/>
      <c r="B14" s="60" t="s">
        <v>48</v>
      </c>
      <c r="C14" s="55">
        <v>3039</v>
      </c>
      <c r="D14" s="56">
        <v>0.124605354873099</v>
      </c>
      <c r="E14" s="32"/>
      <c r="F14" s="32"/>
    </row>
    <row r="15" spans="1:6" ht="16.5">
      <c r="A15" s="32"/>
      <c r="B15" s="60" t="s">
        <v>49</v>
      </c>
      <c r="C15" s="55">
        <v>2184</v>
      </c>
      <c r="D15" s="56">
        <v>8.9548566976916003E-2</v>
      </c>
      <c r="E15" s="32"/>
      <c r="F15" s="32"/>
    </row>
    <row r="16" spans="1:6" ht="16.5">
      <c r="A16" s="32"/>
      <c r="B16" s="60" t="s">
        <v>50</v>
      </c>
      <c r="C16" s="55">
        <v>1121</v>
      </c>
      <c r="D16" s="56">
        <v>4.5963344130550997E-2</v>
      </c>
      <c r="E16" s="32"/>
      <c r="F16" s="32"/>
    </row>
    <row r="17" spans="1:6" ht="16.5">
      <c r="A17" s="32"/>
      <c r="B17" s="60" t="s">
        <v>51</v>
      </c>
      <c r="C17" s="55">
        <v>872</v>
      </c>
      <c r="D17" s="56">
        <v>3.5753823444996002E-2</v>
      </c>
      <c r="E17" s="32"/>
      <c r="F17" s="32"/>
    </row>
    <row r="18" spans="1:6" ht="16.5">
      <c r="A18" s="32"/>
      <c r="B18" s="60" t="s">
        <v>52</v>
      </c>
      <c r="C18" s="55">
        <v>645</v>
      </c>
      <c r="D18" s="56">
        <v>2.6446348763787E-2</v>
      </c>
      <c r="E18" s="32"/>
      <c r="F18" s="32"/>
    </row>
    <row r="19" spans="1:6" ht="16.5">
      <c r="A19" s="32"/>
      <c r="B19" s="60" t="s">
        <v>54</v>
      </c>
      <c r="C19" s="55">
        <v>625</v>
      </c>
      <c r="D19" s="56">
        <v>2.5626306941653999E-2</v>
      </c>
      <c r="E19" s="32"/>
      <c r="F19" s="32"/>
    </row>
    <row r="20" spans="1:6" ht="16.5">
      <c r="A20" s="32"/>
      <c r="B20" s="60" t="s">
        <v>53</v>
      </c>
      <c r="C20" s="55">
        <v>555</v>
      </c>
      <c r="D20" s="56">
        <v>2.2756160564188999E-2</v>
      </c>
      <c r="E20" s="32"/>
      <c r="F20" s="32"/>
    </row>
    <row r="21" spans="1:6" ht="16.5">
      <c r="A21" s="32"/>
      <c r="B21" s="60" t="s">
        <v>56</v>
      </c>
      <c r="C21" s="55">
        <v>506</v>
      </c>
      <c r="D21" s="56">
        <v>2.0747058099962998E-2</v>
      </c>
      <c r="E21" s="32"/>
      <c r="F21" s="32"/>
    </row>
    <row r="22" spans="1:6" ht="16.5">
      <c r="A22" s="32"/>
      <c r="B22" s="60" t="s">
        <v>55</v>
      </c>
      <c r="C22" s="55">
        <v>456</v>
      </c>
      <c r="D22" s="56">
        <v>1.8696953544630999E-2</v>
      </c>
      <c r="E22" s="32"/>
      <c r="F22" s="32"/>
    </row>
    <row r="23" spans="1:6" ht="16.5">
      <c r="A23" s="32"/>
      <c r="B23" s="60" t="s">
        <v>59</v>
      </c>
      <c r="C23" s="55">
        <v>332</v>
      </c>
      <c r="D23" s="56">
        <v>1.3612694247406999E-2</v>
      </c>
      <c r="E23" s="32"/>
      <c r="F23" s="32"/>
    </row>
    <row r="24" spans="1:6" ht="16.5">
      <c r="A24" s="32"/>
      <c r="B24" s="60" t="s">
        <v>57</v>
      </c>
      <c r="C24" s="55">
        <v>320</v>
      </c>
      <c r="D24" s="56">
        <v>1.3120669154127001E-2</v>
      </c>
      <c r="E24" s="32"/>
      <c r="F24" s="32"/>
    </row>
    <row r="25" spans="1:6" ht="16.5">
      <c r="A25" s="32"/>
      <c r="B25" s="60" t="s">
        <v>60</v>
      </c>
      <c r="C25" s="55">
        <v>297</v>
      </c>
      <c r="D25" s="56">
        <v>1.2177621058673999E-2</v>
      </c>
      <c r="E25" s="32"/>
      <c r="F25" s="32"/>
    </row>
    <row r="26" spans="1:6" ht="16.5">
      <c r="A26" s="32"/>
      <c r="B26" s="60" t="s">
        <v>58</v>
      </c>
      <c r="C26" s="55">
        <v>237</v>
      </c>
      <c r="D26" s="56">
        <v>9.7174955922749995E-3</v>
      </c>
      <c r="E26" s="32"/>
      <c r="F26" s="32"/>
    </row>
    <row r="27" spans="1:6" ht="16.5">
      <c r="A27" s="32"/>
      <c r="B27" s="60" t="s">
        <v>61</v>
      </c>
      <c r="C27" s="55">
        <v>193</v>
      </c>
      <c r="D27" s="56">
        <v>7.9134035835830008E-3</v>
      </c>
      <c r="E27" s="32"/>
      <c r="F27" s="32"/>
    </row>
    <row r="28" spans="1:6" ht="16.5">
      <c r="A28" s="32"/>
      <c r="B28" s="60" t="s">
        <v>63</v>
      </c>
      <c r="C28" s="55">
        <v>158</v>
      </c>
      <c r="D28" s="56">
        <v>6.4783303948499999E-3</v>
      </c>
      <c r="E28" s="32"/>
      <c r="F28" s="32"/>
    </row>
    <row r="29" spans="1:6" ht="16.5">
      <c r="A29" s="32"/>
      <c r="B29" s="60" t="s">
        <v>64</v>
      </c>
      <c r="C29" s="55">
        <v>128</v>
      </c>
      <c r="D29" s="56">
        <v>5.2482676616509997E-3</v>
      </c>
      <c r="E29" s="32"/>
      <c r="F29" s="32"/>
    </row>
    <row r="30" spans="1:6" ht="16.5">
      <c r="A30" s="32"/>
      <c r="B30" s="60" t="s">
        <v>62</v>
      </c>
      <c r="C30" s="55">
        <v>126</v>
      </c>
      <c r="D30" s="56">
        <v>5.1662634794369996E-3</v>
      </c>
      <c r="E30" s="32"/>
      <c r="F30" s="32"/>
    </row>
    <row r="31" spans="1:6" ht="16.5">
      <c r="A31" s="32"/>
      <c r="B31" s="60" t="s">
        <v>65</v>
      </c>
      <c r="C31" s="55">
        <v>124</v>
      </c>
      <c r="D31" s="56">
        <v>5.0842592972239996E-3</v>
      </c>
      <c r="E31" s="32"/>
      <c r="F31" s="32"/>
    </row>
    <row r="32" spans="1:6" ht="16.5">
      <c r="A32" s="32"/>
      <c r="B32" s="60" t="s">
        <v>67</v>
      </c>
      <c r="C32" s="55">
        <v>91</v>
      </c>
      <c r="D32" s="56">
        <v>3.7311902907050001E-3</v>
      </c>
      <c r="E32" s="32"/>
      <c r="F32" s="32"/>
    </row>
    <row r="33" spans="1:6" ht="16.5">
      <c r="A33" s="32"/>
      <c r="B33" s="60" t="s">
        <v>66</v>
      </c>
      <c r="C33" s="55">
        <v>86</v>
      </c>
      <c r="D33" s="56">
        <v>3.5261798351720001E-3</v>
      </c>
      <c r="E33" s="32"/>
      <c r="F33" s="32"/>
    </row>
    <row r="34" spans="1:6" ht="16.5">
      <c r="A34" s="32"/>
      <c r="B34" s="60" t="s">
        <v>69</v>
      </c>
      <c r="C34" s="55">
        <v>63</v>
      </c>
      <c r="D34" s="56">
        <v>2.5831317397189998E-3</v>
      </c>
      <c r="E34" s="32"/>
      <c r="F34" s="32"/>
    </row>
    <row r="35" spans="1:6" ht="16.5">
      <c r="A35" s="32"/>
      <c r="B35" s="60" t="s">
        <v>73</v>
      </c>
      <c r="C35" s="55">
        <v>62</v>
      </c>
      <c r="D35" s="56">
        <v>2.5421296486119998E-3</v>
      </c>
      <c r="E35" s="32"/>
      <c r="F35" s="32"/>
    </row>
    <row r="36" spans="1:6" ht="16.5">
      <c r="A36" s="32"/>
      <c r="B36" s="60" t="s">
        <v>68</v>
      </c>
      <c r="C36" s="55">
        <v>55</v>
      </c>
      <c r="D36" s="56">
        <v>2.2551150108660002E-3</v>
      </c>
      <c r="E36" s="32"/>
      <c r="F36" s="32"/>
    </row>
    <row r="37" spans="1:6" ht="16.5">
      <c r="A37" s="32"/>
      <c r="B37" s="60" t="s">
        <v>70</v>
      </c>
      <c r="C37" s="55">
        <v>52</v>
      </c>
      <c r="D37" s="56">
        <v>2.1321087375460001E-3</v>
      </c>
      <c r="E37" s="32"/>
      <c r="F37" s="32"/>
    </row>
    <row r="38" spans="1:6" ht="16.5">
      <c r="A38" s="32"/>
      <c r="B38" s="60" t="s">
        <v>72</v>
      </c>
      <c r="C38" s="55">
        <v>41</v>
      </c>
      <c r="D38" s="56">
        <v>1.681085735373E-3</v>
      </c>
      <c r="E38" s="32"/>
      <c r="F38" s="32"/>
    </row>
    <row r="39" spans="1:6" ht="16.5">
      <c r="A39" s="32"/>
      <c r="B39" s="60" t="s">
        <v>71</v>
      </c>
      <c r="C39" s="55">
        <v>40</v>
      </c>
      <c r="D39" s="56">
        <v>1.640083644266E-3</v>
      </c>
      <c r="E39" s="32"/>
      <c r="F39" s="32"/>
    </row>
    <row r="40" spans="1:6" ht="16.5">
      <c r="A40" s="32"/>
      <c r="B40" s="60" t="s">
        <v>77</v>
      </c>
      <c r="C40" s="55">
        <v>39</v>
      </c>
      <c r="D40" s="56">
        <v>1.599081553159E-3</v>
      </c>
      <c r="E40" s="32"/>
      <c r="F40" s="32"/>
    </row>
    <row r="41" spans="1:6" ht="16.5">
      <c r="A41" s="32"/>
      <c r="B41" s="60" t="s">
        <v>78</v>
      </c>
      <c r="C41" s="55">
        <v>37</v>
      </c>
      <c r="D41" s="56">
        <v>1.517077370946E-3</v>
      </c>
      <c r="E41" s="32"/>
      <c r="F41" s="32"/>
    </row>
    <row r="42" spans="1:6" ht="16.5">
      <c r="A42" s="32"/>
      <c r="B42" s="60" t="s">
        <v>81</v>
      </c>
      <c r="C42" s="55">
        <v>35</v>
      </c>
      <c r="D42" s="56">
        <v>1.435073188733E-3</v>
      </c>
      <c r="E42" s="32"/>
      <c r="F42" s="32"/>
    </row>
    <row r="43" spans="1:6" ht="16.5">
      <c r="A43" s="32"/>
      <c r="B43" s="60" t="s">
        <v>76</v>
      </c>
      <c r="C43" s="55">
        <v>34</v>
      </c>
      <c r="D43" s="56">
        <v>1.3940710976259999E-3</v>
      </c>
      <c r="E43" s="32"/>
      <c r="F43" s="32"/>
    </row>
    <row r="44" spans="1:6" ht="16.5">
      <c r="A44" s="32"/>
      <c r="B44" s="60" t="s">
        <v>80</v>
      </c>
      <c r="C44" s="55">
        <v>30</v>
      </c>
      <c r="D44" s="56">
        <v>1.2300627331990001E-3</v>
      </c>
      <c r="E44" s="32"/>
      <c r="F44" s="32"/>
    </row>
    <row r="45" spans="1:6" ht="16.5">
      <c r="A45" s="32"/>
      <c r="B45" s="60" t="s">
        <v>75</v>
      </c>
      <c r="C45" s="55">
        <v>29</v>
      </c>
      <c r="D45" s="56">
        <v>1.1890606420929999E-3</v>
      </c>
      <c r="E45" s="32"/>
      <c r="F45" s="32"/>
    </row>
    <row r="46" spans="1:6" ht="16.5">
      <c r="A46" s="32"/>
      <c r="B46" s="60" t="s">
        <v>74</v>
      </c>
      <c r="C46" s="55">
        <v>29</v>
      </c>
      <c r="D46" s="56">
        <v>1.1890606420929999E-3</v>
      </c>
      <c r="E46" s="32"/>
      <c r="F46" s="32"/>
    </row>
    <row r="47" spans="1:6" ht="16.5">
      <c r="A47" s="32"/>
      <c r="B47" s="60" t="s">
        <v>82</v>
      </c>
      <c r="C47" s="55">
        <v>27</v>
      </c>
      <c r="D47" s="56">
        <v>1.107056459879E-3</v>
      </c>
      <c r="E47" s="32"/>
      <c r="F47" s="32"/>
    </row>
    <row r="48" spans="1:6" ht="16.5">
      <c r="A48" s="32"/>
      <c r="B48" s="60" t="s">
        <v>83</v>
      </c>
      <c r="C48" s="55">
        <v>26</v>
      </c>
      <c r="D48" s="56">
        <v>1.0660543687730001E-3</v>
      </c>
      <c r="E48" s="32"/>
      <c r="F48" s="32"/>
    </row>
    <row r="49" spans="1:6" ht="16.5">
      <c r="A49" s="32"/>
      <c r="B49" s="60" t="s">
        <v>84</v>
      </c>
      <c r="C49" s="55">
        <v>24</v>
      </c>
      <c r="D49" s="56">
        <v>9.8405018656000007E-4</v>
      </c>
      <c r="E49" s="32"/>
      <c r="F49" s="32"/>
    </row>
    <row r="50" spans="1:6" ht="16.5">
      <c r="A50" s="32"/>
      <c r="B50" s="60" t="s">
        <v>86</v>
      </c>
      <c r="C50" s="55">
        <v>23</v>
      </c>
      <c r="D50" s="56">
        <v>9.4304809545300004E-4</v>
      </c>
      <c r="E50" s="32"/>
      <c r="F50" s="32"/>
    </row>
    <row r="51" spans="1:6" ht="16.5">
      <c r="A51" s="32"/>
      <c r="B51" s="60" t="s">
        <v>79</v>
      </c>
      <c r="C51" s="55">
        <v>23</v>
      </c>
      <c r="D51" s="56">
        <v>9.4304809545300004E-4</v>
      </c>
      <c r="E51" s="32"/>
      <c r="F51" s="32"/>
    </row>
    <row r="52" spans="1:6" ht="16.5">
      <c r="A52" s="32"/>
      <c r="B52" s="60" t="s">
        <v>89</v>
      </c>
      <c r="C52" s="55">
        <v>17</v>
      </c>
      <c r="D52" s="56">
        <v>6.9703554881299997E-4</v>
      </c>
      <c r="E52" s="32"/>
      <c r="F52" s="32"/>
    </row>
    <row r="53" spans="1:6" ht="16.5">
      <c r="A53" s="32"/>
      <c r="B53" s="60" t="s">
        <v>85</v>
      </c>
      <c r="C53" s="55">
        <v>15</v>
      </c>
      <c r="D53" s="56">
        <v>6.1503136659999996E-4</v>
      </c>
      <c r="E53" s="32"/>
      <c r="F53" s="32"/>
    </row>
    <row r="54" spans="1:6" ht="16.5">
      <c r="A54" s="32"/>
      <c r="B54" s="60" t="s">
        <v>87</v>
      </c>
      <c r="C54" s="55">
        <v>14</v>
      </c>
      <c r="D54" s="56">
        <v>5.7402927549300004E-4</v>
      </c>
      <c r="E54" s="32"/>
      <c r="F54" s="32"/>
    </row>
    <row r="55" spans="1:6" ht="16.5">
      <c r="A55" s="32"/>
      <c r="B55" s="60" t="s">
        <v>88</v>
      </c>
      <c r="C55" s="55">
        <v>12</v>
      </c>
      <c r="D55" s="56">
        <v>4.9202509328000004E-4</v>
      </c>
      <c r="E55" s="32"/>
      <c r="F55" s="32"/>
    </row>
    <row r="56" spans="1:6" ht="16.5">
      <c r="A56" s="32"/>
      <c r="B56" s="60" t="s">
        <v>91</v>
      </c>
      <c r="C56" s="55">
        <v>11</v>
      </c>
      <c r="D56" s="56">
        <v>4.51023002173E-4</v>
      </c>
      <c r="E56" s="32"/>
      <c r="F56" s="32"/>
    </row>
    <row r="57" spans="1:6" ht="16.5">
      <c r="A57" s="32"/>
      <c r="B57" s="60" t="s">
        <v>90</v>
      </c>
      <c r="C57" s="55">
        <v>9</v>
      </c>
      <c r="D57" s="56">
        <v>3.6901881996E-4</v>
      </c>
      <c r="E57" s="32"/>
      <c r="F57" s="32"/>
    </row>
    <row r="58" spans="1:6" ht="16.5">
      <c r="A58" s="32"/>
      <c r="B58" s="60" t="s">
        <v>92</v>
      </c>
      <c r="C58" s="55">
        <v>6</v>
      </c>
      <c r="D58" s="56">
        <v>2.4601254664000002E-4</v>
      </c>
      <c r="E58" s="32"/>
      <c r="F58" s="32"/>
    </row>
    <row r="59" spans="1:6" ht="16.5">
      <c r="A59" s="32"/>
      <c r="B59" s="60" t="s">
        <v>93</v>
      </c>
      <c r="C59" s="55">
        <v>4</v>
      </c>
      <c r="D59" s="56">
        <v>1.6400836442699999E-4</v>
      </c>
      <c r="E59" s="32"/>
      <c r="F59" s="32"/>
    </row>
    <row r="60" spans="1:6" ht="16.5">
      <c r="A60" s="32"/>
      <c r="B60" s="60" t="s">
        <v>94</v>
      </c>
      <c r="C60" s="55">
        <v>2</v>
      </c>
      <c r="D60" s="56">
        <v>8.2004182213000001E-5</v>
      </c>
      <c r="E60" s="32"/>
      <c r="F60" s="32"/>
    </row>
    <row r="61" spans="1:6" ht="16.5">
      <c r="A61" s="32"/>
      <c r="B61" s="60" t="s">
        <v>95</v>
      </c>
      <c r="C61" s="55">
        <v>1</v>
      </c>
      <c r="D61" s="56">
        <v>4.1002091107000001E-5</v>
      </c>
      <c r="E61" s="32"/>
      <c r="F61" s="32"/>
    </row>
    <row r="62" spans="1:6" ht="16.5">
      <c r="A62" s="32"/>
      <c r="B62" s="61" t="s">
        <v>305</v>
      </c>
      <c r="C62" s="58">
        <v>24389</v>
      </c>
      <c r="D62" s="59">
        <v>1</v>
      </c>
      <c r="E62" s="32"/>
      <c r="F62" s="32"/>
    </row>
    <row r="63" spans="1:6" ht="16.5">
      <c r="A63" s="32"/>
      <c r="B63" s="32"/>
      <c r="C63" s="34"/>
      <c r="D63" s="32"/>
      <c r="E63" s="32"/>
      <c r="F63" s="32"/>
    </row>
    <row r="64" spans="1:6" ht="16.5">
      <c r="A64" s="32"/>
      <c r="B64" s="35" t="s">
        <v>275</v>
      </c>
      <c r="C64" s="34"/>
      <c r="D64" s="32"/>
      <c r="E64" s="32"/>
      <c r="F64" s="32"/>
    </row>
    <row r="65" spans="1:6" ht="16.5">
      <c r="A65" s="32"/>
      <c r="B65" s="36" t="s">
        <v>18</v>
      </c>
      <c r="C65" s="34"/>
      <c r="D65" s="32"/>
      <c r="E65" s="32"/>
      <c r="F65" s="32"/>
    </row>
    <row r="66" spans="1:6" ht="16.5">
      <c r="A66" s="32"/>
      <c r="B66" s="33" t="s">
        <v>45</v>
      </c>
      <c r="C66" s="34"/>
      <c r="D66" s="32"/>
      <c r="E66" s="32"/>
      <c r="F66" s="32"/>
    </row>
    <row r="67" spans="1:6" ht="16.5">
      <c r="A67" s="32"/>
      <c r="B67" s="35" t="s">
        <v>17</v>
      </c>
      <c r="C67" s="34"/>
      <c r="D67" s="32"/>
      <c r="E67" s="32"/>
      <c r="F67" s="32"/>
    </row>
    <row r="68" spans="1:6" ht="16.5">
      <c r="A68" s="32"/>
      <c r="B68" s="35" t="s">
        <v>308</v>
      </c>
      <c r="C68" s="34"/>
      <c r="D68" s="32"/>
      <c r="E68" s="32"/>
      <c r="F68" s="3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F29"/>
  <sheetViews>
    <sheetView showGridLines="0" view="pageBreakPreview" topLeftCell="A14" zoomScaleNormal="100" zoomScaleSheetLayoutView="100" workbookViewId="0">
      <selection activeCell="D17" sqref="D17"/>
    </sheetView>
  </sheetViews>
  <sheetFormatPr baseColWidth="10" defaultColWidth="11.42578125" defaultRowHeight="15"/>
  <cols>
    <col min="1" max="1" width="9.28515625" style="10" customWidth="1"/>
    <col min="2" max="2" width="21.7109375" style="10" customWidth="1"/>
    <col min="3" max="3" width="17.7109375" style="11" customWidth="1"/>
    <col min="4" max="4" width="17.7109375" style="10" customWidth="1"/>
    <col min="5" max="5" width="9.28515625" style="10" customWidth="1"/>
    <col min="6" max="6" width="5.7109375" style="10" customWidth="1"/>
    <col min="7" max="16384" width="11.42578125" style="10"/>
  </cols>
  <sheetData>
    <row r="1" spans="1:6" s="12" customFormat="1" ht="15" customHeight="1">
      <c r="C1" s="14"/>
    </row>
    <row r="2" spans="1:6" s="12" customFormat="1" ht="15" customHeight="1">
      <c r="C2" s="14"/>
    </row>
    <row r="3" spans="1:6" s="12" customFormat="1" ht="15" customHeight="1">
      <c r="C3" s="14"/>
    </row>
    <row r="4" spans="1:6" s="12" customFormat="1" ht="30" customHeight="1">
      <c r="C4" s="14"/>
      <c r="D4" s="13"/>
    </row>
    <row r="5" spans="1:6" s="12" customFormat="1" ht="15" customHeight="1">
      <c r="C5" s="14"/>
      <c r="D5" s="13"/>
    </row>
    <row r="6" spans="1:6" s="12" customFormat="1" ht="15" customHeight="1">
      <c r="C6" s="14"/>
      <c r="D6" s="13"/>
    </row>
    <row r="7" spans="1:6" s="12" customFormat="1" ht="15" customHeight="1">
      <c r="A7" s="30"/>
      <c r="B7" s="101" t="s">
        <v>42</v>
      </c>
      <c r="C7" s="101"/>
      <c r="D7" s="101"/>
      <c r="E7" s="30"/>
      <c r="F7" s="30"/>
    </row>
    <row r="8" spans="1:6" s="12" customFormat="1" ht="15" customHeight="1">
      <c r="A8" s="30"/>
      <c r="B8" s="101"/>
      <c r="C8" s="101"/>
      <c r="D8" s="101"/>
      <c r="E8" s="30"/>
      <c r="F8" s="30"/>
    </row>
    <row r="9" spans="1:6" s="12" customFormat="1" ht="33" customHeight="1">
      <c r="A9" s="30"/>
      <c r="B9" s="101"/>
      <c r="C9" s="101"/>
      <c r="D9" s="101"/>
      <c r="E9" s="30"/>
      <c r="F9" s="30"/>
    </row>
    <row r="10" spans="1:6" s="12" customFormat="1" ht="4.5" customHeight="1">
      <c r="A10" s="30"/>
      <c r="B10" s="31"/>
      <c r="C10" s="31"/>
      <c r="D10" s="31"/>
      <c r="E10" s="30"/>
      <c r="F10" s="30"/>
    </row>
    <row r="11" spans="1:6" s="12" customFormat="1" ht="33" customHeight="1">
      <c r="A11" s="30"/>
      <c r="B11" s="48" t="s">
        <v>22</v>
      </c>
      <c r="C11" s="47" t="s">
        <v>20</v>
      </c>
      <c r="D11" s="48" t="s">
        <v>19</v>
      </c>
      <c r="E11" s="30"/>
      <c r="F11" s="30"/>
    </row>
    <row r="12" spans="1:6" ht="16.5">
      <c r="A12" s="32"/>
      <c r="B12" s="60" t="s">
        <v>47</v>
      </c>
      <c r="C12" s="55">
        <v>5923</v>
      </c>
      <c r="D12" s="56">
        <f>C12/$C$22</f>
        <v>0.28096390114320952</v>
      </c>
      <c r="E12" s="32"/>
      <c r="F12" s="32"/>
    </row>
    <row r="13" spans="1:6" ht="16.5">
      <c r="A13" s="32"/>
      <c r="B13" s="60" t="s">
        <v>46</v>
      </c>
      <c r="C13" s="55">
        <v>5611</v>
      </c>
      <c r="D13" s="56">
        <f t="shared" ref="D13:D21" si="0">C13/$C$22</f>
        <v>0.26616384421991368</v>
      </c>
      <c r="E13" s="32"/>
      <c r="F13" s="32"/>
    </row>
    <row r="14" spans="1:6" ht="16.5">
      <c r="A14" s="32"/>
      <c r="B14" s="60" t="s">
        <v>48</v>
      </c>
      <c r="C14" s="55">
        <v>3039</v>
      </c>
      <c r="D14" s="56">
        <f t="shared" si="0"/>
        <v>0.14415824676248754</v>
      </c>
      <c r="E14" s="32"/>
      <c r="F14" s="32"/>
    </row>
    <row r="15" spans="1:6" ht="16.5">
      <c r="A15" s="32"/>
      <c r="B15" s="60" t="s">
        <v>49</v>
      </c>
      <c r="C15" s="55">
        <v>2184</v>
      </c>
      <c r="D15" s="56">
        <f t="shared" si="0"/>
        <v>0.10360039846307101</v>
      </c>
      <c r="E15" s="32"/>
      <c r="F15" s="32"/>
    </row>
    <row r="16" spans="1:6" ht="16.5">
      <c r="A16" s="32"/>
      <c r="B16" s="60" t="s">
        <v>50</v>
      </c>
      <c r="C16" s="55">
        <v>1121</v>
      </c>
      <c r="D16" s="56">
        <f t="shared" si="0"/>
        <v>5.31758455481239E-2</v>
      </c>
      <c r="E16" s="32"/>
      <c r="F16" s="32"/>
    </row>
    <row r="17" spans="1:6" ht="16.5">
      <c r="A17" s="32"/>
      <c r="B17" s="60" t="s">
        <v>51</v>
      </c>
      <c r="C17" s="55">
        <v>872</v>
      </c>
      <c r="D17" s="56">
        <f t="shared" si="0"/>
        <v>4.1364261657416634E-2</v>
      </c>
      <c r="E17" s="32"/>
      <c r="F17" s="32"/>
    </row>
    <row r="18" spans="1:6" ht="16.5">
      <c r="A18" s="32"/>
      <c r="B18" s="60" t="s">
        <v>52</v>
      </c>
      <c r="C18" s="55">
        <v>645</v>
      </c>
      <c r="D18" s="56">
        <f t="shared" si="0"/>
        <v>3.0596271524121248E-2</v>
      </c>
      <c r="E18" s="32"/>
      <c r="F18" s="32"/>
    </row>
    <row r="19" spans="1:6" ht="16.5">
      <c r="A19" s="32"/>
      <c r="B19" s="60" t="s">
        <v>54</v>
      </c>
      <c r="C19" s="55">
        <v>625</v>
      </c>
      <c r="D19" s="56">
        <f t="shared" si="0"/>
        <v>2.9647549926474077E-2</v>
      </c>
      <c r="E19" s="32"/>
      <c r="F19" s="32"/>
    </row>
    <row r="20" spans="1:6" ht="16.5">
      <c r="A20" s="32"/>
      <c r="B20" s="60" t="s">
        <v>53</v>
      </c>
      <c r="C20" s="55">
        <v>555</v>
      </c>
      <c r="D20" s="56">
        <f t="shared" si="0"/>
        <v>2.632702433470898E-2</v>
      </c>
      <c r="E20" s="32"/>
      <c r="F20" s="32"/>
    </row>
    <row r="21" spans="1:6" ht="16.5">
      <c r="A21" s="32"/>
      <c r="B21" s="60" t="s">
        <v>56</v>
      </c>
      <c r="C21" s="55">
        <v>506</v>
      </c>
      <c r="D21" s="56">
        <f t="shared" si="0"/>
        <v>2.4002656420473414E-2</v>
      </c>
      <c r="E21" s="32"/>
      <c r="F21" s="32"/>
    </row>
    <row r="22" spans="1:6" ht="16.5">
      <c r="A22" s="32"/>
      <c r="B22" s="63" t="s">
        <v>43</v>
      </c>
      <c r="C22" s="64">
        <f>SUM(C12:C21)</f>
        <v>21081</v>
      </c>
      <c r="D22" s="65">
        <f t="shared" ref="D22" si="1">C22/$C$22</f>
        <v>1</v>
      </c>
      <c r="E22" s="32"/>
      <c r="F22" s="32"/>
    </row>
    <row r="23" spans="1:6" ht="16.5">
      <c r="A23" s="32"/>
      <c r="B23" s="37" t="s">
        <v>44</v>
      </c>
      <c r="C23" s="38">
        <v>24389</v>
      </c>
      <c r="D23" s="62"/>
      <c r="E23" s="32"/>
      <c r="F23" s="32"/>
    </row>
    <row r="24" spans="1:6" ht="16.5">
      <c r="A24" s="32"/>
      <c r="B24" s="35"/>
      <c r="C24" s="34"/>
      <c r="D24" s="32"/>
      <c r="E24" s="32"/>
      <c r="F24" s="32"/>
    </row>
    <row r="25" spans="1:6" ht="16.5">
      <c r="A25" s="32"/>
      <c r="B25" s="35" t="s">
        <v>275</v>
      </c>
      <c r="C25" s="34"/>
      <c r="D25" s="32"/>
      <c r="E25" s="32"/>
      <c r="F25" s="32"/>
    </row>
    <row r="26" spans="1:6" ht="16.5">
      <c r="A26" s="32"/>
      <c r="B26" s="36" t="s">
        <v>18</v>
      </c>
      <c r="C26" s="34"/>
      <c r="D26" s="32"/>
      <c r="E26" s="32"/>
      <c r="F26" s="32"/>
    </row>
    <row r="27" spans="1:6" ht="16.5">
      <c r="A27" s="32"/>
      <c r="B27" s="33" t="s">
        <v>45</v>
      </c>
      <c r="C27" s="34"/>
      <c r="D27" s="32"/>
      <c r="E27" s="32"/>
      <c r="F27" s="32"/>
    </row>
    <row r="28" spans="1:6" ht="16.5">
      <c r="A28" s="32"/>
      <c r="B28" s="35" t="s">
        <v>17</v>
      </c>
      <c r="C28" s="34"/>
      <c r="D28" s="32"/>
      <c r="E28" s="32"/>
      <c r="F28" s="32"/>
    </row>
    <row r="29" spans="1:6" ht="16.5">
      <c r="A29" s="32"/>
      <c r="B29" s="35" t="s">
        <v>308</v>
      </c>
      <c r="C29" s="34"/>
      <c r="D29" s="32"/>
      <c r="E29" s="32"/>
      <c r="F29" s="3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F62"/>
  <sheetViews>
    <sheetView showGridLines="0" view="pageBreakPreview" topLeftCell="A41" zoomScale="90" zoomScaleNormal="100" zoomScaleSheetLayoutView="90" workbookViewId="0">
      <selection activeCell="C56" sqref="C56"/>
    </sheetView>
  </sheetViews>
  <sheetFormatPr baseColWidth="10" defaultColWidth="11.42578125" defaultRowHeight="15"/>
  <cols>
    <col min="1" max="1" width="9.28515625" style="10" customWidth="1"/>
    <col min="2" max="2" width="38.42578125" style="10" customWidth="1"/>
    <col min="3" max="3" width="17.7109375" style="11" customWidth="1"/>
    <col min="4" max="4" width="17.7109375" style="10" customWidth="1"/>
    <col min="5" max="5" width="9.28515625" style="10" customWidth="1"/>
    <col min="6" max="6" width="3.42578125" style="10" customWidth="1"/>
    <col min="7" max="16384" width="11.42578125" style="10"/>
  </cols>
  <sheetData>
    <row r="1" spans="1:6" s="12" customFormat="1" ht="15" customHeight="1">
      <c r="C1" s="14"/>
    </row>
    <row r="2" spans="1:6" s="12" customFormat="1" ht="15" customHeight="1">
      <c r="C2" s="14"/>
    </row>
    <row r="3" spans="1:6" s="12" customFormat="1" ht="15" customHeight="1">
      <c r="C3" s="14"/>
    </row>
    <row r="4" spans="1:6" s="12" customFormat="1" ht="30" customHeight="1">
      <c r="C4" s="14"/>
      <c r="D4" s="13"/>
    </row>
    <row r="5" spans="1:6" s="12" customFormat="1" ht="15" customHeight="1">
      <c r="C5" s="14"/>
      <c r="D5" s="13"/>
    </row>
    <row r="6" spans="1:6" s="12" customFormat="1" ht="15" customHeight="1">
      <c r="C6" s="14"/>
      <c r="D6" s="13"/>
    </row>
    <row r="7" spans="1:6" s="12" customFormat="1" ht="15" customHeight="1">
      <c r="A7" s="30"/>
      <c r="B7" s="101" t="s">
        <v>40</v>
      </c>
      <c r="C7" s="101"/>
      <c r="D7" s="101"/>
      <c r="E7" s="30"/>
      <c r="F7" s="30"/>
    </row>
    <row r="8" spans="1:6" s="12" customFormat="1" ht="15" customHeight="1">
      <c r="A8" s="30"/>
      <c r="B8" s="101"/>
      <c r="C8" s="101"/>
      <c r="D8" s="101"/>
      <c r="E8" s="30"/>
      <c r="F8" s="30"/>
    </row>
    <row r="9" spans="1:6" s="12" customFormat="1" ht="33" customHeight="1">
      <c r="A9" s="30"/>
      <c r="B9" s="101"/>
      <c r="C9" s="101"/>
      <c r="D9" s="101"/>
      <c r="E9" s="39"/>
      <c r="F9" s="30"/>
    </row>
    <row r="10" spans="1:6" s="12" customFormat="1" ht="4.5" customHeight="1">
      <c r="A10" s="30"/>
      <c r="B10" s="31"/>
      <c r="C10" s="31"/>
      <c r="D10" s="31"/>
      <c r="E10" s="30"/>
      <c r="F10" s="30"/>
    </row>
    <row r="11" spans="1:6" s="12" customFormat="1" ht="33" customHeight="1">
      <c r="A11" s="30"/>
      <c r="B11" s="48" t="s">
        <v>23</v>
      </c>
      <c r="C11" s="47" t="s">
        <v>20</v>
      </c>
      <c r="D11" s="48" t="s">
        <v>19</v>
      </c>
      <c r="E11" s="30"/>
      <c r="F11" s="30"/>
    </row>
    <row r="12" spans="1:6" ht="16.5">
      <c r="A12" s="32"/>
      <c r="B12" s="54" t="s">
        <v>180</v>
      </c>
      <c r="C12" s="67">
        <v>4451</v>
      </c>
      <c r="D12" s="68">
        <v>0.183</v>
      </c>
      <c r="E12" s="32"/>
      <c r="F12" s="32"/>
    </row>
    <row r="13" spans="1:6" ht="16.5">
      <c r="A13" s="32"/>
      <c r="B13" s="54" t="s">
        <v>185</v>
      </c>
      <c r="C13" s="67">
        <v>3946</v>
      </c>
      <c r="D13" s="68">
        <v>0.16200000000000001</v>
      </c>
      <c r="E13" s="32"/>
      <c r="F13" s="32"/>
    </row>
    <row r="14" spans="1:6" ht="16.5">
      <c r="A14" s="32"/>
      <c r="B14" s="54" t="s">
        <v>182</v>
      </c>
      <c r="C14" s="67">
        <v>2523</v>
      </c>
      <c r="D14" s="68">
        <v>0.10299999999999999</v>
      </c>
      <c r="E14" s="32"/>
      <c r="F14" s="32"/>
    </row>
    <row r="15" spans="1:6" ht="16.5">
      <c r="A15" s="32"/>
      <c r="B15" s="54" t="s">
        <v>176</v>
      </c>
      <c r="C15" s="67">
        <v>1807</v>
      </c>
      <c r="D15" s="68">
        <v>7.3999999999999996E-2</v>
      </c>
      <c r="E15" s="32"/>
      <c r="F15" s="32"/>
    </row>
    <row r="16" spans="1:6" ht="16.5">
      <c r="A16" s="32"/>
      <c r="B16" s="54" t="s">
        <v>189</v>
      </c>
      <c r="C16" s="67">
        <v>1538</v>
      </c>
      <c r="D16" s="68">
        <v>6.3E-2</v>
      </c>
      <c r="E16" s="32"/>
      <c r="F16" s="32"/>
    </row>
    <row r="17" spans="1:6" ht="16.5">
      <c r="A17" s="32"/>
      <c r="B17" s="54" t="s">
        <v>186</v>
      </c>
      <c r="C17" s="67">
        <v>1347</v>
      </c>
      <c r="D17" s="68">
        <v>5.5E-2</v>
      </c>
      <c r="E17" s="32"/>
      <c r="F17" s="32"/>
    </row>
    <row r="18" spans="1:6" ht="16.5">
      <c r="A18" s="32"/>
      <c r="B18" s="54" t="s">
        <v>191</v>
      </c>
      <c r="C18" s="67">
        <v>1017</v>
      </c>
      <c r="D18" s="68">
        <v>4.2000000000000003E-2</v>
      </c>
      <c r="E18" s="32"/>
      <c r="F18" s="32"/>
    </row>
    <row r="19" spans="1:6" ht="16.5">
      <c r="A19" s="32"/>
      <c r="B19" s="54" t="s">
        <v>192</v>
      </c>
      <c r="C19" s="67">
        <v>1003</v>
      </c>
      <c r="D19" s="68">
        <v>4.1000000000000002E-2</v>
      </c>
      <c r="E19" s="32"/>
      <c r="F19" s="32"/>
    </row>
    <row r="20" spans="1:6" ht="16.5">
      <c r="A20" s="32"/>
      <c r="B20" s="54" t="s">
        <v>174</v>
      </c>
      <c r="C20" s="69">
        <v>961</v>
      </c>
      <c r="D20" s="68">
        <v>3.9E-2</v>
      </c>
      <c r="E20" s="32"/>
      <c r="F20" s="32"/>
    </row>
    <row r="21" spans="1:6" ht="16.5">
      <c r="A21" s="32"/>
      <c r="B21" s="54" t="s">
        <v>187</v>
      </c>
      <c r="C21" s="69">
        <v>820</v>
      </c>
      <c r="D21" s="68">
        <v>3.4000000000000002E-2</v>
      </c>
      <c r="E21" s="32"/>
      <c r="F21" s="32"/>
    </row>
    <row r="22" spans="1:6" ht="16.5">
      <c r="A22" s="32"/>
      <c r="B22" s="54" t="s">
        <v>190</v>
      </c>
      <c r="C22" s="69">
        <v>818</v>
      </c>
      <c r="D22" s="68">
        <v>3.4000000000000002E-2</v>
      </c>
      <c r="E22" s="32"/>
      <c r="F22" s="32"/>
    </row>
    <row r="23" spans="1:6" ht="16.5">
      <c r="A23" s="32"/>
      <c r="B23" s="54" t="s">
        <v>177</v>
      </c>
      <c r="C23" s="69">
        <v>478</v>
      </c>
      <c r="D23" s="68">
        <v>0.02</v>
      </c>
      <c r="E23" s="32"/>
      <c r="F23" s="32"/>
    </row>
    <row r="24" spans="1:6" ht="16.5">
      <c r="A24" s="32"/>
      <c r="B24" s="54" t="s">
        <v>181</v>
      </c>
      <c r="C24" s="69">
        <v>389</v>
      </c>
      <c r="D24" s="68">
        <v>1.6E-2</v>
      </c>
      <c r="E24" s="32"/>
      <c r="F24" s="32"/>
    </row>
    <row r="25" spans="1:6" ht="16.5">
      <c r="A25" s="32"/>
      <c r="B25" s="54" t="s">
        <v>188</v>
      </c>
      <c r="C25" s="69">
        <v>298</v>
      </c>
      <c r="D25" s="68">
        <v>1.2E-2</v>
      </c>
      <c r="E25" s="32"/>
      <c r="F25" s="32"/>
    </row>
    <row r="26" spans="1:6" ht="16.5">
      <c r="A26" s="32"/>
      <c r="B26" s="54" t="s">
        <v>171</v>
      </c>
      <c r="C26" s="69">
        <v>285</v>
      </c>
      <c r="D26" s="68">
        <v>1.2E-2</v>
      </c>
      <c r="E26" s="32"/>
      <c r="F26" s="32"/>
    </row>
    <row r="27" spans="1:6" ht="16.5">
      <c r="A27" s="32"/>
      <c r="B27" s="54" t="s">
        <v>194</v>
      </c>
      <c r="C27" s="69">
        <v>281</v>
      </c>
      <c r="D27" s="68">
        <v>1.2E-2</v>
      </c>
      <c r="E27" s="32"/>
      <c r="F27" s="32"/>
    </row>
    <row r="28" spans="1:6" ht="16.5">
      <c r="A28" s="32"/>
      <c r="B28" s="54" t="s">
        <v>170</v>
      </c>
      <c r="C28" s="69">
        <v>259</v>
      </c>
      <c r="D28" s="68">
        <v>1.0999999999999999E-2</v>
      </c>
      <c r="E28" s="32"/>
      <c r="F28" s="32"/>
    </row>
    <row r="29" spans="1:6" ht="16.5">
      <c r="A29" s="32"/>
      <c r="B29" s="54" t="s">
        <v>197</v>
      </c>
      <c r="C29" s="69">
        <v>220</v>
      </c>
      <c r="D29" s="68">
        <v>8.9999999999999993E-3</v>
      </c>
      <c r="E29" s="32"/>
      <c r="F29" s="32"/>
    </row>
    <row r="30" spans="1:6" ht="16.5">
      <c r="A30" s="32"/>
      <c r="B30" s="54" t="s">
        <v>184</v>
      </c>
      <c r="C30" s="69">
        <v>207</v>
      </c>
      <c r="D30" s="68">
        <v>8.0000000000000002E-3</v>
      </c>
      <c r="E30" s="32"/>
      <c r="F30" s="32"/>
    </row>
    <row r="31" spans="1:6" ht="16.5">
      <c r="A31" s="32"/>
      <c r="B31" s="54" t="s">
        <v>169</v>
      </c>
      <c r="C31" s="69">
        <v>154</v>
      </c>
      <c r="D31" s="68">
        <v>6.0000000000000001E-3</v>
      </c>
      <c r="E31" s="32"/>
      <c r="F31" s="32"/>
    </row>
    <row r="32" spans="1:6" ht="16.5">
      <c r="A32" s="32"/>
      <c r="B32" s="54" t="s">
        <v>179</v>
      </c>
      <c r="C32" s="69">
        <v>150</v>
      </c>
      <c r="D32" s="68">
        <v>6.0000000000000001E-3</v>
      </c>
      <c r="E32" s="32"/>
      <c r="F32" s="32"/>
    </row>
    <row r="33" spans="1:6" ht="16.5">
      <c r="A33" s="32"/>
      <c r="B33" s="54" t="s">
        <v>193</v>
      </c>
      <c r="C33" s="69">
        <v>150</v>
      </c>
      <c r="D33" s="68">
        <v>6.0000000000000001E-3</v>
      </c>
      <c r="E33" s="32"/>
      <c r="F33" s="32"/>
    </row>
    <row r="34" spans="1:6" ht="16.5">
      <c r="A34" s="32"/>
      <c r="B34" s="54" t="s">
        <v>204</v>
      </c>
      <c r="C34" s="69">
        <v>134</v>
      </c>
      <c r="D34" s="68">
        <v>5.0000000000000001E-3</v>
      </c>
      <c r="E34" s="32"/>
      <c r="F34" s="32"/>
    </row>
    <row r="35" spans="1:6" ht="16.5">
      <c r="A35" s="32"/>
      <c r="B35" s="54" t="s">
        <v>173</v>
      </c>
      <c r="C35" s="69">
        <v>124</v>
      </c>
      <c r="D35" s="68">
        <v>5.0000000000000001E-3</v>
      </c>
      <c r="E35" s="32"/>
      <c r="F35" s="32"/>
    </row>
    <row r="36" spans="1:6" ht="16.5">
      <c r="A36" s="32"/>
      <c r="B36" s="54" t="s">
        <v>172</v>
      </c>
      <c r="C36" s="69">
        <v>121</v>
      </c>
      <c r="D36" s="68">
        <v>5.0000000000000001E-3</v>
      </c>
      <c r="E36" s="32"/>
      <c r="F36" s="32"/>
    </row>
    <row r="37" spans="1:6" ht="16.5">
      <c r="A37" s="32"/>
      <c r="B37" s="54" t="s">
        <v>178</v>
      </c>
      <c r="C37" s="69">
        <v>104</v>
      </c>
      <c r="D37" s="68">
        <v>4.0000000000000001E-3</v>
      </c>
      <c r="E37" s="32"/>
      <c r="F37" s="32"/>
    </row>
    <row r="38" spans="1:6" ht="16.5">
      <c r="A38" s="32"/>
      <c r="B38" s="54" t="s">
        <v>200</v>
      </c>
      <c r="C38" s="69">
        <v>90</v>
      </c>
      <c r="D38" s="68">
        <v>4.0000000000000001E-3</v>
      </c>
      <c r="E38" s="32"/>
      <c r="F38" s="32"/>
    </row>
    <row r="39" spans="1:6" ht="16.5">
      <c r="A39" s="32"/>
      <c r="B39" s="54" t="s">
        <v>201</v>
      </c>
      <c r="C39" s="69">
        <v>85</v>
      </c>
      <c r="D39" s="68">
        <v>3.0000000000000001E-3</v>
      </c>
      <c r="E39" s="32"/>
      <c r="F39" s="32"/>
    </row>
    <row r="40" spans="1:6" ht="16.5">
      <c r="A40" s="32"/>
      <c r="B40" s="54" t="s">
        <v>206</v>
      </c>
      <c r="C40" s="69">
        <v>79</v>
      </c>
      <c r="D40" s="68">
        <v>3.0000000000000001E-3</v>
      </c>
      <c r="E40" s="32"/>
      <c r="F40" s="32"/>
    </row>
    <row r="41" spans="1:6" ht="16.5">
      <c r="A41" s="32"/>
      <c r="B41" s="54" t="s">
        <v>207</v>
      </c>
      <c r="C41" s="69">
        <v>76</v>
      </c>
      <c r="D41" s="68">
        <v>3.0000000000000001E-3</v>
      </c>
      <c r="E41" s="32"/>
      <c r="F41" s="32"/>
    </row>
    <row r="42" spans="1:6" ht="16.5">
      <c r="A42" s="32"/>
      <c r="B42" s="54" t="s">
        <v>196</v>
      </c>
      <c r="C42" s="69">
        <v>65</v>
      </c>
      <c r="D42" s="68">
        <v>3.0000000000000001E-3</v>
      </c>
      <c r="E42" s="32"/>
      <c r="F42" s="32"/>
    </row>
    <row r="43" spans="1:6" ht="16.5">
      <c r="A43" s="32"/>
      <c r="B43" s="54" t="s">
        <v>195</v>
      </c>
      <c r="C43" s="69">
        <v>57</v>
      </c>
      <c r="D43" s="68">
        <v>2E-3</v>
      </c>
      <c r="E43" s="32"/>
      <c r="F43" s="32"/>
    </row>
    <row r="44" spans="1:6" ht="16.5">
      <c r="A44" s="32"/>
      <c r="B44" s="54" t="s">
        <v>278</v>
      </c>
      <c r="C44" s="69">
        <v>50</v>
      </c>
      <c r="D44" s="68">
        <v>2E-3</v>
      </c>
      <c r="E44" s="32"/>
      <c r="F44" s="32"/>
    </row>
    <row r="45" spans="1:6" ht="16.5">
      <c r="A45" s="32"/>
      <c r="B45" s="54" t="s">
        <v>203</v>
      </c>
      <c r="C45" s="69">
        <v>47</v>
      </c>
      <c r="D45" s="68">
        <v>2E-3</v>
      </c>
      <c r="E45" s="32"/>
      <c r="F45" s="32"/>
    </row>
    <row r="46" spans="1:6" ht="16.5">
      <c r="A46" s="32"/>
      <c r="B46" s="54" t="s">
        <v>199</v>
      </c>
      <c r="C46" s="69">
        <v>46</v>
      </c>
      <c r="D46" s="68">
        <v>2E-3</v>
      </c>
      <c r="E46" s="32"/>
      <c r="F46" s="32"/>
    </row>
    <row r="47" spans="1:6" ht="16.5">
      <c r="A47" s="32"/>
      <c r="B47" s="54" t="s">
        <v>205</v>
      </c>
      <c r="C47" s="69">
        <v>28</v>
      </c>
      <c r="D47" s="68">
        <v>1E-3</v>
      </c>
      <c r="E47" s="32"/>
      <c r="F47" s="32"/>
    </row>
    <row r="48" spans="1:6" ht="16.5">
      <c r="A48" s="32"/>
      <c r="B48" s="54" t="s">
        <v>202</v>
      </c>
      <c r="C48" s="69">
        <v>28</v>
      </c>
      <c r="D48" s="68">
        <v>1E-3</v>
      </c>
      <c r="E48" s="32"/>
      <c r="F48" s="32"/>
    </row>
    <row r="49" spans="1:6" ht="16.5">
      <c r="A49" s="32"/>
      <c r="B49" s="54" t="s">
        <v>208</v>
      </c>
      <c r="C49" s="69">
        <v>27</v>
      </c>
      <c r="D49" s="68">
        <v>1E-3</v>
      </c>
      <c r="E49" s="32"/>
      <c r="F49" s="32"/>
    </row>
    <row r="50" spans="1:6" ht="16.5">
      <c r="A50" s="32"/>
      <c r="B50" s="54" t="s">
        <v>210</v>
      </c>
      <c r="C50" s="69">
        <v>27</v>
      </c>
      <c r="D50" s="68">
        <v>1E-3</v>
      </c>
      <c r="E50" s="32"/>
      <c r="F50" s="32"/>
    </row>
    <row r="51" spans="1:6" ht="16.5">
      <c r="A51" s="32"/>
      <c r="B51" s="54" t="s">
        <v>198</v>
      </c>
      <c r="C51" s="69">
        <v>27</v>
      </c>
      <c r="D51" s="68">
        <v>1E-3</v>
      </c>
      <c r="E51" s="32"/>
      <c r="F51" s="32"/>
    </row>
    <row r="52" spans="1:6" ht="16.5">
      <c r="A52" s="32"/>
      <c r="B52" s="54" t="s">
        <v>209</v>
      </c>
      <c r="C52" s="69">
        <v>24</v>
      </c>
      <c r="D52" s="68">
        <v>1E-3</v>
      </c>
      <c r="E52" s="32"/>
      <c r="F52" s="32"/>
    </row>
    <row r="53" spans="1:6" ht="16.5">
      <c r="A53" s="32"/>
      <c r="B53" s="54" t="s">
        <v>175</v>
      </c>
      <c r="C53" s="69">
        <v>20</v>
      </c>
      <c r="D53" s="68">
        <v>1E-3</v>
      </c>
      <c r="E53" s="32"/>
      <c r="F53" s="32"/>
    </row>
    <row r="54" spans="1:6" ht="16.5">
      <c r="A54" s="32"/>
      <c r="B54" s="54" t="s">
        <v>183</v>
      </c>
      <c r="C54" s="69">
        <v>20</v>
      </c>
      <c r="D54" s="68">
        <v>1E-3</v>
      </c>
      <c r="E54" s="32"/>
      <c r="F54" s="32"/>
    </row>
    <row r="55" spans="1:6" ht="16.5">
      <c r="A55" s="32"/>
      <c r="B55" s="54" t="s">
        <v>211</v>
      </c>
      <c r="C55" s="69">
        <v>8</v>
      </c>
      <c r="D55" s="68">
        <v>0</v>
      </c>
      <c r="E55" s="32"/>
      <c r="F55" s="32"/>
    </row>
    <row r="56" spans="1:6" ht="16.5">
      <c r="A56" s="32"/>
      <c r="B56" s="57" t="s">
        <v>304</v>
      </c>
      <c r="C56" s="38">
        <v>24389</v>
      </c>
      <c r="D56" s="66">
        <v>1</v>
      </c>
      <c r="E56" s="32"/>
      <c r="F56" s="32"/>
    </row>
    <row r="57" spans="1:6" ht="16.5">
      <c r="A57" s="32"/>
      <c r="B57" s="36"/>
      <c r="C57" s="34"/>
      <c r="D57" s="32"/>
      <c r="E57" s="32"/>
      <c r="F57" s="32"/>
    </row>
    <row r="58" spans="1:6" ht="16.5">
      <c r="A58" s="32"/>
      <c r="B58" s="35" t="s">
        <v>275</v>
      </c>
      <c r="C58" s="34"/>
      <c r="D58" s="32"/>
      <c r="E58" s="32"/>
      <c r="F58" s="32"/>
    </row>
    <row r="59" spans="1:6" ht="16.5">
      <c r="A59" s="32"/>
      <c r="B59" s="36" t="s">
        <v>18</v>
      </c>
      <c r="C59" s="34"/>
      <c r="D59" s="32"/>
      <c r="E59" s="32"/>
      <c r="F59" s="32"/>
    </row>
    <row r="60" spans="1:6" ht="16.5">
      <c r="A60" s="32"/>
      <c r="B60" s="33" t="s">
        <v>45</v>
      </c>
      <c r="C60" s="34"/>
      <c r="D60" s="32"/>
      <c r="E60" s="32"/>
      <c r="F60" s="32"/>
    </row>
    <row r="61" spans="1:6" ht="16.5">
      <c r="A61" s="32"/>
      <c r="B61" s="35" t="s">
        <v>17</v>
      </c>
      <c r="C61" s="34"/>
      <c r="D61" s="32"/>
      <c r="E61" s="32"/>
      <c r="F61" s="32"/>
    </row>
    <row r="62" spans="1:6" ht="16.5">
      <c r="A62" s="32"/>
      <c r="B62" s="35" t="s">
        <v>308</v>
      </c>
      <c r="C62" s="34"/>
      <c r="D62" s="32"/>
      <c r="E62" s="32"/>
      <c r="F62" s="3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53" fitToWidth="0" fitToHeight="0" orientation="portrait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E840"/>
  <sheetViews>
    <sheetView showGridLines="0" view="pageBreakPreview" zoomScale="80" zoomScaleNormal="100" zoomScaleSheetLayoutView="80" workbookViewId="0">
      <selection activeCell="G6" sqref="G6"/>
    </sheetView>
  </sheetViews>
  <sheetFormatPr baseColWidth="10" defaultColWidth="35" defaultRowHeight="15" customHeight="1"/>
  <cols>
    <col min="1" max="1" width="1" style="18" customWidth="1"/>
    <col min="2" max="2" width="22.85546875" style="19" customWidth="1"/>
    <col min="3" max="3" width="33.42578125" style="19" customWidth="1"/>
    <col min="4" max="4" width="14.28515625" style="19" customWidth="1"/>
    <col min="5" max="5" width="16.85546875" style="19" customWidth="1"/>
    <col min="6" max="16384" width="35" style="18"/>
  </cols>
  <sheetData>
    <row r="1" spans="1:5" s="21" customFormat="1" ht="12" customHeight="1">
      <c r="B1" s="23"/>
      <c r="C1" s="20"/>
      <c r="D1" s="20"/>
      <c r="E1" s="20"/>
    </row>
    <row r="2" spans="1:5" s="21" customFormat="1" ht="15" customHeight="1">
      <c r="C2" s="25"/>
    </row>
    <row r="3" spans="1:5" s="21" customFormat="1" ht="15" customHeight="1">
      <c r="C3" s="25"/>
    </row>
    <row r="4" spans="1:5" s="21" customFormat="1" ht="30" customHeight="1">
      <c r="C4" s="25"/>
      <c r="D4" s="24"/>
    </row>
    <row r="5" spans="1:5" s="21" customFormat="1" ht="15" customHeight="1">
      <c r="C5" s="25"/>
      <c r="D5" s="24"/>
    </row>
    <row r="6" spans="1:5" s="21" customFormat="1" ht="24" customHeight="1">
      <c r="B6" s="40"/>
      <c r="C6" s="41"/>
      <c r="D6" s="41"/>
      <c r="E6" s="41"/>
    </row>
    <row r="7" spans="1:5" s="21" customFormat="1" ht="26.25" customHeight="1">
      <c r="A7" s="22"/>
      <c r="B7" s="107"/>
      <c r="C7" s="107"/>
      <c r="D7" s="107"/>
      <c r="E7" s="107"/>
    </row>
    <row r="8" spans="1:5" s="21" customFormat="1" ht="33" customHeight="1">
      <c r="A8" s="22"/>
      <c r="B8" s="107"/>
      <c r="C8" s="107"/>
      <c r="D8" s="107"/>
      <c r="E8" s="107"/>
    </row>
    <row r="9" spans="1:5" s="12" customFormat="1" ht="40.5" customHeight="1">
      <c r="B9" s="42" t="s">
        <v>25</v>
      </c>
      <c r="C9" s="43" t="s">
        <v>24</v>
      </c>
      <c r="D9" s="44" t="s">
        <v>20</v>
      </c>
      <c r="E9" s="42" t="s">
        <v>19</v>
      </c>
    </row>
    <row r="10" spans="1:5" ht="15" customHeight="1">
      <c r="B10" s="108" t="s">
        <v>135</v>
      </c>
      <c r="C10" s="70" t="s">
        <v>180</v>
      </c>
      <c r="D10" s="71">
        <v>3671</v>
      </c>
      <c r="E10" s="72">
        <v>0.151</v>
      </c>
    </row>
    <row r="11" spans="1:5" ht="15" customHeight="1">
      <c r="B11" s="109"/>
      <c r="C11" s="70" t="s">
        <v>185</v>
      </c>
      <c r="D11" s="71">
        <v>3444</v>
      </c>
      <c r="E11" s="72">
        <v>0.14099999999999999</v>
      </c>
    </row>
    <row r="12" spans="1:5" ht="15" customHeight="1">
      <c r="B12" s="109"/>
      <c r="C12" s="70" t="s">
        <v>182</v>
      </c>
      <c r="D12" s="71">
        <v>2274</v>
      </c>
      <c r="E12" s="72">
        <v>9.2999999999999999E-2</v>
      </c>
    </row>
    <row r="13" spans="1:5" ht="15" customHeight="1">
      <c r="B13" s="109"/>
      <c r="C13" s="70" t="s">
        <v>176</v>
      </c>
      <c r="D13" s="71">
        <v>1183</v>
      </c>
      <c r="E13" s="72">
        <v>4.9000000000000002E-2</v>
      </c>
    </row>
    <row r="14" spans="1:5" ht="15" customHeight="1">
      <c r="B14" s="109"/>
      <c r="C14" s="70" t="s">
        <v>186</v>
      </c>
      <c r="D14" s="71">
        <v>1167</v>
      </c>
      <c r="E14" s="72">
        <v>4.8000000000000001E-2</v>
      </c>
    </row>
    <row r="15" spans="1:5" ht="15" customHeight="1">
      <c r="B15" s="109"/>
      <c r="C15" s="70" t="s">
        <v>189</v>
      </c>
      <c r="D15" s="73">
        <v>971</v>
      </c>
      <c r="E15" s="72">
        <v>0.04</v>
      </c>
    </row>
    <row r="16" spans="1:5" ht="15" customHeight="1">
      <c r="B16" s="109"/>
      <c r="C16" s="70" t="s">
        <v>191</v>
      </c>
      <c r="D16" s="73">
        <v>890</v>
      </c>
      <c r="E16" s="72">
        <v>3.5999999999999997E-2</v>
      </c>
    </row>
    <row r="17" spans="2:5" ht="15" customHeight="1">
      <c r="B17" s="109"/>
      <c r="C17" s="70" t="s">
        <v>192</v>
      </c>
      <c r="D17" s="73">
        <v>751</v>
      </c>
      <c r="E17" s="72">
        <v>3.1E-2</v>
      </c>
    </row>
    <row r="18" spans="2:5" ht="15" customHeight="1">
      <c r="B18" s="109"/>
      <c r="C18" s="70" t="s">
        <v>187</v>
      </c>
      <c r="D18" s="73">
        <v>690</v>
      </c>
      <c r="E18" s="72">
        <v>2.8000000000000001E-2</v>
      </c>
    </row>
    <row r="19" spans="2:5" ht="15" customHeight="1">
      <c r="B19" s="109"/>
      <c r="C19" s="70" t="s">
        <v>174</v>
      </c>
      <c r="D19" s="73">
        <v>638</v>
      </c>
      <c r="E19" s="72">
        <v>2.5999999999999999E-2</v>
      </c>
    </row>
    <row r="20" spans="2:5" ht="15" customHeight="1">
      <c r="B20" s="109"/>
      <c r="C20" s="70" t="s">
        <v>190</v>
      </c>
      <c r="D20" s="73">
        <v>631</v>
      </c>
      <c r="E20" s="72">
        <v>2.5999999999999999E-2</v>
      </c>
    </row>
    <row r="21" spans="2:5" ht="15" customHeight="1">
      <c r="B21" s="109"/>
      <c r="C21" s="70" t="s">
        <v>181</v>
      </c>
      <c r="D21" s="73">
        <v>362</v>
      </c>
      <c r="E21" s="72">
        <v>1.4999999999999999E-2</v>
      </c>
    </row>
    <row r="22" spans="2:5" ht="15" customHeight="1">
      <c r="B22" s="109"/>
      <c r="C22" s="70" t="s">
        <v>177</v>
      </c>
      <c r="D22" s="73">
        <v>276</v>
      </c>
      <c r="E22" s="72">
        <v>1.0999999999999999E-2</v>
      </c>
    </row>
    <row r="23" spans="2:5" ht="15" customHeight="1">
      <c r="B23" s="109"/>
      <c r="C23" s="70" t="s">
        <v>194</v>
      </c>
      <c r="D23" s="73">
        <v>255</v>
      </c>
      <c r="E23" s="72">
        <v>0.01</v>
      </c>
    </row>
    <row r="24" spans="2:5" ht="15" customHeight="1">
      <c r="B24" s="109"/>
      <c r="C24" s="70" t="s">
        <v>197</v>
      </c>
      <c r="D24" s="73">
        <v>200</v>
      </c>
      <c r="E24" s="72">
        <v>8.0000000000000002E-3</v>
      </c>
    </row>
    <row r="25" spans="2:5" ht="15" customHeight="1">
      <c r="B25" s="109"/>
      <c r="C25" s="70" t="s">
        <v>188</v>
      </c>
      <c r="D25" s="73">
        <v>187</v>
      </c>
      <c r="E25" s="72">
        <v>8.0000000000000002E-3</v>
      </c>
    </row>
    <row r="26" spans="2:5" ht="15" customHeight="1">
      <c r="B26" s="109"/>
      <c r="C26" s="70" t="s">
        <v>171</v>
      </c>
      <c r="D26" s="73">
        <v>177</v>
      </c>
      <c r="E26" s="72">
        <v>7.0000000000000001E-3</v>
      </c>
    </row>
    <row r="27" spans="2:5" ht="15" customHeight="1">
      <c r="B27" s="109"/>
      <c r="C27" s="70" t="s">
        <v>170</v>
      </c>
      <c r="D27" s="73">
        <v>159</v>
      </c>
      <c r="E27" s="72">
        <v>7.0000000000000001E-3</v>
      </c>
    </row>
    <row r="28" spans="2:5" ht="15" customHeight="1">
      <c r="B28" s="109"/>
      <c r="C28" s="70" t="s">
        <v>169</v>
      </c>
      <c r="D28" s="73">
        <v>126</v>
      </c>
      <c r="E28" s="72">
        <v>5.0000000000000001E-3</v>
      </c>
    </row>
    <row r="29" spans="2:5" ht="15" customHeight="1">
      <c r="B29" s="109"/>
      <c r="C29" s="70" t="s">
        <v>179</v>
      </c>
      <c r="D29" s="73">
        <v>114</v>
      </c>
      <c r="E29" s="72">
        <v>5.0000000000000001E-3</v>
      </c>
    </row>
    <row r="30" spans="2:5" ht="15" customHeight="1">
      <c r="B30" s="109"/>
      <c r="C30" s="70" t="s">
        <v>172</v>
      </c>
      <c r="D30" s="73">
        <v>113</v>
      </c>
      <c r="E30" s="72">
        <v>5.0000000000000001E-3</v>
      </c>
    </row>
    <row r="31" spans="2:5" ht="15" customHeight="1">
      <c r="B31" s="109"/>
      <c r="C31" s="70" t="s">
        <v>184</v>
      </c>
      <c r="D31" s="73">
        <v>108</v>
      </c>
      <c r="E31" s="72">
        <v>4.0000000000000001E-3</v>
      </c>
    </row>
    <row r="32" spans="2:5" ht="15" customHeight="1">
      <c r="B32" s="109"/>
      <c r="C32" s="70" t="s">
        <v>204</v>
      </c>
      <c r="D32" s="73">
        <v>107</v>
      </c>
      <c r="E32" s="72">
        <v>4.0000000000000001E-3</v>
      </c>
    </row>
    <row r="33" spans="2:5" ht="15" customHeight="1">
      <c r="B33" s="109"/>
      <c r="C33" s="70" t="s">
        <v>193</v>
      </c>
      <c r="D33" s="73">
        <v>106</v>
      </c>
      <c r="E33" s="72">
        <v>4.0000000000000001E-3</v>
      </c>
    </row>
    <row r="34" spans="2:5" ht="15" customHeight="1">
      <c r="B34" s="109"/>
      <c r="C34" s="70" t="s">
        <v>201</v>
      </c>
      <c r="D34" s="73">
        <v>78</v>
      </c>
      <c r="E34" s="72">
        <v>3.0000000000000001E-3</v>
      </c>
    </row>
    <row r="35" spans="2:5" ht="15" customHeight="1">
      <c r="B35" s="109"/>
      <c r="C35" s="70" t="s">
        <v>178</v>
      </c>
      <c r="D35" s="73">
        <v>75</v>
      </c>
      <c r="E35" s="72">
        <v>3.0000000000000001E-3</v>
      </c>
    </row>
    <row r="36" spans="2:5" ht="15" customHeight="1">
      <c r="B36" s="109"/>
      <c r="C36" s="70" t="s">
        <v>200</v>
      </c>
      <c r="D36" s="73">
        <v>73</v>
      </c>
      <c r="E36" s="72">
        <v>3.0000000000000001E-3</v>
      </c>
    </row>
    <row r="37" spans="2:5" ht="15" customHeight="1">
      <c r="B37" s="109"/>
      <c r="C37" s="70" t="s">
        <v>207</v>
      </c>
      <c r="D37" s="73">
        <v>63</v>
      </c>
      <c r="E37" s="72">
        <v>3.0000000000000001E-3</v>
      </c>
    </row>
    <row r="38" spans="2:5" ht="15" customHeight="1">
      <c r="B38" s="109"/>
      <c r="C38" s="70" t="s">
        <v>206</v>
      </c>
      <c r="D38" s="73">
        <v>62</v>
      </c>
      <c r="E38" s="72">
        <v>3.0000000000000001E-3</v>
      </c>
    </row>
    <row r="39" spans="2:5" ht="15" customHeight="1">
      <c r="B39" s="109"/>
      <c r="C39" s="70" t="s">
        <v>173</v>
      </c>
      <c r="D39" s="73">
        <v>57</v>
      </c>
      <c r="E39" s="72">
        <v>2E-3</v>
      </c>
    </row>
    <row r="40" spans="2:5" ht="15" customHeight="1">
      <c r="B40" s="109"/>
      <c r="C40" s="70" t="s">
        <v>195</v>
      </c>
      <c r="D40" s="73">
        <v>48</v>
      </c>
      <c r="E40" s="72">
        <v>2E-3</v>
      </c>
    </row>
    <row r="41" spans="2:5" ht="15" customHeight="1">
      <c r="B41" s="109"/>
      <c r="C41" s="70" t="s">
        <v>203</v>
      </c>
      <c r="D41" s="73">
        <v>42</v>
      </c>
      <c r="E41" s="72">
        <v>2E-3</v>
      </c>
    </row>
    <row r="42" spans="2:5" ht="15" customHeight="1">
      <c r="B42" s="109"/>
      <c r="C42" s="70" t="s">
        <v>199</v>
      </c>
      <c r="D42" s="73">
        <v>37</v>
      </c>
      <c r="E42" s="72">
        <v>2E-3</v>
      </c>
    </row>
    <row r="43" spans="2:5" ht="15" customHeight="1">
      <c r="B43" s="109"/>
      <c r="C43" s="70" t="s">
        <v>196</v>
      </c>
      <c r="D43" s="73">
        <v>27</v>
      </c>
      <c r="E43" s="72">
        <v>1E-3</v>
      </c>
    </row>
    <row r="44" spans="2:5" ht="15" customHeight="1">
      <c r="B44" s="109"/>
      <c r="C44" s="70" t="s">
        <v>210</v>
      </c>
      <c r="D44" s="73">
        <v>26</v>
      </c>
      <c r="E44" s="72">
        <v>1E-3</v>
      </c>
    </row>
    <row r="45" spans="2:5" ht="15" customHeight="1">
      <c r="B45" s="109"/>
      <c r="C45" s="70" t="s">
        <v>205</v>
      </c>
      <c r="D45" s="73">
        <v>25</v>
      </c>
      <c r="E45" s="72">
        <v>1E-3</v>
      </c>
    </row>
    <row r="46" spans="2:5" ht="15" customHeight="1">
      <c r="B46" s="109"/>
      <c r="C46" s="70" t="s">
        <v>278</v>
      </c>
      <c r="D46" s="73">
        <v>23</v>
      </c>
      <c r="E46" s="72">
        <v>1E-3</v>
      </c>
    </row>
    <row r="47" spans="2:5" ht="15" customHeight="1">
      <c r="B47" s="109"/>
      <c r="C47" s="70" t="s">
        <v>202</v>
      </c>
      <c r="D47" s="73">
        <v>23</v>
      </c>
      <c r="E47" s="72">
        <v>1E-3</v>
      </c>
    </row>
    <row r="48" spans="2:5" ht="15" customHeight="1">
      <c r="B48" s="109"/>
      <c r="C48" s="70" t="s">
        <v>198</v>
      </c>
      <c r="D48" s="73">
        <v>21</v>
      </c>
      <c r="E48" s="72">
        <v>1E-3</v>
      </c>
    </row>
    <row r="49" spans="2:5" ht="15" customHeight="1">
      <c r="B49" s="109"/>
      <c r="C49" s="70" t="s">
        <v>175</v>
      </c>
      <c r="D49" s="73">
        <v>18</v>
      </c>
      <c r="E49" s="72">
        <v>1E-3</v>
      </c>
    </row>
    <row r="50" spans="2:5" ht="15" customHeight="1">
      <c r="B50" s="109"/>
      <c r="C50" s="70" t="s">
        <v>208</v>
      </c>
      <c r="D50" s="73">
        <v>16</v>
      </c>
      <c r="E50" s="72">
        <v>1E-3</v>
      </c>
    </row>
    <row r="51" spans="2:5" ht="15" customHeight="1">
      <c r="B51" s="109"/>
      <c r="C51" s="70" t="s">
        <v>209</v>
      </c>
      <c r="D51" s="73">
        <v>16</v>
      </c>
      <c r="E51" s="72">
        <v>1E-3</v>
      </c>
    </row>
    <row r="52" spans="2:5" ht="15" customHeight="1">
      <c r="B52" s="109"/>
      <c r="C52" s="70" t="s">
        <v>183</v>
      </c>
      <c r="D52" s="73">
        <v>10</v>
      </c>
      <c r="E52" s="72">
        <v>0</v>
      </c>
    </row>
    <row r="53" spans="2:5" ht="15" customHeight="1">
      <c r="B53" s="109"/>
      <c r="C53" s="70" t="s">
        <v>211</v>
      </c>
      <c r="D53" s="73">
        <v>8</v>
      </c>
      <c r="E53" s="72">
        <v>0</v>
      </c>
    </row>
    <row r="54" spans="2:5" ht="15" customHeight="1">
      <c r="B54" s="110"/>
      <c r="C54" s="79" t="s">
        <v>304</v>
      </c>
      <c r="D54" s="75">
        <v>19348</v>
      </c>
      <c r="E54" s="76">
        <v>0.79300000000000004</v>
      </c>
    </row>
    <row r="55" spans="2:5" ht="15" customHeight="1">
      <c r="B55" s="102" t="s">
        <v>105</v>
      </c>
      <c r="C55" s="70" t="s">
        <v>176</v>
      </c>
      <c r="D55" s="73">
        <v>90</v>
      </c>
      <c r="E55" s="72">
        <v>4.0000000000000001E-3</v>
      </c>
    </row>
    <row r="56" spans="2:5" ht="15" customHeight="1">
      <c r="B56" s="103"/>
      <c r="C56" s="70" t="s">
        <v>189</v>
      </c>
      <c r="D56" s="73">
        <v>78</v>
      </c>
      <c r="E56" s="72">
        <v>3.0000000000000001E-3</v>
      </c>
    </row>
    <row r="57" spans="2:5" ht="15" customHeight="1">
      <c r="B57" s="103"/>
      <c r="C57" s="70" t="s">
        <v>180</v>
      </c>
      <c r="D57" s="73">
        <v>67</v>
      </c>
      <c r="E57" s="72">
        <v>3.0000000000000001E-3</v>
      </c>
    </row>
    <row r="58" spans="2:5" ht="15" customHeight="1">
      <c r="B58" s="103"/>
      <c r="C58" s="70" t="s">
        <v>174</v>
      </c>
      <c r="D58" s="73">
        <v>48</v>
      </c>
      <c r="E58" s="72">
        <v>2E-3</v>
      </c>
    </row>
    <row r="59" spans="2:5" ht="15" customHeight="1">
      <c r="B59" s="103"/>
      <c r="C59" s="70" t="s">
        <v>177</v>
      </c>
      <c r="D59" s="73">
        <v>43</v>
      </c>
      <c r="E59" s="72">
        <v>2E-3</v>
      </c>
    </row>
    <row r="60" spans="2:5" ht="15" customHeight="1">
      <c r="B60" s="103"/>
      <c r="C60" s="70" t="s">
        <v>171</v>
      </c>
      <c r="D60" s="73">
        <v>37</v>
      </c>
      <c r="E60" s="72">
        <v>2E-3</v>
      </c>
    </row>
    <row r="61" spans="2:5" ht="15" customHeight="1">
      <c r="B61" s="103"/>
      <c r="C61" s="70" t="s">
        <v>192</v>
      </c>
      <c r="D61" s="73">
        <v>23</v>
      </c>
      <c r="E61" s="72">
        <v>1E-3</v>
      </c>
    </row>
    <row r="62" spans="2:5" ht="15" customHeight="1">
      <c r="B62" s="103"/>
      <c r="C62" s="70" t="s">
        <v>170</v>
      </c>
      <c r="D62" s="73">
        <v>22</v>
      </c>
      <c r="E62" s="72">
        <v>1E-3</v>
      </c>
    </row>
    <row r="63" spans="2:5" ht="15" customHeight="1">
      <c r="B63" s="103"/>
      <c r="C63" s="70" t="s">
        <v>185</v>
      </c>
      <c r="D63" s="73">
        <v>18</v>
      </c>
      <c r="E63" s="72">
        <v>1E-3</v>
      </c>
    </row>
    <row r="64" spans="2:5" ht="15" customHeight="1">
      <c r="B64" s="103"/>
      <c r="C64" s="70" t="s">
        <v>187</v>
      </c>
      <c r="D64" s="73">
        <v>18</v>
      </c>
      <c r="E64" s="72">
        <v>1E-3</v>
      </c>
    </row>
    <row r="65" spans="2:5" ht="15" customHeight="1">
      <c r="B65" s="103"/>
      <c r="C65" s="70" t="s">
        <v>190</v>
      </c>
      <c r="D65" s="73">
        <v>17</v>
      </c>
      <c r="E65" s="72">
        <v>1E-3</v>
      </c>
    </row>
    <row r="66" spans="2:5" ht="15" customHeight="1">
      <c r="B66" s="103"/>
      <c r="C66" s="70" t="s">
        <v>188</v>
      </c>
      <c r="D66" s="73">
        <v>11</v>
      </c>
      <c r="E66" s="72">
        <v>0</v>
      </c>
    </row>
    <row r="67" spans="2:5" ht="15" customHeight="1">
      <c r="B67" s="103"/>
      <c r="C67" s="70" t="s">
        <v>186</v>
      </c>
      <c r="D67" s="73">
        <v>10</v>
      </c>
      <c r="E67" s="72">
        <v>0</v>
      </c>
    </row>
    <row r="68" spans="2:5" ht="15" customHeight="1">
      <c r="B68" s="103"/>
      <c r="C68" s="70" t="s">
        <v>182</v>
      </c>
      <c r="D68" s="73">
        <v>9</v>
      </c>
      <c r="E68" s="72">
        <v>0</v>
      </c>
    </row>
    <row r="69" spans="2:5" ht="15" customHeight="1">
      <c r="B69" s="103"/>
      <c r="C69" s="70" t="s">
        <v>191</v>
      </c>
      <c r="D69" s="73">
        <v>8</v>
      </c>
      <c r="E69" s="72">
        <v>0</v>
      </c>
    </row>
    <row r="70" spans="2:5" ht="15" customHeight="1">
      <c r="B70" s="103"/>
      <c r="C70" s="70" t="s">
        <v>179</v>
      </c>
      <c r="D70" s="73">
        <v>6</v>
      </c>
      <c r="E70" s="72">
        <v>0</v>
      </c>
    </row>
    <row r="71" spans="2:5" ht="15" customHeight="1">
      <c r="B71" s="103"/>
      <c r="C71" s="70" t="s">
        <v>193</v>
      </c>
      <c r="D71" s="73">
        <v>5</v>
      </c>
      <c r="E71" s="72">
        <v>0</v>
      </c>
    </row>
    <row r="72" spans="2:5" ht="15" customHeight="1">
      <c r="B72" s="103"/>
      <c r="C72" s="70" t="s">
        <v>204</v>
      </c>
      <c r="D72" s="73">
        <v>4</v>
      </c>
      <c r="E72" s="72">
        <v>0</v>
      </c>
    </row>
    <row r="73" spans="2:5" ht="15" customHeight="1">
      <c r="B73" s="103"/>
      <c r="C73" s="70" t="s">
        <v>178</v>
      </c>
      <c r="D73" s="73">
        <v>4</v>
      </c>
      <c r="E73" s="72">
        <v>0</v>
      </c>
    </row>
    <row r="74" spans="2:5" ht="15" customHeight="1">
      <c r="B74" s="103"/>
      <c r="C74" s="70" t="s">
        <v>184</v>
      </c>
      <c r="D74" s="73">
        <v>4</v>
      </c>
      <c r="E74" s="72">
        <v>0</v>
      </c>
    </row>
    <row r="75" spans="2:5" ht="15" customHeight="1">
      <c r="B75" s="103"/>
      <c r="C75" s="70" t="s">
        <v>173</v>
      </c>
      <c r="D75" s="73">
        <v>3</v>
      </c>
      <c r="E75" s="72">
        <v>0</v>
      </c>
    </row>
    <row r="76" spans="2:5" ht="15" customHeight="1">
      <c r="B76" s="103"/>
      <c r="C76" s="70" t="s">
        <v>169</v>
      </c>
      <c r="D76" s="73">
        <v>1</v>
      </c>
      <c r="E76" s="72">
        <v>0</v>
      </c>
    </row>
    <row r="77" spans="2:5" ht="15" customHeight="1">
      <c r="B77" s="103"/>
      <c r="C77" s="70" t="s">
        <v>194</v>
      </c>
      <c r="D77" s="73">
        <v>1</v>
      </c>
      <c r="E77" s="72">
        <v>0</v>
      </c>
    </row>
    <row r="78" spans="2:5" ht="15" customHeight="1">
      <c r="B78" s="103"/>
      <c r="C78" s="70" t="s">
        <v>202</v>
      </c>
      <c r="D78" s="73">
        <v>1</v>
      </c>
      <c r="E78" s="72">
        <v>0</v>
      </c>
    </row>
    <row r="79" spans="2:5" ht="15" customHeight="1">
      <c r="B79" s="103"/>
      <c r="C79" s="70" t="s">
        <v>203</v>
      </c>
      <c r="D79" s="73">
        <v>1</v>
      </c>
      <c r="E79" s="72">
        <v>0</v>
      </c>
    </row>
    <row r="80" spans="2:5" ht="15" customHeight="1">
      <c r="B80" s="103"/>
      <c r="C80" s="70" t="s">
        <v>183</v>
      </c>
      <c r="D80" s="73">
        <v>1</v>
      </c>
      <c r="E80" s="72">
        <v>0</v>
      </c>
    </row>
    <row r="81" spans="2:5" ht="15" customHeight="1">
      <c r="B81" s="103"/>
      <c r="C81" s="70" t="s">
        <v>209</v>
      </c>
      <c r="D81" s="73">
        <v>1</v>
      </c>
      <c r="E81" s="72">
        <v>0</v>
      </c>
    </row>
    <row r="82" spans="2:5" ht="15" customHeight="1">
      <c r="B82" s="104"/>
      <c r="C82" s="79" t="s">
        <v>304</v>
      </c>
      <c r="D82" s="75">
        <v>531</v>
      </c>
      <c r="E82" s="76">
        <v>2.1999999999999999E-2</v>
      </c>
    </row>
    <row r="83" spans="2:5" ht="15" customHeight="1">
      <c r="B83" s="102" t="s">
        <v>125</v>
      </c>
      <c r="C83" s="70" t="s">
        <v>176</v>
      </c>
      <c r="D83" s="73">
        <v>88</v>
      </c>
      <c r="E83" s="72">
        <v>4.0000000000000001E-3</v>
      </c>
    </row>
    <row r="84" spans="2:5" ht="15" customHeight="1">
      <c r="B84" s="103"/>
      <c r="C84" s="70" t="s">
        <v>177</v>
      </c>
      <c r="D84" s="73">
        <v>41</v>
      </c>
      <c r="E84" s="72">
        <v>2E-3</v>
      </c>
    </row>
    <row r="85" spans="2:5" ht="15" customHeight="1">
      <c r="B85" s="103"/>
      <c r="C85" s="70" t="s">
        <v>189</v>
      </c>
      <c r="D85" s="73">
        <v>37</v>
      </c>
      <c r="E85" s="72">
        <v>2E-3</v>
      </c>
    </row>
    <row r="86" spans="2:5" ht="15" customHeight="1">
      <c r="B86" s="103"/>
      <c r="C86" s="70" t="s">
        <v>185</v>
      </c>
      <c r="D86" s="73">
        <v>35</v>
      </c>
      <c r="E86" s="72">
        <v>1E-3</v>
      </c>
    </row>
    <row r="87" spans="2:5" ht="15" customHeight="1">
      <c r="B87" s="103"/>
      <c r="C87" s="70" t="s">
        <v>180</v>
      </c>
      <c r="D87" s="73">
        <v>30</v>
      </c>
      <c r="E87" s="72">
        <v>1E-3</v>
      </c>
    </row>
    <row r="88" spans="2:5" ht="15" customHeight="1">
      <c r="B88" s="103"/>
      <c r="C88" s="70" t="s">
        <v>174</v>
      </c>
      <c r="D88" s="73">
        <v>28</v>
      </c>
      <c r="E88" s="72">
        <v>1E-3</v>
      </c>
    </row>
    <row r="89" spans="2:5" ht="15" customHeight="1">
      <c r="B89" s="103"/>
      <c r="C89" s="70" t="s">
        <v>192</v>
      </c>
      <c r="D89" s="73">
        <v>24</v>
      </c>
      <c r="E89" s="72">
        <v>1E-3</v>
      </c>
    </row>
    <row r="90" spans="2:5" ht="15" customHeight="1">
      <c r="B90" s="103"/>
      <c r="C90" s="70" t="s">
        <v>184</v>
      </c>
      <c r="D90" s="73">
        <v>20</v>
      </c>
      <c r="E90" s="72">
        <v>1E-3</v>
      </c>
    </row>
    <row r="91" spans="2:5" ht="15" customHeight="1">
      <c r="B91" s="103"/>
      <c r="C91" s="70" t="s">
        <v>182</v>
      </c>
      <c r="D91" s="73">
        <v>16</v>
      </c>
      <c r="E91" s="72">
        <v>1E-3</v>
      </c>
    </row>
    <row r="92" spans="2:5" ht="15" customHeight="1">
      <c r="B92" s="103"/>
      <c r="C92" s="70" t="s">
        <v>186</v>
      </c>
      <c r="D92" s="73">
        <v>15</v>
      </c>
      <c r="E92" s="72">
        <v>1E-3</v>
      </c>
    </row>
    <row r="93" spans="2:5" ht="15" customHeight="1">
      <c r="B93" s="103"/>
      <c r="C93" s="70" t="s">
        <v>190</v>
      </c>
      <c r="D93" s="73">
        <v>11</v>
      </c>
      <c r="E93" s="72">
        <v>0</v>
      </c>
    </row>
    <row r="94" spans="2:5" ht="15" customHeight="1">
      <c r="B94" s="103"/>
      <c r="C94" s="70" t="s">
        <v>170</v>
      </c>
      <c r="D94" s="73">
        <v>10</v>
      </c>
      <c r="E94" s="72">
        <v>0</v>
      </c>
    </row>
    <row r="95" spans="2:5" ht="15" customHeight="1">
      <c r="B95" s="103"/>
      <c r="C95" s="70" t="s">
        <v>191</v>
      </c>
      <c r="D95" s="73">
        <v>9</v>
      </c>
      <c r="E95" s="72">
        <v>0</v>
      </c>
    </row>
    <row r="96" spans="2:5" ht="15" customHeight="1">
      <c r="B96" s="103"/>
      <c r="C96" s="70" t="s">
        <v>171</v>
      </c>
      <c r="D96" s="73">
        <v>8</v>
      </c>
      <c r="E96" s="72">
        <v>0</v>
      </c>
    </row>
    <row r="97" spans="2:5" ht="15" customHeight="1">
      <c r="B97" s="103"/>
      <c r="C97" s="70" t="s">
        <v>187</v>
      </c>
      <c r="D97" s="73">
        <v>7</v>
      </c>
      <c r="E97" s="72">
        <v>0</v>
      </c>
    </row>
    <row r="98" spans="2:5" ht="15" customHeight="1">
      <c r="B98" s="103"/>
      <c r="C98" s="70" t="s">
        <v>188</v>
      </c>
      <c r="D98" s="73">
        <v>6</v>
      </c>
      <c r="E98" s="72">
        <v>0</v>
      </c>
    </row>
    <row r="99" spans="2:5" ht="15" customHeight="1">
      <c r="B99" s="103"/>
      <c r="C99" s="70" t="s">
        <v>193</v>
      </c>
      <c r="D99" s="73">
        <v>5</v>
      </c>
      <c r="E99" s="72">
        <v>0</v>
      </c>
    </row>
    <row r="100" spans="2:5" ht="15" customHeight="1">
      <c r="B100" s="103"/>
      <c r="C100" s="70" t="s">
        <v>196</v>
      </c>
      <c r="D100" s="73">
        <v>4</v>
      </c>
      <c r="E100" s="72">
        <v>0</v>
      </c>
    </row>
    <row r="101" spans="2:5" ht="15" customHeight="1">
      <c r="B101" s="103"/>
      <c r="C101" s="70" t="s">
        <v>206</v>
      </c>
      <c r="D101" s="73">
        <v>3</v>
      </c>
      <c r="E101" s="72">
        <v>0</v>
      </c>
    </row>
    <row r="102" spans="2:5" ht="15" customHeight="1">
      <c r="B102" s="103"/>
      <c r="C102" s="70" t="s">
        <v>195</v>
      </c>
      <c r="D102" s="73">
        <v>3</v>
      </c>
      <c r="E102" s="72">
        <v>0</v>
      </c>
    </row>
    <row r="103" spans="2:5" ht="15" customHeight="1">
      <c r="B103" s="103"/>
      <c r="C103" s="70" t="s">
        <v>278</v>
      </c>
      <c r="D103" s="73">
        <v>2</v>
      </c>
      <c r="E103" s="72">
        <v>0</v>
      </c>
    </row>
    <row r="104" spans="2:5" ht="15" customHeight="1">
      <c r="B104" s="103"/>
      <c r="C104" s="70" t="s">
        <v>194</v>
      </c>
      <c r="D104" s="73">
        <v>2</v>
      </c>
      <c r="E104" s="72">
        <v>0</v>
      </c>
    </row>
    <row r="105" spans="2:5" ht="15" customHeight="1">
      <c r="B105" s="103"/>
      <c r="C105" s="70" t="s">
        <v>204</v>
      </c>
      <c r="D105" s="73">
        <v>2</v>
      </c>
      <c r="E105" s="72">
        <v>0</v>
      </c>
    </row>
    <row r="106" spans="2:5" ht="15" customHeight="1">
      <c r="B106" s="103"/>
      <c r="C106" s="70" t="s">
        <v>178</v>
      </c>
      <c r="D106" s="73">
        <v>2</v>
      </c>
      <c r="E106" s="72">
        <v>0</v>
      </c>
    </row>
    <row r="107" spans="2:5" ht="15" customHeight="1">
      <c r="B107" s="103"/>
      <c r="C107" s="70" t="s">
        <v>181</v>
      </c>
      <c r="D107" s="73">
        <v>2</v>
      </c>
      <c r="E107" s="72">
        <v>0</v>
      </c>
    </row>
    <row r="108" spans="2:5" ht="15" customHeight="1">
      <c r="B108" s="103"/>
      <c r="C108" s="70" t="s">
        <v>202</v>
      </c>
      <c r="D108" s="73">
        <v>2</v>
      </c>
      <c r="E108" s="72">
        <v>0</v>
      </c>
    </row>
    <row r="109" spans="2:5" ht="15" customHeight="1">
      <c r="B109" s="103"/>
      <c r="C109" s="70" t="s">
        <v>172</v>
      </c>
      <c r="D109" s="73">
        <v>1</v>
      </c>
      <c r="E109" s="72">
        <v>0</v>
      </c>
    </row>
    <row r="110" spans="2:5" ht="15" customHeight="1">
      <c r="B110" s="103"/>
      <c r="C110" s="70" t="s">
        <v>173</v>
      </c>
      <c r="D110" s="73">
        <v>1</v>
      </c>
      <c r="E110" s="72">
        <v>0</v>
      </c>
    </row>
    <row r="111" spans="2:5" ht="15" customHeight="1">
      <c r="B111" s="103"/>
      <c r="C111" s="70" t="s">
        <v>208</v>
      </c>
      <c r="D111" s="73">
        <v>1</v>
      </c>
      <c r="E111" s="72">
        <v>0</v>
      </c>
    </row>
    <row r="112" spans="2:5" ht="15" customHeight="1">
      <c r="B112" s="103"/>
      <c r="C112" s="70" t="s">
        <v>179</v>
      </c>
      <c r="D112" s="73">
        <v>1</v>
      </c>
      <c r="E112" s="72">
        <v>0</v>
      </c>
    </row>
    <row r="113" spans="2:5" ht="15" customHeight="1">
      <c r="B113" s="103"/>
      <c r="C113" s="70" t="s">
        <v>207</v>
      </c>
      <c r="D113" s="73">
        <v>1</v>
      </c>
      <c r="E113" s="72">
        <v>0</v>
      </c>
    </row>
    <row r="114" spans="2:5" ht="15" customHeight="1">
      <c r="B114" s="104"/>
      <c r="C114" s="74" t="s">
        <v>304</v>
      </c>
      <c r="D114" s="75">
        <v>417</v>
      </c>
      <c r="E114" s="76">
        <v>1.7000000000000001E-2</v>
      </c>
    </row>
    <row r="115" spans="2:5" ht="15" customHeight="1">
      <c r="B115" s="102" t="s">
        <v>104</v>
      </c>
      <c r="C115" s="70" t="s">
        <v>180</v>
      </c>
      <c r="D115" s="73">
        <v>122</v>
      </c>
      <c r="E115" s="72">
        <v>5.0000000000000001E-3</v>
      </c>
    </row>
    <row r="116" spans="2:5" ht="15" customHeight="1">
      <c r="B116" s="103"/>
      <c r="C116" s="70" t="s">
        <v>176</v>
      </c>
      <c r="D116" s="73">
        <v>42</v>
      </c>
      <c r="E116" s="72">
        <v>2E-3</v>
      </c>
    </row>
    <row r="117" spans="2:5" ht="15" customHeight="1">
      <c r="B117" s="103"/>
      <c r="C117" s="70" t="s">
        <v>185</v>
      </c>
      <c r="D117" s="73">
        <v>38</v>
      </c>
      <c r="E117" s="72">
        <v>2E-3</v>
      </c>
    </row>
    <row r="118" spans="2:5" ht="15" customHeight="1">
      <c r="B118" s="103"/>
      <c r="C118" s="70" t="s">
        <v>189</v>
      </c>
      <c r="D118" s="73">
        <v>28</v>
      </c>
      <c r="E118" s="72">
        <v>1E-3</v>
      </c>
    </row>
    <row r="119" spans="2:5" ht="15" customHeight="1">
      <c r="B119" s="103"/>
      <c r="C119" s="70" t="s">
        <v>192</v>
      </c>
      <c r="D119" s="73">
        <v>19</v>
      </c>
      <c r="E119" s="72">
        <v>1E-3</v>
      </c>
    </row>
    <row r="120" spans="2:5" ht="15" customHeight="1">
      <c r="B120" s="103"/>
      <c r="C120" s="70" t="s">
        <v>190</v>
      </c>
      <c r="D120" s="73">
        <v>15</v>
      </c>
      <c r="E120" s="72">
        <v>1E-3</v>
      </c>
    </row>
    <row r="121" spans="2:5" ht="15" customHeight="1">
      <c r="B121" s="103"/>
      <c r="C121" s="70" t="s">
        <v>174</v>
      </c>
      <c r="D121" s="73">
        <v>14</v>
      </c>
      <c r="E121" s="72">
        <v>1E-3</v>
      </c>
    </row>
    <row r="122" spans="2:5" ht="15" customHeight="1">
      <c r="B122" s="103"/>
      <c r="C122" s="70" t="s">
        <v>186</v>
      </c>
      <c r="D122" s="73">
        <v>13</v>
      </c>
      <c r="E122" s="72">
        <v>1E-3</v>
      </c>
    </row>
    <row r="123" spans="2:5" ht="15" customHeight="1">
      <c r="B123" s="103"/>
      <c r="C123" s="70" t="s">
        <v>182</v>
      </c>
      <c r="D123" s="73">
        <v>11</v>
      </c>
      <c r="E123" s="72">
        <v>0</v>
      </c>
    </row>
    <row r="124" spans="2:5" ht="15" customHeight="1">
      <c r="B124" s="103"/>
      <c r="C124" s="70" t="s">
        <v>177</v>
      </c>
      <c r="D124" s="73">
        <v>10</v>
      </c>
      <c r="E124" s="72">
        <v>0</v>
      </c>
    </row>
    <row r="125" spans="2:5" ht="15" customHeight="1">
      <c r="B125" s="103"/>
      <c r="C125" s="70" t="s">
        <v>187</v>
      </c>
      <c r="D125" s="73">
        <v>10</v>
      </c>
      <c r="E125" s="72">
        <v>0</v>
      </c>
    </row>
    <row r="126" spans="2:5" ht="15" customHeight="1">
      <c r="B126" s="103"/>
      <c r="C126" s="70" t="s">
        <v>191</v>
      </c>
      <c r="D126" s="73">
        <v>10</v>
      </c>
      <c r="E126" s="72">
        <v>0</v>
      </c>
    </row>
    <row r="127" spans="2:5" ht="15" customHeight="1">
      <c r="B127" s="103"/>
      <c r="C127" s="70" t="s">
        <v>184</v>
      </c>
      <c r="D127" s="73">
        <v>9</v>
      </c>
      <c r="E127" s="72">
        <v>0</v>
      </c>
    </row>
    <row r="128" spans="2:5" ht="15" customHeight="1">
      <c r="B128" s="103"/>
      <c r="C128" s="70" t="s">
        <v>171</v>
      </c>
      <c r="D128" s="73">
        <v>8</v>
      </c>
      <c r="E128" s="72">
        <v>0</v>
      </c>
    </row>
    <row r="129" spans="2:5" ht="15" customHeight="1">
      <c r="B129" s="103"/>
      <c r="C129" s="70" t="s">
        <v>178</v>
      </c>
      <c r="D129" s="73">
        <v>7</v>
      </c>
      <c r="E129" s="72">
        <v>0</v>
      </c>
    </row>
    <row r="130" spans="2:5" ht="15" customHeight="1">
      <c r="B130" s="103"/>
      <c r="C130" s="70" t="s">
        <v>173</v>
      </c>
      <c r="D130" s="73">
        <v>6</v>
      </c>
      <c r="E130" s="72">
        <v>0</v>
      </c>
    </row>
    <row r="131" spans="2:5" ht="15" customHeight="1">
      <c r="B131" s="103"/>
      <c r="C131" s="70" t="s">
        <v>278</v>
      </c>
      <c r="D131" s="73">
        <v>5</v>
      </c>
      <c r="E131" s="72">
        <v>0</v>
      </c>
    </row>
    <row r="132" spans="2:5" ht="15" customHeight="1">
      <c r="B132" s="103"/>
      <c r="C132" s="70" t="s">
        <v>188</v>
      </c>
      <c r="D132" s="73">
        <v>5</v>
      </c>
      <c r="E132" s="72">
        <v>0</v>
      </c>
    </row>
    <row r="133" spans="2:5" ht="15" customHeight="1">
      <c r="B133" s="103"/>
      <c r="C133" s="70" t="s">
        <v>169</v>
      </c>
      <c r="D133" s="73">
        <v>3</v>
      </c>
      <c r="E133" s="72">
        <v>0</v>
      </c>
    </row>
    <row r="134" spans="2:5" ht="15" customHeight="1">
      <c r="B134" s="103"/>
      <c r="C134" s="70" t="s">
        <v>207</v>
      </c>
      <c r="D134" s="73">
        <v>3</v>
      </c>
      <c r="E134" s="72">
        <v>0</v>
      </c>
    </row>
    <row r="135" spans="2:5" ht="15" customHeight="1">
      <c r="B135" s="103"/>
      <c r="C135" s="70" t="s">
        <v>193</v>
      </c>
      <c r="D135" s="73">
        <v>3</v>
      </c>
      <c r="E135" s="72">
        <v>0</v>
      </c>
    </row>
    <row r="136" spans="2:5" ht="15" customHeight="1">
      <c r="B136" s="103"/>
      <c r="C136" s="70" t="s">
        <v>170</v>
      </c>
      <c r="D136" s="73">
        <v>2</v>
      </c>
      <c r="E136" s="72">
        <v>0</v>
      </c>
    </row>
    <row r="137" spans="2:5" ht="15" customHeight="1">
      <c r="B137" s="103"/>
      <c r="C137" s="70" t="s">
        <v>196</v>
      </c>
      <c r="D137" s="73">
        <v>2</v>
      </c>
      <c r="E137" s="72">
        <v>0</v>
      </c>
    </row>
    <row r="138" spans="2:5" ht="15" customHeight="1">
      <c r="B138" s="103"/>
      <c r="C138" s="70" t="s">
        <v>172</v>
      </c>
      <c r="D138" s="73">
        <v>2</v>
      </c>
      <c r="E138" s="72">
        <v>0</v>
      </c>
    </row>
    <row r="139" spans="2:5" ht="15" customHeight="1">
      <c r="B139" s="103"/>
      <c r="C139" s="70" t="s">
        <v>199</v>
      </c>
      <c r="D139" s="73">
        <v>2</v>
      </c>
      <c r="E139" s="72">
        <v>0</v>
      </c>
    </row>
    <row r="140" spans="2:5" ht="15" customHeight="1">
      <c r="B140" s="103"/>
      <c r="C140" s="70" t="s">
        <v>179</v>
      </c>
      <c r="D140" s="73">
        <v>2</v>
      </c>
      <c r="E140" s="72">
        <v>0</v>
      </c>
    </row>
    <row r="141" spans="2:5" ht="15" customHeight="1">
      <c r="B141" s="103"/>
      <c r="C141" s="70" t="s">
        <v>181</v>
      </c>
      <c r="D141" s="73">
        <v>2</v>
      </c>
      <c r="E141" s="72">
        <v>0</v>
      </c>
    </row>
    <row r="142" spans="2:5" ht="15" customHeight="1">
      <c r="B142" s="103"/>
      <c r="C142" s="70" t="s">
        <v>183</v>
      </c>
      <c r="D142" s="73">
        <v>2</v>
      </c>
      <c r="E142" s="72">
        <v>0</v>
      </c>
    </row>
    <row r="143" spans="2:5" ht="15" customHeight="1">
      <c r="B143" s="103"/>
      <c r="C143" s="70" t="s">
        <v>206</v>
      </c>
      <c r="D143" s="73">
        <v>2</v>
      </c>
      <c r="E143" s="72">
        <v>0</v>
      </c>
    </row>
    <row r="144" spans="2:5" ht="15" customHeight="1">
      <c r="B144" s="103"/>
      <c r="C144" s="70" t="s">
        <v>197</v>
      </c>
      <c r="D144" s="73">
        <v>1</v>
      </c>
      <c r="E144" s="72">
        <v>0</v>
      </c>
    </row>
    <row r="145" spans="2:5" ht="15" customHeight="1">
      <c r="B145" s="103"/>
      <c r="C145" s="70" t="s">
        <v>208</v>
      </c>
      <c r="D145" s="73">
        <v>1</v>
      </c>
      <c r="E145" s="72">
        <v>0</v>
      </c>
    </row>
    <row r="146" spans="2:5" ht="15" customHeight="1">
      <c r="B146" s="103"/>
      <c r="C146" s="70" t="s">
        <v>204</v>
      </c>
      <c r="D146" s="73">
        <v>1</v>
      </c>
      <c r="E146" s="72">
        <v>0</v>
      </c>
    </row>
    <row r="147" spans="2:5" ht="15" customHeight="1">
      <c r="B147" s="103"/>
      <c r="C147" s="70" t="s">
        <v>209</v>
      </c>
      <c r="D147" s="73">
        <v>1</v>
      </c>
      <c r="E147" s="72">
        <v>0</v>
      </c>
    </row>
    <row r="148" spans="2:5" ht="15" customHeight="1">
      <c r="B148" s="104"/>
      <c r="C148" s="74" t="s">
        <v>304</v>
      </c>
      <c r="D148" s="75">
        <v>401</v>
      </c>
      <c r="E148" s="76">
        <v>1.6E-2</v>
      </c>
    </row>
    <row r="149" spans="2:5" ht="15" customHeight="1">
      <c r="B149" s="102" t="s">
        <v>107</v>
      </c>
      <c r="C149" s="70" t="s">
        <v>189</v>
      </c>
      <c r="D149" s="73">
        <v>64</v>
      </c>
      <c r="E149" s="72">
        <v>3.0000000000000001E-3</v>
      </c>
    </row>
    <row r="150" spans="2:5" ht="15" customHeight="1">
      <c r="B150" s="103"/>
      <c r="C150" s="70" t="s">
        <v>180</v>
      </c>
      <c r="D150" s="73">
        <v>52</v>
      </c>
      <c r="E150" s="72">
        <v>2E-3</v>
      </c>
    </row>
    <row r="151" spans="2:5" ht="15" customHeight="1">
      <c r="B151" s="103"/>
      <c r="C151" s="70" t="s">
        <v>182</v>
      </c>
      <c r="D151" s="73">
        <v>46</v>
      </c>
      <c r="E151" s="72">
        <v>2E-3</v>
      </c>
    </row>
    <row r="152" spans="2:5" ht="15" customHeight="1">
      <c r="B152" s="103"/>
      <c r="C152" s="70" t="s">
        <v>174</v>
      </c>
      <c r="D152" s="73">
        <v>43</v>
      </c>
      <c r="E152" s="72">
        <v>2E-3</v>
      </c>
    </row>
    <row r="153" spans="2:5" ht="15" customHeight="1">
      <c r="B153" s="103"/>
      <c r="C153" s="70" t="s">
        <v>185</v>
      </c>
      <c r="D153" s="73">
        <v>36</v>
      </c>
      <c r="E153" s="72">
        <v>1E-3</v>
      </c>
    </row>
    <row r="154" spans="2:5" ht="15" customHeight="1">
      <c r="B154" s="103"/>
      <c r="C154" s="70" t="s">
        <v>176</v>
      </c>
      <c r="D154" s="73">
        <v>31</v>
      </c>
      <c r="E154" s="72">
        <v>1E-3</v>
      </c>
    </row>
    <row r="155" spans="2:5" ht="15" customHeight="1">
      <c r="B155" s="103"/>
      <c r="C155" s="70" t="s">
        <v>171</v>
      </c>
      <c r="D155" s="73">
        <v>13</v>
      </c>
      <c r="E155" s="72">
        <v>1E-3</v>
      </c>
    </row>
    <row r="156" spans="2:5" ht="15" customHeight="1">
      <c r="B156" s="103"/>
      <c r="C156" s="70" t="s">
        <v>192</v>
      </c>
      <c r="D156" s="73">
        <v>12</v>
      </c>
      <c r="E156" s="72">
        <v>0</v>
      </c>
    </row>
    <row r="157" spans="2:5" ht="15" customHeight="1">
      <c r="B157" s="103"/>
      <c r="C157" s="70" t="s">
        <v>191</v>
      </c>
      <c r="D157" s="73">
        <v>11</v>
      </c>
      <c r="E157" s="72">
        <v>0</v>
      </c>
    </row>
    <row r="158" spans="2:5" ht="15" customHeight="1">
      <c r="B158" s="103"/>
      <c r="C158" s="70" t="s">
        <v>186</v>
      </c>
      <c r="D158" s="73">
        <v>10</v>
      </c>
      <c r="E158" s="72">
        <v>0</v>
      </c>
    </row>
    <row r="159" spans="2:5" ht="15" customHeight="1">
      <c r="B159" s="103"/>
      <c r="C159" s="70" t="s">
        <v>170</v>
      </c>
      <c r="D159" s="73">
        <v>8</v>
      </c>
      <c r="E159" s="72">
        <v>0</v>
      </c>
    </row>
    <row r="160" spans="2:5" ht="15" customHeight="1">
      <c r="B160" s="103"/>
      <c r="C160" s="70" t="s">
        <v>188</v>
      </c>
      <c r="D160" s="73">
        <v>8</v>
      </c>
      <c r="E160" s="72">
        <v>0</v>
      </c>
    </row>
    <row r="161" spans="2:5" ht="15" customHeight="1">
      <c r="B161" s="103"/>
      <c r="C161" s="70" t="s">
        <v>177</v>
      </c>
      <c r="D161" s="73">
        <v>6</v>
      </c>
      <c r="E161" s="72">
        <v>0</v>
      </c>
    </row>
    <row r="162" spans="2:5" ht="15" customHeight="1">
      <c r="B162" s="103"/>
      <c r="C162" s="70" t="s">
        <v>184</v>
      </c>
      <c r="D162" s="73">
        <v>6</v>
      </c>
      <c r="E162" s="72">
        <v>0</v>
      </c>
    </row>
    <row r="163" spans="2:5" ht="15" customHeight="1">
      <c r="B163" s="103"/>
      <c r="C163" s="70" t="s">
        <v>179</v>
      </c>
      <c r="D163" s="73">
        <v>5</v>
      </c>
      <c r="E163" s="72">
        <v>0</v>
      </c>
    </row>
    <row r="164" spans="2:5" ht="15" customHeight="1">
      <c r="B164" s="103"/>
      <c r="C164" s="70" t="s">
        <v>181</v>
      </c>
      <c r="D164" s="73">
        <v>4</v>
      </c>
      <c r="E164" s="72">
        <v>0</v>
      </c>
    </row>
    <row r="165" spans="2:5" ht="15" customHeight="1">
      <c r="B165" s="103"/>
      <c r="C165" s="70" t="s">
        <v>187</v>
      </c>
      <c r="D165" s="73">
        <v>4</v>
      </c>
      <c r="E165" s="72">
        <v>0</v>
      </c>
    </row>
    <row r="166" spans="2:5" ht="15" customHeight="1">
      <c r="B166" s="103"/>
      <c r="C166" s="70" t="s">
        <v>190</v>
      </c>
      <c r="D166" s="73">
        <v>3</v>
      </c>
      <c r="E166" s="72">
        <v>0</v>
      </c>
    </row>
    <row r="167" spans="2:5" ht="15" customHeight="1">
      <c r="B167" s="103"/>
      <c r="C167" s="70" t="s">
        <v>183</v>
      </c>
      <c r="D167" s="73">
        <v>2</v>
      </c>
      <c r="E167" s="72">
        <v>0</v>
      </c>
    </row>
    <row r="168" spans="2:5" ht="15" customHeight="1">
      <c r="B168" s="103"/>
      <c r="C168" s="70" t="s">
        <v>207</v>
      </c>
      <c r="D168" s="73">
        <v>2</v>
      </c>
      <c r="E168" s="72">
        <v>0</v>
      </c>
    </row>
    <row r="169" spans="2:5" ht="15" customHeight="1">
      <c r="B169" s="103"/>
      <c r="C169" s="70" t="s">
        <v>195</v>
      </c>
      <c r="D169" s="73">
        <v>2</v>
      </c>
      <c r="E169" s="72">
        <v>0</v>
      </c>
    </row>
    <row r="170" spans="2:5" ht="15" customHeight="1">
      <c r="B170" s="103"/>
      <c r="C170" s="70" t="s">
        <v>193</v>
      </c>
      <c r="D170" s="73">
        <v>2</v>
      </c>
      <c r="E170" s="72">
        <v>0</v>
      </c>
    </row>
    <row r="171" spans="2:5" ht="15" customHeight="1">
      <c r="B171" s="103"/>
      <c r="C171" s="70" t="s">
        <v>169</v>
      </c>
      <c r="D171" s="73">
        <v>1</v>
      </c>
      <c r="E171" s="72">
        <v>0</v>
      </c>
    </row>
    <row r="172" spans="2:5" ht="15" customHeight="1">
      <c r="B172" s="103"/>
      <c r="C172" s="70" t="s">
        <v>196</v>
      </c>
      <c r="D172" s="73">
        <v>1</v>
      </c>
      <c r="E172" s="72">
        <v>0</v>
      </c>
    </row>
    <row r="173" spans="2:5" ht="15" customHeight="1">
      <c r="B173" s="103"/>
      <c r="C173" s="70" t="s">
        <v>173</v>
      </c>
      <c r="D173" s="73">
        <v>1</v>
      </c>
      <c r="E173" s="72">
        <v>0</v>
      </c>
    </row>
    <row r="174" spans="2:5" ht="15" customHeight="1">
      <c r="B174" s="103"/>
      <c r="C174" s="70" t="s">
        <v>197</v>
      </c>
      <c r="D174" s="73">
        <v>1</v>
      </c>
      <c r="E174" s="72">
        <v>0</v>
      </c>
    </row>
    <row r="175" spans="2:5" ht="15" customHeight="1">
      <c r="B175" s="103"/>
      <c r="C175" s="70" t="s">
        <v>208</v>
      </c>
      <c r="D175" s="73">
        <v>1</v>
      </c>
      <c r="E175" s="72">
        <v>0</v>
      </c>
    </row>
    <row r="176" spans="2:5" ht="15" customHeight="1">
      <c r="B176" s="103"/>
      <c r="C176" s="70" t="s">
        <v>199</v>
      </c>
      <c r="D176" s="73">
        <v>1</v>
      </c>
      <c r="E176" s="72">
        <v>0</v>
      </c>
    </row>
    <row r="177" spans="2:5" ht="15" customHeight="1">
      <c r="B177" s="103"/>
      <c r="C177" s="70" t="s">
        <v>204</v>
      </c>
      <c r="D177" s="73">
        <v>1</v>
      </c>
      <c r="E177" s="72">
        <v>0</v>
      </c>
    </row>
    <row r="178" spans="2:5" ht="15" customHeight="1">
      <c r="B178" s="103"/>
      <c r="C178" s="70" t="s">
        <v>205</v>
      </c>
      <c r="D178" s="73">
        <v>1</v>
      </c>
      <c r="E178" s="72">
        <v>0</v>
      </c>
    </row>
    <row r="179" spans="2:5" ht="15" customHeight="1">
      <c r="B179" s="103"/>
      <c r="C179" s="70" t="s">
        <v>203</v>
      </c>
      <c r="D179" s="73">
        <v>1</v>
      </c>
      <c r="E179" s="72">
        <v>0</v>
      </c>
    </row>
    <row r="180" spans="2:5" ht="15" customHeight="1">
      <c r="B180" s="104"/>
      <c r="C180" s="74" t="s">
        <v>304</v>
      </c>
      <c r="D180" s="75">
        <v>379</v>
      </c>
      <c r="E180" s="76">
        <v>1.6E-2</v>
      </c>
    </row>
    <row r="181" spans="2:5" ht="15" customHeight="1">
      <c r="B181" s="102" t="s">
        <v>99</v>
      </c>
      <c r="C181" s="70" t="s">
        <v>189</v>
      </c>
      <c r="D181" s="73">
        <v>76</v>
      </c>
      <c r="E181" s="72">
        <v>3.0000000000000001E-3</v>
      </c>
    </row>
    <row r="182" spans="2:5" ht="15" customHeight="1">
      <c r="B182" s="103"/>
      <c r="C182" s="70" t="s">
        <v>180</v>
      </c>
      <c r="D182" s="73">
        <v>37</v>
      </c>
      <c r="E182" s="72">
        <v>2E-3</v>
      </c>
    </row>
    <row r="183" spans="2:5" ht="15" customHeight="1">
      <c r="B183" s="103"/>
      <c r="C183" s="70" t="s">
        <v>176</v>
      </c>
      <c r="D183" s="73">
        <v>34</v>
      </c>
      <c r="E183" s="72">
        <v>1E-3</v>
      </c>
    </row>
    <row r="184" spans="2:5" ht="15" customHeight="1">
      <c r="B184" s="103"/>
      <c r="C184" s="70" t="s">
        <v>174</v>
      </c>
      <c r="D184" s="73">
        <v>29</v>
      </c>
      <c r="E184" s="72">
        <v>1E-3</v>
      </c>
    </row>
    <row r="185" spans="2:5" ht="15" customHeight="1">
      <c r="B185" s="103"/>
      <c r="C185" s="70" t="s">
        <v>182</v>
      </c>
      <c r="D185" s="73">
        <v>28</v>
      </c>
      <c r="E185" s="72">
        <v>1E-3</v>
      </c>
    </row>
    <row r="186" spans="2:5" ht="15" customHeight="1">
      <c r="B186" s="103"/>
      <c r="C186" s="70" t="s">
        <v>185</v>
      </c>
      <c r="D186" s="73">
        <v>26</v>
      </c>
      <c r="E186" s="72">
        <v>1E-3</v>
      </c>
    </row>
    <row r="187" spans="2:5" ht="15" customHeight="1">
      <c r="B187" s="103"/>
      <c r="C187" s="70" t="s">
        <v>192</v>
      </c>
      <c r="D187" s="73">
        <v>21</v>
      </c>
      <c r="E187" s="72">
        <v>1E-3</v>
      </c>
    </row>
    <row r="188" spans="2:5" ht="15" customHeight="1">
      <c r="B188" s="103"/>
      <c r="C188" s="70" t="s">
        <v>186</v>
      </c>
      <c r="D188" s="73">
        <v>15</v>
      </c>
      <c r="E188" s="72">
        <v>1E-3</v>
      </c>
    </row>
    <row r="189" spans="2:5" ht="15" customHeight="1">
      <c r="B189" s="103"/>
      <c r="C189" s="70" t="s">
        <v>171</v>
      </c>
      <c r="D189" s="73">
        <v>12</v>
      </c>
      <c r="E189" s="72">
        <v>0</v>
      </c>
    </row>
    <row r="190" spans="2:5" ht="15" customHeight="1">
      <c r="B190" s="103"/>
      <c r="C190" s="70" t="s">
        <v>177</v>
      </c>
      <c r="D190" s="73">
        <v>10</v>
      </c>
      <c r="E190" s="72">
        <v>0</v>
      </c>
    </row>
    <row r="191" spans="2:5" ht="15" customHeight="1">
      <c r="B191" s="103"/>
      <c r="C191" s="70" t="s">
        <v>187</v>
      </c>
      <c r="D191" s="73">
        <v>10</v>
      </c>
      <c r="E191" s="72">
        <v>0</v>
      </c>
    </row>
    <row r="192" spans="2:5" ht="15" customHeight="1">
      <c r="B192" s="103"/>
      <c r="C192" s="70" t="s">
        <v>191</v>
      </c>
      <c r="D192" s="73">
        <v>7</v>
      </c>
      <c r="E192" s="72">
        <v>0</v>
      </c>
    </row>
    <row r="193" spans="2:5" ht="15" customHeight="1">
      <c r="B193" s="103"/>
      <c r="C193" s="70" t="s">
        <v>194</v>
      </c>
      <c r="D193" s="73">
        <v>6</v>
      </c>
      <c r="E193" s="72">
        <v>0</v>
      </c>
    </row>
    <row r="194" spans="2:5" ht="15" customHeight="1">
      <c r="B194" s="103"/>
      <c r="C194" s="70" t="s">
        <v>204</v>
      </c>
      <c r="D194" s="73">
        <v>6</v>
      </c>
      <c r="E194" s="72">
        <v>0</v>
      </c>
    </row>
    <row r="195" spans="2:5" ht="15" customHeight="1">
      <c r="B195" s="103"/>
      <c r="C195" s="70" t="s">
        <v>200</v>
      </c>
      <c r="D195" s="73">
        <v>5</v>
      </c>
      <c r="E195" s="72">
        <v>0</v>
      </c>
    </row>
    <row r="196" spans="2:5" ht="15" customHeight="1">
      <c r="B196" s="103"/>
      <c r="C196" s="70" t="s">
        <v>169</v>
      </c>
      <c r="D196" s="73">
        <v>4</v>
      </c>
      <c r="E196" s="72">
        <v>0</v>
      </c>
    </row>
    <row r="197" spans="2:5" ht="15" customHeight="1">
      <c r="B197" s="103"/>
      <c r="C197" s="70" t="s">
        <v>193</v>
      </c>
      <c r="D197" s="73">
        <v>4</v>
      </c>
      <c r="E197" s="72">
        <v>0</v>
      </c>
    </row>
    <row r="198" spans="2:5" ht="15" customHeight="1">
      <c r="B198" s="103"/>
      <c r="C198" s="70" t="s">
        <v>196</v>
      </c>
      <c r="D198" s="73">
        <v>3</v>
      </c>
      <c r="E198" s="72">
        <v>0</v>
      </c>
    </row>
    <row r="199" spans="2:5" ht="15" customHeight="1">
      <c r="B199" s="103"/>
      <c r="C199" s="70" t="s">
        <v>179</v>
      </c>
      <c r="D199" s="73">
        <v>3</v>
      </c>
      <c r="E199" s="72">
        <v>0</v>
      </c>
    </row>
    <row r="200" spans="2:5" ht="15" customHeight="1">
      <c r="B200" s="103"/>
      <c r="C200" s="70" t="s">
        <v>207</v>
      </c>
      <c r="D200" s="73">
        <v>3</v>
      </c>
      <c r="E200" s="72">
        <v>0</v>
      </c>
    </row>
    <row r="201" spans="2:5" ht="15" customHeight="1">
      <c r="B201" s="103"/>
      <c r="C201" s="70" t="s">
        <v>197</v>
      </c>
      <c r="D201" s="73">
        <v>2</v>
      </c>
      <c r="E201" s="72">
        <v>0</v>
      </c>
    </row>
    <row r="202" spans="2:5" ht="15" customHeight="1">
      <c r="B202" s="103"/>
      <c r="C202" s="70" t="s">
        <v>208</v>
      </c>
      <c r="D202" s="73">
        <v>2</v>
      </c>
      <c r="E202" s="72">
        <v>0</v>
      </c>
    </row>
    <row r="203" spans="2:5" ht="15" customHeight="1">
      <c r="B203" s="103"/>
      <c r="C203" s="70" t="s">
        <v>175</v>
      </c>
      <c r="D203" s="73">
        <v>2</v>
      </c>
      <c r="E203" s="72">
        <v>0</v>
      </c>
    </row>
    <row r="204" spans="2:5" ht="15" customHeight="1">
      <c r="B204" s="103"/>
      <c r="C204" s="70" t="s">
        <v>278</v>
      </c>
      <c r="D204" s="73">
        <v>2</v>
      </c>
      <c r="E204" s="72">
        <v>0</v>
      </c>
    </row>
    <row r="205" spans="2:5" ht="15" customHeight="1">
      <c r="B205" s="103"/>
      <c r="C205" s="70" t="s">
        <v>181</v>
      </c>
      <c r="D205" s="73">
        <v>2</v>
      </c>
      <c r="E205" s="72">
        <v>0</v>
      </c>
    </row>
    <row r="206" spans="2:5" ht="15" customHeight="1">
      <c r="B206" s="103"/>
      <c r="C206" s="70" t="s">
        <v>184</v>
      </c>
      <c r="D206" s="73">
        <v>2</v>
      </c>
      <c r="E206" s="72">
        <v>0</v>
      </c>
    </row>
    <row r="207" spans="2:5" ht="15" customHeight="1">
      <c r="B207" s="103"/>
      <c r="C207" s="70" t="s">
        <v>206</v>
      </c>
      <c r="D207" s="73">
        <v>2</v>
      </c>
      <c r="E207" s="72">
        <v>0</v>
      </c>
    </row>
    <row r="208" spans="2:5" ht="15" customHeight="1">
      <c r="B208" s="103"/>
      <c r="C208" s="70" t="s">
        <v>190</v>
      </c>
      <c r="D208" s="73">
        <v>2</v>
      </c>
      <c r="E208" s="72">
        <v>0</v>
      </c>
    </row>
    <row r="209" spans="2:5" ht="15" customHeight="1">
      <c r="B209" s="103"/>
      <c r="C209" s="70" t="s">
        <v>173</v>
      </c>
      <c r="D209" s="73">
        <v>1</v>
      </c>
      <c r="E209" s="72">
        <v>0</v>
      </c>
    </row>
    <row r="210" spans="2:5" ht="15" customHeight="1">
      <c r="B210" s="103"/>
      <c r="C210" s="70" t="s">
        <v>198</v>
      </c>
      <c r="D210" s="73">
        <v>1</v>
      </c>
      <c r="E210" s="72">
        <v>0</v>
      </c>
    </row>
    <row r="211" spans="2:5" ht="15" customHeight="1">
      <c r="B211" s="103"/>
      <c r="C211" s="70" t="s">
        <v>199</v>
      </c>
      <c r="D211" s="73">
        <v>1</v>
      </c>
      <c r="E211" s="72">
        <v>0</v>
      </c>
    </row>
    <row r="212" spans="2:5" ht="15" customHeight="1">
      <c r="B212" s="103"/>
      <c r="C212" s="70" t="s">
        <v>188</v>
      </c>
      <c r="D212" s="73">
        <v>1</v>
      </c>
      <c r="E212" s="72">
        <v>0</v>
      </c>
    </row>
    <row r="213" spans="2:5" ht="15" customHeight="1">
      <c r="B213" s="104"/>
      <c r="C213" s="74" t="s">
        <v>304</v>
      </c>
      <c r="D213" s="75">
        <v>359</v>
      </c>
      <c r="E213" s="76">
        <v>1.4999999999999999E-2</v>
      </c>
    </row>
    <row r="214" spans="2:5" ht="15" customHeight="1">
      <c r="B214" s="102" t="s">
        <v>128</v>
      </c>
      <c r="C214" s="70" t="s">
        <v>180</v>
      </c>
      <c r="D214" s="73">
        <v>70</v>
      </c>
      <c r="E214" s="72">
        <v>3.0000000000000001E-3</v>
      </c>
    </row>
    <row r="215" spans="2:5" ht="15" customHeight="1">
      <c r="B215" s="103"/>
      <c r="C215" s="70" t="s">
        <v>189</v>
      </c>
      <c r="D215" s="73">
        <v>38</v>
      </c>
      <c r="E215" s="72">
        <v>2E-3</v>
      </c>
    </row>
    <row r="216" spans="2:5" ht="15" customHeight="1">
      <c r="B216" s="103"/>
      <c r="C216" s="70" t="s">
        <v>185</v>
      </c>
      <c r="D216" s="73">
        <v>33</v>
      </c>
      <c r="E216" s="72">
        <v>1E-3</v>
      </c>
    </row>
    <row r="217" spans="2:5" ht="15" customHeight="1">
      <c r="B217" s="103"/>
      <c r="C217" s="70" t="s">
        <v>176</v>
      </c>
      <c r="D217" s="73">
        <v>25</v>
      </c>
      <c r="E217" s="72">
        <v>1E-3</v>
      </c>
    </row>
    <row r="218" spans="2:5" ht="15" customHeight="1">
      <c r="B218" s="103"/>
      <c r="C218" s="70" t="s">
        <v>182</v>
      </c>
      <c r="D218" s="73">
        <v>24</v>
      </c>
      <c r="E218" s="72">
        <v>1E-3</v>
      </c>
    </row>
    <row r="219" spans="2:5" ht="15" customHeight="1">
      <c r="B219" s="103"/>
      <c r="C219" s="70" t="s">
        <v>174</v>
      </c>
      <c r="D219" s="73">
        <v>19</v>
      </c>
      <c r="E219" s="72">
        <v>1E-3</v>
      </c>
    </row>
    <row r="220" spans="2:5" ht="15" customHeight="1">
      <c r="B220" s="103"/>
      <c r="C220" s="70" t="s">
        <v>190</v>
      </c>
      <c r="D220" s="73">
        <v>19</v>
      </c>
      <c r="E220" s="72">
        <v>1E-3</v>
      </c>
    </row>
    <row r="221" spans="2:5" ht="15" customHeight="1">
      <c r="B221" s="103"/>
      <c r="C221" s="70" t="s">
        <v>184</v>
      </c>
      <c r="D221" s="73">
        <v>16</v>
      </c>
      <c r="E221" s="72">
        <v>1E-3</v>
      </c>
    </row>
    <row r="222" spans="2:5" ht="15" customHeight="1">
      <c r="B222" s="103"/>
      <c r="C222" s="70" t="s">
        <v>191</v>
      </c>
      <c r="D222" s="73">
        <v>15</v>
      </c>
      <c r="E222" s="72">
        <v>1E-3</v>
      </c>
    </row>
    <row r="223" spans="2:5" ht="15" customHeight="1">
      <c r="B223" s="103"/>
      <c r="C223" s="70" t="s">
        <v>192</v>
      </c>
      <c r="D223" s="73">
        <v>12</v>
      </c>
      <c r="E223" s="72">
        <v>0</v>
      </c>
    </row>
    <row r="224" spans="2:5" ht="15" customHeight="1">
      <c r="B224" s="103"/>
      <c r="C224" s="70" t="s">
        <v>177</v>
      </c>
      <c r="D224" s="73">
        <v>8</v>
      </c>
      <c r="E224" s="72">
        <v>0</v>
      </c>
    </row>
    <row r="225" spans="2:5" ht="15" customHeight="1">
      <c r="B225" s="103"/>
      <c r="C225" s="70" t="s">
        <v>171</v>
      </c>
      <c r="D225" s="73">
        <v>6</v>
      </c>
      <c r="E225" s="72">
        <v>0</v>
      </c>
    </row>
    <row r="226" spans="2:5" ht="15" customHeight="1">
      <c r="B226" s="103"/>
      <c r="C226" s="70" t="s">
        <v>186</v>
      </c>
      <c r="D226" s="73">
        <v>6</v>
      </c>
      <c r="E226" s="72">
        <v>0</v>
      </c>
    </row>
    <row r="227" spans="2:5" ht="15" customHeight="1">
      <c r="B227" s="103"/>
      <c r="C227" s="70" t="s">
        <v>200</v>
      </c>
      <c r="D227" s="73">
        <v>5</v>
      </c>
      <c r="E227" s="72">
        <v>0</v>
      </c>
    </row>
    <row r="228" spans="2:5" ht="15" customHeight="1">
      <c r="B228" s="103"/>
      <c r="C228" s="70" t="s">
        <v>187</v>
      </c>
      <c r="D228" s="73">
        <v>5</v>
      </c>
      <c r="E228" s="72">
        <v>0</v>
      </c>
    </row>
    <row r="229" spans="2:5" ht="15" customHeight="1">
      <c r="B229" s="103"/>
      <c r="C229" s="70" t="s">
        <v>188</v>
      </c>
      <c r="D229" s="73">
        <v>5</v>
      </c>
      <c r="E229" s="72">
        <v>0</v>
      </c>
    </row>
    <row r="230" spans="2:5" ht="15" customHeight="1">
      <c r="B230" s="103"/>
      <c r="C230" s="70" t="s">
        <v>170</v>
      </c>
      <c r="D230" s="73">
        <v>3</v>
      </c>
      <c r="E230" s="72">
        <v>0</v>
      </c>
    </row>
    <row r="231" spans="2:5" ht="15" customHeight="1">
      <c r="B231" s="103"/>
      <c r="C231" s="70" t="s">
        <v>169</v>
      </c>
      <c r="D231" s="73">
        <v>2</v>
      </c>
      <c r="E231" s="72">
        <v>0</v>
      </c>
    </row>
    <row r="232" spans="2:5" ht="15" customHeight="1">
      <c r="B232" s="103"/>
      <c r="C232" s="70" t="s">
        <v>173</v>
      </c>
      <c r="D232" s="73">
        <v>2</v>
      </c>
      <c r="E232" s="72">
        <v>0</v>
      </c>
    </row>
    <row r="233" spans="2:5" ht="15" customHeight="1">
      <c r="B233" s="103"/>
      <c r="C233" s="70" t="s">
        <v>197</v>
      </c>
      <c r="D233" s="73">
        <v>2</v>
      </c>
      <c r="E233" s="72">
        <v>0</v>
      </c>
    </row>
    <row r="234" spans="2:5" ht="15" customHeight="1">
      <c r="B234" s="103"/>
      <c r="C234" s="70" t="s">
        <v>178</v>
      </c>
      <c r="D234" s="73">
        <v>2</v>
      </c>
      <c r="E234" s="72">
        <v>0</v>
      </c>
    </row>
    <row r="235" spans="2:5" ht="15" customHeight="1">
      <c r="B235" s="103"/>
      <c r="C235" s="70" t="s">
        <v>179</v>
      </c>
      <c r="D235" s="73">
        <v>2</v>
      </c>
      <c r="E235" s="72">
        <v>0</v>
      </c>
    </row>
    <row r="236" spans="2:5" ht="15" customHeight="1">
      <c r="B236" s="103"/>
      <c r="C236" s="70" t="s">
        <v>181</v>
      </c>
      <c r="D236" s="73">
        <v>2</v>
      </c>
      <c r="E236" s="72">
        <v>0</v>
      </c>
    </row>
    <row r="237" spans="2:5" ht="15" customHeight="1">
      <c r="B237" s="103"/>
      <c r="C237" s="70" t="s">
        <v>193</v>
      </c>
      <c r="D237" s="73">
        <v>2</v>
      </c>
      <c r="E237" s="72">
        <v>0</v>
      </c>
    </row>
    <row r="238" spans="2:5" ht="15" customHeight="1">
      <c r="B238" s="103"/>
      <c r="C238" s="70" t="s">
        <v>204</v>
      </c>
      <c r="D238" s="73">
        <v>1</v>
      </c>
      <c r="E238" s="72">
        <v>0</v>
      </c>
    </row>
    <row r="239" spans="2:5" ht="15" customHeight="1">
      <c r="B239" s="103"/>
      <c r="C239" s="70" t="s">
        <v>205</v>
      </c>
      <c r="D239" s="73">
        <v>1</v>
      </c>
      <c r="E239" s="72">
        <v>0</v>
      </c>
    </row>
    <row r="240" spans="2:5" ht="15" customHeight="1">
      <c r="B240" s="103"/>
      <c r="C240" s="70" t="s">
        <v>206</v>
      </c>
      <c r="D240" s="73">
        <v>1</v>
      </c>
      <c r="E240" s="72">
        <v>0</v>
      </c>
    </row>
    <row r="241" spans="2:5" ht="15" customHeight="1">
      <c r="B241" s="103"/>
      <c r="C241" s="70" t="s">
        <v>195</v>
      </c>
      <c r="D241" s="73">
        <v>1</v>
      </c>
      <c r="E241" s="72">
        <v>0</v>
      </c>
    </row>
    <row r="242" spans="2:5" ht="15" customHeight="1">
      <c r="B242" s="104"/>
      <c r="C242" s="74" t="s">
        <v>304</v>
      </c>
      <c r="D242" s="75">
        <v>327</v>
      </c>
      <c r="E242" s="76">
        <v>1.2999999999999999E-2</v>
      </c>
    </row>
    <row r="243" spans="2:5" ht="15" customHeight="1">
      <c r="B243" s="102" t="s">
        <v>134</v>
      </c>
      <c r="C243" s="70" t="s">
        <v>176</v>
      </c>
      <c r="D243" s="73">
        <v>40</v>
      </c>
      <c r="E243" s="72">
        <v>2E-3</v>
      </c>
    </row>
    <row r="244" spans="2:5" ht="15" customHeight="1">
      <c r="B244" s="103"/>
      <c r="C244" s="70" t="s">
        <v>180</v>
      </c>
      <c r="D244" s="73">
        <v>37</v>
      </c>
      <c r="E244" s="72">
        <v>2E-3</v>
      </c>
    </row>
    <row r="245" spans="2:5" ht="15" customHeight="1">
      <c r="B245" s="103"/>
      <c r="C245" s="70" t="s">
        <v>185</v>
      </c>
      <c r="D245" s="73">
        <v>34</v>
      </c>
      <c r="E245" s="72">
        <v>1E-3</v>
      </c>
    </row>
    <row r="246" spans="2:5" ht="15" customHeight="1">
      <c r="B246" s="103"/>
      <c r="C246" s="70" t="s">
        <v>192</v>
      </c>
      <c r="D246" s="73">
        <v>26</v>
      </c>
      <c r="E246" s="72">
        <v>1E-3</v>
      </c>
    </row>
    <row r="247" spans="2:5" ht="15" customHeight="1">
      <c r="B247" s="103"/>
      <c r="C247" s="70" t="s">
        <v>174</v>
      </c>
      <c r="D247" s="73">
        <v>16</v>
      </c>
      <c r="E247" s="72">
        <v>1E-3</v>
      </c>
    </row>
    <row r="248" spans="2:5" ht="15" customHeight="1">
      <c r="B248" s="103"/>
      <c r="C248" s="70" t="s">
        <v>182</v>
      </c>
      <c r="D248" s="73">
        <v>16</v>
      </c>
      <c r="E248" s="72">
        <v>1E-3</v>
      </c>
    </row>
    <row r="249" spans="2:5" ht="15" customHeight="1">
      <c r="B249" s="103"/>
      <c r="C249" s="70" t="s">
        <v>188</v>
      </c>
      <c r="D249" s="73">
        <v>16</v>
      </c>
      <c r="E249" s="72">
        <v>1E-3</v>
      </c>
    </row>
    <row r="250" spans="2:5" ht="15" customHeight="1">
      <c r="B250" s="103"/>
      <c r="C250" s="70" t="s">
        <v>190</v>
      </c>
      <c r="D250" s="73">
        <v>14</v>
      </c>
      <c r="E250" s="72">
        <v>1E-3</v>
      </c>
    </row>
    <row r="251" spans="2:5" ht="15" customHeight="1">
      <c r="B251" s="103"/>
      <c r="C251" s="70" t="s">
        <v>184</v>
      </c>
      <c r="D251" s="73">
        <v>13</v>
      </c>
      <c r="E251" s="72">
        <v>1E-3</v>
      </c>
    </row>
    <row r="252" spans="2:5" ht="15" customHeight="1">
      <c r="B252" s="103"/>
      <c r="C252" s="70" t="s">
        <v>189</v>
      </c>
      <c r="D252" s="73">
        <v>11</v>
      </c>
      <c r="E252" s="72">
        <v>0</v>
      </c>
    </row>
    <row r="253" spans="2:5" ht="15" customHeight="1">
      <c r="B253" s="103"/>
      <c r="C253" s="70" t="s">
        <v>177</v>
      </c>
      <c r="D253" s="73">
        <v>10</v>
      </c>
      <c r="E253" s="72">
        <v>0</v>
      </c>
    </row>
    <row r="254" spans="2:5" ht="15" customHeight="1">
      <c r="B254" s="103"/>
      <c r="C254" s="70" t="s">
        <v>186</v>
      </c>
      <c r="D254" s="73">
        <v>10</v>
      </c>
      <c r="E254" s="72">
        <v>0</v>
      </c>
    </row>
    <row r="255" spans="2:5" ht="15" customHeight="1">
      <c r="B255" s="103"/>
      <c r="C255" s="70" t="s">
        <v>170</v>
      </c>
      <c r="D255" s="73">
        <v>8</v>
      </c>
      <c r="E255" s="72">
        <v>0</v>
      </c>
    </row>
    <row r="256" spans="2:5" ht="15" customHeight="1">
      <c r="B256" s="103"/>
      <c r="C256" s="70" t="s">
        <v>191</v>
      </c>
      <c r="D256" s="73">
        <v>8</v>
      </c>
      <c r="E256" s="72">
        <v>0</v>
      </c>
    </row>
    <row r="257" spans="2:5" ht="15" customHeight="1">
      <c r="B257" s="103"/>
      <c r="C257" s="70" t="s">
        <v>173</v>
      </c>
      <c r="D257" s="73">
        <v>6</v>
      </c>
      <c r="E257" s="72">
        <v>0</v>
      </c>
    </row>
    <row r="258" spans="2:5" ht="15" customHeight="1">
      <c r="B258" s="103"/>
      <c r="C258" s="70" t="s">
        <v>187</v>
      </c>
      <c r="D258" s="73">
        <v>6</v>
      </c>
      <c r="E258" s="72">
        <v>0</v>
      </c>
    </row>
    <row r="259" spans="2:5" ht="15" customHeight="1">
      <c r="B259" s="103"/>
      <c r="C259" s="70" t="s">
        <v>194</v>
      </c>
      <c r="D259" s="73">
        <v>5</v>
      </c>
      <c r="E259" s="72">
        <v>0</v>
      </c>
    </row>
    <row r="260" spans="2:5" ht="15" customHeight="1">
      <c r="B260" s="103"/>
      <c r="C260" s="70" t="s">
        <v>169</v>
      </c>
      <c r="D260" s="73">
        <v>3</v>
      </c>
      <c r="E260" s="72">
        <v>0</v>
      </c>
    </row>
    <row r="261" spans="2:5" ht="15" customHeight="1">
      <c r="B261" s="103"/>
      <c r="C261" s="70" t="s">
        <v>178</v>
      </c>
      <c r="D261" s="73">
        <v>3</v>
      </c>
      <c r="E261" s="72">
        <v>0</v>
      </c>
    </row>
    <row r="262" spans="2:5" ht="15" customHeight="1">
      <c r="B262" s="103"/>
      <c r="C262" s="70" t="s">
        <v>193</v>
      </c>
      <c r="D262" s="73">
        <v>3</v>
      </c>
      <c r="E262" s="72">
        <v>0</v>
      </c>
    </row>
    <row r="263" spans="2:5" ht="15" customHeight="1">
      <c r="B263" s="103"/>
      <c r="C263" s="70" t="s">
        <v>171</v>
      </c>
      <c r="D263" s="73">
        <v>2</v>
      </c>
      <c r="E263" s="72">
        <v>0</v>
      </c>
    </row>
    <row r="264" spans="2:5" ht="15" customHeight="1">
      <c r="B264" s="103"/>
      <c r="C264" s="70" t="s">
        <v>196</v>
      </c>
      <c r="D264" s="73">
        <v>2</v>
      </c>
      <c r="E264" s="72">
        <v>0</v>
      </c>
    </row>
    <row r="265" spans="2:5" ht="15" customHeight="1">
      <c r="B265" s="103"/>
      <c r="C265" s="70" t="s">
        <v>208</v>
      </c>
      <c r="D265" s="73">
        <v>2</v>
      </c>
      <c r="E265" s="72">
        <v>0</v>
      </c>
    </row>
    <row r="266" spans="2:5" ht="15" customHeight="1">
      <c r="B266" s="103"/>
      <c r="C266" s="70" t="s">
        <v>206</v>
      </c>
      <c r="D266" s="73">
        <v>2</v>
      </c>
      <c r="E266" s="72">
        <v>0</v>
      </c>
    </row>
    <row r="267" spans="2:5" ht="15" customHeight="1">
      <c r="B267" s="103"/>
      <c r="C267" s="70" t="s">
        <v>172</v>
      </c>
      <c r="D267" s="73">
        <v>1</v>
      </c>
      <c r="E267" s="72">
        <v>0</v>
      </c>
    </row>
    <row r="268" spans="2:5" ht="15" customHeight="1">
      <c r="B268" s="103"/>
      <c r="C268" s="70" t="s">
        <v>204</v>
      </c>
      <c r="D268" s="73">
        <v>1</v>
      </c>
      <c r="E268" s="72">
        <v>0</v>
      </c>
    </row>
    <row r="269" spans="2:5" ht="15" customHeight="1">
      <c r="B269" s="103"/>
      <c r="C269" s="70" t="s">
        <v>207</v>
      </c>
      <c r="D269" s="73">
        <v>1</v>
      </c>
      <c r="E269" s="72">
        <v>0</v>
      </c>
    </row>
    <row r="270" spans="2:5" ht="15" customHeight="1">
      <c r="B270" s="104"/>
      <c r="C270" s="74" t="s">
        <v>304</v>
      </c>
      <c r="D270" s="75">
        <v>296</v>
      </c>
      <c r="E270" s="76">
        <v>1.2E-2</v>
      </c>
    </row>
    <row r="271" spans="2:5" ht="15" customHeight="1">
      <c r="B271" s="102" t="s">
        <v>98</v>
      </c>
      <c r="C271" s="70" t="s">
        <v>176</v>
      </c>
      <c r="D271" s="73">
        <v>59</v>
      </c>
      <c r="E271" s="72">
        <v>2E-3</v>
      </c>
    </row>
    <row r="272" spans="2:5" ht="15" customHeight="1">
      <c r="B272" s="103"/>
      <c r="C272" s="70" t="s">
        <v>180</v>
      </c>
      <c r="D272" s="73">
        <v>34</v>
      </c>
      <c r="E272" s="72">
        <v>1E-3</v>
      </c>
    </row>
    <row r="273" spans="2:5" ht="15" customHeight="1">
      <c r="B273" s="103"/>
      <c r="C273" s="70" t="s">
        <v>185</v>
      </c>
      <c r="D273" s="73">
        <v>22</v>
      </c>
      <c r="E273" s="72">
        <v>1E-3</v>
      </c>
    </row>
    <row r="274" spans="2:5" ht="15" customHeight="1">
      <c r="B274" s="103"/>
      <c r="C274" s="70" t="s">
        <v>189</v>
      </c>
      <c r="D274" s="73">
        <v>19</v>
      </c>
      <c r="E274" s="72">
        <v>1E-3</v>
      </c>
    </row>
    <row r="275" spans="2:5" ht="15" customHeight="1">
      <c r="B275" s="103"/>
      <c r="C275" s="70" t="s">
        <v>186</v>
      </c>
      <c r="D275" s="73">
        <v>14</v>
      </c>
      <c r="E275" s="72">
        <v>1E-3</v>
      </c>
    </row>
    <row r="276" spans="2:5" ht="15" customHeight="1">
      <c r="B276" s="103"/>
      <c r="C276" s="70" t="s">
        <v>177</v>
      </c>
      <c r="D276" s="73">
        <v>12</v>
      </c>
      <c r="E276" s="72">
        <v>0</v>
      </c>
    </row>
    <row r="277" spans="2:5" ht="15" customHeight="1">
      <c r="B277" s="103"/>
      <c r="C277" s="70" t="s">
        <v>174</v>
      </c>
      <c r="D277" s="73">
        <v>11</v>
      </c>
      <c r="E277" s="72">
        <v>0</v>
      </c>
    </row>
    <row r="278" spans="2:5" ht="15" customHeight="1">
      <c r="B278" s="103"/>
      <c r="C278" s="70" t="s">
        <v>192</v>
      </c>
      <c r="D278" s="73">
        <v>11</v>
      </c>
      <c r="E278" s="72">
        <v>0</v>
      </c>
    </row>
    <row r="279" spans="2:5" ht="15" customHeight="1">
      <c r="B279" s="103"/>
      <c r="C279" s="70" t="s">
        <v>182</v>
      </c>
      <c r="D279" s="73">
        <v>5</v>
      </c>
      <c r="E279" s="72">
        <v>0</v>
      </c>
    </row>
    <row r="280" spans="2:5" ht="15" customHeight="1">
      <c r="B280" s="103"/>
      <c r="C280" s="70" t="s">
        <v>197</v>
      </c>
      <c r="D280" s="73">
        <v>4</v>
      </c>
      <c r="E280" s="72">
        <v>0</v>
      </c>
    </row>
    <row r="281" spans="2:5" ht="15" customHeight="1">
      <c r="B281" s="103"/>
      <c r="C281" s="70" t="s">
        <v>179</v>
      </c>
      <c r="D281" s="73">
        <v>4</v>
      </c>
      <c r="E281" s="72">
        <v>0</v>
      </c>
    </row>
    <row r="282" spans="2:5" ht="15" customHeight="1">
      <c r="B282" s="103"/>
      <c r="C282" s="70" t="s">
        <v>190</v>
      </c>
      <c r="D282" s="73">
        <v>4</v>
      </c>
      <c r="E282" s="72">
        <v>0</v>
      </c>
    </row>
    <row r="283" spans="2:5" ht="15" customHeight="1">
      <c r="B283" s="103"/>
      <c r="C283" s="70" t="s">
        <v>170</v>
      </c>
      <c r="D283" s="73">
        <v>3</v>
      </c>
      <c r="E283" s="72">
        <v>0</v>
      </c>
    </row>
    <row r="284" spans="2:5" ht="15" customHeight="1">
      <c r="B284" s="103"/>
      <c r="C284" s="70" t="s">
        <v>173</v>
      </c>
      <c r="D284" s="73">
        <v>3</v>
      </c>
      <c r="E284" s="72">
        <v>0</v>
      </c>
    </row>
    <row r="285" spans="2:5" ht="15" customHeight="1">
      <c r="B285" s="103"/>
      <c r="C285" s="70" t="s">
        <v>194</v>
      </c>
      <c r="D285" s="73">
        <v>3</v>
      </c>
      <c r="E285" s="72">
        <v>0</v>
      </c>
    </row>
    <row r="286" spans="2:5" ht="15" customHeight="1">
      <c r="B286" s="103"/>
      <c r="C286" s="70" t="s">
        <v>187</v>
      </c>
      <c r="D286" s="73">
        <v>3</v>
      </c>
      <c r="E286" s="72">
        <v>0</v>
      </c>
    </row>
    <row r="287" spans="2:5" ht="15" customHeight="1">
      <c r="B287" s="103"/>
      <c r="C287" s="70" t="s">
        <v>188</v>
      </c>
      <c r="D287" s="73">
        <v>3</v>
      </c>
      <c r="E287" s="72">
        <v>0</v>
      </c>
    </row>
    <row r="288" spans="2:5" ht="15" customHeight="1">
      <c r="B288" s="103"/>
      <c r="C288" s="70" t="s">
        <v>171</v>
      </c>
      <c r="D288" s="73">
        <v>2</v>
      </c>
      <c r="E288" s="72">
        <v>0</v>
      </c>
    </row>
    <row r="289" spans="2:5" ht="15" customHeight="1">
      <c r="B289" s="103"/>
      <c r="C289" s="70" t="s">
        <v>198</v>
      </c>
      <c r="D289" s="73">
        <v>2</v>
      </c>
      <c r="E289" s="72">
        <v>0</v>
      </c>
    </row>
    <row r="290" spans="2:5" ht="15" customHeight="1">
      <c r="B290" s="103"/>
      <c r="C290" s="70" t="s">
        <v>204</v>
      </c>
      <c r="D290" s="73">
        <v>2</v>
      </c>
      <c r="E290" s="72">
        <v>0</v>
      </c>
    </row>
    <row r="291" spans="2:5" ht="15" customHeight="1">
      <c r="B291" s="103"/>
      <c r="C291" s="70" t="s">
        <v>181</v>
      </c>
      <c r="D291" s="73">
        <v>2</v>
      </c>
      <c r="E291" s="72">
        <v>0</v>
      </c>
    </row>
    <row r="292" spans="2:5" ht="15" customHeight="1">
      <c r="B292" s="103"/>
      <c r="C292" s="70" t="s">
        <v>184</v>
      </c>
      <c r="D292" s="73">
        <v>2</v>
      </c>
      <c r="E292" s="72">
        <v>0</v>
      </c>
    </row>
    <row r="293" spans="2:5" ht="15" customHeight="1">
      <c r="B293" s="103"/>
      <c r="C293" s="70" t="s">
        <v>193</v>
      </c>
      <c r="D293" s="73">
        <v>2</v>
      </c>
      <c r="E293" s="72">
        <v>0</v>
      </c>
    </row>
    <row r="294" spans="2:5" ht="15" customHeight="1">
      <c r="B294" s="103"/>
      <c r="C294" s="70" t="s">
        <v>169</v>
      </c>
      <c r="D294" s="73">
        <v>1</v>
      </c>
      <c r="E294" s="72">
        <v>0</v>
      </c>
    </row>
    <row r="295" spans="2:5" ht="15" customHeight="1">
      <c r="B295" s="103"/>
      <c r="C295" s="70" t="s">
        <v>196</v>
      </c>
      <c r="D295" s="73">
        <v>1</v>
      </c>
      <c r="E295" s="72">
        <v>0</v>
      </c>
    </row>
    <row r="296" spans="2:5" ht="15" customHeight="1">
      <c r="B296" s="103"/>
      <c r="C296" s="70" t="s">
        <v>199</v>
      </c>
      <c r="D296" s="73">
        <v>1</v>
      </c>
      <c r="E296" s="72">
        <v>0</v>
      </c>
    </row>
    <row r="297" spans="2:5" ht="15" customHeight="1">
      <c r="B297" s="103"/>
      <c r="C297" s="70" t="s">
        <v>178</v>
      </c>
      <c r="D297" s="73">
        <v>1</v>
      </c>
      <c r="E297" s="72">
        <v>0</v>
      </c>
    </row>
    <row r="298" spans="2:5" ht="15" customHeight="1">
      <c r="B298" s="103"/>
      <c r="C298" s="70" t="s">
        <v>203</v>
      </c>
      <c r="D298" s="73">
        <v>1</v>
      </c>
      <c r="E298" s="72">
        <v>0</v>
      </c>
    </row>
    <row r="299" spans="2:5" ht="15" customHeight="1">
      <c r="B299" s="103"/>
      <c r="C299" s="70" t="s">
        <v>183</v>
      </c>
      <c r="D299" s="73">
        <v>1</v>
      </c>
      <c r="E299" s="72">
        <v>0</v>
      </c>
    </row>
    <row r="300" spans="2:5" ht="15" customHeight="1">
      <c r="B300" s="104"/>
      <c r="C300" s="74" t="s">
        <v>304</v>
      </c>
      <c r="D300" s="75">
        <v>232</v>
      </c>
      <c r="E300" s="76">
        <v>0.01</v>
      </c>
    </row>
    <row r="301" spans="2:5" ht="15" customHeight="1">
      <c r="B301" s="102" t="s">
        <v>115</v>
      </c>
      <c r="C301" s="70" t="s">
        <v>185</v>
      </c>
      <c r="D301" s="73">
        <v>38</v>
      </c>
      <c r="E301" s="72">
        <v>2E-3</v>
      </c>
    </row>
    <row r="302" spans="2:5" ht="15" customHeight="1">
      <c r="B302" s="103"/>
      <c r="C302" s="70" t="s">
        <v>190</v>
      </c>
      <c r="D302" s="73">
        <v>29</v>
      </c>
      <c r="E302" s="72">
        <v>1E-3</v>
      </c>
    </row>
    <row r="303" spans="2:5" ht="15" customHeight="1">
      <c r="B303" s="103"/>
      <c r="C303" s="70" t="s">
        <v>176</v>
      </c>
      <c r="D303" s="73">
        <v>20</v>
      </c>
      <c r="E303" s="72">
        <v>1E-3</v>
      </c>
    </row>
    <row r="304" spans="2:5" ht="15" customHeight="1">
      <c r="B304" s="103"/>
      <c r="C304" s="70" t="s">
        <v>180</v>
      </c>
      <c r="D304" s="73">
        <v>16</v>
      </c>
      <c r="E304" s="72">
        <v>1E-3</v>
      </c>
    </row>
    <row r="305" spans="2:5" ht="15" customHeight="1">
      <c r="B305" s="103"/>
      <c r="C305" s="70" t="s">
        <v>186</v>
      </c>
      <c r="D305" s="73">
        <v>16</v>
      </c>
      <c r="E305" s="72">
        <v>1E-3</v>
      </c>
    </row>
    <row r="306" spans="2:5" ht="15" customHeight="1">
      <c r="B306" s="103"/>
      <c r="C306" s="70" t="s">
        <v>192</v>
      </c>
      <c r="D306" s="73">
        <v>11</v>
      </c>
      <c r="E306" s="72">
        <v>0</v>
      </c>
    </row>
    <row r="307" spans="2:5" ht="15" customHeight="1">
      <c r="B307" s="103"/>
      <c r="C307" s="70" t="s">
        <v>189</v>
      </c>
      <c r="D307" s="73">
        <v>9</v>
      </c>
      <c r="E307" s="72">
        <v>0</v>
      </c>
    </row>
    <row r="308" spans="2:5" ht="15" customHeight="1">
      <c r="B308" s="103"/>
      <c r="C308" s="70" t="s">
        <v>191</v>
      </c>
      <c r="D308" s="73">
        <v>8</v>
      </c>
      <c r="E308" s="72">
        <v>0</v>
      </c>
    </row>
    <row r="309" spans="2:5" ht="15" customHeight="1">
      <c r="B309" s="103"/>
      <c r="C309" s="70" t="s">
        <v>196</v>
      </c>
      <c r="D309" s="73">
        <v>7</v>
      </c>
      <c r="E309" s="72">
        <v>0</v>
      </c>
    </row>
    <row r="310" spans="2:5" ht="15" customHeight="1">
      <c r="B310" s="103"/>
      <c r="C310" s="70" t="s">
        <v>174</v>
      </c>
      <c r="D310" s="73">
        <v>7</v>
      </c>
      <c r="E310" s="72">
        <v>0</v>
      </c>
    </row>
    <row r="311" spans="2:5" ht="15" customHeight="1">
      <c r="B311" s="103"/>
      <c r="C311" s="70" t="s">
        <v>182</v>
      </c>
      <c r="D311" s="73">
        <v>6</v>
      </c>
      <c r="E311" s="72">
        <v>0</v>
      </c>
    </row>
    <row r="312" spans="2:5" ht="15" customHeight="1">
      <c r="B312" s="103"/>
      <c r="C312" s="70" t="s">
        <v>187</v>
      </c>
      <c r="D312" s="73">
        <v>5</v>
      </c>
      <c r="E312" s="72">
        <v>0</v>
      </c>
    </row>
    <row r="313" spans="2:5" ht="15" customHeight="1">
      <c r="B313" s="103"/>
      <c r="C313" s="70" t="s">
        <v>188</v>
      </c>
      <c r="D313" s="73">
        <v>5</v>
      </c>
      <c r="E313" s="72">
        <v>0</v>
      </c>
    </row>
    <row r="314" spans="2:5" ht="15" customHeight="1">
      <c r="B314" s="103"/>
      <c r="C314" s="70" t="s">
        <v>278</v>
      </c>
      <c r="D314" s="73">
        <v>4</v>
      </c>
      <c r="E314" s="72">
        <v>0</v>
      </c>
    </row>
    <row r="315" spans="2:5" ht="15" customHeight="1">
      <c r="B315" s="103"/>
      <c r="C315" s="70" t="s">
        <v>201</v>
      </c>
      <c r="D315" s="73">
        <v>3</v>
      </c>
      <c r="E315" s="72">
        <v>0</v>
      </c>
    </row>
    <row r="316" spans="2:5" ht="15" customHeight="1">
      <c r="B316" s="103"/>
      <c r="C316" s="70" t="s">
        <v>184</v>
      </c>
      <c r="D316" s="73">
        <v>3</v>
      </c>
      <c r="E316" s="72">
        <v>0</v>
      </c>
    </row>
    <row r="317" spans="2:5" ht="15" customHeight="1">
      <c r="B317" s="103"/>
      <c r="C317" s="70" t="s">
        <v>193</v>
      </c>
      <c r="D317" s="73">
        <v>3</v>
      </c>
      <c r="E317" s="72">
        <v>0</v>
      </c>
    </row>
    <row r="318" spans="2:5" ht="15" customHeight="1">
      <c r="B318" s="103"/>
      <c r="C318" s="70" t="s">
        <v>169</v>
      </c>
      <c r="D318" s="73">
        <v>2</v>
      </c>
      <c r="E318" s="72">
        <v>0</v>
      </c>
    </row>
    <row r="319" spans="2:5" ht="15" customHeight="1">
      <c r="B319" s="103"/>
      <c r="C319" s="70" t="s">
        <v>171</v>
      </c>
      <c r="D319" s="73">
        <v>2</v>
      </c>
      <c r="E319" s="72">
        <v>0</v>
      </c>
    </row>
    <row r="320" spans="2:5" ht="15" customHeight="1">
      <c r="B320" s="103"/>
      <c r="C320" s="70" t="s">
        <v>179</v>
      </c>
      <c r="D320" s="73">
        <v>2</v>
      </c>
      <c r="E320" s="72">
        <v>0</v>
      </c>
    </row>
    <row r="321" spans="2:5" ht="15" customHeight="1">
      <c r="B321" s="103"/>
      <c r="C321" s="70" t="s">
        <v>206</v>
      </c>
      <c r="D321" s="73">
        <v>2</v>
      </c>
      <c r="E321" s="72">
        <v>0</v>
      </c>
    </row>
    <row r="322" spans="2:5" ht="15" customHeight="1">
      <c r="B322" s="103"/>
      <c r="C322" s="70" t="s">
        <v>173</v>
      </c>
      <c r="D322" s="73">
        <v>1</v>
      </c>
      <c r="E322" s="72">
        <v>0</v>
      </c>
    </row>
    <row r="323" spans="2:5" ht="15" customHeight="1">
      <c r="B323" s="103"/>
      <c r="C323" s="70" t="s">
        <v>177</v>
      </c>
      <c r="D323" s="73">
        <v>1</v>
      </c>
      <c r="E323" s="72">
        <v>0</v>
      </c>
    </row>
    <row r="324" spans="2:5" ht="15" customHeight="1">
      <c r="B324" s="103"/>
      <c r="C324" s="70" t="s">
        <v>194</v>
      </c>
      <c r="D324" s="73">
        <v>1</v>
      </c>
      <c r="E324" s="72">
        <v>0</v>
      </c>
    </row>
    <row r="325" spans="2:5" ht="15" customHeight="1">
      <c r="B325" s="103"/>
      <c r="C325" s="70" t="s">
        <v>204</v>
      </c>
      <c r="D325" s="73">
        <v>1</v>
      </c>
      <c r="E325" s="72">
        <v>0</v>
      </c>
    </row>
    <row r="326" spans="2:5" ht="15" customHeight="1">
      <c r="B326" s="103"/>
      <c r="C326" s="70" t="s">
        <v>178</v>
      </c>
      <c r="D326" s="73">
        <v>1</v>
      </c>
      <c r="E326" s="72">
        <v>0</v>
      </c>
    </row>
    <row r="327" spans="2:5" ht="15" customHeight="1">
      <c r="B327" s="103"/>
      <c r="C327" s="70" t="s">
        <v>200</v>
      </c>
      <c r="D327" s="73">
        <v>1</v>
      </c>
      <c r="E327" s="72">
        <v>0</v>
      </c>
    </row>
    <row r="328" spans="2:5" ht="15" customHeight="1">
      <c r="B328" s="104"/>
      <c r="C328" s="74" t="s">
        <v>304</v>
      </c>
      <c r="D328" s="75">
        <v>204</v>
      </c>
      <c r="E328" s="76">
        <v>8.0000000000000002E-3</v>
      </c>
    </row>
    <row r="329" spans="2:5" ht="15" customHeight="1">
      <c r="B329" s="102" t="s">
        <v>112</v>
      </c>
      <c r="C329" s="70" t="s">
        <v>180</v>
      </c>
      <c r="D329" s="73">
        <v>26</v>
      </c>
      <c r="E329" s="72">
        <v>1E-3</v>
      </c>
    </row>
    <row r="330" spans="2:5" ht="15" customHeight="1">
      <c r="B330" s="103"/>
      <c r="C330" s="70" t="s">
        <v>176</v>
      </c>
      <c r="D330" s="73">
        <v>25</v>
      </c>
      <c r="E330" s="72">
        <v>1E-3</v>
      </c>
    </row>
    <row r="331" spans="2:5" ht="15" customHeight="1">
      <c r="B331" s="103"/>
      <c r="C331" s="70" t="s">
        <v>189</v>
      </c>
      <c r="D331" s="73">
        <v>25</v>
      </c>
      <c r="E331" s="72">
        <v>1E-3</v>
      </c>
    </row>
    <row r="332" spans="2:5" ht="15" customHeight="1">
      <c r="B332" s="103"/>
      <c r="C332" s="70" t="s">
        <v>174</v>
      </c>
      <c r="D332" s="73">
        <v>17</v>
      </c>
      <c r="E332" s="72">
        <v>1E-3</v>
      </c>
    </row>
    <row r="333" spans="2:5" ht="15" customHeight="1">
      <c r="B333" s="103"/>
      <c r="C333" s="70" t="s">
        <v>185</v>
      </c>
      <c r="D333" s="73">
        <v>17</v>
      </c>
      <c r="E333" s="72">
        <v>1E-3</v>
      </c>
    </row>
    <row r="334" spans="2:5" ht="15" customHeight="1">
      <c r="B334" s="103"/>
      <c r="C334" s="70" t="s">
        <v>191</v>
      </c>
      <c r="D334" s="73">
        <v>10</v>
      </c>
      <c r="E334" s="72">
        <v>0</v>
      </c>
    </row>
    <row r="335" spans="2:5" ht="15" customHeight="1">
      <c r="B335" s="103"/>
      <c r="C335" s="70" t="s">
        <v>182</v>
      </c>
      <c r="D335" s="73">
        <v>8</v>
      </c>
      <c r="E335" s="72">
        <v>0</v>
      </c>
    </row>
    <row r="336" spans="2:5" ht="15" customHeight="1">
      <c r="B336" s="103"/>
      <c r="C336" s="70" t="s">
        <v>190</v>
      </c>
      <c r="D336" s="73">
        <v>8</v>
      </c>
      <c r="E336" s="72">
        <v>0</v>
      </c>
    </row>
    <row r="337" spans="2:5" ht="15" customHeight="1">
      <c r="B337" s="103"/>
      <c r="C337" s="70" t="s">
        <v>192</v>
      </c>
      <c r="D337" s="73">
        <v>5</v>
      </c>
      <c r="E337" s="72">
        <v>0</v>
      </c>
    </row>
    <row r="338" spans="2:5" ht="15" customHeight="1">
      <c r="B338" s="103"/>
      <c r="C338" s="70" t="s">
        <v>177</v>
      </c>
      <c r="D338" s="73">
        <v>4</v>
      </c>
      <c r="E338" s="72">
        <v>0</v>
      </c>
    </row>
    <row r="339" spans="2:5" ht="15" customHeight="1">
      <c r="B339" s="103"/>
      <c r="C339" s="70" t="s">
        <v>186</v>
      </c>
      <c r="D339" s="73">
        <v>4</v>
      </c>
      <c r="E339" s="72">
        <v>0</v>
      </c>
    </row>
    <row r="340" spans="2:5" ht="15" customHeight="1">
      <c r="B340" s="103"/>
      <c r="C340" s="70" t="s">
        <v>170</v>
      </c>
      <c r="D340" s="73">
        <v>2</v>
      </c>
      <c r="E340" s="72">
        <v>0</v>
      </c>
    </row>
    <row r="341" spans="2:5" ht="15" customHeight="1">
      <c r="B341" s="103"/>
      <c r="C341" s="70" t="s">
        <v>171</v>
      </c>
      <c r="D341" s="73">
        <v>2</v>
      </c>
      <c r="E341" s="72">
        <v>0</v>
      </c>
    </row>
    <row r="342" spans="2:5" ht="15" customHeight="1">
      <c r="B342" s="103"/>
      <c r="C342" s="70" t="s">
        <v>196</v>
      </c>
      <c r="D342" s="73">
        <v>2</v>
      </c>
      <c r="E342" s="72">
        <v>0</v>
      </c>
    </row>
    <row r="343" spans="2:5" ht="15" customHeight="1">
      <c r="B343" s="103"/>
      <c r="C343" s="70" t="s">
        <v>173</v>
      </c>
      <c r="D343" s="73">
        <v>2</v>
      </c>
      <c r="E343" s="72">
        <v>0</v>
      </c>
    </row>
    <row r="344" spans="2:5" ht="15" customHeight="1">
      <c r="B344" s="103"/>
      <c r="C344" s="70" t="s">
        <v>184</v>
      </c>
      <c r="D344" s="73">
        <v>2</v>
      </c>
      <c r="E344" s="72">
        <v>0</v>
      </c>
    </row>
    <row r="345" spans="2:5" ht="15" customHeight="1">
      <c r="B345" s="103"/>
      <c r="C345" s="70" t="s">
        <v>194</v>
      </c>
      <c r="D345" s="73">
        <v>1</v>
      </c>
      <c r="E345" s="72">
        <v>0</v>
      </c>
    </row>
    <row r="346" spans="2:5" ht="15" customHeight="1">
      <c r="B346" s="103"/>
      <c r="C346" s="70" t="s">
        <v>199</v>
      </c>
      <c r="D346" s="73">
        <v>1</v>
      </c>
      <c r="E346" s="72">
        <v>0</v>
      </c>
    </row>
    <row r="347" spans="2:5" ht="15" customHeight="1">
      <c r="B347" s="103"/>
      <c r="C347" s="70" t="s">
        <v>200</v>
      </c>
      <c r="D347" s="73">
        <v>1</v>
      </c>
      <c r="E347" s="72">
        <v>0</v>
      </c>
    </row>
    <row r="348" spans="2:5" ht="15" customHeight="1">
      <c r="B348" s="103"/>
      <c r="C348" s="70" t="s">
        <v>179</v>
      </c>
      <c r="D348" s="73">
        <v>1</v>
      </c>
      <c r="E348" s="72">
        <v>0</v>
      </c>
    </row>
    <row r="349" spans="2:5" ht="15" customHeight="1">
      <c r="B349" s="103"/>
      <c r="C349" s="70" t="s">
        <v>201</v>
      </c>
      <c r="D349" s="73">
        <v>1</v>
      </c>
      <c r="E349" s="72">
        <v>0</v>
      </c>
    </row>
    <row r="350" spans="2:5" ht="15" customHeight="1">
      <c r="B350" s="103"/>
      <c r="C350" s="70" t="s">
        <v>181</v>
      </c>
      <c r="D350" s="73">
        <v>1</v>
      </c>
      <c r="E350" s="72">
        <v>0</v>
      </c>
    </row>
    <row r="351" spans="2:5" ht="15" customHeight="1">
      <c r="B351" s="103"/>
      <c r="C351" s="70" t="s">
        <v>206</v>
      </c>
      <c r="D351" s="73">
        <v>1</v>
      </c>
      <c r="E351" s="72">
        <v>0</v>
      </c>
    </row>
    <row r="352" spans="2:5" ht="15" customHeight="1">
      <c r="B352" s="103"/>
      <c r="C352" s="70" t="s">
        <v>188</v>
      </c>
      <c r="D352" s="73">
        <v>1</v>
      </c>
      <c r="E352" s="72">
        <v>0</v>
      </c>
    </row>
    <row r="353" spans="2:5" ht="15" customHeight="1">
      <c r="B353" s="103"/>
      <c r="C353" s="70" t="s">
        <v>193</v>
      </c>
      <c r="D353" s="73">
        <v>1</v>
      </c>
      <c r="E353" s="72">
        <v>0</v>
      </c>
    </row>
    <row r="354" spans="2:5" ht="15" customHeight="1">
      <c r="B354" s="104"/>
      <c r="C354" s="74" t="s">
        <v>304</v>
      </c>
      <c r="D354" s="75">
        <v>168</v>
      </c>
      <c r="E354" s="76">
        <v>7.0000000000000001E-3</v>
      </c>
    </row>
    <row r="355" spans="2:5" ht="15" customHeight="1">
      <c r="B355" s="102" t="s">
        <v>96</v>
      </c>
      <c r="C355" s="70" t="s">
        <v>180</v>
      </c>
      <c r="D355" s="73">
        <v>20</v>
      </c>
      <c r="E355" s="72">
        <v>1E-3</v>
      </c>
    </row>
    <row r="356" spans="2:5" ht="15" customHeight="1">
      <c r="B356" s="103"/>
      <c r="C356" s="70" t="s">
        <v>176</v>
      </c>
      <c r="D356" s="73">
        <v>19</v>
      </c>
      <c r="E356" s="72">
        <v>1E-3</v>
      </c>
    </row>
    <row r="357" spans="2:5" ht="15" customHeight="1">
      <c r="B357" s="103"/>
      <c r="C357" s="70" t="s">
        <v>190</v>
      </c>
      <c r="D357" s="73">
        <v>15</v>
      </c>
      <c r="E357" s="72">
        <v>1E-3</v>
      </c>
    </row>
    <row r="358" spans="2:5" ht="15" customHeight="1">
      <c r="B358" s="103"/>
      <c r="C358" s="70" t="s">
        <v>185</v>
      </c>
      <c r="D358" s="73">
        <v>14</v>
      </c>
      <c r="E358" s="72">
        <v>1E-3</v>
      </c>
    </row>
    <row r="359" spans="2:5" ht="15" customHeight="1">
      <c r="B359" s="103"/>
      <c r="C359" s="70" t="s">
        <v>189</v>
      </c>
      <c r="D359" s="73">
        <v>12</v>
      </c>
      <c r="E359" s="72">
        <v>0</v>
      </c>
    </row>
    <row r="360" spans="2:5" ht="15" customHeight="1">
      <c r="B360" s="103"/>
      <c r="C360" s="70" t="s">
        <v>174</v>
      </c>
      <c r="D360" s="73">
        <v>10</v>
      </c>
      <c r="E360" s="72">
        <v>0</v>
      </c>
    </row>
    <row r="361" spans="2:5" ht="15" customHeight="1">
      <c r="B361" s="103"/>
      <c r="C361" s="70" t="s">
        <v>186</v>
      </c>
      <c r="D361" s="73">
        <v>10</v>
      </c>
      <c r="E361" s="72">
        <v>0</v>
      </c>
    </row>
    <row r="362" spans="2:5" ht="15" customHeight="1">
      <c r="B362" s="103"/>
      <c r="C362" s="70" t="s">
        <v>177</v>
      </c>
      <c r="D362" s="73">
        <v>9</v>
      </c>
      <c r="E362" s="72">
        <v>0</v>
      </c>
    </row>
    <row r="363" spans="2:5" ht="15" customHeight="1">
      <c r="B363" s="103"/>
      <c r="C363" s="70" t="s">
        <v>188</v>
      </c>
      <c r="D363" s="73">
        <v>7</v>
      </c>
      <c r="E363" s="72">
        <v>0</v>
      </c>
    </row>
    <row r="364" spans="2:5" ht="15" customHeight="1">
      <c r="B364" s="103"/>
      <c r="C364" s="70" t="s">
        <v>192</v>
      </c>
      <c r="D364" s="73">
        <v>6</v>
      </c>
      <c r="E364" s="72">
        <v>0</v>
      </c>
    </row>
    <row r="365" spans="2:5" ht="15" customHeight="1">
      <c r="B365" s="103"/>
      <c r="C365" s="70" t="s">
        <v>170</v>
      </c>
      <c r="D365" s="73">
        <v>5</v>
      </c>
      <c r="E365" s="72">
        <v>0</v>
      </c>
    </row>
    <row r="366" spans="2:5" ht="15" customHeight="1">
      <c r="B366" s="103"/>
      <c r="C366" s="70" t="s">
        <v>191</v>
      </c>
      <c r="D366" s="73">
        <v>5</v>
      </c>
      <c r="E366" s="72">
        <v>0</v>
      </c>
    </row>
    <row r="367" spans="2:5" ht="15" customHeight="1">
      <c r="B367" s="103"/>
      <c r="C367" s="70" t="s">
        <v>171</v>
      </c>
      <c r="D367" s="73">
        <v>4</v>
      </c>
      <c r="E367" s="72">
        <v>0</v>
      </c>
    </row>
    <row r="368" spans="2:5" ht="15" customHeight="1">
      <c r="B368" s="103"/>
      <c r="C368" s="70" t="s">
        <v>173</v>
      </c>
      <c r="D368" s="73">
        <v>4</v>
      </c>
      <c r="E368" s="72">
        <v>0</v>
      </c>
    </row>
    <row r="369" spans="2:5" ht="15" customHeight="1">
      <c r="B369" s="103"/>
      <c r="C369" s="70" t="s">
        <v>181</v>
      </c>
      <c r="D369" s="73">
        <v>4</v>
      </c>
      <c r="E369" s="72">
        <v>0</v>
      </c>
    </row>
    <row r="370" spans="2:5" ht="15" customHeight="1">
      <c r="B370" s="103"/>
      <c r="C370" s="70" t="s">
        <v>179</v>
      </c>
      <c r="D370" s="73">
        <v>3</v>
      </c>
      <c r="E370" s="72">
        <v>0</v>
      </c>
    </row>
    <row r="371" spans="2:5" ht="15" customHeight="1">
      <c r="B371" s="103"/>
      <c r="C371" s="70" t="s">
        <v>187</v>
      </c>
      <c r="D371" s="73">
        <v>2</v>
      </c>
      <c r="E371" s="72">
        <v>0</v>
      </c>
    </row>
    <row r="372" spans="2:5" ht="15" customHeight="1">
      <c r="B372" s="103"/>
      <c r="C372" s="70" t="s">
        <v>193</v>
      </c>
      <c r="D372" s="73">
        <v>2</v>
      </c>
      <c r="E372" s="72">
        <v>0</v>
      </c>
    </row>
    <row r="373" spans="2:5" ht="15" customHeight="1">
      <c r="B373" s="103"/>
      <c r="C373" s="70" t="s">
        <v>169</v>
      </c>
      <c r="D373" s="73">
        <v>1</v>
      </c>
      <c r="E373" s="72">
        <v>0</v>
      </c>
    </row>
    <row r="374" spans="2:5" ht="15" customHeight="1">
      <c r="B374" s="103"/>
      <c r="C374" s="70" t="s">
        <v>197</v>
      </c>
      <c r="D374" s="73">
        <v>1</v>
      </c>
      <c r="E374" s="72">
        <v>0</v>
      </c>
    </row>
    <row r="375" spans="2:5" ht="15" customHeight="1">
      <c r="B375" s="103"/>
      <c r="C375" s="70" t="s">
        <v>198</v>
      </c>
      <c r="D375" s="73">
        <v>1</v>
      </c>
      <c r="E375" s="72">
        <v>0</v>
      </c>
    </row>
    <row r="376" spans="2:5" ht="15" customHeight="1">
      <c r="B376" s="103"/>
      <c r="C376" s="70" t="s">
        <v>178</v>
      </c>
      <c r="D376" s="73">
        <v>1</v>
      </c>
      <c r="E376" s="72">
        <v>0</v>
      </c>
    </row>
    <row r="377" spans="2:5" ht="15" customHeight="1">
      <c r="B377" s="103"/>
      <c r="C377" s="70" t="s">
        <v>182</v>
      </c>
      <c r="D377" s="73">
        <v>1</v>
      </c>
      <c r="E377" s="72">
        <v>0</v>
      </c>
    </row>
    <row r="378" spans="2:5" ht="15" customHeight="1">
      <c r="B378" s="103"/>
      <c r="C378" s="70" t="s">
        <v>184</v>
      </c>
      <c r="D378" s="73">
        <v>1</v>
      </c>
      <c r="E378" s="72">
        <v>0</v>
      </c>
    </row>
    <row r="379" spans="2:5" ht="15" customHeight="1">
      <c r="B379" s="103"/>
      <c r="C379" s="70" t="s">
        <v>195</v>
      </c>
      <c r="D379" s="73">
        <v>1</v>
      </c>
      <c r="E379" s="72">
        <v>0</v>
      </c>
    </row>
    <row r="380" spans="2:5" ht="15" customHeight="1">
      <c r="B380" s="104"/>
      <c r="C380" s="74" t="s">
        <v>304</v>
      </c>
      <c r="D380" s="75">
        <v>158</v>
      </c>
      <c r="E380" s="76">
        <v>6.0000000000000001E-3</v>
      </c>
    </row>
    <row r="381" spans="2:5" ht="15" customHeight="1">
      <c r="B381" s="102" t="s">
        <v>108</v>
      </c>
      <c r="C381" s="70" t="s">
        <v>185</v>
      </c>
      <c r="D381" s="73">
        <v>32</v>
      </c>
      <c r="E381" s="72">
        <v>1E-3</v>
      </c>
    </row>
    <row r="382" spans="2:5" ht="15" customHeight="1">
      <c r="B382" s="103"/>
      <c r="C382" s="70" t="s">
        <v>180</v>
      </c>
      <c r="D382" s="73">
        <v>31</v>
      </c>
      <c r="E382" s="72">
        <v>1E-3</v>
      </c>
    </row>
    <row r="383" spans="2:5" ht="15" customHeight="1">
      <c r="B383" s="103"/>
      <c r="C383" s="70" t="s">
        <v>176</v>
      </c>
      <c r="D383" s="73">
        <v>19</v>
      </c>
      <c r="E383" s="72">
        <v>1E-3</v>
      </c>
    </row>
    <row r="384" spans="2:5" ht="15" customHeight="1">
      <c r="B384" s="103"/>
      <c r="C384" s="70" t="s">
        <v>189</v>
      </c>
      <c r="D384" s="73">
        <v>13</v>
      </c>
      <c r="E384" s="72">
        <v>1E-3</v>
      </c>
    </row>
    <row r="385" spans="2:5" ht="15" customHeight="1">
      <c r="B385" s="103"/>
      <c r="C385" s="70" t="s">
        <v>186</v>
      </c>
      <c r="D385" s="73">
        <v>10</v>
      </c>
      <c r="E385" s="72">
        <v>0</v>
      </c>
    </row>
    <row r="386" spans="2:5" ht="15" customHeight="1">
      <c r="B386" s="103"/>
      <c r="C386" s="70" t="s">
        <v>192</v>
      </c>
      <c r="D386" s="73">
        <v>10</v>
      </c>
      <c r="E386" s="72">
        <v>0</v>
      </c>
    </row>
    <row r="387" spans="2:5" ht="15" customHeight="1">
      <c r="B387" s="103"/>
      <c r="C387" s="70" t="s">
        <v>174</v>
      </c>
      <c r="D387" s="73">
        <v>6</v>
      </c>
      <c r="E387" s="72">
        <v>0</v>
      </c>
    </row>
    <row r="388" spans="2:5" ht="15" customHeight="1">
      <c r="B388" s="103"/>
      <c r="C388" s="70" t="s">
        <v>182</v>
      </c>
      <c r="D388" s="73">
        <v>6</v>
      </c>
      <c r="E388" s="72">
        <v>0</v>
      </c>
    </row>
    <row r="389" spans="2:5" ht="15" customHeight="1">
      <c r="B389" s="103"/>
      <c r="C389" s="70" t="s">
        <v>190</v>
      </c>
      <c r="D389" s="73">
        <v>6</v>
      </c>
      <c r="E389" s="72">
        <v>0</v>
      </c>
    </row>
    <row r="390" spans="2:5" ht="15" customHeight="1">
      <c r="B390" s="103"/>
      <c r="C390" s="70" t="s">
        <v>187</v>
      </c>
      <c r="D390" s="73">
        <v>4</v>
      </c>
      <c r="E390" s="72">
        <v>0</v>
      </c>
    </row>
    <row r="391" spans="2:5" ht="15" customHeight="1">
      <c r="B391" s="103"/>
      <c r="C391" s="70" t="s">
        <v>191</v>
      </c>
      <c r="D391" s="73">
        <v>3</v>
      </c>
      <c r="E391" s="72">
        <v>0</v>
      </c>
    </row>
    <row r="392" spans="2:5" ht="15" customHeight="1">
      <c r="B392" s="103"/>
      <c r="C392" s="70" t="s">
        <v>197</v>
      </c>
      <c r="D392" s="73">
        <v>2</v>
      </c>
      <c r="E392" s="72">
        <v>0</v>
      </c>
    </row>
    <row r="393" spans="2:5" ht="15" customHeight="1">
      <c r="B393" s="103"/>
      <c r="C393" s="70" t="s">
        <v>177</v>
      </c>
      <c r="D393" s="73">
        <v>2</v>
      </c>
      <c r="E393" s="72">
        <v>0</v>
      </c>
    </row>
    <row r="394" spans="2:5" ht="15" customHeight="1">
      <c r="B394" s="103"/>
      <c r="C394" s="70" t="s">
        <v>188</v>
      </c>
      <c r="D394" s="73">
        <v>2</v>
      </c>
      <c r="E394" s="72">
        <v>0</v>
      </c>
    </row>
    <row r="395" spans="2:5" ht="15" customHeight="1">
      <c r="B395" s="103"/>
      <c r="C395" s="70" t="s">
        <v>193</v>
      </c>
      <c r="D395" s="73">
        <v>2</v>
      </c>
      <c r="E395" s="72">
        <v>0</v>
      </c>
    </row>
    <row r="396" spans="2:5" ht="15" customHeight="1">
      <c r="B396" s="103"/>
      <c r="C396" s="70" t="s">
        <v>171</v>
      </c>
      <c r="D396" s="73">
        <v>1</v>
      </c>
      <c r="E396" s="72">
        <v>0</v>
      </c>
    </row>
    <row r="397" spans="2:5" ht="15" customHeight="1">
      <c r="B397" s="103"/>
      <c r="C397" s="70" t="s">
        <v>196</v>
      </c>
      <c r="D397" s="73">
        <v>1</v>
      </c>
      <c r="E397" s="72">
        <v>0</v>
      </c>
    </row>
    <row r="398" spans="2:5" ht="15" customHeight="1">
      <c r="B398" s="103"/>
      <c r="C398" s="70" t="s">
        <v>194</v>
      </c>
      <c r="D398" s="73">
        <v>1</v>
      </c>
      <c r="E398" s="72">
        <v>0</v>
      </c>
    </row>
    <row r="399" spans="2:5" ht="15" customHeight="1">
      <c r="B399" s="103"/>
      <c r="C399" s="70" t="s">
        <v>181</v>
      </c>
      <c r="D399" s="73">
        <v>1</v>
      </c>
      <c r="E399" s="72">
        <v>0</v>
      </c>
    </row>
    <row r="400" spans="2:5" ht="15" customHeight="1">
      <c r="B400" s="103"/>
      <c r="C400" s="70" t="s">
        <v>184</v>
      </c>
      <c r="D400" s="73">
        <v>1</v>
      </c>
      <c r="E400" s="72">
        <v>0</v>
      </c>
    </row>
    <row r="401" spans="2:5" ht="15" customHeight="1">
      <c r="B401" s="104"/>
      <c r="C401" s="74" t="s">
        <v>304</v>
      </c>
      <c r="D401" s="75">
        <v>153</v>
      </c>
      <c r="E401" s="76">
        <v>6.0000000000000001E-3</v>
      </c>
    </row>
    <row r="402" spans="2:5" ht="15" customHeight="1">
      <c r="B402" s="102" t="s">
        <v>116</v>
      </c>
      <c r="C402" s="70" t="s">
        <v>180</v>
      </c>
      <c r="D402" s="73">
        <v>38</v>
      </c>
      <c r="E402" s="72">
        <v>2E-3</v>
      </c>
    </row>
    <row r="403" spans="2:5" ht="15" customHeight="1">
      <c r="B403" s="103"/>
      <c r="C403" s="70" t="s">
        <v>185</v>
      </c>
      <c r="D403" s="73">
        <v>30</v>
      </c>
      <c r="E403" s="72">
        <v>1E-3</v>
      </c>
    </row>
    <row r="404" spans="2:5" ht="15" customHeight="1">
      <c r="B404" s="103"/>
      <c r="C404" s="70" t="s">
        <v>187</v>
      </c>
      <c r="D404" s="73">
        <v>15</v>
      </c>
      <c r="E404" s="72">
        <v>1E-3</v>
      </c>
    </row>
    <row r="405" spans="2:5" ht="15" customHeight="1">
      <c r="B405" s="103"/>
      <c r="C405" s="70" t="s">
        <v>182</v>
      </c>
      <c r="D405" s="73">
        <v>14</v>
      </c>
      <c r="E405" s="72">
        <v>1E-3</v>
      </c>
    </row>
    <row r="406" spans="2:5" ht="15" customHeight="1">
      <c r="B406" s="103"/>
      <c r="C406" s="70" t="s">
        <v>189</v>
      </c>
      <c r="D406" s="73">
        <v>10</v>
      </c>
      <c r="E406" s="72">
        <v>0</v>
      </c>
    </row>
    <row r="407" spans="2:5" ht="15" customHeight="1">
      <c r="B407" s="103"/>
      <c r="C407" s="70" t="s">
        <v>186</v>
      </c>
      <c r="D407" s="73">
        <v>8</v>
      </c>
      <c r="E407" s="72">
        <v>0</v>
      </c>
    </row>
    <row r="408" spans="2:5" ht="15" customHeight="1">
      <c r="B408" s="103"/>
      <c r="C408" s="70" t="s">
        <v>176</v>
      </c>
      <c r="D408" s="73">
        <v>6</v>
      </c>
      <c r="E408" s="72">
        <v>0</v>
      </c>
    </row>
    <row r="409" spans="2:5" ht="15" customHeight="1">
      <c r="B409" s="103"/>
      <c r="C409" s="70" t="s">
        <v>191</v>
      </c>
      <c r="D409" s="73">
        <v>6</v>
      </c>
      <c r="E409" s="72">
        <v>0</v>
      </c>
    </row>
    <row r="410" spans="2:5" ht="15" customHeight="1">
      <c r="B410" s="103"/>
      <c r="C410" s="70" t="s">
        <v>192</v>
      </c>
      <c r="D410" s="73">
        <v>4</v>
      </c>
      <c r="E410" s="72">
        <v>0</v>
      </c>
    </row>
    <row r="411" spans="2:5" ht="15" customHeight="1">
      <c r="B411" s="103"/>
      <c r="C411" s="70" t="s">
        <v>194</v>
      </c>
      <c r="D411" s="73">
        <v>3</v>
      </c>
      <c r="E411" s="72">
        <v>0</v>
      </c>
    </row>
    <row r="412" spans="2:5" ht="15" customHeight="1">
      <c r="B412" s="103"/>
      <c r="C412" s="70" t="s">
        <v>173</v>
      </c>
      <c r="D412" s="73">
        <v>2</v>
      </c>
      <c r="E412" s="72">
        <v>0</v>
      </c>
    </row>
    <row r="413" spans="2:5" ht="15" customHeight="1">
      <c r="B413" s="103"/>
      <c r="C413" s="70" t="s">
        <v>177</v>
      </c>
      <c r="D413" s="73">
        <v>2</v>
      </c>
      <c r="E413" s="72">
        <v>0</v>
      </c>
    </row>
    <row r="414" spans="2:5" ht="15" customHeight="1">
      <c r="B414" s="103"/>
      <c r="C414" s="70" t="s">
        <v>203</v>
      </c>
      <c r="D414" s="73">
        <v>2</v>
      </c>
      <c r="E414" s="72">
        <v>0</v>
      </c>
    </row>
    <row r="415" spans="2:5" ht="15" customHeight="1">
      <c r="B415" s="103"/>
      <c r="C415" s="70" t="s">
        <v>190</v>
      </c>
      <c r="D415" s="73">
        <v>2</v>
      </c>
      <c r="E415" s="72">
        <v>0</v>
      </c>
    </row>
    <row r="416" spans="2:5" ht="15" customHeight="1">
      <c r="B416" s="103"/>
      <c r="C416" s="70" t="s">
        <v>193</v>
      </c>
      <c r="D416" s="73">
        <v>2</v>
      </c>
      <c r="E416" s="72">
        <v>0</v>
      </c>
    </row>
    <row r="417" spans="2:5" ht="15" customHeight="1">
      <c r="B417" s="103"/>
      <c r="C417" s="70" t="s">
        <v>174</v>
      </c>
      <c r="D417" s="73">
        <v>1</v>
      </c>
      <c r="E417" s="72">
        <v>0</v>
      </c>
    </row>
    <row r="418" spans="2:5" ht="15" customHeight="1">
      <c r="B418" s="103"/>
      <c r="C418" s="70" t="s">
        <v>204</v>
      </c>
      <c r="D418" s="73">
        <v>1</v>
      </c>
      <c r="E418" s="72">
        <v>0</v>
      </c>
    </row>
    <row r="419" spans="2:5" ht="15" customHeight="1">
      <c r="B419" s="103"/>
      <c r="C419" s="70" t="s">
        <v>178</v>
      </c>
      <c r="D419" s="73">
        <v>1</v>
      </c>
      <c r="E419" s="72">
        <v>0</v>
      </c>
    </row>
    <row r="420" spans="2:5" ht="15" customHeight="1">
      <c r="B420" s="103"/>
      <c r="C420" s="70" t="s">
        <v>181</v>
      </c>
      <c r="D420" s="73">
        <v>1</v>
      </c>
      <c r="E420" s="72">
        <v>0</v>
      </c>
    </row>
    <row r="421" spans="2:5" ht="15" customHeight="1">
      <c r="B421" s="103"/>
      <c r="C421" s="70" t="s">
        <v>188</v>
      </c>
      <c r="D421" s="73">
        <v>1</v>
      </c>
      <c r="E421" s="72">
        <v>0</v>
      </c>
    </row>
    <row r="422" spans="2:5" ht="15" customHeight="1">
      <c r="B422" s="104"/>
      <c r="C422" s="74" t="s">
        <v>304</v>
      </c>
      <c r="D422" s="75">
        <v>149</v>
      </c>
      <c r="E422" s="76">
        <v>6.0000000000000001E-3</v>
      </c>
    </row>
    <row r="423" spans="2:5" ht="15" customHeight="1">
      <c r="B423" s="102" t="s">
        <v>132</v>
      </c>
      <c r="C423" s="70" t="s">
        <v>180</v>
      </c>
      <c r="D423" s="73">
        <v>23</v>
      </c>
      <c r="E423" s="72">
        <v>1E-3</v>
      </c>
    </row>
    <row r="424" spans="2:5" ht="15" customHeight="1">
      <c r="B424" s="103"/>
      <c r="C424" s="70" t="s">
        <v>189</v>
      </c>
      <c r="D424" s="73">
        <v>23</v>
      </c>
      <c r="E424" s="72">
        <v>1E-3</v>
      </c>
    </row>
    <row r="425" spans="2:5" ht="15" customHeight="1">
      <c r="B425" s="103"/>
      <c r="C425" s="70" t="s">
        <v>176</v>
      </c>
      <c r="D425" s="73">
        <v>22</v>
      </c>
      <c r="E425" s="72">
        <v>1E-3</v>
      </c>
    </row>
    <row r="426" spans="2:5" ht="15" customHeight="1">
      <c r="B426" s="103"/>
      <c r="C426" s="70" t="s">
        <v>174</v>
      </c>
      <c r="D426" s="73">
        <v>13</v>
      </c>
      <c r="E426" s="72">
        <v>1E-3</v>
      </c>
    </row>
    <row r="427" spans="2:5" ht="15" customHeight="1">
      <c r="B427" s="103"/>
      <c r="C427" s="70" t="s">
        <v>185</v>
      </c>
      <c r="D427" s="73">
        <v>9</v>
      </c>
      <c r="E427" s="72">
        <v>0</v>
      </c>
    </row>
    <row r="428" spans="2:5" ht="15" customHeight="1">
      <c r="B428" s="103"/>
      <c r="C428" s="70" t="s">
        <v>190</v>
      </c>
      <c r="D428" s="73">
        <v>7</v>
      </c>
      <c r="E428" s="72">
        <v>0</v>
      </c>
    </row>
    <row r="429" spans="2:5" ht="15" customHeight="1">
      <c r="B429" s="103"/>
      <c r="C429" s="70" t="s">
        <v>182</v>
      </c>
      <c r="D429" s="73">
        <v>6</v>
      </c>
      <c r="E429" s="72">
        <v>0</v>
      </c>
    </row>
    <row r="430" spans="2:5" ht="15" customHeight="1">
      <c r="B430" s="103"/>
      <c r="C430" s="70" t="s">
        <v>192</v>
      </c>
      <c r="D430" s="73">
        <v>5</v>
      </c>
      <c r="E430" s="72">
        <v>0</v>
      </c>
    </row>
    <row r="431" spans="2:5" ht="15" customHeight="1">
      <c r="B431" s="103"/>
      <c r="C431" s="70" t="s">
        <v>170</v>
      </c>
      <c r="D431" s="73">
        <v>4</v>
      </c>
      <c r="E431" s="72">
        <v>0</v>
      </c>
    </row>
    <row r="432" spans="2:5" ht="15" customHeight="1">
      <c r="B432" s="103"/>
      <c r="C432" s="70" t="s">
        <v>177</v>
      </c>
      <c r="D432" s="73">
        <v>4</v>
      </c>
      <c r="E432" s="72">
        <v>0</v>
      </c>
    </row>
    <row r="433" spans="2:5" ht="15" customHeight="1">
      <c r="B433" s="103"/>
      <c r="C433" s="70" t="s">
        <v>186</v>
      </c>
      <c r="D433" s="73">
        <v>2</v>
      </c>
      <c r="E433" s="72">
        <v>0</v>
      </c>
    </row>
    <row r="434" spans="2:5" ht="15" customHeight="1">
      <c r="B434" s="103"/>
      <c r="C434" s="70" t="s">
        <v>187</v>
      </c>
      <c r="D434" s="73">
        <v>2</v>
      </c>
      <c r="E434" s="72">
        <v>0</v>
      </c>
    </row>
    <row r="435" spans="2:5" ht="15" customHeight="1">
      <c r="B435" s="103"/>
      <c r="C435" s="70" t="s">
        <v>188</v>
      </c>
      <c r="D435" s="73">
        <v>2</v>
      </c>
      <c r="E435" s="72">
        <v>0</v>
      </c>
    </row>
    <row r="436" spans="2:5" ht="15" customHeight="1">
      <c r="B436" s="103"/>
      <c r="C436" s="70" t="s">
        <v>195</v>
      </c>
      <c r="D436" s="73">
        <v>2</v>
      </c>
      <c r="E436" s="72">
        <v>0</v>
      </c>
    </row>
    <row r="437" spans="2:5" ht="15" customHeight="1">
      <c r="B437" s="103"/>
      <c r="C437" s="70" t="s">
        <v>169</v>
      </c>
      <c r="D437" s="73">
        <v>1</v>
      </c>
      <c r="E437" s="72">
        <v>0</v>
      </c>
    </row>
    <row r="438" spans="2:5" ht="15" customHeight="1">
      <c r="B438" s="103"/>
      <c r="C438" s="70" t="s">
        <v>171</v>
      </c>
      <c r="D438" s="73">
        <v>1</v>
      </c>
      <c r="E438" s="72">
        <v>0</v>
      </c>
    </row>
    <row r="439" spans="2:5" ht="15" customHeight="1">
      <c r="B439" s="103"/>
      <c r="C439" s="70" t="s">
        <v>197</v>
      </c>
      <c r="D439" s="73">
        <v>1</v>
      </c>
      <c r="E439" s="72">
        <v>0</v>
      </c>
    </row>
    <row r="440" spans="2:5" ht="15" customHeight="1">
      <c r="B440" s="103"/>
      <c r="C440" s="70" t="s">
        <v>278</v>
      </c>
      <c r="D440" s="73">
        <v>1</v>
      </c>
      <c r="E440" s="72">
        <v>0</v>
      </c>
    </row>
    <row r="441" spans="2:5" ht="15" customHeight="1">
      <c r="B441" s="103"/>
      <c r="C441" s="70" t="s">
        <v>200</v>
      </c>
      <c r="D441" s="73">
        <v>1</v>
      </c>
      <c r="E441" s="72">
        <v>0</v>
      </c>
    </row>
    <row r="442" spans="2:5" ht="15" customHeight="1">
      <c r="B442" s="103"/>
      <c r="C442" s="70" t="s">
        <v>179</v>
      </c>
      <c r="D442" s="73">
        <v>1</v>
      </c>
      <c r="E442" s="72">
        <v>0</v>
      </c>
    </row>
    <row r="443" spans="2:5" ht="15" customHeight="1">
      <c r="B443" s="103"/>
      <c r="C443" s="70" t="s">
        <v>201</v>
      </c>
      <c r="D443" s="73">
        <v>1</v>
      </c>
      <c r="E443" s="72">
        <v>0</v>
      </c>
    </row>
    <row r="444" spans="2:5" ht="15" customHeight="1">
      <c r="B444" s="103"/>
      <c r="C444" s="70" t="s">
        <v>184</v>
      </c>
      <c r="D444" s="73">
        <v>1</v>
      </c>
      <c r="E444" s="72">
        <v>0</v>
      </c>
    </row>
    <row r="445" spans="2:5" ht="15" customHeight="1">
      <c r="B445" s="104"/>
      <c r="C445" s="74" t="s">
        <v>304</v>
      </c>
      <c r="D445" s="75">
        <v>132</v>
      </c>
      <c r="E445" s="76">
        <v>5.0000000000000001E-3</v>
      </c>
    </row>
    <row r="446" spans="2:5" ht="15" customHeight="1">
      <c r="B446" s="102" t="s">
        <v>117</v>
      </c>
      <c r="C446" s="70" t="s">
        <v>173</v>
      </c>
      <c r="D446" s="73">
        <v>24</v>
      </c>
      <c r="E446" s="72">
        <v>1E-3</v>
      </c>
    </row>
    <row r="447" spans="2:5" ht="15" customHeight="1">
      <c r="B447" s="103"/>
      <c r="C447" s="70" t="s">
        <v>180</v>
      </c>
      <c r="D447" s="73">
        <v>21</v>
      </c>
      <c r="E447" s="72">
        <v>1E-3</v>
      </c>
    </row>
    <row r="448" spans="2:5" ht="15" customHeight="1">
      <c r="B448" s="103"/>
      <c r="C448" s="70" t="s">
        <v>190</v>
      </c>
      <c r="D448" s="73">
        <v>10</v>
      </c>
      <c r="E448" s="72">
        <v>0</v>
      </c>
    </row>
    <row r="449" spans="2:5" ht="15" customHeight="1">
      <c r="B449" s="103"/>
      <c r="C449" s="70" t="s">
        <v>176</v>
      </c>
      <c r="D449" s="73">
        <v>9</v>
      </c>
      <c r="E449" s="72">
        <v>0</v>
      </c>
    </row>
    <row r="450" spans="2:5" ht="15" customHeight="1">
      <c r="B450" s="103"/>
      <c r="C450" s="70" t="s">
        <v>188</v>
      </c>
      <c r="D450" s="73">
        <v>7</v>
      </c>
      <c r="E450" s="72">
        <v>0</v>
      </c>
    </row>
    <row r="451" spans="2:5" ht="15" customHeight="1">
      <c r="B451" s="103"/>
      <c r="C451" s="70" t="s">
        <v>191</v>
      </c>
      <c r="D451" s="73">
        <v>7</v>
      </c>
      <c r="E451" s="72">
        <v>0</v>
      </c>
    </row>
    <row r="452" spans="2:5" ht="15" customHeight="1">
      <c r="B452" s="103"/>
      <c r="C452" s="70" t="s">
        <v>182</v>
      </c>
      <c r="D452" s="73">
        <v>6</v>
      </c>
      <c r="E452" s="72">
        <v>0</v>
      </c>
    </row>
    <row r="453" spans="2:5" ht="15" customHeight="1">
      <c r="B453" s="103"/>
      <c r="C453" s="70" t="s">
        <v>187</v>
      </c>
      <c r="D453" s="73">
        <v>6</v>
      </c>
      <c r="E453" s="72">
        <v>0</v>
      </c>
    </row>
    <row r="454" spans="2:5" ht="15" customHeight="1">
      <c r="B454" s="103"/>
      <c r="C454" s="70" t="s">
        <v>170</v>
      </c>
      <c r="D454" s="73">
        <v>5</v>
      </c>
      <c r="E454" s="72">
        <v>0</v>
      </c>
    </row>
    <row r="455" spans="2:5" ht="15" customHeight="1">
      <c r="B455" s="103"/>
      <c r="C455" s="70" t="s">
        <v>177</v>
      </c>
      <c r="D455" s="73">
        <v>5</v>
      </c>
      <c r="E455" s="72">
        <v>0</v>
      </c>
    </row>
    <row r="456" spans="2:5" ht="15" customHeight="1">
      <c r="B456" s="103"/>
      <c r="C456" s="70" t="s">
        <v>185</v>
      </c>
      <c r="D456" s="73">
        <v>5</v>
      </c>
      <c r="E456" s="72">
        <v>0</v>
      </c>
    </row>
    <row r="457" spans="2:5" ht="15" customHeight="1">
      <c r="B457" s="103"/>
      <c r="C457" s="70" t="s">
        <v>181</v>
      </c>
      <c r="D457" s="73">
        <v>3</v>
      </c>
      <c r="E457" s="72">
        <v>0</v>
      </c>
    </row>
    <row r="458" spans="2:5" ht="15" customHeight="1">
      <c r="B458" s="103"/>
      <c r="C458" s="70" t="s">
        <v>192</v>
      </c>
      <c r="D458" s="73">
        <v>3</v>
      </c>
      <c r="E458" s="72">
        <v>0</v>
      </c>
    </row>
    <row r="459" spans="2:5" ht="15" customHeight="1">
      <c r="B459" s="103"/>
      <c r="C459" s="70" t="s">
        <v>169</v>
      </c>
      <c r="D459" s="73">
        <v>2</v>
      </c>
      <c r="E459" s="72">
        <v>0</v>
      </c>
    </row>
    <row r="460" spans="2:5" ht="15" customHeight="1">
      <c r="B460" s="103"/>
      <c r="C460" s="70" t="s">
        <v>186</v>
      </c>
      <c r="D460" s="73">
        <v>2</v>
      </c>
      <c r="E460" s="72">
        <v>0</v>
      </c>
    </row>
    <row r="461" spans="2:5" ht="15" customHeight="1">
      <c r="B461" s="103"/>
      <c r="C461" s="70" t="s">
        <v>172</v>
      </c>
      <c r="D461" s="73">
        <v>1</v>
      </c>
      <c r="E461" s="72">
        <v>0</v>
      </c>
    </row>
    <row r="462" spans="2:5" ht="15" customHeight="1">
      <c r="B462" s="103"/>
      <c r="C462" s="70" t="s">
        <v>174</v>
      </c>
      <c r="D462" s="73">
        <v>1</v>
      </c>
      <c r="E462" s="72">
        <v>0</v>
      </c>
    </row>
    <row r="463" spans="2:5" ht="15" customHeight="1">
      <c r="B463" s="103"/>
      <c r="C463" s="70" t="s">
        <v>205</v>
      </c>
      <c r="D463" s="73">
        <v>1</v>
      </c>
      <c r="E463" s="72">
        <v>0</v>
      </c>
    </row>
    <row r="464" spans="2:5" ht="15" customHeight="1">
      <c r="B464" s="103"/>
      <c r="C464" s="70" t="s">
        <v>189</v>
      </c>
      <c r="D464" s="73">
        <v>1</v>
      </c>
      <c r="E464" s="72">
        <v>0</v>
      </c>
    </row>
    <row r="465" spans="2:5" ht="15" customHeight="1">
      <c r="B465" s="104"/>
      <c r="C465" s="74" t="s">
        <v>304</v>
      </c>
      <c r="D465" s="75">
        <v>119</v>
      </c>
      <c r="E465" s="76">
        <v>5.0000000000000001E-3</v>
      </c>
    </row>
    <row r="466" spans="2:5" ht="15" customHeight="1">
      <c r="B466" s="102" t="s">
        <v>127</v>
      </c>
      <c r="C466" s="70" t="s">
        <v>180</v>
      </c>
      <c r="D466" s="73">
        <v>23</v>
      </c>
      <c r="E466" s="72">
        <v>1E-3</v>
      </c>
    </row>
    <row r="467" spans="2:5" ht="15" customHeight="1">
      <c r="B467" s="103"/>
      <c r="C467" s="70" t="s">
        <v>176</v>
      </c>
      <c r="D467" s="73">
        <v>17</v>
      </c>
      <c r="E467" s="72">
        <v>1E-3</v>
      </c>
    </row>
    <row r="468" spans="2:5" ht="15" customHeight="1">
      <c r="B468" s="103"/>
      <c r="C468" s="70" t="s">
        <v>188</v>
      </c>
      <c r="D468" s="73">
        <v>10</v>
      </c>
      <c r="E468" s="72">
        <v>0</v>
      </c>
    </row>
    <row r="469" spans="2:5" ht="15" customHeight="1">
      <c r="B469" s="103"/>
      <c r="C469" s="70" t="s">
        <v>185</v>
      </c>
      <c r="D469" s="73">
        <v>9</v>
      </c>
      <c r="E469" s="72">
        <v>0</v>
      </c>
    </row>
    <row r="470" spans="2:5" ht="15" customHeight="1">
      <c r="B470" s="103"/>
      <c r="C470" s="70" t="s">
        <v>189</v>
      </c>
      <c r="D470" s="73">
        <v>9</v>
      </c>
      <c r="E470" s="72">
        <v>0</v>
      </c>
    </row>
    <row r="471" spans="2:5" ht="15" customHeight="1">
      <c r="B471" s="103"/>
      <c r="C471" s="70" t="s">
        <v>174</v>
      </c>
      <c r="D471" s="73">
        <v>7</v>
      </c>
      <c r="E471" s="72">
        <v>0</v>
      </c>
    </row>
    <row r="472" spans="2:5" ht="15" customHeight="1">
      <c r="B472" s="103"/>
      <c r="C472" s="70" t="s">
        <v>196</v>
      </c>
      <c r="D472" s="73">
        <v>6</v>
      </c>
      <c r="E472" s="72">
        <v>0</v>
      </c>
    </row>
    <row r="473" spans="2:5" ht="15" customHeight="1">
      <c r="B473" s="103"/>
      <c r="C473" s="70" t="s">
        <v>192</v>
      </c>
      <c r="D473" s="73">
        <v>6</v>
      </c>
      <c r="E473" s="72">
        <v>0</v>
      </c>
    </row>
    <row r="474" spans="2:5" ht="15" customHeight="1">
      <c r="B474" s="103"/>
      <c r="C474" s="70" t="s">
        <v>184</v>
      </c>
      <c r="D474" s="73">
        <v>4</v>
      </c>
      <c r="E474" s="72">
        <v>0</v>
      </c>
    </row>
    <row r="475" spans="2:5" ht="15" customHeight="1">
      <c r="B475" s="103"/>
      <c r="C475" s="70" t="s">
        <v>187</v>
      </c>
      <c r="D475" s="73">
        <v>4</v>
      </c>
      <c r="E475" s="72">
        <v>0</v>
      </c>
    </row>
    <row r="476" spans="2:5" ht="15" customHeight="1">
      <c r="B476" s="103"/>
      <c r="C476" s="70" t="s">
        <v>191</v>
      </c>
      <c r="D476" s="73">
        <v>3</v>
      </c>
      <c r="E476" s="72">
        <v>0</v>
      </c>
    </row>
    <row r="477" spans="2:5" ht="15" customHeight="1">
      <c r="B477" s="103"/>
      <c r="C477" s="70" t="s">
        <v>169</v>
      </c>
      <c r="D477" s="73">
        <v>2</v>
      </c>
      <c r="E477" s="72">
        <v>0</v>
      </c>
    </row>
    <row r="478" spans="2:5" ht="15" customHeight="1">
      <c r="B478" s="103"/>
      <c r="C478" s="70" t="s">
        <v>171</v>
      </c>
      <c r="D478" s="73">
        <v>2</v>
      </c>
      <c r="E478" s="72">
        <v>0</v>
      </c>
    </row>
    <row r="479" spans="2:5" ht="15" customHeight="1">
      <c r="B479" s="103"/>
      <c r="C479" s="70" t="s">
        <v>173</v>
      </c>
      <c r="D479" s="73">
        <v>2</v>
      </c>
      <c r="E479" s="72">
        <v>0</v>
      </c>
    </row>
    <row r="480" spans="2:5" ht="15" customHeight="1">
      <c r="B480" s="103"/>
      <c r="C480" s="70" t="s">
        <v>182</v>
      </c>
      <c r="D480" s="73">
        <v>2</v>
      </c>
      <c r="E480" s="72">
        <v>0</v>
      </c>
    </row>
    <row r="481" spans="2:5" ht="15" customHeight="1">
      <c r="B481" s="103"/>
      <c r="C481" s="70" t="s">
        <v>193</v>
      </c>
      <c r="D481" s="73">
        <v>2</v>
      </c>
      <c r="E481" s="72">
        <v>0</v>
      </c>
    </row>
    <row r="482" spans="2:5" ht="15" customHeight="1">
      <c r="B482" s="103"/>
      <c r="C482" s="70" t="s">
        <v>170</v>
      </c>
      <c r="D482" s="73">
        <v>1</v>
      </c>
      <c r="E482" s="72">
        <v>0</v>
      </c>
    </row>
    <row r="483" spans="2:5" ht="15" customHeight="1">
      <c r="B483" s="103"/>
      <c r="C483" s="70" t="s">
        <v>278</v>
      </c>
      <c r="D483" s="73">
        <v>1</v>
      </c>
      <c r="E483" s="72">
        <v>0</v>
      </c>
    </row>
    <row r="484" spans="2:5" ht="15" customHeight="1">
      <c r="B484" s="103"/>
      <c r="C484" s="70" t="s">
        <v>177</v>
      </c>
      <c r="D484" s="73">
        <v>1</v>
      </c>
      <c r="E484" s="72">
        <v>0</v>
      </c>
    </row>
    <row r="485" spans="2:5" ht="15" customHeight="1">
      <c r="B485" s="103"/>
      <c r="C485" s="70" t="s">
        <v>181</v>
      </c>
      <c r="D485" s="73">
        <v>1</v>
      </c>
      <c r="E485" s="72">
        <v>0</v>
      </c>
    </row>
    <row r="486" spans="2:5" ht="15" customHeight="1">
      <c r="B486" s="103"/>
      <c r="C486" s="70" t="s">
        <v>186</v>
      </c>
      <c r="D486" s="73">
        <v>1</v>
      </c>
      <c r="E486" s="72">
        <v>0</v>
      </c>
    </row>
    <row r="487" spans="2:5" ht="15" customHeight="1">
      <c r="B487" s="103"/>
      <c r="C487" s="70" t="s">
        <v>207</v>
      </c>
      <c r="D487" s="73">
        <v>1</v>
      </c>
      <c r="E487" s="72">
        <v>0</v>
      </c>
    </row>
    <row r="488" spans="2:5" ht="15" customHeight="1">
      <c r="B488" s="103"/>
      <c r="C488" s="70" t="s">
        <v>190</v>
      </c>
      <c r="D488" s="73">
        <v>1</v>
      </c>
      <c r="E488" s="72">
        <v>0</v>
      </c>
    </row>
    <row r="489" spans="2:5" ht="15" customHeight="1">
      <c r="B489" s="104"/>
      <c r="C489" s="74" t="s">
        <v>304</v>
      </c>
      <c r="D489" s="75">
        <v>115</v>
      </c>
      <c r="E489" s="76">
        <v>5.0000000000000001E-3</v>
      </c>
    </row>
    <row r="490" spans="2:5" ht="15" customHeight="1">
      <c r="B490" s="102" t="s">
        <v>118</v>
      </c>
      <c r="C490" s="70" t="s">
        <v>180</v>
      </c>
      <c r="D490" s="73">
        <v>13</v>
      </c>
      <c r="E490" s="72">
        <v>1E-3</v>
      </c>
    </row>
    <row r="491" spans="2:5" ht="15" customHeight="1">
      <c r="B491" s="103"/>
      <c r="C491" s="70" t="s">
        <v>185</v>
      </c>
      <c r="D491" s="73">
        <v>11</v>
      </c>
      <c r="E491" s="72">
        <v>0</v>
      </c>
    </row>
    <row r="492" spans="2:5" ht="15" customHeight="1">
      <c r="B492" s="103"/>
      <c r="C492" s="70" t="s">
        <v>176</v>
      </c>
      <c r="D492" s="73">
        <v>9</v>
      </c>
      <c r="E492" s="72">
        <v>0</v>
      </c>
    </row>
    <row r="493" spans="2:5" ht="15" customHeight="1">
      <c r="B493" s="103"/>
      <c r="C493" s="70" t="s">
        <v>192</v>
      </c>
      <c r="D493" s="73">
        <v>9</v>
      </c>
      <c r="E493" s="72">
        <v>0</v>
      </c>
    </row>
    <row r="494" spans="2:5" ht="15" customHeight="1">
      <c r="B494" s="103"/>
      <c r="C494" s="70" t="s">
        <v>184</v>
      </c>
      <c r="D494" s="73">
        <v>7</v>
      </c>
      <c r="E494" s="72">
        <v>0</v>
      </c>
    </row>
    <row r="495" spans="2:5" ht="15" customHeight="1">
      <c r="B495" s="103"/>
      <c r="C495" s="70" t="s">
        <v>187</v>
      </c>
      <c r="D495" s="73">
        <v>7</v>
      </c>
      <c r="E495" s="72">
        <v>0</v>
      </c>
    </row>
    <row r="496" spans="2:5" ht="15" customHeight="1">
      <c r="B496" s="103"/>
      <c r="C496" s="70" t="s">
        <v>189</v>
      </c>
      <c r="D496" s="73">
        <v>7</v>
      </c>
      <c r="E496" s="72">
        <v>0</v>
      </c>
    </row>
    <row r="497" spans="2:5" ht="15" customHeight="1">
      <c r="B497" s="103"/>
      <c r="C497" s="70" t="s">
        <v>186</v>
      </c>
      <c r="D497" s="73">
        <v>5</v>
      </c>
      <c r="E497" s="72">
        <v>0</v>
      </c>
    </row>
    <row r="498" spans="2:5" ht="15" customHeight="1">
      <c r="B498" s="103"/>
      <c r="C498" s="70" t="s">
        <v>174</v>
      </c>
      <c r="D498" s="73">
        <v>4</v>
      </c>
      <c r="E498" s="72">
        <v>0</v>
      </c>
    </row>
    <row r="499" spans="2:5" ht="15" customHeight="1">
      <c r="B499" s="103"/>
      <c r="C499" s="70" t="s">
        <v>177</v>
      </c>
      <c r="D499" s="73">
        <v>4</v>
      </c>
      <c r="E499" s="72">
        <v>0</v>
      </c>
    </row>
    <row r="500" spans="2:5" ht="15" customHeight="1">
      <c r="B500" s="103"/>
      <c r="C500" s="70" t="s">
        <v>182</v>
      </c>
      <c r="D500" s="73">
        <v>4</v>
      </c>
      <c r="E500" s="72">
        <v>0</v>
      </c>
    </row>
    <row r="501" spans="2:5" ht="15" customHeight="1">
      <c r="B501" s="103"/>
      <c r="C501" s="70" t="s">
        <v>209</v>
      </c>
      <c r="D501" s="73">
        <v>4</v>
      </c>
      <c r="E501" s="72">
        <v>0</v>
      </c>
    </row>
    <row r="502" spans="2:5" ht="15" customHeight="1">
      <c r="B502" s="103"/>
      <c r="C502" s="70" t="s">
        <v>188</v>
      </c>
      <c r="D502" s="73">
        <v>4</v>
      </c>
      <c r="E502" s="72">
        <v>0</v>
      </c>
    </row>
    <row r="503" spans="2:5" ht="15" customHeight="1">
      <c r="B503" s="103"/>
      <c r="C503" s="70" t="s">
        <v>190</v>
      </c>
      <c r="D503" s="73">
        <v>4</v>
      </c>
      <c r="E503" s="72">
        <v>0</v>
      </c>
    </row>
    <row r="504" spans="2:5" ht="15" customHeight="1">
      <c r="B504" s="103"/>
      <c r="C504" s="70" t="s">
        <v>178</v>
      </c>
      <c r="D504" s="73">
        <v>2</v>
      </c>
      <c r="E504" s="72">
        <v>0</v>
      </c>
    </row>
    <row r="505" spans="2:5" ht="15" customHeight="1">
      <c r="B505" s="103"/>
      <c r="C505" s="70" t="s">
        <v>179</v>
      </c>
      <c r="D505" s="73">
        <v>2</v>
      </c>
      <c r="E505" s="72">
        <v>0</v>
      </c>
    </row>
    <row r="506" spans="2:5" ht="15" customHeight="1">
      <c r="B506" s="103"/>
      <c r="C506" s="70" t="s">
        <v>170</v>
      </c>
      <c r="D506" s="73">
        <v>1</v>
      </c>
      <c r="E506" s="72">
        <v>0</v>
      </c>
    </row>
    <row r="507" spans="2:5" ht="15" customHeight="1">
      <c r="B507" s="103"/>
      <c r="C507" s="70" t="s">
        <v>173</v>
      </c>
      <c r="D507" s="73">
        <v>1</v>
      </c>
      <c r="E507" s="72">
        <v>0</v>
      </c>
    </row>
    <row r="508" spans="2:5" ht="15" customHeight="1">
      <c r="B508" s="103"/>
      <c r="C508" s="70" t="s">
        <v>198</v>
      </c>
      <c r="D508" s="73">
        <v>1</v>
      </c>
      <c r="E508" s="72">
        <v>0</v>
      </c>
    </row>
    <row r="509" spans="2:5" ht="15" customHeight="1">
      <c r="B509" s="103"/>
      <c r="C509" s="70" t="s">
        <v>200</v>
      </c>
      <c r="D509" s="73">
        <v>1</v>
      </c>
      <c r="E509" s="72">
        <v>0</v>
      </c>
    </row>
    <row r="510" spans="2:5" ht="15" customHeight="1">
      <c r="B510" s="103"/>
      <c r="C510" s="70" t="s">
        <v>206</v>
      </c>
      <c r="D510" s="73">
        <v>1</v>
      </c>
      <c r="E510" s="72">
        <v>0</v>
      </c>
    </row>
    <row r="511" spans="2:5" ht="15" customHeight="1">
      <c r="B511" s="103"/>
      <c r="C511" s="70" t="s">
        <v>207</v>
      </c>
      <c r="D511" s="73">
        <v>1</v>
      </c>
      <c r="E511" s="72">
        <v>0</v>
      </c>
    </row>
    <row r="512" spans="2:5" ht="15" customHeight="1">
      <c r="B512" s="104"/>
      <c r="C512" s="74" t="s">
        <v>304</v>
      </c>
      <c r="D512" s="75">
        <v>102</v>
      </c>
      <c r="E512" s="76">
        <v>4.0000000000000001E-3</v>
      </c>
    </row>
    <row r="513" spans="2:5" ht="15" customHeight="1">
      <c r="B513" s="102" t="s">
        <v>111</v>
      </c>
      <c r="C513" s="70" t="s">
        <v>180</v>
      </c>
      <c r="D513" s="73">
        <v>19</v>
      </c>
      <c r="E513" s="72">
        <v>1E-3</v>
      </c>
    </row>
    <row r="514" spans="2:5" ht="15" customHeight="1">
      <c r="B514" s="103"/>
      <c r="C514" s="70" t="s">
        <v>176</v>
      </c>
      <c r="D514" s="73">
        <v>13</v>
      </c>
      <c r="E514" s="72">
        <v>1E-3</v>
      </c>
    </row>
    <row r="515" spans="2:5" ht="15" customHeight="1">
      <c r="B515" s="103"/>
      <c r="C515" s="70" t="s">
        <v>192</v>
      </c>
      <c r="D515" s="73">
        <v>10</v>
      </c>
      <c r="E515" s="72">
        <v>0</v>
      </c>
    </row>
    <row r="516" spans="2:5" ht="15" customHeight="1">
      <c r="B516" s="103"/>
      <c r="C516" s="70" t="s">
        <v>174</v>
      </c>
      <c r="D516" s="73">
        <v>8</v>
      </c>
      <c r="E516" s="72">
        <v>0</v>
      </c>
    </row>
    <row r="517" spans="2:5" ht="15" customHeight="1">
      <c r="B517" s="103"/>
      <c r="C517" s="70" t="s">
        <v>182</v>
      </c>
      <c r="D517" s="73">
        <v>8</v>
      </c>
      <c r="E517" s="72">
        <v>0</v>
      </c>
    </row>
    <row r="518" spans="2:5" ht="15" customHeight="1">
      <c r="B518" s="103"/>
      <c r="C518" s="70" t="s">
        <v>189</v>
      </c>
      <c r="D518" s="73">
        <v>6</v>
      </c>
      <c r="E518" s="72">
        <v>0</v>
      </c>
    </row>
    <row r="519" spans="2:5" ht="15" customHeight="1">
      <c r="B519" s="103"/>
      <c r="C519" s="70" t="s">
        <v>177</v>
      </c>
      <c r="D519" s="73">
        <v>5</v>
      </c>
      <c r="E519" s="72">
        <v>0</v>
      </c>
    </row>
    <row r="520" spans="2:5" ht="15" customHeight="1">
      <c r="B520" s="103"/>
      <c r="C520" s="70" t="s">
        <v>185</v>
      </c>
      <c r="D520" s="73">
        <v>5</v>
      </c>
      <c r="E520" s="72">
        <v>0</v>
      </c>
    </row>
    <row r="521" spans="2:5" ht="15" customHeight="1">
      <c r="B521" s="103"/>
      <c r="C521" s="70" t="s">
        <v>171</v>
      </c>
      <c r="D521" s="73">
        <v>4</v>
      </c>
      <c r="E521" s="72">
        <v>0</v>
      </c>
    </row>
    <row r="522" spans="2:5" ht="15" customHeight="1">
      <c r="B522" s="103"/>
      <c r="C522" s="70" t="s">
        <v>183</v>
      </c>
      <c r="D522" s="73">
        <v>4</v>
      </c>
      <c r="E522" s="72">
        <v>0</v>
      </c>
    </row>
    <row r="523" spans="2:5" ht="15" customHeight="1">
      <c r="B523" s="103"/>
      <c r="C523" s="70" t="s">
        <v>187</v>
      </c>
      <c r="D523" s="73">
        <v>4</v>
      </c>
      <c r="E523" s="72">
        <v>0</v>
      </c>
    </row>
    <row r="524" spans="2:5" ht="15" customHeight="1">
      <c r="B524" s="103"/>
      <c r="C524" s="70" t="s">
        <v>173</v>
      </c>
      <c r="D524" s="73">
        <v>3</v>
      </c>
      <c r="E524" s="72">
        <v>0</v>
      </c>
    </row>
    <row r="525" spans="2:5" ht="15" customHeight="1">
      <c r="B525" s="103"/>
      <c r="C525" s="70" t="s">
        <v>170</v>
      </c>
      <c r="D525" s="73">
        <v>1</v>
      </c>
      <c r="E525" s="72">
        <v>0</v>
      </c>
    </row>
    <row r="526" spans="2:5" ht="15" customHeight="1">
      <c r="B526" s="103"/>
      <c r="C526" s="70" t="s">
        <v>196</v>
      </c>
      <c r="D526" s="73">
        <v>1</v>
      </c>
      <c r="E526" s="72">
        <v>0</v>
      </c>
    </row>
    <row r="527" spans="2:5" ht="15" customHeight="1">
      <c r="B527" s="103"/>
      <c r="C527" s="70" t="s">
        <v>208</v>
      </c>
      <c r="D527" s="73">
        <v>1</v>
      </c>
      <c r="E527" s="72">
        <v>0</v>
      </c>
    </row>
    <row r="528" spans="2:5" ht="15" customHeight="1">
      <c r="B528" s="103"/>
      <c r="C528" s="70" t="s">
        <v>194</v>
      </c>
      <c r="D528" s="73">
        <v>1</v>
      </c>
      <c r="E528" s="72">
        <v>0</v>
      </c>
    </row>
    <row r="529" spans="2:5" ht="15" customHeight="1">
      <c r="B529" s="103"/>
      <c r="C529" s="70" t="s">
        <v>178</v>
      </c>
      <c r="D529" s="73">
        <v>1</v>
      </c>
      <c r="E529" s="72">
        <v>0</v>
      </c>
    </row>
    <row r="530" spans="2:5" ht="15" customHeight="1">
      <c r="B530" s="103"/>
      <c r="C530" s="70" t="s">
        <v>184</v>
      </c>
      <c r="D530" s="73">
        <v>1</v>
      </c>
      <c r="E530" s="72">
        <v>0</v>
      </c>
    </row>
    <row r="531" spans="2:5" ht="15" customHeight="1">
      <c r="B531" s="103"/>
      <c r="C531" s="70" t="s">
        <v>186</v>
      </c>
      <c r="D531" s="73">
        <v>1</v>
      </c>
      <c r="E531" s="72">
        <v>0</v>
      </c>
    </row>
    <row r="532" spans="2:5" ht="15" customHeight="1">
      <c r="B532" s="103"/>
      <c r="C532" s="70" t="s">
        <v>188</v>
      </c>
      <c r="D532" s="73">
        <v>1</v>
      </c>
      <c r="E532" s="72">
        <v>0</v>
      </c>
    </row>
    <row r="533" spans="2:5" ht="15" customHeight="1">
      <c r="B533" s="103"/>
      <c r="C533" s="70" t="s">
        <v>191</v>
      </c>
      <c r="D533" s="73">
        <v>1</v>
      </c>
      <c r="E533" s="72">
        <v>0</v>
      </c>
    </row>
    <row r="534" spans="2:5" ht="15" customHeight="1">
      <c r="B534" s="103"/>
      <c r="C534" s="70" t="s">
        <v>193</v>
      </c>
      <c r="D534" s="73">
        <v>1</v>
      </c>
      <c r="E534" s="72">
        <v>0</v>
      </c>
    </row>
    <row r="535" spans="2:5" ht="15" customHeight="1">
      <c r="B535" s="104"/>
      <c r="C535" s="74" t="s">
        <v>304</v>
      </c>
      <c r="D535" s="75">
        <v>99</v>
      </c>
      <c r="E535" s="76">
        <v>4.0000000000000001E-3</v>
      </c>
    </row>
    <row r="536" spans="2:5" ht="15" customHeight="1">
      <c r="B536" s="102" t="s">
        <v>140</v>
      </c>
      <c r="C536" s="70" t="s">
        <v>180</v>
      </c>
      <c r="D536" s="73">
        <v>17</v>
      </c>
      <c r="E536" s="72">
        <v>1E-3</v>
      </c>
    </row>
    <row r="537" spans="2:5" ht="15" customHeight="1">
      <c r="B537" s="103"/>
      <c r="C537" s="70" t="s">
        <v>185</v>
      </c>
      <c r="D537" s="73">
        <v>13</v>
      </c>
      <c r="E537" s="72">
        <v>1E-3</v>
      </c>
    </row>
    <row r="538" spans="2:5" ht="15" customHeight="1">
      <c r="B538" s="103"/>
      <c r="C538" s="70" t="s">
        <v>192</v>
      </c>
      <c r="D538" s="73">
        <v>10</v>
      </c>
      <c r="E538" s="72">
        <v>0</v>
      </c>
    </row>
    <row r="539" spans="2:5" ht="15" customHeight="1">
      <c r="B539" s="103"/>
      <c r="C539" s="70" t="s">
        <v>176</v>
      </c>
      <c r="D539" s="73">
        <v>9</v>
      </c>
      <c r="E539" s="72">
        <v>0</v>
      </c>
    </row>
    <row r="540" spans="2:5" ht="15" customHeight="1">
      <c r="B540" s="103"/>
      <c r="C540" s="70" t="s">
        <v>189</v>
      </c>
      <c r="D540" s="73">
        <v>8</v>
      </c>
      <c r="E540" s="72">
        <v>0</v>
      </c>
    </row>
    <row r="541" spans="2:5" ht="15" customHeight="1">
      <c r="B541" s="103"/>
      <c r="C541" s="70" t="s">
        <v>182</v>
      </c>
      <c r="D541" s="73">
        <v>6</v>
      </c>
      <c r="E541" s="72">
        <v>0</v>
      </c>
    </row>
    <row r="542" spans="2:5" ht="15" customHeight="1">
      <c r="B542" s="103"/>
      <c r="C542" s="70" t="s">
        <v>187</v>
      </c>
      <c r="D542" s="73">
        <v>5</v>
      </c>
      <c r="E542" s="72">
        <v>0</v>
      </c>
    </row>
    <row r="543" spans="2:5" ht="15" customHeight="1">
      <c r="B543" s="103"/>
      <c r="C543" s="70" t="s">
        <v>191</v>
      </c>
      <c r="D543" s="73">
        <v>3</v>
      </c>
      <c r="E543" s="72">
        <v>0</v>
      </c>
    </row>
    <row r="544" spans="2:5" ht="15" customHeight="1">
      <c r="B544" s="103"/>
      <c r="C544" s="70" t="s">
        <v>177</v>
      </c>
      <c r="D544" s="73">
        <v>2</v>
      </c>
      <c r="E544" s="72">
        <v>0</v>
      </c>
    </row>
    <row r="545" spans="2:5" ht="15" customHeight="1">
      <c r="B545" s="103"/>
      <c r="C545" s="70" t="s">
        <v>178</v>
      </c>
      <c r="D545" s="73">
        <v>2</v>
      </c>
      <c r="E545" s="72">
        <v>0</v>
      </c>
    </row>
    <row r="546" spans="2:5" ht="15" customHeight="1">
      <c r="B546" s="103"/>
      <c r="C546" s="70" t="s">
        <v>186</v>
      </c>
      <c r="D546" s="73">
        <v>2</v>
      </c>
      <c r="E546" s="72">
        <v>0</v>
      </c>
    </row>
    <row r="547" spans="2:5" ht="15" customHeight="1">
      <c r="B547" s="103"/>
      <c r="C547" s="70" t="s">
        <v>188</v>
      </c>
      <c r="D547" s="73">
        <v>2</v>
      </c>
      <c r="E547" s="72">
        <v>0</v>
      </c>
    </row>
    <row r="548" spans="2:5" ht="15" customHeight="1">
      <c r="B548" s="103"/>
      <c r="C548" s="70" t="s">
        <v>190</v>
      </c>
      <c r="D548" s="73">
        <v>2</v>
      </c>
      <c r="E548" s="72">
        <v>0</v>
      </c>
    </row>
    <row r="549" spans="2:5" ht="15" customHeight="1">
      <c r="B549" s="103"/>
      <c r="C549" s="70" t="s">
        <v>174</v>
      </c>
      <c r="D549" s="73">
        <v>1</v>
      </c>
      <c r="E549" s="72">
        <v>0</v>
      </c>
    </row>
    <row r="550" spans="2:5" ht="15" customHeight="1">
      <c r="B550" s="103"/>
      <c r="C550" s="70" t="s">
        <v>194</v>
      </c>
      <c r="D550" s="73">
        <v>1</v>
      </c>
      <c r="E550" s="72">
        <v>0</v>
      </c>
    </row>
    <row r="551" spans="2:5" ht="15" customHeight="1">
      <c r="B551" s="103"/>
      <c r="C551" s="70" t="s">
        <v>200</v>
      </c>
      <c r="D551" s="73">
        <v>1</v>
      </c>
      <c r="E551" s="72">
        <v>0</v>
      </c>
    </row>
    <row r="552" spans="2:5" ht="15" customHeight="1">
      <c r="B552" s="103"/>
      <c r="C552" s="70" t="s">
        <v>184</v>
      </c>
      <c r="D552" s="73">
        <v>1</v>
      </c>
      <c r="E552" s="72">
        <v>0</v>
      </c>
    </row>
    <row r="553" spans="2:5" ht="15" customHeight="1">
      <c r="B553" s="104"/>
      <c r="C553" s="74" t="s">
        <v>304</v>
      </c>
      <c r="D553" s="75">
        <v>85</v>
      </c>
      <c r="E553" s="76">
        <v>3.0000000000000001E-3</v>
      </c>
    </row>
    <row r="554" spans="2:5" ht="15" customHeight="1">
      <c r="B554" s="102" t="s">
        <v>138</v>
      </c>
      <c r="C554" s="70" t="s">
        <v>189</v>
      </c>
      <c r="D554" s="73">
        <v>11</v>
      </c>
      <c r="E554" s="72">
        <v>0</v>
      </c>
    </row>
    <row r="555" spans="2:5" ht="15" customHeight="1">
      <c r="B555" s="103"/>
      <c r="C555" s="70" t="s">
        <v>180</v>
      </c>
      <c r="D555" s="73">
        <v>10</v>
      </c>
      <c r="E555" s="72">
        <v>0</v>
      </c>
    </row>
    <row r="556" spans="2:5" ht="15" customHeight="1">
      <c r="B556" s="103"/>
      <c r="C556" s="70" t="s">
        <v>176</v>
      </c>
      <c r="D556" s="73">
        <v>6</v>
      </c>
      <c r="E556" s="72">
        <v>0</v>
      </c>
    </row>
    <row r="557" spans="2:5" ht="15" customHeight="1">
      <c r="B557" s="103"/>
      <c r="C557" s="70" t="s">
        <v>182</v>
      </c>
      <c r="D557" s="73">
        <v>5</v>
      </c>
      <c r="E557" s="72">
        <v>0</v>
      </c>
    </row>
    <row r="558" spans="2:5" ht="15" customHeight="1">
      <c r="B558" s="103"/>
      <c r="C558" s="70" t="s">
        <v>185</v>
      </c>
      <c r="D558" s="73">
        <v>5</v>
      </c>
      <c r="E558" s="72">
        <v>0</v>
      </c>
    </row>
    <row r="559" spans="2:5" ht="15" customHeight="1">
      <c r="B559" s="103"/>
      <c r="C559" s="70" t="s">
        <v>170</v>
      </c>
      <c r="D559" s="73">
        <v>4</v>
      </c>
      <c r="E559" s="72">
        <v>0</v>
      </c>
    </row>
    <row r="560" spans="2:5" ht="15" customHeight="1">
      <c r="B560" s="103"/>
      <c r="C560" s="70" t="s">
        <v>174</v>
      </c>
      <c r="D560" s="73">
        <v>4</v>
      </c>
      <c r="E560" s="72">
        <v>0</v>
      </c>
    </row>
    <row r="561" spans="2:5" ht="15" customHeight="1">
      <c r="B561" s="103"/>
      <c r="C561" s="70" t="s">
        <v>177</v>
      </c>
      <c r="D561" s="73">
        <v>4</v>
      </c>
      <c r="E561" s="72">
        <v>0</v>
      </c>
    </row>
    <row r="562" spans="2:5" ht="15" customHeight="1">
      <c r="B562" s="103"/>
      <c r="C562" s="70" t="s">
        <v>192</v>
      </c>
      <c r="D562" s="73">
        <v>3</v>
      </c>
      <c r="E562" s="72">
        <v>0</v>
      </c>
    </row>
    <row r="563" spans="2:5" ht="15" customHeight="1">
      <c r="B563" s="103"/>
      <c r="C563" s="70" t="s">
        <v>208</v>
      </c>
      <c r="D563" s="73">
        <v>2</v>
      </c>
      <c r="E563" s="72">
        <v>0</v>
      </c>
    </row>
    <row r="564" spans="2:5" ht="15" customHeight="1">
      <c r="B564" s="103"/>
      <c r="C564" s="70" t="s">
        <v>179</v>
      </c>
      <c r="D564" s="73">
        <v>2</v>
      </c>
      <c r="E564" s="72">
        <v>0</v>
      </c>
    </row>
    <row r="565" spans="2:5" ht="15" customHeight="1">
      <c r="B565" s="103"/>
      <c r="C565" s="70" t="s">
        <v>206</v>
      </c>
      <c r="D565" s="73">
        <v>2</v>
      </c>
      <c r="E565" s="72">
        <v>0</v>
      </c>
    </row>
    <row r="566" spans="2:5" ht="15" customHeight="1">
      <c r="B566" s="103"/>
      <c r="C566" s="70" t="s">
        <v>188</v>
      </c>
      <c r="D566" s="73">
        <v>2</v>
      </c>
      <c r="E566" s="72">
        <v>0</v>
      </c>
    </row>
    <row r="567" spans="2:5" ht="15" customHeight="1">
      <c r="B567" s="103"/>
      <c r="C567" s="70" t="s">
        <v>190</v>
      </c>
      <c r="D567" s="73">
        <v>2</v>
      </c>
      <c r="E567" s="72">
        <v>0</v>
      </c>
    </row>
    <row r="568" spans="2:5" ht="15" customHeight="1">
      <c r="B568" s="103"/>
      <c r="C568" s="70" t="s">
        <v>196</v>
      </c>
      <c r="D568" s="73">
        <v>1</v>
      </c>
      <c r="E568" s="72">
        <v>0</v>
      </c>
    </row>
    <row r="569" spans="2:5" ht="15" customHeight="1">
      <c r="B569" s="103"/>
      <c r="C569" s="70" t="s">
        <v>172</v>
      </c>
      <c r="D569" s="73">
        <v>1</v>
      </c>
      <c r="E569" s="72">
        <v>0</v>
      </c>
    </row>
    <row r="570" spans="2:5" ht="15" customHeight="1">
      <c r="B570" s="103"/>
      <c r="C570" s="70" t="s">
        <v>173</v>
      </c>
      <c r="D570" s="73">
        <v>1</v>
      </c>
      <c r="E570" s="72">
        <v>0</v>
      </c>
    </row>
    <row r="571" spans="2:5" ht="15" customHeight="1">
      <c r="B571" s="103"/>
      <c r="C571" s="70" t="s">
        <v>198</v>
      </c>
      <c r="D571" s="73">
        <v>1</v>
      </c>
      <c r="E571" s="72">
        <v>0</v>
      </c>
    </row>
    <row r="572" spans="2:5" ht="15" customHeight="1">
      <c r="B572" s="103"/>
      <c r="C572" s="70" t="s">
        <v>204</v>
      </c>
      <c r="D572" s="73">
        <v>1</v>
      </c>
      <c r="E572" s="72">
        <v>0</v>
      </c>
    </row>
    <row r="573" spans="2:5" ht="15" customHeight="1">
      <c r="B573" s="103"/>
      <c r="C573" s="70" t="s">
        <v>200</v>
      </c>
      <c r="D573" s="73">
        <v>1</v>
      </c>
      <c r="E573" s="72">
        <v>0</v>
      </c>
    </row>
    <row r="574" spans="2:5" ht="15" customHeight="1">
      <c r="B574" s="103"/>
      <c r="C574" s="70" t="s">
        <v>209</v>
      </c>
      <c r="D574" s="73">
        <v>1</v>
      </c>
      <c r="E574" s="72">
        <v>0</v>
      </c>
    </row>
    <row r="575" spans="2:5" ht="15" customHeight="1">
      <c r="B575" s="103"/>
      <c r="C575" s="70" t="s">
        <v>186</v>
      </c>
      <c r="D575" s="73">
        <v>1</v>
      </c>
      <c r="E575" s="72">
        <v>0</v>
      </c>
    </row>
    <row r="576" spans="2:5" ht="15" customHeight="1">
      <c r="B576" s="103"/>
      <c r="C576" s="70" t="s">
        <v>187</v>
      </c>
      <c r="D576" s="73">
        <v>1</v>
      </c>
      <c r="E576" s="72">
        <v>0</v>
      </c>
    </row>
    <row r="577" spans="2:5" ht="15" customHeight="1">
      <c r="B577" s="104"/>
      <c r="C577" s="74" t="s">
        <v>304</v>
      </c>
      <c r="D577" s="75">
        <v>71</v>
      </c>
      <c r="E577" s="76">
        <v>3.0000000000000001E-3</v>
      </c>
    </row>
    <row r="578" spans="2:5" ht="15" customHeight="1">
      <c r="B578" s="102" t="s">
        <v>100</v>
      </c>
      <c r="C578" s="70" t="s">
        <v>180</v>
      </c>
      <c r="D578" s="73">
        <v>11</v>
      </c>
      <c r="E578" s="72">
        <v>0</v>
      </c>
    </row>
    <row r="579" spans="2:5" ht="15" customHeight="1">
      <c r="B579" s="103"/>
      <c r="C579" s="70" t="s">
        <v>189</v>
      </c>
      <c r="D579" s="73">
        <v>7</v>
      </c>
      <c r="E579" s="72">
        <v>0</v>
      </c>
    </row>
    <row r="580" spans="2:5" ht="15" customHeight="1">
      <c r="B580" s="103"/>
      <c r="C580" s="70" t="s">
        <v>278</v>
      </c>
      <c r="D580" s="73">
        <v>6</v>
      </c>
      <c r="E580" s="72">
        <v>0</v>
      </c>
    </row>
    <row r="581" spans="2:5" ht="15" customHeight="1">
      <c r="B581" s="103"/>
      <c r="C581" s="70" t="s">
        <v>185</v>
      </c>
      <c r="D581" s="73">
        <v>5</v>
      </c>
      <c r="E581" s="72">
        <v>0</v>
      </c>
    </row>
    <row r="582" spans="2:5" ht="15" customHeight="1">
      <c r="B582" s="103"/>
      <c r="C582" s="70" t="s">
        <v>174</v>
      </c>
      <c r="D582" s="73">
        <v>4</v>
      </c>
      <c r="E582" s="72">
        <v>0</v>
      </c>
    </row>
    <row r="583" spans="2:5" ht="15" customHeight="1">
      <c r="B583" s="103"/>
      <c r="C583" s="70" t="s">
        <v>176</v>
      </c>
      <c r="D583" s="73">
        <v>4</v>
      </c>
      <c r="E583" s="72">
        <v>0</v>
      </c>
    </row>
    <row r="584" spans="2:5" ht="15" customHeight="1">
      <c r="B584" s="103"/>
      <c r="C584" s="70" t="s">
        <v>177</v>
      </c>
      <c r="D584" s="73">
        <v>4</v>
      </c>
      <c r="E584" s="72">
        <v>0</v>
      </c>
    </row>
    <row r="585" spans="2:5" ht="15" customHeight="1">
      <c r="B585" s="103"/>
      <c r="C585" s="70" t="s">
        <v>170</v>
      </c>
      <c r="D585" s="73">
        <v>3</v>
      </c>
      <c r="E585" s="72">
        <v>0</v>
      </c>
    </row>
    <row r="586" spans="2:5" ht="15" customHeight="1">
      <c r="B586" s="103"/>
      <c r="C586" s="70" t="s">
        <v>182</v>
      </c>
      <c r="D586" s="73">
        <v>3</v>
      </c>
      <c r="E586" s="72">
        <v>0</v>
      </c>
    </row>
    <row r="587" spans="2:5" ht="15" customHeight="1">
      <c r="B587" s="103"/>
      <c r="C587" s="70" t="s">
        <v>186</v>
      </c>
      <c r="D587" s="73">
        <v>2</v>
      </c>
      <c r="E587" s="72">
        <v>0</v>
      </c>
    </row>
    <row r="588" spans="2:5" ht="15" customHeight="1">
      <c r="B588" s="103"/>
      <c r="C588" s="70" t="s">
        <v>190</v>
      </c>
      <c r="D588" s="73">
        <v>2</v>
      </c>
      <c r="E588" s="72">
        <v>0</v>
      </c>
    </row>
    <row r="589" spans="2:5" ht="15" customHeight="1">
      <c r="B589" s="103"/>
      <c r="C589" s="70" t="s">
        <v>196</v>
      </c>
      <c r="D589" s="73">
        <v>1</v>
      </c>
      <c r="E589" s="72">
        <v>0</v>
      </c>
    </row>
    <row r="590" spans="2:5" ht="15" customHeight="1">
      <c r="B590" s="103"/>
      <c r="C590" s="70" t="s">
        <v>172</v>
      </c>
      <c r="D590" s="73">
        <v>1</v>
      </c>
      <c r="E590" s="72">
        <v>0</v>
      </c>
    </row>
    <row r="591" spans="2:5" ht="15" customHeight="1">
      <c r="B591" s="103"/>
      <c r="C591" s="70" t="s">
        <v>173</v>
      </c>
      <c r="D591" s="73">
        <v>1</v>
      </c>
      <c r="E591" s="72">
        <v>0</v>
      </c>
    </row>
    <row r="592" spans="2:5" ht="15" customHeight="1">
      <c r="B592" s="103"/>
      <c r="C592" s="70" t="s">
        <v>197</v>
      </c>
      <c r="D592" s="73">
        <v>1</v>
      </c>
      <c r="E592" s="72">
        <v>0</v>
      </c>
    </row>
    <row r="593" spans="2:5" ht="15" customHeight="1">
      <c r="B593" s="103"/>
      <c r="C593" s="70" t="s">
        <v>204</v>
      </c>
      <c r="D593" s="73">
        <v>1</v>
      </c>
      <c r="E593" s="72">
        <v>0</v>
      </c>
    </row>
    <row r="594" spans="2:5" ht="15" customHeight="1">
      <c r="B594" s="103"/>
      <c r="C594" s="70" t="s">
        <v>201</v>
      </c>
      <c r="D594" s="73">
        <v>1</v>
      </c>
      <c r="E594" s="72">
        <v>0</v>
      </c>
    </row>
    <row r="595" spans="2:5" ht="15" customHeight="1">
      <c r="B595" s="103"/>
      <c r="C595" s="70" t="s">
        <v>207</v>
      </c>
      <c r="D595" s="73">
        <v>1</v>
      </c>
      <c r="E595" s="72">
        <v>0</v>
      </c>
    </row>
    <row r="596" spans="2:5" ht="15" customHeight="1">
      <c r="B596" s="103"/>
      <c r="C596" s="70" t="s">
        <v>187</v>
      </c>
      <c r="D596" s="73">
        <v>1</v>
      </c>
      <c r="E596" s="72">
        <v>0</v>
      </c>
    </row>
    <row r="597" spans="2:5" ht="15" customHeight="1">
      <c r="B597" s="103"/>
      <c r="C597" s="70" t="s">
        <v>191</v>
      </c>
      <c r="D597" s="73">
        <v>1</v>
      </c>
      <c r="E597" s="72">
        <v>0</v>
      </c>
    </row>
    <row r="598" spans="2:5" ht="15" customHeight="1">
      <c r="B598" s="103"/>
      <c r="C598" s="70" t="s">
        <v>192</v>
      </c>
      <c r="D598" s="73">
        <v>1</v>
      </c>
      <c r="E598" s="72">
        <v>0</v>
      </c>
    </row>
    <row r="599" spans="2:5" ht="15" customHeight="1">
      <c r="B599" s="104"/>
      <c r="C599" s="74" t="s">
        <v>304</v>
      </c>
      <c r="D599" s="75">
        <v>61</v>
      </c>
      <c r="E599" s="76">
        <v>3.0000000000000001E-3</v>
      </c>
    </row>
    <row r="600" spans="2:5" ht="15" customHeight="1">
      <c r="B600" s="102" t="s">
        <v>120</v>
      </c>
      <c r="C600" s="70" t="s">
        <v>185</v>
      </c>
      <c r="D600" s="73">
        <v>12</v>
      </c>
      <c r="E600" s="72">
        <v>0</v>
      </c>
    </row>
    <row r="601" spans="2:5" ht="15" customHeight="1">
      <c r="B601" s="103"/>
      <c r="C601" s="70" t="s">
        <v>180</v>
      </c>
      <c r="D601" s="73">
        <v>9</v>
      </c>
      <c r="E601" s="72">
        <v>0</v>
      </c>
    </row>
    <row r="602" spans="2:5" ht="15" customHeight="1">
      <c r="B602" s="103"/>
      <c r="C602" s="70" t="s">
        <v>170</v>
      </c>
      <c r="D602" s="73">
        <v>7</v>
      </c>
      <c r="E602" s="72">
        <v>0</v>
      </c>
    </row>
    <row r="603" spans="2:5" ht="15" customHeight="1">
      <c r="B603" s="103"/>
      <c r="C603" s="70" t="s">
        <v>192</v>
      </c>
      <c r="D603" s="73">
        <v>6</v>
      </c>
      <c r="E603" s="72">
        <v>0</v>
      </c>
    </row>
    <row r="604" spans="2:5" ht="15" customHeight="1">
      <c r="B604" s="103"/>
      <c r="C604" s="70" t="s">
        <v>176</v>
      </c>
      <c r="D604" s="73">
        <v>5</v>
      </c>
      <c r="E604" s="72">
        <v>0</v>
      </c>
    </row>
    <row r="605" spans="2:5" ht="15" customHeight="1">
      <c r="B605" s="103"/>
      <c r="C605" s="70" t="s">
        <v>197</v>
      </c>
      <c r="D605" s="73">
        <v>2</v>
      </c>
      <c r="E605" s="72">
        <v>0</v>
      </c>
    </row>
    <row r="606" spans="2:5" ht="15" customHeight="1">
      <c r="B606" s="103"/>
      <c r="C606" s="70" t="s">
        <v>174</v>
      </c>
      <c r="D606" s="73">
        <v>2</v>
      </c>
      <c r="E606" s="72">
        <v>0</v>
      </c>
    </row>
    <row r="607" spans="2:5" ht="15" customHeight="1">
      <c r="B607" s="103"/>
      <c r="C607" s="70" t="s">
        <v>186</v>
      </c>
      <c r="D607" s="73">
        <v>2</v>
      </c>
      <c r="E607" s="72">
        <v>0</v>
      </c>
    </row>
    <row r="608" spans="2:5" ht="15" customHeight="1">
      <c r="B608" s="103"/>
      <c r="C608" s="70" t="s">
        <v>188</v>
      </c>
      <c r="D608" s="73">
        <v>2</v>
      </c>
      <c r="E608" s="72">
        <v>0</v>
      </c>
    </row>
    <row r="609" spans="2:5" ht="15" customHeight="1">
      <c r="B609" s="103"/>
      <c r="C609" s="70" t="s">
        <v>189</v>
      </c>
      <c r="D609" s="73">
        <v>2</v>
      </c>
      <c r="E609" s="72">
        <v>0</v>
      </c>
    </row>
    <row r="610" spans="2:5" ht="15" customHeight="1">
      <c r="B610" s="103"/>
      <c r="C610" s="70" t="s">
        <v>172</v>
      </c>
      <c r="D610" s="73">
        <v>1</v>
      </c>
      <c r="E610" s="72">
        <v>0</v>
      </c>
    </row>
    <row r="611" spans="2:5" ht="15" customHeight="1">
      <c r="B611" s="103"/>
      <c r="C611" s="70" t="s">
        <v>173</v>
      </c>
      <c r="D611" s="73">
        <v>1</v>
      </c>
      <c r="E611" s="72">
        <v>0</v>
      </c>
    </row>
    <row r="612" spans="2:5" ht="15" customHeight="1">
      <c r="B612" s="103"/>
      <c r="C612" s="70" t="s">
        <v>278</v>
      </c>
      <c r="D612" s="73">
        <v>1</v>
      </c>
      <c r="E612" s="72">
        <v>0</v>
      </c>
    </row>
    <row r="613" spans="2:5" ht="15" customHeight="1">
      <c r="B613" s="103"/>
      <c r="C613" s="70" t="s">
        <v>178</v>
      </c>
      <c r="D613" s="73">
        <v>1</v>
      </c>
      <c r="E613" s="72">
        <v>0</v>
      </c>
    </row>
    <row r="614" spans="2:5" ht="15" customHeight="1">
      <c r="B614" s="103"/>
      <c r="C614" s="70" t="s">
        <v>200</v>
      </c>
      <c r="D614" s="73">
        <v>1</v>
      </c>
      <c r="E614" s="72">
        <v>0</v>
      </c>
    </row>
    <row r="615" spans="2:5" ht="15" customHeight="1">
      <c r="B615" s="103"/>
      <c r="C615" s="70" t="s">
        <v>182</v>
      </c>
      <c r="D615" s="73">
        <v>1</v>
      </c>
      <c r="E615" s="72">
        <v>0</v>
      </c>
    </row>
    <row r="616" spans="2:5" ht="15" customHeight="1">
      <c r="B616" s="103"/>
      <c r="C616" s="70" t="s">
        <v>191</v>
      </c>
      <c r="D616" s="73">
        <v>1</v>
      </c>
      <c r="E616" s="72">
        <v>0</v>
      </c>
    </row>
    <row r="617" spans="2:5" ht="15" customHeight="1">
      <c r="B617" s="104"/>
      <c r="C617" s="74" t="s">
        <v>304</v>
      </c>
      <c r="D617" s="75">
        <v>56</v>
      </c>
      <c r="E617" s="76">
        <v>2E-3</v>
      </c>
    </row>
    <row r="618" spans="2:5" ht="15" customHeight="1">
      <c r="B618" s="102" t="s">
        <v>110</v>
      </c>
      <c r="C618" s="70" t="s">
        <v>180</v>
      </c>
      <c r="D618" s="73">
        <v>9</v>
      </c>
      <c r="E618" s="72">
        <v>0</v>
      </c>
    </row>
    <row r="619" spans="2:5" ht="15" customHeight="1">
      <c r="B619" s="103"/>
      <c r="C619" s="70" t="s">
        <v>185</v>
      </c>
      <c r="D619" s="73">
        <v>6</v>
      </c>
      <c r="E619" s="72">
        <v>0</v>
      </c>
    </row>
    <row r="620" spans="2:5" ht="15" customHeight="1">
      <c r="B620" s="103"/>
      <c r="C620" s="70" t="s">
        <v>176</v>
      </c>
      <c r="D620" s="73">
        <v>5</v>
      </c>
      <c r="E620" s="72">
        <v>0</v>
      </c>
    </row>
    <row r="621" spans="2:5" ht="15" customHeight="1">
      <c r="B621" s="103"/>
      <c r="C621" s="70" t="s">
        <v>170</v>
      </c>
      <c r="D621" s="73">
        <v>4</v>
      </c>
      <c r="E621" s="72">
        <v>0</v>
      </c>
    </row>
    <row r="622" spans="2:5" ht="15" customHeight="1">
      <c r="B622" s="103"/>
      <c r="C622" s="70" t="s">
        <v>177</v>
      </c>
      <c r="D622" s="73">
        <v>4</v>
      </c>
      <c r="E622" s="72">
        <v>0</v>
      </c>
    </row>
    <row r="623" spans="2:5" ht="15" customHeight="1">
      <c r="B623" s="103"/>
      <c r="C623" s="70" t="s">
        <v>186</v>
      </c>
      <c r="D623" s="73">
        <v>4</v>
      </c>
      <c r="E623" s="72">
        <v>0</v>
      </c>
    </row>
    <row r="624" spans="2:5" ht="15" customHeight="1">
      <c r="B624" s="103"/>
      <c r="C624" s="70" t="s">
        <v>196</v>
      </c>
      <c r="D624" s="73">
        <v>2</v>
      </c>
      <c r="E624" s="72">
        <v>0</v>
      </c>
    </row>
    <row r="625" spans="2:5" ht="15" customHeight="1">
      <c r="B625" s="103"/>
      <c r="C625" s="70" t="s">
        <v>182</v>
      </c>
      <c r="D625" s="73">
        <v>2</v>
      </c>
      <c r="E625" s="72">
        <v>0</v>
      </c>
    </row>
    <row r="626" spans="2:5" ht="15" customHeight="1">
      <c r="B626" s="103"/>
      <c r="C626" s="70" t="s">
        <v>187</v>
      </c>
      <c r="D626" s="73">
        <v>2</v>
      </c>
      <c r="E626" s="72">
        <v>0</v>
      </c>
    </row>
    <row r="627" spans="2:5" ht="15" customHeight="1">
      <c r="B627" s="103"/>
      <c r="C627" s="70" t="s">
        <v>188</v>
      </c>
      <c r="D627" s="73">
        <v>2</v>
      </c>
      <c r="E627" s="72">
        <v>0</v>
      </c>
    </row>
    <row r="628" spans="2:5" ht="15" customHeight="1">
      <c r="B628" s="103"/>
      <c r="C628" s="70" t="s">
        <v>190</v>
      </c>
      <c r="D628" s="73">
        <v>2</v>
      </c>
      <c r="E628" s="72">
        <v>0</v>
      </c>
    </row>
    <row r="629" spans="2:5" ht="15" customHeight="1">
      <c r="B629" s="103"/>
      <c r="C629" s="70" t="s">
        <v>171</v>
      </c>
      <c r="D629" s="73">
        <v>1</v>
      </c>
      <c r="E629" s="72">
        <v>0</v>
      </c>
    </row>
    <row r="630" spans="2:5" ht="15" customHeight="1">
      <c r="B630" s="103"/>
      <c r="C630" s="70" t="s">
        <v>173</v>
      </c>
      <c r="D630" s="73">
        <v>1</v>
      </c>
      <c r="E630" s="72">
        <v>0</v>
      </c>
    </row>
    <row r="631" spans="2:5" ht="15" customHeight="1">
      <c r="B631" s="103"/>
      <c r="C631" s="70" t="s">
        <v>208</v>
      </c>
      <c r="D631" s="73">
        <v>1</v>
      </c>
      <c r="E631" s="72">
        <v>0</v>
      </c>
    </row>
    <row r="632" spans="2:5" ht="15" customHeight="1">
      <c r="B632" s="103"/>
      <c r="C632" s="70" t="s">
        <v>194</v>
      </c>
      <c r="D632" s="73">
        <v>1</v>
      </c>
      <c r="E632" s="72">
        <v>0</v>
      </c>
    </row>
    <row r="633" spans="2:5" ht="15" customHeight="1">
      <c r="B633" s="103"/>
      <c r="C633" s="70" t="s">
        <v>199</v>
      </c>
      <c r="D633" s="73">
        <v>1</v>
      </c>
      <c r="E633" s="72">
        <v>0</v>
      </c>
    </row>
    <row r="634" spans="2:5" ht="15" customHeight="1">
      <c r="B634" s="103"/>
      <c r="C634" s="70" t="s">
        <v>204</v>
      </c>
      <c r="D634" s="73">
        <v>1</v>
      </c>
      <c r="E634" s="72">
        <v>0</v>
      </c>
    </row>
    <row r="635" spans="2:5" ht="15" customHeight="1">
      <c r="B635" s="103"/>
      <c r="C635" s="70" t="s">
        <v>179</v>
      </c>
      <c r="D635" s="73">
        <v>1</v>
      </c>
      <c r="E635" s="72">
        <v>0</v>
      </c>
    </row>
    <row r="636" spans="2:5" ht="15" customHeight="1">
      <c r="B636" s="103"/>
      <c r="C636" s="70" t="s">
        <v>189</v>
      </c>
      <c r="D636" s="73">
        <v>1</v>
      </c>
      <c r="E636" s="72">
        <v>0</v>
      </c>
    </row>
    <row r="637" spans="2:5" ht="15" customHeight="1">
      <c r="B637" s="103"/>
      <c r="C637" s="70" t="s">
        <v>192</v>
      </c>
      <c r="D637" s="73">
        <v>1</v>
      </c>
      <c r="E637" s="72">
        <v>0</v>
      </c>
    </row>
    <row r="638" spans="2:5" ht="15" customHeight="1">
      <c r="B638" s="104"/>
      <c r="C638" s="74" t="s">
        <v>304</v>
      </c>
      <c r="D638" s="75">
        <v>51</v>
      </c>
      <c r="E638" s="76">
        <v>2E-3</v>
      </c>
    </row>
    <row r="639" spans="2:5" ht="15" customHeight="1">
      <c r="B639" s="102" t="s">
        <v>121</v>
      </c>
      <c r="C639" s="70" t="s">
        <v>189</v>
      </c>
      <c r="D639" s="73">
        <v>8</v>
      </c>
      <c r="E639" s="72">
        <v>0</v>
      </c>
    </row>
    <row r="640" spans="2:5" ht="15" customHeight="1">
      <c r="B640" s="103"/>
      <c r="C640" s="70" t="s">
        <v>174</v>
      </c>
      <c r="D640" s="73">
        <v>5</v>
      </c>
      <c r="E640" s="72">
        <v>0</v>
      </c>
    </row>
    <row r="641" spans="2:5" ht="15" customHeight="1">
      <c r="B641" s="103"/>
      <c r="C641" s="70" t="s">
        <v>278</v>
      </c>
      <c r="D641" s="73">
        <v>5</v>
      </c>
      <c r="E641" s="72">
        <v>0</v>
      </c>
    </row>
    <row r="642" spans="2:5" ht="15" customHeight="1">
      <c r="B642" s="103"/>
      <c r="C642" s="70" t="s">
        <v>188</v>
      </c>
      <c r="D642" s="73">
        <v>5</v>
      </c>
      <c r="E642" s="72">
        <v>0</v>
      </c>
    </row>
    <row r="643" spans="2:5" ht="15" customHeight="1">
      <c r="B643" s="103"/>
      <c r="C643" s="70" t="s">
        <v>185</v>
      </c>
      <c r="D643" s="73">
        <v>4</v>
      </c>
      <c r="E643" s="72">
        <v>0</v>
      </c>
    </row>
    <row r="644" spans="2:5" ht="15" customHeight="1">
      <c r="B644" s="103"/>
      <c r="C644" s="70" t="s">
        <v>177</v>
      </c>
      <c r="D644" s="73">
        <v>3</v>
      </c>
      <c r="E644" s="72">
        <v>0</v>
      </c>
    </row>
    <row r="645" spans="2:5" ht="15" customHeight="1">
      <c r="B645" s="103"/>
      <c r="C645" s="70" t="s">
        <v>180</v>
      </c>
      <c r="D645" s="73">
        <v>3</v>
      </c>
      <c r="E645" s="72">
        <v>0</v>
      </c>
    </row>
    <row r="646" spans="2:5" ht="15" customHeight="1">
      <c r="B646" s="103"/>
      <c r="C646" s="70" t="s">
        <v>182</v>
      </c>
      <c r="D646" s="73">
        <v>3</v>
      </c>
      <c r="E646" s="72">
        <v>0</v>
      </c>
    </row>
    <row r="647" spans="2:5" ht="15" customHeight="1">
      <c r="B647" s="103"/>
      <c r="C647" s="70" t="s">
        <v>169</v>
      </c>
      <c r="D647" s="73">
        <v>1</v>
      </c>
      <c r="E647" s="72">
        <v>0</v>
      </c>
    </row>
    <row r="648" spans="2:5" ht="15" customHeight="1">
      <c r="B648" s="103"/>
      <c r="C648" s="70" t="s">
        <v>196</v>
      </c>
      <c r="D648" s="73">
        <v>1</v>
      </c>
      <c r="E648" s="72">
        <v>0</v>
      </c>
    </row>
    <row r="649" spans="2:5" ht="15" customHeight="1">
      <c r="B649" s="103"/>
      <c r="C649" s="70" t="s">
        <v>176</v>
      </c>
      <c r="D649" s="73">
        <v>1</v>
      </c>
      <c r="E649" s="72">
        <v>0</v>
      </c>
    </row>
    <row r="650" spans="2:5" ht="15" customHeight="1">
      <c r="B650" s="103"/>
      <c r="C650" s="70" t="s">
        <v>210</v>
      </c>
      <c r="D650" s="73">
        <v>1</v>
      </c>
      <c r="E650" s="72">
        <v>0</v>
      </c>
    </row>
    <row r="651" spans="2:5" ht="15" customHeight="1">
      <c r="B651" s="103"/>
      <c r="C651" s="70" t="s">
        <v>199</v>
      </c>
      <c r="D651" s="73">
        <v>1</v>
      </c>
      <c r="E651" s="72">
        <v>0</v>
      </c>
    </row>
    <row r="652" spans="2:5" ht="15" customHeight="1">
      <c r="B652" s="103"/>
      <c r="C652" s="70" t="s">
        <v>204</v>
      </c>
      <c r="D652" s="73">
        <v>1</v>
      </c>
      <c r="E652" s="72">
        <v>0</v>
      </c>
    </row>
    <row r="653" spans="2:5" ht="15" customHeight="1">
      <c r="B653" s="103"/>
      <c r="C653" s="70" t="s">
        <v>202</v>
      </c>
      <c r="D653" s="73">
        <v>1</v>
      </c>
      <c r="E653" s="72">
        <v>0</v>
      </c>
    </row>
    <row r="654" spans="2:5" ht="15" customHeight="1">
      <c r="B654" s="103"/>
      <c r="C654" s="70" t="s">
        <v>186</v>
      </c>
      <c r="D654" s="73">
        <v>1</v>
      </c>
      <c r="E654" s="72">
        <v>0</v>
      </c>
    </row>
    <row r="655" spans="2:5" ht="15" customHeight="1">
      <c r="B655" s="103"/>
      <c r="C655" s="70" t="s">
        <v>190</v>
      </c>
      <c r="D655" s="73">
        <v>1</v>
      </c>
      <c r="E655" s="72">
        <v>0</v>
      </c>
    </row>
    <row r="656" spans="2:5" ht="15" customHeight="1">
      <c r="B656" s="103"/>
      <c r="C656" s="70" t="s">
        <v>191</v>
      </c>
      <c r="D656" s="73">
        <v>1</v>
      </c>
      <c r="E656" s="72">
        <v>0</v>
      </c>
    </row>
    <row r="657" spans="2:5" ht="15" customHeight="1">
      <c r="B657" s="103"/>
      <c r="C657" s="70" t="s">
        <v>192</v>
      </c>
      <c r="D657" s="73">
        <v>1</v>
      </c>
      <c r="E657" s="72">
        <v>0</v>
      </c>
    </row>
    <row r="658" spans="2:5" ht="15" customHeight="1">
      <c r="B658" s="104"/>
      <c r="C658" s="74" t="s">
        <v>304</v>
      </c>
      <c r="D658" s="75">
        <v>47</v>
      </c>
      <c r="E658" s="76">
        <v>2E-3</v>
      </c>
    </row>
    <row r="659" spans="2:5" ht="15" customHeight="1">
      <c r="B659" s="102" t="s">
        <v>109</v>
      </c>
      <c r="C659" s="70" t="s">
        <v>185</v>
      </c>
      <c r="D659" s="73">
        <v>10</v>
      </c>
      <c r="E659" s="72">
        <v>0</v>
      </c>
    </row>
    <row r="660" spans="2:5" ht="15" customHeight="1">
      <c r="B660" s="103"/>
      <c r="C660" s="70" t="s">
        <v>180</v>
      </c>
      <c r="D660" s="73">
        <v>8</v>
      </c>
      <c r="E660" s="72">
        <v>0</v>
      </c>
    </row>
    <row r="661" spans="2:5" ht="15" customHeight="1">
      <c r="B661" s="103"/>
      <c r="C661" s="70" t="s">
        <v>176</v>
      </c>
      <c r="D661" s="73">
        <v>7</v>
      </c>
      <c r="E661" s="72">
        <v>0</v>
      </c>
    </row>
    <row r="662" spans="2:5" ht="15" customHeight="1">
      <c r="B662" s="103"/>
      <c r="C662" s="70" t="s">
        <v>186</v>
      </c>
      <c r="D662" s="73">
        <v>7</v>
      </c>
      <c r="E662" s="72">
        <v>0</v>
      </c>
    </row>
    <row r="663" spans="2:5" ht="15" customHeight="1">
      <c r="B663" s="103"/>
      <c r="C663" s="70" t="s">
        <v>184</v>
      </c>
      <c r="D663" s="73">
        <v>3</v>
      </c>
      <c r="E663" s="72">
        <v>0</v>
      </c>
    </row>
    <row r="664" spans="2:5" ht="15" customHeight="1">
      <c r="B664" s="103"/>
      <c r="C664" s="70" t="s">
        <v>169</v>
      </c>
      <c r="D664" s="73">
        <v>2</v>
      </c>
      <c r="E664" s="72">
        <v>0</v>
      </c>
    </row>
    <row r="665" spans="2:5" ht="15" customHeight="1">
      <c r="B665" s="103"/>
      <c r="C665" s="70" t="s">
        <v>177</v>
      </c>
      <c r="D665" s="73">
        <v>2</v>
      </c>
      <c r="E665" s="72">
        <v>0</v>
      </c>
    </row>
    <row r="666" spans="2:5" ht="15" customHeight="1">
      <c r="B666" s="103"/>
      <c r="C666" s="70" t="s">
        <v>189</v>
      </c>
      <c r="D666" s="73">
        <v>2</v>
      </c>
      <c r="E666" s="72">
        <v>0</v>
      </c>
    </row>
    <row r="667" spans="2:5" ht="15" customHeight="1">
      <c r="B667" s="103"/>
      <c r="C667" s="70" t="s">
        <v>171</v>
      </c>
      <c r="D667" s="73">
        <v>1</v>
      </c>
      <c r="E667" s="72">
        <v>0</v>
      </c>
    </row>
    <row r="668" spans="2:5" ht="15" customHeight="1">
      <c r="B668" s="103"/>
      <c r="C668" s="70" t="s">
        <v>204</v>
      </c>
      <c r="D668" s="73">
        <v>1</v>
      </c>
      <c r="E668" s="72">
        <v>0</v>
      </c>
    </row>
    <row r="669" spans="2:5" ht="15" customHeight="1">
      <c r="B669" s="103"/>
      <c r="C669" s="70" t="s">
        <v>188</v>
      </c>
      <c r="D669" s="73">
        <v>1</v>
      </c>
      <c r="E669" s="72">
        <v>0</v>
      </c>
    </row>
    <row r="670" spans="2:5" ht="15" customHeight="1">
      <c r="B670" s="104"/>
      <c r="C670" s="74" t="s">
        <v>304</v>
      </c>
      <c r="D670" s="75">
        <v>44</v>
      </c>
      <c r="E670" s="76">
        <v>2E-3</v>
      </c>
    </row>
    <row r="671" spans="2:5" ht="15" customHeight="1">
      <c r="B671" s="102" t="s">
        <v>124</v>
      </c>
      <c r="C671" s="70" t="s">
        <v>180</v>
      </c>
      <c r="D671" s="73">
        <v>7</v>
      </c>
      <c r="E671" s="72">
        <v>0</v>
      </c>
    </row>
    <row r="672" spans="2:5" ht="15" customHeight="1">
      <c r="B672" s="103"/>
      <c r="C672" s="70" t="s">
        <v>185</v>
      </c>
      <c r="D672" s="73">
        <v>7</v>
      </c>
      <c r="E672" s="72">
        <v>0</v>
      </c>
    </row>
    <row r="673" spans="2:5" ht="15" customHeight="1">
      <c r="B673" s="103"/>
      <c r="C673" s="70" t="s">
        <v>189</v>
      </c>
      <c r="D673" s="73">
        <v>7</v>
      </c>
      <c r="E673" s="72">
        <v>0</v>
      </c>
    </row>
    <row r="674" spans="2:5" ht="15" customHeight="1">
      <c r="B674" s="103"/>
      <c r="C674" s="70" t="s">
        <v>190</v>
      </c>
      <c r="D674" s="73">
        <v>5</v>
      </c>
      <c r="E674" s="72">
        <v>0</v>
      </c>
    </row>
    <row r="675" spans="2:5" ht="15" customHeight="1">
      <c r="B675" s="103"/>
      <c r="C675" s="70" t="s">
        <v>174</v>
      </c>
      <c r="D675" s="73">
        <v>4</v>
      </c>
      <c r="E675" s="72">
        <v>0</v>
      </c>
    </row>
    <row r="676" spans="2:5" ht="15" customHeight="1">
      <c r="B676" s="103"/>
      <c r="C676" s="70" t="s">
        <v>191</v>
      </c>
      <c r="D676" s="73">
        <v>4</v>
      </c>
      <c r="E676" s="72">
        <v>0</v>
      </c>
    </row>
    <row r="677" spans="2:5" ht="15" customHeight="1">
      <c r="B677" s="103"/>
      <c r="C677" s="70" t="s">
        <v>182</v>
      </c>
      <c r="D677" s="73">
        <v>2</v>
      </c>
      <c r="E677" s="72">
        <v>0</v>
      </c>
    </row>
    <row r="678" spans="2:5" ht="15" customHeight="1">
      <c r="B678" s="103"/>
      <c r="C678" s="70" t="s">
        <v>170</v>
      </c>
      <c r="D678" s="73">
        <v>1</v>
      </c>
      <c r="E678" s="72">
        <v>0</v>
      </c>
    </row>
    <row r="679" spans="2:5" ht="15" customHeight="1">
      <c r="B679" s="103"/>
      <c r="C679" s="70" t="s">
        <v>176</v>
      </c>
      <c r="D679" s="73">
        <v>1</v>
      </c>
      <c r="E679" s="72">
        <v>0</v>
      </c>
    </row>
    <row r="680" spans="2:5" ht="15" customHeight="1">
      <c r="B680" s="103"/>
      <c r="C680" s="70" t="s">
        <v>177</v>
      </c>
      <c r="D680" s="73">
        <v>1</v>
      </c>
      <c r="E680" s="72">
        <v>0</v>
      </c>
    </row>
    <row r="681" spans="2:5" ht="15" customHeight="1">
      <c r="B681" s="103"/>
      <c r="C681" s="70" t="s">
        <v>181</v>
      </c>
      <c r="D681" s="73">
        <v>1</v>
      </c>
      <c r="E681" s="72">
        <v>0</v>
      </c>
    </row>
    <row r="682" spans="2:5" ht="15" customHeight="1">
      <c r="B682" s="103"/>
      <c r="C682" s="70" t="s">
        <v>186</v>
      </c>
      <c r="D682" s="73">
        <v>1</v>
      </c>
      <c r="E682" s="72">
        <v>0</v>
      </c>
    </row>
    <row r="683" spans="2:5" ht="15" customHeight="1">
      <c r="B683" s="104"/>
      <c r="C683" s="74" t="s">
        <v>304</v>
      </c>
      <c r="D683" s="75">
        <v>41</v>
      </c>
      <c r="E683" s="76">
        <v>2E-3</v>
      </c>
    </row>
    <row r="684" spans="2:5" ht="15" customHeight="1">
      <c r="B684" s="102" t="s">
        <v>97</v>
      </c>
      <c r="C684" s="70" t="s">
        <v>180</v>
      </c>
      <c r="D684" s="73">
        <v>10</v>
      </c>
      <c r="E684" s="72">
        <v>0</v>
      </c>
    </row>
    <row r="685" spans="2:5" ht="15" customHeight="1">
      <c r="B685" s="103"/>
      <c r="C685" s="70" t="s">
        <v>189</v>
      </c>
      <c r="D685" s="73">
        <v>6</v>
      </c>
      <c r="E685" s="72">
        <v>0</v>
      </c>
    </row>
    <row r="686" spans="2:5" ht="15" customHeight="1">
      <c r="B686" s="103"/>
      <c r="C686" s="70" t="s">
        <v>174</v>
      </c>
      <c r="D686" s="73">
        <v>5</v>
      </c>
      <c r="E686" s="72">
        <v>0</v>
      </c>
    </row>
    <row r="687" spans="2:5" ht="15" customHeight="1">
      <c r="B687" s="103"/>
      <c r="C687" s="70" t="s">
        <v>176</v>
      </c>
      <c r="D687" s="73">
        <v>2</v>
      </c>
      <c r="E687" s="72">
        <v>0</v>
      </c>
    </row>
    <row r="688" spans="2:5" ht="15" customHeight="1">
      <c r="B688" s="103"/>
      <c r="C688" s="70" t="s">
        <v>185</v>
      </c>
      <c r="D688" s="73">
        <v>2</v>
      </c>
      <c r="E688" s="72">
        <v>0</v>
      </c>
    </row>
    <row r="689" spans="2:5" ht="15" customHeight="1">
      <c r="B689" s="103"/>
      <c r="C689" s="70" t="s">
        <v>192</v>
      </c>
      <c r="D689" s="73">
        <v>2</v>
      </c>
      <c r="E689" s="72">
        <v>0</v>
      </c>
    </row>
    <row r="690" spans="2:5" ht="15" customHeight="1">
      <c r="B690" s="103"/>
      <c r="C690" s="70" t="s">
        <v>170</v>
      </c>
      <c r="D690" s="73">
        <v>1</v>
      </c>
      <c r="E690" s="72">
        <v>0</v>
      </c>
    </row>
    <row r="691" spans="2:5" ht="15" customHeight="1">
      <c r="B691" s="103"/>
      <c r="C691" s="70" t="s">
        <v>178</v>
      </c>
      <c r="D691" s="73">
        <v>1</v>
      </c>
      <c r="E691" s="72">
        <v>0</v>
      </c>
    </row>
    <row r="692" spans="2:5" ht="15" customHeight="1">
      <c r="B692" s="103"/>
      <c r="C692" s="70" t="s">
        <v>202</v>
      </c>
      <c r="D692" s="73">
        <v>1</v>
      </c>
      <c r="E692" s="72">
        <v>0</v>
      </c>
    </row>
    <row r="693" spans="2:5" ht="15" customHeight="1">
      <c r="B693" s="103"/>
      <c r="C693" s="70" t="s">
        <v>182</v>
      </c>
      <c r="D693" s="73">
        <v>1</v>
      </c>
      <c r="E693" s="72">
        <v>0</v>
      </c>
    </row>
    <row r="694" spans="2:5" ht="15" customHeight="1">
      <c r="B694" s="103"/>
      <c r="C694" s="70" t="s">
        <v>187</v>
      </c>
      <c r="D694" s="73">
        <v>1</v>
      </c>
      <c r="E694" s="72">
        <v>0</v>
      </c>
    </row>
    <row r="695" spans="2:5" ht="15" customHeight="1">
      <c r="B695" s="103"/>
      <c r="C695" s="70" t="s">
        <v>190</v>
      </c>
      <c r="D695" s="73">
        <v>1</v>
      </c>
      <c r="E695" s="72">
        <v>0</v>
      </c>
    </row>
    <row r="696" spans="2:5" ht="15" customHeight="1">
      <c r="B696" s="103"/>
      <c r="C696" s="70" t="s">
        <v>191</v>
      </c>
      <c r="D696" s="73">
        <v>1</v>
      </c>
      <c r="E696" s="72">
        <v>0</v>
      </c>
    </row>
    <row r="697" spans="2:5" ht="15" customHeight="1">
      <c r="B697" s="104"/>
      <c r="C697" s="74" t="s">
        <v>304</v>
      </c>
      <c r="D697" s="75">
        <v>34</v>
      </c>
      <c r="E697" s="76">
        <v>1E-3</v>
      </c>
    </row>
    <row r="698" spans="2:5" ht="15" customHeight="1">
      <c r="B698" s="102" t="s">
        <v>122</v>
      </c>
      <c r="C698" s="70" t="s">
        <v>189</v>
      </c>
      <c r="D698" s="73">
        <v>4</v>
      </c>
      <c r="E698" s="72">
        <v>0</v>
      </c>
    </row>
    <row r="699" spans="2:5" ht="15" customHeight="1">
      <c r="B699" s="103"/>
      <c r="C699" s="70" t="s">
        <v>176</v>
      </c>
      <c r="D699" s="73">
        <v>3</v>
      </c>
      <c r="E699" s="72">
        <v>0</v>
      </c>
    </row>
    <row r="700" spans="2:5" ht="15" customHeight="1">
      <c r="B700" s="103"/>
      <c r="C700" s="70" t="s">
        <v>185</v>
      </c>
      <c r="D700" s="73">
        <v>3</v>
      </c>
      <c r="E700" s="72">
        <v>0</v>
      </c>
    </row>
    <row r="701" spans="2:5" ht="15" customHeight="1">
      <c r="B701" s="103"/>
      <c r="C701" s="70" t="s">
        <v>174</v>
      </c>
      <c r="D701" s="73">
        <v>2</v>
      </c>
      <c r="E701" s="72">
        <v>0</v>
      </c>
    </row>
    <row r="702" spans="2:5" ht="15" customHeight="1">
      <c r="B702" s="103"/>
      <c r="C702" s="70" t="s">
        <v>177</v>
      </c>
      <c r="D702" s="73">
        <v>2</v>
      </c>
      <c r="E702" s="72">
        <v>0</v>
      </c>
    </row>
    <row r="703" spans="2:5" ht="15" customHeight="1">
      <c r="B703" s="103"/>
      <c r="C703" s="70" t="s">
        <v>180</v>
      </c>
      <c r="D703" s="73">
        <v>2</v>
      </c>
      <c r="E703" s="72">
        <v>0</v>
      </c>
    </row>
    <row r="704" spans="2:5" ht="15" customHeight="1">
      <c r="B704" s="103"/>
      <c r="C704" s="70" t="s">
        <v>182</v>
      </c>
      <c r="D704" s="73">
        <v>2</v>
      </c>
      <c r="E704" s="72">
        <v>0</v>
      </c>
    </row>
    <row r="705" spans="2:5" ht="15" customHeight="1">
      <c r="B705" s="103"/>
      <c r="C705" s="70" t="s">
        <v>187</v>
      </c>
      <c r="D705" s="73">
        <v>2</v>
      </c>
      <c r="E705" s="72">
        <v>0</v>
      </c>
    </row>
    <row r="706" spans="2:5" ht="15" customHeight="1">
      <c r="B706" s="103"/>
      <c r="C706" s="70" t="s">
        <v>197</v>
      </c>
      <c r="D706" s="73">
        <v>1</v>
      </c>
      <c r="E706" s="72">
        <v>0</v>
      </c>
    </row>
    <row r="707" spans="2:5" ht="15" customHeight="1">
      <c r="B707" s="103"/>
      <c r="C707" s="70" t="s">
        <v>209</v>
      </c>
      <c r="D707" s="73">
        <v>1</v>
      </c>
      <c r="E707" s="72">
        <v>0</v>
      </c>
    </row>
    <row r="708" spans="2:5" ht="15" customHeight="1">
      <c r="B708" s="103"/>
      <c r="C708" s="70" t="s">
        <v>188</v>
      </c>
      <c r="D708" s="73">
        <v>1</v>
      </c>
      <c r="E708" s="72">
        <v>0</v>
      </c>
    </row>
    <row r="709" spans="2:5" ht="15" customHeight="1">
      <c r="B709" s="103"/>
      <c r="C709" s="70" t="s">
        <v>190</v>
      </c>
      <c r="D709" s="73">
        <v>1</v>
      </c>
      <c r="E709" s="72">
        <v>0</v>
      </c>
    </row>
    <row r="710" spans="2:5" ht="15" customHeight="1">
      <c r="B710" s="104"/>
      <c r="C710" s="74" t="s">
        <v>304</v>
      </c>
      <c r="D710" s="75">
        <v>24</v>
      </c>
      <c r="E710" s="76">
        <v>1E-3</v>
      </c>
    </row>
    <row r="711" spans="2:5" ht="15" customHeight="1">
      <c r="B711" s="102" t="s">
        <v>136</v>
      </c>
      <c r="C711" s="70" t="s">
        <v>189</v>
      </c>
      <c r="D711" s="73">
        <v>6</v>
      </c>
      <c r="E711" s="72">
        <v>0</v>
      </c>
    </row>
    <row r="712" spans="2:5" ht="15" customHeight="1">
      <c r="B712" s="103"/>
      <c r="C712" s="70" t="s">
        <v>174</v>
      </c>
      <c r="D712" s="73">
        <v>5</v>
      </c>
      <c r="E712" s="72">
        <v>0</v>
      </c>
    </row>
    <row r="713" spans="2:5" ht="15" customHeight="1">
      <c r="B713" s="103"/>
      <c r="C713" s="70" t="s">
        <v>185</v>
      </c>
      <c r="D713" s="73">
        <v>4</v>
      </c>
      <c r="E713" s="72">
        <v>0</v>
      </c>
    </row>
    <row r="714" spans="2:5" ht="15" customHeight="1">
      <c r="B714" s="103"/>
      <c r="C714" s="70" t="s">
        <v>187</v>
      </c>
      <c r="D714" s="73">
        <v>4</v>
      </c>
      <c r="E714" s="72">
        <v>0</v>
      </c>
    </row>
    <row r="715" spans="2:5" ht="15" customHeight="1">
      <c r="B715" s="103"/>
      <c r="C715" s="70" t="s">
        <v>176</v>
      </c>
      <c r="D715" s="73">
        <v>1</v>
      </c>
      <c r="E715" s="72">
        <v>0</v>
      </c>
    </row>
    <row r="716" spans="2:5" ht="15" customHeight="1">
      <c r="B716" s="103"/>
      <c r="C716" s="70" t="s">
        <v>180</v>
      </c>
      <c r="D716" s="73">
        <v>1</v>
      </c>
      <c r="E716" s="72">
        <v>0</v>
      </c>
    </row>
    <row r="717" spans="2:5" ht="15" customHeight="1">
      <c r="B717" s="103"/>
      <c r="C717" s="70" t="s">
        <v>186</v>
      </c>
      <c r="D717" s="73">
        <v>1</v>
      </c>
      <c r="E717" s="72">
        <v>0</v>
      </c>
    </row>
    <row r="718" spans="2:5" ht="15" customHeight="1">
      <c r="B718" s="103"/>
      <c r="C718" s="70" t="s">
        <v>192</v>
      </c>
      <c r="D718" s="73">
        <v>1</v>
      </c>
      <c r="E718" s="72">
        <v>0</v>
      </c>
    </row>
    <row r="719" spans="2:5" ht="15" customHeight="1">
      <c r="B719" s="103"/>
      <c r="C719" s="70" t="s">
        <v>193</v>
      </c>
      <c r="D719" s="73">
        <v>1</v>
      </c>
      <c r="E719" s="72">
        <v>0</v>
      </c>
    </row>
    <row r="720" spans="2:5" ht="15" customHeight="1">
      <c r="B720" s="104"/>
      <c r="C720" s="74" t="s">
        <v>304</v>
      </c>
      <c r="D720" s="75">
        <v>24</v>
      </c>
      <c r="E720" s="76">
        <v>1E-3</v>
      </c>
    </row>
    <row r="721" spans="2:5" ht="15" customHeight="1">
      <c r="B721" s="102" t="s">
        <v>102</v>
      </c>
      <c r="C721" s="70" t="s">
        <v>185</v>
      </c>
      <c r="D721" s="73">
        <v>6</v>
      </c>
      <c r="E721" s="72">
        <v>0</v>
      </c>
    </row>
    <row r="722" spans="2:5" ht="15" customHeight="1">
      <c r="B722" s="103"/>
      <c r="C722" s="70" t="s">
        <v>184</v>
      </c>
      <c r="D722" s="73">
        <v>3</v>
      </c>
      <c r="E722" s="72">
        <v>0</v>
      </c>
    </row>
    <row r="723" spans="2:5" ht="15" customHeight="1">
      <c r="B723" s="103"/>
      <c r="C723" s="70" t="s">
        <v>180</v>
      </c>
      <c r="D723" s="73">
        <v>2</v>
      </c>
      <c r="E723" s="72">
        <v>0</v>
      </c>
    </row>
    <row r="724" spans="2:5" ht="15" customHeight="1">
      <c r="B724" s="103"/>
      <c r="C724" s="70" t="s">
        <v>186</v>
      </c>
      <c r="D724" s="73">
        <v>2</v>
      </c>
      <c r="E724" s="72">
        <v>0</v>
      </c>
    </row>
    <row r="725" spans="2:5" ht="15" customHeight="1">
      <c r="B725" s="103"/>
      <c r="C725" s="70" t="s">
        <v>169</v>
      </c>
      <c r="D725" s="73">
        <v>1</v>
      </c>
      <c r="E725" s="72">
        <v>0</v>
      </c>
    </row>
    <row r="726" spans="2:5" ht="15" customHeight="1">
      <c r="B726" s="103"/>
      <c r="C726" s="70" t="s">
        <v>177</v>
      </c>
      <c r="D726" s="73">
        <v>1</v>
      </c>
      <c r="E726" s="72">
        <v>0</v>
      </c>
    </row>
    <row r="727" spans="2:5" ht="15" customHeight="1">
      <c r="B727" s="103"/>
      <c r="C727" s="70" t="s">
        <v>182</v>
      </c>
      <c r="D727" s="73">
        <v>1</v>
      </c>
      <c r="E727" s="72">
        <v>0</v>
      </c>
    </row>
    <row r="728" spans="2:5" ht="15" customHeight="1">
      <c r="B728" s="103"/>
      <c r="C728" s="70" t="s">
        <v>206</v>
      </c>
      <c r="D728" s="73">
        <v>1</v>
      </c>
      <c r="E728" s="72">
        <v>0</v>
      </c>
    </row>
    <row r="729" spans="2:5" ht="15" customHeight="1">
      <c r="B729" s="103"/>
      <c r="C729" s="70" t="s">
        <v>189</v>
      </c>
      <c r="D729" s="73">
        <v>1</v>
      </c>
      <c r="E729" s="72">
        <v>0</v>
      </c>
    </row>
    <row r="730" spans="2:5" ht="15" customHeight="1">
      <c r="B730" s="103"/>
      <c r="C730" s="70" t="s">
        <v>191</v>
      </c>
      <c r="D730" s="73">
        <v>1</v>
      </c>
      <c r="E730" s="72">
        <v>0</v>
      </c>
    </row>
    <row r="731" spans="2:5" ht="15" customHeight="1">
      <c r="B731" s="104"/>
      <c r="C731" s="74" t="s">
        <v>304</v>
      </c>
      <c r="D731" s="75">
        <v>19</v>
      </c>
      <c r="E731" s="76">
        <v>1E-3</v>
      </c>
    </row>
    <row r="732" spans="2:5" ht="15" customHeight="1">
      <c r="B732" s="102" t="s">
        <v>113</v>
      </c>
      <c r="C732" s="70" t="s">
        <v>170</v>
      </c>
      <c r="D732" s="73">
        <v>3</v>
      </c>
      <c r="E732" s="72">
        <v>0</v>
      </c>
    </row>
    <row r="733" spans="2:5" ht="15" customHeight="1">
      <c r="B733" s="103"/>
      <c r="C733" s="70" t="s">
        <v>174</v>
      </c>
      <c r="D733" s="73">
        <v>3</v>
      </c>
      <c r="E733" s="72">
        <v>0</v>
      </c>
    </row>
    <row r="734" spans="2:5" ht="15" customHeight="1">
      <c r="B734" s="103"/>
      <c r="C734" s="70" t="s">
        <v>190</v>
      </c>
      <c r="D734" s="73">
        <v>3</v>
      </c>
      <c r="E734" s="72">
        <v>0</v>
      </c>
    </row>
    <row r="735" spans="2:5" ht="15" customHeight="1">
      <c r="B735" s="103"/>
      <c r="C735" s="70" t="s">
        <v>180</v>
      </c>
      <c r="D735" s="73">
        <v>2</v>
      </c>
      <c r="E735" s="72">
        <v>0</v>
      </c>
    </row>
    <row r="736" spans="2:5" ht="15" customHeight="1">
      <c r="B736" s="103"/>
      <c r="C736" s="70" t="s">
        <v>182</v>
      </c>
      <c r="D736" s="73">
        <v>2</v>
      </c>
      <c r="E736" s="72">
        <v>0</v>
      </c>
    </row>
    <row r="737" spans="2:5" ht="15" customHeight="1">
      <c r="B737" s="103"/>
      <c r="C737" s="70" t="s">
        <v>189</v>
      </c>
      <c r="D737" s="73">
        <v>2</v>
      </c>
      <c r="E737" s="72">
        <v>0</v>
      </c>
    </row>
    <row r="738" spans="2:5" ht="15" customHeight="1">
      <c r="B738" s="103"/>
      <c r="C738" s="70" t="s">
        <v>171</v>
      </c>
      <c r="D738" s="73">
        <v>1</v>
      </c>
      <c r="E738" s="72">
        <v>0</v>
      </c>
    </row>
    <row r="739" spans="2:5" ht="15" customHeight="1">
      <c r="B739" s="103"/>
      <c r="C739" s="70" t="s">
        <v>186</v>
      </c>
      <c r="D739" s="73">
        <v>1</v>
      </c>
      <c r="E739" s="72">
        <v>0</v>
      </c>
    </row>
    <row r="740" spans="2:5" ht="15" customHeight="1">
      <c r="B740" s="103"/>
      <c r="C740" s="70" t="s">
        <v>192</v>
      </c>
      <c r="D740" s="73">
        <v>1</v>
      </c>
      <c r="E740" s="72">
        <v>0</v>
      </c>
    </row>
    <row r="741" spans="2:5" ht="15" customHeight="1">
      <c r="B741" s="103"/>
      <c r="C741" s="70" t="s">
        <v>193</v>
      </c>
      <c r="D741" s="73">
        <v>1</v>
      </c>
      <c r="E741" s="72">
        <v>0</v>
      </c>
    </row>
    <row r="742" spans="2:5" ht="15" customHeight="1">
      <c r="B742" s="104"/>
      <c r="C742" s="74" t="s">
        <v>304</v>
      </c>
      <c r="D742" s="75">
        <v>19</v>
      </c>
      <c r="E742" s="76">
        <v>1E-3</v>
      </c>
    </row>
    <row r="743" spans="2:5" ht="15" customHeight="1">
      <c r="B743" s="102" t="s">
        <v>106</v>
      </c>
      <c r="C743" s="70" t="s">
        <v>189</v>
      </c>
      <c r="D743" s="73">
        <v>5</v>
      </c>
      <c r="E743" s="72">
        <v>0</v>
      </c>
    </row>
    <row r="744" spans="2:5" ht="15" customHeight="1">
      <c r="B744" s="103"/>
      <c r="C744" s="70" t="s">
        <v>185</v>
      </c>
      <c r="D744" s="73">
        <v>4</v>
      </c>
      <c r="E744" s="72">
        <v>0</v>
      </c>
    </row>
    <row r="745" spans="2:5" ht="15" customHeight="1">
      <c r="B745" s="103"/>
      <c r="C745" s="70" t="s">
        <v>180</v>
      </c>
      <c r="D745" s="73">
        <v>3</v>
      </c>
      <c r="E745" s="72">
        <v>0</v>
      </c>
    </row>
    <row r="746" spans="2:5" ht="15" customHeight="1">
      <c r="B746" s="103"/>
      <c r="C746" s="70" t="s">
        <v>192</v>
      </c>
      <c r="D746" s="73">
        <v>2</v>
      </c>
      <c r="E746" s="72">
        <v>0</v>
      </c>
    </row>
    <row r="747" spans="2:5" ht="15" customHeight="1">
      <c r="B747" s="103"/>
      <c r="C747" s="70" t="s">
        <v>197</v>
      </c>
      <c r="D747" s="73">
        <v>1</v>
      </c>
      <c r="E747" s="72">
        <v>0</v>
      </c>
    </row>
    <row r="748" spans="2:5" ht="15" customHeight="1">
      <c r="B748" s="103"/>
      <c r="C748" s="70" t="s">
        <v>179</v>
      </c>
      <c r="D748" s="73">
        <v>1</v>
      </c>
      <c r="E748" s="72">
        <v>0</v>
      </c>
    </row>
    <row r="749" spans="2:5" ht="15" customHeight="1">
      <c r="B749" s="103"/>
      <c r="C749" s="70" t="s">
        <v>186</v>
      </c>
      <c r="D749" s="73">
        <v>1</v>
      </c>
      <c r="E749" s="72">
        <v>0</v>
      </c>
    </row>
    <row r="750" spans="2:5" ht="15" customHeight="1">
      <c r="B750" s="103"/>
      <c r="C750" s="70" t="s">
        <v>191</v>
      </c>
      <c r="D750" s="73">
        <v>1</v>
      </c>
      <c r="E750" s="72">
        <v>0</v>
      </c>
    </row>
    <row r="751" spans="2:5" ht="15" customHeight="1">
      <c r="B751" s="104"/>
      <c r="C751" s="74" t="s">
        <v>304</v>
      </c>
      <c r="D751" s="75">
        <v>18</v>
      </c>
      <c r="E751" s="76">
        <v>1E-3</v>
      </c>
    </row>
    <row r="752" spans="2:5" ht="15" customHeight="1">
      <c r="B752" s="102" t="s">
        <v>101</v>
      </c>
      <c r="C752" s="70" t="s">
        <v>176</v>
      </c>
      <c r="D752" s="73">
        <v>5</v>
      </c>
      <c r="E752" s="72">
        <v>0</v>
      </c>
    </row>
    <row r="753" spans="2:5" ht="15" customHeight="1">
      <c r="B753" s="103"/>
      <c r="C753" s="70" t="s">
        <v>196</v>
      </c>
      <c r="D753" s="73">
        <v>3</v>
      </c>
      <c r="E753" s="72">
        <v>0</v>
      </c>
    </row>
    <row r="754" spans="2:5" ht="15" customHeight="1">
      <c r="B754" s="103"/>
      <c r="C754" s="70" t="s">
        <v>174</v>
      </c>
      <c r="D754" s="73">
        <v>2</v>
      </c>
      <c r="E754" s="72">
        <v>0</v>
      </c>
    </row>
    <row r="755" spans="2:5" ht="15" customHeight="1">
      <c r="B755" s="103"/>
      <c r="C755" s="70" t="s">
        <v>192</v>
      </c>
      <c r="D755" s="73">
        <v>2</v>
      </c>
      <c r="E755" s="72">
        <v>0</v>
      </c>
    </row>
    <row r="756" spans="2:5" ht="15" customHeight="1">
      <c r="B756" s="103"/>
      <c r="C756" s="70" t="s">
        <v>173</v>
      </c>
      <c r="D756" s="73">
        <v>1</v>
      </c>
      <c r="E756" s="72">
        <v>0</v>
      </c>
    </row>
    <row r="757" spans="2:5" ht="15" customHeight="1">
      <c r="B757" s="103"/>
      <c r="C757" s="70" t="s">
        <v>199</v>
      </c>
      <c r="D757" s="73">
        <v>1</v>
      </c>
      <c r="E757" s="72">
        <v>0</v>
      </c>
    </row>
    <row r="758" spans="2:5" ht="15" customHeight="1">
      <c r="B758" s="103"/>
      <c r="C758" s="70" t="s">
        <v>180</v>
      </c>
      <c r="D758" s="73">
        <v>1</v>
      </c>
      <c r="E758" s="72">
        <v>0</v>
      </c>
    </row>
    <row r="759" spans="2:5" ht="15" customHeight="1">
      <c r="B759" s="103"/>
      <c r="C759" s="70" t="s">
        <v>189</v>
      </c>
      <c r="D759" s="73">
        <v>1</v>
      </c>
      <c r="E759" s="72">
        <v>0</v>
      </c>
    </row>
    <row r="760" spans="2:5" ht="15" customHeight="1">
      <c r="B760" s="103"/>
      <c r="C760" s="70" t="s">
        <v>193</v>
      </c>
      <c r="D760" s="73">
        <v>1</v>
      </c>
      <c r="E760" s="72">
        <v>0</v>
      </c>
    </row>
    <row r="761" spans="2:5" ht="15" customHeight="1">
      <c r="B761" s="104"/>
      <c r="C761" s="74" t="s">
        <v>304</v>
      </c>
      <c r="D761" s="75">
        <v>17</v>
      </c>
      <c r="E761" s="76">
        <v>1E-3</v>
      </c>
    </row>
    <row r="762" spans="2:5" ht="15" customHeight="1">
      <c r="B762" s="102" t="s">
        <v>130</v>
      </c>
      <c r="C762" s="70" t="s">
        <v>189</v>
      </c>
      <c r="D762" s="73">
        <v>6</v>
      </c>
      <c r="E762" s="72">
        <v>0</v>
      </c>
    </row>
    <row r="763" spans="2:5" ht="15" customHeight="1">
      <c r="B763" s="103"/>
      <c r="C763" s="70" t="s">
        <v>174</v>
      </c>
      <c r="D763" s="73">
        <v>2</v>
      </c>
      <c r="E763" s="72">
        <v>0</v>
      </c>
    </row>
    <row r="764" spans="2:5" ht="15" customHeight="1">
      <c r="B764" s="103"/>
      <c r="C764" s="70" t="s">
        <v>176</v>
      </c>
      <c r="D764" s="73">
        <v>2</v>
      </c>
      <c r="E764" s="72">
        <v>0</v>
      </c>
    </row>
    <row r="765" spans="2:5" ht="15" customHeight="1">
      <c r="B765" s="103"/>
      <c r="C765" s="70" t="s">
        <v>191</v>
      </c>
      <c r="D765" s="73">
        <v>2</v>
      </c>
      <c r="E765" s="72">
        <v>0</v>
      </c>
    </row>
    <row r="766" spans="2:5" ht="15" customHeight="1">
      <c r="B766" s="103"/>
      <c r="C766" s="70" t="s">
        <v>204</v>
      </c>
      <c r="D766" s="73">
        <v>1</v>
      </c>
      <c r="E766" s="72">
        <v>0</v>
      </c>
    </row>
    <row r="767" spans="2:5" ht="15" customHeight="1">
      <c r="B767" s="103"/>
      <c r="C767" s="70" t="s">
        <v>180</v>
      </c>
      <c r="D767" s="73">
        <v>1</v>
      </c>
      <c r="E767" s="72">
        <v>0</v>
      </c>
    </row>
    <row r="768" spans="2:5" ht="15" customHeight="1">
      <c r="B768" s="103"/>
      <c r="C768" s="70" t="s">
        <v>182</v>
      </c>
      <c r="D768" s="73">
        <v>1</v>
      </c>
      <c r="E768" s="72">
        <v>0</v>
      </c>
    </row>
    <row r="769" spans="2:5" ht="15" customHeight="1">
      <c r="B769" s="103"/>
      <c r="C769" s="70" t="s">
        <v>186</v>
      </c>
      <c r="D769" s="73">
        <v>1</v>
      </c>
      <c r="E769" s="72">
        <v>0</v>
      </c>
    </row>
    <row r="770" spans="2:5" ht="15" customHeight="1">
      <c r="B770" s="103"/>
      <c r="C770" s="70" t="s">
        <v>188</v>
      </c>
      <c r="D770" s="73">
        <v>1</v>
      </c>
      <c r="E770" s="72">
        <v>0</v>
      </c>
    </row>
    <row r="771" spans="2:5" ht="15" customHeight="1">
      <c r="B771" s="104"/>
      <c r="C771" s="74" t="s">
        <v>304</v>
      </c>
      <c r="D771" s="75">
        <v>17</v>
      </c>
      <c r="E771" s="76">
        <v>1E-3</v>
      </c>
    </row>
    <row r="772" spans="2:5" ht="15" customHeight="1">
      <c r="B772" s="102" t="s">
        <v>66</v>
      </c>
      <c r="C772" s="70" t="s">
        <v>189</v>
      </c>
      <c r="D772" s="73">
        <v>5</v>
      </c>
      <c r="E772" s="72">
        <v>0</v>
      </c>
    </row>
    <row r="773" spans="2:5" ht="15" customHeight="1">
      <c r="B773" s="103"/>
      <c r="C773" s="70" t="s">
        <v>176</v>
      </c>
      <c r="D773" s="73">
        <v>2</v>
      </c>
      <c r="E773" s="72">
        <v>0</v>
      </c>
    </row>
    <row r="774" spans="2:5" ht="15" customHeight="1">
      <c r="B774" s="103"/>
      <c r="C774" s="70" t="s">
        <v>182</v>
      </c>
      <c r="D774" s="73">
        <v>2</v>
      </c>
      <c r="E774" s="72">
        <v>0</v>
      </c>
    </row>
    <row r="775" spans="2:5" ht="15" customHeight="1">
      <c r="B775" s="103"/>
      <c r="C775" s="70" t="s">
        <v>185</v>
      </c>
      <c r="D775" s="73">
        <v>2</v>
      </c>
      <c r="E775" s="72">
        <v>0</v>
      </c>
    </row>
    <row r="776" spans="2:5" ht="15" customHeight="1">
      <c r="B776" s="103"/>
      <c r="C776" s="70" t="s">
        <v>192</v>
      </c>
      <c r="D776" s="73">
        <v>2</v>
      </c>
      <c r="E776" s="72">
        <v>0</v>
      </c>
    </row>
    <row r="777" spans="2:5" ht="15" customHeight="1">
      <c r="B777" s="103"/>
      <c r="C777" s="70" t="s">
        <v>181</v>
      </c>
      <c r="D777" s="73">
        <v>1</v>
      </c>
      <c r="E777" s="72">
        <v>0</v>
      </c>
    </row>
    <row r="778" spans="2:5" ht="15" customHeight="1">
      <c r="B778" s="103"/>
      <c r="C778" s="70" t="s">
        <v>191</v>
      </c>
      <c r="D778" s="73">
        <v>1</v>
      </c>
      <c r="E778" s="72">
        <v>0</v>
      </c>
    </row>
    <row r="779" spans="2:5" ht="15" customHeight="1">
      <c r="B779" s="103"/>
      <c r="C779" s="70" t="s">
        <v>193</v>
      </c>
      <c r="D779" s="73">
        <v>1</v>
      </c>
      <c r="E779" s="72">
        <v>0</v>
      </c>
    </row>
    <row r="780" spans="2:5" ht="15" customHeight="1">
      <c r="B780" s="104"/>
      <c r="C780" s="74" t="s">
        <v>304</v>
      </c>
      <c r="D780" s="75">
        <v>16</v>
      </c>
      <c r="E780" s="76">
        <v>1E-3</v>
      </c>
    </row>
    <row r="781" spans="2:5" ht="15" customHeight="1">
      <c r="B781" s="102" t="s">
        <v>123</v>
      </c>
      <c r="C781" s="70" t="s">
        <v>189</v>
      </c>
      <c r="D781" s="73">
        <v>4</v>
      </c>
      <c r="E781" s="72">
        <v>0</v>
      </c>
    </row>
    <row r="782" spans="2:5" ht="15" customHeight="1">
      <c r="B782" s="103"/>
      <c r="C782" s="70" t="s">
        <v>185</v>
      </c>
      <c r="D782" s="73">
        <v>2</v>
      </c>
      <c r="E782" s="72">
        <v>0</v>
      </c>
    </row>
    <row r="783" spans="2:5" ht="15" customHeight="1">
      <c r="B783" s="103"/>
      <c r="C783" s="70" t="s">
        <v>169</v>
      </c>
      <c r="D783" s="73">
        <v>1</v>
      </c>
      <c r="E783" s="72">
        <v>0</v>
      </c>
    </row>
    <row r="784" spans="2:5" ht="15" customHeight="1">
      <c r="B784" s="103"/>
      <c r="C784" s="70" t="s">
        <v>170</v>
      </c>
      <c r="D784" s="73">
        <v>1</v>
      </c>
      <c r="E784" s="72">
        <v>0</v>
      </c>
    </row>
    <row r="785" spans="2:5" ht="15" customHeight="1">
      <c r="B785" s="103"/>
      <c r="C785" s="70" t="s">
        <v>171</v>
      </c>
      <c r="D785" s="73">
        <v>1</v>
      </c>
      <c r="E785" s="72">
        <v>0</v>
      </c>
    </row>
    <row r="786" spans="2:5" ht="15" customHeight="1">
      <c r="B786" s="103"/>
      <c r="C786" s="70" t="s">
        <v>174</v>
      </c>
      <c r="D786" s="73">
        <v>1</v>
      </c>
      <c r="E786" s="72">
        <v>0</v>
      </c>
    </row>
    <row r="787" spans="2:5" ht="15" customHeight="1">
      <c r="B787" s="103"/>
      <c r="C787" s="70" t="s">
        <v>176</v>
      </c>
      <c r="D787" s="73">
        <v>1</v>
      </c>
      <c r="E787" s="72">
        <v>0</v>
      </c>
    </row>
    <row r="788" spans="2:5" ht="15" customHeight="1">
      <c r="B788" s="103"/>
      <c r="C788" s="70" t="s">
        <v>177</v>
      </c>
      <c r="D788" s="73">
        <v>1</v>
      </c>
      <c r="E788" s="72">
        <v>0</v>
      </c>
    </row>
    <row r="789" spans="2:5" ht="15" customHeight="1">
      <c r="B789" s="103"/>
      <c r="C789" s="70" t="s">
        <v>182</v>
      </c>
      <c r="D789" s="73">
        <v>1</v>
      </c>
      <c r="E789" s="72">
        <v>0</v>
      </c>
    </row>
    <row r="790" spans="2:5" ht="15" customHeight="1">
      <c r="B790" s="103"/>
      <c r="C790" s="70" t="s">
        <v>186</v>
      </c>
      <c r="D790" s="73">
        <v>1</v>
      </c>
      <c r="E790" s="72">
        <v>0</v>
      </c>
    </row>
    <row r="791" spans="2:5" ht="15" customHeight="1">
      <c r="B791" s="103"/>
      <c r="C791" s="70" t="s">
        <v>187</v>
      </c>
      <c r="D791" s="73">
        <v>1</v>
      </c>
      <c r="E791" s="72">
        <v>0</v>
      </c>
    </row>
    <row r="792" spans="2:5" ht="15" customHeight="1">
      <c r="B792" s="104"/>
      <c r="C792" s="74" t="s">
        <v>304</v>
      </c>
      <c r="D792" s="75">
        <v>15</v>
      </c>
      <c r="E792" s="76">
        <v>1E-3</v>
      </c>
    </row>
    <row r="793" spans="2:5" ht="15" customHeight="1">
      <c r="B793" s="102" t="s">
        <v>129</v>
      </c>
      <c r="C793" s="70" t="s">
        <v>180</v>
      </c>
      <c r="D793" s="73">
        <v>2</v>
      </c>
      <c r="E793" s="72">
        <v>0</v>
      </c>
    </row>
    <row r="794" spans="2:5" ht="15" customHeight="1">
      <c r="B794" s="103"/>
      <c r="C794" s="70" t="s">
        <v>189</v>
      </c>
      <c r="D794" s="73">
        <v>2</v>
      </c>
      <c r="E794" s="72">
        <v>0</v>
      </c>
    </row>
    <row r="795" spans="2:5" ht="15" customHeight="1">
      <c r="B795" s="103"/>
      <c r="C795" s="70" t="s">
        <v>170</v>
      </c>
      <c r="D795" s="73">
        <v>1</v>
      </c>
      <c r="E795" s="72">
        <v>0</v>
      </c>
    </row>
    <row r="796" spans="2:5" ht="15" customHeight="1">
      <c r="B796" s="103"/>
      <c r="C796" s="70" t="s">
        <v>176</v>
      </c>
      <c r="D796" s="73">
        <v>1</v>
      </c>
      <c r="E796" s="72">
        <v>0</v>
      </c>
    </row>
    <row r="797" spans="2:5" ht="15" customHeight="1">
      <c r="B797" s="103"/>
      <c r="C797" s="70" t="s">
        <v>204</v>
      </c>
      <c r="D797" s="73">
        <v>1</v>
      </c>
      <c r="E797" s="72">
        <v>0</v>
      </c>
    </row>
    <row r="798" spans="2:5" ht="15" customHeight="1">
      <c r="B798" s="103"/>
      <c r="C798" s="70" t="s">
        <v>201</v>
      </c>
      <c r="D798" s="73">
        <v>1</v>
      </c>
      <c r="E798" s="72">
        <v>0</v>
      </c>
    </row>
    <row r="799" spans="2:5" ht="15" customHeight="1">
      <c r="B799" s="103"/>
      <c r="C799" s="70" t="s">
        <v>182</v>
      </c>
      <c r="D799" s="73">
        <v>1</v>
      </c>
      <c r="E799" s="72">
        <v>0</v>
      </c>
    </row>
    <row r="800" spans="2:5" ht="15" customHeight="1">
      <c r="B800" s="103"/>
      <c r="C800" s="70" t="s">
        <v>185</v>
      </c>
      <c r="D800" s="73">
        <v>1</v>
      </c>
      <c r="E800" s="72">
        <v>0</v>
      </c>
    </row>
    <row r="801" spans="2:5" ht="15" customHeight="1">
      <c r="B801" s="103"/>
      <c r="C801" s="70" t="s">
        <v>190</v>
      </c>
      <c r="D801" s="73">
        <v>1</v>
      </c>
      <c r="E801" s="72">
        <v>0</v>
      </c>
    </row>
    <row r="802" spans="2:5" ht="15" customHeight="1">
      <c r="B802" s="104"/>
      <c r="C802" s="74" t="s">
        <v>304</v>
      </c>
      <c r="D802" s="75">
        <v>11</v>
      </c>
      <c r="E802" s="76">
        <v>0</v>
      </c>
    </row>
    <row r="803" spans="2:5" ht="15" customHeight="1">
      <c r="B803" s="102" t="s">
        <v>114</v>
      </c>
      <c r="C803" s="70" t="s">
        <v>189</v>
      </c>
      <c r="D803" s="73">
        <v>5</v>
      </c>
      <c r="E803" s="72">
        <v>0</v>
      </c>
    </row>
    <row r="804" spans="2:5" ht="15" customHeight="1">
      <c r="B804" s="103"/>
      <c r="C804" s="70" t="s">
        <v>174</v>
      </c>
      <c r="D804" s="73">
        <v>1</v>
      </c>
      <c r="E804" s="72">
        <v>0</v>
      </c>
    </row>
    <row r="805" spans="2:5" ht="15" customHeight="1">
      <c r="B805" s="103"/>
      <c r="C805" s="70" t="s">
        <v>176</v>
      </c>
      <c r="D805" s="73">
        <v>1</v>
      </c>
      <c r="E805" s="72">
        <v>0</v>
      </c>
    </row>
    <row r="806" spans="2:5" ht="15" customHeight="1">
      <c r="B806" s="103"/>
      <c r="C806" s="70" t="s">
        <v>177</v>
      </c>
      <c r="D806" s="73">
        <v>1</v>
      </c>
      <c r="E806" s="72">
        <v>0</v>
      </c>
    </row>
    <row r="807" spans="2:5" ht="15" customHeight="1">
      <c r="B807" s="103"/>
      <c r="C807" s="70" t="s">
        <v>192</v>
      </c>
      <c r="D807" s="73">
        <v>1</v>
      </c>
      <c r="E807" s="72">
        <v>0</v>
      </c>
    </row>
    <row r="808" spans="2:5" ht="15" customHeight="1">
      <c r="B808" s="104"/>
      <c r="C808" s="74" t="s">
        <v>304</v>
      </c>
      <c r="D808" s="75">
        <v>9</v>
      </c>
      <c r="E808" s="76">
        <v>0</v>
      </c>
    </row>
    <row r="809" spans="2:5" ht="15" customHeight="1">
      <c r="B809" s="102" t="s">
        <v>131</v>
      </c>
      <c r="C809" s="70" t="s">
        <v>189</v>
      </c>
      <c r="D809" s="73">
        <v>4</v>
      </c>
      <c r="E809" s="72">
        <v>0</v>
      </c>
    </row>
    <row r="810" spans="2:5" ht="15" customHeight="1">
      <c r="B810" s="103"/>
      <c r="C810" s="70" t="s">
        <v>185</v>
      </c>
      <c r="D810" s="73">
        <v>1</v>
      </c>
      <c r="E810" s="72">
        <v>0</v>
      </c>
    </row>
    <row r="811" spans="2:5" ht="15" customHeight="1">
      <c r="B811" s="104"/>
      <c r="C811" s="74" t="s">
        <v>304</v>
      </c>
      <c r="D811" s="75">
        <v>5</v>
      </c>
      <c r="E811" s="76">
        <v>0</v>
      </c>
    </row>
    <row r="812" spans="2:5" ht="15" customHeight="1">
      <c r="B812" s="102" t="s">
        <v>103</v>
      </c>
      <c r="C812" s="70" t="s">
        <v>189</v>
      </c>
      <c r="D812" s="73">
        <v>2</v>
      </c>
      <c r="E812" s="72">
        <v>0</v>
      </c>
    </row>
    <row r="813" spans="2:5" ht="15" customHeight="1">
      <c r="B813" s="103"/>
      <c r="C813" s="70" t="s">
        <v>192</v>
      </c>
      <c r="D813" s="73">
        <v>1</v>
      </c>
      <c r="E813" s="72">
        <v>0</v>
      </c>
    </row>
    <row r="814" spans="2:5" ht="15" customHeight="1">
      <c r="B814" s="104"/>
      <c r="C814" s="74" t="s">
        <v>304</v>
      </c>
      <c r="D814" s="75">
        <v>3</v>
      </c>
      <c r="E814" s="76">
        <v>0</v>
      </c>
    </row>
    <row r="815" spans="2:5" ht="15" customHeight="1">
      <c r="B815" s="102" t="s">
        <v>141</v>
      </c>
      <c r="C815" s="70" t="s">
        <v>180</v>
      </c>
      <c r="D815" s="73">
        <v>2</v>
      </c>
      <c r="E815" s="72">
        <v>0</v>
      </c>
    </row>
    <row r="816" spans="2:5" ht="15" customHeight="1">
      <c r="B816" s="103"/>
      <c r="C816" s="70" t="s">
        <v>185</v>
      </c>
      <c r="D816" s="73">
        <v>1</v>
      </c>
      <c r="E816" s="72">
        <v>0</v>
      </c>
    </row>
    <row r="817" spans="2:5" ht="15" customHeight="1">
      <c r="B817" s="104"/>
      <c r="C817" s="74" t="s">
        <v>304</v>
      </c>
      <c r="D817" s="75">
        <v>3</v>
      </c>
      <c r="E817" s="76">
        <v>0</v>
      </c>
    </row>
    <row r="818" spans="2:5" ht="15" customHeight="1">
      <c r="B818" s="102" t="s">
        <v>276</v>
      </c>
      <c r="C818" s="70" t="s">
        <v>197</v>
      </c>
      <c r="D818" s="73">
        <v>1</v>
      </c>
      <c r="E818" s="72">
        <v>0</v>
      </c>
    </row>
    <row r="819" spans="2:5" ht="15" customHeight="1">
      <c r="B819" s="103"/>
      <c r="C819" s="70" t="s">
        <v>189</v>
      </c>
      <c r="D819" s="73">
        <v>1</v>
      </c>
      <c r="E819" s="72">
        <v>0</v>
      </c>
    </row>
    <row r="820" spans="2:5" ht="15" customHeight="1">
      <c r="B820" s="104"/>
      <c r="C820" s="74" t="s">
        <v>304</v>
      </c>
      <c r="D820" s="75">
        <v>2</v>
      </c>
      <c r="E820" s="76">
        <v>0</v>
      </c>
    </row>
    <row r="821" spans="2:5" ht="15" customHeight="1">
      <c r="B821" s="102" t="s">
        <v>119</v>
      </c>
      <c r="C821" s="70" t="s">
        <v>187</v>
      </c>
      <c r="D821" s="73">
        <v>1</v>
      </c>
      <c r="E821" s="72">
        <v>0</v>
      </c>
    </row>
    <row r="822" spans="2:5" ht="15" customHeight="1">
      <c r="B822" s="103"/>
      <c r="C822" s="70" t="s">
        <v>189</v>
      </c>
      <c r="D822" s="73">
        <v>1</v>
      </c>
      <c r="E822" s="72">
        <v>0</v>
      </c>
    </row>
    <row r="823" spans="2:5" ht="15" customHeight="1">
      <c r="B823" s="104"/>
      <c r="C823" s="74" t="s">
        <v>304</v>
      </c>
      <c r="D823" s="75">
        <v>2</v>
      </c>
      <c r="E823" s="76">
        <v>0</v>
      </c>
    </row>
    <row r="824" spans="2:5" ht="15" customHeight="1">
      <c r="B824" s="102" t="s">
        <v>126</v>
      </c>
      <c r="C824" s="70" t="s">
        <v>185</v>
      </c>
      <c r="D824" s="73">
        <v>1</v>
      </c>
      <c r="E824" s="72">
        <v>0</v>
      </c>
    </row>
    <row r="825" spans="2:5" ht="15" customHeight="1">
      <c r="B825" s="103"/>
      <c r="C825" s="70" t="s">
        <v>193</v>
      </c>
      <c r="D825" s="73">
        <v>1</v>
      </c>
      <c r="E825" s="72">
        <v>0</v>
      </c>
    </row>
    <row r="826" spans="2:5" ht="15" customHeight="1">
      <c r="B826" s="104"/>
      <c r="C826" s="74" t="s">
        <v>304</v>
      </c>
      <c r="D826" s="75">
        <v>2</v>
      </c>
      <c r="E826" s="76">
        <v>0</v>
      </c>
    </row>
    <row r="827" spans="2:5" ht="15" customHeight="1">
      <c r="B827" s="102" t="s">
        <v>133</v>
      </c>
      <c r="C827" s="70" t="s">
        <v>185</v>
      </c>
      <c r="D827" s="73">
        <v>1</v>
      </c>
      <c r="E827" s="72">
        <v>0</v>
      </c>
    </row>
    <row r="828" spans="2:5" ht="15" customHeight="1">
      <c r="B828" s="103"/>
      <c r="C828" s="70" t="s">
        <v>192</v>
      </c>
      <c r="D828" s="73">
        <v>1</v>
      </c>
      <c r="E828" s="72">
        <v>0</v>
      </c>
    </row>
    <row r="829" spans="2:5" ht="15" customHeight="1">
      <c r="B829" s="104"/>
      <c r="C829" s="74" t="s">
        <v>304</v>
      </c>
      <c r="D829" s="75">
        <v>2</v>
      </c>
      <c r="E829" s="76">
        <v>0</v>
      </c>
    </row>
    <row r="830" spans="2:5" ht="15" customHeight="1">
      <c r="B830" s="102" t="s">
        <v>137</v>
      </c>
      <c r="C830" s="70" t="s">
        <v>186</v>
      </c>
      <c r="D830" s="73">
        <v>1</v>
      </c>
      <c r="E830" s="72">
        <v>0</v>
      </c>
    </row>
    <row r="831" spans="2:5" ht="15" customHeight="1">
      <c r="B831" s="104"/>
      <c r="C831" s="74" t="s">
        <v>304</v>
      </c>
      <c r="D831" s="75">
        <v>1</v>
      </c>
      <c r="E831" s="76">
        <v>0</v>
      </c>
    </row>
    <row r="832" spans="2:5" ht="15" customHeight="1">
      <c r="B832" s="102" t="s">
        <v>139</v>
      </c>
      <c r="C832" s="70" t="s">
        <v>180</v>
      </c>
      <c r="D832" s="73">
        <v>1</v>
      </c>
      <c r="E832" s="72">
        <v>0</v>
      </c>
    </row>
    <row r="833" spans="2:5" ht="15" customHeight="1">
      <c r="B833" s="104"/>
      <c r="C833" s="74" t="s">
        <v>304</v>
      </c>
      <c r="D833" s="75">
        <v>1</v>
      </c>
      <c r="E833" s="76">
        <v>0</v>
      </c>
    </row>
    <row r="834" spans="2:5" ht="15" customHeight="1">
      <c r="B834" s="105" t="s">
        <v>306</v>
      </c>
      <c r="C834" s="106"/>
      <c r="D834" s="77">
        <v>24389</v>
      </c>
      <c r="E834" s="78">
        <v>1</v>
      </c>
    </row>
    <row r="835" spans="2:5" ht="15" customHeight="1">
      <c r="B835" s="35"/>
      <c r="C835" s="45"/>
      <c r="D835" s="45"/>
      <c r="E835" s="45"/>
    </row>
    <row r="836" spans="2:5" ht="15" customHeight="1">
      <c r="B836" s="35" t="s">
        <v>275</v>
      </c>
      <c r="C836" s="45"/>
      <c r="D836" s="45"/>
      <c r="E836" s="45"/>
    </row>
    <row r="837" spans="2:5" ht="15" customHeight="1">
      <c r="B837" s="36" t="s">
        <v>18</v>
      </c>
      <c r="C837" s="45"/>
      <c r="D837" s="45"/>
      <c r="E837" s="45"/>
    </row>
    <row r="838" spans="2:5" ht="15" customHeight="1">
      <c r="B838" s="33" t="s">
        <v>45</v>
      </c>
      <c r="C838" s="45"/>
      <c r="D838" s="45"/>
      <c r="E838" s="45"/>
    </row>
    <row r="839" spans="2:5" ht="15" customHeight="1">
      <c r="B839" s="35" t="s">
        <v>17</v>
      </c>
      <c r="C839" s="45"/>
      <c r="D839" s="45"/>
      <c r="E839" s="45"/>
    </row>
    <row r="840" spans="2:5" ht="15" customHeight="1">
      <c r="B840" s="35" t="s">
        <v>308</v>
      </c>
      <c r="C840" s="45"/>
      <c r="D840" s="45"/>
      <c r="E840" s="45"/>
    </row>
  </sheetData>
  <mergeCells count="50">
    <mergeCell ref="B834:C834"/>
    <mergeCell ref="B7:E8"/>
    <mergeCell ref="B10:B54"/>
    <mergeCell ref="B55:B82"/>
    <mergeCell ref="B83:B114"/>
    <mergeCell ref="B115:B148"/>
    <mergeCell ref="B149:B180"/>
    <mergeCell ref="B181:B213"/>
    <mergeCell ref="B214:B242"/>
    <mergeCell ref="B243:B270"/>
    <mergeCell ref="B271:B300"/>
    <mergeCell ref="B301:B328"/>
    <mergeCell ref="B329:B354"/>
    <mergeCell ref="B355:B380"/>
    <mergeCell ref="B381:B401"/>
    <mergeCell ref="B402:B422"/>
    <mergeCell ref="B423:B445"/>
    <mergeCell ref="B446:B465"/>
    <mergeCell ref="B466:B489"/>
    <mergeCell ref="B490:B512"/>
    <mergeCell ref="B513:B535"/>
    <mergeCell ref="B536:B553"/>
    <mergeCell ref="B554:B577"/>
    <mergeCell ref="B578:B599"/>
    <mergeCell ref="B600:B617"/>
    <mergeCell ref="B618:B638"/>
    <mergeCell ref="B639:B658"/>
    <mergeCell ref="B659:B670"/>
    <mergeCell ref="B671:B683"/>
    <mergeCell ref="B684:B697"/>
    <mergeCell ref="B698:B710"/>
    <mergeCell ref="B711:B720"/>
    <mergeCell ref="B721:B731"/>
    <mergeCell ref="B732:B742"/>
    <mergeCell ref="B743:B751"/>
    <mergeCell ref="B752:B761"/>
    <mergeCell ref="B762:B771"/>
    <mergeCell ref="B772:B780"/>
    <mergeCell ref="B781:B792"/>
    <mergeCell ref="B793:B802"/>
    <mergeCell ref="B803:B808"/>
    <mergeCell ref="B824:B826"/>
    <mergeCell ref="B827:B829"/>
    <mergeCell ref="B830:B831"/>
    <mergeCell ref="B832:B833"/>
    <mergeCell ref="B809:B811"/>
    <mergeCell ref="B812:B814"/>
    <mergeCell ref="B815:B817"/>
    <mergeCell ref="B818:B820"/>
    <mergeCell ref="B821:B823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4" orientation="portrait" r:id="rId1"/>
  <rowBreaks count="1" manualBreakCount="1">
    <brk id="791" max="4" man="1"/>
  </rowBreaks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</sheetPr>
  <dimension ref="A1:E1061"/>
  <sheetViews>
    <sheetView showGridLines="0" view="pageBreakPreview" zoomScale="90" zoomScaleNormal="100" zoomScaleSheetLayoutView="90" workbookViewId="0">
      <selection activeCell="B1058" sqref="B1058"/>
    </sheetView>
  </sheetViews>
  <sheetFormatPr baseColWidth="10" defaultColWidth="35" defaultRowHeight="15" customHeight="1"/>
  <cols>
    <col min="1" max="1" width="1" style="18" customWidth="1"/>
    <col min="2" max="2" width="22.85546875" style="19" customWidth="1"/>
    <col min="3" max="3" width="35.140625" style="19" customWidth="1"/>
    <col min="4" max="4" width="14.28515625" style="19" customWidth="1"/>
    <col min="5" max="5" width="16.85546875" style="19" customWidth="1"/>
    <col min="6" max="16384" width="35" style="18"/>
  </cols>
  <sheetData>
    <row r="1" spans="1:5" s="21" customFormat="1" ht="12" customHeight="1">
      <c r="B1" s="23"/>
      <c r="C1" s="20"/>
      <c r="D1" s="20"/>
      <c r="E1" s="20"/>
    </row>
    <row r="2" spans="1:5" s="21" customFormat="1" ht="15" customHeight="1">
      <c r="C2" s="25"/>
    </row>
    <row r="3" spans="1:5" s="21" customFormat="1" ht="15" customHeight="1">
      <c r="C3" s="25"/>
    </row>
    <row r="4" spans="1:5" s="21" customFormat="1" ht="30" customHeight="1">
      <c r="C4" s="25"/>
      <c r="D4" s="24"/>
    </row>
    <row r="5" spans="1:5" s="21" customFormat="1" ht="15" customHeight="1">
      <c r="C5" s="25"/>
      <c r="D5" s="24"/>
    </row>
    <row r="6" spans="1:5" s="21" customFormat="1" ht="24" customHeight="1">
      <c r="B6" s="40"/>
      <c r="C6" s="41"/>
      <c r="D6" s="41"/>
      <c r="E6" s="41"/>
    </row>
    <row r="7" spans="1:5" s="21" customFormat="1" ht="26.25" customHeight="1">
      <c r="A7" s="22"/>
      <c r="B7" s="107"/>
      <c r="C7" s="107"/>
      <c r="D7" s="107"/>
      <c r="E7" s="107"/>
    </row>
    <row r="8" spans="1:5" s="21" customFormat="1" ht="33" customHeight="1">
      <c r="A8" s="22"/>
      <c r="B8" s="107"/>
      <c r="C8" s="107"/>
      <c r="D8" s="107"/>
      <c r="E8" s="107"/>
    </row>
    <row r="9" spans="1:5" s="12" customFormat="1" ht="40.5" customHeight="1">
      <c r="B9" s="42" t="s">
        <v>22</v>
      </c>
      <c r="C9" s="43" t="s">
        <v>24</v>
      </c>
      <c r="D9" s="44" t="s">
        <v>20</v>
      </c>
      <c r="E9" s="42" t="s">
        <v>19</v>
      </c>
    </row>
    <row r="10" spans="1:5">
      <c r="B10" s="111" t="s">
        <v>73</v>
      </c>
      <c r="C10" s="54" t="s">
        <v>169</v>
      </c>
      <c r="D10" s="69">
        <v>1</v>
      </c>
      <c r="E10" s="68">
        <v>0</v>
      </c>
    </row>
    <row r="11" spans="1:5">
      <c r="B11" s="112"/>
      <c r="C11" s="54" t="s">
        <v>170</v>
      </c>
      <c r="D11" s="69">
        <v>3</v>
      </c>
      <c r="E11" s="68">
        <v>0</v>
      </c>
    </row>
    <row r="12" spans="1:5">
      <c r="B12" s="112"/>
      <c r="C12" s="54" t="s">
        <v>174</v>
      </c>
      <c r="D12" s="69">
        <v>4</v>
      </c>
      <c r="E12" s="68">
        <v>0</v>
      </c>
    </row>
    <row r="13" spans="1:5">
      <c r="B13" s="112"/>
      <c r="C13" s="54" t="s">
        <v>176</v>
      </c>
      <c r="D13" s="69">
        <v>9</v>
      </c>
      <c r="E13" s="68">
        <v>0</v>
      </c>
    </row>
    <row r="14" spans="1:5">
      <c r="B14" s="112"/>
      <c r="C14" s="54" t="s">
        <v>177</v>
      </c>
      <c r="D14" s="69">
        <v>3</v>
      </c>
      <c r="E14" s="68">
        <v>0</v>
      </c>
    </row>
    <row r="15" spans="1:5">
      <c r="B15" s="112"/>
      <c r="C15" s="54" t="s">
        <v>178</v>
      </c>
      <c r="D15" s="69">
        <v>1</v>
      </c>
      <c r="E15" s="68">
        <v>0</v>
      </c>
    </row>
    <row r="16" spans="1:5">
      <c r="B16" s="112"/>
      <c r="C16" s="54" t="s">
        <v>200</v>
      </c>
      <c r="D16" s="69">
        <v>2</v>
      </c>
      <c r="E16" s="68">
        <v>0</v>
      </c>
    </row>
    <row r="17" spans="2:5">
      <c r="B17" s="112"/>
      <c r="C17" s="54" t="s">
        <v>179</v>
      </c>
      <c r="D17" s="69">
        <v>1</v>
      </c>
      <c r="E17" s="68">
        <v>0</v>
      </c>
    </row>
    <row r="18" spans="2:5">
      <c r="B18" s="112"/>
      <c r="C18" s="54" t="s">
        <v>180</v>
      </c>
      <c r="D18" s="69">
        <v>6</v>
      </c>
      <c r="E18" s="68">
        <v>0</v>
      </c>
    </row>
    <row r="19" spans="2:5">
      <c r="B19" s="112"/>
      <c r="C19" s="54" t="s">
        <v>182</v>
      </c>
      <c r="D19" s="69">
        <v>3</v>
      </c>
      <c r="E19" s="68">
        <v>0</v>
      </c>
    </row>
    <row r="20" spans="2:5">
      <c r="B20" s="112"/>
      <c r="C20" s="54" t="s">
        <v>184</v>
      </c>
      <c r="D20" s="69">
        <v>1</v>
      </c>
      <c r="E20" s="68">
        <v>0</v>
      </c>
    </row>
    <row r="21" spans="2:5">
      <c r="B21" s="112"/>
      <c r="C21" s="54" t="s">
        <v>209</v>
      </c>
      <c r="D21" s="69">
        <v>1</v>
      </c>
      <c r="E21" s="68">
        <v>0</v>
      </c>
    </row>
    <row r="22" spans="2:5">
      <c r="B22" s="112"/>
      <c r="C22" s="54" t="s">
        <v>185</v>
      </c>
      <c r="D22" s="69">
        <v>10</v>
      </c>
      <c r="E22" s="68">
        <v>0</v>
      </c>
    </row>
    <row r="23" spans="2:5">
      <c r="B23" s="112"/>
      <c r="C23" s="54" t="s">
        <v>186</v>
      </c>
      <c r="D23" s="69">
        <v>5</v>
      </c>
      <c r="E23" s="68">
        <v>0</v>
      </c>
    </row>
    <row r="24" spans="2:5">
      <c r="B24" s="112"/>
      <c r="C24" s="54" t="s">
        <v>187</v>
      </c>
      <c r="D24" s="69">
        <v>2</v>
      </c>
      <c r="E24" s="68">
        <v>0</v>
      </c>
    </row>
    <row r="25" spans="2:5">
      <c r="B25" s="112"/>
      <c r="C25" s="54" t="s">
        <v>188</v>
      </c>
      <c r="D25" s="69">
        <v>1</v>
      </c>
      <c r="E25" s="68">
        <v>0</v>
      </c>
    </row>
    <row r="26" spans="2:5">
      <c r="B26" s="112"/>
      <c r="C26" s="54" t="s">
        <v>189</v>
      </c>
      <c r="D26" s="69">
        <v>6</v>
      </c>
      <c r="E26" s="68">
        <v>0</v>
      </c>
    </row>
    <row r="27" spans="2:5">
      <c r="B27" s="112"/>
      <c r="C27" s="54" t="s">
        <v>190</v>
      </c>
      <c r="D27" s="69">
        <v>1</v>
      </c>
      <c r="E27" s="68">
        <v>0</v>
      </c>
    </row>
    <row r="28" spans="2:5">
      <c r="B28" s="112"/>
      <c r="C28" s="54" t="s">
        <v>192</v>
      </c>
      <c r="D28" s="69">
        <v>1</v>
      </c>
      <c r="E28" s="68">
        <v>0</v>
      </c>
    </row>
    <row r="29" spans="2:5">
      <c r="B29" s="112"/>
      <c r="C29" s="54" t="s">
        <v>195</v>
      </c>
      <c r="D29" s="69">
        <v>1</v>
      </c>
      <c r="E29" s="68">
        <v>0</v>
      </c>
    </row>
    <row r="30" spans="2:5">
      <c r="B30" s="113"/>
      <c r="C30" s="74" t="s">
        <v>304</v>
      </c>
      <c r="D30" s="80">
        <v>62</v>
      </c>
      <c r="E30" s="76">
        <v>3.0000000000000001E-3</v>
      </c>
    </row>
    <row r="31" spans="2:5">
      <c r="B31" s="111" t="s">
        <v>52</v>
      </c>
      <c r="C31" s="54" t="s">
        <v>169</v>
      </c>
      <c r="D31" s="69">
        <v>3</v>
      </c>
      <c r="E31" s="68">
        <v>0</v>
      </c>
    </row>
    <row r="32" spans="2:5">
      <c r="B32" s="112"/>
      <c r="C32" s="54" t="s">
        <v>170</v>
      </c>
      <c r="D32" s="69">
        <v>20</v>
      </c>
      <c r="E32" s="68">
        <v>1E-3</v>
      </c>
    </row>
    <row r="33" spans="2:5">
      <c r="B33" s="112"/>
      <c r="C33" s="54" t="s">
        <v>171</v>
      </c>
      <c r="D33" s="69">
        <v>42</v>
      </c>
      <c r="E33" s="68">
        <v>2E-3</v>
      </c>
    </row>
    <row r="34" spans="2:5">
      <c r="B34" s="112"/>
      <c r="C34" s="54" t="s">
        <v>173</v>
      </c>
      <c r="D34" s="69">
        <v>6</v>
      </c>
      <c r="E34" s="68">
        <v>0</v>
      </c>
    </row>
    <row r="35" spans="2:5">
      <c r="B35" s="112"/>
      <c r="C35" s="54" t="s">
        <v>208</v>
      </c>
      <c r="D35" s="69">
        <v>1</v>
      </c>
      <c r="E35" s="68">
        <v>0</v>
      </c>
    </row>
    <row r="36" spans="2:5">
      <c r="B36" s="112"/>
      <c r="C36" s="54" t="s">
        <v>174</v>
      </c>
      <c r="D36" s="69">
        <v>59</v>
      </c>
      <c r="E36" s="68">
        <v>2E-3</v>
      </c>
    </row>
    <row r="37" spans="2:5">
      <c r="B37" s="112"/>
      <c r="C37" s="54" t="s">
        <v>176</v>
      </c>
      <c r="D37" s="69">
        <v>104</v>
      </c>
      <c r="E37" s="68">
        <v>4.0000000000000001E-3</v>
      </c>
    </row>
    <row r="38" spans="2:5">
      <c r="B38" s="112"/>
      <c r="C38" s="54" t="s">
        <v>177</v>
      </c>
      <c r="D38" s="69">
        <v>50</v>
      </c>
      <c r="E38" s="68">
        <v>2E-3</v>
      </c>
    </row>
    <row r="39" spans="2:5">
      <c r="B39" s="112"/>
      <c r="C39" s="54" t="s">
        <v>194</v>
      </c>
      <c r="D39" s="69">
        <v>1</v>
      </c>
      <c r="E39" s="68">
        <v>0</v>
      </c>
    </row>
    <row r="40" spans="2:5">
      <c r="B40" s="112"/>
      <c r="C40" s="54" t="s">
        <v>198</v>
      </c>
      <c r="D40" s="69">
        <v>1</v>
      </c>
      <c r="E40" s="68">
        <v>0</v>
      </c>
    </row>
    <row r="41" spans="2:5">
      <c r="B41" s="112"/>
      <c r="C41" s="54" t="s">
        <v>204</v>
      </c>
      <c r="D41" s="69">
        <v>3</v>
      </c>
      <c r="E41" s="68">
        <v>0</v>
      </c>
    </row>
    <row r="42" spans="2:5">
      <c r="B42" s="112"/>
      <c r="C42" s="54" t="s">
        <v>178</v>
      </c>
      <c r="D42" s="69">
        <v>4</v>
      </c>
      <c r="E42" s="68">
        <v>0</v>
      </c>
    </row>
    <row r="43" spans="2:5">
      <c r="B43" s="112"/>
      <c r="C43" s="54" t="s">
        <v>179</v>
      </c>
      <c r="D43" s="69">
        <v>8</v>
      </c>
      <c r="E43" s="68">
        <v>0</v>
      </c>
    </row>
    <row r="44" spans="2:5">
      <c r="B44" s="112"/>
      <c r="C44" s="54" t="s">
        <v>180</v>
      </c>
      <c r="D44" s="69">
        <v>74</v>
      </c>
      <c r="E44" s="68">
        <v>3.0000000000000001E-3</v>
      </c>
    </row>
    <row r="45" spans="2:5">
      <c r="B45" s="112"/>
      <c r="C45" s="54" t="s">
        <v>181</v>
      </c>
      <c r="D45" s="69">
        <v>2</v>
      </c>
      <c r="E45" s="68">
        <v>0</v>
      </c>
    </row>
    <row r="46" spans="2:5">
      <c r="B46" s="112"/>
      <c r="C46" s="54" t="s">
        <v>203</v>
      </c>
      <c r="D46" s="69">
        <v>1</v>
      </c>
      <c r="E46" s="68">
        <v>0</v>
      </c>
    </row>
    <row r="47" spans="2:5">
      <c r="B47" s="112"/>
      <c r="C47" s="54" t="s">
        <v>182</v>
      </c>
      <c r="D47" s="69">
        <v>18</v>
      </c>
      <c r="E47" s="68">
        <v>1E-3</v>
      </c>
    </row>
    <row r="48" spans="2:5">
      <c r="B48" s="112"/>
      <c r="C48" s="54" t="s">
        <v>183</v>
      </c>
      <c r="D48" s="69">
        <v>2</v>
      </c>
      <c r="E48" s="68">
        <v>0</v>
      </c>
    </row>
    <row r="49" spans="2:5">
      <c r="B49" s="112"/>
      <c r="C49" s="54" t="s">
        <v>184</v>
      </c>
      <c r="D49" s="69">
        <v>8</v>
      </c>
      <c r="E49" s="68">
        <v>0</v>
      </c>
    </row>
    <row r="50" spans="2:5">
      <c r="B50" s="112"/>
      <c r="C50" s="54" t="s">
        <v>209</v>
      </c>
      <c r="D50" s="69">
        <v>1</v>
      </c>
      <c r="E50" s="68">
        <v>0</v>
      </c>
    </row>
    <row r="51" spans="2:5">
      <c r="B51" s="112"/>
      <c r="C51" s="54" t="s">
        <v>185</v>
      </c>
      <c r="D51" s="69">
        <v>30</v>
      </c>
      <c r="E51" s="68">
        <v>1E-3</v>
      </c>
    </row>
    <row r="52" spans="2:5">
      <c r="B52" s="112"/>
      <c r="C52" s="54" t="s">
        <v>186</v>
      </c>
      <c r="D52" s="69">
        <v>20</v>
      </c>
      <c r="E52" s="68">
        <v>1E-3</v>
      </c>
    </row>
    <row r="53" spans="2:5">
      <c r="B53" s="112"/>
      <c r="C53" s="54" t="s">
        <v>207</v>
      </c>
      <c r="D53" s="69">
        <v>1</v>
      </c>
      <c r="E53" s="68">
        <v>0</v>
      </c>
    </row>
    <row r="54" spans="2:5">
      <c r="B54" s="112"/>
      <c r="C54" s="54" t="s">
        <v>187</v>
      </c>
      <c r="D54" s="69">
        <v>16</v>
      </c>
      <c r="E54" s="68">
        <v>1E-3</v>
      </c>
    </row>
    <row r="55" spans="2:5">
      <c r="B55" s="112"/>
      <c r="C55" s="54" t="s">
        <v>188</v>
      </c>
      <c r="D55" s="69">
        <v>13</v>
      </c>
      <c r="E55" s="68">
        <v>1E-3</v>
      </c>
    </row>
    <row r="56" spans="2:5">
      <c r="B56" s="112"/>
      <c r="C56" s="54" t="s">
        <v>189</v>
      </c>
      <c r="D56" s="69">
        <v>82</v>
      </c>
      <c r="E56" s="68">
        <v>3.0000000000000001E-3</v>
      </c>
    </row>
    <row r="57" spans="2:5">
      <c r="B57" s="112"/>
      <c r="C57" s="54" t="s">
        <v>190</v>
      </c>
      <c r="D57" s="69">
        <v>29</v>
      </c>
      <c r="E57" s="68">
        <v>1E-3</v>
      </c>
    </row>
    <row r="58" spans="2:5">
      <c r="B58" s="112"/>
      <c r="C58" s="54" t="s">
        <v>191</v>
      </c>
      <c r="D58" s="69">
        <v>12</v>
      </c>
      <c r="E58" s="68">
        <v>0</v>
      </c>
    </row>
    <row r="59" spans="2:5">
      <c r="B59" s="112"/>
      <c r="C59" s="54" t="s">
        <v>192</v>
      </c>
      <c r="D59" s="69">
        <v>27</v>
      </c>
      <c r="E59" s="68">
        <v>1E-3</v>
      </c>
    </row>
    <row r="60" spans="2:5">
      <c r="B60" s="112"/>
      <c r="C60" s="54" t="s">
        <v>195</v>
      </c>
      <c r="D60" s="69">
        <v>1</v>
      </c>
      <c r="E60" s="68">
        <v>0</v>
      </c>
    </row>
    <row r="61" spans="2:5">
      <c r="B61" s="112"/>
      <c r="C61" s="54" t="s">
        <v>193</v>
      </c>
      <c r="D61" s="69">
        <v>6</v>
      </c>
      <c r="E61" s="68">
        <v>0</v>
      </c>
    </row>
    <row r="62" spans="2:5">
      <c r="B62" s="113"/>
      <c r="C62" s="74" t="s">
        <v>304</v>
      </c>
      <c r="D62" s="80">
        <v>645</v>
      </c>
      <c r="E62" s="76">
        <v>2.5999999999999999E-2</v>
      </c>
    </row>
    <row r="63" spans="2:5">
      <c r="B63" s="111" t="s">
        <v>56</v>
      </c>
      <c r="C63" s="54" t="s">
        <v>169</v>
      </c>
      <c r="D63" s="69">
        <v>4</v>
      </c>
      <c r="E63" s="68">
        <v>0</v>
      </c>
    </row>
    <row r="64" spans="2:5">
      <c r="B64" s="112"/>
      <c r="C64" s="54" t="s">
        <v>170</v>
      </c>
      <c r="D64" s="69">
        <v>3</v>
      </c>
      <c r="E64" s="68">
        <v>0</v>
      </c>
    </row>
    <row r="65" spans="2:5">
      <c r="B65" s="112"/>
      <c r="C65" s="54" t="s">
        <v>171</v>
      </c>
      <c r="D65" s="69">
        <v>7</v>
      </c>
      <c r="E65" s="68">
        <v>0</v>
      </c>
    </row>
    <row r="66" spans="2:5">
      <c r="B66" s="112"/>
      <c r="C66" s="54" t="s">
        <v>196</v>
      </c>
      <c r="D66" s="69">
        <v>5</v>
      </c>
      <c r="E66" s="68">
        <v>0</v>
      </c>
    </row>
    <row r="67" spans="2:5">
      <c r="B67" s="112"/>
      <c r="C67" s="54" t="s">
        <v>172</v>
      </c>
      <c r="D67" s="69">
        <v>2</v>
      </c>
      <c r="E67" s="68">
        <v>0</v>
      </c>
    </row>
    <row r="68" spans="2:5">
      <c r="B68" s="112"/>
      <c r="C68" s="54" t="s">
        <v>173</v>
      </c>
      <c r="D68" s="69">
        <v>1</v>
      </c>
      <c r="E68" s="68">
        <v>0</v>
      </c>
    </row>
    <row r="69" spans="2:5">
      <c r="B69" s="112"/>
      <c r="C69" s="54" t="s">
        <v>197</v>
      </c>
      <c r="D69" s="69">
        <v>1</v>
      </c>
      <c r="E69" s="68">
        <v>0</v>
      </c>
    </row>
    <row r="70" spans="2:5">
      <c r="B70" s="112"/>
      <c r="C70" s="54" t="s">
        <v>174</v>
      </c>
      <c r="D70" s="69">
        <v>33</v>
      </c>
      <c r="E70" s="68">
        <v>1E-3</v>
      </c>
    </row>
    <row r="71" spans="2:5">
      <c r="B71" s="112"/>
      <c r="C71" s="54" t="s">
        <v>175</v>
      </c>
      <c r="D71" s="69">
        <v>1</v>
      </c>
      <c r="E71" s="68">
        <v>0</v>
      </c>
    </row>
    <row r="72" spans="2:5">
      <c r="B72" s="112"/>
      <c r="C72" s="54" t="s">
        <v>278</v>
      </c>
      <c r="D72" s="69">
        <v>15</v>
      </c>
      <c r="E72" s="68">
        <v>1E-3</v>
      </c>
    </row>
    <row r="73" spans="2:5">
      <c r="B73" s="112"/>
      <c r="C73" s="54" t="s">
        <v>176</v>
      </c>
      <c r="D73" s="69">
        <v>40</v>
      </c>
      <c r="E73" s="68">
        <v>2E-3</v>
      </c>
    </row>
    <row r="74" spans="2:5">
      <c r="B74" s="112"/>
      <c r="C74" s="54" t="s">
        <v>177</v>
      </c>
      <c r="D74" s="69">
        <v>6</v>
      </c>
      <c r="E74" s="68">
        <v>0</v>
      </c>
    </row>
    <row r="75" spans="2:5">
      <c r="B75" s="112"/>
      <c r="C75" s="54" t="s">
        <v>194</v>
      </c>
      <c r="D75" s="69">
        <v>2</v>
      </c>
      <c r="E75" s="68">
        <v>0</v>
      </c>
    </row>
    <row r="76" spans="2:5">
      <c r="B76" s="112"/>
      <c r="C76" s="54" t="s">
        <v>198</v>
      </c>
      <c r="D76" s="69">
        <v>1</v>
      </c>
      <c r="E76" s="68">
        <v>0</v>
      </c>
    </row>
    <row r="77" spans="2:5">
      <c r="B77" s="112"/>
      <c r="C77" s="54" t="s">
        <v>199</v>
      </c>
      <c r="D77" s="69">
        <v>5</v>
      </c>
      <c r="E77" s="68">
        <v>0</v>
      </c>
    </row>
    <row r="78" spans="2:5">
      <c r="B78" s="112"/>
      <c r="C78" s="54" t="s">
        <v>204</v>
      </c>
      <c r="D78" s="69">
        <v>5</v>
      </c>
      <c r="E78" s="68">
        <v>0</v>
      </c>
    </row>
    <row r="79" spans="2:5">
      <c r="B79" s="112"/>
      <c r="C79" s="54" t="s">
        <v>178</v>
      </c>
      <c r="D79" s="69">
        <v>2</v>
      </c>
      <c r="E79" s="68">
        <v>0</v>
      </c>
    </row>
    <row r="80" spans="2:5">
      <c r="B80" s="112"/>
      <c r="C80" s="54" t="s">
        <v>200</v>
      </c>
      <c r="D80" s="69">
        <v>2</v>
      </c>
      <c r="E80" s="68">
        <v>0</v>
      </c>
    </row>
    <row r="81" spans="2:5">
      <c r="B81" s="112"/>
      <c r="C81" s="54" t="s">
        <v>179</v>
      </c>
      <c r="D81" s="69">
        <v>12</v>
      </c>
      <c r="E81" s="68">
        <v>0</v>
      </c>
    </row>
    <row r="82" spans="2:5">
      <c r="B82" s="112"/>
      <c r="C82" s="54" t="s">
        <v>180</v>
      </c>
      <c r="D82" s="69">
        <v>64</v>
      </c>
      <c r="E82" s="68">
        <v>3.0000000000000001E-3</v>
      </c>
    </row>
    <row r="83" spans="2:5">
      <c r="B83" s="112"/>
      <c r="C83" s="54" t="s">
        <v>201</v>
      </c>
      <c r="D83" s="69">
        <v>1</v>
      </c>
      <c r="E83" s="68">
        <v>0</v>
      </c>
    </row>
    <row r="84" spans="2:5">
      <c r="B84" s="112"/>
      <c r="C84" s="54" t="s">
        <v>181</v>
      </c>
      <c r="D84" s="69">
        <v>5</v>
      </c>
      <c r="E84" s="68">
        <v>0</v>
      </c>
    </row>
    <row r="85" spans="2:5">
      <c r="B85" s="112"/>
      <c r="C85" s="54" t="s">
        <v>202</v>
      </c>
      <c r="D85" s="69">
        <v>1</v>
      </c>
      <c r="E85" s="68">
        <v>0</v>
      </c>
    </row>
    <row r="86" spans="2:5">
      <c r="B86" s="112"/>
      <c r="C86" s="54" t="s">
        <v>182</v>
      </c>
      <c r="D86" s="69">
        <v>78</v>
      </c>
      <c r="E86" s="68">
        <v>3.0000000000000001E-3</v>
      </c>
    </row>
    <row r="87" spans="2:5">
      <c r="B87" s="112"/>
      <c r="C87" s="54" t="s">
        <v>184</v>
      </c>
      <c r="D87" s="69">
        <v>2</v>
      </c>
      <c r="E87" s="68">
        <v>0</v>
      </c>
    </row>
    <row r="88" spans="2:5">
      <c r="B88" s="112"/>
      <c r="C88" s="54" t="s">
        <v>206</v>
      </c>
      <c r="D88" s="69">
        <v>1</v>
      </c>
      <c r="E88" s="68">
        <v>0</v>
      </c>
    </row>
    <row r="89" spans="2:5">
      <c r="B89" s="112"/>
      <c r="C89" s="54" t="s">
        <v>209</v>
      </c>
      <c r="D89" s="69">
        <v>1</v>
      </c>
      <c r="E89" s="68">
        <v>0</v>
      </c>
    </row>
    <row r="90" spans="2:5">
      <c r="B90" s="112"/>
      <c r="C90" s="54" t="s">
        <v>185</v>
      </c>
      <c r="D90" s="69">
        <v>42</v>
      </c>
      <c r="E90" s="68">
        <v>2E-3</v>
      </c>
    </row>
    <row r="91" spans="2:5">
      <c r="B91" s="112"/>
      <c r="C91" s="54" t="s">
        <v>186</v>
      </c>
      <c r="D91" s="69">
        <v>12</v>
      </c>
      <c r="E91" s="68">
        <v>0</v>
      </c>
    </row>
    <row r="92" spans="2:5">
      <c r="B92" s="112"/>
      <c r="C92" s="54" t="s">
        <v>207</v>
      </c>
      <c r="D92" s="69">
        <v>2</v>
      </c>
      <c r="E92" s="68">
        <v>0</v>
      </c>
    </row>
    <row r="93" spans="2:5">
      <c r="B93" s="112"/>
      <c r="C93" s="54" t="s">
        <v>187</v>
      </c>
      <c r="D93" s="69">
        <v>5</v>
      </c>
      <c r="E93" s="68">
        <v>0</v>
      </c>
    </row>
    <row r="94" spans="2:5">
      <c r="B94" s="112"/>
      <c r="C94" s="54" t="s">
        <v>188</v>
      </c>
      <c r="D94" s="69">
        <v>3</v>
      </c>
      <c r="E94" s="68">
        <v>0</v>
      </c>
    </row>
    <row r="95" spans="2:5">
      <c r="B95" s="112"/>
      <c r="C95" s="54" t="s">
        <v>189</v>
      </c>
      <c r="D95" s="69">
        <v>55</v>
      </c>
      <c r="E95" s="68">
        <v>2E-3</v>
      </c>
    </row>
    <row r="96" spans="2:5">
      <c r="B96" s="112"/>
      <c r="C96" s="54" t="s">
        <v>190</v>
      </c>
      <c r="D96" s="69">
        <v>29</v>
      </c>
      <c r="E96" s="68">
        <v>1E-3</v>
      </c>
    </row>
    <row r="97" spans="2:5">
      <c r="B97" s="112"/>
      <c r="C97" s="54" t="s">
        <v>191</v>
      </c>
      <c r="D97" s="69">
        <v>18</v>
      </c>
      <c r="E97" s="68">
        <v>1E-3</v>
      </c>
    </row>
    <row r="98" spans="2:5">
      <c r="B98" s="112"/>
      <c r="C98" s="54" t="s">
        <v>192</v>
      </c>
      <c r="D98" s="69">
        <v>34</v>
      </c>
      <c r="E98" s="68">
        <v>1E-3</v>
      </c>
    </row>
    <row r="99" spans="2:5">
      <c r="B99" s="112"/>
      <c r="C99" s="54" t="s">
        <v>195</v>
      </c>
      <c r="D99" s="69">
        <v>1</v>
      </c>
      <c r="E99" s="68">
        <v>0</v>
      </c>
    </row>
    <row r="100" spans="2:5">
      <c r="B100" s="112"/>
      <c r="C100" s="54" t="s">
        <v>193</v>
      </c>
      <c r="D100" s="69">
        <v>5</v>
      </c>
      <c r="E100" s="68">
        <v>0</v>
      </c>
    </row>
    <row r="101" spans="2:5">
      <c r="B101" s="113"/>
      <c r="C101" s="74" t="s">
        <v>304</v>
      </c>
      <c r="D101" s="80">
        <v>506</v>
      </c>
      <c r="E101" s="76">
        <v>2.1000000000000001E-2</v>
      </c>
    </row>
    <row r="102" spans="2:5">
      <c r="B102" s="111" t="s">
        <v>86</v>
      </c>
      <c r="C102" s="54" t="s">
        <v>197</v>
      </c>
      <c r="D102" s="69">
        <v>1</v>
      </c>
      <c r="E102" s="68">
        <v>0</v>
      </c>
    </row>
    <row r="103" spans="2:5">
      <c r="B103" s="112"/>
      <c r="C103" s="54" t="s">
        <v>176</v>
      </c>
      <c r="D103" s="69">
        <v>1</v>
      </c>
      <c r="E103" s="68">
        <v>0</v>
      </c>
    </row>
    <row r="104" spans="2:5">
      <c r="B104" s="112"/>
      <c r="C104" s="54" t="s">
        <v>179</v>
      </c>
      <c r="D104" s="69">
        <v>1</v>
      </c>
      <c r="E104" s="68">
        <v>0</v>
      </c>
    </row>
    <row r="105" spans="2:5">
      <c r="B105" s="112"/>
      <c r="C105" s="54" t="s">
        <v>180</v>
      </c>
      <c r="D105" s="69">
        <v>3</v>
      </c>
      <c r="E105" s="68">
        <v>0</v>
      </c>
    </row>
    <row r="106" spans="2:5">
      <c r="B106" s="112"/>
      <c r="C106" s="54" t="s">
        <v>185</v>
      </c>
      <c r="D106" s="69">
        <v>6</v>
      </c>
      <c r="E106" s="68">
        <v>0</v>
      </c>
    </row>
    <row r="107" spans="2:5">
      <c r="B107" s="112"/>
      <c r="C107" s="54" t="s">
        <v>186</v>
      </c>
      <c r="D107" s="69">
        <v>1</v>
      </c>
      <c r="E107" s="68">
        <v>0</v>
      </c>
    </row>
    <row r="108" spans="2:5">
      <c r="B108" s="112"/>
      <c r="C108" s="54" t="s">
        <v>189</v>
      </c>
      <c r="D108" s="69">
        <v>6</v>
      </c>
      <c r="E108" s="68">
        <v>0</v>
      </c>
    </row>
    <row r="109" spans="2:5">
      <c r="B109" s="112"/>
      <c r="C109" s="54" t="s">
        <v>191</v>
      </c>
      <c r="D109" s="69">
        <v>2</v>
      </c>
      <c r="E109" s="68">
        <v>0</v>
      </c>
    </row>
    <row r="110" spans="2:5">
      <c r="B110" s="112"/>
      <c r="C110" s="54" t="s">
        <v>192</v>
      </c>
      <c r="D110" s="69">
        <v>2</v>
      </c>
      <c r="E110" s="68">
        <v>0</v>
      </c>
    </row>
    <row r="111" spans="2:5">
      <c r="B111" s="113"/>
      <c r="C111" s="74" t="s">
        <v>304</v>
      </c>
      <c r="D111" s="80">
        <v>23</v>
      </c>
      <c r="E111" s="76">
        <v>1E-3</v>
      </c>
    </row>
    <row r="112" spans="2:5">
      <c r="B112" s="111" t="s">
        <v>80</v>
      </c>
      <c r="C112" s="54" t="s">
        <v>196</v>
      </c>
      <c r="D112" s="69">
        <v>3</v>
      </c>
      <c r="E112" s="68">
        <v>0</v>
      </c>
    </row>
    <row r="113" spans="2:5">
      <c r="B113" s="112"/>
      <c r="C113" s="54" t="s">
        <v>174</v>
      </c>
      <c r="D113" s="69">
        <v>3</v>
      </c>
      <c r="E113" s="68">
        <v>0</v>
      </c>
    </row>
    <row r="114" spans="2:5">
      <c r="B114" s="112"/>
      <c r="C114" s="54" t="s">
        <v>176</v>
      </c>
      <c r="D114" s="69">
        <v>6</v>
      </c>
      <c r="E114" s="68">
        <v>0</v>
      </c>
    </row>
    <row r="115" spans="2:5">
      <c r="B115" s="112"/>
      <c r="C115" s="54" t="s">
        <v>177</v>
      </c>
      <c r="D115" s="69">
        <v>1</v>
      </c>
      <c r="E115" s="68">
        <v>0</v>
      </c>
    </row>
    <row r="116" spans="2:5">
      <c r="B116" s="112"/>
      <c r="C116" s="54" t="s">
        <v>180</v>
      </c>
      <c r="D116" s="69">
        <v>1</v>
      </c>
      <c r="E116" s="68">
        <v>0</v>
      </c>
    </row>
    <row r="117" spans="2:5">
      <c r="B117" s="112"/>
      <c r="C117" s="54" t="s">
        <v>185</v>
      </c>
      <c r="D117" s="69">
        <v>1</v>
      </c>
      <c r="E117" s="68">
        <v>0</v>
      </c>
    </row>
    <row r="118" spans="2:5">
      <c r="B118" s="112"/>
      <c r="C118" s="54" t="s">
        <v>186</v>
      </c>
      <c r="D118" s="69">
        <v>1</v>
      </c>
      <c r="E118" s="68">
        <v>0</v>
      </c>
    </row>
    <row r="119" spans="2:5">
      <c r="B119" s="112"/>
      <c r="C119" s="54" t="s">
        <v>189</v>
      </c>
      <c r="D119" s="69">
        <v>10</v>
      </c>
      <c r="E119" s="68">
        <v>0</v>
      </c>
    </row>
    <row r="120" spans="2:5">
      <c r="B120" s="112"/>
      <c r="C120" s="54" t="s">
        <v>192</v>
      </c>
      <c r="D120" s="69">
        <v>3</v>
      </c>
      <c r="E120" s="68">
        <v>0</v>
      </c>
    </row>
    <row r="121" spans="2:5">
      <c r="B121" s="112"/>
      <c r="C121" s="54" t="s">
        <v>193</v>
      </c>
      <c r="D121" s="69">
        <v>1</v>
      </c>
      <c r="E121" s="68">
        <v>0</v>
      </c>
    </row>
    <row r="122" spans="2:5">
      <c r="B122" s="113"/>
      <c r="C122" s="74" t="s">
        <v>304</v>
      </c>
      <c r="D122" s="80">
        <v>30</v>
      </c>
      <c r="E122" s="76">
        <v>1E-3</v>
      </c>
    </row>
    <row r="123" spans="2:5">
      <c r="B123" s="111" t="s">
        <v>48</v>
      </c>
      <c r="C123" s="54" t="s">
        <v>169</v>
      </c>
      <c r="D123" s="69">
        <v>20</v>
      </c>
      <c r="E123" s="68">
        <v>1E-3</v>
      </c>
    </row>
    <row r="124" spans="2:5">
      <c r="B124" s="112"/>
      <c r="C124" s="54" t="s">
        <v>170</v>
      </c>
      <c r="D124" s="69">
        <v>27</v>
      </c>
      <c r="E124" s="68">
        <v>1E-3</v>
      </c>
    </row>
    <row r="125" spans="2:5">
      <c r="B125" s="112"/>
      <c r="C125" s="54" t="s">
        <v>171</v>
      </c>
      <c r="D125" s="69">
        <v>20</v>
      </c>
      <c r="E125" s="68">
        <v>1E-3</v>
      </c>
    </row>
    <row r="126" spans="2:5">
      <c r="B126" s="112"/>
      <c r="C126" s="54" t="s">
        <v>196</v>
      </c>
      <c r="D126" s="69">
        <v>1</v>
      </c>
      <c r="E126" s="68">
        <v>0</v>
      </c>
    </row>
    <row r="127" spans="2:5">
      <c r="B127" s="112"/>
      <c r="C127" s="54" t="s">
        <v>172</v>
      </c>
      <c r="D127" s="69">
        <v>10</v>
      </c>
      <c r="E127" s="68">
        <v>0</v>
      </c>
    </row>
    <row r="128" spans="2:5">
      <c r="B128" s="112"/>
      <c r="C128" s="54" t="s">
        <v>173</v>
      </c>
      <c r="D128" s="69">
        <v>4</v>
      </c>
      <c r="E128" s="68">
        <v>0</v>
      </c>
    </row>
    <row r="129" spans="2:5">
      <c r="B129" s="112"/>
      <c r="C129" s="54" t="s">
        <v>197</v>
      </c>
      <c r="D129" s="69">
        <v>11</v>
      </c>
      <c r="E129" s="68">
        <v>0</v>
      </c>
    </row>
    <row r="130" spans="2:5">
      <c r="B130" s="112"/>
      <c r="C130" s="54" t="s">
        <v>208</v>
      </c>
      <c r="D130" s="69">
        <v>1</v>
      </c>
      <c r="E130" s="68">
        <v>0</v>
      </c>
    </row>
    <row r="131" spans="2:5">
      <c r="B131" s="112"/>
      <c r="C131" s="54" t="s">
        <v>174</v>
      </c>
      <c r="D131" s="69">
        <v>69</v>
      </c>
      <c r="E131" s="68">
        <v>3.0000000000000001E-3</v>
      </c>
    </row>
    <row r="132" spans="2:5">
      <c r="B132" s="112"/>
      <c r="C132" s="54" t="s">
        <v>175</v>
      </c>
      <c r="D132" s="69">
        <v>3</v>
      </c>
      <c r="E132" s="68">
        <v>0</v>
      </c>
    </row>
    <row r="133" spans="2:5">
      <c r="B133" s="112"/>
      <c r="C133" s="54" t="s">
        <v>278</v>
      </c>
      <c r="D133" s="69">
        <v>2</v>
      </c>
      <c r="E133" s="68">
        <v>0</v>
      </c>
    </row>
    <row r="134" spans="2:5">
      <c r="B134" s="112"/>
      <c r="C134" s="54" t="s">
        <v>176</v>
      </c>
      <c r="D134" s="69">
        <v>121</v>
      </c>
      <c r="E134" s="68">
        <v>5.0000000000000001E-3</v>
      </c>
    </row>
    <row r="135" spans="2:5">
      <c r="B135" s="112"/>
      <c r="C135" s="54" t="s">
        <v>177</v>
      </c>
      <c r="D135" s="69">
        <v>44</v>
      </c>
      <c r="E135" s="68">
        <v>2E-3</v>
      </c>
    </row>
    <row r="136" spans="2:5">
      <c r="B136" s="112"/>
      <c r="C136" s="54" t="s">
        <v>210</v>
      </c>
      <c r="D136" s="69">
        <v>1</v>
      </c>
      <c r="E136" s="68">
        <v>0</v>
      </c>
    </row>
    <row r="137" spans="2:5">
      <c r="B137" s="112"/>
      <c r="C137" s="54" t="s">
        <v>194</v>
      </c>
      <c r="D137" s="69">
        <v>12</v>
      </c>
      <c r="E137" s="68">
        <v>0</v>
      </c>
    </row>
    <row r="138" spans="2:5">
      <c r="B138" s="112"/>
      <c r="C138" s="54" t="s">
        <v>198</v>
      </c>
      <c r="D138" s="69">
        <v>5</v>
      </c>
      <c r="E138" s="68">
        <v>0</v>
      </c>
    </row>
    <row r="139" spans="2:5">
      <c r="B139" s="112"/>
      <c r="C139" s="54" t="s">
        <v>199</v>
      </c>
      <c r="D139" s="69">
        <v>6</v>
      </c>
      <c r="E139" s="68">
        <v>0</v>
      </c>
    </row>
    <row r="140" spans="2:5">
      <c r="B140" s="112"/>
      <c r="C140" s="54" t="s">
        <v>204</v>
      </c>
      <c r="D140" s="69">
        <v>7</v>
      </c>
      <c r="E140" s="68">
        <v>0</v>
      </c>
    </row>
    <row r="141" spans="2:5">
      <c r="B141" s="112"/>
      <c r="C141" s="54" t="s">
        <v>178</v>
      </c>
      <c r="D141" s="69">
        <v>4</v>
      </c>
      <c r="E141" s="68">
        <v>0</v>
      </c>
    </row>
    <row r="142" spans="2:5">
      <c r="B142" s="112"/>
      <c r="C142" s="54" t="s">
        <v>200</v>
      </c>
      <c r="D142" s="69">
        <v>20</v>
      </c>
      <c r="E142" s="68">
        <v>1E-3</v>
      </c>
    </row>
    <row r="143" spans="2:5">
      <c r="B143" s="112"/>
      <c r="C143" s="54" t="s">
        <v>179</v>
      </c>
      <c r="D143" s="69">
        <v>9</v>
      </c>
      <c r="E143" s="68">
        <v>0</v>
      </c>
    </row>
    <row r="144" spans="2:5">
      <c r="B144" s="112"/>
      <c r="C144" s="54" t="s">
        <v>205</v>
      </c>
      <c r="D144" s="69">
        <v>6</v>
      </c>
      <c r="E144" s="68">
        <v>0</v>
      </c>
    </row>
    <row r="145" spans="2:5">
      <c r="B145" s="112"/>
      <c r="C145" s="54" t="s">
        <v>180</v>
      </c>
      <c r="D145" s="67">
        <v>1632</v>
      </c>
      <c r="E145" s="68">
        <v>6.7000000000000004E-2</v>
      </c>
    </row>
    <row r="146" spans="2:5">
      <c r="B146" s="112"/>
      <c r="C146" s="54" t="s">
        <v>181</v>
      </c>
      <c r="D146" s="69">
        <v>20</v>
      </c>
      <c r="E146" s="68">
        <v>1E-3</v>
      </c>
    </row>
    <row r="147" spans="2:5">
      <c r="B147" s="112"/>
      <c r="C147" s="54" t="s">
        <v>202</v>
      </c>
      <c r="D147" s="69">
        <v>3</v>
      </c>
      <c r="E147" s="68">
        <v>0</v>
      </c>
    </row>
    <row r="148" spans="2:5">
      <c r="B148" s="112"/>
      <c r="C148" s="54" t="s">
        <v>203</v>
      </c>
      <c r="D148" s="69">
        <v>1</v>
      </c>
      <c r="E148" s="68">
        <v>0</v>
      </c>
    </row>
    <row r="149" spans="2:5">
      <c r="B149" s="112"/>
      <c r="C149" s="54" t="s">
        <v>182</v>
      </c>
      <c r="D149" s="69">
        <v>17</v>
      </c>
      <c r="E149" s="68">
        <v>1E-3</v>
      </c>
    </row>
    <row r="150" spans="2:5">
      <c r="B150" s="112"/>
      <c r="C150" s="54" t="s">
        <v>184</v>
      </c>
      <c r="D150" s="69">
        <v>13</v>
      </c>
      <c r="E150" s="68">
        <v>1E-3</v>
      </c>
    </row>
    <row r="151" spans="2:5">
      <c r="B151" s="112"/>
      <c r="C151" s="54" t="s">
        <v>206</v>
      </c>
      <c r="D151" s="69">
        <v>11</v>
      </c>
      <c r="E151" s="68">
        <v>0</v>
      </c>
    </row>
    <row r="152" spans="2:5">
      <c r="B152" s="112"/>
      <c r="C152" s="54" t="s">
        <v>185</v>
      </c>
      <c r="D152" s="69">
        <v>220</v>
      </c>
      <c r="E152" s="68">
        <v>8.9999999999999993E-3</v>
      </c>
    </row>
    <row r="153" spans="2:5">
      <c r="B153" s="112"/>
      <c r="C153" s="54" t="s">
        <v>186</v>
      </c>
      <c r="D153" s="69">
        <v>112</v>
      </c>
      <c r="E153" s="68">
        <v>5.0000000000000001E-3</v>
      </c>
    </row>
    <row r="154" spans="2:5">
      <c r="B154" s="112"/>
      <c r="C154" s="54" t="s">
        <v>207</v>
      </c>
      <c r="D154" s="69">
        <v>15</v>
      </c>
      <c r="E154" s="68">
        <v>1E-3</v>
      </c>
    </row>
    <row r="155" spans="2:5">
      <c r="B155" s="112"/>
      <c r="C155" s="54" t="s">
        <v>187</v>
      </c>
      <c r="D155" s="69">
        <v>155</v>
      </c>
      <c r="E155" s="68">
        <v>6.0000000000000001E-3</v>
      </c>
    </row>
    <row r="156" spans="2:5">
      <c r="B156" s="112"/>
      <c r="C156" s="54" t="s">
        <v>211</v>
      </c>
      <c r="D156" s="69">
        <v>2</v>
      </c>
      <c r="E156" s="68">
        <v>0</v>
      </c>
    </row>
    <row r="157" spans="2:5">
      <c r="B157" s="112"/>
      <c r="C157" s="54" t="s">
        <v>188</v>
      </c>
      <c r="D157" s="69">
        <v>40</v>
      </c>
      <c r="E157" s="68">
        <v>2E-3</v>
      </c>
    </row>
    <row r="158" spans="2:5">
      <c r="B158" s="112"/>
      <c r="C158" s="54" t="s">
        <v>189</v>
      </c>
      <c r="D158" s="69">
        <v>102</v>
      </c>
      <c r="E158" s="68">
        <v>4.0000000000000001E-3</v>
      </c>
    </row>
    <row r="159" spans="2:5">
      <c r="B159" s="112"/>
      <c r="C159" s="54" t="s">
        <v>190</v>
      </c>
      <c r="D159" s="69">
        <v>24</v>
      </c>
      <c r="E159" s="68">
        <v>1E-3</v>
      </c>
    </row>
    <row r="160" spans="2:5">
      <c r="B160" s="112"/>
      <c r="C160" s="54" t="s">
        <v>191</v>
      </c>
      <c r="D160" s="69">
        <v>174</v>
      </c>
      <c r="E160" s="68">
        <v>7.0000000000000001E-3</v>
      </c>
    </row>
    <row r="161" spans="2:5">
      <c r="B161" s="112"/>
      <c r="C161" s="54" t="s">
        <v>192</v>
      </c>
      <c r="D161" s="69">
        <v>80</v>
      </c>
      <c r="E161" s="68">
        <v>3.0000000000000001E-3</v>
      </c>
    </row>
    <row r="162" spans="2:5">
      <c r="B162" s="112"/>
      <c r="C162" s="54" t="s">
        <v>195</v>
      </c>
      <c r="D162" s="69">
        <v>3</v>
      </c>
      <c r="E162" s="68">
        <v>0</v>
      </c>
    </row>
    <row r="163" spans="2:5">
      <c r="B163" s="112"/>
      <c r="C163" s="54" t="s">
        <v>193</v>
      </c>
      <c r="D163" s="69">
        <v>12</v>
      </c>
      <c r="E163" s="68">
        <v>0</v>
      </c>
    </row>
    <row r="164" spans="2:5">
      <c r="B164" s="113"/>
      <c r="C164" s="74" t="s">
        <v>304</v>
      </c>
      <c r="D164" s="80">
        <v>3039</v>
      </c>
      <c r="E164" s="76">
        <v>0.125</v>
      </c>
    </row>
    <row r="165" spans="2:5">
      <c r="B165" s="111" t="s">
        <v>95</v>
      </c>
      <c r="C165" s="54" t="s">
        <v>189</v>
      </c>
      <c r="D165" s="69">
        <v>1</v>
      </c>
      <c r="E165" s="68">
        <v>0</v>
      </c>
    </row>
    <row r="166" spans="2:5">
      <c r="B166" s="113"/>
      <c r="C166" s="74" t="s">
        <v>304</v>
      </c>
      <c r="D166" s="80">
        <v>1</v>
      </c>
      <c r="E166" s="76">
        <v>0</v>
      </c>
    </row>
    <row r="167" spans="2:5">
      <c r="B167" s="111" t="s">
        <v>53</v>
      </c>
      <c r="C167" s="54" t="s">
        <v>169</v>
      </c>
      <c r="D167" s="69">
        <v>4</v>
      </c>
      <c r="E167" s="68">
        <v>0</v>
      </c>
    </row>
    <row r="168" spans="2:5">
      <c r="B168" s="112"/>
      <c r="C168" s="54" t="s">
        <v>170</v>
      </c>
      <c r="D168" s="69">
        <v>8</v>
      </c>
      <c r="E168" s="68">
        <v>0</v>
      </c>
    </row>
    <row r="169" spans="2:5">
      <c r="B169" s="112"/>
      <c r="C169" s="54" t="s">
        <v>171</v>
      </c>
      <c r="D169" s="69">
        <v>17</v>
      </c>
      <c r="E169" s="68">
        <v>1E-3</v>
      </c>
    </row>
    <row r="170" spans="2:5">
      <c r="B170" s="112"/>
      <c r="C170" s="54" t="s">
        <v>196</v>
      </c>
      <c r="D170" s="69">
        <v>4</v>
      </c>
      <c r="E170" s="68">
        <v>0</v>
      </c>
    </row>
    <row r="171" spans="2:5">
      <c r="B171" s="112"/>
      <c r="C171" s="54" t="s">
        <v>173</v>
      </c>
      <c r="D171" s="69">
        <v>2</v>
      </c>
      <c r="E171" s="68">
        <v>0</v>
      </c>
    </row>
    <row r="172" spans="2:5">
      <c r="B172" s="112"/>
      <c r="C172" s="54" t="s">
        <v>197</v>
      </c>
      <c r="D172" s="69">
        <v>2</v>
      </c>
      <c r="E172" s="68">
        <v>0</v>
      </c>
    </row>
    <row r="173" spans="2:5">
      <c r="B173" s="112"/>
      <c r="C173" s="54" t="s">
        <v>208</v>
      </c>
      <c r="D173" s="69">
        <v>1</v>
      </c>
      <c r="E173" s="68">
        <v>0</v>
      </c>
    </row>
    <row r="174" spans="2:5">
      <c r="B174" s="112"/>
      <c r="C174" s="54" t="s">
        <v>174</v>
      </c>
      <c r="D174" s="69">
        <v>56</v>
      </c>
      <c r="E174" s="68">
        <v>2E-3</v>
      </c>
    </row>
    <row r="175" spans="2:5">
      <c r="B175" s="112"/>
      <c r="C175" s="54" t="s">
        <v>176</v>
      </c>
      <c r="D175" s="69">
        <v>47</v>
      </c>
      <c r="E175" s="68">
        <v>2E-3</v>
      </c>
    </row>
    <row r="176" spans="2:5">
      <c r="B176" s="112"/>
      <c r="C176" s="54" t="s">
        <v>177</v>
      </c>
      <c r="D176" s="69">
        <v>7</v>
      </c>
      <c r="E176" s="68">
        <v>0</v>
      </c>
    </row>
    <row r="177" spans="2:5">
      <c r="B177" s="112"/>
      <c r="C177" s="54" t="s">
        <v>199</v>
      </c>
      <c r="D177" s="69">
        <v>1</v>
      </c>
      <c r="E177" s="68">
        <v>0</v>
      </c>
    </row>
    <row r="178" spans="2:5">
      <c r="B178" s="112"/>
      <c r="C178" s="54" t="s">
        <v>204</v>
      </c>
      <c r="D178" s="69">
        <v>2</v>
      </c>
      <c r="E178" s="68">
        <v>0</v>
      </c>
    </row>
    <row r="179" spans="2:5">
      <c r="B179" s="112"/>
      <c r="C179" s="54" t="s">
        <v>178</v>
      </c>
      <c r="D179" s="69">
        <v>1</v>
      </c>
      <c r="E179" s="68">
        <v>0</v>
      </c>
    </row>
    <row r="180" spans="2:5">
      <c r="B180" s="112"/>
      <c r="C180" s="54" t="s">
        <v>179</v>
      </c>
      <c r="D180" s="69">
        <v>5</v>
      </c>
      <c r="E180" s="68">
        <v>0</v>
      </c>
    </row>
    <row r="181" spans="2:5">
      <c r="B181" s="112"/>
      <c r="C181" s="54" t="s">
        <v>205</v>
      </c>
      <c r="D181" s="69">
        <v>1</v>
      </c>
      <c r="E181" s="68">
        <v>0</v>
      </c>
    </row>
    <row r="182" spans="2:5">
      <c r="B182" s="112"/>
      <c r="C182" s="54" t="s">
        <v>180</v>
      </c>
      <c r="D182" s="69">
        <v>93</v>
      </c>
      <c r="E182" s="68">
        <v>4.0000000000000001E-3</v>
      </c>
    </row>
    <row r="183" spans="2:5">
      <c r="B183" s="112"/>
      <c r="C183" s="54" t="s">
        <v>181</v>
      </c>
      <c r="D183" s="69">
        <v>5</v>
      </c>
      <c r="E183" s="68">
        <v>0</v>
      </c>
    </row>
    <row r="184" spans="2:5">
      <c r="B184" s="112"/>
      <c r="C184" s="54" t="s">
        <v>203</v>
      </c>
      <c r="D184" s="69">
        <v>1</v>
      </c>
      <c r="E184" s="68">
        <v>0</v>
      </c>
    </row>
    <row r="185" spans="2:5">
      <c r="B185" s="112"/>
      <c r="C185" s="54" t="s">
        <v>182</v>
      </c>
      <c r="D185" s="69">
        <v>49</v>
      </c>
      <c r="E185" s="68">
        <v>2E-3</v>
      </c>
    </row>
    <row r="186" spans="2:5">
      <c r="B186" s="112"/>
      <c r="C186" s="54" t="s">
        <v>183</v>
      </c>
      <c r="D186" s="69">
        <v>2</v>
      </c>
      <c r="E186" s="68">
        <v>0</v>
      </c>
    </row>
    <row r="187" spans="2:5">
      <c r="B187" s="112"/>
      <c r="C187" s="54" t="s">
        <v>184</v>
      </c>
      <c r="D187" s="69">
        <v>11</v>
      </c>
      <c r="E187" s="68">
        <v>0</v>
      </c>
    </row>
    <row r="188" spans="2:5">
      <c r="B188" s="112"/>
      <c r="C188" s="54" t="s">
        <v>209</v>
      </c>
      <c r="D188" s="69">
        <v>1</v>
      </c>
      <c r="E188" s="68">
        <v>0</v>
      </c>
    </row>
    <row r="189" spans="2:5">
      <c r="B189" s="112"/>
      <c r="C189" s="54" t="s">
        <v>185</v>
      </c>
      <c r="D189" s="69">
        <v>53</v>
      </c>
      <c r="E189" s="68">
        <v>2E-3</v>
      </c>
    </row>
    <row r="190" spans="2:5">
      <c r="B190" s="112"/>
      <c r="C190" s="54" t="s">
        <v>186</v>
      </c>
      <c r="D190" s="69">
        <v>17</v>
      </c>
      <c r="E190" s="68">
        <v>1E-3</v>
      </c>
    </row>
    <row r="191" spans="2:5">
      <c r="B191" s="112"/>
      <c r="C191" s="54" t="s">
        <v>207</v>
      </c>
      <c r="D191" s="69">
        <v>2</v>
      </c>
      <c r="E191" s="68">
        <v>0</v>
      </c>
    </row>
    <row r="192" spans="2:5">
      <c r="B192" s="112"/>
      <c r="C192" s="54" t="s">
        <v>187</v>
      </c>
      <c r="D192" s="69">
        <v>12</v>
      </c>
      <c r="E192" s="68">
        <v>0</v>
      </c>
    </row>
    <row r="193" spans="2:5">
      <c r="B193" s="112"/>
      <c r="C193" s="54" t="s">
        <v>188</v>
      </c>
      <c r="D193" s="69">
        <v>14</v>
      </c>
      <c r="E193" s="68">
        <v>1E-3</v>
      </c>
    </row>
    <row r="194" spans="2:5">
      <c r="B194" s="112"/>
      <c r="C194" s="54" t="s">
        <v>189</v>
      </c>
      <c r="D194" s="69">
        <v>81</v>
      </c>
      <c r="E194" s="68">
        <v>3.0000000000000001E-3</v>
      </c>
    </row>
    <row r="195" spans="2:5">
      <c r="B195" s="112"/>
      <c r="C195" s="54" t="s">
        <v>190</v>
      </c>
      <c r="D195" s="69">
        <v>8</v>
      </c>
      <c r="E195" s="68">
        <v>0</v>
      </c>
    </row>
    <row r="196" spans="2:5">
      <c r="B196" s="112"/>
      <c r="C196" s="54" t="s">
        <v>191</v>
      </c>
      <c r="D196" s="69">
        <v>12</v>
      </c>
      <c r="E196" s="68">
        <v>0</v>
      </c>
    </row>
    <row r="197" spans="2:5">
      <c r="B197" s="112"/>
      <c r="C197" s="54" t="s">
        <v>192</v>
      </c>
      <c r="D197" s="69">
        <v>30</v>
      </c>
      <c r="E197" s="68">
        <v>1E-3</v>
      </c>
    </row>
    <row r="198" spans="2:5">
      <c r="B198" s="112"/>
      <c r="C198" s="54" t="s">
        <v>195</v>
      </c>
      <c r="D198" s="69">
        <v>2</v>
      </c>
      <c r="E198" s="68">
        <v>0</v>
      </c>
    </row>
    <row r="199" spans="2:5">
      <c r="B199" s="112"/>
      <c r="C199" s="54" t="s">
        <v>193</v>
      </c>
      <c r="D199" s="69">
        <v>4</v>
      </c>
      <c r="E199" s="68">
        <v>0</v>
      </c>
    </row>
    <row r="200" spans="2:5">
      <c r="B200" s="113"/>
      <c r="C200" s="74" t="s">
        <v>304</v>
      </c>
      <c r="D200" s="80">
        <v>555</v>
      </c>
      <c r="E200" s="76">
        <v>2.3E-2</v>
      </c>
    </row>
    <row r="201" spans="2:5">
      <c r="B201" s="111" t="s">
        <v>49</v>
      </c>
      <c r="C201" s="54" t="s">
        <v>169</v>
      </c>
      <c r="D201" s="69">
        <v>12</v>
      </c>
      <c r="E201" s="68">
        <v>0</v>
      </c>
    </row>
    <row r="202" spans="2:5">
      <c r="B202" s="112"/>
      <c r="C202" s="54" t="s">
        <v>170</v>
      </c>
      <c r="D202" s="69">
        <v>16</v>
      </c>
      <c r="E202" s="68">
        <v>1E-3</v>
      </c>
    </row>
    <row r="203" spans="2:5">
      <c r="B203" s="112"/>
      <c r="C203" s="54" t="s">
        <v>171</v>
      </c>
      <c r="D203" s="69">
        <v>30</v>
      </c>
      <c r="E203" s="68">
        <v>1E-3</v>
      </c>
    </row>
    <row r="204" spans="2:5">
      <c r="B204" s="112"/>
      <c r="C204" s="54" t="s">
        <v>196</v>
      </c>
      <c r="D204" s="69">
        <v>4</v>
      </c>
      <c r="E204" s="68">
        <v>0</v>
      </c>
    </row>
    <row r="205" spans="2:5">
      <c r="B205" s="112"/>
      <c r="C205" s="54" t="s">
        <v>172</v>
      </c>
      <c r="D205" s="69">
        <v>8</v>
      </c>
      <c r="E205" s="68">
        <v>0</v>
      </c>
    </row>
    <row r="206" spans="2:5">
      <c r="B206" s="112"/>
      <c r="C206" s="54" t="s">
        <v>173</v>
      </c>
      <c r="D206" s="69">
        <v>15</v>
      </c>
      <c r="E206" s="68">
        <v>1E-3</v>
      </c>
    </row>
    <row r="207" spans="2:5">
      <c r="B207" s="112"/>
      <c r="C207" s="54" t="s">
        <v>197</v>
      </c>
      <c r="D207" s="69">
        <v>9</v>
      </c>
      <c r="E207" s="68">
        <v>0</v>
      </c>
    </row>
    <row r="208" spans="2:5">
      <c r="B208" s="112"/>
      <c r="C208" s="54" t="s">
        <v>208</v>
      </c>
      <c r="D208" s="69">
        <v>3</v>
      </c>
      <c r="E208" s="68">
        <v>0</v>
      </c>
    </row>
    <row r="209" spans="2:5">
      <c r="B209" s="112"/>
      <c r="C209" s="54" t="s">
        <v>174</v>
      </c>
      <c r="D209" s="69">
        <v>125</v>
      </c>
      <c r="E209" s="68">
        <v>5.0000000000000001E-3</v>
      </c>
    </row>
    <row r="210" spans="2:5">
      <c r="B210" s="112"/>
      <c r="C210" s="54" t="s">
        <v>175</v>
      </c>
      <c r="D210" s="69">
        <v>1</v>
      </c>
      <c r="E210" s="68">
        <v>0</v>
      </c>
    </row>
    <row r="211" spans="2:5">
      <c r="B211" s="112"/>
      <c r="C211" s="54" t="s">
        <v>176</v>
      </c>
      <c r="D211" s="69">
        <v>248</v>
      </c>
      <c r="E211" s="68">
        <v>0.01</v>
      </c>
    </row>
    <row r="212" spans="2:5">
      <c r="B212" s="112"/>
      <c r="C212" s="54" t="s">
        <v>177</v>
      </c>
      <c r="D212" s="69">
        <v>43</v>
      </c>
      <c r="E212" s="68">
        <v>2E-3</v>
      </c>
    </row>
    <row r="213" spans="2:5">
      <c r="B213" s="112"/>
      <c r="C213" s="54" t="s">
        <v>210</v>
      </c>
      <c r="D213" s="69">
        <v>1</v>
      </c>
      <c r="E213" s="68">
        <v>0</v>
      </c>
    </row>
    <row r="214" spans="2:5">
      <c r="B214" s="112"/>
      <c r="C214" s="54" t="s">
        <v>194</v>
      </c>
      <c r="D214" s="69">
        <v>7</v>
      </c>
      <c r="E214" s="68">
        <v>0</v>
      </c>
    </row>
    <row r="215" spans="2:5">
      <c r="B215" s="112"/>
      <c r="C215" s="54" t="s">
        <v>198</v>
      </c>
      <c r="D215" s="69">
        <v>2</v>
      </c>
      <c r="E215" s="68">
        <v>0</v>
      </c>
    </row>
    <row r="216" spans="2:5">
      <c r="B216" s="112"/>
      <c r="C216" s="54" t="s">
        <v>199</v>
      </c>
      <c r="D216" s="69">
        <v>3</v>
      </c>
      <c r="E216" s="68">
        <v>0</v>
      </c>
    </row>
    <row r="217" spans="2:5">
      <c r="B217" s="112"/>
      <c r="C217" s="54" t="s">
        <v>204</v>
      </c>
      <c r="D217" s="69">
        <v>22</v>
      </c>
      <c r="E217" s="68">
        <v>1E-3</v>
      </c>
    </row>
    <row r="218" spans="2:5">
      <c r="B218" s="112"/>
      <c r="C218" s="54" t="s">
        <v>178</v>
      </c>
      <c r="D218" s="69">
        <v>9</v>
      </c>
      <c r="E218" s="68">
        <v>0</v>
      </c>
    </row>
    <row r="219" spans="2:5">
      <c r="B219" s="112"/>
      <c r="C219" s="54" t="s">
        <v>200</v>
      </c>
      <c r="D219" s="69">
        <v>15</v>
      </c>
      <c r="E219" s="68">
        <v>1E-3</v>
      </c>
    </row>
    <row r="220" spans="2:5">
      <c r="B220" s="112"/>
      <c r="C220" s="54" t="s">
        <v>179</v>
      </c>
      <c r="D220" s="69">
        <v>23</v>
      </c>
      <c r="E220" s="68">
        <v>1E-3</v>
      </c>
    </row>
    <row r="221" spans="2:5">
      <c r="B221" s="112"/>
      <c r="C221" s="54" t="s">
        <v>205</v>
      </c>
      <c r="D221" s="69">
        <v>4</v>
      </c>
      <c r="E221" s="68">
        <v>0</v>
      </c>
    </row>
    <row r="222" spans="2:5">
      <c r="B222" s="112"/>
      <c r="C222" s="54" t="s">
        <v>180</v>
      </c>
      <c r="D222" s="69">
        <v>276</v>
      </c>
      <c r="E222" s="68">
        <v>1.0999999999999999E-2</v>
      </c>
    </row>
    <row r="223" spans="2:5">
      <c r="B223" s="112"/>
      <c r="C223" s="54" t="s">
        <v>181</v>
      </c>
      <c r="D223" s="69">
        <v>18</v>
      </c>
      <c r="E223" s="68">
        <v>1E-3</v>
      </c>
    </row>
    <row r="224" spans="2:5">
      <c r="B224" s="112"/>
      <c r="C224" s="54" t="s">
        <v>202</v>
      </c>
      <c r="D224" s="69">
        <v>3</v>
      </c>
      <c r="E224" s="68">
        <v>0</v>
      </c>
    </row>
    <row r="225" spans="2:5">
      <c r="B225" s="112"/>
      <c r="C225" s="54" t="s">
        <v>203</v>
      </c>
      <c r="D225" s="69">
        <v>3</v>
      </c>
      <c r="E225" s="68">
        <v>0</v>
      </c>
    </row>
    <row r="226" spans="2:5">
      <c r="B226" s="112"/>
      <c r="C226" s="54" t="s">
        <v>182</v>
      </c>
      <c r="D226" s="69">
        <v>361</v>
      </c>
      <c r="E226" s="68">
        <v>1.4999999999999999E-2</v>
      </c>
    </row>
    <row r="227" spans="2:5">
      <c r="B227" s="112"/>
      <c r="C227" s="54" t="s">
        <v>183</v>
      </c>
      <c r="D227" s="69">
        <v>5</v>
      </c>
      <c r="E227" s="68">
        <v>0</v>
      </c>
    </row>
    <row r="228" spans="2:5">
      <c r="B228" s="112"/>
      <c r="C228" s="54" t="s">
        <v>184</v>
      </c>
      <c r="D228" s="69">
        <v>24</v>
      </c>
      <c r="E228" s="68">
        <v>1E-3</v>
      </c>
    </row>
    <row r="229" spans="2:5">
      <c r="B229" s="112"/>
      <c r="C229" s="54" t="s">
        <v>206</v>
      </c>
      <c r="D229" s="69">
        <v>12</v>
      </c>
      <c r="E229" s="68">
        <v>0</v>
      </c>
    </row>
    <row r="230" spans="2:5">
      <c r="B230" s="112"/>
      <c r="C230" s="54" t="s">
        <v>209</v>
      </c>
      <c r="D230" s="69">
        <v>6</v>
      </c>
      <c r="E230" s="68">
        <v>0</v>
      </c>
    </row>
    <row r="231" spans="2:5">
      <c r="B231" s="112"/>
      <c r="C231" s="54" t="s">
        <v>185</v>
      </c>
      <c r="D231" s="69">
        <v>214</v>
      </c>
      <c r="E231" s="68">
        <v>8.9999999999999993E-3</v>
      </c>
    </row>
    <row r="232" spans="2:5">
      <c r="B232" s="112"/>
      <c r="C232" s="54" t="s">
        <v>186</v>
      </c>
      <c r="D232" s="69">
        <v>71</v>
      </c>
      <c r="E232" s="68">
        <v>3.0000000000000001E-3</v>
      </c>
    </row>
    <row r="233" spans="2:5">
      <c r="B233" s="112"/>
      <c r="C233" s="54" t="s">
        <v>207</v>
      </c>
      <c r="D233" s="69">
        <v>1</v>
      </c>
      <c r="E233" s="68">
        <v>0</v>
      </c>
    </row>
    <row r="234" spans="2:5">
      <c r="B234" s="112"/>
      <c r="C234" s="54" t="s">
        <v>187</v>
      </c>
      <c r="D234" s="69">
        <v>47</v>
      </c>
      <c r="E234" s="68">
        <v>2E-3</v>
      </c>
    </row>
    <row r="235" spans="2:5">
      <c r="B235" s="112"/>
      <c r="C235" s="54" t="s">
        <v>211</v>
      </c>
      <c r="D235" s="69">
        <v>1</v>
      </c>
      <c r="E235" s="68">
        <v>0</v>
      </c>
    </row>
    <row r="236" spans="2:5">
      <c r="B236" s="112"/>
      <c r="C236" s="54" t="s">
        <v>188</v>
      </c>
      <c r="D236" s="69">
        <v>19</v>
      </c>
      <c r="E236" s="68">
        <v>1E-3</v>
      </c>
    </row>
    <row r="237" spans="2:5">
      <c r="B237" s="112"/>
      <c r="C237" s="54" t="s">
        <v>189</v>
      </c>
      <c r="D237" s="69">
        <v>191</v>
      </c>
      <c r="E237" s="68">
        <v>8.0000000000000002E-3</v>
      </c>
    </row>
    <row r="238" spans="2:5">
      <c r="B238" s="112"/>
      <c r="C238" s="54" t="s">
        <v>190</v>
      </c>
      <c r="D238" s="69">
        <v>126</v>
      </c>
      <c r="E238" s="68">
        <v>5.0000000000000001E-3</v>
      </c>
    </row>
    <row r="239" spans="2:5">
      <c r="B239" s="112"/>
      <c r="C239" s="54" t="s">
        <v>191</v>
      </c>
      <c r="D239" s="69">
        <v>58</v>
      </c>
      <c r="E239" s="68">
        <v>2E-3</v>
      </c>
    </row>
    <row r="240" spans="2:5">
      <c r="B240" s="112"/>
      <c r="C240" s="54" t="s">
        <v>192</v>
      </c>
      <c r="D240" s="69">
        <v>119</v>
      </c>
      <c r="E240" s="68">
        <v>5.0000000000000001E-3</v>
      </c>
    </row>
    <row r="241" spans="2:5">
      <c r="B241" s="112"/>
      <c r="C241" s="54" t="s">
        <v>195</v>
      </c>
      <c r="D241" s="69">
        <v>8</v>
      </c>
      <c r="E241" s="68">
        <v>0</v>
      </c>
    </row>
    <row r="242" spans="2:5">
      <c r="B242" s="112"/>
      <c r="C242" s="54" t="s">
        <v>193</v>
      </c>
      <c r="D242" s="69">
        <v>21</v>
      </c>
      <c r="E242" s="68">
        <v>1E-3</v>
      </c>
    </row>
    <row r="243" spans="2:5">
      <c r="B243" s="113"/>
      <c r="C243" s="74" t="s">
        <v>304</v>
      </c>
      <c r="D243" s="80">
        <v>2184</v>
      </c>
      <c r="E243" s="76">
        <v>0.09</v>
      </c>
    </row>
    <row r="244" spans="2:5">
      <c r="B244" s="111" t="s">
        <v>88</v>
      </c>
      <c r="C244" s="54" t="s">
        <v>177</v>
      </c>
      <c r="D244" s="69">
        <v>1</v>
      </c>
      <c r="E244" s="68">
        <v>0</v>
      </c>
    </row>
    <row r="245" spans="2:5">
      <c r="B245" s="112"/>
      <c r="C245" s="54" t="s">
        <v>180</v>
      </c>
      <c r="D245" s="69">
        <v>3</v>
      </c>
      <c r="E245" s="68">
        <v>0</v>
      </c>
    </row>
    <row r="246" spans="2:5">
      <c r="B246" s="112"/>
      <c r="C246" s="54" t="s">
        <v>182</v>
      </c>
      <c r="D246" s="69">
        <v>2</v>
      </c>
      <c r="E246" s="68">
        <v>0</v>
      </c>
    </row>
    <row r="247" spans="2:5">
      <c r="B247" s="112"/>
      <c r="C247" s="54" t="s">
        <v>185</v>
      </c>
      <c r="D247" s="69">
        <v>3</v>
      </c>
      <c r="E247" s="68">
        <v>0</v>
      </c>
    </row>
    <row r="248" spans="2:5">
      <c r="B248" s="112"/>
      <c r="C248" s="54" t="s">
        <v>186</v>
      </c>
      <c r="D248" s="69">
        <v>2</v>
      </c>
      <c r="E248" s="68">
        <v>0</v>
      </c>
    </row>
    <row r="249" spans="2:5">
      <c r="B249" s="112"/>
      <c r="C249" s="54" t="s">
        <v>191</v>
      </c>
      <c r="D249" s="69">
        <v>1</v>
      </c>
      <c r="E249" s="68">
        <v>0</v>
      </c>
    </row>
    <row r="250" spans="2:5">
      <c r="B250" s="113"/>
      <c r="C250" s="74" t="s">
        <v>304</v>
      </c>
      <c r="D250" s="80">
        <v>12</v>
      </c>
      <c r="E250" s="76">
        <v>0</v>
      </c>
    </row>
    <row r="251" spans="2:5">
      <c r="B251" s="111" t="s">
        <v>69</v>
      </c>
      <c r="C251" s="54" t="s">
        <v>170</v>
      </c>
      <c r="D251" s="69">
        <v>3</v>
      </c>
      <c r="E251" s="68">
        <v>0</v>
      </c>
    </row>
    <row r="252" spans="2:5">
      <c r="B252" s="112"/>
      <c r="C252" s="54" t="s">
        <v>196</v>
      </c>
      <c r="D252" s="69">
        <v>1</v>
      </c>
      <c r="E252" s="68">
        <v>0</v>
      </c>
    </row>
    <row r="253" spans="2:5">
      <c r="B253" s="112"/>
      <c r="C253" s="54" t="s">
        <v>172</v>
      </c>
      <c r="D253" s="69">
        <v>1</v>
      </c>
      <c r="E253" s="68">
        <v>0</v>
      </c>
    </row>
    <row r="254" spans="2:5">
      <c r="B254" s="112"/>
      <c r="C254" s="54" t="s">
        <v>173</v>
      </c>
      <c r="D254" s="69">
        <v>1</v>
      </c>
      <c r="E254" s="68">
        <v>0</v>
      </c>
    </row>
    <row r="255" spans="2:5">
      <c r="B255" s="112"/>
      <c r="C255" s="54" t="s">
        <v>197</v>
      </c>
      <c r="D255" s="69">
        <v>1</v>
      </c>
      <c r="E255" s="68">
        <v>0</v>
      </c>
    </row>
    <row r="256" spans="2:5">
      <c r="B256" s="112"/>
      <c r="C256" s="54" t="s">
        <v>174</v>
      </c>
      <c r="D256" s="69">
        <v>4</v>
      </c>
      <c r="E256" s="68">
        <v>0</v>
      </c>
    </row>
    <row r="257" spans="2:5">
      <c r="B257" s="112"/>
      <c r="C257" s="54" t="s">
        <v>278</v>
      </c>
      <c r="D257" s="69">
        <v>6</v>
      </c>
      <c r="E257" s="68">
        <v>0</v>
      </c>
    </row>
    <row r="258" spans="2:5">
      <c r="B258" s="112"/>
      <c r="C258" s="54" t="s">
        <v>176</v>
      </c>
      <c r="D258" s="69">
        <v>4</v>
      </c>
      <c r="E258" s="68">
        <v>0</v>
      </c>
    </row>
    <row r="259" spans="2:5">
      <c r="B259" s="112"/>
      <c r="C259" s="54" t="s">
        <v>177</v>
      </c>
      <c r="D259" s="69">
        <v>4</v>
      </c>
      <c r="E259" s="68">
        <v>0</v>
      </c>
    </row>
    <row r="260" spans="2:5">
      <c r="B260" s="112"/>
      <c r="C260" s="54" t="s">
        <v>204</v>
      </c>
      <c r="D260" s="69">
        <v>1</v>
      </c>
      <c r="E260" s="68">
        <v>0</v>
      </c>
    </row>
    <row r="261" spans="2:5">
      <c r="B261" s="112"/>
      <c r="C261" s="54" t="s">
        <v>180</v>
      </c>
      <c r="D261" s="69">
        <v>14</v>
      </c>
      <c r="E261" s="68">
        <v>1E-3</v>
      </c>
    </row>
    <row r="262" spans="2:5">
      <c r="B262" s="112"/>
      <c r="C262" s="54" t="s">
        <v>182</v>
      </c>
      <c r="D262" s="69">
        <v>3</v>
      </c>
      <c r="E262" s="68">
        <v>0</v>
      </c>
    </row>
    <row r="263" spans="2:5">
      <c r="B263" s="112"/>
      <c r="C263" s="54" t="s">
        <v>185</v>
      </c>
      <c r="D263" s="69">
        <v>4</v>
      </c>
      <c r="E263" s="68">
        <v>0</v>
      </c>
    </row>
    <row r="264" spans="2:5">
      <c r="B264" s="112"/>
      <c r="C264" s="54" t="s">
        <v>186</v>
      </c>
      <c r="D264" s="69">
        <v>2</v>
      </c>
      <c r="E264" s="68">
        <v>0</v>
      </c>
    </row>
    <row r="265" spans="2:5">
      <c r="B265" s="112"/>
      <c r="C265" s="54" t="s">
        <v>207</v>
      </c>
      <c r="D265" s="69">
        <v>1</v>
      </c>
      <c r="E265" s="68">
        <v>0</v>
      </c>
    </row>
    <row r="266" spans="2:5">
      <c r="B266" s="112"/>
      <c r="C266" s="54" t="s">
        <v>187</v>
      </c>
      <c r="D266" s="69">
        <v>1</v>
      </c>
      <c r="E266" s="68">
        <v>0</v>
      </c>
    </row>
    <row r="267" spans="2:5">
      <c r="B267" s="112"/>
      <c r="C267" s="54" t="s">
        <v>188</v>
      </c>
      <c r="D267" s="69">
        <v>1</v>
      </c>
      <c r="E267" s="68">
        <v>0</v>
      </c>
    </row>
    <row r="268" spans="2:5">
      <c r="B268" s="112"/>
      <c r="C268" s="54" t="s">
        <v>189</v>
      </c>
      <c r="D268" s="69">
        <v>7</v>
      </c>
      <c r="E268" s="68">
        <v>0</v>
      </c>
    </row>
    <row r="269" spans="2:5">
      <c r="B269" s="112"/>
      <c r="C269" s="54" t="s">
        <v>190</v>
      </c>
      <c r="D269" s="69">
        <v>2</v>
      </c>
      <c r="E269" s="68">
        <v>0</v>
      </c>
    </row>
    <row r="270" spans="2:5">
      <c r="B270" s="112"/>
      <c r="C270" s="54" t="s">
        <v>191</v>
      </c>
      <c r="D270" s="69">
        <v>1</v>
      </c>
      <c r="E270" s="68">
        <v>0</v>
      </c>
    </row>
    <row r="271" spans="2:5">
      <c r="B271" s="112"/>
      <c r="C271" s="54" t="s">
        <v>192</v>
      </c>
      <c r="D271" s="69">
        <v>1</v>
      </c>
      <c r="E271" s="68">
        <v>0</v>
      </c>
    </row>
    <row r="272" spans="2:5">
      <c r="B272" s="113"/>
      <c r="C272" s="74" t="s">
        <v>304</v>
      </c>
      <c r="D272" s="80">
        <v>63</v>
      </c>
      <c r="E272" s="76">
        <v>3.0000000000000001E-3</v>
      </c>
    </row>
    <row r="273" spans="2:5">
      <c r="B273" s="111" t="s">
        <v>60</v>
      </c>
      <c r="C273" s="54" t="s">
        <v>169</v>
      </c>
      <c r="D273" s="69">
        <v>2</v>
      </c>
      <c r="E273" s="68">
        <v>0</v>
      </c>
    </row>
    <row r="274" spans="2:5">
      <c r="B274" s="112"/>
      <c r="C274" s="54" t="s">
        <v>170</v>
      </c>
      <c r="D274" s="69">
        <v>2</v>
      </c>
      <c r="E274" s="68">
        <v>0</v>
      </c>
    </row>
    <row r="275" spans="2:5">
      <c r="B275" s="112"/>
      <c r="C275" s="54" t="s">
        <v>171</v>
      </c>
      <c r="D275" s="69">
        <v>3</v>
      </c>
      <c r="E275" s="68">
        <v>0</v>
      </c>
    </row>
    <row r="276" spans="2:5">
      <c r="B276" s="112"/>
      <c r="C276" s="54" t="s">
        <v>196</v>
      </c>
      <c r="D276" s="69">
        <v>10</v>
      </c>
      <c r="E276" s="68">
        <v>0</v>
      </c>
    </row>
    <row r="277" spans="2:5">
      <c r="B277" s="112"/>
      <c r="C277" s="54" t="s">
        <v>173</v>
      </c>
      <c r="D277" s="69">
        <v>4</v>
      </c>
      <c r="E277" s="68">
        <v>0</v>
      </c>
    </row>
    <row r="278" spans="2:5">
      <c r="B278" s="112"/>
      <c r="C278" s="54" t="s">
        <v>174</v>
      </c>
      <c r="D278" s="69">
        <v>14</v>
      </c>
      <c r="E278" s="68">
        <v>1E-3</v>
      </c>
    </row>
    <row r="279" spans="2:5">
      <c r="B279" s="112"/>
      <c r="C279" s="54" t="s">
        <v>278</v>
      </c>
      <c r="D279" s="69">
        <v>5</v>
      </c>
      <c r="E279" s="68">
        <v>0</v>
      </c>
    </row>
    <row r="280" spans="2:5">
      <c r="B280" s="112"/>
      <c r="C280" s="54" t="s">
        <v>176</v>
      </c>
      <c r="D280" s="69">
        <v>36</v>
      </c>
      <c r="E280" s="68">
        <v>1E-3</v>
      </c>
    </row>
    <row r="281" spans="2:5">
      <c r="B281" s="112"/>
      <c r="C281" s="54" t="s">
        <v>177</v>
      </c>
      <c r="D281" s="69">
        <v>1</v>
      </c>
      <c r="E281" s="68">
        <v>0</v>
      </c>
    </row>
    <row r="282" spans="2:5">
      <c r="B282" s="112"/>
      <c r="C282" s="54" t="s">
        <v>194</v>
      </c>
      <c r="D282" s="69">
        <v>1</v>
      </c>
      <c r="E282" s="68">
        <v>0</v>
      </c>
    </row>
    <row r="283" spans="2:5">
      <c r="B283" s="112"/>
      <c r="C283" s="54" t="s">
        <v>204</v>
      </c>
      <c r="D283" s="69">
        <v>1</v>
      </c>
      <c r="E283" s="68">
        <v>0</v>
      </c>
    </row>
    <row r="284" spans="2:5">
      <c r="B284" s="112"/>
      <c r="C284" s="54" t="s">
        <v>178</v>
      </c>
      <c r="D284" s="69">
        <v>1</v>
      </c>
      <c r="E284" s="68">
        <v>0</v>
      </c>
    </row>
    <row r="285" spans="2:5">
      <c r="B285" s="112"/>
      <c r="C285" s="54" t="s">
        <v>200</v>
      </c>
      <c r="D285" s="69">
        <v>1</v>
      </c>
      <c r="E285" s="68">
        <v>0</v>
      </c>
    </row>
    <row r="286" spans="2:5">
      <c r="B286" s="112"/>
      <c r="C286" s="54" t="s">
        <v>179</v>
      </c>
      <c r="D286" s="69">
        <v>2</v>
      </c>
      <c r="E286" s="68">
        <v>0</v>
      </c>
    </row>
    <row r="287" spans="2:5">
      <c r="B287" s="112"/>
      <c r="C287" s="54" t="s">
        <v>180</v>
      </c>
      <c r="D287" s="69">
        <v>33</v>
      </c>
      <c r="E287" s="68">
        <v>1E-3</v>
      </c>
    </row>
    <row r="288" spans="2:5">
      <c r="B288" s="112"/>
      <c r="C288" s="54" t="s">
        <v>201</v>
      </c>
      <c r="D288" s="69">
        <v>3</v>
      </c>
      <c r="E288" s="68">
        <v>0</v>
      </c>
    </row>
    <row r="289" spans="2:5">
      <c r="B289" s="112"/>
      <c r="C289" s="54" t="s">
        <v>181</v>
      </c>
      <c r="D289" s="69">
        <v>1</v>
      </c>
      <c r="E289" s="68">
        <v>0</v>
      </c>
    </row>
    <row r="290" spans="2:5">
      <c r="B290" s="112"/>
      <c r="C290" s="54" t="s">
        <v>182</v>
      </c>
      <c r="D290" s="69">
        <v>10</v>
      </c>
      <c r="E290" s="68">
        <v>0</v>
      </c>
    </row>
    <row r="291" spans="2:5">
      <c r="B291" s="112"/>
      <c r="C291" s="54" t="s">
        <v>183</v>
      </c>
      <c r="D291" s="69">
        <v>1</v>
      </c>
      <c r="E291" s="68">
        <v>0</v>
      </c>
    </row>
    <row r="292" spans="2:5">
      <c r="B292" s="112"/>
      <c r="C292" s="54" t="s">
        <v>184</v>
      </c>
      <c r="D292" s="69">
        <v>6</v>
      </c>
      <c r="E292" s="68">
        <v>0</v>
      </c>
    </row>
    <row r="293" spans="2:5">
      <c r="B293" s="112"/>
      <c r="C293" s="54" t="s">
        <v>206</v>
      </c>
      <c r="D293" s="69">
        <v>2</v>
      </c>
      <c r="E293" s="68">
        <v>0</v>
      </c>
    </row>
    <row r="294" spans="2:5">
      <c r="B294" s="112"/>
      <c r="C294" s="54" t="s">
        <v>185</v>
      </c>
      <c r="D294" s="69">
        <v>44</v>
      </c>
      <c r="E294" s="68">
        <v>2E-3</v>
      </c>
    </row>
    <row r="295" spans="2:5">
      <c r="B295" s="112"/>
      <c r="C295" s="54" t="s">
        <v>186</v>
      </c>
      <c r="D295" s="69">
        <v>17</v>
      </c>
      <c r="E295" s="68">
        <v>1E-3</v>
      </c>
    </row>
    <row r="296" spans="2:5">
      <c r="B296" s="112"/>
      <c r="C296" s="54" t="s">
        <v>207</v>
      </c>
      <c r="D296" s="69">
        <v>1</v>
      </c>
      <c r="E296" s="68">
        <v>0</v>
      </c>
    </row>
    <row r="297" spans="2:5">
      <c r="B297" s="112"/>
      <c r="C297" s="54" t="s">
        <v>187</v>
      </c>
      <c r="D297" s="69">
        <v>6</v>
      </c>
      <c r="E297" s="68">
        <v>0</v>
      </c>
    </row>
    <row r="298" spans="2:5">
      <c r="B298" s="112"/>
      <c r="C298" s="54" t="s">
        <v>188</v>
      </c>
      <c r="D298" s="69">
        <v>10</v>
      </c>
      <c r="E298" s="68">
        <v>0</v>
      </c>
    </row>
    <row r="299" spans="2:5">
      <c r="B299" s="112"/>
      <c r="C299" s="54" t="s">
        <v>189</v>
      </c>
      <c r="D299" s="69">
        <v>17</v>
      </c>
      <c r="E299" s="68">
        <v>1E-3</v>
      </c>
    </row>
    <row r="300" spans="2:5">
      <c r="B300" s="112"/>
      <c r="C300" s="54" t="s">
        <v>190</v>
      </c>
      <c r="D300" s="69">
        <v>30</v>
      </c>
      <c r="E300" s="68">
        <v>1E-3</v>
      </c>
    </row>
    <row r="301" spans="2:5">
      <c r="B301" s="112"/>
      <c r="C301" s="54" t="s">
        <v>191</v>
      </c>
      <c r="D301" s="69">
        <v>11</v>
      </c>
      <c r="E301" s="68">
        <v>0</v>
      </c>
    </row>
    <row r="302" spans="2:5">
      <c r="B302" s="112"/>
      <c r="C302" s="54" t="s">
        <v>192</v>
      </c>
      <c r="D302" s="69">
        <v>20</v>
      </c>
      <c r="E302" s="68">
        <v>1E-3</v>
      </c>
    </row>
    <row r="303" spans="2:5">
      <c r="B303" s="112"/>
      <c r="C303" s="54" t="s">
        <v>193</v>
      </c>
      <c r="D303" s="69">
        <v>2</v>
      </c>
      <c r="E303" s="68">
        <v>0</v>
      </c>
    </row>
    <row r="304" spans="2:5">
      <c r="B304" s="113"/>
      <c r="C304" s="74" t="s">
        <v>304</v>
      </c>
      <c r="D304" s="80">
        <v>297</v>
      </c>
      <c r="E304" s="76">
        <v>1.2E-2</v>
      </c>
    </row>
    <row r="305" spans="2:5">
      <c r="B305" s="111" t="s">
        <v>90</v>
      </c>
      <c r="C305" s="54" t="s">
        <v>197</v>
      </c>
      <c r="D305" s="69">
        <v>1</v>
      </c>
      <c r="E305" s="68">
        <v>0</v>
      </c>
    </row>
    <row r="306" spans="2:5">
      <c r="B306" s="112"/>
      <c r="C306" s="54" t="s">
        <v>204</v>
      </c>
      <c r="D306" s="69">
        <v>1</v>
      </c>
      <c r="E306" s="68">
        <v>0</v>
      </c>
    </row>
    <row r="307" spans="2:5">
      <c r="B307" s="112"/>
      <c r="C307" s="54" t="s">
        <v>180</v>
      </c>
      <c r="D307" s="69">
        <v>1</v>
      </c>
      <c r="E307" s="68">
        <v>0</v>
      </c>
    </row>
    <row r="308" spans="2:5">
      <c r="B308" s="112"/>
      <c r="C308" s="54" t="s">
        <v>182</v>
      </c>
      <c r="D308" s="69">
        <v>1</v>
      </c>
      <c r="E308" s="68">
        <v>0</v>
      </c>
    </row>
    <row r="309" spans="2:5">
      <c r="B309" s="112"/>
      <c r="C309" s="54" t="s">
        <v>187</v>
      </c>
      <c r="D309" s="69">
        <v>4</v>
      </c>
      <c r="E309" s="68">
        <v>0</v>
      </c>
    </row>
    <row r="310" spans="2:5">
      <c r="B310" s="112"/>
      <c r="C310" s="54" t="s">
        <v>189</v>
      </c>
      <c r="D310" s="69">
        <v>1</v>
      </c>
      <c r="E310" s="68">
        <v>0</v>
      </c>
    </row>
    <row r="311" spans="2:5">
      <c r="B311" s="113"/>
      <c r="C311" s="74" t="s">
        <v>304</v>
      </c>
      <c r="D311" s="80">
        <v>9</v>
      </c>
      <c r="E311" s="76">
        <v>0</v>
      </c>
    </row>
    <row r="312" spans="2:5">
      <c r="B312" s="111" t="s">
        <v>85</v>
      </c>
      <c r="C312" s="54" t="s">
        <v>170</v>
      </c>
      <c r="D312" s="69">
        <v>1</v>
      </c>
      <c r="E312" s="68">
        <v>0</v>
      </c>
    </row>
    <row r="313" spans="2:5">
      <c r="B313" s="112"/>
      <c r="C313" s="54" t="s">
        <v>171</v>
      </c>
      <c r="D313" s="69">
        <v>1</v>
      </c>
      <c r="E313" s="68">
        <v>0</v>
      </c>
    </row>
    <row r="314" spans="2:5">
      <c r="B314" s="112"/>
      <c r="C314" s="54" t="s">
        <v>176</v>
      </c>
      <c r="D314" s="69">
        <v>1</v>
      </c>
      <c r="E314" s="68">
        <v>0</v>
      </c>
    </row>
    <row r="315" spans="2:5">
      <c r="B315" s="112"/>
      <c r="C315" s="54" t="s">
        <v>182</v>
      </c>
      <c r="D315" s="69">
        <v>1</v>
      </c>
      <c r="E315" s="68">
        <v>0</v>
      </c>
    </row>
    <row r="316" spans="2:5">
      <c r="B316" s="112"/>
      <c r="C316" s="54" t="s">
        <v>185</v>
      </c>
      <c r="D316" s="69">
        <v>3</v>
      </c>
      <c r="E316" s="68">
        <v>0</v>
      </c>
    </row>
    <row r="317" spans="2:5">
      <c r="B317" s="112"/>
      <c r="C317" s="54" t="s">
        <v>186</v>
      </c>
      <c r="D317" s="69">
        <v>1</v>
      </c>
      <c r="E317" s="68">
        <v>0</v>
      </c>
    </row>
    <row r="318" spans="2:5">
      <c r="B318" s="112"/>
      <c r="C318" s="54" t="s">
        <v>189</v>
      </c>
      <c r="D318" s="69">
        <v>6</v>
      </c>
      <c r="E318" s="68">
        <v>0</v>
      </c>
    </row>
    <row r="319" spans="2:5">
      <c r="B319" s="112"/>
      <c r="C319" s="54" t="s">
        <v>192</v>
      </c>
      <c r="D319" s="69">
        <v>1</v>
      </c>
      <c r="E319" s="68">
        <v>0</v>
      </c>
    </row>
    <row r="320" spans="2:5">
      <c r="B320" s="113"/>
      <c r="C320" s="74" t="s">
        <v>304</v>
      </c>
      <c r="D320" s="80">
        <v>15</v>
      </c>
      <c r="E320" s="76">
        <v>1E-3</v>
      </c>
    </row>
    <row r="321" spans="2:5">
      <c r="B321" s="111" t="s">
        <v>68</v>
      </c>
      <c r="C321" s="54" t="s">
        <v>169</v>
      </c>
      <c r="D321" s="69">
        <v>1</v>
      </c>
      <c r="E321" s="68">
        <v>0</v>
      </c>
    </row>
    <row r="322" spans="2:5">
      <c r="B322" s="112"/>
      <c r="C322" s="54" t="s">
        <v>197</v>
      </c>
      <c r="D322" s="69">
        <v>1</v>
      </c>
      <c r="E322" s="68">
        <v>0</v>
      </c>
    </row>
    <row r="323" spans="2:5">
      <c r="B323" s="112"/>
      <c r="C323" s="54" t="s">
        <v>174</v>
      </c>
      <c r="D323" s="69">
        <v>3</v>
      </c>
      <c r="E323" s="68">
        <v>0</v>
      </c>
    </row>
    <row r="324" spans="2:5">
      <c r="B324" s="112"/>
      <c r="C324" s="54" t="s">
        <v>176</v>
      </c>
      <c r="D324" s="69">
        <v>6</v>
      </c>
      <c r="E324" s="68">
        <v>0</v>
      </c>
    </row>
    <row r="325" spans="2:5">
      <c r="B325" s="112"/>
      <c r="C325" s="54" t="s">
        <v>177</v>
      </c>
      <c r="D325" s="69">
        <v>3</v>
      </c>
      <c r="E325" s="68">
        <v>0</v>
      </c>
    </row>
    <row r="326" spans="2:5">
      <c r="B326" s="112"/>
      <c r="C326" s="54" t="s">
        <v>204</v>
      </c>
      <c r="D326" s="69">
        <v>1</v>
      </c>
      <c r="E326" s="68">
        <v>0</v>
      </c>
    </row>
    <row r="327" spans="2:5">
      <c r="B327" s="112"/>
      <c r="C327" s="54" t="s">
        <v>180</v>
      </c>
      <c r="D327" s="69">
        <v>6</v>
      </c>
      <c r="E327" s="68">
        <v>0</v>
      </c>
    </row>
    <row r="328" spans="2:5">
      <c r="B328" s="112"/>
      <c r="C328" s="54" t="s">
        <v>182</v>
      </c>
      <c r="D328" s="69">
        <v>2</v>
      </c>
      <c r="E328" s="68">
        <v>0</v>
      </c>
    </row>
    <row r="329" spans="2:5">
      <c r="B329" s="112"/>
      <c r="C329" s="54" t="s">
        <v>184</v>
      </c>
      <c r="D329" s="69">
        <v>3</v>
      </c>
      <c r="E329" s="68">
        <v>0</v>
      </c>
    </row>
    <row r="330" spans="2:5">
      <c r="B330" s="112"/>
      <c r="C330" s="54" t="s">
        <v>206</v>
      </c>
      <c r="D330" s="69">
        <v>1</v>
      </c>
      <c r="E330" s="68">
        <v>0</v>
      </c>
    </row>
    <row r="331" spans="2:5">
      <c r="B331" s="112"/>
      <c r="C331" s="54" t="s">
        <v>209</v>
      </c>
      <c r="D331" s="69">
        <v>1</v>
      </c>
      <c r="E331" s="68">
        <v>0</v>
      </c>
    </row>
    <row r="332" spans="2:5">
      <c r="B332" s="112"/>
      <c r="C332" s="54" t="s">
        <v>185</v>
      </c>
      <c r="D332" s="69">
        <v>7</v>
      </c>
      <c r="E332" s="68">
        <v>0</v>
      </c>
    </row>
    <row r="333" spans="2:5">
      <c r="B333" s="112"/>
      <c r="C333" s="54" t="s">
        <v>186</v>
      </c>
      <c r="D333" s="69">
        <v>3</v>
      </c>
      <c r="E333" s="68">
        <v>0</v>
      </c>
    </row>
    <row r="334" spans="2:5">
      <c r="B334" s="112"/>
      <c r="C334" s="54" t="s">
        <v>187</v>
      </c>
      <c r="D334" s="69">
        <v>1</v>
      </c>
      <c r="E334" s="68">
        <v>0</v>
      </c>
    </row>
    <row r="335" spans="2:5">
      <c r="B335" s="112"/>
      <c r="C335" s="54" t="s">
        <v>188</v>
      </c>
      <c r="D335" s="69">
        <v>2</v>
      </c>
      <c r="E335" s="68">
        <v>0</v>
      </c>
    </row>
    <row r="336" spans="2:5">
      <c r="B336" s="112"/>
      <c r="C336" s="54" t="s">
        <v>189</v>
      </c>
      <c r="D336" s="69">
        <v>9</v>
      </c>
      <c r="E336" s="68">
        <v>0</v>
      </c>
    </row>
    <row r="337" spans="2:5">
      <c r="B337" s="112"/>
      <c r="C337" s="54" t="s">
        <v>190</v>
      </c>
      <c r="D337" s="69">
        <v>1</v>
      </c>
      <c r="E337" s="68">
        <v>0</v>
      </c>
    </row>
    <row r="338" spans="2:5">
      <c r="B338" s="112"/>
      <c r="C338" s="54" t="s">
        <v>191</v>
      </c>
      <c r="D338" s="69">
        <v>3</v>
      </c>
      <c r="E338" s="68">
        <v>0</v>
      </c>
    </row>
    <row r="339" spans="2:5">
      <c r="B339" s="112"/>
      <c r="C339" s="54" t="s">
        <v>192</v>
      </c>
      <c r="D339" s="69">
        <v>1</v>
      </c>
      <c r="E339" s="68">
        <v>0</v>
      </c>
    </row>
    <row r="340" spans="2:5">
      <c r="B340" s="113"/>
      <c r="C340" s="74" t="s">
        <v>304</v>
      </c>
      <c r="D340" s="80">
        <v>55</v>
      </c>
      <c r="E340" s="76">
        <v>2E-3</v>
      </c>
    </row>
    <row r="341" spans="2:5">
      <c r="B341" s="111" t="s">
        <v>71</v>
      </c>
      <c r="C341" s="54" t="s">
        <v>171</v>
      </c>
      <c r="D341" s="69">
        <v>1</v>
      </c>
      <c r="E341" s="68">
        <v>0</v>
      </c>
    </row>
    <row r="342" spans="2:5">
      <c r="B342" s="112"/>
      <c r="C342" s="54" t="s">
        <v>196</v>
      </c>
      <c r="D342" s="69">
        <v>1</v>
      </c>
      <c r="E342" s="68">
        <v>0</v>
      </c>
    </row>
    <row r="343" spans="2:5">
      <c r="B343" s="112"/>
      <c r="C343" s="54" t="s">
        <v>197</v>
      </c>
      <c r="D343" s="69">
        <v>1</v>
      </c>
      <c r="E343" s="68">
        <v>0</v>
      </c>
    </row>
    <row r="344" spans="2:5">
      <c r="B344" s="112"/>
      <c r="C344" s="54" t="s">
        <v>176</v>
      </c>
      <c r="D344" s="69">
        <v>8</v>
      </c>
      <c r="E344" s="68">
        <v>0</v>
      </c>
    </row>
    <row r="345" spans="2:5">
      <c r="B345" s="112"/>
      <c r="C345" s="54" t="s">
        <v>194</v>
      </c>
      <c r="D345" s="69">
        <v>3</v>
      </c>
      <c r="E345" s="68">
        <v>0</v>
      </c>
    </row>
    <row r="346" spans="2:5">
      <c r="B346" s="112"/>
      <c r="C346" s="54" t="s">
        <v>204</v>
      </c>
      <c r="D346" s="69">
        <v>1</v>
      </c>
      <c r="E346" s="68">
        <v>0</v>
      </c>
    </row>
    <row r="347" spans="2:5">
      <c r="B347" s="112"/>
      <c r="C347" s="54" t="s">
        <v>180</v>
      </c>
      <c r="D347" s="69">
        <v>8</v>
      </c>
      <c r="E347" s="68">
        <v>0</v>
      </c>
    </row>
    <row r="348" spans="2:5">
      <c r="B348" s="112"/>
      <c r="C348" s="54" t="s">
        <v>181</v>
      </c>
      <c r="D348" s="69">
        <v>2</v>
      </c>
      <c r="E348" s="68">
        <v>0</v>
      </c>
    </row>
    <row r="349" spans="2:5">
      <c r="B349" s="112"/>
      <c r="C349" s="54" t="s">
        <v>182</v>
      </c>
      <c r="D349" s="69">
        <v>4</v>
      </c>
      <c r="E349" s="68">
        <v>0</v>
      </c>
    </row>
    <row r="350" spans="2:5">
      <c r="B350" s="112"/>
      <c r="C350" s="54" t="s">
        <v>185</v>
      </c>
      <c r="D350" s="69">
        <v>3</v>
      </c>
      <c r="E350" s="68">
        <v>0</v>
      </c>
    </row>
    <row r="351" spans="2:5">
      <c r="B351" s="112"/>
      <c r="C351" s="54" t="s">
        <v>186</v>
      </c>
      <c r="D351" s="69">
        <v>1</v>
      </c>
      <c r="E351" s="68">
        <v>0</v>
      </c>
    </row>
    <row r="352" spans="2:5">
      <c r="B352" s="112"/>
      <c r="C352" s="54" t="s">
        <v>188</v>
      </c>
      <c r="D352" s="69">
        <v>2</v>
      </c>
      <c r="E352" s="68">
        <v>0</v>
      </c>
    </row>
    <row r="353" spans="2:5">
      <c r="B353" s="112"/>
      <c r="C353" s="54" t="s">
        <v>189</v>
      </c>
      <c r="D353" s="69">
        <v>3</v>
      </c>
      <c r="E353" s="68">
        <v>0</v>
      </c>
    </row>
    <row r="354" spans="2:5">
      <c r="B354" s="112"/>
      <c r="C354" s="54" t="s">
        <v>191</v>
      </c>
      <c r="D354" s="69">
        <v>1</v>
      </c>
      <c r="E354" s="68">
        <v>0</v>
      </c>
    </row>
    <row r="355" spans="2:5">
      <c r="B355" s="112"/>
      <c r="C355" s="54" t="s">
        <v>192</v>
      </c>
      <c r="D355" s="69">
        <v>1</v>
      </c>
      <c r="E355" s="68">
        <v>0</v>
      </c>
    </row>
    <row r="356" spans="2:5">
      <c r="B356" s="113"/>
      <c r="C356" s="74" t="s">
        <v>304</v>
      </c>
      <c r="D356" s="80">
        <v>40</v>
      </c>
      <c r="E356" s="76">
        <v>2E-3</v>
      </c>
    </row>
    <row r="357" spans="2:5">
      <c r="B357" s="111" t="s">
        <v>47</v>
      </c>
      <c r="C357" s="54" t="s">
        <v>169</v>
      </c>
      <c r="D357" s="69">
        <v>53</v>
      </c>
      <c r="E357" s="68">
        <v>2E-3</v>
      </c>
    </row>
    <row r="358" spans="2:5">
      <c r="B358" s="112"/>
      <c r="C358" s="54" t="s">
        <v>170</v>
      </c>
      <c r="D358" s="69">
        <v>65</v>
      </c>
      <c r="E358" s="68">
        <v>3.0000000000000001E-3</v>
      </c>
    </row>
    <row r="359" spans="2:5">
      <c r="B359" s="112"/>
      <c r="C359" s="54" t="s">
        <v>171</v>
      </c>
      <c r="D359" s="69">
        <v>97</v>
      </c>
      <c r="E359" s="68">
        <v>4.0000000000000001E-3</v>
      </c>
    </row>
    <row r="360" spans="2:5">
      <c r="B360" s="112"/>
      <c r="C360" s="54" t="s">
        <v>196</v>
      </c>
      <c r="D360" s="69">
        <v>6</v>
      </c>
      <c r="E360" s="68">
        <v>0</v>
      </c>
    </row>
    <row r="361" spans="2:5">
      <c r="B361" s="112"/>
      <c r="C361" s="54" t="s">
        <v>172</v>
      </c>
      <c r="D361" s="69">
        <v>42</v>
      </c>
      <c r="E361" s="68">
        <v>2E-3</v>
      </c>
    </row>
    <row r="362" spans="2:5">
      <c r="B362" s="112"/>
      <c r="C362" s="54" t="s">
        <v>173</v>
      </c>
      <c r="D362" s="69">
        <v>11</v>
      </c>
      <c r="E362" s="68">
        <v>0</v>
      </c>
    </row>
    <row r="363" spans="2:5">
      <c r="B363" s="112"/>
      <c r="C363" s="54" t="s">
        <v>197</v>
      </c>
      <c r="D363" s="69">
        <v>39</v>
      </c>
      <c r="E363" s="68">
        <v>2E-3</v>
      </c>
    </row>
    <row r="364" spans="2:5">
      <c r="B364" s="112"/>
      <c r="C364" s="54" t="s">
        <v>208</v>
      </c>
      <c r="D364" s="69">
        <v>5</v>
      </c>
      <c r="E364" s="68">
        <v>0</v>
      </c>
    </row>
    <row r="365" spans="2:5">
      <c r="B365" s="112"/>
      <c r="C365" s="54" t="s">
        <v>174</v>
      </c>
      <c r="D365" s="69">
        <v>293</v>
      </c>
      <c r="E365" s="68">
        <v>1.2E-2</v>
      </c>
    </row>
    <row r="366" spans="2:5">
      <c r="B366" s="112"/>
      <c r="C366" s="54" t="s">
        <v>175</v>
      </c>
      <c r="D366" s="69">
        <v>10</v>
      </c>
      <c r="E366" s="68">
        <v>0</v>
      </c>
    </row>
    <row r="367" spans="2:5">
      <c r="B367" s="112"/>
      <c r="C367" s="54" t="s">
        <v>278</v>
      </c>
      <c r="D367" s="69">
        <v>3</v>
      </c>
      <c r="E367" s="68">
        <v>0</v>
      </c>
    </row>
    <row r="368" spans="2:5">
      <c r="B368" s="112"/>
      <c r="C368" s="54" t="s">
        <v>176</v>
      </c>
      <c r="D368" s="69">
        <v>506</v>
      </c>
      <c r="E368" s="68">
        <v>2.1000000000000001E-2</v>
      </c>
    </row>
    <row r="369" spans="2:5">
      <c r="B369" s="112"/>
      <c r="C369" s="54" t="s">
        <v>177</v>
      </c>
      <c r="D369" s="69">
        <v>127</v>
      </c>
      <c r="E369" s="68">
        <v>5.0000000000000001E-3</v>
      </c>
    </row>
    <row r="370" spans="2:5">
      <c r="B370" s="112"/>
      <c r="C370" s="54" t="s">
        <v>210</v>
      </c>
      <c r="D370" s="69">
        <v>6</v>
      </c>
      <c r="E370" s="68">
        <v>0</v>
      </c>
    </row>
    <row r="371" spans="2:5">
      <c r="B371" s="112"/>
      <c r="C371" s="54" t="s">
        <v>194</v>
      </c>
      <c r="D371" s="69">
        <v>29</v>
      </c>
      <c r="E371" s="68">
        <v>1E-3</v>
      </c>
    </row>
    <row r="372" spans="2:5">
      <c r="B372" s="112"/>
      <c r="C372" s="54" t="s">
        <v>198</v>
      </c>
      <c r="D372" s="69">
        <v>10</v>
      </c>
      <c r="E372" s="68">
        <v>0</v>
      </c>
    </row>
    <row r="373" spans="2:5">
      <c r="B373" s="112"/>
      <c r="C373" s="54" t="s">
        <v>199</v>
      </c>
      <c r="D373" s="69">
        <v>11</v>
      </c>
      <c r="E373" s="68">
        <v>0</v>
      </c>
    </row>
    <row r="374" spans="2:5">
      <c r="B374" s="112"/>
      <c r="C374" s="54" t="s">
        <v>204</v>
      </c>
      <c r="D374" s="69">
        <v>35</v>
      </c>
      <c r="E374" s="68">
        <v>1E-3</v>
      </c>
    </row>
    <row r="375" spans="2:5">
      <c r="B375" s="112"/>
      <c r="C375" s="54" t="s">
        <v>178</v>
      </c>
      <c r="D375" s="69">
        <v>36</v>
      </c>
      <c r="E375" s="68">
        <v>1E-3</v>
      </c>
    </row>
    <row r="376" spans="2:5">
      <c r="B376" s="112"/>
      <c r="C376" s="54" t="s">
        <v>200</v>
      </c>
      <c r="D376" s="69">
        <v>17</v>
      </c>
      <c r="E376" s="68">
        <v>1E-3</v>
      </c>
    </row>
    <row r="377" spans="2:5">
      <c r="B377" s="112"/>
      <c r="C377" s="54" t="s">
        <v>179</v>
      </c>
      <c r="D377" s="69">
        <v>43</v>
      </c>
      <c r="E377" s="68">
        <v>2E-3</v>
      </c>
    </row>
    <row r="378" spans="2:5">
      <c r="B378" s="112"/>
      <c r="C378" s="54" t="s">
        <v>205</v>
      </c>
      <c r="D378" s="69">
        <v>7</v>
      </c>
      <c r="E378" s="68">
        <v>0</v>
      </c>
    </row>
    <row r="379" spans="2:5">
      <c r="B379" s="112"/>
      <c r="C379" s="54" t="s">
        <v>180</v>
      </c>
      <c r="D379" s="67">
        <v>1176</v>
      </c>
      <c r="E379" s="68">
        <v>4.8000000000000001E-2</v>
      </c>
    </row>
    <row r="380" spans="2:5">
      <c r="B380" s="112"/>
      <c r="C380" s="54" t="s">
        <v>201</v>
      </c>
      <c r="D380" s="69">
        <v>27</v>
      </c>
      <c r="E380" s="68">
        <v>1E-3</v>
      </c>
    </row>
    <row r="381" spans="2:5">
      <c r="B381" s="112"/>
      <c r="C381" s="54" t="s">
        <v>181</v>
      </c>
      <c r="D381" s="69">
        <v>129</v>
      </c>
      <c r="E381" s="68">
        <v>5.0000000000000001E-3</v>
      </c>
    </row>
    <row r="382" spans="2:5">
      <c r="B382" s="112"/>
      <c r="C382" s="54" t="s">
        <v>202</v>
      </c>
      <c r="D382" s="69">
        <v>5</v>
      </c>
      <c r="E382" s="68">
        <v>0</v>
      </c>
    </row>
    <row r="383" spans="2:5">
      <c r="B383" s="112"/>
      <c r="C383" s="54" t="s">
        <v>203</v>
      </c>
      <c r="D383" s="69">
        <v>20</v>
      </c>
      <c r="E383" s="68">
        <v>1E-3</v>
      </c>
    </row>
    <row r="384" spans="2:5">
      <c r="B384" s="112"/>
      <c r="C384" s="54" t="s">
        <v>182</v>
      </c>
      <c r="D384" s="69">
        <v>458</v>
      </c>
      <c r="E384" s="68">
        <v>1.9E-2</v>
      </c>
    </row>
    <row r="385" spans="2:5">
      <c r="B385" s="112"/>
      <c r="C385" s="54" t="s">
        <v>183</v>
      </c>
      <c r="D385" s="69">
        <v>4</v>
      </c>
      <c r="E385" s="68">
        <v>0</v>
      </c>
    </row>
    <row r="386" spans="2:5">
      <c r="B386" s="112"/>
      <c r="C386" s="54" t="s">
        <v>184</v>
      </c>
      <c r="D386" s="69">
        <v>43</v>
      </c>
      <c r="E386" s="68">
        <v>2E-3</v>
      </c>
    </row>
    <row r="387" spans="2:5">
      <c r="B387" s="112"/>
      <c r="C387" s="54" t="s">
        <v>206</v>
      </c>
      <c r="D387" s="69">
        <v>21</v>
      </c>
      <c r="E387" s="68">
        <v>1E-3</v>
      </c>
    </row>
    <row r="388" spans="2:5">
      <c r="B388" s="112"/>
      <c r="C388" s="54" t="s">
        <v>209</v>
      </c>
      <c r="D388" s="69">
        <v>2</v>
      </c>
      <c r="E388" s="68">
        <v>0</v>
      </c>
    </row>
    <row r="389" spans="2:5">
      <c r="B389" s="112"/>
      <c r="C389" s="54" t="s">
        <v>185</v>
      </c>
      <c r="D389" s="69">
        <v>585</v>
      </c>
      <c r="E389" s="68">
        <v>2.4E-2</v>
      </c>
    </row>
    <row r="390" spans="2:5">
      <c r="B390" s="112"/>
      <c r="C390" s="54" t="s">
        <v>186</v>
      </c>
      <c r="D390" s="69">
        <v>239</v>
      </c>
      <c r="E390" s="68">
        <v>0.01</v>
      </c>
    </row>
    <row r="391" spans="2:5">
      <c r="B391" s="112"/>
      <c r="C391" s="54" t="s">
        <v>207</v>
      </c>
      <c r="D391" s="69">
        <v>33</v>
      </c>
      <c r="E391" s="68">
        <v>1E-3</v>
      </c>
    </row>
    <row r="392" spans="2:5">
      <c r="B392" s="112"/>
      <c r="C392" s="54" t="s">
        <v>187</v>
      </c>
      <c r="D392" s="69">
        <v>311</v>
      </c>
      <c r="E392" s="68">
        <v>1.2999999999999999E-2</v>
      </c>
    </row>
    <row r="393" spans="2:5">
      <c r="B393" s="112"/>
      <c r="C393" s="54" t="s">
        <v>211</v>
      </c>
      <c r="D393" s="69">
        <v>4</v>
      </c>
      <c r="E393" s="68">
        <v>0</v>
      </c>
    </row>
    <row r="394" spans="2:5">
      <c r="B394" s="112"/>
      <c r="C394" s="54" t="s">
        <v>188</v>
      </c>
      <c r="D394" s="69">
        <v>62</v>
      </c>
      <c r="E394" s="68">
        <v>3.0000000000000001E-3</v>
      </c>
    </row>
    <row r="395" spans="2:5">
      <c r="B395" s="112"/>
      <c r="C395" s="54" t="s">
        <v>189</v>
      </c>
      <c r="D395" s="69">
        <v>425</v>
      </c>
      <c r="E395" s="68">
        <v>1.7000000000000001E-2</v>
      </c>
    </row>
    <row r="396" spans="2:5">
      <c r="B396" s="112"/>
      <c r="C396" s="54" t="s">
        <v>190</v>
      </c>
      <c r="D396" s="69">
        <v>242</v>
      </c>
      <c r="E396" s="68">
        <v>0.01</v>
      </c>
    </row>
    <row r="397" spans="2:5">
      <c r="B397" s="112"/>
      <c r="C397" s="54" t="s">
        <v>191</v>
      </c>
      <c r="D397" s="69">
        <v>331</v>
      </c>
      <c r="E397" s="68">
        <v>1.4E-2</v>
      </c>
    </row>
    <row r="398" spans="2:5">
      <c r="B398" s="112"/>
      <c r="C398" s="54" t="s">
        <v>192</v>
      </c>
      <c r="D398" s="69">
        <v>288</v>
      </c>
      <c r="E398" s="68">
        <v>1.2E-2</v>
      </c>
    </row>
    <row r="399" spans="2:5">
      <c r="B399" s="112"/>
      <c r="C399" s="54" t="s">
        <v>195</v>
      </c>
      <c r="D399" s="69">
        <v>15</v>
      </c>
      <c r="E399" s="68">
        <v>1E-3</v>
      </c>
    </row>
    <row r="400" spans="2:5">
      <c r="B400" s="112"/>
      <c r="C400" s="54" t="s">
        <v>193</v>
      </c>
      <c r="D400" s="69">
        <v>52</v>
      </c>
      <c r="E400" s="68">
        <v>2E-3</v>
      </c>
    </row>
    <row r="401" spans="2:5">
      <c r="B401" s="113"/>
      <c r="C401" s="74" t="s">
        <v>304</v>
      </c>
      <c r="D401" s="80">
        <v>5923</v>
      </c>
      <c r="E401" s="76">
        <v>0.24299999999999999</v>
      </c>
    </row>
    <row r="402" spans="2:5">
      <c r="B402" s="111" t="s">
        <v>64</v>
      </c>
      <c r="C402" s="54" t="s">
        <v>170</v>
      </c>
      <c r="D402" s="69">
        <v>1</v>
      </c>
      <c r="E402" s="68">
        <v>0</v>
      </c>
    </row>
    <row r="403" spans="2:5">
      <c r="B403" s="112"/>
      <c r="C403" s="54" t="s">
        <v>171</v>
      </c>
      <c r="D403" s="69">
        <v>2</v>
      </c>
      <c r="E403" s="68">
        <v>0</v>
      </c>
    </row>
    <row r="404" spans="2:5">
      <c r="B404" s="112"/>
      <c r="C404" s="54" t="s">
        <v>196</v>
      </c>
      <c r="D404" s="69">
        <v>2</v>
      </c>
      <c r="E404" s="68">
        <v>0</v>
      </c>
    </row>
    <row r="405" spans="2:5">
      <c r="B405" s="112"/>
      <c r="C405" s="54" t="s">
        <v>173</v>
      </c>
      <c r="D405" s="69">
        <v>1</v>
      </c>
      <c r="E405" s="68">
        <v>0</v>
      </c>
    </row>
    <row r="406" spans="2:5">
      <c r="B406" s="112"/>
      <c r="C406" s="54" t="s">
        <v>197</v>
      </c>
      <c r="D406" s="69">
        <v>1</v>
      </c>
      <c r="E406" s="68">
        <v>0</v>
      </c>
    </row>
    <row r="407" spans="2:5">
      <c r="B407" s="112"/>
      <c r="C407" s="54" t="s">
        <v>208</v>
      </c>
      <c r="D407" s="69">
        <v>1</v>
      </c>
      <c r="E407" s="68">
        <v>0</v>
      </c>
    </row>
    <row r="408" spans="2:5">
      <c r="B408" s="112"/>
      <c r="C408" s="54" t="s">
        <v>174</v>
      </c>
      <c r="D408" s="69">
        <v>3</v>
      </c>
      <c r="E408" s="68">
        <v>0</v>
      </c>
    </row>
    <row r="409" spans="2:5">
      <c r="B409" s="112"/>
      <c r="C409" s="54" t="s">
        <v>176</v>
      </c>
      <c r="D409" s="69">
        <v>18</v>
      </c>
      <c r="E409" s="68">
        <v>1E-3</v>
      </c>
    </row>
    <row r="410" spans="2:5">
      <c r="B410" s="112"/>
      <c r="C410" s="54" t="s">
        <v>177</v>
      </c>
      <c r="D410" s="69">
        <v>6</v>
      </c>
      <c r="E410" s="68">
        <v>0</v>
      </c>
    </row>
    <row r="411" spans="2:5">
      <c r="B411" s="112"/>
      <c r="C411" s="54" t="s">
        <v>194</v>
      </c>
      <c r="D411" s="69">
        <v>1</v>
      </c>
      <c r="E411" s="68">
        <v>0</v>
      </c>
    </row>
    <row r="412" spans="2:5">
      <c r="B412" s="112"/>
      <c r="C412" s="54" t="s">
        <v>178</v>
      </c>
      <c r="D412" s="69">
        <v>1</v>
      </c>
      <c r="E412" s="68">
        <v>0</v>
      </c>
    </row>
    <row r="413" spans="2:5">
      <c r="B413" s="112"/>
      <c r="C413" s="54" t="s">
        <v>180</v>
      </c>
      <c r="D413" s="69">
        <v>21</v>
      </c>
      <c r="E413" s="68">
        <v>1E-3</v>
      </c>
    </row>
    <row r="414" spans="2:5">
      <c r="B414" s="112"/>
      <c r="C414" s="54" t="s">
        <v>182</v>
      </c>
      <c r="D414" s="69">
        <v>8</v>
      </c>
      <c r="E414" s="68">
        <v>0</v>
      </c>
    </row>
    <row r="415" spans="2:5">
      <c r="B415" s="112"/>
      <c r="C415" s="54" t="s">
        <v>183</v>
      </c>
      <c r="D415" s="69">
        <v>2</v>
      </c>
      <c r="E415" s="68">
        <v>0</v>
      </c>
    </row>
    <row r="416" spans="2:5">
      <c r="B416" s="112"/>
      <c r="C416" s="54" t="s">
        <v>184</v>
      </c>
      <c r="D416" s="69">
        <v>1</v>
      </c>
      <c r="E416" s="68">
        <v>0</v>
      </c>
    </row>
    <row r="417" spans="2:5">
      <c r="B417" s="112"/>
      <c r="C417" s="54" t="s">
        <v>185</v>
      </c>
      <c r="D417" s="69">
        <v>22</v>
      </c>
      <c r="E417" s="68">
        <v>1E-3</v>
      </c>
    </row>
    <row r="418" spans="2:5">
      <c r="B418" s="112"/>
      <c r="C418" s="54" t="s">
        <v>186</v>
      </c>
      <c r="D418" s="69">
        <v>4</v>
      </c>
      <c r="E418" s="68">
        <v>0</v>
      </c>
    </row>
    <row r="419" spans="2:5">
      <c r="B419" s="112"/>
      <c r="C419" s="54" t="s">
        <v>187</v>
      </c>
      <c r="D419" s="69">
        <v>6</v>
      </c>
      <c r="E419" s="68">
        <v>0</v>
      </c>
    </row>
    <row r="420" spans="2:5">
      <c r="B420" s="112"/>
      <c r="C420" s="54" t="s">
        <v>188</v>
      </c>
      <c r="D420" s="69">
        <v>4</v>
      </c>
      <c r="E420" s="68">
        <v>0</v>
      </c>
    </row>
    <row r="421" spans="2:5">
      <c r="B421" s="112"/>
      <c r="C421" s="54" t="s">
        <v>189</v>
      </c>
      <c r="D421" s="69">
        <v>6</v>
      </c>
      <c r="E421" s="68">
        <v>0</v>
      </c>
    </row>
    <row r="422" spans="2:5">
      <c r="B422" s="112"/>
      <c r="C422" s="54" t="s">
        <v>190</v>
      </c>
      <c r="D422" s="69">
        <v>2</v>
      </c>
      <c r="E422" s="68">
        <v>0</v>
      </c>
    </row>
    <row r="423" spans="2:5">
      <c r="B423" s="112"/>
      <c r="C423" s="54" t="s">
        <v>191</v>
      </c>
      <c r="D423" s="69">
        <v>4</v>
      </c>
      <c r="E423" s="68">
        <v>0</v>
      </c>
    </row>
    <row r="424" spans="2:5">
      <c r="B424" s="112"/>
      <c r="C424" s="54" t="s">
        <v>192</v>
      </c>
      <c r="D424" s="69">
        <v>7</v>
      </c>
      <c r="E424" s="68">
        <v>0</v>
      </c>
    </row>
    <row r="425" spans="2:5">
      <c r="B425" s="112"/>
      <c r="C425" s="54" t="s">
        <v>193</v>
      </c>
      <c r="D425" s="69">
        <v>4</v>
      </c>
      <c r="E425" s="68">
        <v>0</v>
      </c>
    </row>
    <row r="426" spans="2:5">
      <c r="B426" s="113"/>
      <c r="C426" s="74" t="s">
        <v>304</v>
      </c>
      <c r="D426" s="80">
        <v>128</v>
      </c>
      <c r="E426" s="76">
        <v>5.0000000000000001E-3</v>
      </c>
    </row>
    <row r="427" spans="2:5">
      <c r="B427" s="111" t="s">
        <v>62</v>
      </c>
      <c r="C427" s="54" t="s">
        <v>170</v>
      </c>
      <c r="D427" s="69">
        <v>5</v>
      </c>
      <c r="E427" s="68">
        <v>0</v>
      </c>
    </row>
    <row r="428" spans="2:5">
      <c r="B428" s="112"/>
      <c r="C428" s="54" t="s">
        <v>171</v>
      </c>
      <c r="D428" s="69">
        <v>1</v>
      </c>
      <c r="E428" s="68">
        <v>0</v>
      </c>
    </row>
    <row r="429" spans="2:5">
      <c r="B429" s="112"/>
      <c r="C429" s="54" t="s">
        <v>196</v>
      </c>
      <c r="D429" s="69">
        <v>2</v>
      </c>
      <c r="E429" s="68">
        <v>0</v>
      </c>
    </row>
    <row r="430" spans="2:5">
      <c r="B430" s="112"/>
      <c r="C430" s="54" t="s">
        <v>173</v>
      </c>
      <c r="D430" s="69">
        <v>1</v>
      </c>
      <c r="E430" s="68">
        <v>0</v>
      </c>
    </row>
    <row r="431" spans="2:5">
      <c r="B431" s="112"/>
      <c r="C431" s="54" t="s">
        <v>208</v>
      </c>
      <c r="D431" s="69">
        <v>1</v>
      </c>
      <c r="E431" s="68">
        <v>0</v>
      </c>
    </row>
    <row r="432" spans="2:5">
      <c r="B432" s="112"/>
      <c r="C432" s="54" t="s">
        <v>174</v>
      </c>
      <c r="D432" s="69">
        <v>4</v>
      </c>
      <c r="E432" s="68">
        <v>0</v>
      </c>
    </row>
    <row r="433" spans="2:5">
      <c r="B433" s="112"/>
      <c r="C433" s="54" t="s">
        <v>176</v>
      </c>
      <c r="D433" s="69">
        <v>9</v>
      </c>
      <c r="E433" s="68">
        <v>0</v>
      </c>
    </row>
    <row r="434" spans="2:5">
      <c r="B434" s="112"/>
      <c r="C434" s="54" t="s">
        <v>177</v>
      </c>
      <c r="D434" s="69">
        <v>3</v>
      </c>
      <c r="E434" s="68">
        <v>0</v>
      </c>
    </row>
    <row r="435" spans="2:5">
      <c r="B435" s="112"/>
      <c r="C435" s="54" t="s">
        <v>194</v>
      </c>
      <c r="D435" s="69">
        <v>1</v>
      </c>
      <c r="E435" s="68">
        <v>0</v>
      </c>
    </row>
    <row r="436" spans="2:5">
      <c r="B436" s="112"/>
      <c r="C436" s="54" t="s">
        <v>198</v>
      </c>
      <c r="D436" s="69">
        <v>1</v>
      </c>
      <c r="E436" s="68">
        <v>0</v>
      </c>
    </row>
    <row r="437" spans="2:5">
      <c r="B437" s="112"/>
      <c r="C437" s="54" t="s">
        <v>199</v>
      </c>
      <c r="D437" s="69">
        <v>1</v>
      </c>
      <c r="E437" s="68">
        <v>0</v>
      </c>
    </row>
    <row r="438" spans="2:5">
      <c r="B438" s="112"/>
      <c r="C438" s="54" t="s">
        <v>204</v>
      </c>
      <c r="D438" s="69">
        <v>1</v>
      </c>
      <c r="E438" s="68">
        <v>0</v>
      </c>
    </row>
    <row r="439" spans="2:5">
      <c r="B439" s="112"/>
      <c r="C439" s="54" t="s">
        <v>178</v>
      </c>
      <c r="D439" s="69">
        <v>2</v>
      </c>
      <c r="E439" s="68">
        <v>0</v>
      </c>
    </row>
    <row r="440" spans="2:5">
      <c r="B440" s="112"/>
      <c r="C440" s="54" t="s">
        <v>200</v>
      </c>
      <c r="D440" s="69">
        <v>1</v>
      </c>
      <c r="E440" s="68">
        <v>0</v>
      </c>
    </row>
    <row r="441" spans="2:5">
      <c r="B441" s="112"/>
      <c r="C441" s="54" t="s">
        <v>179</v>
      </c>
      <c r="D441" s="69">
        <v>2</v>
      </c>
      <c r="E441" s="68">
        <v>0</v>
      </c>
    </row>
    <row r="442" spans="2:5">
      <c r="B442" s="112"/>
      <c r="C442" s="54" t="s">
        <v>180</v>
      </c>
      <c r="D442" s="69">
        <v>20</v>
      </c>
      <c r="E442" s="68">
        <v>1E-3</v>
      </c>
    </row>
    <row r="443" spans="2:5">
      <c r="B443" s="112"/>
      <c r="C443" s="54" t="s">
        <v>182</v>
      </c>
      <c r="D443" s="69">
        <v>6</v>
      </c>
      <c r="E443" s="68">
        <v>0</v>
      </c>
    </row>
    <row r="444" spans="2:5">
      <c r="B444" s="112"/>
      <c r="C444" s="54" t="s">
        <v>184</v>
      </c>
      <c r="D444" s="69">
        <v>4</v>
      </c>
      <c r="E444" s="68">
        <v>0</v>
      </c>
    </row>
    <row r="445" spans="2:5">
      <c r="B445" s="112"/>
      <c r="C445" s="54" t="s">
        <v>206</v>
      </c>
      <c r="D445" s="69">
        <v>1</v>
      </c>
      <c r="E445" s="68">
        <v>0</v>
      </c>
    </row>
    <row r="446" spans="2:5">
      <c r="B446" s="112"/>
      <c r="C446" s="54" t="s">
        <v>209</v>
      </c>
      <c r="D446" s="69">
        <v>3</v>
      </c>
      <c r="E446" s="68">
        <v>0</v>
      </c>
    </row>
    <row r="447" spans="2:5">
      <c r="B447" s="112"/>
      <c r="C447" s="54" t="s">
        <v>185</v>
      </c>
      <c r="D447" s="69">
        <v>16</v>
      </c>
      <c r="E447" s="68">
        <v>1E-3</v>
      </c>
    </row>
    <row r="448" spans="2:5">
      <c r="B448" s="112"/>
      <c r="C448" s="54" t="s">
        <v>186</v>
      </c>
      <c r="D448" s="69">
        <v>5</v>
      </c>
      <c r="E448" s="68">
        <v>0</v>
      </c>
    </row>
    <row r="449" spans="2:5">
      <c r="B449" s="112"/>
      <c r="C449" s="54" t="s">
        <v>207</v>
      </c>
      <c r="D449" s="69">
        <v>1</v>
      </c>
      <c r="E449" s="68">
        <v>0</v>
      </c>
    </row>
    <row r="450" spans="2:5">
      <c r="B450" s="112"/>
      <c r="C450" s="54" t="s">
        <v>187</v>
      </c>
      <c r="D450" s="69">
        <v>7</v>
      </c>
      <c r="E450" s="68">
        <v>0</v>
      </c>
    </row>
    <row r="451" spans="2:5">
      <c r="B451" s="112"/>
      <c r="C451" s="54" t="s">
        <v>188</v>
      </c>
      <c r="D451" s="69">
        <v>6</v>
      </c>
      <c r="E451" s="68">
        <v>0</v>
      </c>
    </row>
    <row r="452" spans="2:5">
      <c r="B452" s="112"/>
      <c r="C452" s="54" t="s">
        <v>189</v>
      </c>
      <c r="D452" s="69">
        <v>8</v>
      </c>
      <c r="E452" s="68">
        <v>0</v>
      </c>
    </row>
    <row r="453" spans="2:5">
      <c r="B453" s="112"/>
      <c r="C453" s="54" t="s">
        <v>190</v>
      </c>
      <c r="D453" s="69">
        <v>6</v>
      </c>
      <c r="E453" s="68">
        <v>0</v>
      </c>
    </row>
    <row r="454" spans="2:5">
      <c r="B454" s="112"/>
      <c r="C454" s="54" t="s">
        <v>192</v>
      </c>
      <c r="D454" s="69">
        <v>8</v>
      </c>
      <c r="E454" s="68">
        <v>0</v>
      </c>
    </row>
    <row r="455" spans="2:5">
      <c r="B455" s="113"/>
      <c r="C455" s="74" t="s">
        <v>304</v>
      </c>
      <c r="D455" s="80">
        <v>126</v>
      </c>
      <c r="E455" s="76">
        <v>5.0000000000000001E-3</v>
      </c>
    </row>
    <row r="456" spans="2:5">
      <c r="B456" s="111" t="s">
        <v>50</v>
      </c>
      <c r="C456" s="54" t="s">
        <v>169</v>
      </c>
      <c r="D456" s="69">
        <v>5</v>
      </c>
      <c r="E456" s="68">
        <v>0</v>
      </c>
    </row>
    <row r="457" spans="2:5">
      <c r="B457" s="112"/>
      <c r="C457" s="54" t="s">
        <v>170</v>
      </c>
      <c r="D457" s="69">
        <v>2</v>
      </c>
      <c r="E457" s="68">
        <v>0</v>
      </c>
    </row>
    <row r="458" spans="2:5">
      <c r="B458" s="112"/>
      <c r="C458" s="54" t="s">
        <v>171</v>
      </c>
      <c r="D458" s="69">
        <v>1</v>
      </c>
      <c r="E458" s="68">
        <v>0</v>
      </c>
    </row>
    <row r="459" spans="2:5">
      <c r="B459" s="112"/>
      <c r="C459" s="54" t="s">
        <v>196</v>
      </c>
      <c r="D459" s="69">
        <v>1</v>
      </c>
      <c r="E459" s="68">
        <v>0</v>
      </c>
    </row>
    <row r="460" spans="2:5">
      <c r="B460" s="112"/>
      <c r="C460" s="54" t="s">
        <v>197</v>
      </c>
      <c r="D460" s="69">
        <v>2</v>
      </c>
      <c r="E460" s="68">
        <v>0</v>
      </c>
    </row>
    <row r="461" spans="2:5">
      <c r="B461" s="112"/>
      <c r="C461" s="54" t="s">
        <v>208</v>
      </c>
      <c r="D461" s="69">
        <v>1</v>
      </c>
      <c r="E461" s="68">
        <v>0</v>
      </c>
    </row>
    <row r="462" spans="2:5">
      <c r="B462" s="112"/>
      <c r="C462" s="54" t="s">
        <v>174</v>
      </c>
      <c r="D462" s="69">
        <v>8</v>
      </c>
      <c r="E462" s="68">
        <v>0</v>
      </c>
    </row>
    <row r="463" spans="2:5">
      <c r="B463" s="112"/>
      <c r="C463" s="54" t="s">
        <v>176</v>
      </c>
      <c r="D463" s="69">
        <v>12</v>
      </c>
      <c r="E463" s="68">
        <v>0</v>
      </c>
    </row>
    <row r="464" spans="2:5">
      <c r="B464" s="112"/>
      <c r="C464" s="54" t="s">
        <v>210</v>
      </c>
      <c r="D464" s="69">
        <v>11</v>
      </c>
      <c r="E464" s="68">
        <v>0</v>
      </c>
    </row>
    <row r="465" spans="2:5">
      <c r="B465" s="112"/>
      <c r="C465" s="54" t="s">
        <v>194</v>
      </c>
      <c r="D465" s="69">
        <v>1</v>
      </c>
      <c r="E465" s="68">
        <v>0</v>
      </c>
    </row>
    <row r="466" spans="2:5">
      <c r="B466" s="112"/>
      <c r="C466" s="54" t="s">
        <v>199</v>
      </c>
      <c r="D466" s="69">
        <v>1</v>
      </c>
      <c r="E466" s="68">
        <v>0</v>
      </c>
    </row>
    <row r="467" spans="2:5">
      <c r="B467" s="112"/>
      <c r="C467" s="54" t="s">
        <v>204</v>
      </c>
      <c r="D467" s="69">
        <v>1</v>
      </c>
      <c r="E467" s="68">
        <v>0</v>
      </c>
    </row>
    <row r="468" spans="2:5">
      <c r="B468" s="112"/>
      <c r="C468" s="54" t="s">
        <v>178</v>
      </c>
      <c r="D468" s="69">
        <v>2</v>
      </c>
      <c r="E468" s="68">
        <v>0</v>
      </c>
    </row>
    <row r="469" spans="2:5">
      <c r="B469" s="112"/>
      <c r="C469" s="54" t="s">
        <v>180</v>
      </c>
      <c r="D469" s="69">
        <v>17</v>
      </c>
      <c r="E469" s="68">
        <v>1E-3</v>
      </c>
    </row>
    <row r="470" spans="2:5">
      <c r="B470" s="112"/>
      <c r="C470" s="54" t="s">
        <v>201</v>
      </c>
      <c r="D470" s="69">
        <v>4</v>
      </c>
      <c r="E470" s="68">
        <v>0</v>
      </c>
    </row>
    <row r="471" spans="2:5">
      <c r="B471" s="112"/>
      <c r="C471" s="54" t="s">
        <v>181</v>
      </c>
      <c r="D471" s="69">
        <v>4</v>
      </c>
      <c r="E471" s="68">
        <v>0</v>
      </c>
    </row>
    <row r="472" spans="2:5">
      <c r="B472" s="112"/>
      <c r="C472" s="54" t="s">
        <v>182</v>
      </c>
      <c r="D472" s="69">
        <v>989</v>
      </c>
      <c r="E472" s="68">
        <v>4.1000000000000002E-2</v>
      </c>
    </row>
    <row r="473" spans="2:5">
      <c r="B473" s="112"/>
      <c r="C473" s="54" t="s">
        <v>184</v>
      </c>
      <c r="D473" s="69">
        <v>3</v>
      </c>
      <c r="E473" s="68">
        <v>0</v>
      </c>
    </row>
    <row r="474" spans="2:5">
      <c r="B474" s="112"/>
      <c r="C474" s="54" t="s">
        <v>206</v>
      </c>
      <c r="D474" s="69">
        <v>2</v>
      </c>
      <c r="E474" s="68">
        <v>0</v>
      </c>
    </row>
    <row r="475" spans="2:5">
      <c r="B475" s="112"/>
      <c r="C475" s="54" t="s">
        <v>185</v>
      </c>
      <c r="D475" s="69">
        <v>14</v>
      </c>
      <c r="E475" s="68">
        <v>1E-3</v>
      </c>
    </row>
    <row r="476" spans="2:5">
      <c r="B476" s="112"/>
      <c r="C476" s="54" t="s">
        <v>186</v>
      </c>
      <c r="D476" s="69">
        <v>5</v>
      </c>
      <c r="E476" s="68">
        <v>0</v>
      </c>
    </row>
    <row r="477" spans="2:5">
      <c r="B477" s="112"/>
      <c r="C477" s="54" t="s">
        <v>207</v>
      </c>
      <c r="D477" s="69">
        <v>2</v>
      </c>
      <c r="E477" s="68">
        <v>0</v>
      </c>
    </row>
    <row r="478" spans="2:5">
      <c r="B478" s="112"/>
      <c r="C478" s="54" t="s">
        <v>189</v>
      </c>
      <c r="D478" s="69">
        <v>10</v>
      </c>
      <c r="E478" s="68">
        <v>0</v>
      </c>
    </row>
    <row r="479" spans="2:5">
      <c r="B479" s="112"/>
      <c r="C479" s="54" t="s">
        <v>190</v>
      </c>
      <c r="D479" s="69">
        <v>6</v>
      </c>
      <c r="E479" s="68">
        <v>0</v>
      </c>
    </row>
    <row r="480" spans="2:5">
      <c r="B480" s="112"/>
      <c r="C480" s="54" t="s">
        <v>191</v>
      </c>
      <c r="D480" s="69">
        <v>5</v>
      </c>
      <c r="E480" s="68">
        <v>0</v>
      </c>
    </row>
    <row r="481" spans="2:5">
      <c r="B481" s="112"/>
      <c r="C481" s="54" t="s">
        <v>192</v>
      </c>
      <c r="D481" s="69">
        <v>10</v>
      </c>
      <c r="E481" s="68">
        <v>0</v>
      </c>
    </row>
    <row r="482" spans="2:5">
      <c r="B482" s="112"/>
      <c r="C482" s="54" t="s">
        <v>195</v>
      </c>
      <c r="D482" s="69">
        <v>1</v>
      </c>
      <c r="E482" s="68">
        <v>0</v>
      </c>
    </row>
    <row r="483" spans="2:5">
      <c r="B483" s="112"/>
      <c r="C483" s="54" t="s">
        <v>193</v>
      </c>
      <c r="D483" s="69">
        <v>1</v>
      </c>
      <c r="E483" s="68">
        <v>0</v>
      </c>
    </row>
    <row r="484" spans="2:5">
      <c r="B484" s="113"/>
      <c r="C484" s="74" t="s">
        <v>304</v>
      </c>
      <c r="D484" s="80">
        <v>1121</v>
      </c>
      <c r="E484" s="76">
        <v>4.5999999999999999E-2</v>
      </c>
    </row>
    <row r="485" spans="2:5">
      <c r="B485" s="111" t="s">
        <v>77</v>
      </c>
      <c r="C485" s="54" t="s">
        <v>169</v>
      </c>
      <c r="D485" s="69">
        <v>1</v>
      </c>
      <c r="E485" s="68">
        <v>0</v>
      </c>
    </row>
    <row r="486" spans="2:5">
      <c r="B486" s="112"/>
      <c r="C486" s="54" t="s">
        <v>196</v>
      </c>
      <c r="D486" s="69">
        <v>1</v>
      </c>
      <c r="E486" s="68">
        <v>0</v>
      </c>
    </row>
    <row r="487" spans="2:5">
      <c r="B487" s="112"/>
      <c r="C487" s="54" t="s">
        <v>174</v>
      </c>
      <c r="D487" s="69">
        <v>4</v>
      </c>
      <c r="E487" s="68">
        <v>0</v>
      </c>
    </row>
    <row r="488" spans="2:5">
      <c r="B488" s="112"/>
      <c r="C488" s="54" t="s">
        <v>278</v>
      </c>
      <c r="D488" s="69">
        <v>5</v>
      </c>
      <c r="E488" s="68">
        <v>0</v>
      </c>
    </row>
    <row r="489" spans="2:5">
      <c r="B489" s="112"/>
      <c r="C489" s="54" t="s">
        <v>176</v>
      </c>
      <c r="D489" s="69">
        <v>1</v>
      </c>
      <c r="E489" s="68">
        <v>0</v>
      </c>
    </row>
    <row r="490" spans="2:5">
      <c r="B490" s="112"/>
      <c r="C490" s="54" t="s">
        <v>177</v>
      </c>
      <c r="D490" s="69">
        <v>3</v>
      </c>
      <c r="E490" s="68">
        <v>0</v>
      </c>
    </row>
    <row r="491" spans="2:5">
      <c r="B491" s="112"/>
      <c r="C491" s="54" t="s">
        <v>199</v>
      </c>
      <c r="D491" s="69">
        <v>1</v>
      </c>
      <c r="E491" s="68">
        <v>0</v>
      </c>
    </row>
    <row r="492" spans="2:5">
      <c r="B492" s="112"/>
      <c r="C492" s="54" t="s">
        <v>204</v>
      </c>
      <c r="D492" s="69">
        <v>1</v>
      </c>
      <c r="E492" s="68">
        <v>0</v>
      </c>
    </row>
    <row r="493" spans="2:5">
      <c r="B493" s="112"/>
      <c r="C493" s="54" t="s">
        <v>180</v>
      </c>
      <c r="D493" s="69">
        <v>3</v>
      </c>
      <c r="E493" s="68">
        <v>0</v>
      </c>
    </row>
    <row r="494" spans="2:5">
      <c r="B494" s="112"/>
      <c r="C494" s="54" t="s">
        <v>202</v>
      </c>
      <c r="D494" s="69">
        <v>1</v>
      </c>
      <c r="E494" s="68">
        <v>0</v>
      </c>
    </row>
    <row r="495" spans="2:5">
      <c r="B495" s="112"/>
      <c r="C495" s="54" t="s">
        <v>182</v>
      </c>
      <c r="D495" s="69">
        <v>1</v>
      </c>
      <c r="E495" s="68">
        <v>0</v>
      </c>
    </row>
    <row r="496" spans="2:5">
      <c r="B496" s="112"/>
      <c r="C496" s="54" t="s">
        <v>185</v>
      </c>
      <c r="D496" s="69">
        <v>4</v>
      </c>
      <c r="E496" s="68">
        <v>0</v>
      </c>
    </row>
    <row r="497" spans="2:5">
      <c r="B497" s="112"/>
      <c r="C497" s="54" t="s">
        <v>186</v>
      </c>
      <c r="D497" s="69">
        <v>1</v>
      </c>
      <c r="E497" s="68">
        <v>0</v>
      </c>
    </row>
    <row r="498" spans="2:5">
      <c r="B498" s="112"/>
      <c r="C498" s="54" t="s">
        <v>188</v>
      </c>
      <c r="D498" s="69">
        <v>4</v>
      </c>
      <c r="E498" s="68">
        <v>0</v>
      </c>
    </row>
    <row r="499" spans="2:5">
      <c r="B499" s="112"/>
      <c r="C499" s="54" t="s">
        <v>189</v>
      </c>
      <c r="D499" s="69">
        <v>6</v>
      </c>
      <c r="E499" s="68">
        <v>0</v>
      </c>
    </row>
    <row r="500" spans="2:5">
      <c r="B500" s="112"/>
      <c r="C500" s="54" t="s">
        <v>190</v>
      </c>
      <c r="D500" s="69">
        <v>1</v>
      </c>
      <c r="E500" s="68">
        <v>0</v>
      </c>
    </row>
    <row r="501" spans="2:5">
      <c r="B501" s="112"/>
      <c r="C501" s="54" t="s">
        <v>191</v>
      </c>
      <c r="D501" s="69">
        <v>1</v>
      </c>
      <c r="E501" s="68">
        <v>0</v>
      </c>
    </row>
    <row r="502" spans="2:5">
      <c r="B502" s="113"/>
      <c r="C502" s="74" t="s">
        <v>304</v>
      </c>
      <c r="D502" s="80">
        <v>39</v>
      </c>
      <c r="E502" s="76">
        <v>2E-3</v>
      </c>
    </row>
    <row r="503" spans="2:5">
      <c r="B503" s="111" t="s">
        <v>55</v>
      </c>
      <c r="C503" s="54" t="s">
        <v>169</v>
      </c>
      <c r="D503" s="69">
        <v>2</v>
      </c>
      <c r="E503" s="68">
        <v>0</v>
      </c>
    </row>
    <row r="504" spans="2:5">
      <c r="B504" s="112"/>
      <c r="C504" s="54" t="s">
        <v>170</v>
      </c>
      <c r="D504" s="69">
        <v>11</v>
      </c>
      <c r="E504" s="68">
        <v>0</v>
      </c>
    </row>
    <row r="505" spans="2:5">
      <c r="B505" s="112"/>
      <c r="C505" s="54" t="s">
        <v>171</v>
      </c>
      <c r="D505" s="69">
        <v>3</v>
      </c>
      <c r="E505" s="68">
        <v>0</v>
      </c>
    </row>
    <row r="506" spans="2:5">
      <c r="B506" s="112"/>
      <c r="C506" s="54" t="s">
        <v>196</v>
      </c>
      <c r="D506" s="69">
        <v>3</v>
      </c>
      <c r="E506" s="68">
        <v>0</v>
      </c>
    </row>
    <row r="507" spans="2:5">
      <c r="B507" s="112"/>
      <c r="C507" s="54" t="s">
        <v>172</v>
      </c>
      <c r="D507" s="69">
        <v>1</v>
      </c>
      <c r="E507" s="68">
        <v>0</v>
      </c>
    </row>
    <row r="508" spans="2:5">
      <c r="B508" s="112"/>
      <c r="C508" s="54" t="s">
        <v>173</v>
      </c>
      <c r="D508" s="69">
        <v>9</v>
      </c>
      <c r="E508" s="68">
        <v>0</v>
      </c>
    </row>
    <row r="509" spans="2:5">
      <c r="B509" s="112"/>
      <c r="C509" s="54" t="s">
        <v>197</v>
      </c>
      <c r="D509" s="69">
        <v>5</v>
      </c>
      <c r="E509" s="68">
        <v>0</v>
      </c>
    </row>
    <row r="510" spans="2:5">
      <c r="B510" s="112"/>
      <c r="C510" s="54" t="s">
        <v>208</v>
      </c>
      <c r="D510" s="69">
        <v>1</v>
      </c>
      <c r="E510" s="68">
        <v>0</v>
      </c>
    </row>
    <row r="511" spans="2:5">
      <c r="B511" s="112"/>
      <c r="C511" s="54" t="s">
        <v>174</v>
      </c>
      <c r="D511" s="69">
        <v>21</v>
      </c>
      <c r="E511" s="68">
        <v>1E-3</v>
      </c>
    </row>
    <row r="512" spans="2:5">
      <c r="B512" s="112"/>
      <c r="C512" s="54" t="s">
        <v>176</v>
      </c>
      <c r="D512" s="69">
        <v>79</v>
      </c>
      <c r="E512" s="68">
        <v>3.0000000000000001E-3</v>
      </c>
    </row>
    <row r="513" spans="2:5">
      <c r="B513" s="112"/>
      <c r="C513" s="54" t="s">
        <v>177</v>
      </c>
      <c r="D513" s="69">
        <v>24</v>
      </c>
      <c r="E513" s="68">
        <v>1E-3</v>
      </c>
    </row>
    <row r="514" spans="2:5">
      <c r="B514" s="112"/>
      <c r="C514" s="54" t="s">
        <v>194</v>
      </c>
      <c r="D514" s="69">
        <v>9</v>
      </c>
      <c r="E514" s="68">
        <v>0</v>
      </c>
    </row>
    <row r="515" spans="2:5">
      <c r="B515" s="112"/>
      <c r="C515" s="54" t="s">
        <v>198</v>
      </c>
      <c r="D515" s="69">
        <v>2</v>
      </c>
      <c r="E515" s="68">
        <v>0</v>
      </c>
    </row>
    <row r="516" spans="2:5">
      <c r="B516" s="112"/>
      <c r="C516" s="54" t="s">
        <v>199</v>
      </c>
      <c r="D516" s="69">
        <v>1</v>
      </c>
      <c r="E516" s="68">
        <v>0</v>
      </c>
    </row>
    <row r="517" spans="2:5">
      <c r="B517" s="112"/>
      <c r="C517" s="54" t="s">
        <v>204</v>
      </c>
      <c r="D517" s="69">
        <v>3</v>
      </c>
      <c r="E517" s="68">
        <v>0</v>
      </c>
    </row>
    <row r="518" spans="2:5">
      <c r="B518" s="112"/>
      <c r="C518" s="54" t="s">
        <v>178</v>
      </c>
      <c r="D518" s="69">
        <v>2</v>
      </c>
      <c r="E518" s="68">
        <v>0</v>
      </c>
    </row>
    <row r="519" spans="2:5">
      <c r="B519" s="112"/>
      <c r="C519" s="54" t="s">
        <v>179</v>
      </c>
      <c r="D519" s="69">
        <v>6</v>
      </c>
      <c r="E519" s="68">
        <v>0</v>
      </c>
    </row>
    <row r="520" spans="2:5">
      <c r="B520" s="112"/>
      <c r="C520" s="54" t="s">
        <v>180</v>
      </c>
      <c r="D520" s="69">
        <v>62</v>
      </c>
      <c r="E520" s="68">
        <v>3.0000000000000001E-3</v>
      </c>
    </row>
    <row r="521" spans="2:5">
      <c r="B521" s="112"/>
      <c r="C521" s="54" t="s">
        <v>181</v>
      </c>
      <c r="D521" s="69">
        <v>3</v>
      </c>
      <c r="E521" s="68">
        <v>0</v>
      </c>
    </row>
    <row r="522" spans="2:5">
      <c r="B522" s="112"/>
      <c r="C522" s="54" t="s">
        <v>203</v>
      </c>
      <c r="D522" s="69">
        <v>1</v>
      </c>
      <c r="E522" s="68">
        <v>0</v>
      </c>
    </row>
    <row r="523" spans="2:5">
      <c r="B523" s="112"/>
      <c r="C523" s="54" t="s">
        <v>182</v>
      </c>
      <c r="D523" s="69">
        <v>13</v>
      </c>
      <c r="E523" s="68">
        <v>1E-3</v>
      </c>
    </row>
    <row r="524" spans="2:5">
      <c r="B524" s="112"/>
      <c r="C524" s="54" t="s">
        <v>183</v>
      </c>
      <c r="D524" s="69">
        <v>1</v>
      </c>
      <c r="E524" s="68">
        <v>0</v>
      </c>
    </row>
    <row r="525" spans="2:5">
      <c r="B525" s="112"/>
      <c r="C525" s="54" t="s">
        <v>184</v>
      </c>
      <c r="D525" s="69">
        <v>9</v>
      </c>
      <c r="E525" s="68">
        <v>0</v>
      </c>
    </row>
    <row r="526" spans="2:5">
      <c r="B526" s="112"/>
      <c r="C526" s="54" t="s">
        <v>206</v>
      </c>
      <c r="D526" s="69">
        <v>2</v>
      </c>
      <c r="E526" s="68">
        <v>0</v>
      </c>
    </row>
    <row r="527" spans="2:5">
      <c r="B527" s="112"/>
      <c r="C527" s="54" t="s">
        <v>185</v>
      </c>
      <c r="D527" s="69">
        <v>48</v>
      </c>
      <c r="E527" s="68">
        <v>2E-3</v>
      </c>
    </row>
    <row r="528" spans="2:5">
      <c r="B528" s="112"/>
      <c r="C528" s="54" t="s">
        <v>186</v>
      </c>
      <c r="D528" s="69">
        <v>24</v>
      </c>
      <c r="E528" s="68">
        <v>1E-3</v>
      </c>
    </row>
    <row r="529" spans="2:5">
      <c r="B529" s="112"/>
      <c r="C529" s="54" t="s">
        <v>187</v>
      </c>
      <c r="D529" s="69">
        <v>8</v>
      </c>
      <c r="E529" s="68">
        <v>0</v>
      </c>
    </row>
    <row r="530" spans="2:5">
      <c r="B530" s="112"/>
      <c r="C530" s="54" t="s">
        <v>188</v>
      </c>
      <c r="D530" s="69">
        <v>19</v>
      </c>
      <c r="E530" s="68">
        <v>1E-3</v>
      </c>
    </row>
    <row r="531" spans="2:5">
      <c r="B531" s="112"/>
      <c r="C531" s="54" t="s">
        <v>189</v>
      </c>
      <c r="D531" s="69">
        <v>26</v>
      </c>
      <c r="E531" s="68">
        <v>1E-3</v>
      </c>
    </row>
    <row r="532" spans="2:5">
      <c r="B532" s="112"/>
      <c r="C532" s="54" t="s">
        <v>190</v>
      </c>
      <c r="D532" s="69">
        <v>15</v>
      </c>
      <c r="E532" s="68">
        <v>1E-3</v>
      </c>
    </row>
    <row r="533" spans="2:5">
      <c r="B533" s="112"/>
      <c r="C533" s="54" t="s">
        <v>191</v>
      </c>
      <c r="D533" s="69">
        <v>7</v>
      </c>
      <c r="E533" s="68">
        <v>0</v>
      </c>
    </row>
    <row r="534" spans="2:5">
      <c r="B534" s="112"/>
      <c r="C534" s="54" t="s">
        <v>192</v>
      </c>
      <c r="D534" s="69">
        <v>31</v>
      </c>
      <c r="E534" s="68">
        <v>1E-3</v>
      </c>
    </row>
    <row r="535" spans="2:5">
      <c r="B535" s="112"/>
      <c r="C535" s="54" t="s">
        <v>193</v>
      </c>
      <c r="D535" s="69">
        <v>5</v>
      </c>
      <c r="E535" s="68">
        <v>0</v>
      </c>
    </row>
    <row r="536" spans="2:5">
      <c r="B536" s="113"/>
      <c r="C536" s="74" t="s">
        <v>304</v>
      </c>
      <c r="D536" s="80">
        <v>456</v>
      </c>
      <c r="E536" s="76">
        <v>1.9E-2</v>
      </c>
    </row>
    <row r="537" spans="2:5">
      <c r="B537" s="111" t="s">
        <v>65</v>
      </c>
      <c r="C537" s="54" t="s">
        <v>171</v>
      </c>
      <c r="D537" s="69">
        <v>5</v>
      </c>
      <c r="E537" s="68">
        <v>0</v>
      </c>
    </row>
    <row r="538" spans="2:5">
      <c r="B538" s="112"/>
      <c r="C538" s="54" t="s">
        <v>173</v>
      </c>
      <c r="D538" s="69">
        <v>1</v>
      </c>
      <c r="E538" s="68">
        <v>0</v>
      </c>
    </row>
    <row r="539" spans="2:5">
      <c r="B539" s="112"/>
      <c r="C539" s="54" t="s">
        <v>208</v>
      </c>
      <c r="D539" s="69">
        <v>1</v>
      </c>
      <c r="E539" s="68">
        <v>0</v>
      </c>
    </row>
    <row r="540" spans="2:5">
      <c r="B540" s="112"/>
      <c r="C540" s="54" t="s">
        <v>174</v>
      </c>
      <c r="D540" s="69">
        <v>8</v>
      </c>
      <c r="E540" s="68">
        <v>0</v>
      </c>
    </row>
    <row r="541" spans="2:5">
      <c r="B541" s="112"/>
      <c r="C541" s="54" t="s">
        <v>176</v>
      </c>
      <c r="D541" s="69">
        <v>11</v>
      </c>
      <c r="E541" s="68">
        <v>0</v>
      </c>
    </row>
    <row r="542" spans="2:5">
      <c r="B542" s="112"/>
      <c r="C542" s="54" t="s">
        <v>177</v>
      </c>
      <c r="D542" s="69">
        <v>2</v>
      </c>
      <c r="E542" s="68">
        <v>0</v>
      </c>
    </row>
    <row r="543" spans="2:5">
      <c r="B543" s="112"/>
      <c r="C543" s="54" t="s">
        <v>210</v>
      </c>
      <c r="D543" s="69">
        <v>1</v>
      </c>
      <c r="E543" s="68">
        <v>0</v>
      </c>
    </row>
    <row r="544" spans="2:5">
      <c r="B544" s="112"/>
      <c r="C544" s="54" t="s">
        <v>194</v>
      </c>
      <c r="D544" s="69">
        <v>2</v>
      </c>
      <c r="E544" s="68">
        <v>0</v>
      </c>
    </row>
    <row r="545" spans="2:5">
      <c r="B545" s="112"/>
      <c r="C545" s="54" t="s">
        <v>204</v>
      </c>
      <c r="D545" s="69">
        <v>2</v>
      </c>
      <c r="E545" s="68">
        <v>0</v>
      </c>
    </row>
    <row r="546" spans="2:5">
      <c r="B546" s="112"/>
      <c r="C546" s="54" t="s">
        <v>200</v>
      </c>
      <c r="D546" s="69">
        <v>4</v>
      </c>
      <c r="E546" s="68">
        <v>0</v>
      </c>
    </row>
    <row r="547" spans="2:5">
      <c r="B547" s="112"/>
      <c r="C547" s="54" t="s">
        <v>180</v>
      </c>
      <c r="D547" s="69">
        <v>13</v>
      </c>
      <c r="E547" s="68">
        <v>1E-3</v>
      </c>
    </row>
    <row r="548" spans="2:5">
      <c r="B548" s="112"/>
      <c r="C548" s="54" t="s">
        <v>182</v>
      </c>
      <c r="D548" s="69">
        <v>11</v>
      </c>
      <c r="E548" s="68">
        <v>0</v>
      </c>
    </row>
    <row r="549" spans="2:5">
      <c r="B549" s="112"/>
      <c r="C549" s="54" t="s">
        <v>184</v>
      </c>
      <c r="D549" s="69">
        <v>1</v>
      </c>
      <c r="E549" s="68">
        <v>0</v>
      </c>
    </row>
    <row r="550" spans="2:5">
      <c r="B550" s="112"/>
      <c r="C550" s="54" t="s">
        <v>206</v>
      </c>
      <c r="D550" s="69">
        <v>1</v>
      </c>
      <c r="E550" s="68">
        <v>0</v>
      </c>
    </row>
    <row r="551" spans="2:5">
      <c r="B551" s="112"/>
      <c r="C551" s="54" t="s">
        <v>185</v>
      </c>
      <c r="D551" s="69">
        <v>12</v>
      </c>
      <c r="E551" s="68">
        <v>0</v>
      </c>
    </row>
    <row r="552" spans="2:5">
      <c r="B552" s="112"/>
      <c r="C552" s="54" t="s">
        <v>186</v>
      </c>
      <c r="D552" s="69">
        <v>5</v>
      </c>
      <c r="E552" s="68">
        <v>0</v>
      </c>
    </row>
    <row r="553" spans="2:5">
      <c r="B553" s="112"/>
      <c r="C553" s="54" t="s">
        <v>187</v>
      </c>
      <c r="D553" s="69">
        <v>4</v>
      </c>
      <c r="E553" s="68">
        <v>0</v>
      </c>
    </row>
    <row r="554" spans="2:5">
      <c r="B554" s="112"/>
      <c r="C554" s="54" t="s">
        <v>189</v>
      </c>
      <c r="D554" s="69">
        <v>28</v>
      </c>
      <c r="E554" s="68">
        <v>1E-3</v>
      </c>
    </row>
    <row r="555" spans="2:5">
      <c r="B555" s="112"/>
      <c r="C555" s="54" t="s">
        <v>190</v>
      </c>
      <c r="D555" s="69">
        <v>1</v>
      </c>
      <c r="E555" s="68">
        <v>0</v>
      </c>
    </row>
    <row r="556" spans="2:5">
      <c r="B556" s="112"/>
      <c r="C556" s="54" t="s">
        <v>191</v>
      </c>
      <c r="D556" s="69">
        <v>3</v>
      </c>
      <c r="E556" s="68">
        <v>0</v>
      </c>
    </row>
    <row r="557" spans="2:5">
      <c r="B557" s="112"/>
      <c r="C557" s="54" t="s">
        <v>192</v>
      </c>
      <c r="D557" s="69">
        <v>6</v>
      </c>
      <c r="E557" s="68">
        <v>0</v>
      </c>
    </row>
    <row r="558" spans="2:5">
      <c r="B558" s="112"/>
      <c r="C558" s="54" t="s">
        <v>193</v>
      </c>
      <c r="D558" s="69">
        <v>2</v>
      </c>
      <c r="E558" s="68">
        <v>0</v>
      </c>
    </row>
    <row r="559" spans="2:5">
      <c r="B559" s="113"/>
      <c r="C559" s="74" t="s">
        <v>304</v>
      </c>
      <c r="D559" s="80">
        <v>124</v>
      </c>
      <c r="E559" s="76">
        <v>5.0000000000000001E-3</v>
      </c>
    </row>
    <row r="560" spans="2:5">
      <c r="B560" s="111" t="s">
        <v>46</v>
      </c>
      <c r="C560" s="54" t="s">
        <v>169</v>
      </c>
      <c r="D560" s="69">
        <v>25</v>
      </c>
      <c r="E560" s="68">
        <v>1E-3</v>
      </c>
    </row>
    <row r="561" spans="2:5">
      <c r="B561" s="112"/>
      <c r="C561" s="54" t="s">
        <v>170</v>
      </c>
      <c r="D561" s="69">
        <v>38</v>
      </c>
      <c r="E561" s="68">
        <v>2E-3</v>
      </c>
    </row>
    <row r="562" spans="2:5">
      <c r="B562" s="112"/>
      <c r="C562" s="54" t="s">
        <v>171</v>
      </c>
      <c r="D562" s="69">
        <v>16</v>
      </c>
      <c r="E562" s="68">
        <v>1E-3</v>
      </c>
    </row>
    <row r="563" spans="2:5">
      <c r="B563" s="112"/>
      <c r="C563" s="54" t="s">
        <v>196</v>
      </c>
      <c r="D563" s="69">
        <v>9</v>
      </c>
      <c r="E563" s="68">
        <v>0</v>
      </c>
    </row>
    <row r="564" spans="2:5">
      <c r="B564" s="112"/>
      <c r="C564" s="54" t="s">
        <v>172</v>
      </c>
      <c r="D564" s="69">
        <v>49</v>
      </c>
      <c r="E564" s="68">
        <v>2E-3</v>
      </c>
    </row>
    <row r="565" spans="2:5">
      <c r="B565" s="112"/>
      <c r="C565" s="54" t="s">
        <v>173</v>
      </c>
      <c r="D565" s="69">
        <v>23</v>
      </c>
      <c r="E565" s="68">
        <v>1E-3</v>
      </c>
    </row>
    <row r="566" spans="2:5">
      <c r="B566" s="112"/>
      <c r="C566" s="54" t="s">
        <v>197</v>
      </c>
      <c r="D566" s="69">
        <v>131</v>
      </c>
      <c r="E566" s="68">
        <v>5.0000000000000001E-3</v>
      </c>
    </row>
    <row r="567" spans="2:5">
      <c r="B567" s="112"/>
      <c r="C567" s="54" t="s">
        <v>208</v>
      </c>
      <c r="D567" s="69">
        <v>4</v>
      </c>
      <c r="E567" s="68">
        <v>0</v>
      </c>
    </row>
    <row r="568" spans="2:5">
      <c r="B568" s="112"/>
      <c r="C568" s="54" t="s">
        <v>174</v>
      </c>
      <c r="D568" s="69">
        <v>78</v>
      </c>
      <c r="E568" s="68">
        <v>3.0000000000000001E-3</v>
      </c>
    </row>
    <row r="569" spans="2:5">
      <c r="B569" s="112"/>
      <c r="C569" s="54" t="s">
        <v>175</v>
      </c>
      <c r="D569" s="69">
        <v>2</v>
      </c>
      <c r="E569" s="68">
        <v>0</v>
      </c>
    </row>
    <row r="570" spans="2:5">
      <c r="B570" s="112"/>
      <c r="C570" s="54" t="s">
        <v>176</v>
      </c>
      <c r="D570" s="69">
        <v>218</v>
      </c>
      <c r="E570" s="68">
        <v>8.9999999999999993E-3</v>
      </c>
    </row>
    <row r="571" spans="2:5">
      <c r="B571" s="112"/>
      <c r="C571" s="54" t="s">
        <v>177</v>
      </c>
      <c r="D571" s="69">
        <v>41</v>
      </c>
      <c r="E571" s="68">
        <v>2E-3</v>
      </c>
    </row>
    <row r="572" spans="2:5">
      <c r="B572" s="112"/>
      <c r="C572" s="54" t="s">
        <v>210</v>
      </c>
      <c r="D572" s="69">
        <v>5</v>
      </c>
      <c r="E572" s="68">
        <v>0</v>
      </c>
    </row>
    <row r="573" spans="2:5">
      <c r="B573" s="112"/>
      <c r="C573" s="54" t="s">
        <v>194</v>
      </c>
      <c r="D573" s="69">
        <v>202</v>
      </c>
      <c r="E573" s="68">
        <v>8.0000000000000002E-3</v>
      </c>
    </row>
    <row r="574" spans="2:5">
      <c r="B574" s="112"/>
      <c r="C574" s="54" t="s">
        <v>198</v>
      </c>
      <c r="D574" s="69">
        <v>2</v>
      </c>
      <c r="E574" s="68">
        <v>0</v>
      </c>
    </row>
    <row r="575" spans="2:5">
      <c r="B575" s="112"/>
      <c r="C575" s="54" t="s">
        <v>199</v>
      </c>
      <c r="D575" s="69">
        <v>8</v>
      </c>
      <c r="E575" s="68">
        <v>0</v>
      </c>
    </row>
    <row r="576" spans="2:5">
      <c r="B576" s="112"/>
      <c r="C576" s="54" t="s">
        <v>204</v>
      </c>
      <c r="D576" s="69">
        <v>21</v>
      </c>
      <c r="E576" s="68">
        <v>1E-3</v>
      </c>
    </row>
    <row r="577" spans="2:5">
      <c r="B577" s="112"/>
      <c r="C577" s="54" t="s">
        <v>178</v>
      </c>
      <c r="D577" s="69">
        <v>9</v>
      </c>
      <c r="E577" s="68">
        <v>0</v>
      </c>
    </row>
    <row r="578" spans="2:5">
      <c r="B578" s="112"/>
      <c r="C578" s="54" t="s">
        <v>200</v>
      </c>
      <c r="D578" s="69">
        <v>13</v>
      </c>
      <c r="E578" s="68">
        <v>1E-3</v>
      </c>
    </row>
    <row r="579" spans="2:5">
      <c r="B579" s="112"/>
      <c r="C579" s="54" t="s">
        <v>179</v>
      </c>
      <c r="D579" s="69">
        <v>21</v>
      </c>
      <c r="E579" s="68">
        <v>1E-3</v>
      </c>
    </row>
    <row r="580" spans="2:5">
      <c r="B580" s="112"/>
      <c r="C580" s="54" t="s">
        <v>205</v>
      </c>
      <c r="D580" s="69">
        <v>7</v>
      </c>
      <c r="E580" s="68">
        <v>0</v>
      </c>
    </row>
    <row r="581" spans="2:5">
      <c r="B581" s="112"/>
      <c r="C581" s="54" t="s">
        <v>180</v>
      </c>
      <c r="D581" s="69">
        <v>389</v>
      </c>
      <c r="E581" s="68">
        <v>1.6E-2</v>
      </c>
    </row>
    <row r="582" spans="2:5">
      <c r="B582" s="112"/>
      <c r="C582" s="54" t="s">
        <v>201</v>
      </c>
      <c r="D582" s="69">
        <v>41</v>
      </c>
      <c r="E582" s="68">
        <v>2E-3</v>
      </c>
    </row>
    <row r="583" spans="2:5">
      <c r="B583" s="112"/>
      <c r="C583" s="54" t="s">
        <v>181</v>
      </c>
      <c r="D583" s="69">
        <v>180</v>
      </c>
      <c r="E583" s="68">
        <v>7.0000000000000001E-3</v>
      </c>
    </row>
    <row r="584" spans="2:5">
      <c r="B584" s="112"/>
      <c r="C584" s="54" t="s">
        <v>202</v>
      </c>
      <c r="D584" s="69">
        <v>12</v>
      </c>
      <c r="E584" s="68">
        <v>0</v>
      </c>
    </row>
    <row r="585" spans="2:5">
      <c r="B585" s="112"/>
      <c r="C585" s="54" t="s">
        <v>203</v>
      </c>
      <c r="D585" s="69">
        <v>17</v>
      </c>
      <c r="E585" s="68">
        <v>1E-3</v>
      </c>
    </row>
    <row r="586" spans="2:5">
      <c r="B586" s="112"/>
      <c r="C586" s="54" t="s">
        <v>182</v>
      </c>
      <c r="D586" s="69">
        <v>45</v>
      </c>
      <c r="E586" s="68">
        <v>2E-3</v>
      </c>
    </row>
    <row r="587" spans="2:5">
      <c r="B587" s="112"/>
      <c r="C587" s="54" t="s">
        <v>183</v>
      </c>
      <c r="D587" s="69">
        <v>1</v>
      </c>
      <c r="E587" s="68">
        <v>0</v>
      </c>
    </row>
    <row r="588" spans="2:5">
      <c r="B588" s="112"/>
      <c r="C588" s="54" t="s">
        <v>184</v>
      </c>
      <c r="D588" s="69">
        <v>14</v>
      </c>
      <c r="E588" s="68">
        <v>1E-3</v>
      </c>
    </row>
    <row r="589" spans="2:5">
      <c r="B589" s="112"/>
      <c r="C589" s="54" t="s">
        <v>206</v>
      </c>
      <c r="D589" s="69">
        <v>15</v>
      </c>
      <c r="E589" s="68">
        <v>1E-3</v>
      </c>
    </row>
    <row r="590" spans="2:5">
      <c r="B590" s="112"/>
      <c r="C590" s="54" t="s">
        <v>209</v>
      </c>
      <c r="D590" s="69">
        <v>4</v>
      </c>
      <c r="E590" s="68">
        <v>0</v>
      </c>
    </row>
    <row r="591" spans="2:5">
      <c r="B591" s="112"/>
      <c r="C591" s="54" t="s">
        <v>185</v>
      </c>
      <c r="D591" s="67">
        <v>2294</v>
      </c>
      <c r="E591" s="68">
        <v>9.4E-2</v>
      </c>
    </row>
    <row r="592" spans="2:5">
      <c r="B592" s="112"/>
      <c r="C592" s="54" t="s">
        <v>186</v>
      </c>
      <c r="D592" s="69">
        <v>695</v>
      </c>
      <c r="E592" s="68">
        <v>2.8000000000000001E-2</v>
      </c>
    </row>
    <row r="593" spans="2:5">
      <c r="B593" s="112"/>
      <c r="C593" s="54" t="s">
        <v>207</v>
      </c>
      <c r="D593" s="69">
        <v>10</v>
      </c>
      <c r="E593" s="68">
        <v>0</v>
      </c>
    </row>
    <row r="594" spans="2:5">
      <c r="B594" s="112"/>
      <c r="C594" s="54" t="s">
        <v>187</v>
      </c>
      <c r="D594" s="69">
        <v>135</v>
      </c>
      <c r="E594" s="68">
        <v>6.0000000000000001E-3</v>
      </c>
    </row>
    <row r="595" spans="2:5">
      <c r="B595" s="112"/>
      <c r="C595" s="54" t="s">
        <v>211</v>
      </c>
      <c r="D595" s="69">
        <v>1</v>
      </c>
      <c r="E595" s="68">
        <v>0</v>
      </c>
    </row>
    <row r="596" spans="2:5">
      <c r="B596" s="112"/>
      <c r="C596" s="54" t="s">
        <v>188</v>
      </c>
      <c r="D596" s="69">
        <v>50</v>
      </c>
      <c r="E596" s="68">
        <v>2E-3</v>
      </c>
    </row>
    <row r="597" spans="2:5">
      <c r="B597" s="112"/>
      <c r="C597" s="54" t="s">
        <v>189</v>
      </c>
      <c r="D597" s="69">
        <v>131</v>
      </c>
      <c r="E597" s="68">
        <v>5.0000000000000001E-3</v>
      </c>
    </row>
    <row r="598" spans="2:5">
      <c r="B598" s="112"/>
      <c r="C598" s="54" t="s">
        <v>190</v>
      </c>
      <c r="D598" s="69">
        <v>176</v>
      </c>
      <c r="E598" s="68">
        <v>7.0000000000000001E-3</v>
      </c>
    </row>
    <row r="599" spans="2:5">
      <c r="B599" s="112"/>
      <c r="C599" s="54" t="s">
        <v>191</v>
      </c>
      <c r="D599" s="69">
        <v>285</v>
      </c>
      <c r="E599" s="68">
        <v>1.2E-2</v>
      </c>
    </row>
    <row r="600" spans="2:5">
      <c r="B600" s="112"/>
      <c r="C600" s="54" t="s">
        <v>192</v>
      </c>
      <c r="D600" s="69">
        <v>167</v>
      </c>
      <c r="E600" s="68">
        <v>7.0000000000000001E-3</v>
      </c>
    </row>
    <row r="601" spans="2:5">
      <c r="B601" s="112"/>
      <c r="C601" s="54" t="s">
        <v>195</v>
      </c>
      <c r="D601" s="69">
        <v>14</v>
      </c>
      <c r="E601" s="68">
        <v>1E-3</v>
      </c>
    </row>
    <row r="602" spans="2:5">
      <c r="B602" s="112"/>
      <c r="C602" s="54" t="s">
        <v>193</v>
      </c>
      <c r="D602" s="69">
        <v>13</v>
      </c>
      <c r="E602" s="68">
        <v>1E-3</v>
      </c>
    </row>
    <row r="603" spans="2:5">
      <c r="B603" s="113"/>
      <c r="C603" s="74" t="s">
        <v>304</v>
      </c>
      <c r="D603" s="80">
        <v>5611</v>
      </c>
      <c r="E603" s="76">
        <v>0.23</v>
      </c>
    </row>
    <row r="604" spans="2:5">
      <c r="B604" s="111" t="s">
        <v>61</v>
      </c>
      <c r="C604" s="54" t="s">
        <v>171</v>
      </c>
      <c r="D604" s="69">
        <v>3</v>
      </c>
      <c r="E604" s="68">
        <v>0</v>
      </c>
    </row>
    <row r="605" spans="2:5">
      <c r="B605" s="112"/>
      <c r="C605" s="54" t="s">
        <v>196</v>
      </c>
      <c r="D605" s="69">
        <v>2</v>
      </c>
      <c r="E605" s="68">
        <v>0</v>
      </c>
    </row>
    <row r="606" spans="2:5">
      <c r="B606" s="112"/>
      <c r="C606" s="54" t="s">
        <v>172</v>
      </c>
      <c r="D606" s="69">
        <v>1</v>
      </c>
      <c r="E606" s="68">
        <v>0</v>
      </c>
    </row>
    <row r="607" spans="2:5">
      <c r="B607" s="112"/>
      <c r="C607" s="54" t="s">
        <v>173</v>
      </c>
      <c r="D607" s="69">
        <v>2</v>
      </c>
      <c r="E607" s="68">
        <v>0</v>
      </c>
    </row>
    <row r="608" spans="2:5">
      <c r="B608" s="112"/>
      <c r="C608" s="54" t="s">
        <v>208</v>
      </c>
      <c r="D608" s="69">
        <v>1</v>
      </c>
      <c r="E608" s="68">
        <v>0</v>
      </c>
    </row>
    <row r="609" spans="2:5">
      <c r="B609" s="112"/>
      <c r="C609" s="54" t="s">
        <v>174</v>
      </c>
      <c r="D609" s="69">
        <v>10</v>
      </c>
      <c r="E609" s="68">
        <v>0</v>
      </c>
    </row>
    <row r="610" spans="2:5">
      <c r="B610" s="112"/>
      <c r="C610" s="54" t="s">
        <v>278</v>
      </c>
      <c r="D610" s="69">
        <v>5</v>
      </c>
      <c r="E610" s="68">
        <v>0</v>
      </c>
    </row>
    <row r="611" spans="2:5">
      <c r="B611" s="112"/>
      <c r="C611" s="54" t="s">
        <v>176</v>
      </c>
      <c r="D611" s="69">
        <v>20</v>
      </c>
      <c r="E611" s="68">
        <v>1E-3</v>
      </c>
    </row>
    <row r="612" spans="2:5">
      <c r="B612" s="112"/>
      <c r="C612" s="54" t="s">
        <v>177</v>
      </c>
      <c r="D612" s="69">
        <v>2</v>
      </c>
      <c r="E612" s="68">
        <v>0</v>
      </c>
    </row>
    <row r="613" spans="2:5">
      <c r="B613" s="112"/>
      <c r="C613" s="54" t="s">
        <v>199</v>
      </c>
      <c r="D613" s="69">
        <v>2</v>
      </c>
      <c r="E613" s="68">
        <v>0</v>
      </c>
    </row>
    <row r="614" spans="2:5">
      <c r="B614" s="112"/>
      <c r="C614" s="54" t="s">
        <v>178</v>
      </c>
      <c r="D614" s="69">
        <v>2</v>
      </c>
      <c r="E614" s="68">
        <v>0</v>
      </c>
    </row>
    <row r="615" spans="2:5">
      <c r="B615" s="112"/>
      <c r="C615" s="54" t="s">
        <v>179</v>
      </c>
      <c r="D615" s="69">
        <v>1</v>
      </c>
      <c r="E615" s="68">
        <v>0</v>
      </c>
    </row>
    <row r="616" spans="2:5">
      <c r="B616" s="112"/>
      <c r="C616" s="54" t="s">
        <v>180</v>
      </c>
      <c r="D616" s="69">
        <v>51</v>
      </c>
      <c r="E616" s="68">
        <v>2E-3</v>
      </c>
    </row>
    <row r="617" spans="2:5">
      <c r="B617" s="112"/>
      <c r="C617" s="54" t="s">
        <v>181</v>
      </c>
      <c r="D617" s="69">
        <v>2</v>
      </c>
      <c r="E617" s="68">
        <v>0</v>
      </c>
    </row>
    <row r="618" spans="2:5">
      <c r="B618" s="112"/>
      <c r="C618" s="54" t="s">
        <v>182</v>
      </c>
      <c r="D618" s="69">
        <v>5</v>
      </c>
      <c r="E618" s="68">
        <v>0</v>
      </c>
    </row>
    <row r="619" spans="2:5">
      <c r="B619" s="112"/>
      <c r="C619" s="54" t="s">
        <v>184</v>
      </c>
      <c r="D619" s="69">
        <v>4</v>
      </c>
      <c r="E619" s="68">
        <v>0</v>
      </c>
    </row>
    <row r="620" spans="2:5">
      <c r="B620" s="112"/>
      <c r="C620" s="54" t="s">
        <v>185</v>
      </c>
      <c r="D620" s="69">
        <v>20</v>
      </c>
      <c r="E620" s="68">
        <v>1E-3</v>
      </c>
    </row>
    <row r="621" spans="2:5">
      <c r="B621" s="112"/>
      <c r="C621" s="54" t="s">
        <v>186</v>
      </c>
      <c r="D621" s="69">
        <v>9</v>
      </c>
      <c r="E621" s="68">
        <v>0</v>
      </c>
    </row>
    <row r="622" spans="2:5">
      <c r="B622" s="112"/>
      <c r="C622" s="54" t="s">
        <v>207</v>
      </c>
      <c r="D622" s="69">
        <v>1</v>
      </c>
      <c r="E622" s="68">
        <v>0</v>
      </c>
    </row>
    <row r="623" spans="2:5">
      <c r="B623" s="112"/>
      <c r="C623" s="54" t="s">
        <v>187</v>
      </c>
      <c r="D623" s="69">
        <v>9</v>
      </c>
      <c r="E623" s="68">
        <v>0</v>
      </c>
    </row>
    <row r="624" spans="2:5">
      <c r="B624" s="112"/>
      <c r="C624" s="54" t="s">
        <v>188</v>
      </c>
      <c r="D624" s="69">
        <v>1</v>
      </c>
      <c r="E624" s="68">
        <v>0</v>
      </c>
    </row>
    <row r="625" spans="2:5">
      <c r="B625" s="112"/>
      <c r="C625" s="54" t="s">
        <v>189</v>
      </c>
      <c r="D625" s="69">
        <v>18</v>
      </c>
      <c r="E625" s="68">
        <v>1E-3</v>
      </c>
    </row>
    <row r="626" spans="2:5">
      <c r="B626" s="112"/>
      <c r="C626" s="54" t="s">
        <v>190</v>
      </c>
      <c r="D626" s="69">
        <v>8</v>
      </c>
      <c r="E626" s="68">
        <v>0</v>
      </c>
    </row>
    <row r="627" spans="2:5">
      <c r="B627" s="112"/>
      <c r="C627" s="54" t="s">
        <v>191</v>
      </c>
      <c r="D627" s="69">
        <v>7</v>
      </c>
      <c r="E627" s="68">
        <v>0</v>
      </c>
    </row>
    <row r="628" spans="2:5">
      <c r="B628" s="112"/>
      <c r="C628" s="54" t="s">
        <v>192</v>
      </c>
      <c r="D628" s="69">
        <v>5</v>
      </c>
      <c r="E628" s="68">
        <v>0</v>
      </c>
    </row>
    <row r="629" spans="2:5">
      <c r="B629" s="112"/>
      <c r="C629" s="54" t="s">
        <v>193</v>
      </c>
      <c r="D629" s="69">
        <v>2</v>
      </c>
      <c r="E629" s="68">
        <v>0</v>
      </c>
    </row>
    <row r="630" spans="2:5">
      <c r="B630" s="113"/>
      <c r="C630" s="74" t="s">
        <v>304</v>
      </c>
      <c r="D630" s="80">
        <v>193</v>
      </c>
      <c r="E630" s="76">
        <v>8.0000000000000002E-3</v>
      </c>
    </row>
    <row r="631" spans="2:5">
      <c r="B631" s="111" t="s">
        <v>70</v>
      </c>
      <c r="C631" s="54" t="s">
        <v>174</v>
      </c>
      <c r="D631" s="69">
        <v>1</v>
      </c>
      <c r="E631" s="68">
        <v>0</v>
      </c>
    </row>
    <row r="632" spans="2:5">
      <c r="B632" s="112"/>
      <c r="C632" s="54" t="s">
        <v>176</v>
      </c>
      <c r="D632" s="69">
        <v>4</v>
      </c>
      <c r="E632" s="68">
        <v>0</v>
      </c>
    </row>
    <row r="633" spans="2:5">
      <c r="B633" s="112"/>
      <c r="C633" s="54" t="s">
        <v>177</v>
      </c>
      <c r="D633" s="69">
        <v>2</v>
      </c>
      <c r="E633" s="68">
        <v>0</v>
      </c>
    </row>
    <row r="634" spans="2:5">
      <c r="B634" s="112"/>
      <c r="C634" s="54" t="s">
        <v>194</v>
      </c>
      <c r="D634" s="69">
        <v>1</v>
      </c>
      <c r="E634" s="68">
        <v>0</v>
      </c>
    </row>
    <row r="635" spans="2:5">
      <c r="B635" s="112"/>
      <c r="C635" s="54" t="s">
        <v>178</v>
      </c>
      <c r="D635" s="69">
        <v>1</v>
      </c>
      <c r="E635" s="68">
        <v>0</v>
      </c>
    </row>
    <row r="636" spans="2:5">
      <c r="B636" s="112"/>
      <c r="C636" s="54" t="s">
        <v>200</v>
      </c>
      <c r="D636" s="69">
        <v>1</v>
      </c>
      <c r="E636" s="68">
        <v>0</v>
      </c>
    </row>
    <row r="637" spans="2:5">
      <c r="B637" s="112"/>
      <c r="C637" s="54" t="s">
        <v>180</v>
      </c>
      <c r="D637" s="69">
        <v>10</v>
      </c>
      <c r="E637" s="68">
        <v>0</v>
      </c>
    </row>
    <row r="638" spans="2:5">
      <c r="B638" s="112"/>
      <c r="C638" s="54" t="s">
        <v>182</v>
      </c>
      <c r="D638" s="69">
        <v>7</v>
      </c>
      <c r="E638" s="68">
        <v>0</v>
      </c>
    </row>
    <row r="639" spans="2:5">
      <c r="B639" s="112"/>
      <c r="C639" s="54" t="s">
        <v>184</v>
      </c>
      <c r="D639" s="69">
        <v>1</v>
      </c>
      <c r="E639" s="68">
        <v>0</v>
      </c>
    </row>
    <row r="640" spans="2:5">
      <c r="B640" s="112"/>
      <c r="C640" s="54" t="s">
        <v>185</v>
      </c>
      <c r="D640" s="69">
        <v>10</v>
      </c>
      <c r="E640" s="68">
        <v>0</v>
      </c>
    </row>
    <row r="641" spans="2:5">
      <c r="B641" s="112"/>
      <c r="C641" s="54" t="s">
        <v>186</v>
      </c>
      <c r="D641" s="69">
        <v>1</v>
      </c>
      <c r="E641" s="68">
        <v>0</v>
      </c>
    </row>
    <row r="642" spans="2:5">
      <c r="B642" s="112"/>
      <c r="C642" s="54" t="s">
        <v>187</v>
      </c>
      <c r="D642" s="69">
        <v>1</v>
      </c>
      <c r="E642" s="68">
        <v>0</v>
      </c>
    </row>
    <row r="643" spans="2:5">
      <c r="B643" s="112"/>
      <c r="C643" s="54" t="s">
        <v>189</v>
      </c>
      <c r="D643" s="69">
        <v>3</v>
      </c>
      <c r="E643" s="68">
        <v>0</v>
      </c>
    </row>
    <row r="644" spans="2:5">
      <c r="B644" s="112"/>
      <c r="C644" s="54" t="s">
        <v>190</v>
      </c>
      <c r="D644" s="69">
        <v>1</v>
      </c>
      <c r="E644" s="68">
        <v>0</v>
      </c>
    </row>
    <row r="645" spans="2:5">
      <c r="B645" s="112"/>
      <c r="C645" s="54" t="s">
        <v>191</v>
      </c>
      <c r="D645" s="69">
        <v>3</v>
      </c>
      <c r="E645" s="68">
        <v>0</v>
      </c>
    </row>
    <row r="646" spans="2:5">
      <c r="B646" s="112"/>
      <c r="C646" s="54" t="s">
        <v>192</v>
      </c>
      <c r="D646" s="69">
        <v>5</v>
      </c>
      <c r="E646" s="68">
        <v>0</v>
      </c>
    </row>
    <row r="647" spans="2:5">
      <c r="B647" s="113"/>
      <c r="C647" s="74" t="s">
        <v>304</v>
      </c>
      <c r="D647" s="80">
        <v>52</v>
      </c>
      <c r="E647" s="76">
        <v>2E-3</v>
      </c>
    </row>
    <row r="648" spans="2:5">
      <c r="B648" s="111" t="s">
        <v>91</v>
      </c>
      <c r="C648" s="54" t="s">
        <v>174</v>
      </c>
      <c r="D648" s="69">
        <v>2</v>
      </c>
      <c r="E648" s="68">
        <v>0</v>
      </c>
    </row>
    <row r="649" spans="2:5">
      <c r="B649" s="112"/>
      <c r="C649" s="54" t="s">
        <v>176</v>
      </c>
      <c r="D649" s="69">
        <v>1</v>
      </c>
      <c r="E649" s="68">
        <v>0</v>
      </c>
    </row>
    <row r="650" spans="2:5">
      <c r="B650" s="112"/>
      <c r="C650" s="54" t="s">
        <v>180</v>
      </c>
      <c r="D650" s="69">
        <v>1</v>
      </c>
      <c r="E650" s="68">
        <v>0</v>
      </c>
    </row>
    <row r="651" spans="2:5">
      <c r="B651" s="112"/>
      <c r="C651" s="54" t="s">
        <v>182</v>
      </c>
      <c r="D651" s="69">
        <v>2</v>
      </c>
      <c r="E651" s="68">
        <v>0</v>
      </c>
    </row>
    <row r="652" spans="2:5">
      <c r="B652" s="112"/>
      <c r="C652" s="54" t="s">
        <v>185</v>
      </c>
      <c r="D652" s="69">
        <v>2</v>
      </c>
      <c r="E652" s="68">
        <v>0</v>
      </c>
    </row>
    <row r="653" spans="2:5">
      <c r="B653" s="112"/>
      <c r="C653" s="54" t="s">
        <v>187</v>
      </c>
      <c r="D653" s="69">
        <v>1</v>
      </c>
      <c r="E653" s="68">
        <v>0</v>
      </c>
    </row>
    <row r="654" spans="2:5">
      <c r="B654" s="112"/>
      <c r="C654" s="54" t="s">
        <v>189</v>
      </c>
      <c r="D654" s="69">
        <v>2</v>
      </c>
      <c r="E654" s="68">
        <v>0</v>
      </c>
    </row>
    <row r="655" spans="2:5">
      <c r="B655" s="113"/>
      <c r="C655" s="74" t="s">
        <v>304</v>
      </c>
      <c r="D655" s="80">
        <v>11</v>
      </c>
      <c r="E655" s="76">
        <v>0</v>
      </c>
    </row>
    <row r="656" spans="2:5">
      <c r="B656" s="111" t="s">
        <v>57</v>
      </c>
      <c r="C656" s="54" t="s">
        <v>169</v>
      </c>
      <c r="D656" s="69">
        <v>2</v>
      </c>
      <c r="E656" s="68">
        <v>0</v>
      </c>
    </row>
    <row r="657" spans="2:5">
      <c r="B657" s="112"/>
      <c r="C657" s="54" t="s">
        <v>170</v>
      </c>
      <c r="D657" s="69">
        <v>7</v>
      </c>
      <c r="E657" s="68">
        <v>0</v>
      </c>
    </row>
    <row r="658" spans="2:5">
      <c r="B658" s="112"/>
      <c r="C658" s="54" t="s">
        <v>171</v>
      </c>
      <c r="D658" s="69">
        <v>2</v>
      </c>
      <c r="E658" s="68">
        <v>0</v>
      </c>
    </row>
    <row r="659" spans="2:5">
      <c r="B659" s="112"/>
      <c r="C659" s="54" t="s">
        <v>196</v>
      </c>
      <c r="D659" s="69">
        <v>2</v>
      </c>
      <c r="E659" s="68">
        <v>0</v>
      </c>
    </row>
    <row r="660" spans="2:5">
      <c r="B660" s="112"/>
      <c r="C660" s="54" t="s">
        <v>172</v>
      </c>
      <c r="D660" s="69">
        <v>1</v>
      </c>
      <c r="E660" s="68">
        <v>0</v>
      </c>
    </row>
    <row r="661" spans="2:5">
      <c r="B661" s="112"/>
      <c r="C661" s="54" t="s">
        <v>173</v>
      </c>
      <c r="D661" s="69">
        <v>26</v>
      </c>
      <c r="E661" s="68">
        <v>1E-3</v>
      </c>
    </row>
    <row r="662" spans="2:5">
      <c r="B662" s="112"/>
      <c r="C662" s="54" t="s">
        <v>197</v>
      </c>
      <c r="D662" s="69">
        <v>1</v>
      </c>
      <c r="E662" s="68">
        <v>0</v>
      </c>
    </row>
    <row r="663" spans="2:5">
      <c r="B663" s="112"/>
      <c r="C663" s="54" t="s">
        <v>174</v>
      </c>
      <c r="D663" s="69">
        <v>20</v>
      </c>
      <c r="E663" s="68">
        <v>1E-3</v>
      </c>
    </row>
    <row r="664" spans="2:5">
      <c r="B664" s="112"/>
      <c r="C664" s="54" t="s">
        <v>176</v>
      </c>
      <c r="D664" s="69">
        <v>40</v>
      </c>
      <c r="E664" s="68">
        <v>2E-3</v>
      </c>
    </row>
    <row r="665" spans="2:5">
      <c r="B665" s="112"/>
      <c r="C665" s="54" t="s">
        <v>177</v>
      </c>
      <c r="D665" s="69">
        <v>11</v>
      </c>
      <c r="E665" s="68">
        <v>0</v>
      </c>
    </row>
    <row r="666" spans="2:5">
      <c r="B666" s="112"/>
      <c r="C666" s="54" t="s">
        <v>194</v>
      </c>
      <c r="D666" s="69">
        <v>1</v>
      </c>
      <c r="E666" s="68">
        <v>0</v>
      </c>
    </row>
    <row r="667" spans="2:5">
      <c r="B667" s="112"/>
      <c r="C667" s="54" t="s">
        <v>199</v>
      </c>
      <c r="D667" s="69">
        <v>1</v>
      </c>
      <c r="E667" s="68">
        <v>0</v>
      </c>
    </row>
    <row r="668" spans="2:5">
      <c r="B668" s="112"/>
      <c r="C668" s="54" t="s">
        <v>178</v>
      </c>
      <c r="D668" s="69">
        <v>1</v>
      </c>
      <c r="E668" s="68">
        <v>0</v>
      </c>
    </row>
    <row r="669" spans="2:5">
      <c r="B669" s="112"/>
      <c r="C669" s="54" t="s">
        <v>200</v>
      </c>
      <c r="D669" s="69">
        <v>1</v>
      </c>
      <c r="E669" s="68">
        <v>0</v>
      </c>
    </row>
    <row r="670" spans="2:5">
      <c r="B670" s="112"/>
      <c r="C670" s="54" t="s">
        <v>179</v>
      </c>
      <c r="D670" s="69">
        <v>1</v>
      </c>
      <c r="E670" s="68">
        <v>0</v>
      </c>
    </row>
    <row r="671" spans="2:5">
      <c r="B671" s="112"/>
      <c r="C671" s="54" t="s">
        <v>205</v>
      </c>
      <c r="D671" s="69">
        <v>1</v>
      </c>
      <c r="E671" s="68">
        <v>0</v>
      </c>
    </row>
    <row r="672" spans="2:5">
      <c r="B672" s="112"/>
      <c r="C672" s="54" t="s">
        <v>180</v>
      </c>
      <c r="D672" s="69">
        <v>53</v>
      </c>
      <c r="E672" s="68">
        <v>2E-3</v>
      </c>
    </row>
    <row r="673" spans="2:5">
      <c r="B673" s="112"/>
      <c r="C673" s="54" t="s">
        <v>201</v>
      </c>
      <c r="D673" s="69">
        <v>1</v>
      </c>
      <c r="E673" s="68">
        <v>0</v>
      </c>
    </row>
    <row r="674" spans="2:5">
      <c r="B674" s="112"/>
      <c r="C674" s="54" t="s">
        <v>181</v>
      </c>
      <c r="D674" s="69">
        <v>4</v>
      </c>
      <c r="E674" s="68">
        <v>0</v>
      </c>
    </row>
    <row r="675" spans="2:5">
      <c r="B675" s="112"/>
      <c r="C675" s="54" t="s">
        <v>182</v>
      </c>
      <c r="D675" s="69">
        <v>14</v>
      </c>
      <c r="E675" s="68">
        <v>1E-3</v>
      </c>
    </row>
    <row r="676" spans="2:5">
      <c r="B676" s="112"/>
      <c r="C676" s="54" t="s">
        <v>184</v>
      </c>
      <c r="D676" s="69">
        <v>3</v>
      </c>
      <c r="E676" s="68">
        <v>0</v>
      </c>
    </row>
    <row r="677" spans="2:5">
      <c r="B677" s="112"/>
      <c r="C677" s="54" t="s">
        <v>206</v>
      </c>
      <c r="D677" s="69">
        <v>1</v>
      </c>
      <c r="E677" s="68">
        <v>0</v>
      </c>
    </row>
    <row r="678" spans="2:5">
      <c r="B678" s="112"/>
      <c r="C678" s="54" t="s">
        <v>185</v>
      </c>
      <c r="D678" s="69">
        <v>28</v>
      </c>
      <c r="E678" s="68">
        <v>1E-3</v>
      </c>
    </row>
    <row r="679" spans="2:5">
      <c r="B679" s="112"/>
      <c r="C679" s="54" t="s">
        <v>186</v>
      </c>
      <c r="D679" s="69">
        <v>10</v>
      </c>
      <c r="E679" s="68">
        <v>0</v>
      </c>
    </row>
    <row r="680" spans="2:5">
      <c r="B680" s="112"/>
      <c r="C680" s="54" t="s">
        <v>187</v>
      </c>
      <c r="D680" s="69">
        <v>6</v>
      </c>
      <c r="E680" s="68">
        <v>0</v>
      </c>
    </row>
    <row r="681" spans="2:5">
      <c r="B681" s="112"/>
      <c r="C681" s="54" t="s">
        <v>188</v>
      </c>
      <c r="D681" s="69">
        <v>9</v>
      </c>
      <c r="E681" s="68">
        <v>0</v>
      </c>
    </row>
    <row r="682" spans="2:5">
      <c r="B682" s="112"/>
      <c r="C682" s="54" t="s">
        <v>189</v>
      </c>
      <c r="D682" s="69">
        <v>30</v>
      </c>
      <c r="E682" s="68">
        <v>1E-3</v>
      </c>
    </row>
    <row r="683" spans="2:5">
      <c r="B683" s="112"/>
      <c r="C683" s="54" t="s">
        <v>190</v>
      </c>
      <c r="D683" s="69">
        <v>16</v>
      </c>
      <c r="E683" s="68">
        <v>1E-3</v>
      </c>
    </row>
    <row r="684" spans="2:5">
      <c r="B684" s="112"/>
      <c r="C684" s="54" t="s">
        <v>191</v>
      </c>
      <c r="D684" s="69">
        <v>17</v>
      </c>
      <c r="E684" s="68">
        <v>1E-3</v>
      </c>
    </row>
    <row r="685" spans="2:5">
      <c r="B685" s="112"/>
      <c r="C685" s="54" t="s">
        <v>192</v>
      </c>
      <c r="D685" s="69">
        <v>10</v>
      </c>
      <c r="E685" s="68">
        <v>0</v>
      </c>
    </row>
    <row r="686" spans="2:5">
      <c r="B686" s="113"/>
      <c r="C686" s="74" t="s">
        <v>304</v>
      </c>
      <c r="D686" s="80">
        <v>320</v>
      </c>
      <c r="E686" s="76">
        <v>1.2999999999999999E-2</v>
      </c>
    </row>
    <row r="687" spans="2:5">
      <c r="B687" s="111" t="s">
        <v>72</v>
      </c>
      <c r="C687" s="54" t="s">
        <v>170</v>
      </c>
      <c r="D687" s="69">
        <v>1</v>
      </c>
      <c r="E687" s="68">
        <v>0</v>
      </c>
    </row>
    <row r="688" spans="2:5">
      <c r="B688" s="112"/>
      <c r="C688" s="54" t="s">
        <v>173</v>
      </c>
      <c r="D688" s="69">
        <v>1</v>
      </c>
      <c r="E688" s="68">
        <v>0</v>
      </c>
    </row>
    <row r="689" spans="2:5">
      <c r="B689" s="112"/>
      <c r="C689" s="54" t="s">
        <v>174</v>
      </c>
      <c r="D689" s="69">
        <v>4</v>
      </c>
      <c r="E689" s="68">
        <v>0</v>
      </c>
    </row>
    <row r="690" spans="2:5">
      <c r="B690" s="112"/>
      <c r="C690" s="54" t="s">
        <v>176</v>
      </c>
      <c r="D690" s="69">
        <v>1</v>
      </c>
      <c r="E690" s="68">
        <v>0</v>
      </c>
    </row>
    <row r="691" spans="2:5">
      <c r="B691" s="112"/>
      <c r="C691" s="54" t="s">
        <v>177</v>
      </c>
      <c r="D691" s="69">
        <v>1</v>
      </c>
      <c r="E691" s="68">
        <v>0</v>
      </c>
    </row>
    <row r="692" spans="2:5">
      <c r="B692" s="112"/>
      <c r="C692" s="54" t="s">
        <v>199</v>
      </c>
      <c r="D692" s="69">
        <v>1</v>
      </c>
      <c r="E692" s="68">
        <v>0</v>
      </c>
    </row>
    <row r="693" spans="2:5">
      <c r="B693" s="112"/>
      <c r="C693" s="54" t="s">
        <v>180</v>
      </c>
      <c r="D693" s="69">
        <v>6</v>
      </c>
      <c r="E693" s="68">
        <v>0</v>
      </c>
    </row>
    <row r="694" spans="2:5">
      <c r="B694" s="112"/>
      <c r="C694" s="54" t="s">
        <v>181</v>
      </c>
      <c r="D694" s="69">
        <v>1</v>
      </c>
      <c r="E694" s="68">
        <v>0</v>
      </c>
    </row>
    <row r="695" spans="2:5">
      <c r="B695" s="112"/>
      <c r="C695" s="54" t="s">
        <v>182</v>
      </c>
      <c r="D695" s="69">
        <v>2</v>
      </c>
      <c r="E695" s="68">
        <v>0</v>
      </c>
    </row>
    <row r="696" spans="2:5">
      <c r="B696" s="112"/>
      <c r="C696" s="54" t="s">
        <v>185</v>
      </c>
      <c r="D696" s="69">
        <v>7</v>
      </c>
      <c r="E696" s="68">
        <v>0</v>
      </c>
    </row>
    <row r="697" spans="2:5">
      <c r="B697" s="112"/>
      <c r="C697" s="54" t="s">
        <v>186</v>
      </c>
      <c r="D697" s="69">
        <v>1</v>
      </c>
      <c r="E697" s="68">
        <v>0</v>
      </c>
    </row>
    <row r="698" spans="2:5">
      <c r="B698" s="112"/>
      <c r="C698" s="54" t="s">
        <v>189</v>
      </c>
      <c r="D698" s="69">
        <v>7</v>
      </c>
      <c r="E698" s="68">
        <v>0</v>
      </c>
    </row>
    <row r="699" spans="2:5">
      <c r="B699" s="112"/>
      <c r="C699" s="54" t="s">
        <v>190</v>
      </c>
      <c r="D699" s="69">
        <v>4</v>
      </c>
      <c r="E699" s="68">
        <v>0</v>
      </c>
    </row>
    <row r="700" spans="2:5">
      <c r="B700" s="112"/>
      <c r="C700" s="54" t="s">
        <v>191</v>
      </c>
      <c r="D700" s="69">
        <v>4</v>
      </c>
      <c r="E700" s="68">
        <v>0</v>
      </c>
    </row>
    <row r="701" spans="2:5">
      <c r="B701" s="113"/>
      <c r="C701" s="74" t="s">
        <v>304</v>
      </c>
      <c r="D701" s="80">
        <v>41</v>
      </c>
      <c r="E701" s="76">
        <v>2E-3</v>
      </c>
    </row>
    <row r="702" spans="2:5">
      <c r="B702" s="111" t="s">
        <v>59</v>
      </c>
      <c r="C702" s="54" t="s">
        <v>169</v>
      </c>
      <c r="D702" s="69">
        <v>2</v>
      </c>
      <c r="E702" s="68">
        <v>0</v>
      </c>
    </row>
    <row r="703" spans="2:5">
      <c r="B703" s="112"/>
      <c r="C703" s="54" t="s">
        <v>170</v>
      </c>
      <c r="D703" s="69">
        <v>3</v>
      </c>
      <c r="E703" s="68">
        <v>0</v>
      </c>
    </row>
    <row r="704" spans="2:5">
      <c r="B704" s="112"/>
      <c r="C704" s="54" t="s">
        <v>171</v>
      </c>
      <c r="D704" s="69">
        <v>6</v>
      </c>
      <c r="E704" s="68">
        <v>0</v>
      </c>
    </row>
    <row r="705" spans="2:5">
      <c r="B705" s="112"/>
      <c r="C705" s="54" t="s">
        <v>173</v>
      </c>
      <c r="D705" s="69">
        <v>2</v>
      </c>
      <c r="E705" s="68">
        <v>0</v>
      </c>
    </row>
    <row r="706" spans="2:5">
      <c r="B706" s="112"/>
      <c r="C706" s="54" t="s">
        <v>197</v>
      </c>
      <c r="D706" s="69">
        <v>1</v>
      </c>
      <c r="E706" s="68">
        <v>0</v>
      </c>
    </row>
    <row r="707" spans="2:5">
      <c r="B707" s="112"/>
      <c r="C707" s="54" t="s">
        <v>174</v>
      </c>
      <c r="D707" s="69">
        <v>18</v>
      </c>
      <c r="E707" s="68">
        <v>1E-3</v>
      </c>
    </row>
    <row r="708" spans="2:5">
      <c r="B708" s="112"/>
      <c r="C708" s="54" t="s">
        <v>176</v>
      </c>
      <c r="D708" s="69">
        <v>26</v>
      </c>
      <c r="E708" s="68">
        <v>1E-3</v>
      </c>
    </row>
    <row r="709" spans="2:5">
      <c r="B709" s="112"/>
      <c r="C709" s="54" t="s">
        <v>177</v>
      </c>
      <c r="D709" s="69">
        <v>10</v>
      </c>
      <c r="E709" s="68">
        <v>0</v>
      </c>
    </row>
    <row r="710" spans="2:5">
      <c r="B710" s="112"/>
      <c r="C710" s="54" t="s">
        <v>204</v>
      </c>
      <c r="D710" s="69">
        <v>1</v>
      </c>
      <c r="E710" s="68">
        <v>0</v>
      </c>
    </row>
    <row r="711" spans="2:5">
      <c r="B711" s="112"/>
      <c r="C711" s="54" t="s">
        <v>178</v>
      </c>
      <c r="D711" s="69">
        <v>2</v>
      </c>
      <c r="E711" s="68">
        <v>0</v>
      </c>
    </row>
    <row r="712" spans="2:5">
      <c r="B712" s="112"/>
      <c r="C712" s="54" t="s">
        <v>200</v>
      </c>
      <c r="D712" s="69">
        <v>5</v>
      </c>
      <c r="E712" s="68">
        <v>0</v>
      </c>
    </row>
    <row r="713" spans="2:5">
      <c r="B713" s="112"/>
      <c r="C713" s="54" t="s">
        <v>179</v>
      </c>
      <c r="D713" s="69">
        <v>2</v>
      </c>
      <c r="E713" s="68">
        <v>0</v>
      </c>
    </row>
    <row r="714" spans="2:5">
      <c r="B714" s="112"/>
      <c r="C714" s="54" t="s">
        <v>205</v>
      </c>
      <c r="D714" s="69">
        <v>1</v>
      </c>
      <c r="E714" s="68">
        <v>0</v>
      </c>
    </row>
    <row r="715" spans="2:5">
      <c r="B715" s="112"/>
      <c r="C715" s="54" t="s">
        <v>180</v>
      </c>
      <c r="D715" s="69">
        <v>70</v>
      </c>
      <c r="E715" s="68">
        <v>3.0000000000000001E-3</v>
      </c>
    </row>
    <row r="716" spans="2:5">
      <c r="B716" s="112"/>
      <c r="C716" s="54" t="s">
        <v>181</v>
      </c>
      <c r="D716" s="69">
        <v>2</v>
      </c>
      <c r="E716" s="68">
        <v>0</v>
      </c>
    </row>
    <row r="717" spans="2:5">
      <c r="B717" s="112"/>
      <c r="C717" s="54" t="s">
        <v>182</v>
      </c>
      <c r="D717" s="69">
        <v>25</v>
      </c>
      <c r="E717" s="68">
        <v>1E-3</v>
      </c>
    </row>
    <row r="718" spans="2:5">
      <c r="B718" s="112"/>
      <c r="C718" s="54" t="s">
        <v>184</v>
      </c>
      <c r="D718" s="69">
        <v>16</v>
      </c>
      <c r="E718" s="68">
        <v>1E-3</v>
      </c>
    </row>
    <row r="719" spans="2:5">
      <c r="B719" s="112"/>
      <c r="C719" s="54" t="s">
        <v>185</v>
      </c>
      <c r="D719" s="69">
        <v>36</v>
      </c>
      <c r="E719" s="68">
        <v>1E-3</v>
      </c>
    </row>
    <row r="720" spans="2:5">
      <c r="B720" s="112"/>
      <c r="C720" s="54" t="s">
        <v>186</v>
      </c>
      <c r="D720" s="69">
        <v>7</v>
      </c>
      <c r="E720" s="68">
        <v>0</v>
      </c>
    </row>
    <row r="721" spans="2:5">
      <c r="B721" s="112"/>
      <c r="C721" s="54" t="s">
        <v>187</v>
      </c>
      <c r="D721" s="69">
        <v>6</v>
      </c>
      <c r="E721" s="68">
        <v>0</v>
      </c>
    </row>
    <row r="722" spans="2:5">
      <c r="B722" s="112"/>
      <c r="C722" s="54" t="s">
        <v>188</v>
      </c>
      <c r="D722" s="69">
        <v>5</v>
      </c>
      <c r="E722" s="68">
        <v>0</v>
      </c>
    </row>
    <row r="723" spans="2:5">
      <c r="B723" s="112"/>
      <c r="C723" s="54" t="s">
        <v>189</v>
      </c>
      <c r="D723" s="69">
        <v>38</v>
      </c>
      <c r="E723" s="68">
        <v>2E-3</v>
      </c>
    </row>
    <row r="724" spans="2:5">
      <c r="B724" s="112"/>
      <c r="C724" s="54" t="s">
        <v>190</v>
      </c>
      <c r="D724" s="69">
        <v>20</v>
      </c>
      <c r="E724" s="68">
        <v>1E-3</v>
      </c>
    </row>
    <row r="725" spans="2:5">
      <c r="B725" s="112"/>
      <c r="C725" s="54" t="s">
        <v>191</v>
      </c>
      <c r="D725" s="69">
        <v>14</v>
      </c>
      <c r="E725" s="68">
        <v>1E-3</v>
      </c>
    </row>
    <row r="726" spans="2:5">
      <c r="B726" s="112"/>
      <c r="C726" s="54" t="s">
        <v>192</v>
      </c>
      <c r="D726" s="69">
        <v>11</v>
      </c>
      <c r="E726" s="68">
        <v>0</v>
      </c>
    </row>
    <row r="727" spans="2:5">
      <c r="B727" s="112"/>
      <c r="C727" s="54" t="s">
        <v>195</v>
      </c>
      <c r="D727" s="69">
        <v>1</v>
      </c>
      <c r="E727" s="68">
        <v>0</v>
      </c>
    </row>
    <row r="728" spans="2:5">
      <c r="B728" s="112"/>
      <c r="C728" s="54" t="s">
        <v>193</v>
      </c>
      <c r="D728" s="69">
        <v>2</v>
      </c>
      <c r="E728" s="68">
        <v>0</v>
      </c>
    </row>
    <row r="729" spans="2:5">
      <c r="B729" s="113"/>
      <c r="C729" s="74" t="s">
        <v>304</v>
      </c>
      <c r="D729" s="80">
        <v>332</v>
      </c>
      <c r="E729" s="76">
        <v>1.4E-2</v>
      </c>
    </row>
    <row r="730" spans="2:5">
      <c r="B730" s="111" t="s">
        <v>67</v>
      </c>
      <c r="C730" s="54" t="s">
        <v>169</v>
      </c>
      <c r="D730" s="69">
        <v>2</v>
      </c>
      <c r="E730" s="68">
        <v>0</v>
      </c>
    </row>
    <row r="731" spans="2:5">
      <c r="B731" s="112"/>
      <c r="C731" s="54" t="s">
        <v>170</v>
      </c>
      <c r="D731" s="69">
        <v>7</v>
      </c>
      <c r="E731" s="68">
        <v>0</v>
      </c>
    </row>
    <row r="732" spans="2:5">
      <c r="B732" s="112"/>
      <c r="C732" s="54" t="s">
        <v>171</v>
      </c>
      <c r="D732" s="69">
        <v>1</v>
      </c>
      <c r="E732" s="68">
        <v>0</v>
      </c>
    </row>
    <row r="733" spans="2:5">
      <c r="B733" s="112"/>
      <c r="C733" s="54" t="s">
        <v>172</v>
      </c>
      <c r="D733" s="69">
        <v>1</v>
      </c>
      <c r="E733" s="68">
        <v>0</v>
      </c>
    </row>
    <row r="734" spans="2:5">
      <c r="B734" s="112"/>
      <c r="C734" s="54" t="s">
        <v>173</v>
      </c>
      <c r="D734" s="69">
        <v>1</v>
      </c>
      <c r="E734" s="68">
        <v>0</v>
      </c>
    </row>
    <row r="735" spans="2:5">
      <c r="B735" s="112"/>
      <c r="C735" s="54" t="s">
        <v>197</v>
      </c>
      <c r="D735" s="69">
        <v>2</v>
      </c>
      <c r="E735" s="68">
        <v>0</v>
      </c>
    </row>
    <row r="736" spans="2:5">
      <c r="B736" s="112"/>
      <c r="C736" s="54" t="s">
        <v>174</v>
      </c>
      <c r="D736" s="69">
        <v>2</v>
      </c>
      <c r="E736" s="68">
        <v>0</v>
      </c>
    </row>
    <row r="737" spans="2:5">
      <c r="B737" s="112"/>
      <c r="C737" s="54" t="s">
        <v>278</v>
      </c>
      <c r="D737" s="69">
        <v>1</v>
      </c>
      <c r="E737" s="68">
        <v>0</v>
      </c>
    </row>
    <row r="738" spans="2:5">
      <c r="B738" s="112"/>
      <c r="C738" s="54" t="s">
        <v>176</v>
      </c>
      <c r="D738" s="69">
        <v>12</v>
      </c>
      <c r="E738" s="68">
        <v>0</v>
      </c>
    </row>
    <row r="739" spans="2:5">
      <c r="B739" s="112"/>
      <c r="C739" s="54" t="s">
        <v>177</v>
      </c>
      <c r="D739" s="69">
        <v>2</v>
      </c>
      <c r="E739" s="68">
        <v>0</v>
      </c>
    </row>
    <row r="740" spans="2:5">
      <c r="B740" s="112"/>
      <c r="C740" s="54" t="s">
        <v>178</v>
      </c>
      <c r="D740" s="69">
        <v>1</v>
      </c>
      <c r="E740" s="68">
        <v>0</v>
      </c>
    </row>
    <row r="741" spans="2:5">
      <c r="B741" s="112"/>
      <c r="C741" s="54" t="s">
        <v>200</v>
      </c>
      <c r="D741" s="69">
        <v>1</v>
      </c>
      <c r="E741" s="68">
        <v>0</v>
      </c>
    </row>
    <row r="742" spans="2:5">
      <c r="B742" s="112"/>
      <c r="C742" s="54" t="s">
        <v>180</v>
      </c>
      <c r="D742" s="69">
        <v>15</v>
      </c>
      <c r="E742" s="68">
        <v>1E-3</v>
      </c>
    </row>
    <row r="743" spans="2:5">
      <c r="B743" s="112"/>
      <c r="C743" s="54" t="s">
        <v>182</v>
      </c>
      <c r="D743" s="69">
        <v>1</v>
      </c>
      <c r="E743" s="68">
        <v>0</v>
      </c>
    </row>
    <row r="744" spans="2:5">
      <c r="B744" s="112"/>
      <c r="C744" s="54" t="s">
        <v>184</v>
      </c>
      <c r="D744" s="69">
        <v>2</v>
      </c>
      <c r="E744" s="68">
        <v>0</v>
      </c>
    </row>
    <row r="745" spans="2:5">
      <c r="B745" s="112"/>
      <c r="C745" s="54" t="s">
        <v>185</v>
      </c>
      <c r="D745" s="69">
        <v>20</v>
      </c>
      <c r="E745" s="68">
        <v>1E-3</v>
      </c>
    </row>
    <row r="746" spans="2:5">
      <c r="B746" s="112"/>
      <c r="C746" s="54" t="s">
        <v>186</v>
      </c>
      <c r="D746" s="69">
        <v>5</v>
      </c>
      <c r="E746" s="68">
        <v>0</v>
      </c>
    </row>
    <row r="747" spans="2:5">
      <c r="B747" s="112"/>
      <c r="C747" s="54" t="s">
        <v>188</v>
      </c>
      <c r="D747" s="69">
        <v>3</v>
      </c>
      <c r="E747" s="68">
        <v>0</v>
      </c>
    </row>
    <row r="748" spans="2:5">
      <c r="B748" s="112"/>
      <c r="C748" s="54" t="s">
        <v>189</v>
      </c>
      <c r="D748" s="69">
        <v>4</v>
      </c>
      <c r="E748" s="68">
        <v>0</v>
      </c>
    </row>
    <row r="749" spans="2:5">
      <c r="B749" s="112"/>
      <c r="C749" s="54" t="s">
        <v>191</v>
      </c>
      <c r="D749" s="69">
        <v>1</v>
      </c>
      <c r="E749" s="68">
        <v>0</v>
      </c>
    </row>
    <row r="750" spans="2:5">
      <c r="B750" s="112"/>
      <c r="C750" s="54" t="s">
        <v>192</v>
      </c>
      <c r="D750" s="69">
        <v>7</v>
      </c>
      <c r="E750" s="68">
        <v>0</v>
      </c>
    </row>
    <row r="751" spans="2:5">
      <c r="B751" s="113"/>
      <c r="C751" s="74" t="s">
        <v>304</v>
      </c>
      <c r="D751" s="80">
        <v>91</v>
      </c>
      <c r="E751" s="76">
        <v>4.0000000000000001E-3</v>
      </c>
    </row>
    <row r="752" spans="2:5">
      <c r="B752" s="111" t="s">
        <v>58</v>
      </c>
      <c r="C752" s="54" t="s">
        <v>169</v>
      </c>
      <c r="D752" s="69">
        <v>3</v>
      </c>
      <c r="E752" s="68">
        <v>0</v>
      </c>
    </row>
    <row r="753" spans="2:5">
      <c r="B753" s="112"/>
      <c r="C753" s="54" t="s">
        <v>170</v>
      </c>
      <c r="D753" s="69">
        <v>2</v>
      </c>
      <c r="E753" s="68">
        <v>0</v>
      </c>
    </row>
    <row r="754" spans="2:5">
      <c r="B754" s="112"/>
      <c r="C754" s="54" t="s">
        <v>171</v>
      </c>
      <c r="D754" s="69">
        <v>5</v>
      </c>
      <c r="E754" s="68">
        <v>0</v>
      </c>
    </row>
    <row r="755" spans="2:5">
      <c r="B755" s="112"/>
      <c r="C755" s="54" t="s">
        <v>172</v>
      </c>
      <c r="D755" s="69">
        <v>1</v>
      </c>
      <c r="E755" s="68">
        <v>0</v>
      </c>
    </row>
    <row r="756" spans="2:5">
      <c r="B756" s="112"/>
      <c r="C756" s="54" t="s">
        <v>173</v>
      </c>
      <c r="D756" s="69">
        <v>4</v>
      </c>
      <c r="E756" s="68">
        <v>0</v>
      </c>
    </row>
    <row r="757" spans="2:5">
      <c r="B757" s="112"/>
      <c r="C757" s="54" t="s">
        <v>197</v>
      </c>
      <c r="D757" s="69">
        <v>1</v>
      </c>
      <c r="E757" s="68">
        <v>0</v>
      </c>
    </row>
    <row r="758" spans="2:5">
      <c r="B758" s="112"/>
      <c r="C758" s="54" t="s">
        <v>174</v>
      </c>
      <c r="D758" s="69">
        <v>4</v>
      </c>
      <c r="E758" s="68">
        <v>0</v>
      </c>
    </row>
    <row r="759" spans="2:5">
      <c r="B759" s="112"/>
      <c r="C759" s="54" t="s">
        <v>176</v>
      </c>
      <c r="D759" s="69">
        <v>29</v>
      </c>
      <c r="E759" s="68">
        <v>1E-3</v>
      </c>
    </row>
    <row r="760" spans="2:5">
      <c r="B760" s="112"/>
      <c r="C760" s="54" t="s">
        <v>177</v>
      </c>
      <c r="D760" s="69">
        <v>8</v>
      </c>
      <c r="E760" s="68">
        <v>0</v>
      </c>
    </row>
    <row r="761" spans="2:5">
      <c r="B761" s="112"/>
      <c r="C761" s="54" t="s">
        <v>204</v>
      </c>
      <c r="D761" s="69">
        <v>1</v>
      </c>
      <c r="E761" s="68">
        <v>0</v>
      </c>
    </row>
    <row r="762" spans="2:5">
      <c r="B762" s="112"/>
      <c r="C762" s="54" t="s">
        <v>178</v>
      </c>
      <c r="D762" s="69">
        <v>6</v>
      </c>
      <c r="E762" s="68">
        <v>0</v>
      </c>
    </row>
    <row r="763" spans="2:5">
      <c r="B763" s="112"/>
      <c r="C763" s="54" t="s">
        <v>179</v>
      </c>
      <c r="D763" s="69">
        <v>1</v>
      </c>
      <c r="E763" s="68">
        <v>0</v>
      </c>
    </row>
    <row r="764" spans="2:5">
      <c r="B764" s="112"/>
      <c r="C764" s="54" t="s">
        <v>180</v>
      </c>
      <c r="D764" s="69">
        <v>79</v>
      </c>
      <c r="E764" s="68">
        <v>3.0000000000000001E-3</v>
      </c>
    </row>
    <row r="765" spans="2:5">
      <c r="B765" s="112"/>
      <c r="C765" s="54" t="s">
        <v>181</v>
      </c>
      <c r="D765" s="69">
        <v>1</v>
      </c>
      <c r="E765" s="68">
        <v>0</v>
      </c>
    </row>
    <row r="766" spans="2:5">
      <c r="B766" s="112"/>
      <c r="C766" s="54" t="s">
        <v>182</v>
      </c>
      <c r="D766" s="69">
        <v>6</v>
      </c>
      <c r="E766" s="68">
        <v>0</v>
      </c>
    </row>
    <row r="767" spans="2:5">
      <c r="B767" s="112"/>
      <c r="C767" s="54" t="s">
        <v>183</v>
      </c>
      <c r="D767" s="69">
        <v>2</v>
      </c>
      <c r="E767" s="68">
        <v>0</v>
      </c>
    </row>
    <row r="768" spans="2:5">
      <c r="B768" s="112"/>
      <c r="C768" s="54" t="s">
        <v>184</v>
      </c>
      <c r="D768" s="69">
        <v>6</v>
      </c>
      <c r="E768" s="68">
        <v>0</v>
      </c>
    </row>
    <row r="769" spans="2:5">
      <c r="B769" s="112"/>
      <c r="C769" s="54" t="s">
        <v>206</v>
      </c>
      <c r="D769" s="69">
        <v>2</v>
      </c>
      <c r="E769" s="68">
        <v>0</v>
      </c>
    </row>
    <row r="770" spans="2:5">
      <c r="B770" s="112"/>
      <c r="C770" s="54" t="s">
        <v>209</v>
      </c>
      <c r="D770" s="69">
        <v>1</v>
      </c>
      <c r="E770" s="68">
        <v>0</v>
      </c>
    </row>
    <row r="771" spans="2:5">
      <c r="B771" s="112"/>
      <c r="C771" s="54" t="s">
        <v>185</v>
      </c>
      <c r="D771" s="69">
        <v>18</v>
      </c>
      <c r="E771" s="68">
        <v>1E-3</v>
      </c>
    </row>
    <row r="772" spans="2:5">
      <c r="B772" s="112"/>
      <c r="C772" s="54" t="s">
        <v>186</v>
      </c>
      <c r="D772" s="69">
        <v>4</v>
      </c>
      <c r="E772" s="68">
        <v>0</v>
      </c>
    </row>
    <row r="773" spans="2:5">
      <c r="B773" s="112"/>
      <c r="C773" s="54" t="s">
        <v>207</v>
      </c>
      <c r="D773" s="69">
        <v>2</v>
      </c>
      <c r="E773" s="68">
        <v>0</v>
      </c>
    </row>
    <row r="774" spans="2:5">
      <c r="B774" s="112"/>
      <c r="C774" s="54" t="s">
        <v>187</v>
      </c>
      <c r="D774" s="69">
        <v>1</v>
      </c>
      <c r="E774" s="68">
        <v>0</v>
      </c>
    </row>
    <row r="775" spans="2:5">
      <c r="B775" s="112"/>
      <c r="C775" s="54" t="s">
        <v>188</v>
      </c>
      <c r="D775" s="69">
        <v>6</v>
      </c>
      <c r="E775" s="68">
        <v>0</v>
      </c>
    </row>
    <row r="776" spans="2:5">
      <c r="B776" s="112"/>
      <c r="C776" s="54" t="s">
        <v>189</v>
      </c>
      <c r="D776" s="69">
        <v>13</v>
      </c>
      <c r="E776" s="68">
        <v>1E-3</v>
      </c>
    </row>
    <row r="777" spans="2:5">
      <c r="B777" s="112"/>
      <c r="C777" s="54" t="s">
        <v>190</v>
      </c>
      <c r="D777" s="69">
        <v>10</v>
      </c>
      <c r="E777" s="68">
        <v>0</v>
      </c>
    </row>
    <row r="778" spans="2:5">
      <c r="B778" s="112"/>
      <c r="C778" s="54" t="s">
        <v>191</v>
      </c>
      <c r="D778" s="69">
        <v>3</v>
      </c>
      <c r="E778" s="68">
        <v>0</v>
      </c>
    </row>
    <row r="779" spans="2:5">
      <c r="B779" s="112"/>
      <c r="C779" s="54" t="s">
        <v>192</v>
      </c>
      <c r="D779" s="69">
        <v>17</v>
      </c>
      <c r="E779" s="68">
        <v>1E-3</v>
      </c>
    </row>
    <row r="780" spans="2:5">
      <c r="B780" s="112"/>
      <c r="C780" s="54" t="s">
        <v>193</v>
      </c>
      <c r="D780" s="69">
        <v>1</v>
      </c>
      <c r="E780" s="68">
        <v>0</v>
      </c>
    </row>
    <row r="781" spans="2:5">
      <c r="B781" s="113"/>
      <c r="C781" s="74" t="s">
        <v>304</v>
      </c>
      <c r="D781" s="80">
        <v>237</v>
      </c>
      <c r="E781" s="76">
        <v>0.01</v>
      </c>
    </row>
    <row r="782" spans="2:5">
      <c r="B782" s="111" t="s">
        <v>87</v>
      </c>
      <c r="C782" s="54" t="s">
        <v>174</v>
      </c>
      <c r="D782" s="69">
        <v>1</v>
      </c>
      <c r="E782" s="68">
        <v>0</v>
      </c>
    </row>
    <row r="783" spans="2:5">
      <c r="B783" s="112"/>
      <c r="C783" s="54" t="s">
        <v>175</v>
      </c>
      <c r="D783" s="69">
        <v>2</v>
      </c>
      <c r="E783" s="68">
        <v>0</v>
      </c>
    </row>
    <row r="784" spans="2:5">
      <c r="B784" s="112"/>
      <c r="C784" s="54" t="s">
        <v>176</v>
      </c>
      <c r="D784" s="69">
        <v>1</v>
      </c>
      <c r="E784" s="68">
        <v>0</v>
      </c>
    </row>
    <row r="785" spans="2:5">
      <c r="B785" s="112"/>
      <c r="C785" s="54" t="s">
        <v>194</v>
      </c>
      <c r="D785" s="69">
        <v>1</v>
      </c>
      <c r="E785" s="68">
        <v>0</v>
      </c>
    </row>
    <row r="786" spans="2:5">
      <c r="B786" s="112"/>
      <c r="C786" s="54" t="s">
        <v>180</v>
      </c>
      <c r="D786" s="69">
        <v>2</v>
      </c>
      <c r="E786" s="68">
        <v>0</v>
      </c>
    </row>
    <row r="787" spans="2:5">
      <c r="B787" s="112"/>
      <c r="C787" s="54" t="s">
        <v>185</v>
      </c>
      <c r="D787" s="69">
        <v>2</v>
      </c>
      <c r="E787" s="68">
        <v>0</v>
      </c>
    </row>
    <row r="788" spans="2:5">
      <c r="B788" s="112"/>
      <c r="C788" s="54" t="s">
        <v>186</v>
      </c>
      <c r="D788" s="69">
        <v>2</v>
      </c>
      <c r="E788" s="68">
        <v>0</v>
      </c>
    </row>
    <row r="789" spans="2:5">
      <c r="B789" s="112"/>
      <c r="C789" s="54" t="s">
        <v>189</v>
      </c>
      <c r="D789" s="69">
        <v>1</v>
      </c>
      <c r="E789" s="68">
        <v>0</v>
      </c>
    </row>
    <row r="790" spans="2:5">
      <c r="B790" s="112"/>
      <c r="C790" s="54" t="s">
        <v>190</v>
      </c>
      <c r="D790" s="69">
        <v>1</v>
      </c>
      <c r="E790" s="68">
        <v>0</v>
      </c>
    </row>
    <row r="791" spans="2:5">
      <c r="B791" s="112"/>
      <c r="C791" s="54" t="s">
        <v>192</v>
      </c>
      <c r="D791" s="69">
        <v>1</v>
      </c>
      <c r="E791" s="68">
        <v>0</v>
      </c>
    </row>
    <row r="792" spans="2:5">
      <c r="B792" s="113"/>
      <c r="C792" s="74" t="s">
        <v>304</v>
      </c>
      <c r="D792" s="80">
        <v>14</v>
      </c>
      <c r="E792" s="76">
        <v>1E-3</v>
      </c>
    </row>
    <row r="793" spans="2:5">
      <c r="B793" s="111" t="s">
        <v>75</v>
      </c>
      <c r="C793" s="54" t="s">
        <v>170</v>
      </c>
      <c r="D793" s="69">
        <v>1</v>
      </c>
      <c r="E793" s="68">
        <v>0</v>
      </c>
    </row>
    <row r="794" spans="2:5">
      <c r="B794" s="112"/>
      <c r="C794" s="54" t="s">
        <v>174</v>
      </c>
      <c r="D794" s="69">
        <v>5</v>
      </c>
      <c r="E794" s="68">
        <v>0</v>
      </c>
    </row>
    <row r="795" spans="2:5">
      <c r="B795" s="112"/>
      <c r="C795" s="54" t="s">
        <v>178</v>
      </c>
      <c r="D795" s="69">
        <v>1</v>
      </c>
      <c r="E795" s="68">
        <v>0</v>
      </c>
    </row>
    <row r="796" spans="2:5">
      <c r="B796" s="112"/>
      <c r="C796" s="54" t="s">
        <v>180</v>
      </c>
      <c r="D796" s="69">
        <v>6</v>
      </c>
      <c r="E796" s="68">
        <v>0</v>
      </c>
    </row>
    <row r="797" spans="2:5">
      <c r="B797" s="112"/>
      <c r="C797" s="54" t="s">
        <v>202</v>
      </c>
      <c r="D797" s="69">
        <v>1</v>
      </c>
      <c r="E797" s="68">
        <v>0</v>
      </c>
    </row>
    <row r="798" spans="2:5">
      <c r="B798" s="112"/>
      <c r="C798" s="54" t="s">
        <v>182</v>
      </c>
      <c r="D798" s="69">
        <v>1</v>
      </c>
      <c r="E798" s="68">
        <v>0</v>
      </c>
    </row>
    <row r="799" spans="2:5">
      <c r="B799" s="112"/>
      <c r="C799" s="54" t="s">
        <v>185</v>
      </c>
      <c r="D799" s="69">
        <v>3</v>
      </c>
      <c r="E799" s="68">
        <v>0</v>
      </c>
    </row>
    <row r="800" spans="2:5">
      <c r="B800" s="112"/>
      <c r="C800" s="54" t="s">
        <v>187</v>
      </c>
      <c r="D800" s="69">
        <v>1</v>
      </c>
      <c r="E800" s="68">
        <v>0</v>
      </c>
    </row>
    <row r="801" spans="2:5">
      <c r="B801" s="112"/>
      <c r="C801" s="54" t="s">
        <v>189</v>
      </c>
      <c r="D801" s="69">
        <v>5</v>
      </c>
      <c r="E801" s="68">
        <v>0</v>
      </c>
    </row>
    <row r="802" spans="2:5">
      <c r="B802" s="112"/>
      <c r="C802" s="54" t="s">
        <v>190</v>
      </c>
      <c r="D802" s="69">
        <v>1</v>
      </c>
      <c r="E802" s="68">
        <v>0</v>
      </c>
    </row>
    <row r="803" spans="2:5">
      <c r="B803" s="112"/>
      <c r="C803" s="54" t="s">
        <v>191</v>
      </c>
      <c r="D803" s="69">
        <v>1</v>
      </c>
      <c r="E803" s="68">
        <v>0</v>
      </c>
    </row>
    <row r="804" spans="2:5">
      <c r="B804" s="112"/>
      <c r="C804" s="54" t="s">
        <v>192</v>
      </c>
      <c r="D804" s="69">
        <v>3</v>
      </c>
      <c r="E804" s="68">
        <v>0</v>
      </c>
    </row>
    <row r="805" spans="2:5">
      <c r="B805" s="113"/>
      <c r="C805" s="74" t="s">
        <v>304</v>
      </c>
      <c r="D805" s="80">
        <v>29</v>
      </c>
      <c r="E805" s="76">
        <v>1E-3</v>
      </c>
    </row>
    <row r="806" spans="2:5">
      <c r="B806" s="111" t="s">
        <v>89</v>
      </c>
      <c r="C806" s="54" t="s">
        <v>170</v>
      </c>
      <c r="D806" s="69">
        <v>1</v>
      </c>
      <c r="E806" s="68">
        <v>0</v>
      </c>
    </row>
    <row r="807" spans="2:5">
      <c r="B807" s="112"/>
      <c r="C807" s="54" t="s">
        <v>176</v>
      </c>
      <c r="D807" s="69">
        <v>2</v>
      </c>
      <c r="E807" s="68">
        <v>0</v>
      </c>
    </row>
    <row r="808" spans="2:5">
      <c r="B808" s="112"/>
      <c r="C808" s="54" t="s">
        <v>204</v>
      </c>
      <c r="D808" s="69">
        <v>1</v>
      </c>
      <c r="E808" s="68">
        <v>0</v>
      </c>
    </row>
    <row r="809" spans="2:5">
      <c r="B809" s="112"/>
      <c r="C809" s="54" t="s">
        <v>180</v>
      </c>
      <c r="D809" s="69">
        <v>2</v>
      </c>
      <c r="E809" s="68">
        <v>0</v>
      </c>
    </row>
    <row r="810" spans="2:5">
      <c r="B810" s="112"/>
      <c r="C810" s="54" t="s">
        <v>201</v>
      </c>
      <c r="D810" s="69">
        <v>1</v>
      </c>
      <c r="E810" s="68">
        <v>0</v>
      </c>
    </row>
    <row r="811" spans="2:5">
      <c r="B811" s="112"/>
      <c r="C811" s="54" t="s">
        <v>182</v>
      </c>
      <c r="D811" s="69">
        <v>2</v>
      </c>
      <c r="E811" s="68">
        <v>0</v>
      </c>
    </row>
    <row r="812" spans="2:5">
      <c r="B812" s="112"/>
      <c r="C812" s="54" t="s">
        <v>185</v>
      </c>
      <c r="D812" s="69">
        <v>1</v>
      </c>
      <c r="E812" s="68">
        <v>0</v>
      </c>
    </row>
    <row r="813" spans="2:5">
      <c r="B813" s="112"/>
      <c r="C813" s="54" t="s">
        <v>189</v>
      </c>
      <c r="D813" s="69">
        <v>4</v>
      </c>
      <c r="E813" s="68">
        <v>0</v>
      </c>
    </row>
    <row r="814" spans="2:5">
      <c r="B814" s="112"/>
      <c r="C814" s="54" t="s">
        <v>190</v>
      </c>
      <c r="D814" s="69">
        <v>1</v>
      </c>
      <c r="E814" s="68">
        <v>0</v>
      </c>
    </row>
    <row r="815" spans="2:5">
      <c r="B815" s="112"/>
      <c r="C815" s="54" t="s">
        <v>192</v>
      </c>
      <c r="D815" s="69">
        <v>1</v>
      </c>
      <c r="E815" s="68">
        <v>0</v>
      </c>
    </row>
    <row r="816" spans="2:5">
      <c r="B816" s="112"/>
      <c r="C816" s="54" t="s">
        <v>193</v>
      </c>
      <c r="D816" s="69">
        <v>1</v>
      </c>
      <c r="E816" s="68">
        <v>0</v>
      </c>
    </row>
    <row r="817" spans="2:5">
      <c r="B817" s="113"/>
      <c r="C817" s="74" t="s">
        <v>304</v>
      </c>
      <c r="D817" s="80">
        <v>17</v>
      </c>
      <c r="E817" s="76">
        <v>1E-3</v>
      </c>
    </row>
    <row r="818" spans="2:5">
      <c r="B818" s="111" t="s">
        <v>79</v>
      </c>
      <c r="C818" s="54" t="s">
        <v>169</v>
      </c>
      <c r="D818" s="69">
        <v>1</v>
      </c>
      <c r="E818" s="68">
        <v>0</v>
      </c>
    </row>
    <row r="819" spans="2:5">
      <c r="B819" s="112"/>
      <c r="C819" s="54" t="s">
        <v>172</v>
      </c>
      <c r="D819" s="69">
        <v>1</v>
      </c>
      <c r="E819" s="68">
        <v>0</v>
      </c>
    </row>
    <row r="820" spans="2:5">
      <c r="B820" s="112"/>
      <c r="C820" s="54" t="s">
        <v>278</v>
      </c>
      <c r="D820" s="69">
        <v>2</v>
      </c>
      <c r="E820" s="68">
        <v>0</v>
      </c>
    </row>
    <row r="821" spans="2:5">
      <c r="B821" s="112"/>
      <c r="C821" s="54" t="s">
        <v>177</v>
      </c>
      <c r="D821" s="69">
        <v>1</v>
      </c>
      <c r="E821" s="68">
        <v>0</v>
      </c>
    </row>
    <row r="822" spans="2:5">
      <c r="B822" s="112"/>
      <c r="C822" s="54" t="s">
        <v>201</v>
      </c>
      <c r="D822" s="69">
        <v>1</v>
      </c>
      <c r="E822" s="68">
        <v>0</v>
      </c>
    </row>
    <row r="823" spans="2:5">
      <c r="B823" s="112"/>
      <c r="C823" s="54" t="s">
        <v>182</v>
      </c>
      <c r="D823" s="69">
        <v>2</v>
      </c>
      <c r="E823" s="68">
        <v>0</v>
      </c>
    </row>
    <row r="824" spans="2:5">
      <c r="B824" s="112"/>
      <c r="C824" s="54" t="s">
        <v>185</v>
      </c>
      <c r="D824" s="69">
        <v>7</v>
      </c>
      <c r="E824" s="68">
        <v>0</v>
      </c>
    </row>
    <row r="825" spans="2:5">
      <c r="B825" s="112"/>
      <c r="C825" s="54" t="s">
        <v>188</v>
      </c>
      <c r="D825" s="69">
        <v>2</v>
      </c>
      <c r="E825" s="68">
        <v>0</v>
      </c>
    </row>
    <row r="826" spans="2:5">
      <c r="B826" s="112"/>
      <c r="C826" s="54" t="s">
        <v>189</v>
      </c>
      <c r="D826" s="69">
        <v>2</v>
      </c>
      <c r="E826" s="68">
        <v>0</v>
      </c>
    </row>
    <row r="827" spans="2:5">
      <c r="B827" s="112"/>
      <c r="C827" s="54" t="s">
        <v>190</v>
      </c>
      <c r="D827" s="69">
        <v>1</v>
      </c>
      <c r="E827" s="68">
        <v>0</v>
      </c>
    </row>
    <row r="828" spans="2:5">
      <c r="B828" s="112"/>
      <c r="C828" s="54" t="s">
        <v>191</v>
      </c>
      <c r="D828" s="69">
        <v>2</v>
      </c>
      <c r="E828" s="68">
        <v>0</v>
      </c>
    </row>
    <row r="829" spans="2:5">
      <c r="B829" s="112"/>
      <c r="C829" s="54" t="s">
        <v>195</v>
      </c>
      <c r="D829" s="69">
        <v>1</v>
      </c>
      <c r="E829" s="68">
        <v>0</v>
      </c>
    </row>
    <row r="830" spans="2:5">
      <c r="B830" s="113"/>
      <c r="C830" s="74" t="s">
        <v>304</v>
      </c>
      <c r="D830" s="80">
        <v>23</v>
      </c>
      <c r="E830" s="76">
        <v>1E-3</v>
      </c>
    </row>
    <row r="831" spans="2:5">
      <c r="B831" s="111" t="s">
        <v>54</v>
      </c>
      <c r="C831" s="54" t="s">
        <v>169</v>
      </c>
      <c r="D831" s="69">
        <v>1</v>
      </c>
      <c r="E831" s="68">
        <v>0</v>
      </c>
    </row>
    <row r="832" spans="2:5">
      <c r="B832" s="112"/>
      <c r="C832" s="54" t="s">
        <v>170</v>
      </c>
      <c r="D832" s="69">
        <v>21</v>
      </c>
      <c r="E832" s="68">
        <v>1E-3</v>
      </c>
    </row>
    <row r="833" spans="2:5">
      <c r="B833" s="112"/>
      <c r="C833" s="54" t="s">
        <v>171</v>
      </c>
      <c r="D833" s="69">
        <v>8</v>
      </c>
      <c r="E833" s="68">
        <v>0</v>
      </c>
    </row>
    <row r="834" spans="2:5">
      <c r="B834" s="112"/>
      <c r="C834" s="54" t="s">
        <v>196</v>
      </c>
      <c r="D834" s="69">
        <v>4</v>
      </c>
      <c r="E834" s="68">
        <v>0</v>
      </c>
    </row>
    <row r="835" spans="2:5">
      <c r="B835" s="112"/>
      <c r="C835" s="54" t="s">
        <v>172</v>
      </c>
      <c r="D835" s="69">
        <v>1</v>
      </c>
      <c r="E835" s="68">
        <v>0</v>
      </c>
    </row>
    <row r="836" spans="2:5">
      <c r="B836" s="112"/>
      <c r="C836" s="54" t="s">
        <v>173</v>
      </c>
      <c r="D836" s="69">
        <v>3</v>
      </c>
      <c r="E836" s="68">
        <v>0</v>
      </c>
    </row>
    <row r="837" spans="2:5">
      <c r="B837" s="112"/>
      <c r="C837" s="54" t="s">
        <v>197</v>
      </c>
      <c r="D837" s="69">
        <v>1</v>
      </c>
      <c r="E837" s="68">
        <v>0</v>
      </c>
    </row>
    <row r="838" spans="2:5">
      <c r="B838" s="112"/>
      <c r="C838" s="54" t="s">
        <v>208</v>
      </c>
      <c r="D838" s="69">
        <v>1</v>
      </c>
      <c r="E838" s="68">
        <v>0</v>
      </c>
    </row>
    <row r="839" spans="2:5">
      <c r="B839" s="112"/>
      <c r="C839" s="54" t="s">
        <v>174</v>
      </c>
      <c r="D839" s="69">
        <v>43</v>
      </c>
      <c r="E839" s="68">
        <v>2E-3</v>
      </c>
    </row>
    <row r="840" spans="2:5">
      <c r="B840" s="112"/>
      <c r="C840" s="54" t="s">
        <v>278</v>
      </c>
      <c r="D840" s="69">
        <v>3</v>
      </c>
      <c r="E840" s="68">
        <v>0</v>
      </c>
    </row>
    <row r="841" spans="2:5">
      <c r="B841" s="112"/>
      <c r="C841" s="54" t="s">
        <v>176</v>
      </c>
      <c r="D841" s="69">
        <v>124</v>
      </c>
      <c r="E841" s="68">
        <v>5.0000000000000001E-3</v>
      </c>
    </row>
    <row r="842" spans="2:5">
      <c r="B842" s="112"/>
      <c r="C842" s="54" t="s">
        <v>177</v>
      </c>
      <c r="D842" s="69">
        <v>47</v>
      </c>
      <c r="E842" s="68">
        <v>2E-3</v>
      </c>
    </row>
    <row r="843" spans="2:5">
      <c r="B843" s="112"/>
      <c r="C843" s="54" t="s">
        <v>194</v>
      </c>
      <c r="D843" s="69">
        <v>2</v>
      </c>
      <c r="E843" s="68">
        <v>0</v>
      </c>
    </row>
    <row r="844" spans="2:5">
      <c r="B844" s="112"/>
      <c r="C844" s="54" t="s">
        <v>198</v>
      </c>
      <c r="D844" s="69">
        <v>1</v>
      </c>
      <c r="E844" s="68">
        <v>0</v>
      </c>
    </row>
    <row r="845" spans="2:5">
      <c r="B845" s="112"/>
      <c r="C845" s="54" t="s">
        <v>204</v>
      </c>
      <c r="D845" s="69">
        <v>3</v>
      </c>
      <c r="E845" s="68">
        <v>0</v>
      </c>
    </row>
    <row r="846" spans="2:5">
      <c r="B846" s="112"/>
      <c r="C846" s="54" t="s">
        <v>178</v>
      </c>
      <c r="D846" s="69">
        <v>3</v>
      </c>
      <c r="E846" s="68">
        <v>0</v>
      </c>
    </row>
    <row r="847" spans="2:5">
      <c r="B847" s="112"/>
      <c r="C847" s="54" t="s">
        <v>200</v>
      </c>
      <c r="D847" s="69">
        <v>1</v>
      </c>
      <c r="E847" s="68">
        <v>0</v>
      </c>
    </row>
    <row r="848" spans="2:5">
      <c r="B848" s="112"/>
      <c r="C848" s="54" t="s">
        <v>179</v>
      </c>
      <c r="D848" s="69">
        <v>3</v>
      </c>
      <c r="E848" s="68">
        <v>0</v>
      </c>
    </row>
    <row r="849" spans="2:5">
      <c r="B849" s="112"/>
      <c r="C849" s="54" t="s">
        <v>180</v>
      </c>
      <c r="D849" s="69">
        <v>61</v>
      </c>
      <c r="E849" s="68">
        <v>3.0000000000000001E-3</v>
      </c>
    </row>
    <row r="850" spans="2:5">
      <c r="B850" s="112"/>
      <c r="C850" s="54" t="s">
        <v>201</v>
      </c>
      <c r="D850" s="69">
        <v>1</v>
      </c>
      <c r="E850" s="68">
        <v>0</v>
      </c>
    </row>
    <row r="851" spans="2:5">
      <c r="B851" s="112"/>
      <c r="C851" s="54" t="s">
        <v>181</v>
      </c>
      <c r="D851" s="69">
        <v>2</v>
      </c>
      <c r="E851" s="68">
        <v>0</v>
      </c>
    </row>
    <row r="852" spans="2:5">
      <c r="B852" s="112"/>
      <c r="C852" s="54" t="s">
        <v>202</v>
      </c>
      <c r="D852" s="69">
        <v>2</v>
      </c>
      <c r="E852" s="68">
        <v>0</v>
      </c>
    </row>
    <row r="853" spans="2:5">
      <c r="B853" s="112"/>
      <c r="C853" s="54" t="s">
        <v>182</v>
      </c>
      <c r="D853" s="69">
        <v>23</v>
      </c>
      <c r="E853" s="68">
        <v>1E-3</v>
      </c>
    </row>
    <row r="854" spans="2:5">
      <c r="B854" s="112"/>
      <c r="C854" s="54" t="s">
        <v>184</v>
      </c>
      <c r="D854" s="69">
        <v>23</v>
      </c>
      <c r="E854" s="68">
        <v>1E-3</v>
      </c>
    </row>
    <row r="855" spans="2:5">
      <c r="B855" s="112"/>
      <c r="C855" s="54" t="s">
        <v>206</v>
      </c>
      <c r="D855" s="69">
        <v>4</v>
      </c>
      <c r="E855" s="68">
        <v>0</v>
      </c>
    </row>
    <row r="856" spans="2:5">
      <c r="B856" s="112"/>
      <c r="C856" s="54" t="s">
        <v>185</v>
      </c>
      <c r="D856" s="69">
        <v>47</v>
      </c>
      <c r="E856" s="68">
        <v>2E-3</v>
      </c>
    </row>
    <row r="857" spans="2:5">
      <c r="B857" s="112"/>
      <c r="C857" s="54" t="s">
        <v>186</v>
      </c>
      <c r="D857" s="69">
        <v>19</v>
      </c>
      <c r="E857" s="68">
        <v>1E-3</v>
      </c>
    </row>
    <row r="858" spans="2:5">
      <c r="B858" s="112"/>
      <c r="C858" s="54" t="s">
        <v>207</v>
      </c>
      <c r="D858" s="69">
        <v>1</v>
      </c>
      <c r="E858" s="68">
        <v>0</v>
      </c>
    </row>
    <row r="859" spans="2:5">
      <c r="B859" s="112"/>
      <c r="C859" s="54" t="s">
        <v>187</v>
      </c>
      <c r="D859" s="69">
        <v>15</v>
      </c>
      <c r="E859" s="68">
        <v>1E-3</v>
      </c>
    </row>
    <row r="860" spans="2:5">
      <c r="B860" s="112"/>
      <c r="C860" s="54" t="s">
        <v>188</v>
      </c>
      <c r="D860" s="69">
        <v>10</v>
      </c>
      <c r="E860" s="68">
        <v>0</v>
      </c>
    </row>
    <row r="861" spans="2:5">
      <c r="B861" s="112"/>
      <c r="C861" s="54" t="s">
        <v>189</v>
      </c>
      <c r="D861" s="69">
        <v>68</v>
      </c>
      <c r="E861" s="68">
        <v>3.0000000000000001E-3</v>
      </c>
    </row>
    <row r="862" spans="2:5">
      <c r="B862" s="112"/>
      <c r="C862" s="54" t="s">
        <v>190</v>
      </c>
      <c r="D862" s="69">
        <v>24</v>
      </c>
      <c r="E862" s="68">
        <v>1E-3</v>
      </c>
    </row>
    <row r="863" spans="2:5">
      <c r="B863" s="112"/>
      <c r="C863" s="54" t="s">
        <v>191</v>
      </c>
      <c r="D863" s="69">
        <v>10</v>
      </c>
      <c r="E863" s="68">
        <v>0</v>
      </c>
    </row>
    <row r="864" spans="2:5">
      <c r="B864" s="112"/>
      <c r="C864" s="54" t="s">
        <v>192</v>
      </c>
      <c r="D864" s="69">
        <v>34</v>
      </c>
      <c r="E864" s="68">
        <v>1E-3</v>
      </c>
    </row>
    <row r="865" spans="2:5">
      <c r="B865" s="112"/>
      <c r="C865" s="54" t="s">
        <v>195</v>
      </c>
      <c r="D865" s="69">
        <v>5</v>
      </c>
      <c r="E865" s="68">
        <v>0</v>
      </c>
    </row>
    <row r="866" spans="2:5">
      <c r="B866" s="112"/>
      <c r="C866" s="54" t="s">
        <v>193</v>
      </c>
      <c r="D866" s="69">
        <v>6</v>
      </c>
      <c r="E866" s="68">
        <v>0</v>
      </c>
    </row>
    <row r="867" spans="2:5">
      <c r="B867" s="113"/>
      <c r="C867" s="74" t="s">
        <v>304</v>
      </c>
      <c r="D867" s="80">
        <v>625</v>
      </c>
      <c r="E867" s="76">
        <v>2.5999999999999999E-2</v>
      </c>
    </row>
    <row r="868" spans="2:5">
      <c r="B868" s="111" t="s">
        <v>81</v>
      </c>
      <c r="C868" s="54" t="s">
        <v>171</v>
      </c>
      <c r="D868" s="69">
        <v>2</v>
      </c>
      <c r="E868" s="68">
        <v>0</v>
      </c>
    </row>
    <row r="869" spans="2:5">
      <c r="B869" s="112"/>
      <c r="C869" s="54" t="s">
        <v>174</v>
      </c>
      <c r="D869" s="69">
        <v>3</v>
      </c>
      <c r="E869" s="68">
        <v>0</v>
      </c>
    </row>
    <row r="870" spans="2:5">
      <c r="B870" s="112"/>
      <c r="C870" s="54" t="s">
        <v>278</v>
      </c>
      <c r="D870" s="69">
        <v>1</v>
      </c>
      <c r="E870" s="68">
        <v>0</v>
      </c>
    </row>
    <row r="871" spans="2:5">
      <c r="B871" s="112"/>
      <c r="C871" s="54" t="s">
        <v>176</v>
      </c>
      <c r="D871" s="69">
        <v>1</v>
      </c>
      <c r="E871" s="68">
        <v>0</v>
      </c>
    </row>
    <row r="872" spans="2:5">
      <c r="B872" s="112"/>
      <c r="C872" s="54" t="s">
        <v>177</v>
      </c>
      <c r="D872" s="69">
        <v>1</v>
      </c>
      <c r="E872" s="68">
        <v>0</v>
      </c>
    </row>
    <row r="873" spans="2:5">
      <c r="B873" s="112"/>
      <c r="C873" s="54" t="s">
        <v>204</v>
      </c>
      <c r="D873" s="69">
        <v>1</v>
      </c>
      <c r="E873" s="68">
        <v>0</v>
      </c>
    </row>
    <row r="874" spans="2:5">
      <c r="B874" s="112"/>
      <c r="C874" s="54" t="s">
        <v>200</v>
      </c>
      <c r="D874" s="69">
        <v>1</v>
      </c>
      <c r="E874" s="68">
        <v>0</v>
      </c>
    </row>
    <row r="875" spans="2:5">
      <c r="B875" s="112"/>
      <c r="C875" s="54" t="s">
        <v>179</v>
      </c>
      <c r="D875" s="69">
        <v>2</v>
      </c>
      <c r="E875" s="68">
        <v>0</v>
      </c>
    </row>
    <row r="876" spans="2:5">
      <c r="B876" s="112"/>
      <c r="C876" s="54" t="s">
        <v>180</v>
      </c>
      <c r="D876" s="69">
        <v>7</v>
      </c>
      <c r="E876" s="68">
        <v>0</v>
      </c>
    </row>
    <row r="877" spans="2:5">
      <c r="B877" s="112"/>
      <c r="C877" s="54" t="s">
        <v>182</v>
      </c>
      <c r="D877" s="69">
        <v>3</v>
      </c>
      <c r="E877" s="68">
        <v>0</v>
      </c>
    </row>
    <row r="878" spans="2:5">
      <c r="B878" s="112"/>
      <c r="C878" s="54" t="s">
        <v>185</v>
      </c>
      <c r="D878" s="69">
        <v>2</v>
      </c>
      <c r="E878" s="68">
        <v>0</v>
      </c>
    </row>
    <row r="879" spans="2:5">
      <c r="B879" s="112"/>
      <c r="C879" s="54" t="s">
        <v>186</v>
      </c>
      <c r="D879" s="69">
        <v>1</v>
      </c>
      <c r="E879" s="68">
        <v>0</v>
      </c>
    </row>
    <row r="880" spans="2:5">
      <c r="B880" s="112"/>
      <c r="C880" s="54" t="s">
        <v>187</v>
      </c>
      <c r="D880" s="69">
        <v>2</v>
      </c>
      <c r="E880" s="68">
        <v>0</v>
      </c>
    </row>
    <row r="881" spans="2:5">
      <c r="B881" s="112"/>
      <c r="C881" s="54" t="s">
        <v>189</v>
      </c>
      <c r="D881" s="69">
        <v>4</v>
      </c>
      <c r="E881" s="68">
        <v>0</v>
      </c>
    </row>
    <row r="882" spans="2:5">
      <c r="B882" s="112"/>
      <c r="C882" s="54" t="s">
        <v>192</v>
      </c>
      <c r="D882" s="69">
        <v>2</v>
      </c>
      <c r="E882" s="68">
        <v>0</v>
      </c>
    </row>
    <row r="883" spans="2:5">
      <c r="B883" s="112"/>
      <c r="C883" s="54" t="s">
        <v>193</v>
      </c>
      <c r="D883" s="69">
        <v>2</v>
      </c>
      <c r="E883" s="68">
        <v>0</v>
      </c>
    </row>
    <row r="884" spans="2:5">
      <c r="B884" s="113"/>
      <c r="C884" s="74" t="s">
        <v>304</v>
      </c>
      <c r="D884" s="80">
        <v>35</v>
      </c>
      <c r="E884" s="76">
        <v>1E-3</v>
      </c>
    </row>
    <row r="885" spans="2:5">
      <c r="B885" s="111" t="s">
        <v>63</v>
      </c>
      <c r="C885" s="54" t="s">
        <v>173</v>
      </c>
      <c r="D885" s="69">
        <v>2</v>
      </c>
      <c r="E885" s="68">
        <v>0</v>
      </c>
    </row>
    <row r="886" spans="2:5">
      <c r="B886" s="112"/>
      <c r="C886" s="54" t="s">
        <v>174</v>
      </c>
      <c r="D886" s="69">
        <v>1</v>
      </c>
      <c r="E886" s="68">
        <v>0</v>
      </c>
    </row>
    <row r="887" spans="2:5">
      <c r="B887" s="112"/>
      <c r="C887" s="54" t="s">
        <v>176</v>
      </c>
      <c r="D887" s="69">
        <v>8</v>
      </c>
      <c r="E887" s="68">
        <v>0</v>
      </c>
    </row>
    <row r="888" spans="2:5">
      <c r="B888" s="112"/>
      <c r="C888" s="54" t="s">
        <v>177</v>
      </c>
      <c r="D888" s="69">
        <v>2</v>
      </c>
      <c r="E888" s="68">
        <v>0</v>
      </c>
    </row>
    <row r="889" spans="2:5">
      <c r="B889" s="112"/>
      <c r="C889" s="54" t="s">
        <v>194</v>
      </c>
      <c r="D889" s="69">
        <v>3</v>
      </c>
      <c r="E889" s="68">
        <v>0</v>
      </c>
    </row>
    <row r="890" spans="2:5">
      <c r="B890" s="112"/>
      <c r="C890" s="54" t="s">
        <v>204</v>
      </c>
      <c r="D890" s="69">
        <v>1</v>
      </c>
      <c r="E890" s="68">
        <v>0</v>
      </c>
    </row>
    <row r="891" spans="2:5">
      <c r="B891" s="112"/>
      <c r="C891" s="54" t="s">
        <v>178</v>
      </c>
      <c r="D891" s="69">
        <v>1</v>
      </c>
      <c r="E891" s="68">
        <v>0</v>
      </c>
    </row>
    <row r="892" spans="2:5">
      <c r="B892" s="112"/>
      <c r="C892" s="54" t="s">
        <v>180</v>
      </c>
      <c r="D892" s="69">
        <v>38</v>
      </c>
      <c r="E892" s="68">
        <v>2E-3</v>
      </c>
    </row>
    <row r="893" spans="2:5">
      <c r="B893" s="112"/>
      <c r="C893" s="54" t="s">
        <v>181</v>
      </c>
      <c r="D893" s="69">
        <v>1</v>
      </c>
      <c r="E893" s="68">
        <v>0</v>
      </c>
    </row>
    <row r="894" spans="2:5">
      <c r="B894" s="112"/>
      <c r="C894" s="54" t="s">
        <v>203</v>
      </c>
      <c r="D894" s="69">
        <v>2</v>
      </c>
      <c r="E894" s="68">
        <v>0</v>
      </c>
    </row>
    <row r="895" spans="2:5">
      <c r="B895" s="112"/>
      <c r="C895" s="54" t="s">
        <v>182</v>
      </c>
      <c r="D895" s="69">
        <v>13</v>
      </c>
      <c r="E895" s="68">
        <v>1E-3</v>
      </c>
    </row>
    <row r="896" spans="2:5">
      <c r="B896" s="112"/>
      <c r="C896" s="54" t="s">
        <v>185</v>
      </c>
      <c r="D896" s="69">
        <v>31</v>
      </c>
      <c r="E896" s="68">
        <v>1E-3</v>
      </c>
    </row>
    <row r="897" spans="2:5">
      <c r="B897" s="112"/>
      <c r="C897" s="54" t="s">
        <v>186</v>
      </c>
      <c r="D897" s="69">
        <v>10</v>
      </c>
      <c r="E897" s="68">
        <v>0</v>
      </c>
    </row>
    <row r="898" spans="2:5">
      <c r="B898" s="112"/>
      <c r="C898" s="54" t="s">
        <v>187</v>
      </c>
      <c r="D898" s="69">
        <v>18</v>
      </c>
      <c r="E898" s="68">
        <v>1E-3</v>
      </c>
    </row>
    <row r="899" spans="2:5">
      <c r="B899" s="112"/>
      <c r="C899" s="54" t="s">
        <v>188</v>
      </c>
      <c r="D899" s="69">
        <v>1</v>
      </c>
      <c r="E899" s="68">
        <v>0</v>
      </c>
    </row>
    <row r="900" spans="2:5">
      <c r="B900" s="112"/>
      <c r="C900" s="54" t="s">
        <v>189</v>
      </c>
      <c r="D900" s="69">
        <v>10</v>
      </c>
      <c r="E900" s="68">
        <v>0</v>
      </c>
    </row>
    <row r="901" spans="2:5">
      <c r="B901" s="112"/>
      <c r="C901" s="54" t="s">
        <v>190</v>
      </c>
      <c r="D901" s="69">
        <v>2</v>
      </c>
      <c r="E901" s="68">
        <v>0</v>
      </c>
    </row>
    <row r="902" spans="2:5">
      <c r="B902" s="112"/>
      <c r="C902" s="54" t="s">
        <v>191</v>
      </c>
      <c r="D902" s="69">
        <v>6</v>
      </c>
      <c r="E902" s="68">
        <v>0</v>
      </c>
    </row>
    <row r="903" spans="2:5">
      <c r="B903" s="112"/>
      <c r="C903" s="54" t="s">
        <v>192</v>
      </c>
      <c r="D903" s="69">
        <v>5</v>
      </c>
      <c r="E903" s="68">
        <v>0</v>
      </c>
    </row>
    <row r="904" spans="2:5">
      <c r="B904" s="112"/>
      <c r="C904" s="54" t="s">
        <v>193</v>
      </c>
      <c r="D904" s="69">
        <v>3</v>
      </c>
      <c r="E904" s="68">
        <v>0</v>
      </c>
    </row>
    <row r="905" spans="2:5">
      <c r="B905" s="113"/>
      <c r="C905" s="74" t="s">
        <v>304</v>
      </c>
      <c r="D905" s="80">
        <v>158</v>
      </c>
      <c r="E905" s="76">
        <v>6.0000000000000001E-3</v>
      </c>
    </row>
    <row r="906" spans="2:5">
      <c r="B906" s="111" t="s">
        <v>84</v>
      </c>
      <c r="C906" s="54" t="s">
        <v>174</v>
      </c>
      <c r="D906" s="69">
        <v>5</v>
      </c>
      <c r="E906" s="68">
        <v>0</v>
      </c>
    </row>
    <row r="907" spans="2:5">
      <c r="B907" s="112"/>
      <c r="C907" s="54" t="s">
        <v>176</v>
      </c>
      <c r="D907" s="69">
        <v>1</v>
      </c>
      <c r="E907" s="68">
        <v>0</v>
      </c>
    </row>
    <row r="908" spans="2:5">
      <c r="B908" s="112"/>
      <c r="C908" s="54" t="s">
        <v>180</v>
      </c>
      <c r="D908" s="69">
        <v>1</v>
      </c>
      <c r="E908" s="68">
        <v>0</v>
      </c>
    </row>
    <row r="909" spans="2:5">
      <c r="B909" s="112"/>
      <c r="C909" s="54" t="s">
        <v>185</v>
      </c>
      <c r="D909" s="69">
        <v>4</v>
      </c>
      <c r="E909" s="68">
        <v>0</v>
      </c>
    </row>
    <row r="910" spans="2:5">
      <c r="B910" s="112"/>
      <c r="C910" s="54" t="s">
        <v>186</v>
      </c>
      <c r="D910" s="69">
        <v>1</v>
      </c>
      <c r="E910" s="68">
        <v>0</v>
      </c>
    </row>
    <row r="911" spans="2:5">
      <c r="B911" s="112"/>
      <c r="C911" s="54" t="s">
        <v>187</v>
      </c>
      <c r="D911" s="69">
        <v>4</v>
      </c>
      <c r="E911" s="68">
        <v>0</v>
      </c>
    </row>
    <row r="912" spans="2:5">
      <c r="B912" s="112"/>
      <c r="C912" s="54" t="s">
        <v>189</v>
      </c>
      <c r="D912" s="69">
        <v>6</v>
      </c>
      <c r="E912" s="68">
        <v>0</v>
      </c>
    </row>
    <row r="913" spans="2:5">
      <c r="B913" s="112"/>
      <c r="C913" s="54" t="s">
        <v>192</v>
      </c>
      <c r="D913" s="69">
        <v>1</v>
      </c>
      <c r="E913" s="68">
        <v>0</v>
      </c>
    </row>
    <row r="914" spans="2:5">
      <c r="B914" s="112"/>
      <c r="C914" s="54" t="s">
        <v>193</v>
      </c>
      <c r="D914" s="69">
        <v>1</v>
      </c>
      <c r="E914" s="68">
        <v>0</v>
      </c>
    </row>
    <row r="915" spans="2:5">
      <c r="B915" s="113"/>
      <c r="C915" s="74" t="s">
        <v>304</v>
      </c>
      <c r="D915" s="80">
        <v>24</v>
      </c>
      <c r="E915" s="76">
        <v>1E-3</v>
      </c>
    </row>
    <row r="916" spans="2:5">
      <c r="B916" s="111" t="s">
        <v>51</v>
      </c>
      <c r="C916" s="54" t="s">
        <v>169</v>
      </c>
      <c r="D916" s="69">
        <v>6</v>
      </c>
      <c r="E916" s="68">
        <v>0</v>
      </c>
    </row>
    <row r="917" spans="2:5">
      <c r="B917" s="112"/>
      <c r="C917" s="54" t="s">
        <v>170</v>
      </c>
      <c r="D917" s="69">
        <v>4</v>
      </c>
      <c r="E917" s="68">
        <v>0</v>
      </c>
    </row>
    <row r="918" spans="2:5">
      <c r="B918" s="112"/>
      <c r="C918" s="54" t="s">
        <v>171</v>
      </c>
      <c r="D918" s="69">
        <v>7</v>
      </c>
      <c r="E918" s="68">
        <v>0</v>
      </c>
    </row>
    <row r="919" spans="2:5">
      <c r="B919" s="112"/>
      <c r="C919" s="54" t="s">
        <v>196</v>
      </c>
      <c r="D919" s="69">
        <v>1</v>
      </c>
      <c r="E919" s="68">
        <v>0</v>
      </c>
    </row>
    <row r="920" spans="2:5">
      <c r="B920" s="112"/>
      <c r="C920" s="54" t="s">
        <v>172</v>
      </c>
      <c r="D920" s="69">
        <v>1</v>
      </c>
      <c r="E920" s="68">
        <v>0</v>
      </c>
    </row>
    <row r="921" spans="2:5">
      <c r="B921" s="112"/>
      <c r="C921" s="54" t="s">
        <v>173</v>
      </c>
      <c r="D921" s="69">
        <v>3</v>
      </c>
      <c r="E921" s="68">
        <v>0</v>
      </c>
    </row>
    <row r="922" spans="2:5">
      <c r="B922" s="112"/>
      <c r="C922" s="54" t="s">
        <v>197</v>
      </c>
      <c r="D922" s="69">
        <v>6</v>
      </c>
      <c r="E922" s="68">
        <v>0</v>
      </c>
    </row>
    <row r="923" spans="2:5">
      <c r="B923" s="112"/>
      <c r="C923" s="54" t="s">
        <v>208</v>
      </c>
      <c r="D923" s="69">
        <v>2</v>
      </c>
      <c r="E923" s="68">
        <v>0</v>
      </c>
    </row>
    <row r="924" spans="2:5">
      <c r="B924" s="112"/>
      <c r="C924" s="54" t="s">
        <v>174</v>
      </c>
      <c r="D924" s="69">
        <v>30</v>
      </c>
      <c r="E924" s="68">
        <v>1E-3</v>
      </c>
    </row>
    <row r="925" spans="2:5">
      <c r="B925" s="112"/>
      <c r="C925" s="54" t="s">
        <v>175</v>
      </c>
      <c r="D925" s="69">
        <v>1</v>
      </c>
      <c r="E925" s="68">
        <v>0</v>
      </c>
    </row>
    <row r="926" spans="2:5">
      <c r="B926" s="112"/>
      <c r="C926" s="54" t="s">
        <v>278</v>
      </c>
      <c r="D926" s="69">
        <v>1</v>
      </c>
      <c r="E926" s="68">
        <v>0</v>
      </c>
    </row>
    <row r="927" spans="2:5">
      <c r="B927" s="112"/>
      <c r="C927" s="54" t="s">
        <v>176</v>
      </c>
      <c r="D927" s="69">
        <v>32</v>
      </c>
      <c r="E927" s="68">
        <v>1E-3</v>
      </c>
    </row>
    <row r="928" spans="2:5">
      <c r="B928" s="112"/>
      <c r="C928" s="54" t="s">
        <v>177</v>
      </c>
      <c r="D928" s="69">
        <v>11</v>
      </c>
      <c r="E928" s="68">
        <v>0</v>
      </c>
    </row>
    <row r="929" spans="2:5">
      <c r="B929" s="112"/>
      <c r="C929" s="54" t="s">
        <v>210</v>
      </c>
      <c r="D929" s="69">
        <v>2</v>
      </c>
      <c r="E929" s="68">
        <v>0</v>
      </c>
    </row>
    <row r="930" spans="2:5">
      <c r="B930" s="112"/>
      <c r="C930" s="54" t="s">
        <v>194</v>
      </c>
      <c r="D930" s="69">
        <v>2</v>
      </c>
      <c r="E930" s="68">
        <v>0</v>
      </c>
    </row>
    <row r="931" spans="2:5">
      <c r="B931" s="112"/>
      <c r="C931" s="54" t="s">
        <v>198</v>
      </c>
      <c r="D931" s="69">
        <v>1</v>
      </c>
      <c r="E931" s="68">
        <v>0</v>
      </c>
    </row>
    <row r="932" spans="2:5">
      <c r="B932" s="112"/>
      <c r="C932" s="54" t="s">
        <v>199</v>
      </c>
      <c r="D932" s="69">
        <v>3</v>
      </c>
      <c r="E932" s="68">
        <v>0</v>
      </c>
    </row>
    <row r="933" spans="2:5">
      <c r="B933" s="112"/>
      <c r="C933" s="54" t="s">
        <v>204</v>
      </c>
      <c r="D933" s="69">
        <v>15</v>
      </c>
      <c r="E933" s="68">
        <v>1E-3</v>
      </c>
    </row>
    <row r="934" spans="2:5">
      <c r="B934" s="112"/>
      <c r="C934" s="54" t="s">
        <v>178</v>
      </c>
      <c r="D934" s="69">
        <v>12</v>
      </c>
      <c r="E934" s="68">
        <v>0</v>
      </c>
    </row>
    <row r="935" spans="2:5">
      <c r="B935" s="112"/>
      <c r="C935" s="54" t="s">
        <v>200</v>
      </c>
      <c r="D935" s="69">
        <v>4</v>
      </c>
      <c r="E935" s="68">
        <v>0</v>
      </c>
    </row>
    <row r="936" spans="2:5">
      <c r="B936" s="112"/>
      <c r="C936" s="54" t="s">
        <v>179</v>
      </c>
      <c r="D936" s="69">
        <v>5</v>
      </c>
      <c r="E936" s="68">
        <v>0</v>
      </c>
    </row>
    <row r="937" spans="2:5">
      <c r="B937" s="112"/>
      <c r="C937" s="54" t="s">
        <v>205</v>
      </c>
      <c r="D937" s="69">
        <v>1</v>
      </c>
      <c r="E937" s="68">
        <v>0</v>
      </c>
    </row>
    <row r="938" spans="2:5">
      <c r="B938" s="112"/>
      <c r="C938" s="54" t="s">
        <v>180</v>
      </c>
      <c r="D938" s="69">
        <v>109</v>
      </c>
      <c r="E938" s="68">
        <v>4.0000000000000001E-3</v>
      </c>
    </row>
    <row r="939" spans="2:5">
      <c r="B939" s="112"/>
      <c r="C939" s="54" t="s">
        <v>201</v>
      </c>
      <c r="D939" s="69">
        <v>5</v>
      </c>
      <c r="E939" s="68">
        <v>0</v>
      </c>
    </row>
    <row r="940" spans="2:5">
      <c r="B940" s="112"/>
      <c r="C940" s="54" t="s">
        <v>181</v>
      </c>
      <c r="D940" s="69">
        <v>6</v>
      </c>
      <c r="E940" s="68">
        <v>0</v>
      </c>
    </row>
    <row r="941" spans="2:5">
      <c r="B941" s="112"/>
      <c r="C941" s="54" t="s">
        <v>203</v>
      </c>
      <c r="D941" s="69">
        <v>1</v>
      </c>
      <c r="E941" s="68">
        <v>0</v>
      </c>
    </row>
    <row r="942" spans="2:5">
      <c r="B942" s="112"/>
      <c r="C942" s="54" t="s">
        <v>182</v>
      </c>
      <c r="D942" s="69">
        <v>318</v>
      </c>
      <c r="E942" s="68">
        <v>1.2999999999999999E-2</v>
      </c>
    </row>
    <row r="943" spans="2:5">
      <c r="B943" s="112"/>
      <c r="C943" s="54" t="s">
        <v>184</v>
      </c>
      <c r="D943" s="69">
        <v>8</v>
      </c>
      <c r="E943" s="68">
        <v>0</v>
      </c>
    </row>
    <row r="944" spans="2:5">
      <c r="B944" s="112"/>
      <c r="C944" s="54" t="s">
        <v>209</v>
      </c>
      <c r="D944" s="69">
        <v>2</v>
      </c>
      <c r="E944" s="68">
        <v>0</v>
      </c>
    </row>
    <row r="945" spans="2:5">
      <c r="B945" s="112"/>
      <c r="C945" s="54" t="s">
        <v>185</v>
      </c>
      <c r="D945" s="69">
        <v>61</v>
      </c>
      <c r="E945" s="68">
        <v>3.0000000000000001E-3</v>
      </c>
    </row>
    <row r="946" spans="2:5">
      <c r="B946" s="112"/>
      <c r="C946" s="54" t="s">
        <v>186</v>
      </c>
      <c r="D946" s="69">
        <v>26</v>
      </c>
      <c r="E946" s="68">
        <v>1E-3</v>
      </c>
    </row>
    <row r="947" spans="2:5">
      <c r="B947" s="112"/>
      <c r="C947" s="54" t="s">
        <v>187</v>
      </c>
      <c r="D947" s="69">
        <v>32</v>
      </c>
      <c r="E947" s="68">
        <v>1E-3</v>
      </c>
    </row>
    <row r="948" spans="2:5">
      <c r="B948" s="112"/>
      <c r="C948" s="54" t="s">
        <v>188</v>
      </c>
      <c r="D948" s="69">
        <v>9</v>
      </c>
      <c r="E948" s="68">
        <v>0</v>
      </c>
    </row>
    <row r="949" spans="2:5">
      <c r="B949" s="112"/>
      <c r="C949" s="54" t="s">
        <v>189</v>
      </c>
      <c r="D949" s="69">
        <v>47</v>
      </c>
      <c r="E949" s="68">
        <v>2E-3</v>
      </c>
    </row>
    <row r="950" spans="2:5">
      <c r="B950" s="112"/>
      <c r="C950" s="54" t="s">
        <v>190</v>
      </c>
      <c r="D950" s="69">
        <v>26</v>
      </c>
      <c r="E950" s="68">
        <v>1E-3</v>
      </c>
    </row>
    <row r="951" spans="2:5">
      <c r="B951" s="112"/>
      <c r="C951" s="54" t="s">
        <v>191</v>
      </c>
      <c r="D951" s="69">
        <v>17</v>
      </c>
      <c r="E951" s="68">
        <v>1E-3</v>
      </c>
    </row>
    <row r="952" spans="2:5">
      <c r="B952" s="112"/>
      <c r="C952" s="54" t="s">
        <v>192</v>
      </c>
      <c r="D952" s="69">
        <v>48</v>
      </c>
      <c r="E952" s="68">
        <v>2E-3</v>
      </c>
    </row>
    <row r="953" spans="2:5">
      <c r="B953" s="112"/>
      <c r="C953" s="54" t="s">
        <v>195</v>
      </c>
      <c r="D953" s="69">
        <v>4</v>
      </c>
      <c r="E953" s="68">
        <v>0</v>
      </c>
    </row>
    <row r="954" spans="2:5">
      <c r="B954" s="112"/>
      <c r="C954" s="54" t="s">
        <v>193</v>
      </c>
      <c r="D954" s="69">
        <v>3</v>
      </c>
      <c r="E954" s="68">
        <v>0</v>
      </c>
    </row>
    <row r="955" spans="2:5">
      <c r="B955" s="113"/>
      <c r="C955" s="74" t="s">
        <v>304</v>
      </c>
      <c r="D955" s="80">
        <v>872</v>
      </c>
      <c r="E955" s="76">
        <v>3.5999999999999997E-2</v>
      </c>
    </row>
    <row r="956" spans="2:5">
      <c r="B956" s="111" t="s">
        <v>78</v>
      </c>
      <c r="C956" s="54" t="s">
        <v>169</v>
      </c>
      <c r="D956" s="69">
        <v>1</v>
      </c>
      <c r="E956" s="68">
        <v>0</v>
      </c>
    </row>
    <row r="957" spans="2:5">
      <c r="B957" s="112"/>
      <c r="C957" s="54" t="s">
        <v>171</v>
      </c>
      <c r="D957" s="69">
        <v>1</v>
      </c>
      <c r="E957" s="68">
        <v>0</v>
      </c>
    </row>
    <row r="958" spans="2:5">
      <c r="B958" s="112"/>
      <c r="C958" s="54" t="s">
        <v>174</v>
      </c>
      <c r="D958" s="69">
        <v>5</v>
      </c>
      <c r="E958" s="68">
        <v>0</v>
      </c>
    </row>
    <row r="959" spans="2:5">
      <c r="B959" s="112"/>
      <c r="C959" s="54" t="s">
        <v>176</v>
      </c>
      <c r="D959" s="69">
        <v>3</v>
      </c>
      <c r="E959" s="68">
        <v>0</v>
      </c>
    </row>
    <row r="960" spans="2:5">
      <c r="B960" s="112"/>
      <c r="C960" s="54" t="s">
        <v>177</v>
      </c>
      <c r="D960" s="69">
        <v>2</v>
      </c>
      <c r="E960" s="68">
        <v>0</v>
      </c>
    </row>
    <row r="961" spans="2:5">
      <c r="B961" s="112"/>
      <c r="C961" s="54" t="s">
        <v>204</v>
      </c>
      <c r="D961" s="69">
        <v>2</v>
      </c>
      <c r="E961" s="68">
        <v>0</v>
      </c>
    </row>
    <row r="962" spans="2:5">
      <c r="B962" s="112"/>
      <c r="C962" s="54" t="s">
        <v>182</v>
      </c>
      <c r="D962" s="69">
        <v>3</v>
      </c>
      <c r="E962" s="68">
        <v>0</v>
      </c>
    </row>
    <row r="963" spans="2:5">
      <c r="B963" s="112"/>
      <c r="C963" s="54" t="s">
        <v>184</v>
      </c>
      <c r="D963" s="69">
        <v>1</v>
      </c>
      <c r="E963" s="68">
        <v>0</v>
      </c>
    </row>
    <row r="964" spans="2:5">
      <c r="B964" s="112"/>
      <c r="C964" s="54" t="s">
        <v>207</v>
      </c>
      <c r="D964" s="69">
        <v>3</v>
      </c>
      <c r="E964" s="68">
        <v>0</v>
      </c>
    </row>
    <row r="965" spans="2:5">
      <c r="B965" s="112"/>
      <c r="C965" s="54" t="s">
        <v>187</v>
      </c>
      <c r="D965" s="69">
        <v>2</v>
      </c>
      <c r="E965" s="68">
        <v>0</v>
      </c>
    </row>
    <row r="966" spans="2:5">
      <c r="B966" s="112"/>
      <c r="C966" s="54" t="s">
        <v>189</v>
      </c>
      <c r="D966" s="69">
        <v>11</v>
      </c>
      <c r="E966" s="68">
        <v>0</v>
      </c>
    </row>
    <row r="967" spans="2:5">
      <c r="B967" s="112"/>
      <c r="C967" s="54" t="s">
        <v>192</v>
      </c>
      <c r="D967" s="69">
        <v>3</v>
      </c>
      <c r="E967" s="68">
        <v>0</v>
      </c>
    </row>
    <row r="968" spans="2:5">
      <c r="B968" s="113"/>
      <c r="C968" s="74" t="s">
        <v>304</v>
      </c>
      <c r="D968" s="80">
        <v>37</v>
      </c>
      <c r="E968" s="76">
        <v>2E-3</v>
      </c>
    </row>
    <row r="969" spans="2:5">
      <c r="B969" s="111" t="s">
        <v>82</v>
      </c>
      <c r="C969" s="54" t="s">
        <v>169</v>
      </c>
      <c r="D969" s="69">
        <v>1</v>
      </c>
      <c r="E969" s="68">
        <v>0</v>
      </c>
    </row>
    <row r="970" spans="2:5">
      <c r="B970" s="112"/>
      <c r="C970" s="54" t="s">
        <v>174</v>
      </c>
      <c r="D970" s="69">
        <v>1</v>
      </c>
      <c r="E970" s="68">
        <v>0</v>
      </c>
    </row>
    <row r="971" spans="2:5">
      <c r="B971" s="112"/>
      <c r="C971" s="54" t="s">
        <v>176</v>
      </c>
      <c r="D971" s="69">
        <v>4</v>
      </c>
      <c r="E971" s="68">
        <v>0</v>
      </c>
    </row>
    <row r="972" spans="2:5">
      <c r="B972" s="112"/>
      <c r="C972" s="54" t="s">
        <v>177</v>
      </c>
      <c r="D972" s="69">
        <v>1</v>
      </c>
      <c r="E972" s="68">
        <v>0</v>
      </c>
    </row>
    <row r="973" spans="2:5">
      <c r="B973" s="112"/>
      <c r="C973" s="54" t="s">
        <v>179</v>
      </c>
      <c r="D973" s="69">
        <v>1</v>
      </c>
      <c r="E973" s="68">
        <v>0</v>
      </c>
    </row>
    <row r="974" spans="2:5">
      <c r="B974" s="112"/>
      <c r="C974" s="54" t="s">
        <v>182</v>
      </c>
      <c r="D974" s="69">
        <v>5</v>
      </c>
      <c r="E974" s="68">
        <v>0</v>
      </c>
    </row>
    <row r="975" spans="2:5">
      <c r="B975" s="112"/>
      <c r="C975" s="54" t="s">
        <v>185</v>
      </c>
      <c r="D975" s="69">
        <v>2</v>
      </c>
      <c r="E975" s="68">
        <v>0</v>
      </c>
    </row>
    <row r="976" spans="2:5">
      <c r="B976" s="112"/>
      <c r="C976" s="54" t="s">
        <v>187</v>
      </c>
      <c r="D976" s="69">
        <v>1</v>
      </c>
      <c r="E976" s="68">
        <v>0</v>
      </c>
    </row>
    <row r="977" spans="2:5">
      <c r="B977" s="112"/>
      <c r="C977" s="54" t="s">
        <v>189</v>
      </c>
      <c r="D977" s="69">
        <v>10</v>
      </c>
      <c r="E977" s="68">
        <v>0</v>
      </c>
    </row>
    <row r="978" spans="2:5">
      <c r="B978" s="112"/>
      <c r="C978" s="54" t="s">
        <v>191</v>
      </c>
      <c r="D978" s="69">
        <v>1</v>
      </c>
      <c r="E978" s="68">
        <v>0</v>
      </c>
    </row>
    <row r="979" spans="2:5">
      <c r="B979" s="113"/>
      <c r="C979" s="74" t="s">
        <v>304</v>
      </c>
      <c r="D979" s="80">
        <v>27</v>
      </c>
      <c r="E979" s="76">
        <v>1E-3</v>
      </c>
    </row>
    <row r="980" spans="2:5">
      <c r="B980" s="111" t="s">
        <v>83</v>
      </c>
      <c r="C980" s="54" t="s">
        <v>169</v>
      </c>
      <c r="D980" s="69">
        <v>2</v>
      </c>
      <c r="E980" s="68">
        <v>0</v>
      </c>
    </row>
    <row r="981" spans="2:5">
      <c r="B981" s="112"/>
      <c r="C981" s="54" t="s">
        <v>196</v>
      </c>
      <c r="D981" s="69">
        <v>1</v>
      </c>
      <c r="E981" s="68">
        <v>0</v>
      </c>
    </row>
    <row r="982" spans="2:5">
      <c r="B982" s="112"/>
      <c r="C982" s="54" t="s">
        <v>197</v>
      </c>
      <c r="D982" s="69">
        <v>1</v>
      </c>
      <c r="E982" s="68">
        <v>0</v>
      </c>
    </row>
    <row r="983" spans="2:5">
      <c r="B983" s="112"/>
      <c r="C983" s="54" t="s">
        <v>174</v>
      </c>
      <c r="D983" s="69">
        <v>3</v>
      </c>
      <c r="E983" s="68">
        <v>0</v>
      </c>
    </row>
    <row r="984" spans="2:5">
      <c r="B984" s="112"/>
      <c r="C984" s="54" t="s">
        <v>278</v>
      </c>
      <c r="D984" s="69">
        <v>1</v>
      </c>
      <c r="E984" s="68">
        <v>0</v>
      </c>
    </row>
    <row r="985" spans="2:5">
      <c r="B985" s="112"/>
      <c r="C985" s="54" t="s">
        <v>176</v>
      </c>
      <c r="D985" s="69">
        <v>6</v>
      </c>
      <c r="E985" s="68">
        <v>0</v>
      </c>
    </row>
    <row r="986" spans="2:5">
      <c r="B986" s="112"/>
      <c r="C986" s="54" t="s">
        <v>177</v>
      </c>
      <c r="D986" s="69">
        <v>1</v>
      </c>
      <c r="E986" s="68">
        <v>0</v>
      </c>
    </row>
    <row r="987" spans="2:5">
      <c r="B987" s="112"/>
      <c r="C987" s="54" t="s">
        <v>180</v>
      </c>
      <c r="D987" s="69">
        <v>4</v>
      </c>
      <c r="E987" s="68">
        <v>0</v>
      </c>
    </row>
    <row r="988" spans="2:5">
      <c r="B988" s="112"/>
      <c r="C988" s="54" t="s">
        <v>185</v>
      </c>
      <c r="D988" s="69">
        <v>1</v>
      </c>
      <c r="E988" s="68">
        <v>0</v>
      </c>
    </row>
    <row r="989" spans="2:5">
      <c r="B989" s="112"/>
      <c r="C989" s="54" t="s">
        <v>186</v>
      </c>
      <c r="D989" s="69">
        <v>1</v>
      </c>
      <c r="E989" s="68">
        <v>0</v>
      </c>
    </row>
    <row r="990" spans="2:5">
      <c r="B990" s="112"/>
      <c r="C990" s="54" t="s">
        <v>189</v>
      </c>
      <c r="D990" s="69">
        <v>4</v>
      </c>
      <c r="E990" s="68">
        <v>0</v>
      </c>
    </row>
    <row r="991" spans="2:5">
      <c r="B991" s="112"/>
      <c r="C991" s="54" t="s">
        <v>192</v>
      </c>
      <c r="D991" s="69">
        <v>1</v>
      </c>
      <c r="E991" s="68">
        <v>0</v>
      </c>
    </row>
    <row r="992" spans="2:5">
      <c r="B992" s="113"/>
      <c r="C992" s="74" t="s">
        <v>304</v>
      </c>
      <c r="D992" s="80">
        <v>26</v>
      </c>
      <c r="E992" s="76">
        <v>1E-3</v>
      </c>
    </row>
    <row r="993" spans="2:5">
      <c r="B993" s="111" t="s">
        <v>76</v>
      </c>
      <c r="C993" s="54" t="s">
        <v>171</v>
      </c>
      <c r="D993" s="69">
        <v>3</v>
      </c>
      <c r="E993" s="68">
        <v>0</v>
      </c>
    </row>
    <row r="994" spans="2:5">
      <c r="B994" s="112"/>
      <c r="C994" s="54" t="s">
        <v>196</v>
      </c>
      <c r="D994" s="69">
        <v>1</v>
      </c>
      <c r="E994" s="68">
        <v>0</v>
      </c>
    </row>
    <row r="995" spans="2:5">
      <c r="B995" s="112"/>
      <c r="C995" s="54" t="s">
        <v>174</v>
      </c>
      <c r="D995" s="69">
        <v>4</v>
      </c>
      <c r="E995" s="68">
        <v>0</v>
      </c>
    </row>
    <row r="996" spans="2:5">
      <c r="B996" s="112"/>
      <c r="C996" s="54" t="s">
        <v>177</v>
      </c>
      <c r="D996" s="69">
        <v>3</v>
      </c>
      <c r="E996" s="68">
        <v>0</v>
      </c>
    </row>
    <row r="997" spans="2:5">
      <c r="B997" s="112"/>
      <c r="C997" s="54" t="s">
        <v>182</v>
      </c>
      <c r="D997" s="69">
        <v>1</v>
      </c>
      <c r="E997" s="68">
        <v>0</v>
      </c>
    </row>
    <row r="998" spans="2:5">
      <c r="B998" s="112"/>
      <c r="C998" s="54" t="s">
        <v>206</v>
      </c>
      <c r="D998" s="69">
        <v>1</v>
      </c>
      <c r="E998" s="68">
        <v>0</v>
      </c>
    </row>
    <row r="999" spans="2:5">
      <c r="B999" s="112"/>
      <c r="C999" s="54" t="s">
        <v>185</v>
      </c>
      <c r="D999" s="69">
        <v>3</v>
      </c>
      <c r="E999" s="68">
        <v>0</v>
      </c>
    </row>
    <row r="1000" spans="2:5">
      <c r="B1000" s="112"/>
      <c r="C1000" s="54" t="s">
        <v>186</v>
      </c>
      <c r="D1000" s="69">
        <v>4</v>
      </c>
      <c r="E1000" s="68">
        <v>0</v>
      </c>
    </row>
    <row r="1001" spans="2:5">
      <c r="B1001" s="112"/>
      <c r="C1001" s="54" t="s">
        <v>189</v>
      </c>
      <c r="D1001" s="69">
        <v>10</v>
      </c>
      <c r="E1001" s="68">
        <v>0</v>
      </c>
    </row>
    <row r="1002" spans="2:5">
      <c r="B1002" s="112"/>
      <c r="C1002" s="54" t="s">
        <v>191</v>
      </c>
      <c r="D1002" s="69">
        <v>1</v>
      </c>
      <c r="E1002" s="68">
        <v>0</v>
      </c>
    </row>
    <row r="1003" spans="2:5">
      <c r="B1003" s="112"/>
      <c r="C1003" s="54" t="s">
        <v>192</v>
      </c>
      <c r="D1003" s="69">
        <v>3</v>
      </c>
      <c r="E1003" s="68">
        <v>0</v>
      </c>
    </row>
    <row r="1004" spans="2:5">
      <c r="B1004" s="113"/>
      <c r="C1004" s="74" t="s">
        <v>304</v>
      </c>
      <c r="D1004" s="80">
        <v>34</v>
      </c>
      <c r="E1004" s="76">
        <v>1E-3</v>
      </c>
    </row>
    <row r="1005" spans="2:5">
      <c r="B1005" s="111" t="s">
        <v>74</v>
      </c>
      <c r="C1005" s="54" t="s">
        <v>197</v>
      </c>
      <c r="D1005" s="69">
        <v>1</v>
      </c>
      <c r="E1005" s="68">
        <v>0</v>
      </c>
    </row>
    <row r="1006" spans="2:5">
      <c r="B1006" s="112"/>
      <c r="C1006" s="54" t="s">
        <v>208</v>
      </c>
      <c r="D1006" s="69">
        <v>1</v>
      </c>
      <c r="E1006" s="68">
        <v>0</v>
      </c>
    </row>
    <row r="1007" spans="2:5">
      <c r="B1007" s="112"/>
      <c r="C1007" s="54" t="s">
        <v>174</v>
      </c>
      <c r="D1007" s="69">
        <v>4</v>
      </c>
      <c r="E1007" s="68">
        <v>0</v>
      </c>
    </row>
    <row r="1008" spans="2:5">
      <c r="B1008" s="112"/>
      <c r="C1008" s="54" t="s">
        <v>198</v>
      </c>
      <c r="D1008" s="69">
        <v>1</v>
      </c>
      <c r="E1008" s="68">
        <v>0</v>
      </c>
    </row>
    <row r="1009" spans="2:5">
      <c r="B1009" s="112"/>
      <c r="C1009" s="54" t="s">
        <v>199</v>
      </c>
      <c r="D1009" s="69">
        <v>1</v>
      </c>
      <c r="E1009" s="68">
        <v>0</v>
      </c>
    </row>
    <row r="1010" spans="2:5">
      <c r="B1010" s="112"/>
      <c r="C1010" s="54" t="s">
        <v>180</v>
      </c>
      <c r="D1010" s="69">
        <v>5</v>
      </c>
      <c r="E1010" s="68">
        <v>0</v>
      </c>
    </row>
    <row r="1011" spans="2:5">
      <c r="B1011" s="112"/>
      <c r="C1011" s="54" t="s">
        <v>182</v>
      </c>
      <c r="D1011" s="69">
        <v>3</v>
      </c>
      <c r="E1011" s="68">
        <v>0</v>
      </c>
    </row>
    <row r="1012" spans="2:5">
      <c r="B1012" s="112"/>
      <c r="C1012" s="54" t="s">
        <v>185</v>
      </c>
      <c r="D1012" s="69">
        <v>1</v>
      </c>
      <c r="E1012" s="68">
        <v>0</v>
      </c>
    </row>
    <row r="1013" spans="2:5">
      <c r="B1013" s="112"/>
      <c r="C1013" s="54" t="s">
        <v>186</v>
      </c>
      <c r="D1013" s="69">
        <v>1</v>
      </c>
      <c r="E1013" s="68">
        <v>0</v>
      </c>
    </row>
    <row r="1014" spans="2:5">
      <c r="B1014" s="112"/>
      <c r="C1014" s="54" t="s">
        <v>187</v>
      </c>
      <c r="D1014" s="69">
        <v>1</v>
      </c>
      <c r="E1014" s="68">
        <v>0</v>
      </c>
    </row>
    <row r="1015" spans="2:5">
      <c r="B1015" s="112"/>
      <c r="C1015" s="54" t="s">
        <v>189</v>
      </c>
      <c r="D1015" s="69">
        <v>6</v>
      </c>
      <c r="E1015" s="68">
        <v>0</v>
      </c>
    </row>
    <row r="1016" spans="2:5">
      <c r="B1016" s="112"/>
      <c r="C1016" s="54" t="s">
        <v>192</v>
      </c>
      <c r="D1016" s="69">
        <v>4</v>
      </c>
      <c r="E1016" s="68">
        <v>0</v>
      </c>
    </row>
    <row r="1017" spans="2:5">
      <c r="B1017" s="113"/>
      <c r="C1017" s="74" t="s">
        <v>304</v>
      </c>
      <c r="D1017" s="80">
        <v>29</v>
      </c>
      <c r="E1017" s="76">
        <v>1E-3</v>
      </c>
    </row>
    <row r="1018" spans="2:5">
      <c r="B1018" s="111" t="s">
        <v>92</v>
      </c>
      <c r="C1018" s="54" t="s">
        <v>181</v>
      </c>
      <c r="D1018" s="69">
        <v>1</v>
      </c>
      <c r="E1018" s="68">
        <v>0</v>
      </c>
    </row>
    <row r="1019" spans="2:5">
      <c r="B1019" s="112"/>
      <c r="C1019" s="54" t="s">
        <v>182</v>
      </c>
      <c r="D1019" s="69">
        <v>1</v>
      </c>
      <c r="E1019" s="68">
        <v>0</v>
      </c>
    </row>
    <row r="1020" spans="2:5">
      <c r="B1020" s="112"/>
      <c r="C1020" s="54" t="s">
        <v>189</v>
      </c>
      <c r="D1020" s="69">
        <v>3</v>
      </c>
      <c r="E1020" s="68">
        <v>0</v>
      </c>
    </row>
    <row r="1021" spans="2:5">
      <c r="B1021" s="112"/>
      <c r="C1021" s="54" t="s">
        <v>192</v>
      </c>
      <c r="D1021" s="69">
        <v>1</v>
      </c>
      <c r="E1021" s="68">
        <v>0</v>
      </c>
    </row>
    <row r="1022" spans="2:5">
      <c r="B1022" s="113"/>
      <c r="C1022" s="74" t="s">
        <v>304</v>
      </c>
      <c r="D1022" s="80">
        <v>6</v>
      </c>
      <c r="E1022" s="76">
        <v>0</v>
      </c>
    </row>
    <row r="1023" spans="2:5">
      <c r="B1023" s="111" t="s">
        <v>93</v>
      </c>
      <c r="C1023" s="54" t="s">
        <v>176</v>
      </c>
      <c r="D1023" s="69">
        <v>1</v>
      </c>
      <c r="E1023" s="68">
        <v>0</v>
      </c>
    </row>
    <row r="1024" spans="2:5">
      <c r="B1024" s="112"/>
      <c r="C1024" s="54" t="s">
        <v>180</v>
      </c>
      <c r="D1024" s="69">
        <v>2</v>
      </c>
      <c r="E1024" s="68">
        <v>0</v>
      </c>
    </row>
    <row r="1025" spans="2:5">
      <c r="B1025" s="112"/>
      <c r="C1025" s="54" t="s">
        <v>189</v>
      </c>
      <c r="D1025" s="69">
        <v>1</v>
      </c>
      <c r="E1025" s="68">
        <v>0</v>
      </c>
    </row>
    <row r="1026" spans="2:5">
      <c r="B1026" s="113"/>
      <c r="C1026" s="74" t="s">
        <v>304</v>
      </c>
      <c r="D1026" s="80">
        <v>4</v>
      </c>
      <c r="E1026" s="76">
        <v>0</v>
      </c>
    </row>
    <row r="1027" spans="2:5" ht="15" customHeight="1">
      <c r="B1027" s="111" t="s">
        <v>66</v>
      </c>
      <c r="C1027" s="54" t="s">
        <v>170</v>
      </c>
      <c r="D1027" s="69">
        <v>7</v>
      </c>
      <c r="E1027" s="68">
        <v>0</v>
      </c>
    </row>
    <row r="1028" spans="2:5" ht="15" customHeight="1">
      <c r="B1028" s="112"/>
      <c r="C1028" s="54" t="s">
        <v>171</v>
      </c>
      <c r="D1028" s="69">
        <v>1</v>
      </c>
      <c r="E1028" s="68">
        <v>0</v>
      </c>
    </row>
    <row r="1029" spans="2:5" ht="15" customHeight="1">
      <c r="B1029" s="112"/>
      <c r="C1029" s="54" t="s">
        <v>196</v>
      </c>
      <c r="D1029" s="69">
        <v>1</v>
      </c>
      <c r="E1029" s="68">
        <v>0</v>
      </c>
    </row>
    <row r="1030" spans="2:5" ht="15" customHeight="1">
      <c r="B1030" s="112"/>
      <c r="C1030" s="54" t="s">
        <v>172</v>
      </c>
      <c r="D1030" s="69">
        <v>1</v>
      </c>
      <c r="E1030" s="68">
        <v>0</v>
      </c>
    </row>
    <row r="1031" spans="2:5" ht="15" customHeight="1">
      <c r="B1031" s="112"/>
      <c r="C1031" s="54" t="s">
        <v>173</v>
      </c>
      <c r="D1031" s="69">
        <v>1</v>
      </c>
      <c r="E1031" s="68">
        <v>0</v>
      </c>
    </row>
    <row r="1032" spans="2:5" ht="15" customHeight="1">
      <c r="B1032" s="112"/>
      <c r="C1032" s="54" t="s">
        <v>208</v>
      </c>
      <c r="D1032" s="69">
        <v>2</v>
      </c>
      <c r="E1032" s="68">
        <v>0</v>
      </c>
    </row>
    <row r="1033" spans="2:5" ht="15" customHeight="1">
      <c r="B1033" s="112"/>
      <c r="C1033" s="54" t="s">
        <v>174</v>
      </c>
      <c r="D1033" s="69">
        <v>6</v>
      </c>
      <c r="E1033" s="68">
        <v>0</v>
      </c>
    </row>
    <row r="1034" spans="2:5" ht="15" customHeight="1">
      <c r="B1034" s="112"/>
      <c r="C1034" s="54" t="s">
        <v>176</v>
      </c>
      <c r="D1034" s="69">
        <v>6</v>
      </c>
      <c r="E1034" s="68">
        <v>0</v>
      </c>
    </row>
    <row r="1035" spans="2:5" ht="15" customHeight="1">
      <c r="B1035" s="112"/>
      <c r="C1035" s="54" t="s">
        <v>177</v>
      </c>
      <c r="D1035" s="69">
        <v>4</v>
      </c>
      <c r="E1035" s="68">
        <v>0</v>
      </c>
    </row>
    <row r="1036" spans="2:5" ht="15" customHeight="1">
      <c r="B1036" s="112"/>
      <c r="C1036" s="54" t="s">
        <v>204</v>
      </c>
      <c r="D1036" s="69">
        <v>1</v>
      </c>
      <c r="E1036" s="68">
        <v>0</v>
      </c>
    </row>
    <row r="1037" spans="2:5" ht="15" customHeight="1">
      <c r="B1037" s="112"/>
      <c r="C1037" s="54" t="s">
        <v>200</v>
      </c>
      <c r="D1037" s="69">
        <v>1</v>
      </c>
      <c r="E1037" s="68">
        <v>0</v>
      </c>
    </row>
    <row r="1038" spans="2:5" ht="15" customHeight="1">
      <c r="B1038" s="112"/>
      <c r="C1038" s="54" t="s">
        <v>179</v>
      </c>
      <c r="D1038" s="69">
        <v>1</v>
      </c>
      <c r="E1038" s="68">
        <v>0</v>
      </c>
    </row>
    <row r="1039" spans="2:5" ht="15" customHeight="1">
      <c r="B1039" s="112"/>
      <c r="C1039" s="54" t="s">
        <v>180</v>
      </c>
      <c r="D1039" s="69">
        <v>13</v>
      </c>
      <c r="E1039" s="68">
        <v>1E-3</v>
      </c>
    </row>
    <row r="1040" spans="2:5" ht="15" customHeight="1">
      <c r="B1040" s="112"/>
      <c r="C1040" s="54" t="s">
        <v>182</v>
      </c>
      <c r="D1040" s="69">
        <v>6</v>
      </c>
      <c r="E1040" s="68">
        <v>0</v>
      </c>
    </row>
    <row r="1041" spans="2:5" ht="15" customHeight="1">
      <c r="B1041" s="112"/>
      <c r="C1041" s="54" t="s">
        <v>206</v>
      </c>
      <c r="D1041" s="69">
        <v>2</v>
      </c>
      <c r="E1041" s="68">
        <v>0</v>
      </c>
    </row>
    <row r="1042" spans="2:5" ht="15" customHeight="1">
      <c r="B1042" s="112"/>
      <c r="C1042" s="54" t="s">
        <v>209</v>
      </c>
      <c r="D1042" s="69">
        <v>1</v>
      </c>
      <c r="E1042" s="68">
        <v>0</v>
      </c>
    </row>
    <row r="1043" spans="2:5" ht="15" customHeight="1">
      <c r="B1043" s="112"/>
      <c r="C1043" s="54" t="s">
        <v>185</v>
      </c>
      <c r="D1043" s="69">
        <v>5</v>
      </c>
      <c r="E1043" s="68">
        <v>0</v>
      </c>
    </row>
    <row r="1044" spans="2:5" ht="15" customHeight="1">
      <c r="B1044" s="112"/>
      <c r="C1044" s="54" t="s">
        <v>186</v>
      </c>
      <c r="D1044" s="69">
        <v>2</v>
      </c>
      <c r="E1044" s="68">
        <v>0</v>
      </c>
    </row>
    <row r="1045" spans="2:5" ht="15" customHeight="1">
      <c r="B1045" s="112"/>
      <c r="C1045" s="54" t="s">
        <v>188</v>
      </c>
      <c r="D1045" s="69">
        <v>2</v>
      </c>
      <c r="E1045" s="68">
        <v>0</v>
      </c>
    </row>
    <row r="1046" spans="2:5" ht="15" customHeight="1">
      <c r="B1046" s="112"/>
      <c r="C1046" s="54" t="s">
        <v>189</v>
      </c>
      <c r="D1046" s="69">
        <v>13</v>
      </c>
      <c r="E1046" s="68">
        <v>1E-3</v>
      </c>
    </row>
    <row r="1047" spans="2:5" ht="15" customHeight="1">
      <c r="B1047" s="112"/>
      <c r="C1047" s="54" t="s">
        <v>190</v>
      </c>
      <c r="D1047" s="69">
        <v>4</v>
      </c>
      <c r="E1047" s="68">
        <v>0</v>
      </c>
    </row>
    <row r="1048" spans="2:5" ht="15" customHeight="1">
      <c r="B1048" s="112"/>
      <c r="C1048" s="54" t="s">
        <v>191</v>
      </c>
      <c r="D1048" s="69">
        <v>1</v>
      </c>
      <c r="E1048" s="68">
        <v>0</v>
      </c>
    </row>
    <row r="1049" spans="2:5" ht="15" customHeight="1">
      <c r="B1049" s="112"/>
      <c r="C1049" s="54" t="s">
        <v>192</v>
      </c>
      <c r="D1049" s="69">
        <v>4</v>
      </c>
      <c r="E1049" s="68">
        <v>0</v>
      </c>
    </row>
    <row r="1050" spans="2:5" ht="15" customHeight="1">
      <c r="B1050" s="112"/>
      <c r="C1050" s="54" t="s">
        <v>193</v>
      </c>
      <c r="D1050" s="69">
        <v>1</v>
      </c>
      <c r="E1050" s="68">
        <v>0</v>
      </c>
    </row>
    <row r="1051" spans="2:5" ht="15" customHeight="1">
      <c r="B1051" s="113"/>
      <c r="C1051" s="74" t="s">
        <v>304</v>
      </c>
      <c r="D1051" s="80">
        <v>86</v>
      </c>
      <c r="E1051" s="76">
        <v>4.0000000000000001E-3</v>
      </c>
    </row>
    <row r="1052" spans="2:5" ht="15" customHeight="1">
      <c r="B1052" s="111" t="s">
        <v>94</v>
      </c>
      <c r="C1052" s="54" t="s">
        <v>180</v>
      </c>
      <c r="D1052" s="69">
        <v>1</v>
      </c>
      <c r="E1052" s="68">
        <v>0</v>
      </c>
    </row>
    <row r="1053" spans="2:5" ht="15" customHeight="1">
      <c r="B1053" s="112"/>
      <c r="C1053" s="54" t="s">
        <v>189</v>
      </c>
      <c r="D1053" s="69">
        <v>1</v>
      </c>
      <c r="E1053" s="68">
        <v>0</v>
      </c>
    </row>
    <row r="1054" spans="2:5" ht="15" customHeight="1">
      <c r="B1054" s="113"/>
      <c r="C1054" s="74" t="s">
        <v>304</v>
      </c>
      <c r="D1054" s="80">
        <v>2</v>
      </c>
      <c r="E1054" s="76">
        <v>0</v>
      </c>
    </row>
    <row r="1055" spans="2:5" ht="15" customHeight="1">
      <c r="B1055" s="114" t="s">
        <v>306</v>
      </c>
      <c r="C1055" s="114"/>
      <c r="D1055" s="81">
        <v>24389</v>
      </c>
      <c r="E1055" s="78">
        <v>1</v>
      </c>
    </row>
    <row r="1056" spans="2:5" ht="15" customHeight="1">
      <c r="B1056" s="45"/>
      <c r="C1056" s="45"/>
      <c r="D1056" s="45"/>
      <c r="E1056" s="45"/>
    </row>
    <row r="1057" spans="2:5" ht="15" customHeight="1">
      <c r="B1057" s="35" t="s">
        <v>275</v>
      </c>
      <c r="C1057" s="45"/>
      <c r="D1057" s="45"/>
      <c r="E1057" s="45"/>
    </row>
    <row r="1058" spans="2:5" ht="15" customHeight="1">
      <c r="B1058" s="36" t="s">
        <v>18</v>
      </c>
      <c r="C1058" s="45"/>
      <c r="D1058" s="45"/>
      <c r="E1058" s="45"/>
    </row>
    <row r="1059" spans="2:5" ht="15" customHeight="1">
      <c r="B1059" s="33" t="s">
        <v>45</v>
      </c>
      <c r="C1059" s="45"/>
      <c r="D1059" s="45"/>
      <c r="E1059" s="45"/>
    </row>
    <row r="1060" spans="2:5" ht="15" customHeight="1">
      <c r="B1060" s="35" t="s">
        <v>17</v>
      </c>
      <c r="C1060" s="45"/>
      <c r="D1060" s="45"/>
      <c r="E1060" s="45"/>
    </row>
    <row r="1061" spans="2:5" ht="15" customHeight="1">
      <c r="B1061" s="35" t="s">
        <v>308</v>
      </c>
      <c r="C1061" s="45"/>
      <c r="D1061" s="45"/>
      <c r="E1061" s="45"/>
    </row>
  </sheetData>
  <mergeCells count="52">
    <mergeCell ref="B702:B729"/>
    <mergeCell ref="B730:B751"/>
    <mergeCell ref="B752:B781"/>
    <mergeCell ref="B782:B792"/>
    <mergeCell ref="B1055:C1055"/>
    <mergeCell ref="B1018:B1022"/>
    <mergeCell ref="B1023:B1026"/>
    <mergeCell ref="B1027:B1051"/>
    <mergeCell ref="B1052:B1054"/>
    <mergeCell ref="B793:B805"/>
    <mergeCell ref="B806:B817"/>
    <mergeCell ref="B818:B830"/>
    <mergeCell ref="B831:B867"/>
    <mergeCell ref="B868:B884"/>
    <mergeCell ref="B885:B905"/>
    <mergeCell ref="B906:B915"/>
    <mergeCell ref="B604:B630"/>
    <mergeCell ref="B631:B647"/>
    <mergeCell ref="B648:B655"/>
    <mergeCell ref="B656:B686"/>
    <mergeCell ref="B687:B701"/>
    <mergeCell ref="B244:B250"/>
    <mergeCell ref="B251:B272"/>
    <mergeCell ref="B273:B304"/>
    <mergeCell ref="B305:B311"/>
    <mergeCell ref="B312:B320"/>
    <mergeCell ref="B321:B340"/>
    <mergeCell ref="B341:B356"/>
    <mergeCell ref="B357:B401"/>
    <mergeCell ref="B402:B426"/>
    <mergeCell ref="B427:B455"/>
    <mergeCell ref="B456:B484"/>
    <mergeCell ref="B485:B502"/>
    <mergeCell ref="B503:B536"/>
    <mergeCell ref="B537:B559"/>
    <mergeCell ref="B560:B603"/>
    <mergeCell ref="B123:B164"/>
    <mergeCell ref="B165:B166"/>
    <mergeCell ref="B167:B200"/>
    <mergeCell ref="B201:B243"/>
    <mergeCell ref="B7:E8"/>
    <mergeCell ref="B10:B30"/>
    <mergeCell ref="B31:B62"/>
    <mergeCell ref="B63:B101"/>
    <mergeCell ref="B102:B111"/>
    <mergeCell ref="B112:B122"/>
    <mergeCell ref="B1005:B1017"/>
    <mergeCell ref="B916:B955"/>
    <mergeCell ref="B956:B968"/>
    <mergeCell ref="B969:B979"/>
    <mergeCell ref="B980:B992"/>
    <mergeCell ref="B993:B1004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F71"/>
  <sheetViews>
    <sheetView showGridLines="0" view="pageBreakPreview" topLeftCell="A26" zoomScaleNormal="100" zoomScaleSheetLayoutView="100" workbookViewId="0">
      <selection activeCell="F44" sqref="F44"/>
    </sheetView>
  </sheetViews>
  <sheetFormatPr baseColWidth="10" defaultColWidth="11.42578125" defaultRowHeight="15"/>
  <cols>
    <col min="1" max="1" width="9.28515625" style="10" customWidth="1"/>
    <col min="2" max="2" width="34" style="10" customWidth="1"/>
    <col min="3" max="3" width="17.7109375" style="11" customWidth="1"/>
    <col min="4" max="4" width="17.7109375" style="10" customWidth="1"/>
    <col min="5" max="5" width="9.28515625" style="10" customWidth="1"/>
    <col min="6" max="6" width="3.42578125" style="10" customWidth="1"/>
    <col min="7" max="16384" width="11.42578125" style="10"/>
  </cols>
  <sheetData>
    <row r="1" spans="1:6" s="12" customFormat="1" ht="15" customHeight="1">
      <c r="C1" s="14"/>
    </row>
    <row r="2" spans="1:6" s="12" customFormat="1" ht="15" customHeight="1">
      <c r="C2" s="14"/>
    </row>
    <row r="3" spans="1:6" s="12" customFormat="1" ht="15" customHeight="1">
      <c r="C3" s="14"/>
    </row>
    <row r="4" spans="1:6" s="12" customFormat="1" ht="30" customHeight="1">
      <c r="C4" s="14"/>
      <c r="D4" s="13"/>
    </row>
    <row r="5" spans="1:6" s="12" customFormat="1" ht="15" customHeight="1">
      <c r="C5" s="14"/>
      <c r="D5" s="13"/>
    </row>
    <row r="6" spans="1:6" s="12" customFormat="1" ht="15" customHeight="1">
      <c r="C6" s="14"/>
      <c r="D6" s="13"/>
    </row>
    <row r="7" spans="1:6" s="12" customFormat="1" ht="15" customHeight="1">
      <c r="A7" s="30"/>
      <c r="B7" s="101" t="s">
        <v>37</v>
      </c>
      <c r="C7" s="101"/>
      <c r="D7" s="101"/>
      <c r="E7" s="30"/>
      <c r="F7" s="30"/>
    </row>
    <row r="8" spans="1:6" s="12" customFormat="1" ht="15" customHeight="1">
      <c r="A8" s="30"/>
      <c r="B8" s="101"/>
      <c r="C8" s="101"/>
      <c r="D8" s="101"/>
      <c r="E8" s="30"/>
      <c r="F8" s="30"/>
    </row>
    <row r="9" spans="1:6" s="12" customFormat="1" ht="33" customHeight="1">
      <c r="A9" s="30"/>
      <c r="B9" s="101"/>
      <c r="C9" s="101"/>
      <c r="D9" s="101"/>
      <c r="E9" s="30"/>
      <c r="F9" s="30"/>
    </row>
    <row r="10" spans="1:6" s="12" customFormat="1" ht="4.5" customHeight="1">
      <c r="A10" s="30"/>
      <c r="B10" s="31"/>
      <c r="C10" s="31"/>
      <c r="D10" s="31"/>
      <c r="E10" s="30"/>
      <c r="F10" s="30"/>
    </row>
    <row r="11" spans="1:6" s="12" customFormat="1" ht="33" customHeight="1">
      <c r="A11" s="30"/>
      <c r="B11" s="46" t="s">
        <v>27</v>
      </c>
      <c r="C11" s="47" t="s">
        <v>26</v>
      </c>
      <c r="D11" s="48" t="s">
        <v>19</v>
      </c>
      <c r="E11" s="30"/>
      <c r="F11" s="30"/>
    </row>
    <row r="12" spans="1:6" ht="16.5">
      <c r="A12" s="32"/>
      <c r="B12" s="60" t="s">
        <v>144</v>
      </c>
      <c r="C12" s="55">
        <v>155</v>
      </c>
      <c r="D12" s="56">
        <v>6.3553241215300003E-3</v>
      </c>
      <c r="E12" s="32"/>
      <c r="F12" s="32"/>
    </row>
    <row r="13" spans="1:6" ht="16.5">
      <c r="A13" s="32"/>
      <c r="B13" s="60" t="s">
        <v>168</v>
      </c>
      <c r="C13" s="55">
        <v>4</v>
      </c>
      <c r="D13" s="56">
        <v>1.6400836442699999E-4</v>
      </c>
      <c r="E13" s="32"/>
      <c r="F13" s="32"/>
    </row>
    <row r="14" spans="1:6" ht="16.5">
      <c r="A14" s="32"/>
      <c r="B14" s="60" t="s">
        <v>145</v>
      </c>
      <c r="C14" s="55">
        <v>58</v>
      </c>
      <c r="D14" s="56">
        <v>2.3781212841850002E-3</v>
      </c>
      <c r="E14" s="32"/>
      <c r="F14" s="32"/>
    </row>
    <row r="15" spans="1:6" ht="16.5">
      <c r="A15" s="32"/>
      <c r="B15" s="60" t="s">
        <v>146</v>
      </c>
      <c r="C15" s="55">
        <v>123</v>
      </c>
      <c r="D15" s="56">
        <v>5.043257206118E-3</v>
      </c>
      <c r="E15" s="32"/>
      <c r="F15" s="32"/>
    </row>
    <row r="16" spans="1:6" ht="16.5">
      <c r="A16" s="32"/>
      <c r="B16" s="60" t="s">
        <v>147</v>
      </c>
      <c r="C16" s="55">
        <v>270</v>
      </c>
      <c r="D16" s="56">
        <v>1.1070564598794999E-2</v>
      </c>
      <c r="E16" s="32"/>
      <c r="F16" s="32"/>
    </row>
    <row r="17" spans="1:6" ht="16.5">
      <c r="A17" s="32"/>
      <c r="B17" s="60" t="s">
        <v>148</v>
      </c>
      <c r="C17" s="55">
        <v>220</v>
      </c>
      <c r="D17" s="56">
        <v>9.0204600434620006E-3</v>
      </c>
      <c r="E17" s="32"/>
      <c r="F17" s="32"/>
    </row>
    <row r="18" spans="1:6" ht="16.5">
      <c r="A18" s="32"/>
      <c r="B18" s="60" t="s">
        <v>149</v>
      </c>
      <c r="C18" s="55">
        <v>318</v>
      </c>
      <c r="D18" s="56">
        <v>1.3038664971914001E-2</v>
      </c>
      <c r="E18" s="32"/>
      <c r="F18" s="32"/>
    </row>
    <row r="19" spans="1:6" ht="15" customHeight="1">
      <c r="A19" s="32"/>
      <c r="B19" s="60" t="s">
        <v>150</v>
      </c>
      <c r="C19" s="55">
        <v>1544</v>
      </c>
      <c r="D19" s="56">
        <v>6.3307228668661994E-2</v>
      </c>
      <c r="E19" s="32"/>
      <c r="F19" s="32"/>
    </row>
    <row r="20" spans="1:6" ht="16.5">
      <c r="A20" s="32"/>
      <c r="B20" s="60" t="s">
        <v>151</v>
      </c>
      <c r="C20" s="55">
        <v>1900</v>
      </c>
      <c r="D20" s="56">
        <v>7.7903973102628005E-2</v>
      </c>
      <c r="E20" s="32"/>
      <c r="F20" s="32"/>
    </row>
    <row r="21" spans="1:6" ht="16.5">
      <c r="A21" s="32"/>
      <c r="B21" s="60" t="s">
        <v>152</v>
      </c>
      <c r="C21" s="55">
        <v>320</v>
      </c>
      <c r="D21" s="56">
        <v>1.3120669154127001E-2</v>
      </c>
      <c r="E21" s="32"/>
      <c r="F21" s="32"/>
    </row>
    <row r="22" spans="1:6" ht="16.5">
      <c r="A22" s="32"/>
      <c r="B22" s="60" t="s">
        <v>153</v>
      </c>
      <c r="C22" s="55">
        <v>664</v>
      </c>
      <c r="D22" s="56">
        <v>2.7225388494812999E-2</v>
      </c>
      <c r="E22" s="32"/>
      <c r="F22" s="32"/>
    </row>
    <row r="23" spans="1:6" ht="16.5">
      <c r="A23" s="32"/>
      <c r="B23" s="60" t="s">
        <v>154</v>
      </c>
      <c r="C23" s="55">
        <v>1074</v>
      </c>
      <c r="D23" s="56">
        <v>4.4036245848537998E-2</v>
      </c>
      <c r="E23" s="32"/>
      <c r="F23" s="32"/>
    </row>
    <row r="24" spans="1:6" ht="16.5">
      <c r="A24" s="32"/>
      <c r="B24" s="60" t="s">
        <v>155</v>
      </c>
      <c r="C24" s="55">
        <v>5940</v>
      </c>
      <c r="D24" s="56">
        <v>0.24355242117348</v>
      </c>
      <c r="E24" s="32"/>
      <c r="F24" s="32"/>
    </row>
    <row r="25" spans="1:6" ht="16.5">
      <c r="A25" s="32"/>
      <c r="B25" s="60" t="s">
        <v>156</v>
      </c>
      <c r="C25" s="55">
        <v>519</v>
      </c>
      <c r="D25" s="56">
        <v>2.1280085284349999E-2</v>
      </c>
      <c r="E25" s="32"/>
      <c r="F25" s="32"/>
    </row>
    <row r="26" spans="1:6" ht="16.5">
      <c r="A26" s="32"/>
      <c r="B26" s="60" t="s">
        <v>157</v>
      </c>
      <c r="C26" s="55">
        <v>1801</v>
      </c>
      <c r="D26" s="56">
        <v>7.3844766083070001E-2</v>
      </c>
      <c r="E26" s="32"/>
      <c r="F26" s="32"/>
    </row>
    <row r="27" spans="1:6" ht="16.5">
      <c r="A27" s="32"/>
      <c r="B27" s="60" t="s">
        <v>158</v>
      </c>
      <c r="C27" s="55">
        <v>6837</v>
      </c>
      <c r="D27" s="56">
        <v>0.280331296896142</v>
      </c>
      <c r="E27" s="32"/>
      <c r="F27" s="32"/>
    </row>
    <row r="28" spans="1:6" ht="16.5">
      <c r="A28" s="32"/>
      <c r="B28" s="60" t="s">
        <v>159</v>
      </c>
      <c r="C28" s="55">
        <v>180</v>
      </c>
      <c r="D28" s="56">
        <v>7.3803763991960002E-3</v>
      </c>
      <c r="E28" s="32"/>
      <c r="F28" s="32"/>
    </row>
    <row r="29" spans="1:6" ht="16.5">
      <c r="A29" s="32"/>
      <c r="B29" s="60" t="s">
        <v>160</v>
      </c>
      <c r="C29" s="55">
        <v>154</v>
      </c>
      <c r="D29" s="56">
        <v>6.3143220304239999E-3</v>
      </c>
      <c r="E29" s="32"/>
      <c r="F29" s="32"/>
    </row>
    <row r="30" spans="1:6" ht="16.5">
      <c r="A30" s="32"/>
      <c r="B30" s="60" t="s">
        <v>161</v>
      </c>
      <c r="C30" s="55">
        <v>59</v>
      </c>
      <c r="D30" s="56">
        <v>2.4191233752920002E-3</v>
      </c>
      <c r="E30" s="32"/>
      <c r="F30" s="32"/>
    </row>
    <row r="31" spans="1:6" ht="16.5">
      <c r="A31" s="32"/>
      <c r="B31" s="60" t="s">
        <v>162</v>
      </c>
      <c r="C31" s="55">
        <v>30</v>
      </c>
      <c r="D31" s="56">
        <v>1.2300627331990001E-3</v>
      </c>
      <c r="E31" s="32"/>
      <c r="F31" s="32"/>
    </row>
    <row r="32" spans="1:6" ht="16.5">
      <c r="A32" s="32"/>
      <c r="B32" s="60" t="s">
        <v>163</v>
      </c>
      <c r="C32" s="55">
        <v>457</v>
      </c>
      <c r="D32" s="56">
        <v>1.8737955635736998E-2</v>
      </c>
      <c r="E32" s="32"/>
      <c r="F32" s="32"/>
    </row>
    <row r="33" spans="1:6" ht="16.5">
      <c r="A33" s="32"/>
      <c r="B33" s="60" t="s">
        <v>164</v>
      </c>
      <c r="C33" s="55">
        <v>1656</v>
      </c>
      <c r="D33" s="56">
        <v>6.7899462872606994E-2</v>
      </c>
      <c r="E33" s="32"/>
      <c r="F33" s="32"/>
    </row>
    <row r="34" spans="1:6" ht="16.5">
      <c r="A34" s="32"/>
      <c r="B34" s="60" t="s">
        <v>165</v>
      </c>
      <c r="C34" s="55">
        <v>20</v>
      </c>
      <c r="D34" s="56">
        <v>8.20041822133E-4</v>
      </c>
      <c r="E34" s="32"/>
      <c r="F34" s="32"/>
    </row>
    <row r="35" spans="1:6" ht="16.5">
      <c r="A35" s="32"/>
      <c r="B35" s="60" t="s">
        <v>166</v>
      </c>
      <c r="C35" s="55">
        <v>75</v>
      </c>
      <c r="D35" s="56">
        <v>3.0751568329979999E-3</v>
      </c>
      <c r="E35" s="32"/>
      <c r="F35" s="32"/>
    </row>
    <row r="36" spans="1:6" ht="16.5">
      <c r="A36" s="32"/>
      <c r="B36" s="60" t="s">
        <v>167</v>
      </c>
      <c r="C36" s="55">
        <v>11</v>
      </c>
      <c r="D36" s="56">
        <v>4.51023002173E-4</v>
      </c>
      <c r="E36" s="32"/>
      <c r="F36" s="32"/>
    </row>
    <row r="37" spans="1:6" ht="16.5">
      <c r="A37" s="32"/>
      <c r="B37" s="82" t="s">
        <v>307</v>
      </c>
      <c r="C37" s="58">
        <v>24389</v>
      </c>
      <c r="D37" s="59">
        <v>1</v>
      </c>
      <c r="E37" s="32"/>
      <c r="F37" s="32"/>
    </row>
    <row r="38" spans="1:6" ht="16.5">
      <c r="A38" s="32"/>
      <c r="B38" s="41"/>
      <c r="C38" s="34"/>
      <c r="D38" s="32"/>
      <c r="E38" s="32"/>
      <c r="F38" s="32"/>
    </row>
    <row r="39" spans="1:6" ht="16.5">
      <c r="A39" s="32"/>
      <c r="B39" s="35" t="s">
        <v>275</v>
      </c>
      <c r="C39" s="34"/>
      <c r="D39" s="32"/>
      <c r="E39" s="32"/>
      <c r="F39" s="32"/>
    </row>
    <row r="40" spans="1:6" ht="16.5">
      <c r="A40" s="32"/>
      <c r="B40" s="36" t="s">
        <v>18</v>
      </c>
      <c r="C40" s="34"/>
      <c r="D40" s="32"/>
      <c r="E40" s="32"/>
      <c r="F40" s="32"/>
    </row>
    <row r="41" spans="1:6" ht="16.5">
      <c r="A41" s="32"/>
      <c r="B41" s="33" t="s">
        <v>45</v>
      </c>
      <c r="C41" s="34"/>
      <c r="D41" s="32"/>
      <c r="E41" s="32"/>
      <c r="F41" s="32"/>
    </row>
    <row r="42" spans="1:6" ht="16.5">
      <c r="A42" s="32"/>
      <c r="B42" s="35" t="s">
        <v>17</v>
      </c>
      <c r="C42" s="34"/>
      <c r="D42" s="32"/>
      <c r="E42" s="32"/>
      <c r="F42" s="32"/>
    </row>
    <row r="43" spans="1:6" ht="16.5">
      <c r="A43" s="32"/>
      <c r="B43" s="35" t="s">
        <v>308</v>
      </c>
      <c r="C43" s="34"/>
      <c r="D43" s="32"/>
      <c r="E43" s="32"/>
      <c r="F43" s="32"/>
    </row>
    <row r="46" spans="1:6">
      <c r="C46" s="10"/>
    </row>
    <row r="47" spans="1:6">
      <c r="C47" s="10"/>
    </row>
    <row r="48" spans="1:6">
      <c r="C48" s="10"/>
    </row>
    <row r="49" spans="3:3">
      <c r="C49" s="10"/>
    </row>
    <row r="50" spans="3:3">
      <c r="C50" s="10"/>
    </row>
    <row r="51" spans="3:3">
      <c r="C51" s="10"/>
    </row>
    <row r="52" spans="3:3">
      <c r="C52" s="10"/>
    </row>
    <row r="53" spans="3:3">
      <c r="C53" s="10"/>
    </row>
    <row r="54" spans="3:3">
      <c r="C54" s="10"/>
    </row>
    <row r="55" spans="3:3">
      <c r="C55" s="10"/>
    </row>
    <row r="56" spans="3:3">
      <c r="C56" s="10"/>
    </row>
    <row r="57" spans="3:3">
      <c r="C57" s="10"/>
    </row>
    <row r="58" spans="3:3">
      <c r="C58" s="10"/>
    </row>
    <row r="59" spans="3:3">
      <c r="C59" s="10"/>
    </row>
    <row r="60" spans="3:3">
      <c r="C60" s="10"/>
    </row>
    <row r="61" spans="3:3">
      <c r="C61" s="10"/>
    </row>
    <row r="62" spans="3:3">
      <c r="C62" s="10"/>
    </row>
    <row r="63" spans="3:3">
      <c r="C63" s="10"/>
    </row>
    <row r="64" spans="3:3">
      <c r="C64" s="10"/>
    </row>
    <row r="65" spans="3:3">
      <c r="C65" s="10"/>
    </row>
    <row r="66" spans="3:3">
      <c r="C66" s="10"/>
    </row>
    <row r="67" spans="3:3">
      <c r="C67" s="10"/>
    </row>
    <row r="68" spans="3:3">
      <c r="C68" s="10"/>
    </row>
    <row r="69" spans="3:3">
      <c r="C69" s="10"/>
    </row>
    <row r="70" spans="3:3">
      <c r="C70" s="10"/>
    </row>
    <row r="71" spans="3:3">
      <c r="C71" s="10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9" fitToWidth="0" fitToHeight="0" orientation="portrait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E588"/>
  <sheetViews>
    <sheetView showGridLines="0" view="pageBreakPreview" zoomScaleNormal="100" zoomScaleSheetLayoutView="100" workbookViewId="0">
      <selection activeCell="F19" sqref="F19"/>
    </sheetView>
  </sheetViews>
  <sheetFormatPr baseColWidth="10" defaultColWidth="35" defaultRowHeight="15" customHeight="1"/>
  <cols>
    <col min="1" max="1" width="1" style="18" customWidth="1"/>
    <col min="2" max="2" width="22.85546875" style="19" customWidth="1"/>
    <col min="3" max="3" width="33" style="19" customWidth="1"/>
    <col min="4" max="4" width="14.28515625" style="19" customWidth="1"/>
    <col min="5" max="5" width="16.85546875" style="19" customWidth="1"/>
    <col min="6" max="16384" width="35" style="18"/>
  </cols>
  <sheetData>
    <row r="1" spans="1:5" s="21" customFormat="1" ht="12" customHeight="1">
      <c r="B1" s="23"/>
      <c r="C1" s="20"/>
      <c r="D1" s="20"/>
      <c r="E1" s="20"/>
    </row>
    <row r="2" spans="1:5" s="21" customFormat="1" ht="15" customHeight="1">
      <c r="C2" s="25"/>
    </row>
    <row r="3" spans="1:5" s="21" customFormat="1" ht="15" customHeight="1">
      <c r="C3" s="25"/>
    </row>
    <row r="4" spans="1:5" s="21" customFormat="1" ht="30" customHeight="1">
      <c r="C4" s="25"/>
      <c r="D4" s="24"/>
    </row>
    <row r="5" spans="1:5" s="21" customFormat="1" ht="15" customHeight="1">
      <c r="C5" s="25"/>
      <c r="D5" s="24"/>
    </row>
    <row r="6" spans="1:5" s="21" customFormat="1" ht="24" customHeight="1">
      <c r="B6" s="40"/>
      <c r="C6" s="41"/>
      <c r="D6" s="41"/>
      <c r="E6" s="41"/>
    </row>
    <row r="7" spans="1:5" s="21" customFormat="1" ht="26.25" customHeight="1">
      <c r="A7" s="22"/>
      <c r="B7" s="107"/>
      <c r="C7" s="107"/>
      <c r="D7" s="107"/>
      <c r="E7" s="107"/>
    </row>
    <row r="8" spans="1:5" s="21" customFormat="1" ht="33" customHeight="1">
      <c r="A8" s="22"/>
      <c r="B8" s="107"/>
      <c r="C8" s="107"/>
      <c r="D8" s="107"/>
      <c r="E8" s="107"/>
    </row>
    <row r="9" spans="1:5" s="12" customFormat="1" ht="40.5" customHeight="1">
      <c r="B9" s="42" t="s">
        <v>28</v>
      </c>
      <c r="C9" s="43" t="s">
        <v>25</v>
      </c>
      <c r="D9" s="44" t="s">
        <v>20</v>
      </c>
      <c r="E9" s="42" t="s">
        <v>19</v>
      </c>
    </row>
    <row r="10" spans="1:5">
      <c r="B10" s="111" t="s">
        <v>144</v>
      </c>
      <c r="C10" s="54" t="s">
        <v>96</v>
      </c>
      <c r="D10" s="69">
        <v>1</v>
      </c>
      <c r="E10" s="68">
        <v>0</v>
      </c>
    </row>
    <row r="11" spans="1:5">
      <c r="B11" s="112"/>
      <c r="C11" s="54" t="s">
        <v>98</v>
      </c>
      <c r="D11" s="69">
        <v>1</v>
      </c>
      <c r="E11" s="68">
        <v>0</v>
      </c>
    </row>
    <row r="12" spans="1:5">
      <c r="B12" s="112"/>
      <c r="C12" s="54" t="s">
        <v>99</v>
      </c>
      <c r="D12" s="69">
        <v>2</v>
      </c>
      <c r="E12" s="68">
        <v>0</v>
      </c>
    </row>
    <row r="13" spans="1:5">
      <c r="B13" s="112"/>
      <c r="C13" s="54" t="s">
        <v>104</v>
      </c>
      <c r="D13" s="69">
        <v>2</v>
      </c>
      <c r="E13" s="68">
        <v>0</v>
      </c>
    </row>
    <row r="14" spans="1:5">
      <c r="B14" s="112"/>
      <c r="C14" s="54" t="s">
        <v>105</v>
      </c>
      <c r="D14" s="69">
        <v>4</v>
      </c>
      <c r="E14" s="68">
        <v>0</v>
      </c>
    </row>
    <row r="15" spans="1:5">
      <c r="B15" s="112"/>
      <c r="C15" s="54" t="s">
        <v>107</v>
      </c>
      <c r="D15" s="69">
        <v>1</v>
      </c>
      <c r="E15" s="68">
        <v>0</v>
      </c>
    </row>
    <row r="16" spans="1:5">
      <c r="B16" s="112"/>
      <c r="C16" s="54" t="s">
        <v>108</v>
      </c>
      <c r="D16" s="69">
        <v>2</v>
      </c>
      <c r="E16" s="68">
        <v>0</v>
      </c>
    </row>
    <row r="17" spans="2:5">
      <c r="B17" s="112"/>
      <c r="C17" s="54" t="s">
        <v>111</v>
      </c>
      <c r="D17" s="69">
        <v>2</v>
      </c>
      <c r="E17" s="68">
        <v>0</v>
      </c>
    </row>
    <row r="18" spans="2:5">
      <c r="B18" s="112"/>
      <c r="C18" s="54" t="s">
        <v>112</v>
      </c>
      <c r="D18" s="69">
        <v>1</v>
      </c>
      <c r="E18" s="68">
        <v>0</v>
      </c>
    </row>
    <row r="19" spans="2:5">
      <c r="B19" s="112"/>
      <c r="C19" s="54" t="s">
        <v>115</v>
      </c>
      <c r="D19" s="69">
        <v>1</v>
      </c>
      <c r="E19" s="68">
        <v>0</v>
      </c>
    </row>
    <row r="20" spans="2:5">
      <c r="B20" s="112"/>
      <c r="C20" s="54" t="s">
        <v>116</v>
      </c>
      <c r="D20" s="69">
        <v>1</v>
      </c>
      <c r="E20" s="68">
        <v>0</v>
      </c>
    </row>
    <row r="21" spans="2:5">
      <c r="B21" s="112"/>
      <c r="C21" s="54" t="s">
        <v>117</v>
      </c>
      <c r="D21" s="69">
        <v>1</v>
      </c>
      <c r="E21" s="68">
        <v>0</v>
      </c>
    </row>
    <row r="22" spans="2:5">
      <c r="B22" s="112"/>
      <c r="C22" s="54" t="s">
        <v>118</v>
      </c>
      <c r="D22" s="69">
        <v>1</v>
      </c>
      <c r="E22" s="68">
        <v>0</v>
      </c>
    </row>
    <row r="23" spans="2:5">
      <c r="B23" s="112"/>
      <c r="C23" s="54" t="s">
        <v>120</v>
      </c>
      <c r="D23" s="69">
        <v>1</v>
      </c>
      <c r="E23" s="68">
        <v>0</v>
      </c>
    </row>
    <row r="24" spans="2:5">
      <c r="B24" s="112"/>
      <c r="C24" s="54" t="s">
        <v>125</v>
      </c>
      <c r="D24" s="69">
        <v>6</v>
      </c>
      <c r="E24" s="68">
        <v>0</v>
      </c>
    </row>
    <row r="25" spans="2:5">
      <c r="B25" s="112"/>
      <c r="C25" s="54" t="s">
        <v>128</v>
      </c>
      <c r="D25" s="69">
        <v>5</v>
      </c>
      <c r="E25" s="68">
        <v>0</v>
      </c>
    </row>
    <row r="26" spans="2:5">
      <c r="B26" s="112"/>
      <c r="C26" s="54" t="s">
        <v>132</v>
      </c>
      <c r="D26" s="69">
        <v>1</v>
      </c>
      <c r="E26" s="68">
        <v>0</v>
      </c>
    </row>
    <row r="27" spans="2:5">
      <c r="B27" s="112"/>
      <c r="C27" s="54" t="s">
        <v>134</v>
      </c>
      <c r="D27" s="69">
        <v>2</v>
      </c>
      <c r="E27" s="68">
        <v>0</v>
      </c>
    </row>
    <row r="28" spans="2:5">
      <c r="B28" s="112"/>
      <c r="C28" s="54" t="s">
        <v>135</v>
      </c>
      <c r="D28" s="69">
        <v>118</v>
      </c>
      <c r="E28" s="68">
        <v>5.0000000000000001E-3</v>
      </c>
    </row>
    <row r="29" spans="2:5">
      <c r="B29" s="112"/>
      <c r="C29" s="54" t="s">
        <v>138</v>
      </c>
      <c r="D29" s="69">
        <v>1</v>
      </c>
      <c r="E29" s="68">
        <v>0</v>
      </c>
    </row>
    <row r="30" spans="2:5">
      <c r="B30" s="112"/>
      <c r="C30" s="54" t="s">
        <v>140</v>
      </c>
      <c r="D30" s="69">
        <v>1</v>
      </c>
      <c r="E30" s="68">
        <v>0</v>
      </c>
    </row>
    <row r="31" spans="2:5">
      <c r="B31" s="113"/>
      <c r="C31" s="74" t="s">
        <v>304</v>
      </c>
      <c r="D31" s="80">
        <v>155</v>
      </c>
      <c r="E31" s="76">
        <v>6.0000000000000001E-3</v>
      </c>
    </row>
    <row r="32" spans="2:5">
      <c r="B32" s="111" t="s">
        <v>168</v>
      </c>
      <c r="C32" s="54" t="s">
        <v>128</v>
      </c>
      <c r="D32" s="69">
        <v>1</v>
      </c>
      <c r="E32" s="68">
        <v>0</v>
      </c>
    </row>
    <row r="33" spans="2:5">
      <c r="B33" s="112"/>
      <c r="C33" s="54" t="s">
        <v>135</v>
      </c>
      <c r="D33" s="69">
        <v>3</v>
      </c>
      <c r="E33" s="68">
        <v>0</v>
      </c>
    </row>
    <row r="34" spans="2:5">
      <c r="B34" s="113"/>
      <c r="C34" s="74" t="s">
        <v>304</v>
      </c>
      <c r="D34" s="80">
        <v>4</v>
      </c>
      <c r="E34" s="76">
        <v>0</v>
      </c>
    </row>
    <row r="35" spans="2:5">
      <c r="B35" s="111" t="s">
        <v>279</v>
      </c>
      <c r="C35" s="54" t="s">
        <v>99</v>
      </c>
      <c r="D35" s="69">
        <v>4</v>
      </c>
      <c r="E35" s="68">
        <v>0</v>
      </c>
    </row>
    <row r="36" spans="2:5">
      <c r="B36" s="112"/>
      <c r="C36" s="54" t="s">
        <v>104</v>
      </c>
      <c r="D36" s="69">
        <v>3</v>
      </c>
      <c r="E36" s="68">
        <v>0</v>
      </c>
    </row>
    <row r="37" spans="2:5">
      <c r="B37" s="112"/>
      <c r="C37" s="54" t="s">
        <v>111</v>
      </c>
      <c r="D37" s="69">
        <v>1</v>
      </c>
      <c r="E37" s="68">
        <v>0</v>
      </c>
    </row>
    <row r="38" spans="2:5">
      <c r="B38" s="112"/>
      <c r="C38" s="54" t="s">
        <v>112</v>
      </c>
      <c r="D38" s="69">
        <v>1</v>
      </c>
      <c r="E38" s="68">
        <v>0</v>
      </c>
    </row>
    <row r="39" spans="2:5">
      <c r="B39" s="112"/>
      <c r="C39" s="54" t="s">
        <v>132</v>
      </c>
      <c r="D39" s="69">
        <v>1</v>
      </c>
      <c r="E39" s="68">
        <v>0</v>
      </c>
    </row>
    <row r="40" spans="2:5">
      <c r="B40" s="112"/>
      <c r="C40" s="54" t="s">
        <v>135</v>
      </c>
      <c r="D40" s="69">
        <v>48</v>
      </c>
      <c r="E40" s="68">
        <v>2E-3</v>
      </c>
    </row>
    <row r="41" spans="2:5">
      <c r="B41" s="113"/>
      <c r="C41" s="74" t="s">
        <v>304</v>
      </c>
      <c r="D41" s="80">
        <v>58</v>
      </c>
      <c r="E41" s="76">
        <v>2E-3</v>
      </c>
    </row>
    <row r="42" spans="2:5">
      <c r="B42" s="111" t="s">
        <v>280</v>
      </c>
      <c r="C42" s="54" t="s">
        <v>98</v>
      </c>
      <c r="D42" s="69">
        <v>1</v>
      </c>
      <c r="E42" s="68">
        <v>0</v>
      </c>
    </row>
    <row r="43" spans="2:5">
      <c r="B43" s="112"/>
      <c r="C43" s="54" t="s">
        <v>99</v>
      </c>
      <c r="D43" s="69">
        <v>2</v>
      </c>
      <c r="E43" s="68">
        <v>0</v>
      </c>
    </row>
    <row r="44" spans="2:5">
      <c r="B44" s="112"/>
      <c r="C44" s="54" t="s">
        <v>104</v>
      </c>
      <c r="D44" s="69">
        <v>3</v>
      </c>
      <c r="E44" s="68">
        <v>0</v>
      </c>
    </row>
    <row r="45" spans="2:5">
      <c r="B45" s="112"/>
      <c r="C45" s="54" t="s">
        <v>105</v>
      </c>
      <c r="D45" s="69">
        <v>2</v>
      </c>
      <c r="E45" s="68">
        <v>0</v>
      </c>
    </row>
    <row r="46" spans="2:5">
      <c r="B46" s="112"/>
      <c r="C46" s="54" t="s">
        <v>108</v>
      </c>
      <c r="D46" s="69">
        <v>1</v>
      </c>
      <c r="E46" s="68">
        <v>0</v>
      </c>
    </row>
    <row r="47" spans="2:5">
      <c r="B47" s="112"/>
      <c r="C47" s="54" t="s">
        <v>115</v>
      </c>
      <c r="D47" s="69">
        <v>3</v>
      </c>
      <c r="E47" s="68">
        <v>0</v>
      </c>
    </row>
    <row r="48" spans="2:5">
      <c r="B48" s="112"/>
      <c r="C48" s="54" t="s">
        <v>117</v>
      </c>
      <c r="D48" s="69">
        <v>4</v>
      </c>
      <c r="E48" s="68">
        <v>0</v>
      </c>
    </row>
    <row r="49" spans="2:5">
      <c r="B49" s="112"/>
      <c r="C49" s="54" t="s">
        <v>120</v>
      </c>
      <c r="D49" s="69">
        <v>1</v>
      </c>
      <c r="E49" s="68">
        <v>0</v>
      </c>
    </row>
    <row r="50" spans="2:5">
      <c r="B50" s="112"/>
      <c r="C50" s="54" t="s">
        <v>121</v>
      </c>
      <c r="D50" s="69">
        <v>1</v>
      </c>
      <c r="E50" s="68">
        <v>0</v>
      </c>
    </row>
    <row r="51" spans="2:5">
      <c r="B51" s="112"/>
      <c r="C51" s="54" t="s">
        <v>125</v>
      </c>
      <c r="D51" s="69">
        <v>1</v>
      </c>
      <c r="E51" s="68">
        <v>0</v>
      </c>
    </row>
    <row r="52" spans="2:5">
      <c r="B52" s="112"/>
      <c r="C52" s="54" t="s">
        <v>128</v>
      </c>
      <c r="D52" s="69">
        <v>3</v>
      </c>
      <c r="E52" s="68">
        <v>0</v>
      </c>
    </row>
    <row r="53" spans="2:5">
      <c r="B53" s="112"/>
      <c r="C53" s="54" t="s">
        <v>132</v>
      </c>
      <c r="D53" s="69">
        <v>1</v>
      </c>
      <c r="E53" s="68">
        <v>0</v>
      </c>
    </row>
    <row r="54" spans="2:5">
      <c r="B54" s="112"/>
      <c r="C54" s="54" t="s">
        <v>135</v>
      </c>
      <c r="D54" s="69">
        <v>100</v>
      </c>
      <c r="E54" s="68">
        <v>4.0000000000000001E-3</v>
      </c>
    </row>
    <row r="55" spans="2:5">
      <c r="B55" s="113"/>
      <c r="C55" s="74" t="s">
        <v>304</v>
      </c>
      <c r="D55" s="80">
        <v>123</v>
      </c>
      <c r="E55" s="76">
        <v>5.0000000000000001E-3</v>
      </c>
    </row>
    <row r="56" spans="2:5">
      <c r="B56" s="111" t="s">
        <v>281</v>
      </c>
      <c r="C56" s="54" t="s">
        <v>96</v>
      </c>
      <c r="D56" s="69">
        <v>3</v>
      </c>
      <c r="E56" s="68">
        <v>0</v>
      </c>
    </row>
    <row r="57" spans="2:5">
      <c r="B57" s="112"/>
      <c r="C57" s="54" t="s">
        <v>98</v>
      </c>
      <c r="D57" s="69">
        <v>1</v>
      </c>
      <c r="E57" s="68">
        <v>0</v>
      </c>
    </row>
    <row r="58" spans="2:5">
      <c r="B58" s="112"/>
      <c r="C58" s="54" t="s">
        <v>99</v>
      </c>
      <c r="D58" s="69">
        <v>5</v>
      </c>
      <c r="E58" s="68">
        <v>0</v>
      </c>
    </row>
    <row r="59" spans="2:5">
      <c r="B59" s="112"/>
      <c r="C59" s="54" t="s">
        <v>100</v>
      </c>
      <c r="D59" s="69">
        <v>3</v>
      </c>
      <c r="E59" s="68">
        <v>0</v>
      </c>
    </row>
    <row r="60" spans="2:5">
      <c r="B60" s="112"/>
      <c r="C60" s="54" t="s">
        <v>104</v>
      </c>
      <c r="D60" s="69">
        <v>4</v>
      </c>
      <c r="E60" s="68">
        <v>0</v>
      </c>
    </row>
    <row r="61" spans="2:5">
      <c r="B61" s="112"/>
      <c r="C61" s="54" t="s">
        <v>105</v>
      </c>
      <c r="D61" s="69">
        <v>6</v>
      </c>
      <c r="E61" s="68">
        <v>0</v>
      </c>
    </row>
    <row r="62" spans="2:5">
      <c r="B62" s="112"/>
      <c r="C62" s="54" t="s">
        <v>107</v>
      </c>
      <c r="D62" s="69">
        <v>1</v>
      </c>
      <c r="E62" s="68">
        <v>0</v>
      </c>
    </row>
    <row r="63" spans="2:5">
      <c r="B63" s="112"/>
      <c r="C63" s="54" t="s">
        <v>108</v>
      </c>
      <c r="D63" s="69">
        <v>1</v>
      </c>
      <c r="E63" s="68">
        <v>0</v>
      </c>
    </row>
    <row r="64" spans="2:5">
      <c r="B64" s="112"/>
      <c r="C64" s="54" t="s">
        <v>111</v>
      </c>
      <c r="D64" s="69">
        <v>1</v>
      </c>
      <c r="E64" s="68">
        <v>0</v>
      </c>
    </row>
    <row r="65" spans="2:5">
      <c r="B65" s="112"/>
      <c r="C65" s="54" t="s">
        <v>112</v>
      </c>
      <c r="D65" s="69">
        <v>2</v>
      </c>
      <c r="E65" s="68">
        <v>0</v>
      </c>
    </row>
    <row r="66" spans="2:5">
      <c r="B66" s="112"/>
      <c r="C66" s="54" t="s">
        <v>115</v>
      </c>
      <c r="D66" s="69">
        <v>2</v>
      </c>
      <c r="E66" s="68">
        <v>0</v>
      </c>
    </row>
    <row r="67" spans="2:5">
      <c r="B67" s="112"/>
      <c r="C67" s="54" t="s">
        <v>116</v>
      </c>
      <c r="D67" s="69">
        <v>2</v>
      </c>
      <c r="E67" s="68">
        <v>0</v>
      </c>
    </row>
    <row r="68" spans="2:5">
      <c r="B68" s="112"/>
      <c r="C68" s="54" t="s">
        <v>117</v>
      </c>
      <c r="D68" s="69">
        <v>1</v>
      </c>
      <c r="E68" s="68">
        <v>0</v>
      </c>
    </row>
    <row r="69" spans="2:5">
      <c r="B69" s="112"/>
      <c r="C69" s="54" t="s">
        <v>118</v>
      </c>
      <c r="D69" s="69">
        <v>2</v>
      </c>
      <c r="E69" s="68">
        <v>0</v>
      </c>
    </row>
    <row r="70" spans="2:5">
      <c r="B70" s="112"/>
      <c r="C70" s="54" t="s">
        <v>125</v>
      </c>
      <c r="D70" s="69">
        <v>6</v>
      </c>
      <c r="E70" s="68">
        <v>0</v>
      </c>
    </row>
    <row r="71" spans="2:5">
      <c r="B71" s="112"/>
      <c r="C71" s="54" t="s">
        <v>128</v>
      </c>
      <c r="D71" s="69">
        <v>5</v>
      </c>
      <c r="E71" s="68">
        <v>0</v>
      </c>
    </row>
    <row r="72" spans="2:5">
      <c r="B72" s="112"/>
      <c r="C72" s="54" t="s">
        <v>134</v>
      </c>
      <c r="D72" s="69">
        <v>2</v>
      </c>
      <c r="E72" s="68">
        <v>0</v>
      </c>
    </row>
    <row r="73" spans="2:5">
      <c r="B73" s="112"/>
      <c r="C73" s="54" t="s">
        <v>135</v>
      </c>
      <c r="D73" s="69">
        <v>221</v>
      </c>
      <c r="E73" s="68">
        <v>8.9999999999999993E-3</v>
      </c>
    </row>
    <row r="74" spans="2:5">
      <c r="B74" s="112"/>
      <c r="C74" s="54" t="s">
        <v>138</v>
      </c>
      <c r="D74" s="69">
        <v>1</v>
      </c>
      <c r="E74" s="68">
        <v>0</v>
      </c>
    </row>
    <row r="75" spans="2:5">
      <c r="B75" s="112"/>
      <c r="C75" s="54" t="s">
        <v>140</v>
      </c>
      <c r="D75" s="69">
        <v>1</v>
      </c>
      <c r="E75" s="68">
        <v>0</v>
      </c>
    </row>
    <row r="76" spans="2:5">
      <c r="B76" s="113"/>
      <c r="C76" s="74" t="s">
        <v>304</v>
      </c>
      <c r="D76" s="80">
        <v>270</v>
      </c>
      <c r="E76" s="76">
        <v>1.0999999999999999E-2</v>
      </c>
    </row>
    <row r="77" spans="2:5">
      <c r="B77" s="111" t="s">
        <v>282</v>
      </c>
      <c r="C77" s="54" t="s">
        <v>96</v>
      </c>
      <c r="D77" s="69">
        <v>5</v>
      </c>
      <c r="E77" s="68">
        <v>0</v>
      </c>
    </row>
    <row r="78" spans="2:5">
      <c r="B78" s="112"/>
      <c r="C78" s="54" t="s">
        <v>98</v>
      </c>
      <c r="D78" s="69">
        <v>3</v>
      </c>
      <c r="E78" s="68">
        <v>0</v>
      </c>
    </row>
    <row r="79" spans="2:5">
      <c r="B79" s="112"/>
      <c r="C79" s="54" t="s">
        <v>99</v>
      </c>
      <c r="D79" s="69">
        <v>5</v>
      </c>
      <c r="E79" s="68">
        <v>0</v>
      </c>
    </row>
    <row r="80" spans="2:5">
      <c r="B80" s="112"/>
      <c r="C80" s="54" t="s">
        <v>102</v>
      </c>
      <c r="D80" s="69">
        <v>1</v>
      </c>
      <c r="E80" s="68">
        <v>0</v>
      </c>
    </row>
    <row r="81" spans="2:5">
      <c r="B81" s="112"/>
      <c r="C81" s="54" t="s">
        <v>104</v>
      </c>
      <c r="D81" s="69">
        <v>9</v>
      </c>
      <c r="E81" s="68">
        <v>0</v>
      </c>
    </row>
    <row r="82" spans="2:5">
      <c r="B82" s="112"/>
      <c r="C82" s="54" t="s">
        <v>105</v>
      </c>
      <c r="D82" s="69">
        <v>8</v>
      </c>
      <c r="E82" s="68">
        <v>0</v>
      </c>
    </row>
    <row r="83" spans="2:5">
      <c r="B83" s="112"/>
      <c r="C83" s="54" t="s">
        <v>109</v>
      </c>
      <c r="D83" s="69">
        <v>1</v>
      </c>
      <c r="E83" s="68">
        <v>0</v>
      </c>
    </row>
    <row r="84" spans="2:5">
      <c r="B84" s="112"/>
      <c r="C84" s="54" t="s">
        <v>111</v>
      </c>
      <c r="D84" s="69">
        <v>2</v>
      </c>
      <c r="E84" s="68">
        <v>0</v>
      </c>
    </row>
    <row r="85" spans="2:5">
      <c r="B85" s="112"/>
      <c r="C85" s="54" t="s">
        <v>112</v>
      </c>
      <c r="D85" s="69">
        <v>1</v>
      </c>
      <c r="E85" s="68">
        <v>0</v>
      </c>
    </row>
    <row r="86" spans="2:5">
      <c r="B86" s="112"/>
      <c r="C86" s="54" t="s">
        <v>115</v>
      </c>
      <c r="D86" s="69">
        <v>2</v>
      </c>
      <c r="E86" s="68">
        <v>0</v>
      </c>
    </row>
    <row r="87" spans="2:5">
      <c r="B87" s="112"/>
      <c r="C87" s="54" t="s">
        <v>117</v>
      </c>
      <c r="D87" s="69">
        <v>1</v>
      </c>
      <c r="E87" s="68">
        <v>0</v>
      </c>
    </row>
    <row r="88" spans="2:5">
      <c r="B88" s="112"/>
      <c r="C88" s="54" t="s">
        <v>124</v>
      </c>
      <c r="D88" s="69">
        <v>1</v>
      </c>
      <c r="E88" s="68">
        <v>0</v>
      </c>
    </row>
    <row r="89" spans="2:5">
      <c r="B89" s="112"/>
      <c r="C89" s="54" t="s">
        <v>125</v>
      </c>
      <c r="D89" s="69">
        <v>5</v>
      </c>
      <c r="E89" s="68">
        <v>0</v>
      </c>
    </row>
    <row r="90" spans="2:5">
      <c r="B90" s="112"/>
      <c r="C90" s="54" t="s">
        <v>127</v>
      </c>
      <c r="D90" s="69">
        <v>1</v>
      </c>
      <c r="E90" s="68">
        <v>0</v>
      </c>
    </row>
    <row r="91" spans="2:5">
      <c r="B91" s="112"/>
      <c r="C91" s="54" t="s">
        <v>128</v>
      </c>
      <c r="D91" s="69">
        <v>1</v>
      </c>
      <c r="E91" s="68">
        <v>0</v>
      </c>
    </row>
    <row r="92" spans="2:5">
      <c r="B92" s="112"/>
      <c r="C92" s="54" t="s">
        <v>132</v>
      </c>
      <c r="D92" s="69">
        <v>1</v>
      </c>
      <c r="E92" s="68">
        <v>0</v>
      </c>
    </row>
    <row r="93" spans="2:5">
      <c r="B93" s="112"/>
      <c r="C93" s="54" t="s">
        <v>134</v>
      </c>
      <c r="D93" s="69">
        <v>1</v>
      </c>
      <c r="E93" s="68">
        <v>0</v>
      </c>
    </row>
    <row r="94" spans="2:5">
      <c r="B94" s="112"/>
      <c r="C94" s="54" t="s">
        <v>135</v>
      </c>
      <c r="D94" s="69">
        <v>168</v>
      </c>
      <c r="E94" s="68">
        <v>7.0000000000000001E-3</v>
      </c>
    </row>
    <row r="95" spans="2:5">
      <c r="B95" s="112"/>
      <c r="C95" s="54" t="s">
        <v>136</v>
      </c>
      <c r="D95" s="69">
        <v>1</v>
      </c>
      <c r="E95" s="68">
        <v>0</v>
      </c>
    </row>
    <row r="96" spans="2:5">
      <c r="B96" s="112"/>
      <c r="C96" s="54" t="s">
        <v>140</v>
      </c>
      <c r="D96" s="69">
        <v>3</v>
      </c>
      <c r="E96" s="68">
        <v>0</v>
      </c>
    </row>
    <row r="97" spans="2:5">
      <c r="B97" s="113"/>
      <c r="C97" s="74" t="s">
        <v>304</v>
      </c>
      <c r="D97" s="80">
        <v>220</v>
      </c>
      <c r="E97" s="76">
        <v>8.9999999999999993E-3</v>
      </c>
    </row>
    <row r="98" spans="2:5">
      <c r="B98" s="111" t="s">
        <v>283</v>
      </c>
      <c r="C98" s="54" t="s">
        <v>96</v>
      </c>
      <c r="D98" s="69">
        <v>1</v>
      </c>
      <c r="E98" s="68">
        <v>0</v>
      </c>
    </row>
    <row r="99" spans="2:5">
      <c r="B99" s="112"/>
      <c r="C99" s="54" t="s">
        <v>98</v>
      </c>
      <c r="D99" s="69">
        <v>7</v>
      </c>
      <c r="E99" s="68">
        <v>0</v>
      </c>
    </row>
    <row r="100" spans="2:5">
      <c r="B100" s="112"/>
      <c r="C100" s="54" t="s">
        <v>99</v>
      </c>
      <c r="D100" s="69">
        <v>2</v>
      </c>
      <c r="E100" s="68">
        <v>0</v>
      </c>
    </row>
    <row r="101" spans="2:5">
      <c r="B101" s="112"/>
      <c r="C101" s="54" t="s">
        <v>104</v>
      </c>
      <c r="D101" s="69">
        <v>4</v>
      </c>
      <c r="E101" s="68">
        <v>0</v>
      </c>
    </row>
    <row r="102" spans="2:5">
      <c r="B102" s="112"/>
      <c r="C102" s="54" t="s">
        <v>105</v>
      </c>
      <c r="D102" s="69">
        <v>10</v>
      </c>
      <c r="E102" s="68">
        <v>0</v>
      </c>
    </row>
    <row r="103" spans="2:5">
      <c r="B103" s="112"/>
      <c r="C103" s="54" t="s">
        <v>107</v>
      </c>
      <c r="D103" s="69">
        <v>3</v>
      </c>
      <c r="E103" s="68">
        <v>0</v>
      </c>
    </row>
    <row r="104" spans="2:5">
      <c r="B104" s="112"/>
      <c r="C104" s="54" t="s">
        <v>109</v>
      </c>
      <c r="D104" s="69">
        <v>1</v>
      </c>
      <c r="E104" s="68">
        <v>0</v>
      </c>
    </row>
    <row r="105" spans="2:5">
      <c r="B105" s="112"/>
      <c r="C105" s="54" t="s">
        <v>110</v>
      </c>
      <c r="D105" s="69">
        <v>1</v>
      </c>
      <c r="E105" s="68">
        <v>0</v>
      </c>
    </row>
    <row r="106" spans="2:5">
      <c r="B106" s="112"/>
      <c r="C106" s="54" t="s">
        <v>112</v>
      </c>
      <c r="D106" s="69">
        <v>2</v>
      </c>
      <c r="E106" s="68">
        <v>0</v>
      </c>
    </row>
    <row r="107" spans="2:5">
      <c r="B107" s="112"/>
      <c r="C107" s="54" t="s">
        <v>115</v>
      </c>
      <c r="D107" s="69">
        <v>4</v>
      </c>
      <c r="E107" s="68">
        <v>0</v>
      </c>
    </row>
    <row r="108" spans="2:5">
      <c r="B108" s="112"/>
      <c r="C108" s="54" t="s">
        <v>116</v>
      </c>
      <c r="D108" s="69">
        <v>2</v>
      </c>
      <c r="E108" s="68">
        <v>0</v>
      </c>
    </row>
    <row r="109" spans="2:5">
      <c r="B109" s="112"/>
      <c r="C109" s="54" t="s">
        <v>117</v>
      </c>
      <c r="D109" s="69">
        <v>3</v>
      </c>
      <c r="E109" s="68">
        <v>0</v>
      </c>
    </row>
    <row r="110" spans="2:5">
      <c r="B110" s="112"/>
      <c r="C110" s="54" t="s">
        <v>118</v>
      </c>
      <c r="D110" s="69">
        <v>2</v>
      </c>
      <c r="E110" s="68">
        <v>0</v>
      </c>
    </row>
    <row r="111" spans="2:5">
      <c r="B111" s="112"/>
      <c r="C111" s="54" t="s">
        <v>121</v>
      </c>
      <c r="D111" s="69">
        <v>2</v>
      </c>
      <c r="E111" s="68">
        <v>0</v>
      </c>
    </row>
    <row r="112" spans="2:5">
      <c r="B112" s="112"/>
      <c r="C112" s="54" t="s">
        <v>125</v>
      </c>
      <c r="D112" s="69">
        <v>6</v>
      </c>
      <c r="E112" s="68">
        <v>0</v>
      </c>
    </row>
    <row r="113" spans="2:5">
      <c r="B113" s="112"/>
      <c r="C113" s="54" t="s">
        <v>127</v>
      </c>
      <c r="D113" s="69">
        <v>1</v>
      </c>
      <c r="E113" s="68">
        <v>0</v>
      </c>
    </row>
    <row r="114" spans="2:5">
      <c r="B114" s="112"/>
      <c r="C114" s="54" t="s">
        <v>128</v>
      </c>
      <c r="D114" s="69">
        <v>4</v>
      </c>
      <c r="E114" s="68">
        <v>0</v>
      </c>
    </row>
    <row r="115" spans="2:5">
      <c r="B115" s="112"/>
      <c r="C115" s="54" t="s">
        <v>130</v>
      </c>
      <c r="D115" s="69">
        <v>1</v>
      </c>
      <c r="E115" s="68">
        <v>0</v>
      </c>
    </row>
    <row r="116" spans="2:5">
      <c r="B116" s="112"/>
      <c r="C116" s="54" t="s">
        <v>132</v>
      </c>
      <c r="D116" s="69">
        <v>1</v>
      </c>
      <c r="E116" s="68">
        <v>0</v>
      </c>
    </row>
    <row r="117" spans="2:5">
      <c r="B117" s="112"/>
      <c r="C117" s="54" t="s">
        <v>134</v>
      </c>
      <c r="D117" s="69">
        <v>5</v>
      </c>
      <c r="E117" s="68">
        <v>0</v>
      </c>
    </row>
    <row r="118" spans="2:5">
      <c r="B118" s="112"/>
      <c r="C118" s="54" t="s">
        <v>135</v>
      </c>
      <c r="D118" s="69">
        <v>255</v>
      </c>
      <c r="E118" s="68">
        <v>0.01</v>
      </c>
    </row>
    <row r="119" spans="2:5">
      <c r="B119" s="112"/>
      <c r="C119" s="54" t="s">
        <v>138</v>
      </c>
      <c r="D119" s="69">
        <v>1</v>
      </c>
      <c r="E119" s="68">
        <v>0</v>
      </c>
    </row>
    <row r="120" spans="2:5">
      <c r="B120" s="113"/>
      <c r="C120" s="74" t="s">
        <v>304</v>
      </c>
      <c r="D120" s="80">
        <v>318</v>
      </c>
      <c r="E120" s="76">
        <v>1.2999999999999999E-2</v>
      </c>
    </row>
    <row r="121" spans="2:5">
      <c r="B121" s="111" t="s">
        <v>284</v>
      </c>
      <c r="C121" s="54" t="s">
        <v>96</v>
      </c>
      <c r="D121" s="69">
        <v>4</v>
      </c>
      <c r="E121" s="68">
        <v>0</v>
      </c>
    </row>
    <row r="122" spans="2:5">
      <c r="B122" s="112"/>
      <c r="C122" s="54" t="s">
        <v>97</v>
      </c>
      <c r="D122" s="69">
        <v>1</v>
      </c>
      <c r="E122" s="68">
        <v>0</v>
      </c>
    </row>
    <row r="123" spans="2:5">
      <c r="B123" s="112"/>
      <c r="C123" s="54" t="s">
        <v>98</v>
      </c>
      <c r="D123" s="69">
        <v>12</v>
      </c>
      <c r="E123" s="68">
        <v>0</v>
      </c>
    </row>
    <row r="124" spans="2:5">
      <c r="B124" s="112"/>
      <c r="C124" s="54" t="s">
        <v>99</v>
      </c>
      <c r="D124" s="69">
        <v>27</v>
      </c>
      <c r="E124" s="68">
        <v>1E-3</v>
      </c>
    </row>
    <row r="125" spans="2:5">
      <c r="B125" s="112"/>
      <c r="C125" s="54" t="s">
        <v>100</v>
      </c>
      <c r="D125" s="69">
        <v>4</v>
      </c>
      <c r="E125" s="68">
        <v>0</v>
      </c>
    </row>
    <row r="126" spans="2:5">
      <c r="B126" s="112"/>
      <c r="C126" s="54" t="s">
        <v>102</v>
      </c>
      <c r="D126" s="69">
        <v>2</v>
      </c>
      <c r="E126" s="68">
        <v>0</v>
      </c>
    </row>
    <row r="127" spans="2:5">
      <c r="B127" s="112"/>
      <c r="C127" s="54" t="s">
        <v>104</v>
      </c>
      <c r="D127" s="69">
        <v>15</v>
      </c>
      <c r="E127" s="68">
        <v>1E-3</v>
      </c>
    </row>
    <row r="128" spans="2:5">
      <c r="B128" s="112"/>
      <c r="C128" s="54" t="s">
        <v>105</v>
      </c>
      <c r="D128" s="69">
        <v>19</v>
      </c>
      <c r="E128" s="68">
        <v>1E-3</v>
      </c>
    </row>
    <row r="129" spans="2:5">
      <c r="B129" s="112"/>
      <c r="C129" s="54" t="s">
        <v>107</v>
      </c>
      <c r="D129" s="69">
        <v>8</v>
      </c>
      <c r="E129" s="68">
        <v>0</v>
      </c>
    </row>
    <row r="130" spans="2:5">
      <c r="B130" s="112"/>
      <c r="C130" s="54" t="s">
        <v>108</v>
      </c>
      <c r="D130" s="69">
        <v>7</v>
      </c>
      <c r="E130" s="68">
        <v>0</v>
      </c>
    </row>
    <row r="131" spans="2:5">
      <c r="B131" s="112"/>
      <c r="C131" s="54" t="s">
        <v>109</v>
      </c>
      <c r="D131" s="69">
        <v>4</v>
      </c>
      <c r="E131" s="68">
        <v>0</v>
      </c>
    </row>
    <row r="132" spans="2:5">
      <c r="B132" s="112"/>
      <c r="C132" s="54" t="s">
        <v>110</v>
      </c>
      <c r="D132" s="69">
        <v>1</v>
      </c>
      <c r="E132" s="68">
        <v>0</v>
      </c>
    </row>
    <row r="133" spans="2:5">
      <c r="B133" s="112"/>
      <c r="C133" s="54" t="s">
        <v>111</v>
      </c>
      <c r="D133" s="69">
        <v>4</v>
      </c>
      <c r="E133" s="68">
        <v>0</v>
      </c>
    </row>
    <row r="134" spans="2:5">
      <c r="B134" s="112"/>
      <c r="C134" s="54" t="s">
        <v>112</v>
      </c>
      <c r="D134" s="69">
        <v>7</v>
      </c>
      <c r="E134" s="68">
        <v>0</v>
      </c>
    </row>
    <row r="135" spans="2:5">
      <c r="B135" s="112"/>
      <c r="C135" s="54" t="s">
        <v>115</v>
      </c>
      <c r="D135" s="69">
        <v>14</v>
      </c>
      <c r="E135" s="68">
        <v>1E-3</v>
      </c>
    </row>
    <row r="136" spans="2:5">
      <c r="B136" s="112"/>
      <c r="C136" s="54" t="s">
        <v>116</v>
      </c>
      <c r="D136" s="69">
        <v>2</v>
      </c>
      <c r="E136" s="68">
        <v>0</v>
      </c>
    </row>
    <row r="137" spans="2:5">
      <c r="B137" s="112"/>
      <c r="C137" s="54" t="s">
        <v>117</v>
      </c>
      <c r="D137" s="69">
        <v>8</v>
      </c>
      <c r="E137" s="68">
        <v>0</v>
      </c>
    </row>
    <row r="138" spans="2:5">
      <c r="B138" s="112"/>
      <c r="C138" s="54" t="s">
        <v>118</v>
      </c>
      <c r="D138" s="69">
        <v>6</v>
      </c>
      <c r="E138" s="68">
        <v>0</v>
      </c>
    </row>
    <row r="139" spans="2:5">
      <c r="B139" s="112"/>
      <c r="C139" s="54" t="s">
        <v>120</v>
      </c>
      <c r="D139" s="69">
        <v>2</v>
      </c>
      <c r="E139" s="68">
        <v>0</v>
      </c>
    </row>
    <row r="140" spans="2:5">
      <c r="B140" s="112"/>
      <c r="C140" s="54" t="s">
        <v>121</v>
      </c>
      <c r="D140" s="69">
        <v>3</v>
      </c>
      <c r="E140" s="68">
        <v>0</v>
      </c>
    </row>
    <row r="141" spans="2:5">
      <c r="B141" s="112"/>
      <c r="C141" s="54" t="s">
        <v>124</v>
      </c>
      <c r="D141" s="69">
        <v>6</v>
      </c>
      <c r="E141" s="68">
        <v>0</v>
      </c>
    </row>
    <row r="142" spans="2:5">
      <c r="B142" s="112"/>
      <c r="C142" s="54" t="s">
        <v>125</v>
      </c>
      <c r="D142" s="69">
        <v>15</v>
      </c>
      <c r="E142" s="68">
        <v>1E-3</v>
      </c>
    </row>
    <row r="143" spans="2:5">
      <c r="B143" s="112"/>
      <c r="C143" s="54" t="s">
        <v>127</v>
      </c>
      <c r="D143" s="69">
        <v>10</v>
      </c>
      <c r="E143" s="68">
        <v>0</v>
      </c>
    </row>
    <row r="144" spans="2:5">
      <c r="B144" s="112"/>
      <c r="C144" s="54" t="s">
        <v>128</v>
      </c>
      <c r="D144" s="69">
        <v>10</v>
      </c>
      <c r="E144" s="68">
        <v>0</v>
      </c>
    </row>
    <row r="145" spans="2:5">
      <c r="B145" s="112"/>
      <c r="C145" s="54" t="s">
        <v>130</v>
      </c>
      <c r="D145" s="69">
        <v>2</v>
      </c>
      <c r="E145" s="68">
        <v>0</v>
      </c>
    </row>
    <row r="146" spans="2:5">
      <c r="B146" s="112"/>
      <c r="C146" s="54" t="s">
        <v>131</v>
      </c>
      <c r="D146" s="69">
        <v>1</v>
      </c>
      <c r="E146" s="68">
        <v>0</v>
      </c>
    </row>
    <row r="147" spans="2:5">
      <c r="B147" s="112"/>
      <c r="C147" s="54" t="s">
        <v>132</v>
      </c>
      <c r="D147" s="69">
        <v>4</v>
      </c>
      <c r="E147" s="68">
        <v>0</v>
      </c>
    </row>
    <row r="148" spans="2:5">
      <c r="B148" s="112"/>
      <c r="C148" s="54" t="s">
        <v>134</v>
      </c>
      <c r="D148" s="69">
        <v>8</v>
      </c>
      <c r="E148" s="68">
        <v>0</v>
      </c>
    </row>
    <row r="149" spans="2:5">
      <c r="B149" s="112"/>
      <c r="C149" s="54" t="s">
        <v>135</v>
      </c>
      <c r="D149" s="67">
        <v>1330</v>
      </c>
      <c r="E149" s="68">
        <v>5.5E-2</v>
      </c>
    </row>
    <row r="150" spans="2:5">
      <c r="B150" s="112"/>
      <c r="C150" s="54" t="s">
        <v>136</v>
      </c>
      <c r="D150" s="69">
        <v>1</v>
      </c>
      <c r="E150" s="68">
        <v>0</v>
      </c>
    </row>
    <row r="151" spans="2:5">
      <c r="B151" s="112"/>
      <c r="C151" s="54" t="s">
        <v>138</v>
      </c>
      <c r="D151" s="69">
        <v>4</v>
      </c>
      <c r="E151" s="68">
        <v>0</v>
      </c>
    </row>
    <row r="152" spans="2:5">
      <c r="B152" s="112"/>
      <c r="C152" s="54" t="s">
        <v>66</v>
      </c>
      <c r="D152" s="69">
        <v>1</v>
      </c>
      <c r="E152" s="68">
        <v>0</v>
      </c>
    </row>
    <row r="153" spans="2:5">
      <c r="B153" s="112"/>
      <c r="C153" s="54" t="s">
        <v>140</v>
      </c>
      <c r="D153" s="69">
        <v>2</v>
      </c>
      <c r="E153" s="68">
        <v>0</v>
      </c>
    </row>
    <row r="154" spans="2:5">
      <c r="B154" s="113"/>
      <c r="C154" s="74" t="s">
        <v>304</v>
      </c>
      <c r="D154" s="80">
        <v>1544</v>
      </c>
      <c r="E154" s="76">
        <v>6.3E-2</v>
      </c>
    </row>
    <row r="155" spans="2:5" ht="15" customHeight="1">
      <c r="B155" s="111" t="s">
        <v>151</v>
      </c>
      <c r="C155" s="54" t="s">
        <v>96</v>
      </c>
      <c r="D155" s="69">
        <v>12</v>
      </c>
      <c r="E155" s="68">
        <v>0</v>
      </c>
    </row>
    <row r="156" spans="2:5">
      <c r="B156" s="112"/>
      <c r="C156" s="54" t="s">
        <v>97</v>
      </c>
      <c r="D156" s="69">
        <v>1</v>
      </c>
      <c r="E156" s="68">
        <v>0</v>
      </c>
    </row>
    <row r="157" spans="2:5">
      <c r="B157" s="112"/>
      <c r="C157" s="54" t="s">
        <v>98</v>
      </c>
      <c r="D157" s="69">
        <v>21</v>
      </c>
      <c r="E157" s="68">
        <v>1E-3</v>
      </c>
    </row>
    <row r="158" spans="2:5">
      <c r="B158" s="112"/>
      <c r="C158" s="54" t="s">
        <v>99</v>
      </c>
      <c r="D158" s="69">
        <v>38</v>
      </c>
      <c r="E158" s="68">
        <v>2E-3</v>
      </c>
    </row>
    <row r="159" spans="2:5">
      <c r="B159" s="112"/>
      <c r="C159" s="54" t="s">
        <v>100</v>
      </c>
      <c r="D159" s="69">
        <v>4</v>
      </c>
      <c r="E159" s="68">
        <v>0</v>
      </c>
    </row>
    <row r="160" spans="2:5" ht="15" customHeight="1">
      <c r="B160" s="112"/>
      <c r="C160" s="54" t="s">
        <v>101</v>
      </c>
      <c r="D160" s="69">
        <v>2</v>
      </c>
      <c r="E160" s="68">
        <v>0</v>
      </c>
    </row>
    <row r="161" spans="2:5">
      <c r="B161" s="112"/>
      <c r="C161" s="54" t="s">
        <v>102</v>
      </c>
      <c r="D161" s="69">
        <v>1</v>
      </c>
      <c r="E161" s="68">
        <v>0</v>
      </c>
    </row>
    <row r="162" spans="2:5">
      <c r="B162" s="112"/>
      <c r="C162" s="54" t="s">
        <v>104</v>
      </c>
      <c r="D162" s="69">
        <v>51</v>
      </c>
      <c r="E162" s="68">
        <v>2E-3</v>
      </c>
    </row>
    <row r="163" spans="2:5">
      <c r="B163" s="112"/>
      <c r="C163" s="54" t="s">
        <v>105</v>
      </c>
      <c r="D163" s="69">
        <v>47</v>
      </c>
      <c r="E163" s="68">
        <v>2E-3</v>
      </c>
    </row>
    <row r="164" spans="2:5">
      <c r="B164" s="112"/>
      <c r="C164" s="54" t="s">
        <v>106</v>
      </c>
      <c r="D164" s="69">
        <v>3</v>
      </c>
      <c r="E164" s="68">
        <v>0</v>
      </c>
    </row>
    <row r="165" spans="2:5">
      <c r="B165" s="112"/>
      <c r="C165" s="54" t="s">
        <v>107</v>
      </c>
      <c r="D165" s="69">
        <v>46</v>
      </c>
      <c r="E165" s="68">
        <v>2E-3</v>
      </c>
    </row>
    <row r="166" spans="2:5">
      <c r="B166" s="112"/>
      <c r="C166" s="54" t="s">
        <v>108</v>
      </c>
      <c r="D166" s="69">
        <v>11</v>
      </c>
      <c r="E166" s="68">
        <v>0</v>
      </c>
    </row>
    <row r="167" spans="2:5">
      <c r="B167" s="112"/>
      <c r="C167" s="54" t="s">
        <v>109</v>
      </c>
      <c r="D167" s="69">
        <v>2</v>
      </c>
      <c r="E167" s="68">
        <v>0</v>
      </c>
    </row>
    <row r="168" spans="2:5">
      <c r="B168" s="112"/>
      <c r="C168" s="54" t="s">
        <v>110</v>
      </c>
      <c r="D168" s="69">
        <v>5</v>
      </c>
      <c r="E168" s="68">
        <v>0</v>
      </c>
    </row>
    <row r="169" spans="2:5">
      <c r="B169" s="112"/>
      <c r="C169" s="54" t="s">
        <v>111</v>
      </c>
      <c r="D169" s="69">
        <v>11</v>
      </c>
      <c r="E169" s="68">
        <v>0</v>
      </c>
    </row>
    <row r="170" spans="2:5">
      <c r="B170" s="112"/>
      <c r="C170" s="54" t="s">
        <v>112</v>
      </c>
      <c r="D170" s="69">
        <v>10</v>
      </c>
      <c r="E170" s="68">
        <v>0</v>
      </c>
    </row>
    <row r="171" spans="2:5">
      <c r="B171" s="112"/>
      <c r="C171" s="54" t="s">
        <v>113</v>
      </c>
      <c r="D171" s="69">
        <v>3</v>
      </c>
      <c r="E171" s="68">
        <v>0</v>
      </c>
    </row>
    <row r="172" spans="2:5">
      <c r="B172" s="112"/>
      <c r="C172" s="54" t="s">
        <v>114</v>
      </c>
      <c r="D172" s="69">
        <v>1</v>
      </c>
      <c r="E172" s="68">
        <v>0</v>
      </c>
    </row>
    <row r="173" spans="2:5">
      <c r="B173" s="112"/>
      <c r="C173" s="54" t="s">
        <v>115</v>
      </c>
      <c r="D173" s="69">
        <v>15</v>
      </c>
      <c r="E173" s="68">
        <v>1E-3</v>
      </c>
    </row>
    <row r="174" spans="2:5">
      <c r="B174" s="112"/>
      <c r="C174" s="54" t="s">
        <v>116</v>
      </c>
      <c r="D174" s="69">
        <v>6</v>
      </c>
      <c r="E174" s="68">
        <v>0</v>
      </c>
    </row>
    <row r="175" spans="2:5">
      <c r="B175" s="112"/>
      <c r="C175" s="54" t="s">
        <v>117</v>
      </c>
      <c r="D175" s="69">
        <v>12</v>
      </c>
      <c r="E175" s="68">
        <v>0</v>
      </c>
    </row>
    <row r="176" spans="2:5">
      <c r="B176" s="112"/>
      <c r="C176" s="54" t="s">
        <v>118</v>
      </c>
      <c r="D176" s="69">
        <v>12</v>
      </c>
      <c r="E176" s="68">
        <v>0</v>
      </c>
    </row>
    <row r="177" spans="2:5">
      <c r="B177" s="112"/>
      <c r="C177" s="54" t="s">
        <v>120</v>
      </c>
      <c r="D177" s="69">
        <v>1</v>
      </c>
      <c r="E177" s="68">
        <v>0</v>
      </c>
    </row>
    <row r="178" spans="2:5">
      <c r="B178" s="112"/>
      <c r="C178" s="54" t="s">
        <v>121</v>
      </c>
      <c r="D178" s="69">
        <v>4</v>
      </c>
      <c r="E178" s="68">
        <v>0</v>
      </c>
    </row>
    <row r="179" spans="2:5">
      <c r="B179" s="112"/>
      <c r="C179" s="54" t="s">
        <v>122</v>
      </c>
      <c r="D179" s="69">
        <v>2</v>
      </c>
      <c r="E179" s="68">
        <v>0</v>
      </c>
    </row>
    <row r="180" spans="2:5">
      <c r="B180" s="112"/>
      <c r="C180" s="54" t="s">
        <v>124</v>
      </c>
      <c r="D180" s="69">
        <v>2</v>
      </c>
      <c r="E180" s="68">
        <v>0</v>
      </c>
    </row>
    <row r="181" spans="2:5">
      <c r="B181" s="112"/>
      <c r="C181" s="54" t="s">
        <v>125</v>
      </c>
      <c r="D181" s="69">
        <v>55</v>
      </c>
      <c r="E181" s="68">
        <v>2E-3</v>
      </c>
    </row>
    <row r="182" spans="2:5">
      <c r="B182" s="112"/>
      <c r="C182" s="54" t="s">
        <v>127</v>
      </c>
      <c r="D182" s="69">
        <v>8</v>
      </c>
      <c r="E182" s="68">
        <v>0</v>
      </c>
    </row>
    <row r="183" spans="2:5">
      <c r="B183" s="112"/>
      <c r="C183" s="54" t="s">
        <v>128</v>
      </c>
      <c r="D183" s="69">
        <v>28</v>
      </c>
      <c r="E183" s="68">
        <v>1E-3</v>
      </c>
    </row>
    <row r="184" spans="2:5">
      <c r="B184" s="112"/>
      <c r="C184" s="54" t="s">
        <v>129</v>
      </c>
      <c r="D184" s="69">
        <v>1</v>
      </c>
      <c r="E184" s="68">
        <v>0</v>
      </c>
    </row>
    <row r="185" spans="2:5">
      <c r="B185" s="112"/>
      <c r="C185" s="54" t="s">
        <v>132</v>
      </c>
      <c r="D185" s="69">
        <v>16</v>
      </c>
      <c r="E185" s="68">
        <v>1E-3</v>
      </c>
    </row>
    <row r="186" spans="2:5">
      <c r="B186" s="112"/>
      <c r="C186" s="54" t="s">
        <v>134</v>
      </c>
      <c r="D186" s="69">
        <v>27</v>
      </c>
      <c r="E186" s="68">
        <v>1E-3</v>
      </c>
    </row>
    <row r="187" spans="2:5">
      <c r="B187" s="112"/>
      <c r="C187" s="54" t="s">
        <v>135</v>
      </c>
      <c r="D187" s="67">
        <v>1428</v>
      </c>
      <c r="E187" s="68">
        <v>5.8999999999999997E-2</v>
      </c>
    </row>
    <row r="188" spans="2:5">
      <c r="B188" s="112"/>
      <c r="C188" s="54" t="s">
        <v>136</v>
      </c>
      <c r="D188" s="69">
        <v>1</v>
      </c>
      <c r="E188" s="68">
        <v>0</v>
      </c>
    </row>
    <row r="189" spans="2:5">
      <c r="B189" s="112"/>
      <c r="C189" s="54" t="s">
        <v>138</v>
      </c>
      <c r="D189" s="69">
        <v>9</v>
      </c>
      <c r="E189" s="68">
        <v>0</v>
      </c>
    </row>
    <row r="190" spans="2:5">
      <c r="B190" s="112"/>
      <c r="C190" s="54" t="s">
        <v>140</v>
      </c>
      <c r="D190" s="69">
        <v>3</v>
      </c>
      <c r="E190" s="68">
        <v>0</v>
      </c>
    </row>
    <row r="191" spans="2:5">
      <c r="B191" s="112"/>
      <c r="C191" s="54" t="s">
        <v>141</v>
      </c>
      <c r="D191" s="69">
        <v>1</v>
      </c>
      <c r="E191" s="68">
        <v>0</v>
      </c>
    </row>
    <row r="192" spans="2:5" ht="15" customHeight="1">
      <c r="B192" s="113"/>
      <c r="C192" s="74" t="s">
        <v>304</v>
      </c>
      <c r="D192" s="80">
        <v>1900</v>
      </c>
      <c r="E192" s="76">
        <v>7.8E-2</v>
      </c>
    </row>
    <row r="193" spans="2:5">
      <c r="B193" s="111" t="s">
        <v>285</v>
      </c>
      <c r="C193" s="54" t="s">
        <v>98</v>
      </c>
      <c r="D193" s="69">
        <v>1</v>
      </c>
      <c r="E193" s="68">
        <v>0</v>
      </c>
    </row>
    <row r="194" spans="2:5">
      <c r="B194" s="112"/>
      <c r="C194" s="54" t="s">
        <v>99</v>
      </c>
      <c r="D194" s="69">
        <v>4</v>
      </c>
      <c r="E194" s="68">
        <v>0</v>
      </c>
    </row>
    <row r="195" spans="2:5">
      <c r="B195" s="112"/>
      <c r="C195" s="54" t="s">
        <v>104</v>
      </c>
      <c r="D195" s="69">
        <v>4</v>
      </c>
      <c r="E195" s="68">
        <v>0</v>
      </c>
    </row>
    <row r="196" spans="2:5">
      <c r="B196" s="112"/>
      <c r="C196" s="54" t="s">
        <v>105</v>
      </c>
      <c r="D196" s="69">
        <v>6</v>
      </c>
      <c r="E196" s="68">
        <v>0</v>
      </c>
    </row>
    <row r="197" spans="2:5">
      <c r="B197" s="112"/>
      <c r="C197" s="54" t="s">
        <v>107</v>
      </c>
      <c r="D197" s="69">
        <v>3</v>
      </c>
      <c r="E197" s="68">
        <v>0</v>
      </c>
    </row>
    <row r="198" spans="2:5">
      <c r="B198" s="112"/>
      <c r="C198" s="54" t="s">
        <v>108</v>
      </c>
      <c r="D198" s="69">
        <v>3</v>
      </c>
      <c r="E198" s="68">
        <v>0</v>
      </c>
    </row>
    <row r="199" spans="2:5">
      <c r="B199" s="112"/>
      <c r="C199" s="54" t="s">
        <v>109</v>
      </c>
      <c r="D199" s="69">
        <v>1</v>
      </c>
      <c r="E199" s="68">
        <v>0</v>
      </c>
    </row>
    <row r="200" spans="2:5">
      <c r="B200" s="112"/>
      <c r="C200" s="54" t="s">
        <v>110</v>
      </c>
      <c r="D200" s="69">
        <v>1</v>
      </c>
      <c r="E200" s="68">
        <v>0</v>
      </c>
    </row>
    <row r="201" spans="2:5">
      <c r="B201" s="112"/>
      <c r="C201" s="54" t="s">
        <v>111</v>
      </c>
      <c r="D201" s="69">
        <v>1</v>
      </c>
      <c r="E201" s="68">
        <v>0</v>
      </c>
    </row>
    <row r="202" spans="2:5">
      <c r="B202" s="112"/>
      <c r="C202" s="54" t="s">
        <v>112</v>
      </c>
      <c r="D202" s="69">
        <v>3</v>
      </c>
      <c r="E202" s="68">
        <v>0</v>
      </c>
    </row>
    <row r="203" spans="2:5">
      <c r="B203" s="112"/>
      <c r="C203" s="54" t="s">
        <v>113</v>
      </c>
      <c r="D203" s="69">
        <v>1</v>
      </c>
      <c r="E203" s="68">
        <v>0</v>
      </c>
    </row>
    <row r="204" spans="2:5">
      <c r="B204" s="112"/>
      <c r="C204" s="54" t="s">
        <v>114</v>
      </c>
      <c r="D204" s="69">
        <v>1</v>
      </c>
      <c r="E204" s="68">
        <v>0</v>
      </c>
    </row>
    <row r="205" spans="2:5">
      <c r="B205" s="112"/>
      <c r="C205" s="54" t="s">
        <v>115</v>
      </c>
      <c r="D205" s="69">
        <v>1</v>
      </c>
      <c r="E205" s="68">
        <v>0</v>
      </c>
    </row>
    <row r="206" spans="2:5">
      <c r="B206" s="112"/>
      <c r="C206" s="54" t="s">
        <v>116</v>
      </c>
      <c r="D206" s="69">
        <v>2</v>
      </c>
      <c r="E206" s="68">
        <v>0</v>
      </c>
    </row>
    <row r="207" spans="2:5">
      <c r="B207" s="112"/>
      <c r="C207" s="54" t="s">
        <v>117</v>
      </c>
      <c r="D207" s="69">
        <v>5</v>
      </c>
      <c r="E207" s="68">
        <v>0</v>
      </c>
    </row>
    <row r="208" spans="2:5">
      <c r="B208" s="112"/>
      <c r="C208" s="54" t="s">
        <v>121</v>
      </c>
      <c r="D208" s="69">
        <v>1</v>
      </c>
      <c r="E208" s="68">
        <v>0</v>
      </c>
    </row>
    <row r="209" spans="2:5">
      <c r="B209" s="112"/>
      <c r="C209" s="54" t="s">
        <v>122</v>
      </c>
      <c r="D209" s="69">
        <v>1</v>
      </c>
      <c r="E209" s="68">
        <v>0</v>
      </c>
    </row>
    <row r="210" spans="2:5">
      <c r="B210" s="112"/>
      <c r="C210" s="54" t="s">
        <v>125</v>
      </c>
      <c r="D210" s="69">
        <v>2</v>
      </c>
      <c r="E210" s="68">
        <v>0</v>
      </c>
    </row>
    <row r="211" spans="2:5">
      <c r="B211" s="112"/>
      <c r="C211" s="54" t="s">
        <v>127</v>
      </c>
      <c r="D211" s="69">
        <v>5</v>
      </c>
      <c r="E211" s="68">
        <v>0</v>
      </c>
    </row>
    <row r="212" spans="2:5">
      <c r="B212" s="112"/>
      <c r="C212" s="54" t="s">
        <v>128</v>
      </c>
      <c r="D212" s="69">
        <v>5</v>
      </c>
      <c r="E212" s="68">
        <v>0</v>
      </c>
    </row>
    <row r="213" spans="2:5">
      <c r="B213" s="112"/>
      <c r="C213" s="54" t="s">
        <v>132</v>
      </c>
      <c r="D213" s="69">
        <v>2</v>
      </c>
      <c r="E213" s="68">
        <v>0</v>
      </c>
    </row>
    <row r="214" spans="2:5">
      <c r="B214" s="112"/>
      <c r="C214" s="54" t="s">
        <v>134</v>
      </c>
      <c r="D214" s="69">
        <v>4</v>
      </c>
      <c r="E214" s="68">
        <v>0</v>
      </c>
    </row>
    <row r="215" spans="2:5">
      <c r="B215" s="112"/>
      <c r="C215" s="54" t="s">
        <v>135</v>
      </c>
      <c r="D215" s="69">
        <v>262</v>
      </c>
      <c r="E215" s="68">
        <v>1.0999999999999999E-2</v>
      </c>
    </row>
    <row r="216" spans="2:5">
      <c r="B216" s="112"/>
      <c r="C216" s="54" t="s">
        <v>66</v>
      </c>
      <c r="D216" s="69">
        <v>1</v>
      </c>
      <c r="E216" s="68">
        <v>0</v>
      </c>
    </row>
    <row r="217" spans="2:5">
      <c r="B217" s="113"/>
      <c r="C217" s="74" t="s">
        <v>304</v>
      </c>
      <c r="D217" s="80">
        <v>320</v>
      </c>
      <c r="E217" s="76">
        <v>1.2999999999999999E-2</v>
      </c>
    </row>
    <row r="218" spans="2:5">
      <c r="B218" s="111" t="s">
        <v>286</v>
      </c>
      <c r="C218" s="54" t="s">
        <v>96</v>
      </c>
      <c r="D218" s="69">
        <v>6</v>
      </c>
      <c r="E218" s="68">
        <v>0</v>
      </c>
    </row>
    <row r="219" spans="2:5">
      <c r="B219" s="112"/>
      <c r="C219" s="54" t="s">
        <v>98</v>
      </c>
      <c r="D219" s="69">
        <v>7</v>
      </c>
      <c r="E219" s="68">
        <v>0</v>
      </c>
    </row>
    <row r="220" spans="2:5">
      <c r="B220" s="112"/>
      <c r="C220" s="54" t="s">
        <v>99</v>
      </c>
      <c r="D220" s="69">
        <v>4</v>
      </c>
      <c r="E220" s="68">
        <v>0</v>
      </c>
    </row>
    <row r="221" spans="2:5">
      <c r="B221" s="112"/>
      <c r="C221" s="54" t="s">
        <v>100</v>
      </c>
      <c r="D221" s="69">
        <v>1</v>
      </c>
      <c r="E221" s="68">
        <v>0</v>
      </c>
    </row>
    <row r="222" spans="2:5">
      <c r="B222" s="112"/>
      <c r="C222" s="54" t="s">
        <v>101</v>
      </c>
      <c r="D222" s="69">
        <v>1</v>
      </c>
      <c r="E222" s="68">
        <v>0</v>
      </c>
    </row>
    <row r="223" spans="2:5">
      <c r="B223" s="112"/>
      <c r="C223" s="54" t="s">
        <v>104</v>
      </c>
      <c r="D223" s="69">
        <v>12</v>
      </c>
      <c r="E223" s="68">
        <v>0</v>
      </c>
    </row>
    <row r="224" spans="2:5">
      <c r="B224" s="112"/>
      <c r="C224" s="54" t="s">
        <v>105</v>
      </c>
      <c r="D224" s="69">
        <v>9</v>
      </c>
      <c r="E224" s="68">
        <v>0</v>
      </c>
    </row>
    <row r="225" spans="2:5">
      <c r="B225" s="112"/>
      <c r="C225" s="54" t="s">
        <v>106</v>
      </c>
      <c r="D225" s="69">
        <v>1</v>
      </c>
      <c r="E225" s="68">
        <v>0</v>
      </c>
    </row>
    <row r="226" spans="2:5">
      <c r="B226" s="112"/>
      <c r="C226" s="54" t="s">
        <v>107</v>
      </c>
      <c r="D226" s="69">
        <v>5</v>
      </c>
      <c r="E226" s="68">
        <v>0</v>
      </c>
    </row>
    <row r="227" spans="2:5">
      <c r="B227" s="112"/>
      <c r="C227" s="54" t="s">
        <v>108</v>
      </c>
      <c r="D227" s="69">
        <v>3</v>
      </c>
      <c r="E227" s="68">
        <v>0</v>
      </c>
    </row>
    <row r="228" spans="2:5">
      <c r="B228" s="112"/>
      <c r="C228" s="54" t="s">
        <v>110</v>
      </c>
      <c r="D228" s="69">
        <v>3</v>
      </c>
      <c r="E228" s="68">
        <v>0</v>
      </c>
    </row>
    <row r="229" spans="2:5">
      <c r="B229" s="112"/>
      <c r="C229" s="54" t="s">
        <v>111</v>
      </c>
      <c r="D229" s="69">
        <v>4</v>
      </c>
      <c r="E229" s="68">
        <v>0</v>
      </c>
    </row>
    <row r="230" spans="2:5">
      <c r="B230" s="112"/>
      <c r="C230" s="54" t="s">
        <v>114</v>
      </c>
      <c r="D230" s="69">
        <v>1</v>
      </c>
      <c r="E230" s="68">
        <v>0</v>
      </c>
    </row>
    <row r="231" spans="2:5">
      <c r="B231" s="112"/>
      <c r="C231" s="54" t="s">
        <v>115</v>
      </c>
      <c r="D231" s="69">
        <v>7</v>
      </c>
      <c r="E231" s="68">
        <v>0</v>
      </c>
    </row>
    <row r="232" spans="2:5">
      <c r="B232" s="112"/>
      <c r="C232" s="54" t="s">
        <v>116</v>
      </c>
      <c r="D232" s="69">
        <v>7</v>
      </c>
      <c r="E232" s="68">
        <v>0</v>
      </c>
    </row>
    <row r="233" spans="2:5">
      <c r="B233" s="112"/>
      <c r="C233" s="54" t="s">
        <v>117</v>
      </c>
      <c r="D233" s="69">
        <v>3</v>
      </c>
      <c r="E233" s="68">
        <v>0</v>
      </c>
    </row>
    <row r="234" spans="2:5">
      <c r="B234" s="112"/>
      <c r="C234" s="54" t="s">
        <v>118</v>
      </c>
      <c r="D234" s="69">
        <v>1</v>
      </c>
      <c r="E234" s="68">
        <v>0</v>
      </c>
    </row>
    <row r="235" spans="2:5">
      <c r="B235" s="112"/>
      <c r="C235" s="54" t="s">
        <v>120</v>
      </c>
      <c r="D235" s="69">
        <v>2</v>
      </c>
      <c r="E235" s="68">
        <v>0</v>
      </c>
    </row>
    <row r="236" spans="2:5">
      <c r="B236" s="112"/>
      <c r="C236" s="54" t="s">
        <v>121</v>
      </c>
      <c r="D236" s="69">
        <v>2</v>
      </c>
      <c r="E236" s="68">
        <v>0</v>
      </c>
    </row>
    <row r="237" spans="2:5">
      <c r="B237" s="112"/>
      <c r="C237" s="54" t="s">
        <v>122</v>
      </c>
      <c r="D237" s="69">
        <v>2</v>
      </c>
      <c r="E237" s="68">
        <v>0</v>
      </c>
    </row>
    <row r="238" spans="2:5">
      <c r="B238" s="112"/>
      <c r="C238" s="54" t="s">
        <v>125</v>
      </c>
      <c r="D238" s="69">
        <v>11</v>
      </c>
      <c r="E238" s="68">
        <v>0</v>
      </c>
    </row>
    <row r="239" spans="2:5">
      <c r="B239" s="112"/>
      <c r="C239" s="54" t="s">
        <v>127</v>
      </c>
      <c r="D239" s="69">
        <v>2</v>
      </c>
      <c r="E239" s="68">
        <v>0</v>
      </c>
    </row>
    <row r="240" spans="2:5">
      <c r="B240" s="112"/>
      <c r="C240" s="54" t="s">
        <v>128</v>
      </c>
      <c r="D240" s="69">
        <v>11</v>
      </c>
      <c r="E240" s="68">
        <v>0</v>
      </c>
    </row>
    <row r="241" spans="2:5">
      <c r="B241" s="112"/>
      <c r="C241" s="54" t="s">
        <v>130</v>
      </c>
      <c r="D241" s="69">
        <v>1</v>
      </c>
      <c r="E241" s="68">
        <v>0</v>
      </c>
    </row>
    <row r="242" spans="2:5">
      <c r="B242" s="112"/>
      <c r="C242" s="54" t="s">
        <v>134</v>
      </c>
      <c r="D242" s="69">
        <v>10</v>
      </c>
      <c r="E242" s="68">
        <v>0</v>
      </c>
    </row>
    <row r="243" spans="2:5">
      <c r="B243" s="112"/>
      <c r="C243" s="54" t="s">
        <v>135</v>
      </c>
      <c r="D243" s="69">
        <v>542</v>
      </c>
      <c r="E243" s="68">
        <v>2.1999999999999999E-2</v>
      </c>
    </row>
    <row r="244" spans="2:5">
      <c r="B244" s="112"/>
      <c r="C244" s="54" t="s">
        <v>138</v>
      </c>
      <c r="D244" s="69">
        <v>3</v>
      </c>
      <c r="E244" s="68">
        <v>0</v>
      </c>
    </row>
    <row r="245" spans="2:5">
      <c r="B245" s="112"/>
      <c r="C245" s="54" t="s">
        <v>140</v>
      </c>
      <c r="D245" s="69">
        <v>3</v>
      </c>
      <c r="E245" s="68">
        <v>0</v>
      </c>
    </row>
    <row r="246" spans="2:5">
      <c r="B246" s="113"/>
      <c r="C246" s="74" t="s">
        <v>304</v>
      </c>
      <c r="D246" s="80">
        <v>664</v>
      </c>
      <c r="E246" s="76">
        <v>2.7E-2</v>
      </c>
    </row>
    <row r="247" spans="2:5">
      <c r="B247" s="111" t="s">
        <v>287</v>
      </c>
      <c r="C247" s="54" t="s">
        <v>96</v>
      </c>
      <c r="D247" s="69">
        <v>3</v>
      </c>
      <c r="E247" s="68">
        <v>0</v>
      </c>
    </row>
    <row r="248" spans="2:5">
      <c r="B248" s="112"/>
      <c r="C248" s="54" t="s">
        <v>97</v>
      </c>
      <c r="D248" s="69">
        <v>2</v>
      </c>
      <c r="E248" s="68">
        <v>0</v>
      </c>
    </row>
    <row r="249" spans="2:5">
      <c r="B249" s="112"/>
      <c r="C249" s="54" t="s">
        <v>98</v>
      </c>
      <c r="D249" s="69">
        <v>16</v>
      </c>
      <c r="E249" s="68">
        <v>1E-3</v>
      </c>
    </row>
    <row r="250" spans="2:5">
      <c r="B250" s="112"/>
      <c r="C250" s="54" t="s">
        <v>99</v>
      </c>
      <c r="D250" s="69">
        <v>15</v>
      </c>
      <c r="E250" s="68">
        <v>1E-3</v>
      </c>
    </row>
    <row r="251" spans="2:5">
      <c r="B251" s="112"/>
      <c r="C251" s="54" t="s">
        <v>100</v>
      </c>
      <c r="D251" s="69">
        <v>1</v>
      </c>
      <c r="E251" s="68">
        <v>0</v>
      </c>
    </row>
    <row r="252" spans="2:5">
      <c r="B252" s="112"/>
      <c r="C252" s="54" t="s">
        <v>104</v>
      </c>
      <c r="D252" s="69">
        <v>18</v>
      </c>
      <c r="E252" s="68">
        <v>1E-3</v>
      </c>
    </row>
    <row r="253" spans="2:5">
      <c r="B253" s="112"/>
      <c r="C253" s="54" t="s">
        <v>105</v>
      </c>
      <c r="D253" s="69">
        <v>10</v>
      </c>
      <c r="E253" s="68">
        <v>0</v>
      </c>
    </row>
    <row r="254" spans="2:5">
      <c r="B254" s="112"/>
      <c r="C254" s="54" t="s">
        <v>107</v>
      </c>
      <c r="D254" s="69">
        <v>9</v>
      </c>
      <c r="E254" s="68">
        <v>0</v>
      </c>
    </row>
    <row r="255" spans="2:5">
      <c r="B255" s="112"/>
      <c r="C255" s="54" t="s">
        <v>108</v>
      </c>
      <c r="D255" s="69">
        <v>6</v>
      </c>
      <c r="E255" s="68">
        <v>0</v>
      </c>
    </row>
    <row r="256" spans="2:5">
      <c r="B256" s="112"/>
      <c r="C256" s="54" t="s">
        <v>109</v>
      </c>
      <c r="D256" s="69">
        <v>5</v>
      </c>
      <c r="E256" s="68">
        <v>0</v>
      </c>
    </row>
    <row r="257" spans="2:5">
      <c r="B257" s="112"/>
      <c r="C257" s="54" t="s">
        <v>111</v>
      </c>
      <c r="D257" s="69">
        <v>4</v>
      </c>
      <c r="E257" s="68">
        <v>0</v>
      </c>
    </row>
    <row r="258" spans="2:5">
      <c r="B258" s="112"/>
      <c r="C258" s="54" t="s">
        <v>112</v>
      </c>
      <c r="D258" s="69">
        <v>4</v>
      </c>
      <c r="E258" s="68">
        <v>0</v>
      </c>
    </row>
    <row r="259" spans="2:5">
      <c r="B259" s="112"/>
      <c r="C259" s="54" t="s">
        <v>113</v>
      </c>
      <c r="D259" s="69">
        <v>1</v>
      </c>
      <c r="E259" s="68">
        <v>0</v>
      </c>
    </row>
    <row r="260" spans="2:5">
      <c r="B260" s="112"/>
      <c r="C260" s="54" t="s">
        <v>115</v>
      </c>
      <c r="D260" s="69">
        <v>5</v>
      </c>
      <c r="E260" s="68">
        <v>0</v>
      </c>
    </row>
    <row r="261" spans="2:5">
      <c r="B261" s="112"/>
      <c r="C261" s="54" t="s">
        <v>116</v>
      </c>
      <c r="D261" s="69">
        <v>2</v>
      </c>
      <c r="E261" s="68">
        <v>0</v>
      </c>
    </row>
    <row r="262" spans="2:5">
      <c r="B262" s="112"/>
      <c r="C262" s="54" t="s">
        <v>117</v>
      </c>
      <c r="D262" s="69">
        <v>3</v>
      </c>
      <c r="E262" s="68">
        <v>0</v>
      </c>
    </row>
    <row r="263" spans="2:5">
      <c r="B263" s="112"/>
      <c r="C263" s="54" t="s">
        <v>118</v>
      </c>
      <c r="D263" s="69">
        <v>4</v>
      </c>
      <c r="E263" s="68">
        <v>0</v>
      </c>
    </row>
    <row r="264" spans="2:5">
      <c r="B264" s="112"/>
      <c r="C264" s="54" t="s">
        <v>121</v>
      </c>
      <c r="D264" s="69">
        <v>4</v>
      </c>
      <c r="E264" s="68">
        <v>0</v>
      </c>
    </row>
    <row r="265" spans="2:5">
      <c r="B265" s="112"/>
      <c r="C265" s="54" t="s">
        <v>123</v>
      </c>
      <c r="D265" s="69">
        <v>1</v>
      </c>
      <c r="E265" s="68">
        <v>0</v>
      </c>
    </row>
    <row r="266" spans="2:5">
      <c r="B266" s="112"/>
      <c r="C266" s="54" t="s">
        <v>125</v>
      </c>
      <c r="D266" s="69">
        <v>19</v>
      </c>
      <c r="E266" s="68">
        <v>1E-3</v>
      </c>
    </row>
    <row r="267" spans="2:5">
      <c r="B267" s="112"/>
      <c r="C267" s="54" t="s">
        <v>127</v>
      </c>
      <c r="D267" s="69">
        <v>1</v>
      </c>
      <c r="E267" s="68">
        <v>0</v>
      </c>
    </row>
    <row r="268" spans="2:5">
      <c r="B268" s="112"/>
      <c r="C268" s="54" t="s">
        <v>128</v>
      </c>
      <c r="D268" s="69">
        <v>6</v>
      </c>
      <c r="E268" s="68">
        <v>0</v>
      </c>
    </row>
    <row r="269" spans="2:5">
      <c r="B269" s="112"/>
      <c r="C269" s="54" t="s">
        <v>132</v>
      </c>
      <c r="D269" s="69">
        <v>4</v>
      </c>
      <c r="E269" s="68">
        <v>0</v>
      </c>
    </row>
    <row r="270" spans="2:5">
      <c r="B270" s="112"/>
      <c r="C270" s="54" t="s">
        <v>134</v>
      </c>
      <c r="D270" s="69">
        <v>7</v>
      </c>
      <c r="E270" s="68">
        <v>0</v>
      </c>
    </row>
    <row r="271" spans="2:5">
      <c r="B271" s="112"/>
      <c r="C271" s="54" t="s">
        <v>135</v>
      </c>
      <c r="D271" s="69">
        <v>913</v>
      </c>
      <c r="E271" s="68">
        <v>3.6999999999999998E-2</v>
      </c>
    </row>
    <row r="272" spans="2:5">
      <c r="B272" s="112"/>
      <c r="C272" s="54" t="s">
        <v>138</v>
      </c>
      <c r="D272" s="69">
        <v>2</v>
      </c>
      <c r="E272" s="68">
        <v>0</v>
      </c>
    </row>
    <row r="273" spans="2:5">
      <c r="B273" s="112"/>
      <c r="C273" s="54" t="s">
        <v>66</v>
      </c>
      <c r="D273" s="69">
        <v>1</v>
      </c>
      <c r="E273" s="68">
        <v>0</v>
      </c>
    </row>
    <row r="274" spans="2:5">
      <c r="B274" s="112"/>
      <c r="C274" s="54" t="s">
        <v>140</v>
      </c>
      <c r="D274" s="69">
        <v>8</v>
      </c>
      <c r="E274" s="68">
        <v>0</v>
      </c>
    </row>
    <row r="275" spans="2:5">
      <c r="B275" s="113"/>
      <c r="C275" s="74" t="s">
        <v>304</v>
      </c>
      <c r="D275" s="80">
        <v>1074</v>
      </c>
      <c r="E275" s="76">
        <v>4.3999999999999997E-2</v>
      </c>
    </row>
    <row r="276" spans="2:5" ht="15" customHeight="1">
      <c r="B276" s="111" t="s">
        <v>155</v>
      </c>
      <c r="C276" s="54" t="s">
        <v>96</v>
      </c>
      <c r="D276" s="69">
        <v>43</v>
      </c>
      <c r="E276" s="68">
        <v>2E-3</v>
      </c>
    </row>
    <row r="277" spans="2:5">
      <c r="B277" s="112"/>
      <c r="C277" s="54" t="s">
        <v>97</v>
      </c>
      <c r="D277" s="69">
        <v>9</v>
      </c>
      <c r="E277" s="68">
        <v>0</v>
      </c>
    </row>
    <row r="278" spans="2:5">
      <c r="B278" s="112"/>
      <c r="C278" s="54" t="s">
        <v>98</v>
      </c>
      <c r="D278" s="69">
        <v>67</v>
      </c>
      <c r="E278" s="68">
        <v>3.0000000000000001E-3</v>
      </c>
    </row>
    <row r="279" spans="2:5">
      <c r="B279" s="112"/>
      <c r="C279" s="54" t="s">
        <v>99</v>
      </c>
      <c r="D279" s="69">
        <v>85</v>
      </c>
      <c r="E279" s="68">
        <v>3.0000000000000001E-3</v>
      </c>
    </row>
    <row r="280" spans="2:5">
      <c r="B280" s="112"/>
      <c r="C280" s="54" t="s">
        <v>100</v>
      </c>
      <c r="D280" s="69">
        <v>19</v>
      </c>
      <c r="E280" s="68">
        <v>1E-3</v>
      </c>
    </row>
    <row r="281" spans="2:5">
      <c r="B281" s="112"/>
      <c r="C281" s="54" t="s">
        <v>101</v>
      </c>
      <c r="D281" s="69">
        <v>4</v>
      </c>
      <c r="E281" s="68">
        <v>0</v>
      </c>
    </row>
    <row r="282" spans="2:5">
      <c r="B282" s="112"/>
      <c r="C282" s="54" t="s">
        <v>102</v>
      </c>
      <c r="D282" s="69">
        <v>6</v>
      </c>
      <c r="E282" s="68">
        <v>0</v>
      </c>
    </row>
    <row r="283" spans="2:5">
      <c r="B283" s="112"/>
      <c r="C283" s="54" t="s">
        <v>104</v>
      </c>
      <c r="D283" s="69">
        <v>93</v>
      </c>
      <c r="E283" s="68">
        <v>4.0000000000000001E-3</v>
      </c>
    </row>
    <row r="284" spans="2:5">
      <c r="B284" s="112"/>
      <c r="C284" s="54" t="s">
        <v>105</v>
      </c>
      <c r="D284" s="69">
        <v>191</v>
      </c>
      <c r="E284" s="68">
        <v>8.0000000000000002E-3</v>
      </c>
    </row>
    <row r="285" spans="2:5">
      <c r="B285" s="112"/>
      <c r="C285" s="54" t="s">
        <v>106</v>
      </c>
      <c r="D285" s="69">
        <v>3</v>
      </c>
      <c r="E285" s="68">
        <v>0</v>
      </c>
    </row>
    <row r="286" spans="2:5">
      <c r="B286" s="112"/>
      <c r="C286" s="54" t="s">
        <v>107</v>
      </c>
      <c r="D286" s="69">
        <v>110</v>
      </c>
      <c r="E286" s="68">
        <v>5.0000000000000001E-3</v>
      </c>
    </row>
    <row r="287" spans="2:5" ht="15" customHeight="1">
      <c r="B287" s="112"/>
      <c r="C287" s="54" t="s">
        <v>108</v>
      </c>
      <c r="D287" s="69">
        <v>43</v>
      </c>
      <c r="E287" s="68">
        <v>2E-3</v>
      </c>
    </row>
    <row r="288" spans="2:5">
      <c r="B288" s="112"/>
      <c r="C288" s="54" t="s">
        <v>109</v>
      </c>
      <c r="D288" s="69">
        <v>8</v>
      </c>
      <c r="E288" s="68">
        <v>0</v>
      </c>
    </row>
    <row r="289" spans="2:5">
      <c r="B289" s="112"/>
      <c r="C289" s="54" t="s">
        <v>110</v>
      </c>
      <c r="D289" s="69">
        <v>10</v>
      </c>
      <c r="E289" s="68">
        <v>0</v>
      </c>
    </row>
    <row r="290" spans="2:5">
      <c r="B290" s="112"/>
      <c r="C290" s="54" t="s">
        <v>111</v>
      </c>
      <c r="D290" s="69">
        <v>32</v>
      </c>
      <c r="E290" s="68">
        <v>1E-3</v>
      </c>
    </row>
    <row r="291" spans="2:5">
      <c r="B291" s="112"/>
      <c r="C291" s="54" t="s">
        <v>112</v>
      </c>
      <c r="D291" s="69">
        <v>41</v>
      </c>
      <c r="E291" s="68">
        <v>2E-3</v>
      </c>
    </row>
    <row r="292" spans="2:5">
      <c r="B292" s="112"/>
      <c r="C292" s="54" t="s">
        <v>113</v>
      </c>
      <c r="D292" s="69">
        <v>8</v>
      </c>
      <c r="E292" s="68">
        <v>0</v>
      </c>
    </row>
    <row r="293" spans="2:5">
      <c r="B293" s="112"/>
      <c r="C293" s="54" t="s">
        <v>114</v>
      </c>
      <c r="D293" s="69">
        <v>2</v>
      </c>
      <c r="E293" s="68">
        <v>0</v>
      </c>
    </row>
    <row r="294" spans="2:5">
      <c r="B294" s="112"/>
      <c r="C294" s="54" t="s">
        <v>115</v>
      </c>
      <c r="D294" s="69">
        <v>44</v>
      </c>
      <c r="E294" s="68">
        <v>2E-3</v>
      </c>
    </row>
    <row r="295" spans="2:5">
      <c r="B295" s="112"/>
      <c r="C295" s="54" t="s">
        <v>116</v>
      </c>
      <c r="D295" s="69">
        <v>43</v>
      </c>
      <c r="E295" s="68">
        <v>2E-3</v>
      </c>
    </row>
    <row r="296" spans="2:5">
      <c r="B296" s="112"/>
      <c r="C296" s="54" t="s">
        <v>117</v>
      </c>
      <c r="D296" s="69">
        <v>32</v>
      </c>
      <c r="E296" s="68">
        <v>1E-3</v>
      </c>
    </row>
    <row r="297" spans="2:5">
      <c r="B297" s="112"/>
      <c r="C297" s="54" t="s">
        <v>118</v>
      </c>
      <c r="D297" s="69">
        <v>24</v>
      </c>
      <c r="E297" s="68">
        <v>1E-3</v>
      </c>
    </row>
    <row r="298" spans="2:5">
      <c r="B298" s="112"/>
      <c r="C298" s="54" t="s">
        <v>119</v>
      </c>
      <c r="D298" s="69">
        <v>1</v>
      </c>
      <c r="E298" s="68">
        <v>0</v>
      </c>
    </row>
    <row r="299" spans="2:5">
      <c r="B299" s="112"/>
      <c r="C299" s="54" t="s">
        <v>120</v>
      </c>
      <c r="D299" s="69">
        <v>11</v>
      </c>
      <c r="E299" s="68">
        <v>0</v>
      </c>
    </row>
    <row r="300" spans="2:5">
      <c r="B300" s="112"/>
      <c r="C300" s="54" t="s">
        <v>121</v>
      </c>
      <c r="D300" s="69">
        <v>7</v>
      </c>
      <c r="E300" s="68">
        <v>0</v>
      </c>
    </row>
    <row r="301" spans="2:5">
      <c r="B301" s="112"/>
      <c r="C301" s="54" t="s">
        <v>122</v>
      </c>
      <c r="D301" s="69">
        <v>6</v>
      </c>
      <c r="E301" s="68">
        <v>0</v>
      </c>
    </row>
    <row r="302" spans="2:5">
      <c r="B302" s="112"/>
      <c r="C302" s="54" t="s">
        <v>123</v>
      </c>
      <c r="D302" s="69">
        <v>6</v>
      </c>
      <c r="E302" s="68">
        <v>0</v>
      </c>
    </row>
    <row r="303" spans="2:5">
      <c r="B303" s="112"/>
      <c r="C303" s="54" t="s">
        <v>124</v>
      </c>
      <c r="D303" s="69">
        <v>9</v>
      </c>
      <c r="E303" s="68">
        <v>0</v>
      </c>
    </row>
    <row r="304" spans="2:5">
      <c r="B304" s="112"/>
      <c r="C304" s="54" t="s">
        <v>125</v>
      </c>
      <c r="D304" s="69">
        <v>152</v>
      </c>
      <c r="E304" s="68">
        <v>6.0000000000000001E-3</v>
      </c>
    </row>
    <row r="305" spans="2:5">
      <c r="B305" s="112"/>
      <c r="C305" s="54" t="s">
        <v>126</v>
      </c>
      <c r="D305" s="69">
        <v>2</v>
      </c>
      <c r="E305" s="68">
        <v>0</v>
      </c>
    </row>
    <row r="306" spans="2:5">
      <c r="B306" s="112"/>
      <c r="C306" s="54" t="s">
        <v>127</v>
      </c>
      <c r="D306" s="69">
        <v>34</v>
      </c>
      <c r="E306" s="68">
        <v>1E-3</v>
      </c>
    </row>
    <row r="307" spans="2:5">
      <c r="B307" s="112"/>
      <c r="C307" s="54" t="s">
        <v>128</v>
      </c>
      <c r="D307" s="69">
        <v>97</v>
      </c>
      <c r="E307" s="68">
        <v>4.0000000000000001E-3</v>
      </c>
    </row>
    <row r="308" spans="2:5">
      <c r="B308" s="112"/>
      <c r="C308" s="54" t="s">
        <v>129</v>
      </c>
      <c r="D308" s="69">
        <v>4</v>
      </c>
      <c r="E308" s="68">
        <v>0</v>
      </c>
    </row>
    <row r="309" spans="2:5">
      <c r="B309" s="112"/>
      <c r="C309" s="54" t="s">
        <v>130</v>
      </c>
      <c r="D309" s="69">
        <v>4</v>
      </c>
      <c r="E309" s="68">
        <v>0</v>
      </c>
    </row>
    <row r="310" spans="2:5">
      <c r="B310" s="112"/>
      <c r="C310" s="54" t="s">
        <v>131</v>
      </c>
      <c r="D310" s="69">
        <v>2</v>
      </c>
      <c r="E310" s="68">
        <v>0</v>
      </c>
    </row>
    <row r="311" spans="2:5">
      <c r="B311" s="112"/>
      <c r="C311" s="54" t="s">
        <v>132</v>
      </c>
      <c r="D311" s="69">
        <v>35</v>
      </c>
      <c r="E311" s="68">
        <v>1E-3</v>
      </c>
    </row>
    <row r="312" spans="2:5">
      <c r="B312" s="112"/>
      <c r="C312" s="54" t="s">
        <v>133</v>
      </c>
      <c r="D312" s="69">
        <v>2</v>
      </c>
      <c r="E312" s="68">
        <v>0</v>
      </c>
    </row>
    <row r="313" spans="2:5">
      <c r="B313" s="112"/>
      <c r="C313" s="54" t="s">
        <v>134</v>
      </c>
      <c r="D313" s="69">
        <v>92</v>
      </c>
      <c r="E313" s="68">
        <v>4.0000000000000001E-3</v>
      </c>
    </row>
    <row r="314" spans="2:5">
      <c r="B314" s="112"/>
      <c r="C314" s="54" t="s">
        <v>135</v>
      </c>
      <c r="D314" s="67">
        <v>4511</v>
      </c>
      <c r="E314" s="68">
        <v>0.185</v>
      </c>
    </row>
    <row r="315" spans="2:5">
      <c r="B315" s="112"/>
      <c r="C315" s="54" t="s">
        <v>136</v>
      </c>
      <c r="D315" s="69">
        <v>7</v>
      </c>
      <c r="E315" s="68">
        <v>0</v>
      </c>
    </row>
    <row r="316" spans="2:5">
      <c r="B316" s="112"/>
      <c r="C316" s="54" t="s">
        <v>137</v>
      </c>
      <c r="D316" s="69">
        <v>1</v>
      </c>
      <c r="E316" s="68">
        <v>0</v>
      </c>
    </row>
    <row r="317" spans="2:5">
      <c r="B317" s="112"/>
      <c r="C317" s="54" t="s">
        <v>138</v>
      </c>
      <c r="D317" s="69">
        <v>18</v>
      </c>
      <c r="E317" s="68">
        <v>1E-3</v>
      </c>
    </row>
    <row r="318" spans="2:5">
      <c r="B318" s="112"/>
      <c r="C318" s="54" t="s">
        <v>66</v>
      </c>
      <c r="D318" s="69">
        <v>2</v>
      </c>
      <c r="E318" s="68">
        <v>0</v>
      </c>
    </row>
    <row r="319" spans="2:5">
      <c r="B319" s="112"/>
      <c r="C319" s="54" t="s">
        <v>139</v>
      </c>
      <c r="D319" s="69">
        <v>1</v>
      </c>
      <c r="E319" s="68">
        <v>0</v>
      </c>
    </row>
    <row r="320" spans="2:5">
      <c r="B320" s="112"/>
      <c r="C320" s="54" t="s">
        <v>140</v>
      </c>
      <c r="D320" s="69">
        <v>19</v>
      </c>
      <c r="E320" s="68">
        <v>1E-3</v>
      </c>
    </row>
    <row r="321" spans="2:5" ht="15" customHeight="1">
      <c r="B321" s="113"/>
      <c r="C321" s="74" t="s">
        <v>304</v>
      </c>
      <c r="D321" s="80">
        <v>5940</v>
      </c>
      <c r="E321" s="76">
        <v>0.24399999999999999</v>
      </c>
    </row>
    <row r="322" spans="2:5">
      <c r="B322" s="111" t="s">
        <v>156</v>
      </c>
      <c r="C322" s="54" t="s">
        <v>96</v>
      </c>
      <c r="D322" s="69">
        <v>8</v>
      </c>
      <c r="E322" s="68">
        <v>0</v>
      </c>
    </row>
    <row r="323" spans="2:5">
      <c r="B323" s="112"/>
      <c r="C323" s="54" t="s">
        <v>98</v>
      </c>
      <c r="D323" s="69">
        <v>3</v>
      </c>
      <c r="E323" s="68">
        <v>0</v>
      </c>
    </row>
    <row r="324" spans="2:5">
      <c r="B324" s="112"/>
      <c r="C324" s="54" t="s">
        <v>99</v>
      </c>
      <c r="D324" s="69">
        <v>5</v>
      </c>
      <c r="E324" s="68">
        <v>0</v>
      </c>
    </row>
    <row r="325" spans="2:5">
      <c r="B325" s="112"/>
      <c r="C325" s="54" t="s">
        <v>100</v>
      </c>
      <c r="D325" s="69">
        <v>1</v>
      </c>
      <c r="E325" s="68">
        <v>0</v>
      </c>
    </row>
    <row r="326" spans="2:5">
      <c r="B326" s="112"/>
      <c r="C326" s="54" t="s">
        <v>102</v>
      </c>
      <c r="D326" s="69">
        <v>2</v>
      </c>
      <c r="E326" s="68">
        <v>0</v>
      </c>
    </row>
    <row r="327" spans="2:5">
      <c r="B327" s="112"/>
      <c r="C327" s="54" t="s">
        <v>104</v>
      </c>
      <c r="D327" s="69">
        <v>5</v>
      </c>
      <c r="E327" s="68">
        <v>0</v>
      </c>
    </row>
    <row r="328" spans="2:5">
      <c r="B328" s="112"/>
      <c r="C328" s="54" t="s">
        <v>105</v>
      </c>
      <c r="D328" s="69">
        <v>12</v>
      </c>
      <c r="E328" s="68">
        <v>0</v>
      </c>
    </row>
    <row r="329" spans="2:5" ht="15" customHeight="1">
      <c r="B329" s="112"/>
      <c r="C329" s="54" t="s">
        <v>107</v>
      </c>
      <c r="D329" s="69">
        <v>3</v>
      </c>
      <c r="E329" s="68">
        <v>0</v>
      </c>
    </row>
    <row r="330" spans="2:5">
      <c r="B330" s="112"/>
      <c r="C330" s="54" t="s">
        <v>108</v>
      </c>
      <c r="D330" s="69">
        <v>2</v>
      </c>
      <c r="E330" s="68">
        <v>0</v>
      </c>
    </row>
    <row r="331" spans="2:5">
      <c r="B331" s="112"/>
      <c r="C331" s="54" t="s">
        <v>111</v>
      </c>
      <c r="D331" s="69">
        <v>1</v>
      </c>
      <c r="E331" s="68">
        <v>0</v>
      </c>
    </row>
    <row r="332" spans="2:5">
      <c r="B332" s="112"/>
      <c r="C332" s="54" t="s">
        <v>112</v>
      </c>
      <c r="D332" s="69">
        <v>6</v>
      </c>
      <c r="E332" s="68">
        <v>0</v>
      </c>
    </row>
    <row r="333" spans="2:5">
      <c r="B333" s="112"/>
      <c r="C333" s="54" t="s">
        <v>115</v>
      </c>
      <c r="D333" s="69">
        <v>5</v>
      </c>
      <c r="E333" s="68">
        <v>0</v>
      </c>
    </row>
    <row r="334" spans="2:5">
      <c r="B334" s="112"/>
      <c r="C334" s="54" t="s">
        <v>116</v>
      </c>
      <c r="D334" s="69">
        <v>4</v>
      </c>
      <c r="E334" s="68">
        <v>0</v>
      </c>
    </row>
    <row r="335" spans="2:5">
      <c r="B335" s="112"/>
      <c r="C335" s="54" t="s">
        <v>118</v>
      </c>
      <c r="D335" s="69">
        <v>2</v>
      </c>
      <c r="E335" s="68">
        <v>0</v>
      </c>
    </row>
    <row r="336" spans="2:5">
      <c r="B336" s="112"/>
      <c r="C336" s="54" t="s">
        <v>120</v>
      </c>
      <c r="D336" s="69">
        <v>2</v>
      </c>
      <c r="E336" s="68">
        <v>0</v>
      </c>
    </row>
    <row r="337" spans="2:5">
      <c r="B337" s="112"/>
      <c r="C337" s="54" t="s">
        <v>123</v>
      </c>
      <c r="D337" s="69">
        <v>1</v>
      </c>
      <c r="E337" s="68">
        <v>0</v>
      </c>
    </row>
    <row r="338" spans="2:5">
      <c r="B338" s="112"/>
      <c r="C338" s="54" t="s">
        <v>124</v>
      </c>
      <c r="D338" s="69">
        <v>2</v>
      </c>
      <c r="E338" s="68">
        <v>0</v>
      </c>
    </row>
    <row r="339" spans="2:5">
      <c r="B339" s="112"/>
      <c r="C339" s="54" t="s">
        <v>125</v>
      </c>
      <c r="D339" s="69">
        <v>2</v>
      </c>
      <c r="E339" s="68">
        <v>0</v>
      </c>
    </row>
    <row r="340" spans="2:5">
      <c r="B340" s="112"/>
      <c r="C340" s="54" t="s">
        <v>127</v>
      </c>
      <c r="D340" s="69">
        <v>4</v>
      </c>
      <c r="E340" s="68">
        <v>0</v>
      </c>
    </row>
    <row r="341" spans="2:5">
      <c r="B341" s="112"/>
      <c r="C341" s="54" t="s">
        <v>128</v>
      </c>
      <c r="D341" s="69">
        <v>5</v>
      </c>
      <c r="E341" s="68">
        <v>0</v>
      </c>
    </row>
    <row r="342" spans="2:5">
      <c r="B342" s="112"/>
      <c r="C342" s="54" t="s">
        <v>129</v>
      </c>
      <c r="D342" s="69">
        <v>1</v>
      </c>
      <c r="E342" s="68">
        <v>0</v>
      </c>
    </row>
    <row r="343" spans="2:5">
      <c r="B343" s="112"/>
      <c r="C343" s="54" t="s">
        <v>132</v>
      </c>
      <c r="D343" s="69">
        <v>3</v>
      </c>
      <c r="E343" s="68">
        <v>0</v>
      </c>
    </row>
    <row r="344" spans="2:5">
      <c r="B344" s="112"/>
      <c r="C344" s="54" t="s">
        <v>134</v>
      </c>
      <c r="D344" s="69">
        <v>2</v>
      </c>
      <c r="E344" s="68">
        <v>0</v>
      </c>
    </row>
    <row r="345" spans="2:5">
      <c r="B345" s="112"/>
      <c r="C345" s="54" t="s">
        <v>135</v>
      </c>
      <c r="D345" s="69">
        <v>432</v>
      </c>
      <c r="E345" s="68">
        <v>1.7999999999999999E-2</v>
      </c>
    </row>
    <row r="346" spans="2:5">
      <c r="B346" s="112"/>
      <c r="C346" s="54" t="s">
        <v>136</v>
      </c>
      <c r="D346" s="69">
        <v>2</v>
      </c>
      <c r="E346" s="68">
        <v>0</v>
      </c>
    </row>
    <row r="347" spans="2:5">
      <c r="B347" s="112"/>
      <c r="C347" s="54" t="s">
        <v>138</v>
      </c>
      <c r="D347" s="69">
        <v>1</v>
      </c>
      <c r="E347" s="68">
        <v>0</v>
      </c>
    </row>
    <row r="348" spans="2:5">
      <c r="B348" s="112"/>
      <c r="C348" s="54" t="s">
        <v>140</v>
      </c>
      <c r="D348" s="69">
        <v>3</v>
      </c>
      <c r="E348" s="68">
        <v>0</v>
      </c>
    </row>
    <row r="349" spans="2:5" ht="15" customHeight="1">
      <c r="B349" s="113"/>
      <c r="C349" s="74" t="s">
        <v>304</v>
      </c>
      <c r="D349" s="80">
        <v>519</v>
      </c>
      <c r="E349" s="76">
        <v>2.1000000000000001E-2</v>
      </c>
    </row>
    <row r="350" spans="2:5" ht="15" customHeight="1">
      <c r="B350" s="111" t="s">
        <v>157</v>
      </c>
      <c r="C350" s="54" t="s">
        <v>96</v>
      </c>
      <c r="D350" s="69">
        <v>9</v>
      </c>
      <c r="E350" s="68">
        <v>0</v>
      </c>
    </row>
    <row r="351" spans="2:5">
      <c r="B351" s="112"/>
      <c r="C351" s="54" t="s">
        <v>97</v>
      </c>
      <c r="D351" s="69">
        <v>3</v>
      </c>
      <c r="E351" s="68">
        <v>0</v>
      </c>
    </row>
    <row r="352" spans="2:5">
      <c r="B352" s="112"/>
      <c r="C352" s="54" t="s">
        <v>98</v>
      </c>
      <c r="D352" s="69">
        <v>13</v>
      </c>
      <c r="E352" s="68">
        <v>1E-3</v>
      </c>
    </row>
    <row r="353" spans="2:5">
      <c r="B353" s="112"/>
      <c r="C353" s="54" t="s">
        <v>99</v>
      </c>
      <c r="D353" s="69">
        <v>24</v>
      </c>
      <c r="E353" s="68">
        <v>1E-3</v>
      </c>
    </row>
    <row r="354" spans="2:5">
      <c r="B354" s="112"/>
      <c r="C354" s="54" t="s">
        <v>100</v>
      </c>
      <c r="D354" s="69">
        <v>5</v>
      </c>
      <c r="E354" s="68">
        <v>0</v>
      </c>
    </row>
    <row r="355" spans="2:5" ht="15" customHeight="1">
      <c r="B355" s="112"/>
      <c r="C355" s="54" t="s">
        <v>102</v>
      </c>
      <c r="D355" s="69">
        <v>1</v>
      </c>
      <c r="E355" s="68">
        <v>0</v>
      </c>
    </row>
    <row r="356" spans="2:5">
      <c r="B356" s="112"/>
      <c r="C356" s="54" t="s">
        <v>103</v>
      </c>
      <c r="D356" s="69">
        <v>1</v>
      </c>
      <c r="E356" s="68">
        <v>0</v>
      </c>
    </row>
    <row r="357" spans="2:5">
      <c r="B357" s="112"/>
      <c r="C357" s="54" t="s">
        <v>104</v>
      </c>
      <c r="D357" s="69">
        <v>33</v>
      </c>
      <c r="E357" s="68">
        <v>1E-3</v>
      </c>
    </row>
    <row r="358" spans="2:5">
      <c r="B358" s="112"/>
      <c r="C358" s="54" t="s">
        <v>105</v>
      </c>
      <c r="D358" s="69">
        <v>46</v>
      </c>
      <c r="E358" s="68">
        <v>2E-3</v>
      </c>
    </row>
    <row r="359" spans="2:5">
      <c r="B359" s="112"/>
      <c r="C359" s="54" t="s">
        <v>106</v>
      </c>
      <c r="D359" s="69">
        <v>2</v>
      </c>
      <c r="E359" s="68">
        <v>0</v>
      </c>
    </row>
    <row r="360" spans="2:5">
      <c r="B360" s="112"/>
      <c r="C360" s="54" t="s">
        <v>107</v>
      </c>
      <c r="D360" s="69">
        <v>22</v>
      </c>
      <c r="E360" s="68">
        <v>1E-3</v>
      </c>
    </row>
    <row r="361" spans="2:5">
      <c r="B361" s="112"/>
      <c r="C361" s="54" t="s">
        <v>108</v>
      </c>
      <c r="D361" s="69">
        <v>14</v>
      </c>
      <c r="E361" s="68">
        <v>1E-3</v>
      </c>
    </row>
    <row r="362" spans="2:5">
      <c r="B362" s="112"/>
      <c r="C362" s="54" t="s">
        <v>109</v>
      </c>
      <c r="D362" s="69">
        <v>3</v>
      </c>
      <c r="E362" s="68">
        <v>0</v>
      </c>
    </row>
    <row r="363" spans="2:5">
      <c r="B363" s="112"/>
      <c r="C363" s="54" t="s">
        <v>110</v>
      </c>
      <c r="D363" s="69">
        <v>2</v>
      </c>
      <c r="E363" s="68">
        <v>0</v>
      </c>
    </row>
    <row r="364" spans="2:5">
      <c r="B364" s="112"/>
      <c r="C364" s="54" t="s">
        <v>111</v>
      </c>
      <c r="D364" s="69">
        <v>8</v>
      </c>
      <c r="E364" s="68">
        <v>0</v>
      </c>
    </row>
    <row r="365" spans="2:5">
      <c r="B365" s="112"/>
      <c r="C365" s="54" t="s">
        <v>112</v>
      </c>
      <c r="D365" s="69">
        <v>10</v>
      </c>
      <c r="E365" s="68">
        <v>0</v>
      </c>
    </row>
    <row r="366" spans="2:5">
      <c r="B366" s="112"/>
      <c r="C366" s="54" t="s">
        <v>115</v>
      </c>
      <c r="D366" s="69">
        <v>21</v>
      </c>
      <c r="E366" s="68">
        <v>1E-3</v>
      </c>
    </row>
    <row r="367" spans="2:5">
      <c r="B367" s="112"/>
      <c r="C367" s="54" t="s">
        <v>116</v>
      </c>
      <c r="D367" s="69">
        <v>14</v>
      </c>
      <c r="E367" s="68">
        <v>1E-3</v>
      </c>
    </row>
    <row r="368" spans="2:5">
      <c r="B368" s="112"/>
      <c r="C368" s="54" t="s">
        <v>117</v>
      </c>
      <c r="D368" s="69">
        <v>10</v>
      </c>
      <c r="E368" s="68">
        <v>0</v>
      </c>
    </row>
    <row r="369" spans="2:5">
      <c r="B369" s="112"/>
      <c r="C369" s="54" t="s">
        <v>118</v>
      </c>
      <c r="D369" s="69">
        <v>12</v>
      </c>
      <c r="E369" s="68">
        <v>0</v>
      </c>
    </row>
    <row r="370" spans="2:5">
      <c r="B370" s="112"/>
      <c r="C370" s="54" t="s">
        <v>120</v>
      </c>
      <c r="D370" s="69">
        <v>8</v>
      </c>
      <c r="E370" s="68">
        <v>0</v>
      </c>
    </row>
    <row r="371" spans="2:5">
      <c r="B371" s="112"/>
      <c r="C371" s="54" t="s">
        <v>121</v>
      </c>
      <c r="D371" s="69">
        <v>4</v>
      </c>
      <c r="E371" s="68">
        <v>0</v>
      </c>
    </row>
    <row r="372" spans="2:5">
      <c r="B372" s="112"/>
      <c r="C372" s="54" t="s">
        <v>123</v>
      </c>
      <c r="D372" s="69">
        <v>1</v>
      </c>
      <c r="E372" s="68">
        <v>0</v>
      </c>
    </row>
    <row r="373" spans="2:5">
      <c r="B373" s="112"/>
      <c r="C373" s="54" t="s">
        <v>124</v>
      </c>
      <c r="D373" s="69">
        <v>1</v>
      </c>
      <c r="E373" s="68">
        <v>0</v>
      </c>
    </row>
    <row r="374" spans="2:5">
      <c r="B374" s="112"/>
      <c r="C374" s="54" t="s">
        <v>125</v>
      </c>
      <c r="D374" s="69">
        <v>25</v>
      </c>
      <c r="E374" s="68">
        <v>1E-3</v>
      </c>
    </row>
    <row r="375" spans="2:5">
      <c r="B375" s="112"/>
      <c r="C375" s="54" t="s">
        <v>127</v>
      </c>
      <c r="D375" s="69">
        <v>7</v>
      </c>
      <c r="E375" s="68">
        <v>0</v>
      </c>
    </row>
    <row r="376" spans="2:5">
      <c r="B376" s="112"/>
      <c r="C376" s="54" t="s">
        <v>128</v>
      </c>
      <c r="D376" s="69">
        <v>25</v>
      </c>
      <c r="E376" s="68">
        <v>1E-3</v>
      </c>
    </row>
    <row r="377" spans="2:5">
      <c r="B377" s="112"/>
      <c r="C377" s="54" t="s">
        <v>129</v>
      </c>
      <c r="D377" s="69">
        <v>1</v>
      </c>
      <c r="E377" s="68">
        <v>0</v>
      </c>
    </row>
    <row r="378" spans="2:5">
      <c r="B378" s="112"/>
      <c r="C378" s="54" t="s">
        <v>130</v>
      </c>
      <c r="D378" s="69">
        <v>1</v>
      </c>
      <c r="E378" s="68">
        <v>0</v>
      </c>
    </row>
    <row r="379" spans="2:5">
      <c r="B379" s="112"/>
      <c r="C379" s="54" t="s">
        <v>132</v>
      </c>
      <c r="D379" s="69">
        <v>14</v>
      </c>
      <c r="E379" s="68">
        <v>1E-3</v>
      </c>
    </row>
    <row r="380" spans="2:5">
      <c r="B380" s="112"/>
      <c r="C380" s="54" t="s">
        <v>134</v>
      </c>
      <c r="D380" s="69">
        <v>19</v>
      </c>
      <c r="E380" s="68">
        <v>1E-3</v>
      </c>
    </row>
    <row r="381" spans="2:5">
      <c r="B381" s="112"/>
      <c r="C381" s="54" t="s">
        <v>135</v>
      </c>
      <c r="D381" s="67">
        <v>1430</v>
      </c>
      <c r="E381" s="68">
        <v>5.8999999999999997E-2</v>
      </c>
    </row>
    <row r="382" spans="2:5">
      <c r="B382" s="112"/>
      <c r="C382" s="54" t="s">
        <v>136</v>
      </c>
      <c r="D382" s="69">
        <v>2</v>
      </c>
      <c r="E382" s="68">
        <v>0</v>
      </c>
    </row>
    <row r="383" spans="2:5">
      <c r="B383" s="112"/>
      <c r="C383" s="54" t="s">
        <v>138</v>
      </c>
      <c r="D383" s="69">
        <v>3</v>
      </c>
      <c r="E383" s="68">
        <v>0</v>
      </c>
    </row>
    <row r="384" spans="2:5">
      <c r="B384" s="112"/>
      <c r="C384" s="54" t="s">
        <v>66</v>
      </c>
      <c r="D384" s="69">
        <v>2</v>
      </c>
      <c r="E384" s="68">
        <v>0</v>
      </c>
    </row>
    <row r="385" spans="2:5">
      <c r="B385" s="112"/>
      <c r="C385" s="54" t="s">
        <v>140</v>
      </c>
      <c r="D385" s="69">
        <v>5</v>
      </c>
      <c r="E385" s="68">
        <v>0</v>
      </c>
    </row>
    <row r="386" spans="2:5" ht="15" customHeight="1">
      <c r="B386" s="113"/>
      <c r="C386" s="74" t="s">
        <v>304</v>
      </c>
      <c r="D386" s="80">
        <v>1801</v>
      </c>
      <c r="E386" s="76">
        <v>7.3999999999999996E-2</v>
      </c>
    </row>
    <row r="387" spans="2:5" ht="15" customHeight="1">
      <c r="B387" s="111" t="s">
        <v>158</v>
      </c>
      <c r="C387" s="54" t="s">
        <v>96</v>
      </c>
      <c r="D387" s="69">
        <v>50</v>
      </c>
      <c r="E387" s="68">
        <v>2E-3</v>
      </c>
    </row>
    <row r="388" spans="2:5">
      <c r="B388" s="112"/>
      <c r="C388" s="54" t="s">
        <v>97</v>
      </c>
      <c r="D388" s="69">
        <v>11</v>
      </c>
      <c r="E388" s="68">
        <v>0</v>
      </c>
    </row>
    <row r="389" spans="2:5">
      <c r="B389" s="112"/>
      <c r="C389" s="54" t="s">
        <v>98</v>
      </c>
      <c r="D389" s="69">
        <v>61</v>
      </c>
      <c r="E389" s="68">
        <v>3.0000000000000001E-3</v>
      </c>
    </row>
    <row r="390" spans="2:5" ht="15" customHeight="1">
      <c r="B390" s="112"/>
      <c r="C390" s="54" t="s">
        <v>99</v>
      </c>
      <c r="D390" s="69">
        <v>96</v>
      </c>
      <c r="E390" s="68">
        <v>4.0000000000000001E-3</v>
      </c>
    </row>
    <row r="391" spans="2:5">
      <c r="B391" s="112"/>
      <c r="C391" s="54" t="s">
        <v>100</v>
      </c>
      <c r="D391" s="69">
        <v>15</v>
      </c>
      <c r="E391" s="68">
        <v>1E-3</v>
      </c>
    </row>
    <row r="392" spans="2:5">
      <c r="B392" s="112"/>
      <c r="C392" s="54" t="s">
        <v>101</v>
      </c>
      <c r="D392" s="69">
        <v>8</v>
      </c>
      <c r="E392" s="68">
        <v>0</v>
      </c>
    </row>
    <row r="393" spans="2:5">
      <c r="B393" s="112"/>
      <c r="C393" s="54" t="s">
        <v>102</v>
      </c>
      <c r="D393" s="69">
        <v>5</v>
      </c>
      <c r="E393" s="68">
        <v>0</v>
      </c>
    </row>
    <row r="394" spans="2:5">
      <c r="B394" s="112"/>
      <c r="C394" s="54" t="s">
        <v>104</v>
      </c>
      <c r="D394" s="69">
        <v>102</v>
      </c>
      <c r="E394" s="68">
        <v>4.0000000000000001E-3</v>
      </c>
    </row>
    <row r="395" spans="2:5">
      <c r="B395" s="112"/>
      <c r="C395" s="54" t="s">
        <v>105</v>
      </c>
      <c r="D395" s="69">
        <v>118</v>
      </c>
      <c r="E395" s="68">
        <v>5.0000000000000001E-3</v>
      </c>
    </row>
    <row r="396" spans="2:5">
      <c r="B396" s="112"/>
      <c r="C396" s="54" t="s">
        <v>276</v>
      </c>
      <c r="D396" s="69">
        <v>1</v>
      </c>
      <c r="E396" s="68">
        <v>0</v>
      </c>
    </row>
    <row r="397" spans="2:5">
      <c r="B397" s="112"/>
      <c r="C397" s="54" t="s">
        <v>106</v>
      </c>
      <c r="D397" s="69">
        <v>7</v>
      </c>
      <c r="E397" s="68">
        <v>0</v>
      </c>
    </row>
    <row r="398" spans="2:5">
      <c r="B398" s="112"/>
      <c r="C398" s="54" t="s">
        <v>107</v>
      </c>
      <c r="D398" s="69">
        <v>117</v>
      </c>
      <c r="E398" s="68">
        <v>5.0000000000000001E-3</v>
      </c>
    </row>
    <row r="399" spans="2:5">
      <c r="B399" s="112"/>
      <c r="C399" s="54" t="s">
        <v>108</v>
      </c>
      <c r="D399" s="69">
        <v>44</v>
      </c>
      <c r="E399" s="68">
        <v>2E-3</v>
      </c>
    </row>
    <row r="400" spans="2:5">
      <c r="B400" s="112"/>
      <c r="C400" s="54" t="s">
        <v>109</v>
      </c>
      <c r="D400" s="69">
        <v>14</v>
      </c>
      <c r="E400" s="68">
        <v>1E-3</v>
      </c>
    </row>
    <row r="401" spans="2:5">
      <c r="B401" s="112"/>
      <c r="C401" s="54" t="s">
        <v>110</v>
      </c>
      <c r="D401" s="69">
        <v>18</v>
      </c>
      <c r="E401" s="68">
        <v>1E-3</v>
      </c>
    </row>
    <row r="402" spans="2:5">
      <c r="B402" s="112"/>
      <c r="C402" s="54" t="s">
        <v>111</v>
      </c>
      <c r="D402" s="69">
        <v>22</v>
      </c>
      <c r="E402" s="68">
        <v>1E-3</v>
      </c>
    </row>
    <row r="403" spans="2:5">
      <c r="B403" s="112"/>
      <c r="C403" s="54" t="s">
        <v>112</v>
      </c>
      <c r="D403" s="69">
        <v>67</v>
      </c>
      <c r="E403" s="68">
        <v>3.0000000000000001E-3</v>
      </c>
    </row>
    <row r="404" spans="2:5">
      <c r="B404" s="112"/>
      <c r="C404" s="54" t="s">
        <v>113</v>
      </c>
      <c r="D404" s="69">
        <v>5</v>
      </c>
      <c r="E404" s="68">
        <v>0</v>
      </c>
    </row>
    <row r="405" spans="2:5">
      <c r="B405" s="112"/>
      <c r="C405" s="54" t="s">
        <v>114</v>
      </c>
      <c r="D405" s="69">
        <v>4</v>
      </c>
      <c r="E405" s="68">
        <v>0</v>
      </c>
    </row>
    <row r="406" spans="2:5">
      <c r="B406" s="112"/>
      <c r="C406" s="54" t="s">
        <v>115</v>
      </c>
      <c r="D406" s="69">
        <v>62</v>
      </c>
      <c r="E406" s="68">
        <v>3.0000000000000001E-3</v>
      </c>
    </row>
    <row r="407" spans="2:5">
      <c r="B407" s="112"/>
      <c r="C407" s="54" t="s">
        <v>116</v>
      </c>
      <c r="D407" s="69">
        <v>43</v>
      </c>
      <c r="E407" s="68">
        <v>2E-3</v>
      </c>
    </row>
    <row r="408" spans="2:5">
      <c r="B408" s="112"/>
      <c r="C408" s="54" t="s">
        <v>117</v>
      </c>
      <c r="D408" s="69">
        <v>26</v>
      </c>
      <c r="E408" s="68">
        <v>1E-3</v>
      </c>
    </row>
    <row r="409" spans="2:5">
      <c r="B409" s="112"/>
      <c r="C409" s="54" t="s">
        <v>118</v>
      </c>
      <c r="D409" s="69">
        <v>19</v>
      </c>
      <c r="E409" s="68">
        <v>1E-3</v>
      </c>
    </row>
    <row r="410" spans="2:5">
      <c r="B410" s="112"/>
      <c r="C410" s="54" t="s">
        <v>119</v>
      </c>
      <c r="D410" s="69">
        <v>1</v>
      </c>
      <c r="E410" s="68">
        <v>0</v>
      </c>
    </row>
    <row r="411" spans="2:5">
      <c r="B411" s="112"/>
      <c r="C411" s="54" t="s">
        <v>120</v>
      </c>
      <c r="D411" s="69">
        <v>18</v>
      </c>
      <c r="E411" s="68">
        <v>1E-3</v>
      </c>
    </row>
    <row r="412" spans="2:5">
      <c r="B412" s="112"/>
      <c r="C412" s="54" t="s">
        <v>121</v>
      </c>
      <c r="D412" s="69">
        <v>13</v>
      </c>
      <c r="E412" s="68">
        <v>1E-3</v>
      </c>
    </row>
    <row r="413" spans="2:5">
      <c r="B413" s="112"/>
      <c r="C413" s="54" t="s">
        <v>122</v>
      </c>
      <c r="D413" s="69">
        <v>9</v>
      </c>
      <c r="E413" s="68">
        <v>0</v>
      </c>
    </row>
    <row r="414" spans="2:5">
      <c r="B414" s="112"/>
      <c r="C414" s="54" t="s">
        <v>123</v>
      </c>
      <c r="D414" s="69">
        <v>3</v>
      </c>
      <c r="E414" s="68">
        <v>0</v>
      </c>
    </row>
    <row r="415" spans="2:5">
      <c r="B415" s="112"/>
      <c r="C415" s="54" t="s">
        <v>124</v>
      </c>
      <c r="D415" s="69">
        <v>12</v>
      </c>
      <c r="E415" s="68">
        <v>0</v>
      </c>
    </row>
    <row r="416" spans="2:5">
      <c r="B416" s="112"/>
      <c r="C416" s="54" t="s">
        <v>125</v>
      </c>
      <c r="D416" s="69">
        <v>83</v>
      </c>
      <c r="E416" s="68">
        <v>3.0000000000000001E-3</v>
      </c>
    </row>
    <row r="417" spans="2:5">
      <c r="B417" s="112"/>
      <c r="C417" s="54" t="s">
        <v>127</v>
      </c>
      <c r="D417" s="69">
        <v>31</v>
      </c>
      <c r="E417" s="68">
        <v>1E-3</v>
      </c>
    </row>
    <row r="418" spans="2:5">
      <c r="B418" s="112"/>
      <c r="C418" s="54" t="s">
        <v>128</v>
      </c>
      <c r="D418" s="69">
        <v>83</v>
      </c>
      <c r="E418" s="68">
        <v>3.0000000000000001E-3</v>
      </c>
    </row>
    <row r="419" spans="2:5">
      <c r="B419" s="112"/>
      <c r="C419" s="54" t="s">
        <v>129</v>
      </c>
      <c r="D419" s="69">
        <v>2</v>
      </c>
      <c r="E419" s="68">
        <v>0</v>
      </c>
    </row>
    <row r="420" spans="2:5">
      <c r="B420" s="112"/>
      <c r="C420" s="54" t="s">
        <v>130</v>
      </c>
      <c r="D420" s="69">
        <v>6</v>
      </c>
      <c r="E420" s="68">
        <v>0</v>
      </c>
    </row>
    <row r="421" spans="2:5">
      <c r="B421" s="112"/>
      <c r="C421" s="54" t="s">
        <v>132</v>
      </c>
      <c r="D421" s="69">
        <v>35</v>
      </c>
      <c r="E421" s="68">
        <v>1E-3</v>
      </c>
    </row>
    <row r="422" spans="2:5">
      <c r="B422" s="112"/>
      <c r="C422" s="54" t="s">
        <v>134</v>
      </c>
      <c r="D422" s="69">
        <v>73</v>
      </c>
      <c r="E422" s="68">
        <v>3.0000000000000001E-3</v>
      </c>
    </row>
    <row r="423" spans="2:5">
      <c r="B423" s="112"/>
      <c r="C423" s="54" t="s">
        <v>135</v>
      </c>
      <c r="D423" s="67">
        <v>5498</v>
      </c>
      <c r="E423" s="68">
        <v>0.22500000000000001</v>
      </c>
    </row>
    <row r="424" spans="2:5">
      <c r="B424" s="112"/>
      <c r="C424" s="54" t="s">
        <v>136</v>
      </c>
      <c r="D424" s="69">
        <v>7</v>
      </c>
      <c r="E424" s="68">
        <v>0</v>
      </c>
    </row>
    <row r="425" spans="2:5">
      <c r="B425" s="112"/>
      <c r="C425" s="54" t="s">
        <v>138</v>
      </c>
      <c r="D425" s="69">
        <v>17</v>
      </c>
      <c r="E425" s="68">
        <v>1E-3</v>
      </c>
    </row>
    <row r="426" spans="2:5">
      <c r="B426" s="112"/>
      <c r="C426" s="54" t="s">
        <v>66</v>
      </c>
      <c r="D426" s="69">
        <v>6</v>
      </c>
      <c r="E426" s="68">
        <v>0</v>
      </c>
    </row>
    <row r="427" spans="2:5">
      <c r="B427" s="112"/>
      <c r="C427" s="54" t="s">
        <v>140</v>
      </c>
      <c r="D427" s="69">
        <v>24</v>
      </c>
      <c r="E427" s="68">
        <v>1E-3</v>
      </c>
    </row>
    <row r="428" spans="2:5">
      <c r="B428" s="112"/>
      <c r="C428" s="54" t="s">
        <v>141</v>
      </c>
      <c r="D428" s="69">
        <v>1</v>
      </c>
      <c r="E428" s="68">
        <v>0</v>
      </c>
    </row>
    <row r="429" spans="2:5" ht="15" customHeight="1">
      <c r="B429" s="113"/>
      <c r="C429" s="74" t="s">
        <v>304</v>
      </c>
      <c r="D429" s="80">
        <v>6837</v>
      </c>
      <c r="E429" s="76">
        <v>0.28000000000000003</v>
      </c>
    </row>
    <row r="430" spans="2:5">
      <c r="B430" s="111" t="s">
        <v>288</v>
      </c>
      <c r="C430" s="54" t="s">
        <v>96</v>
      </c>
      <c r="D430" s="69">
        <v>1</v>
      </c>
      <c r="E430" s="68">
        <v>0</v>
      </c>
    </row>
    <row r="431" spans="2:5">
      <c r="B431" s="112"/>
      <c r="C431" s="54" t="s">
        <v>97</v>
      </c>
      <c r="D431" s="69">
        <v>1</v>
      </c>
      <c r="E431" s="68">
        <v>0</v>
      </c>
    </row>
    <row r="432" spans="2:5">
      <c r="B432" s="112"/>
      <c r="C432" s="54" t="s">
        <v>100</v>
      </c>
      <c r="D432" s="69">
        <v>1</v>
      </c>
      <c r="E432" s="68">
        <v>0</v>
      </c>
    </row>
    <row r="433" spans="2:5">
      <c r="B433" s="112"/>
      <c r="C433" s="54" t="s">
        <v>101</v>
      </c>
      <c r="D433" s="69">
        <v>1</v>
      </c>
      <c r="E433" s="68">
        <v>0</v>
      </c>
    </row>
    <row r="434" spans="2:5">
      <c r="B434" s="112"/>
      <c r="C434" s="54" t="s">
        <v>103</v>
      </c>
      <c r="D434" s="69">
        <v>1</v>
      </c>
      <c r="E434" s="68">
        <v>0</v>
      </c>
    </row>
    <row r="435" spans="2:5" ht="15" customHeight="1">
      <c r="B435" s="112"/>
      <c r="C435" s="54" t="s">
        <v>104</v>
      </c>
      <c r="D435" s="69">
        <v>1</v>
      </c>
      <c r="E435" s="68">
        <v>0</v>
      </c>
    </row>
    <row r="436" spans="2:5">
      <c r="B436" s="112"/>
      <c r="C436" s="54" t="s">
        <v>105</v>
      </c>
      <c r="D436" s="69">
        <v>1</v>
      </c>
      <c r="E436" s="68">
        <v>0</v>
      </c>
    </row>
    <row r="437" spans="2:5">
      <c r="B437" s="112"/>
      <c r="C437" s="54" t="s">
        <v>107</v>
      </c>
      <c r="D437" s="69">
        <v>4</v>
      </c>
      <c r="E437" s="68">
        <v>0</v>
      </c>
    </row>
    <row r="438" spans="2:5">
      <c r="B438" s="112"/>
      <c r="C438" s="54" t="s">
        <v>111</v>
      </c>
      <c r="D438" s="69">
        <v>2</v>
      </c>
      <c r="E438" s="68">
        <v>0</v>
      </c>
    </row>
    <row r="439" spans="2:5">
      <c r="B439" s="112"/>
      <c r="C439" s="54" t="s">
        <v>116</v>
      </c>
      <c r="D439" s="69">
        <v>2</v>
      </c>
      <c r="E439" s="68">
        <v>0</v>
      </c>
    </row>
    <row r="440" spans="2:5">
      <c r="B440" s="112"/>
      <c r="C440" s="54" t="s">
        <v>118</v>
      </c>
      <c r="D440" s="69">
        <v>2</v>
      </c>
      <c r="E440" s="68">
        <v>0</v>
      </c>
    </row>
    <row r="441" spans="2:5">
      <c r="B441" s="112"/>
      <c r="C441" s="54" t="s">
        <v>121</v>
      </c>
      <c r="D441" s="69">
        <v>1</v>
      </c>
      <c r="E441" s="68">
        <v>0</v>
      </c>
    </row>
    <row r="442" spans="2:5">
      <c r="B442" s="112"/>
      <c r="C442" s="54" t="s">
        <v>122</v>
      </c>
      <c r="D442" s="69">
        <v>1</v>
      </c>
      <c r="E442" s="68">
        <v>0</v>
      </c>
    </row>
    <row r="443" spans="2:5">
      <c r="B443" s="112"/>
      <c r="C443" s="54" t="s">
        <v>125</v>
      </c>
      <c r="D443" s="69">
        <v>1</v>
      </c>
      <c r="E443" s="68">
        <v>0</v>
      </c>
    </row>
    <row r="444" spans="2:5">
      <c r="B444" s="112"/>
      <c r="C444" s="54" t="s">
        <v>128</v>
      </c>
      <c r="D444" s="69">
        <v>3</v>
      </c>
      <c r="E444" s="68">
        <v>0</v>
      </c>
    </row>
    <row r="445" spans="2:5">
      <c r="B445" s="112"/>
      <c r="C445" s="54" t="s">
        <v>129</v>
      </c>
      <c r="D445" s="69">
        <v>1</v>
      </c>
      <c r="E445" s="68">
        <v>0</v>
      </c>
    </row>
    <row r="446" spans="2:5">
      <c r="B446" s="112"/>
      <c r="C446" s="54" t="s">
        <v>134</v>
      </c>
      <c r="D446" s="69">
        <v>7</v>
      </c>
      <c r="E446" s="68">
        <v>0</v>
      </c>
    </row>
    <row r="447" spans="2:5">
      <c r="B447" s="112"/>
      <c r="C447" s="54" t="s">
        <v>135</v>
      </c>
      <c r="D447" s="69">
        <v>147</v>
      </c>
      <c r="E447" s="68">
        <v>6.0000000000000001E-3</v>
      </c>
    </row>
    <row r="448" spans="2:5">
      <c r="B448" s="112"/>
      <c r="C448" s="54" t="s">
        <v>136</v>
      </c>
      <c r="D448" s="69">
        <v>1</v>
      </c>
      <c r="E448" s="68">
        <v>0</v>
      </c>
    </row>
    <row r="449" spans="2:5">
      <c r="B449" s="112"/>
      <c r="C449" s="54" t="s">
        <v>140</v>
      </c>
      <c r="D449" s="69">
        <v>1</v>
      </c>
      <c r="E449" s="68">
        <v>0</v>
      </c>
    </row>
    <row r="450" spans="2:5" ht="15" customHeight="1">
      <c r="B450" s="113"/>
      <c r="C450" s="74" t="s">
        <v>304</v>
      </c>
      <c r="D450" s="80">
        <v>180</v>
      </c>
      <c r="E450" s="76">
        <v>7.0000000000000001E-3</v>
      </c>
    </row>
    <row r="451" spans="2:5">
      <c r="B451" s="111" t="s">
        <v>289</v>
      </c>
      <c r="C451" s="54" t="s">
        <v>96</v>
      </c>
      <c r="D451" s="69">
        <v>1</v>
      </c>
      <c r="E451" s="68">
        <v>0</v>
      </c>
    </row>
    <row r="452" spans="2:5" ht="15" customHeight="1">
      <c r="B452" s="112"/>
      <c r="C452" s="54" t="s">
        <v>98</v>
      </c>
      <c r="D452" s="69">
        <v>1</v>
      </c>
      <c r="E452" s="68">
        <v>0</v>
      </c>
    </row>
    <row r="453" spans="2:5">
      <c r="B453" s="112"/>
      <c r="C453" s="54" t="s">
        <v>99</v>
      </c>
      <c r="D453" s="69">
        <v>2</v>
      </c>
      <c r="E453" s="68">
        <v>0</v>
      </c>
    </row>
    <row r="454" spans="2:5">
      <c r="B454" s="112"/>
      <c r="C454" s="54" t="s">
        <v>104</v>
      </c>
      <c r="D454" s="69">
        <v>3</v>
      </c>
      <c r="E454" s="68">
        <v>0</v>
      </c>
    </row>
    <row r="455" spans="2:5">
      <c r="B455" s="112"/>
      <c r="C455" s="54" t="s">
        <v>105</v>
      </c>
      <c r="D455" s="69">
        <v>5</v>
      </c>
      <c r="E455" s="68">
        <v>0</v>
      </c>
    </row>
    <row r="456" spans="2:5">
      <c r="B456" s="112"/>
      <c r="C456" s="54" t="s">
        <v>109</v>
      </c>
      <c r="D456" s="69">
        <v>1</v>
      </c>
      <c r="E456" s="68">
        <v>0</v>
      </c>
    </row>
    <row r="457" spans="2:5">
      <c r="B457" s="112"/>
      <c r="C457" s="54" t="s">
        <v>110</v>
      </c>
      <c r="D457" s="69">
        <v>1</v>
      </c>
      <c r="E457" s="68">
        <v>0</v>
      </c>
    </row>
    <row r="458" spans="2:5">
      <c r="B458" s="112"/>
      <c r="C458" s="54" t="s">
        <v>116</v>
      </c>
      <c r="D458" s="69">
        <v>1</v>
      </c>
      <c r="E458" s="68">
        <v>0</v>
      </c>
    </row>
    <row r="459" spans="2:5">
      <c r="B459" s="112"/>
      <c r="C459" s="54" t="s">
        <v>118</v>
      </c>
      <c r="D459" s="69">
        <v>1</v>
      </c>
      <c r="E459" s="68">
        <v>0</v>
      </c>
    </row>
    <row r="460" spans="2:5">
      <c r="B460" s="112"/>
      <c r="C460" s="54" t="s">
        <v>121</v>
      </c>
      <c r="D460" s="69">
        <v>1</v>
      </c>
      <c r="E460" s="68">
        <v>0</v>
      </c>
    </row>
    <row r="461" spans="2:5">
      <c r="B461" s="112"/>
      <c r="C461" s="54" t="s">
        <v>127</v>
      </c>
      <c r="D461" s="69">
        <v>1</v>
      </c>
      <c r="E461" s="68">
        <v>0</v>
      </c>
    </row>
    <row r="462" spans="2:5">
      <c r="B462" s="112"/>
      <c r="C462" s="54" t="s">
        <v>128</v>
      </c>
      <c r="D462" s="69">
        <v>2</v>
      </c>
      <c r="E462" s="68">
        <v>0</v>
      </c>
    </row>
    <row r="463" spans="2:5">
      <c r="B463" s="112"/>
      <c r="C463" s="54" t="s">
        <v>132</v>
      </c>
      <c r="D463" s="69">
        <v>1</v>
      </c>
      <c r="E463" s="68">
        <v>0</v>
      </c>
    </row>
    <row r="464" spans="2:5">
      <c r="B464" s="112"/>
      <c r="C464" s="54" t="s">
        <v>134</v>
      </c>
      <c r="D464" s="69">
        <v>1</v>
      </c>
      <c r="E464" s="68">
        <v>0</v>
      </c>
    </row>
    <row r="465" spans="2:5">
      <c r="B465" s="112"/>
      <c r="C465" s="54" t="s">
        <v>135</v>
      </c>
      <c r="D465" s="69">
        <v>131</v>
      </c>
      <c r="E465" s="68">
        <v>5.0000000000000001E-3</v>
      </c>
    </row>
    <row r="466" spans="2:5">
      <c r="B466" s="112"/>
      <c r="C466" s="54" t="s">
        <v>138</v>
      </c>
      <c r="D466" s="69">
        <v>1</v>
      </c>
      <c r="E466" s="68">
        <v>0</v>
      </c>
    </row>
    <row r="467" spans="2:5" ht="15" customHeight="1">
      <c r="B467" s="113"/>
      <c r="C467" s="74" t="s">
        <v>304</v>
      </c>
      <c r="D467" s="80">
        <v>154</v>
      </c>
      <c r="E467" s="76">
        <v>6.0000000000000001E-3</v>
      </c>
    </row>
    <row r="468" spans="2:5" ht="15" customHeight="1">
      <c r="B468" s="111" t="s">
        <v>290</v>
      </c>
      <c r="C468" s="54" t="s">
        <v>99</v>
      </c>
      <c r="D468" s="69">
        <v>1</v>
      </c>
      <c r="E468" s="68">
        <v>0</v>
      </c>
    </row>
    <row r="469" spans="2:5">
      <c r="B469" s="112"/>
      <c r="C469" s="54" t="s">
        <v>104</v>
      </c>
      <c r="D469" s="69">
        <v>4</v>
      </c>
      <c r="E469" s="68">
        <v>0</v>
      </c>
    </row>
    <row r="470" spans="2:5" ht="15" customHeight="1">
      <c r="B470" s="112"/>
      <c r="C470" s="54" t="s">
        <v>105</v>
      </c>
      <c r="D470" s="69">
        <v>3</v>
      </c>
      <c r="E470" s="68">
        <v>0</v>
      </c>
    </row>
    <row r="471" spans="2:5">
      <c r="B471" s="112"/>
      <c r="C471" s="54" t="s">
        <v>106</v>
      </c>
      <c r="D471" s="69">
        <v>1</v>
      </c>
      <c r="E471" s="68">
        <v>0</v>
      </c>
    </row>
    <row r="472" spans="2:5">
      <c r="B472" s="112"/>
      <c r="C472" s="54" t="s">
        <v>109</v>
      </c>
      <c r="D472" s="69">
        <v>1</v>
      </c>
      <c r="E472" s="68">
        <v>0</v>
      </c>
    </row>
    <row r="473" spans="2:5">
      <c r="B473" s="112"/>
      <c r="C473" s="54" t="s">
        <v>110</v>
      </c>
      <c r="D473" s="69">
        <v>1</v>
      </c>
      <c r="E473" s="68">
        <v>0</v>
      </c>
    </row>
    <row r="474" spans="2:5">
      <c r="B474" s="112"/>
      <c r="C474" s="54" t="s">
        <v>116</v>
      </c>
      <c r="D474" s="69">
        <v>2</v>
      </c>
      <c r="E474" s="68">
        <v>0</v>
      </c>
    </row>
    <row r="475" spans="2:5">
      <c r="B475" s="112"/>
      <c r="C475" s="54" t="s">
        <v>128</v>
      </c>
      <c r="D475" s="69">
        <v>1</v>
      </c>
      <c r="E475" s="68">
        <v>0</v>
      </c>
    </row>
    <row r="476" spans="2:5">
      <c r="B476" s="112"/>
      <c r="C476" s="54" t="s">
        <v>135</v>
      </c>
      <c r="D476" s="69">
        <v>45</v>
      </c>
      <c r="E476" s="68">
        <v>2E-3</v>
      </c>
    </row>
    <row r="477" spans="2:5" ht="15" customHeight="1">
      <c r="B477" s="113"/>
      <c r="C477" s="74" t="s">
        <v>304</v>
      </c>
      <c r="D477" s="80">
        <v>59</v>
      </c>
      <c r="E477" s="76">
        <v>2E-3</v>
      </c>
    </row>
    <row r="478" spans="2:5">
      <c r="B478" s="111" t="s">
        <v>291</v>
      </c>
      <c r="C478" s="54" t="s">
        <v>107</v>
      </c>
      <c r="D478" s="69">
        <v>1</v>
      </c>
      <c r="E478" s="68">
        <v>0</v>
      </c>
    </row>
    <row r="479" spans="2:5">
      <c r="B479" s="112"/>
      <c r="C479" s="54" t="s">
        <v>110</v>
      </c>
      <c r="D479" s="69">
        <v>1</v>
      </c>
      <c r="E479" s="68">
        <v>0</v>
      </c>
    </row>
    <row r="480" spans="2:5">
      <c r="B480" s="112"/>
      <c r="C480" s="54" t="s">
        <v>135</v>
      </c>
      <c r="D480" s="69">
        <v>28</v>
      </c>
      <c r="E480" s="68">
        <v>1E-3</v>
      </c>
    </row>
    <row r="481" spans="2:5" ht="15" customHeight="1">
      <c r="B481" s="113"/>
      <c r="C481" s="74" t="s">
        <v>304</v>
      </c>
      <c r="D481" s="80">
        <v>30</v>
      </c>
      <c r="E481" s="76">
        <v>1E-3</v>
      </c>
    </row>
    <row r="482" spans="2:5">
      <c r="B482" s="111" t="s">
        <v>163</v>
      </c>
      <c r="C482" s="54" t="s">
        <v>96</v>
      </c>
      <c r="D482" s="69">
        <v>4</v>
      </c>
      <c r="E482" s="68">
        <v>0</v>
      </c>
    </row>
    <row r="483" spans="2:5">
      <c r="B483" s="112"/>
      <c r="C483" s="54" t="s">
        <v>98</v>
      </c>
      <c r="D483" s="69">
        <v>3</v>
      </c>
      <c r="E483" s="68">
        <v>0</v>
      </c>
    </row>
    <row r="484" spans="2:5">
      <c r="B484" s="112"/>
      <c r="C484" s="54" t="s">
        <v>99</v>
      </c>
      <c r="D484" s="69">
        <v>8</v>
      </c>
      <c r="E484" s="68">
        <v>0</v>
      </c>
    </row>
    <row r="485" spans="2:5">
      <c r="B485" s="112"/>
      <c r="C485" s="54" t="s">
        <v>100</v>
      </c>
      <c r="D485" s="69">
        <v>1</v>
      </c>
      <c r="E485" s="68">
        <v>0</v>
      </c>
    </row>
    <row r="486" spans="2:5">
      <c r="B486" s="112"/>
      <c r="C486" s="54" t="s">
        <v>104</v>
      </c>
      <c r="D486" s="69">
        <v>10</v>
      </c>
      <c r="E486" s="68">
        <v>0</v>
      </c>
    </row>
    <row r="487" spans="2:5">
      <c r="B487" s="112"/>
      <c r="C487" s="54" t="s">
        <v>105</v>
      </c>
      <c r="D487" s="69">
        <v>6</v>
      </c>
      <c r="E487" s="68">
        <v>0</v>
      </c>
    </row>
    <row r="488" spans="2:5" ht="15" customHeight="1">
      <c r="B488" s="112"/>
      <c r="C488" s="54" t="s">
        <v>107</v>
      </c>
      <c r="D488" s="69">
        <v>12</v>
      </c>
      <c r="E488" s="68">
        <v>0</v>
      </c>
    </row>
    <row r="489" spans="2:5">
      <c r="B489" s="112"/>
      <c r="C489" s="54" t="s">
        <v>108</v>
      </c>
      <c r="D489" s="69">
        <v>5</v>
      </c>
      <c r="E489" s="68">
        <v>0</v>
      </c>
    </row>
    <row r="490" spans="2:5">
      <c r="B490" s="112"/>
      <c r="C490" s="54" t="s">
        <v>112</v>
      </c>
      <c r="D490" s="69">
        <v>6</v>
      </c>
      <c r="E490" s="68">
        <v>0</v>
      </c>
    </row>
    <row r="491" spans="2:5">
      <c r="B491" s="112"/>
      <c r="C491" s="54" t="s">
        <v>115</v>
      </c>
      <c r="D491" s="69">
        <v>6</v>
      </c>
      <c r="E491" s="68">
        <v>0</v>
      </c>
    </row>
    <row r="492" spans="2:5">
      <c r="B492" s="112"/>
      <c r="C492" s="54" t="s">
        <v>116</v>
      </c>
      <c r="D492" s="69">
        <v>4</v>
      </c>
      <c r="E492" s="68">
        <v>0</v>
      </c>
    </row>
    <row r="493" spans="2:5">
      <c r="B493" s="112"/>
      <c r="C493" s="54" t="s">
        <v>117</v>
      </c>
      <c r="D493" s="69">
        <v>1</v>
      </c>
      <c r="E493" s="68">
        <v>0</v>
      </c>
    </row>
    <row r="494" spans="2:5">
      <c r="B494" s="112"/>
      <c r="C494" s="54" t="s">
        <v>118</v>
      </c>
      <c r="D494" s="69">
        <v>4</v>
      </c>
      <c r="E494" s="68">
        <v>0</v>
      </c>
    </row>
    <row r="495" spans="2:5">
      <c r="B495" s="112"/>
      <c r="C495" s="54" t="s">
        <v>120</v>
      </c>
      <c r="D495" s="69">
        <v>2</v>
      </c>
      <c r="E495" s="68">
        <v>0</v>
      </c>
    </row>
    <row r="496" spans="2:5">
      <c r="B496" s="112"/>
      <c r="C496" s="54" t="s">
        <v>122</v>
      </c>
      <c r="D496" s="69">
        <v>1</v>
      </c>
      <c r="E496" s="68">
        <v>0</v>
      </c>
    </row>
    <row r="497" spans="2:5">
      <c r="B497" s="112"/>
      <c r="C497" s="54" t="s">
        <v>123</v>
      </c>
      <c r="D497" s="69">
        <v>1</v>
      </c>
      <c r="E497" s="68">
        <v>0</v>
      </c>
    </row>
    <row r="498" spans="2:5">
      <c r="B498" s="112"/>
      <c r="C498" s="54" t="s">
        <v>125</v>
      </c>
      <c r="D498" s="69">
        <v>5</v>
      </c>
      <c r="E498" s="68">
        <v>0</v>
      </c>
    </row>
    <row r="499" spans="2:5">
      <c r="B499" s="112"/>
      <c r="C499" s="54" t="s">
        <v>127</v>
      </c>
      <c r="D499" s="69">
        <v>3</v>
      </c>
      <c r="E499" s="68">
        <v>0</v>
      </c>
    </row>
    <row r="500" spans="2:5">
      <c r="B500" s="112"/>
      <c r="C500" s="54" t="s">
        <v>128</v>
      </c>
      <c r="D500" s="69">
        <v>5</v>
      </c>
      <c r="E500" s="68">
        <v>0</v>
      </c>
    </row>
    <row r="501" spans="2:5">
      <c r="B501" s="112"/>
      <c r="C501" s="54" t="s">
        <v>131</v>
      </c>
      <c r="D501" s="69">
        <v>1</v>
      </c>
      <c r="E501" s="68">
        <v>0</v>
      </c>
    </row>
    <row r="502" spans="2:5">
      <c r="B502" s="112"/>
      <c r="C502" s="54" t="s">
        <v>132</v>
      </c>
      <c r="D502" s="69">
        <v>4</v>
      </c>
      <c r="E502" s="68">
        <v>0</v>
      </c>
    </row>
    <row r="503" spans="2:5">
      <c r="B503" s="112"/>
      <c r="C503" s="54" t="s">
        <v>134</v>
      </c>
      <c r="D503" s="69">
        <v>8</v>
      </c>
      <c r="E503" s="68">
        <v>0</v>
      </c>
    </row>
    <row r="504" spans="2:5">
      <c r="B504" s="112"/>
      <c r="C504" s="54" t="s">
        <v>135</v>
      </c>
      <c r="D504" s="69">
        <v>351</v>
      </c>
      <c r="E504" s="68">
        <v>1.4E-2</v>
      </c>
    </row>
    <row r="505" spans="2:5">
      <c r="B505" s="112"/>
      <c r="C505" s="54" t="s">
        <v>138</v>
      </c>
      <c r="D505" s="69">
        <v>2</v>
      </c>
      <c r="E505" s="68">
        <v>0</v>
      </c>
    </row>
    <row r="506" spans="2:5">
      <c r="B506" s="112"/>
      <c r="C506" s="54" t="s">
        <v>140</v>
      </c>
      <c r="D506" s="69">
        <v>4</v>
      </c>
      <c r="E506" s="68">
        <v>0</v>
      </c>
    </row>
    <row r="507" spans="2:5" ht="15" customHeight="1">
      <c r="B507" s="113"/>
      <c r="C507" s="74" t="s">
        <v>304</v>
      </c>
      <c r="D507" s="80">
        <v>457</v>
      </c>
      <c r="E507" s="76">
        <v>1.9E-2</v>
      </c>
    </row>
    <row r="508" spans="2:5">
      <c r="B508" s="111" t="s">
        <v>164</v>
      </c>
      <c r="C508" s="54" t="s">
        <v>96</v>
      </c>
      <c r="D508" s="69">
        <v>7</v>
      </c>
      <c r="E508" s="68">
        <v>0</v>
      </c>
    </row>
    <row r="509" spans="2:5">
      <c r="B509" s="112"/>
      <c r="C509" s="54" t="s">
        <v>97</v>
      </c>
      <c r="D509" s="69">
        <v>5</v>
      </c>
      <c r="E509" s="68">
        <v>0</v>
      </c>
    </row>
    <row r="510" spans="2:5">
      <c r="B510" s="112"/>
      <c r="C510" s="54" t="s">
        <v>98</v>
      </c>
      <c r="D510" s="69">
        <v>12</v>
      </c>
      <c r="E510" s="68">
        <v>0</v>
      </c>
    </row>
    <row r="511" spans="2:5">
      <c r="B511" s="112"/>
      <c r="C511" s="54" t="s">
        <v>99</v>
      </c>
      <c r="D511" s="69">
        <v>27</v>
      </c>
      <c r="E511" s="68">
        <v>1E-3</v>
      </c>
    </row>
    <row r="512" spans="2:5">
      <c r="B512" s="112"/>
      <c r="C512" s="54" t="s">
        <v>100</v>
      </c>
      <c r="D512" s="69">
        <v>6</v>
      </c>
      <c r="E512" s="68">
        <v>0</v>
      </c>
    </row>
    <row r="513" spans="2:5">
      <c r="B513" s="112"/>
      <c r="C513" s="54" t="s">
        <v>101</v>
      </c>
      <c r="D513" s="69">
        <v>1</v>
      </c>
      <c r="E513" s="68">
        <v>0</v>
      </c>
    </row>
    <row r="514" spans="2:5">
      <c r="B514" s="112"/>
      <c r="C514" s="54" t="s">
        <v>102</v>
      </c>
      <c r="D514" s="69">
        <v>1</v>
      </c>
      <c r="E514" s="68">
        <v>0</v>
      </c>
    </row>
    <row r="515" spans="2:5">
      <c r="B515" s="112"/>
      <c r="C515" s="54" t="s">
        <v>104</v>
      </c>
      <c r="D515" s="69">
        <v>23</v>
      </c>
      <c r="E515" s="68">
        <v>1E-3</v>
      </c>
    </row>
    <row r="516" spans="2:5">
      <c r="B516" s="112"/>
      <c r="C516" s="54" t="s">
        <v>105</v>
      </c>
      <c r="D516" s="69">
        <v>26</v>
      </c>
      <c r="E516" s="68">
        <v>1E-3</v>
      </c>
    </row>
    <row r="517" spans="2:5">
      <c r="B517" s="112"/>
      <c r="C517" s="54" t="s">
        <v>276</v>
      </c>
      <c r="D517" s="69">
        <v>1</v>
      </c>
      <c r="E517" s="68">
        <v>0</v>
      </c>
    </row>
    <row r="518" spans="2:5">
      <c r="B518" s="112"/>
      <c r="C518" s="54" t="s">
        <v>106</v>
      </c>
      <c r="D518" s="69">
        <v>1</v>
      </c>
      <c r="E518" s="68">
        <v>0</v>
      </c>
    </row>
    <row r="519" spans="2:5">
      <c r="B519" s="112"/>
      <c r="C519" s="54" t="s">
        <v>107</v>
      </c>
      <c r="D519" s="69">
        <v>33</v>
      </c>
      <c r="E519" s="68">
        <v>1E-3</v>
      </c>
    </row>
    <row r="520" spans="2:5" ht="15" customHeight="1">
      <c r="B520" s="112"/>
      <c r="C520" s="54" t="s">
        <v>108</v>
      </c>
      <c r="D520" s="69">
        <v>9</v>
      </c>
      <c r="E520" s="68">
        <v>0</v>
      </c>
    </row>
    <row r="521" spans="2:5">
      <c r="B521" s="112"/>
      <c r="C521" s="54" t="s">
        <v>109</v>
      </c>
      <c r="D521" s="69">
        <v>3</v>
      </c>
      <c r="E521" s="68">
        <v>0</v>
      </c>
    </row>
    <row r="522" spans="2:5">
      <c r="B522" s="112"/>
      <c r="C522" s="54" t="s">
        <v>110</v>
      </c>
      <c r="D522" s="69">
        <v>7</v>
      </c>
      <c r="E522" s="68">
        <v>0</v>
      </c>
    </row>
    <row r="523" spans="2:5">
      <c r="B523" s="112"/>
      <c r="C523" s="54" t="s">
        <v>111</v>
      </c>
      <c r="D523" s="69">
        <v>4</v>
      </c>
      <c r="E523" s="68">
        <v>0</v>
      </c>
    </row>
    <row r="524" spans="2:5">
      <c r="B524" s="112"/>
      <c r="C524" s="54" t="s">
        <v>112</v>
      </c>
      <c r="D524" s="69">
        <v>7</v>
      </c>
      <c r="E524" s="68">
        <v>0</v>
      </c>
    </row>
    <row r="525" spans="2:5">
      <c r="B525" s="112"/>
      <c r="C525" s="54" t="s">
        <v>115</v>
      </c>
      <c r="D525" s="69">
        <v>12</v>
      </c>
      <c r="E525" s="68">
        <v>0</v>
      </c>
    </row>
    <row r="526" spans="2:5">
      <c r="B526" s="112"/>
      <c r="C526" s="54" t="s">
        <v>116</v>
      </c>
      <c r="D526" s="69">
        <v>12</v>
      </c>
      <c r="E526" s="68">
        <v>0</v>
      </c>
    </row>
    <row r="527" spans="2:5">
      <c r="B527" s="112"/>
      <c r="C527" s="54" t="s">
        <v>117</v>
      </c>
      <c r="D527" s="69">
        <v>8</v>
      </c>
      <c r="E527" s="68">
        <v>0</v>
      </c>
    </row>
    <row r="528" spans="2:5">
      <c r="B528" s="112"/>
      <c r="C528" s="54" t="s">
        <v>118</v>
      </c>
      <c r="D528" s="69">
        <v>10</v>
      </c>
      <c r="E528" s="68">
        <v>0</v>
      </c>
    </row>
    <row r="529" spans="2:5">
      <c r="B529" s="112"/>
      <c r="C529" s="54" t="s">
        <v>120</v>
      </c>
      <c r="D529" s="69">
        <v>7</v>
      </c>
      <c r="E529" s="68">
        <v>0</v>
      </c>
    </row>
    <row r="530" spans="2:5">
      <c r="B530" s="112"/>
      <c r="C530" s="54" t="s">
        <v>121</v>
      </c>
      <c r="D530" s="69">
        <v>3</v>
      </c>
      <c r="E530" s="68">
        <v>0</v>
      </c>
    </row>
    <row r="531" spans="2:5">
      <c r="B531" s="112"/>
      <c r="C531" s="54" t="s">
        <v>122</v>
      </c>
      <c r="D531" s="69">
        <v>1</v>
      </c>
      <c r="E531" s="68">
        <v>0</v>
      </c>
    </row>
    <row r="532" spans="2:5">
      <c r="B532" s="112"/>
      <c r="C532" s="54" t="s">
        <v>123</v>
      </c>
      <c r="D532" s="69">
        <v>2</v>
      </c>
      <c r="E532" s="68">
        <v>0</v>
      </c>
    </row>
    <row r="533" spans="2:5">
      <c r="B533" s="112"/>
      <c r="C533" s="54" t="s">
        <v>124</v>
      </c>
      <c r="D533" s="69">
        <v>5</v>
      </c>
      <c r="E533" s="68">
        <v>0</v>
      </c>
    </row>
    <row r="534" spans="2:5">
      <c r="B534" s="112"/>
      <c r="C534" s="54" t="s">
        <v>125</v>
      </c>
      <c r="D534" s="69">
        <v>22</v>
      </c>
      <c r="E534" s="68">
        <v>1E-3</v>
      </c>
    </row>
    <row r="535" spans="2:5">
      <c r="B535" s="112"/>
      <c r="C535" s="54" t="s">
        <v>127</v>
      </c>
      <c r="D535" s="69">
        <v>5</v>
      </c>
      <c r="E535" s="68">
        <v>0</v>
      </c>
    </row>
    <row r="536" spans="2:5">
      <c r="B536" s="112"/>
      <c r="C536" s="54" t="s">
        <v>128</v>
      </c>
      <c r="D536" s="69">
        <v>25</v>
      </c>
      <c r="E536" s="68">
        <v>1E-3</v>
      </c>
    </row>
    <row r="537" spans="2:5">
      <c r="B537" s="112"/>
      <c r="C537" s="54" t="s">
        <v>129</v>
      </c>
      <c r="D537" s="69">
        <v>1</v>
      </c>
      <c r="E537" s="68">
        <v>0</v>
      </c>
    </row>
    <row r="538" spans="2:5">
      <c r="B538" s="112"/>
      <c r="C538" s="54" t="s">
        <v>130</v>
      </c>
      <c r="D538" s="69">
        <v>2</v>
      </c>
      <c r="E538" s="68">
        <v>0</v>
      </c>
    </row>
    <row r="539" spans="2:5">
      <c r="B539" s="112"/>
      <c r="C539" s="54" t="s">
        <v>131</v>
      </c>
      <c r="D539" s="69">
        <v>1</v>
      </c>
      <c r="E539" s="68">
        <v>0</v>
      </c>
    </row>
    <row r="540" spans="2:5">
      <c r="B540" s="112"/>
      <c r="C540" s="54" t="s">
        <v>132</v>
      </c>
      <c r="D540" s="69">
        <v>9</v>
      </c>
      <c r="E540" s="68">
        <v>0</v>
      </c>
    </row>
    <row r="541" spans="2:5">
      <c r="B541" s="112"/>
      <c r="C541" s="54" t="s">
        <v>134</v>
      </c>
      <c r="D541" s="69">
        <v>26</v>
      </c>
      <c r="E541" s="68">
        <v>1E-3</v>
      </c>
    </row>
    <row r="542" spans="2:5">
      <c r="B542" s="112"/>
      <c r="C542" s="54" t="s">
        <v>135</v>
      </c>
      <c r="D542" s="67">
        <v>1313</v>
      </c>
      <c r="E542" s="68">
        <v>5.3999999999999999E-2</v>
      </c>
    </row>
    <row r="543" spans="2:5">
      <c r="B543" s="112"/>
      <c r="C543" s="54" t="s">
        <v>136</v>
      </c>
      <c r="D543" s="69">
        <v>2</v>
      </c>
      <c r="E543" s="68">
        <v>0</v>
      </c>
    </row>
    <row r="544" spans="2:5">
      <c r="B544" s="112"/>
      <c r="C544" s="54" t="s">
        <v>138</v>
      </c>
      <c r="D544" s="69">
        <v>6</v>
      </c>
      <c r="E544" s="68">
        <v>0</v>
      </c>
    </row>
    <row r="545" spans="2:5">
      <c r="B545" s="112"/>
      <c r="C545" s="54" t="s">
        <v>66</v>
      </c>
      <c r="D545" s="69">
        <v>3</v>
      </c>
      <c r="E545" s="68">
        <v>0</v>
      </c>
    </row>
    <row r="546" spans="2:5">
      <c r="B546" s="112"/>
      <c r="C546" s="54" t="s">
        <v>140</v>
      </c>
      <c r="D546" s="69">
        <v>7</v>
      </c>
      <c r="E546" s="68">
        <v>0</v>
      </c>
    </row>
    <row r="547" spans="2:5">
      <c r="B547" s="112"/>
      <c r="C547" s="54" t="s">
        <v>141</v>
      </c>
      <c r="D547" s="69">
        <v>1</v>
      </c>
      <c r="E547" s="68">
        <v>0</v>
      </c>
    </row>
    <row r="548" spans="2:5" ht="15" customHeight="1">
      <c r="B548" s="113"/>
      <c r="C548" s="74" t="s">
        <v>304</v>
      </c>
      <c r="D548" s="80">
        <v>1656</v>
      </c>
      <c r="E548" s="76">
        <v>6.8000000000000005E-2</v>
      </c>
    </row>
    <row r="549" spans="2:5">
      <c r="B549" s="111" t="s">
        <v>165</v>
      </c>
      <c r="C549" s="54" t="s">
        <v>98</v>
      </c>
      <c r="D549" s="69">
        <v>2</v>
      </c>
      <c r="E549" s="68">
        <v>0</v>
      </c>
    </row>
    <row r="550" spans="2:5">
      <c r="B550" s="112"/>
      <c r="C550" s="54" t="s">
        <v>104</v>
      </c>
      <c r="D550" s="69">
        <v>1</v>
      </c>
      <c r="E550" s="68">
        <v>0</v>
      </c>
    </row>
    <row r="551" spans="2:5">
      <c r="B551" s="112"/>
      <c r="C551" s="54" t="s">
        <v>107</v>
      </c>
      <c r="D551" s="69">
        <v>1</v>
      </c>
      <c r="E551" s="68">
        <v>0</v>
      </c>
    </row>
    <row r="552" spans="2:5">
      <c r="B552" s="112"/>
      <c r="C552" s="54" t="s">
        <v>127</v>
      </c>
      <c r="D552" s="69">
        <v>1</v>
      </c>
      <c r="E552" s="68">
        <v>0</v>
      </c>
    </row>
    <row r="553" spans="2:5">
      <c r="B553" s="112"/>
      <c r="C553" s="54" t="s">
        <v>128</v>
      </c>
      <c r="D553" s="69">
        <v>1</v>
      </c>
      <c r="E553" s="68">
        <v>0</v>
      </c>
    </row>
    <row r="554" spans="2:5">
      <c r="B554" s="112"/>
      <c r="C554" s="54" t="s">
        <v>134</v>
      </c>
      <c r="D554" s="69">
        <v>1</v>
      </c>
      <c r="E554" s="68">
        <v>0</v>
      </c>
    </row>
    <row r="555" spans="2:5">
      <c r="B555" s="112"/>
      <c r="C555" s="54" t="s">
        <v>135</v>
      </c>
      <c r="D555" s="69">
        <v>12</v>
      </c>
      <c r="E555" s="68">
        <v>0</v>
      </c>
    </row>
    <row r="556" spans="2:5">
      <c r="B556" s="112"/>
      <c r="C556" s="54" t="s">
        <v>140</v>
      </c>
      <c r="D556" s="69">
        <v>1</v>
      </c>
      <c r="E556" s="68">
        <v>0</v>
      </c>
    </row>
    <row r="557" spans="2:5" ht="15" customHeight="1">
      <c r="B557" s="113"/>
      <c r="C557" s="74" t="s">
        <v>304</v>
      </c>
      <c r="D557" s="80">
        <v>20</v>
      </c>
      <c r="E557" s="76">
        <v>1E-3</v>
      </c>
    </row>
    <row r="558" spans="2:5">
      <c r="B558" s="111" t="s">
        <v>166</v>
      </c>
      <c r="C558" s="54" t="s">
        <v>97</v>
      </c>
      <c r="D558" s="69">
        <v>1</v>
      </c>
      <c r="E558" s="68">
        <v>0</v>
      </c>
    </row>
    <row r="559" spans="2:5">
      <c r="B559" s="112"/>
      <c r="C559" s="54" t="s">
        <v>99</v>
      </c>
      <c r="D559" s="69">
        <v>2</v>
      </c>
      <c r="E559" s="68">
        <v>0</v>
      </c>
    </row>
    <row r="560" spans="2:5">
      <c r="B560" s="112"/>
      <c r="C560" s="54" t="s">
        <v>103</v>
      </c>
      <c r="D560" s="69">
        <v>1</v>
      </c>
      <c r="E560" s="68">
        <v>0</v>
      </c>
    </row>
    <row r="561" spans="2:5">
      <c r="B561" s="112"/>
      <c r="C561" s="54" t="s">
        <v>104</v>
      </c>
      <c r="D561" s="69">
        <v>1</v>
      </c>
      <c r="E561" s="68">
        <v>0</v>
      </c>
    </row>
    <row r="562" spans="2:5">
      <c r="B562" s="112"/>
      <c r="C562" s="54" t="s">
        <v>105</v>
      </c>
      <c r="D562" s="69">
        <v>1</v>
      </c>
      <c r="E562" s="68">
        <v>0</v>
      </c>
    </row>
    <row r="563" spans="2:5">
      <c r="B563" s="112"/>
      <c r="C563" s="54" t="s">
        <v>108</v>
      </c>
      <c r="D563" s="69">
        <v>2</v>
      </c>
      <c r="E563" s="68">
        <v>0</v>
      </c>
    </row>
    <row r="564" spans="2:5">
      <c r="B564" s="112"/>
      <c r="C564" s="54" t="s">
        <v>113</v>
      </c>
      <c r="D564" s="69">
        <v>1</v>
      </c>
      <c r="E564" s="68">
        <v>0</v>
      </c>
    </row>
    <row r="565" spans="2:5">
      <c r="B565" s="112"/>
      <c r="C565" s="54" t="s">
        <v>117</v>
      </c>
      <c r="D565" s="69">
        <v>1</v>
      </c>
      <c r="E565" s="68">
        <v>0</v>
      </c>
    </row>
    <row r="566" spans="2:5">
      <c r="B566" s="112"/>
      <c r="C566" s="54" t="s">
        <v>120</v>
      </c>
      <c r="D566" s="69">
        <v>1</v>
      </c>
      <c r="E566" s="68">
        <v>0</v>
      </c>
    </row>
    <row r="567" spans="2:5">
      <c r="B567" s="112"/>
      <c r="C567" s="54" t="s">
        <v>121</v>
      </c>
      <c r="D567" s="69">
        <v>1</v>
      </c>
      <c r="E567" s="68">
        <v>0</v>
      </c>
    </row>
    <row r="568" spans="2:5">
      <c r="B568" s="112"/>
      <c r="C568" s="54" t="s">
        <v>122</v>
      </c>
      <c r="D568" s="69">
        <v>1</v>
      </c>
      <c r="E568" s="68">
        <v>0</v>
      </c>
    </row>
    <row r="569" spans="2:5">
      <c r="B569" s="112"/>
      <c r="C569" s="54" t="s">
        <v>124</v>
      </c>
      <c r="D569" s="69">
        <v>3</v>
      </c>
      <c r="E569" s="68">
        <v>0</v>
      </c>
    </row>
    <row r="570" spans="2:5">
      <c r="B570" s="112"/>
      <c r="C570" s="54" t="s">
        <v>125</v>
      </c>
      <c r="D570" s="69">
        <v>1</v>
      </c>
      <c r="E570" s="68">
        <v>0</v>
      </c>
    </row>
    <row r="571" spans="2:5">
      <c r="B571" s="112"/>
      <c r="C571" s="54" t="s">
        <v>127</v>
      </c>
      <c r="D571" s="69">
        <v>1</v>
      </c>
      <c r="E571" s="68">
        <v>0</v>
      </c>
    </row>
    <row r="572" spans="2:5">
      <c r="B572" s="112"/>
      <c r="C572" s="54" t="s">
        <v>128</v>
      </c>
      <c r="D572" s="69">
        <v>1</v>
      </c>
      <c r="E572" s="68">
        <v>0</v>
      </c>
    </row>
    <row r="573" spans="2:5">
      <c r="B573" s="112"/>
      <c r="C573" s="54" t="s">
        <v>134</v>
      </c>
      <c r="D573" s="69">
        <v>1</v>
      </c>
      <c r="E573" s="68">
        <v>0</v>
      </c>
    </row>
    <row r="574" spans="2:5" ht="15" customHeight="1">
      <c r="B574" s="112"/>
      <c r="C574" s="54" t="s">
        <v>135</v>
      </c>
      <c r="D574" s="69">
        <v>54</v>
      </c>
      <c r="E574" s="68">
        <v>2E-3</v>
      </c>
    </row>
    <row r="575" spans="2:5">
      <c r="B575" s="112"/>
      <c r="C575" s="54" t="s">
        <v>138</v>
      </c>
      <c r="D575" s="69">
        <v>1</v>
      </c>
      <c r="E575" s="68">
        <v>0</v>
      </c>
    </row>
    <row r="576" spans="2:5" ht="15" customHeight="1">
      <c r="B576" s="113"/>
      <c r="C576" s="74" t="s">
        <v>304</v>
      </c>
      <c r="D576" s="80">
        <v>75</v>
      </c>
      <c r="E576" s="76">
        <v>3.0000000000000001E-3</v>
      </c>
    </row>
    <row r="577" spans="2:5">
      <c r="B577" s="111" t="s">
        <v>167</v>
      </c>
      <c r="C577" s="54" t="s">
        <v>99</v>
      </c>
      <c r="D577" s="69">
        <v>1</v>
      </c>
      <c r="E577" s="68">
        <v>0</v>
      </c>
    </row>
    <row r="578" spans="2:5">
      <c r="B578" s="112"/>
      <c r="C578" s="54" t="s">
        <v>105</v>
      </c>
      <c r="D578" s="69">
        <v>1</v>
      </c>
      <c r="E578" s="68">
        <v>0</v>
      </c>
    </row>
    <row r="579" spans="2:5">
      <c r="B579" s="112"/>
      <c r="C579" s="54" t="s">
        <v>135</v>
      </c>
      <c r="D579" s="69">
        <v>8</v>
      </c>
      <c r="E579" s="68">
        <v>0</v>
      </c>
    </row>
    <row r="580" spans="2:5">
      <c r="B580" s="112"/>
      <c r="C580" s="54" t="s">
        <v>138</v>
      </c>
      <c r="D580" s="69">
        <v>1</v>
      </c>
      <c r="E580" s="68">
        <v>0</v>
      </c>
    </row>
    <row r="581" spans="2:5" ht="15" customHeight="1">
      <c r="B581" s="113"/>
      <c r="C581" s="74" t="s">
        <v>304</v>
      </c>
      <c r="D581" s="80">
        <v>11</v>
      </c>
      <c r="E581" s="76">
        <v>0</v>
      </c>
    </row>
    <row r="582" spans="2:5">
      <c r="B582" s="114" t="s">
        <v>306</v>
      </c>
      <c r="C582" s="114"/>
      <c r="D582" s="77">
        <v>24389</v>
      </c>
      <c r="E582" s="78">
        <v>1</v>
      </c>
    </row>
    <row r="583" spans="2:5" ht="15" customHeight="1">
      <c r="B583" s="45"/>
      <c r="C583" s="45"/>
      <c r="D583" s="45"/>
      <c r="E583" s="45"/>
    </row>
    <row r="584" spans="2:5" ht="15" customHeight="1">
      <c r="B584" s="35" t="s">
        <v>275</v>
      </c>
      <c r="C584" s="45"/>
      <c r="D584" s="45"/>
      <c r="E584" s="45"/>
    </row>
    <row r="585" spans="2:5" ht="15" customHeight="1">
      <c r="B585" s="36" t="s">
        <v>18</v>
      </c>
      <c r="C585" s="45"/>
      <c r="D585" s="45"/>
      <c r="E585" s="45"/>
    </row>
    <row r="586" spans="2:5" ht="15" customHeight="1">
      <c r="B586" s="33" t="s">
        <v>45</v>
      </c>
      <c r="C586" s="45"/>
      <c r="D586" s="45"/>
      <c r="E586" s="45"/>
    </row>
    <row r="587" spans="2:5" ht="15" customHeight="1">
      <c r="B587" s="35" t="s">
        <v>17</v>
      </c>
      <c r="C587" s="45"/>
      <c r="D587" s="45"/>
      <c r="E587" s="45"/>
    </row>
    <row r="588" spans="2:5" ht="15" customHeight="1">
      <c r="B588" s="35" t="s">
        <v>308</v>
      </c>
      <c r="C588" s="45"/>
      <c r="D588" s="45"/>
      <c r="E588" s="45"/>
    </row>
  </sheetData>
  <mergeCells count="27">
    <mergeCell ref="B582:C582"/>
    <mergeCell ref="B508:B548"/>
    <mergeCell ref="B549:B557"/>
    <mergeCell ref="B558:B576"/>
    <mergeCell ref="B577:B581"/>
    <mergeCell ref="B468:B477"/>
    <mergeCell ref="B478:B481"/>
    <mergeCell ref="B482:B507"/>
    <mergeCell ref="B35:B41"/>
    <mergeCell ref="B42:B55"/>
    <mergeCell ref="B56:B76"/>
    <mergeCell ref="B276:B321"/>
    <mergeCell ref="B322:B349"/>
    <mergeCell ref="B350:B386"/>
    <mergeCell ref="B77:B97"/>
    <mergeCell ref="B98:B120"/>
    <mergeCell ref="B387:B429"/>
    <mergeCell ref="B430:B450"/>
    <mergeCell ref="B451:B467"/>
    <mergeCell ref="B121:B154"/>
    <mergeCell ref="B155:B192"/>
    <mergeCell ref="B7:E8"/>
    <mergeCell ref="B10:B31"/>
    <mergeCell ref="B32:B34"/>
    <mergeCell ref="B218:B246"/>
    <mergeCell ref="B247:B275"/>
    <mergeCell ref="B193:B217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2D050"/>
  </sheetPr>
  <dimension ref="A1:D743"/>
  <sheetViews>
    <sheetView showGridLines="0" view="pageBreakPreview" zoomScale="90" zoomScaleNormal="93" zoomScaleSheetLayoutView="90" workbookViewId="0">
      <selection activeCell="F9" sqref="F9"/>
    </sheetView>
  </sheetViews>
  <sheetFormatPr baseColWidth="10" defaultColWidth="35" defaultRowHeight="15" customHeight="1"/>
  <cols>
    <col min="1" max="1" width="22.85546875" style="19" customWidth="1"/>
    <col min="2" max="2" width="38.140625" style="19" customWidth="1"/>
    <col min="3" max="3" width="14.28515625" style="19" customWidth="1"/>
    <col min="4" max="4" width="16.85546875" style="19" customWidth="1"/>
    <col min="5" max="16384" width="35" style="18"/>
  </cols>
  <sheetData>
    <row r="1" spans="1:4" s="21" customFormat="1" ht="12" customHeight="1">
      <c r="A1" s="23"/>
      <c r="B1" s="20"/>
      <c r="C1" s="20"/>
      <c r="D1" s="20"/>
    </row>
    <row r="2" spans="1:4" s="21" customFormat="1" ht="15" customHeight="1">
      <c r="B2" s="25"/>
    </row>
    <row r="3" spans="1:4" s="21" customFormat="1" ht="15" customHeight="1">
      <c r="B3" s="25"/>
    </row>
    <row r="4" spans="1:4" s="21" customFormat="1" ht="30" customHeight="1">
      <c r="B4" s="25"/>
      <c r="C4" s="24"/>
    </row>
    <row r="5" spans="1:4" s="21" customFormat="1" ht="15" customHeight="1">
      <c r="B5" s="25"/>
      <c r="C5" s="24"/>
    </row>
    <row r="6" spans="1:4" s="21" customFormat="1" ht="24" customHeight="1">
      <c r="A6" s="40"/>
      <c r="B6" s="41"/>
      <c r="C6" s="41"/>
      <c r="D6" s="41"/>
    </row>
    <row r="7" spans="1:4" s="21" customFormat="1" ht="26.25" customHeight="1">
      <c r="A7" s="107"/>
      <c r="B7" s="107"/>
      <c r="C7" s="107"/>
      <c r="D7" s="107"/>
    </row>
    <row r="8" spans="1:4" s="21" customFormat="1" ht="33" customHeight="1">
      <c r="A8" s="107"/>
      <c r="B8" s="107"/>
      <c r="C8" s="107"/>
      <c r="D8" s="107"/>
    </row>
    <row r="9" spans="1:4" s="12" customFormat="1" ht="40.5" customHeight="1">
      <c r="A9" s="42" t="s">
        <v>22</v>
      </c>
      <c r="B9" s="43" t="s">
        <v>27</v>
      </c>
      <c r="C9" s="44" t="s">
        <v>20</v>
      </c>
      <c r="D9" s="42" t="s">
        <v>19</v>
      </c>
    </row>
    <row r="10" spans="1:4">
      <c r="A10" s="111" t="s">
        <v>73</v>
      </c>
      <c r="B10" s="54" t="s">
        <v>281</v>
      </c>
      <c r="C10" s="69">
        <v>1</v>
      </c>
      <c r="D10" s="68">
        <v>0</v>
      </c>
    </row>
    <row r="11" spans="1:4">
      <c r="A11" s="112"/>
      <c r="B11" s="54" t="s">
        <v>284</v>
      </c>
      <c r="C11" s="69">
        <v>2</v>
      </c>
      <c r="D11" s="68">
        <v>0</v>
      </c>
    </row>
    <row r="12" spans="1:4">
      <c r="A12" s="112"/>
      <c r="B12" s="54" t="s">
        <v>151</v>
      </c>
      <c r="C12" s="69">
        <v>3</v>
      </c>
      <c r="D12" s="68">
        <v>0</v>
      </c>
    </row>
    <row r="13" spans="1:4">
      <c r="A13" s="112"/>
      <c r="B13" s="54" t="s">
        <v>285</v>
      </c>
      <c r="C13" s="69">
        <v>2</v>
      </c>
      <c r="D13" s="68">
        <v>0</v>
      </c>
    </row>
    <row r="14" spans="1:4">
      <c r="A14" s="112"/>
      <c r="B14" s="54" t="s">
        <v>286</v>
      </c>
      <c r="C14" s="69">
        <v>2</v>
      </c>
      <c r="D14" s="68">
        <v>0</v>
      </c>
    </row>
    <row r="15" spans="1:4">
      <c r="A15" s="112"/>
      <c r="B15" s="54" t="s">
        <v>287</v>
      </c>
      <c r="C15" s="69">
        <v>1</v>
      </c>
      <c r="D15" s="68">
        <v>0</v>
      </c>
    </row>
    <row r="16" spans="1:4">
      <c r="A16" s="112"/>
      <c r="B16" s="54" t="s">
        <v>155</v>
      </c>
      <c r="C16" s="69">
        <v>22</v>
      </c>
      <c r="D16" s="68">
        <v>1E-3</v>
      </c>
    </row>
    <row r="17" spans="1:4">
      <c r="A17" s="112"/>
      <c r="B17" s="54" t="s">
        <v>156</v>
      </c>
      <c r="C17" s="69">
        <v>3</v>
      </c>
      <c r="D17" s="68">
        <v>0</v>
      </c>
    </row>
    <row r="18" spans="1:4">
      <c r="A18" s="112"/>
      <c r="B18" s="54" t="s">
        <v>157</v>
      </c>
      <c r="C18" s="69">
        <v>6</v>
      </c>
      <c r="D18" s="68">
        <v>0</v>
      </c>
    </row>
    <row r="19" spans="1:4">
      <c r="A19" s="112"/>
      <c r="B19" s="54" t="s">
        <v>158</v>
      </c>
      <c r="C19" s="69">
        <v>13</v>
      </c>
      <c r="D19" s="68">
        <v>1E-3</v>
      </c>
    </row>
    <row r="20" spans="1:4">
      <c r="A20" s="112"/>
      <c r="B20" s="54" t="s">
        <v>288</v>
      </c>
      <c r="C20" s="69">
        <v>1</v>
      </c>
      <c r="D20" s="68">
        <v>0</v>
      </c>
    </row>
    <row r="21" spans="1:4">
      <c r="A21" s="112"/>
      <c r="B21" s="54" t="s">
        <v>163</v>
      </c>
      <c r="C21" s="69">
        <v>1</v>
      </c>
      <c r="D21" s="68">
        <v>0</v>
      </c>
    </row>
    <row r="22" spans="1:4">
      <c r="A22" s="112"/>
      <c r="B22" s="54" t="s">
        <v>164</v>
      </c>
      <c r="C22" s="69">
        <v>5</v>
      </c>
      <c r="D22" s="68">
        <v>0</v>
      </c>
    </row>
    <row r="23" spans="1:4">
      <c r="A23" s="113"/>
      <c r="B23" s="74" t="s">
        <v>304</v>
      </c>
      <c r="C23" s="80">
        <v>62</v>
      </c>
      <c r="D23" s="76">
        <v>3.0000000000000001E-3</v>
      </c>
    </row>
    <row r="24" spans="1:4">
      <c r="A24" s="111" t="s">
        <v>52</v>
      </c>
      <c r="B24" s="54" t="s">
        <v>144</v>
      </c>
      <c r="C24" s="69">
        <v>4</v>
      </c>
      <c r="D24" s="68">
        <v>0</v>
      </c>
    </row>
    <row r="25" spans="1:4">
      <c r="A25" s="112"/>
      <c r="B25" s="54" t="s">
        <v>280</v>
      </c>
      <c r="C25" s="69">
        <v>2</v>
      </c>
      <c r="D25" s="68">
        <v>0</v>
      </c>
    </row>
    <row r="26" spans="1:4">
      <c r="A26" s="112"/>
      <c r="B26" s="54" t="s">
        <v>281</v>
      </c>
      <c r="C26" s="69">
        <v>5</v>
      </c>
      <c r="D26" s="68">
        <v>0</v>
      </c>
    </row>
    <row r="27" spans="1:4">
      <c r="A27" s="112"/>
      <c r="B27" s="54" t="s">
        <v>282</v>
      </c>
      <c r="C27" s="69">
        <v>13</v>
      </c>
      <c r="D27" s="68">
        <v>1E-3</v>
      </c>
    </row>
    <row r="28" spans="1:4">
      <c r="A28" s="112"/>
      <c r="B28" s="54" t="s">
        <v>283</v>
      </c>
      <c r="C28" s="69">
        <v>11</v>
      </c>
      <c r="D28" s="68">
        <v>0</v>
      </c>
    </row>
    <row r="29" spans="1:4">
      <c r="A29" s="112"/>
      <c r="B29" s="54" t="s">
        <v>284</v>
      </c>
      <c r="C29" s="69">
        <v>19</v>
      </c>
      <c r="D29" s="68">
        <v>1E-3</v>
      </c>
    </row>
    <row r="30" spans="1:4">
      <c r="A30" s="112"/>
      <c r="B30" s="54" t="s">
        <v>151</v>
      </c>
      <c r="C30" s="69">
        <v>60</v>
      </c>
      <c r="D30" s="68">
        <v>2E-3</v>
      </c>
    </row>
    <row r="31" spans="1:4">
      <c r="A31" s="112"/>
      <c r="B31" s="54" t="s">
        <v>285</v>
      </c>
      <c r="C31" s="69">
        <v>7</v>
      </c>
      <c r="D31" s="68">
        <v>0</v>
      </c>
    </row>
    <row r="32" spans="1:4">
      <c r="A32" s="112"/>
      <c r="B32" s="54" t="s">
        <v>286</v>
      </c>
      <c r="C32" s="69">
        <v>15</v>
      </c>
      <c r="D32" s="68">
        <v>1E-3</v>
      </c>
    </row>
    <row r="33" spans="1:4">
      <c r="A33" s="112"/>
      <c r="B33" s="54" t="s">
        <v>287</v>
      </c>
      <c r="C33" s="69">
        <v>13</v>
      </c>
      <c r="D33" s="68">
        <v>1E-3</v>
      </c>
    </row>
    <row r="34" spans="1:4">
      <c r="A34" s="112"/>
      <c r="B34" s="54" t="s">
        <v>155</v>
      </c>
      <c r="C34" s="69">
        <v>223</v>
      </c>
      <c r="D34" s="68">
        <v>8.9999999999999993E-3</v>
      </c>
    </row>
    <row r="35" spans="1:4">
      <c r="A35" s="112"/>
      <c r="B35" s="54" t="s">
        <v>156</v>
      </c>
      <c r="C35" s="69">
        <v>16</v>
      </c>
      <c r="D35" s="68">
        <v>1E-3</v>
      </c>
    </row>
    <row r="36" spans="1:4">
      <c r="A36" s="112"/>
      <c r="B36" s="54" t="s">
        <v>157</v>
      </c>
      <c r="C36" s="69">
        <v>50</v>
      </c>
      <c r="D36" s="68">
        <v>2E-3</v>
      </c>
    </row>
    <row r="37" spans="1:4">
      <c r="A37" s="112"/>
      <c r="B37" s="54" t="s">
        <v>158</v>
      </c>
      <c r="C37" s="69">
        <v>146</v>
      </c>
      <c r="D37" s="68">
        <v>6.0000000000000001E-3</v>
      </c>
    </row>
    <row r="38" spans="1:4">
      <c r="A38" s="112"/>
      <c r="B38" s="54" t="s">
        <v>288</v>
      </c>
      <c r="C38" s="69">
        <v>5</v>
      </c>
      <c r="D38" s="68">
        <v>0</v>
      </c>
    </row>
    <row r="39" spans="1:4">
      <c r="A39" s="112"/>
      <c r="B39" s="54" t="s">
        <v>289</v>
      </c>
      <c r="C39" s="69">
        <v>6</v>
      </c>
      <c r="D39" s="68">
        <v>0</v>
      </c>
    </row>
    <row r="40" spans="1:4">
      <c r="A40" s="112"/>
      <c r="B40" s="54" t="s">
        <v>290</v>
      </c>
      <c r="C40" s="69">
        <v>3</v>
      </c>
      <c r="D40" s="68">
        <v>0</v>
      </c>
    </row>
    <row r="41" spans="1:4">
      <c r="A41" s="112"/>
      <c r="B41" s="54" t="s">
        <v>163</v>
      </c>
      <c r="C41" s="69">
        <v>12</v>
      </c>
      <c r="D41" s="68">
        <v>0</v>
      </c>
    </row>
    <row r="42" spans="1:4">
      <c r="A42" s="112"/>
      <c r="B42" s="54" t="s">
        <v>164</v>
      </c>
      <c r="C42" s="69">
        <v>33</v>
      </c>
      <c r="D42" s="68">
        <v>1E-3</v>
      </c>
    </row>
    <row r="43" spans="1:4">
      <c r="A43" s="112"/>
      <c r="B43" s="54" t="s">
        <v>166</v>
      </c>
      <c r="C43" s="69">
        <v>1</v>
      </c>
      <c r="D43" s="68">
        <v>0</v>
      </c>
    </row>
    <row r="44" spans="1:4">
      <c r="A44" s="112"/>
      <c r="B44" s="54" t="s">
        <v>167</v>
      </c>
      <c r="C44" s="69">
        <v>1</v>
      </c>
      <c r="D44" s="68">
        <v>0</v>
      </c>
    </row>
    <row r="45" spans="1:4">
      <c r="A45" s="113"/>
      <c r="B45" s="74" t="s">
        <v>304</v>
      </c>
      <c r="C45" s="80">
        <v>645</v>
      </c>
      <c r="D45" s="76">
        <v>2.5999999999999999E-2</v>
      </c>
    </row>
    <row r="46" spans="1:4">
      <c r="A46" s="111" t="s">
        <v>56</v>
      </c>
      <c r="B46" s="54" t="s">
        <v>144</v>
      </c>
      <c r="C46" s="69">
        <v>5</v>
      </c>
      <c r="D46" s="68">
        <v>0</v>
      </c>
    </row>
    <row r="47" spans="1:4">
      <c r="A47" s="112"/>
      <c r="B47" s="54" t="s">
        <v>279</v>
      </c>
      <c r="C47" s="69">
        <v>3</v>
      </c>
      <c r="D47" s="68">
        <v>0</v>
      </c>
    </row>
    <row r="48" spans="1:4">
      <c r="A48" s="112"/>
      <c r="B48" s="54" t="s">
        <v>280</v>
      </c>
      <c r="C48" s="69">
        <v>1</v>
      </c>
      <c r="D48" s="68">
        <v>0</v>
      </c>
    </row>
    <row r="49" spans="1:4">
      <c r="A49" s="112"/>
      <c r="B49" s="54" t="s">
        <v>281</v>
      </c>
      <c r="C49" s="69">
        <v>9</v>
      </c>
      <c r="D49" s="68">
        <v>0</v>
      </c>
    </row>
    <row r="50" spans="1:4">
      <c r="A50" s="112"/>
      <c r="B50" s="54" t="s">
        <v>282</v>
      </c>
      <c r="C50" s="69">
        <v>4</v>
      </c>
      <c r="D50" s="68">
        <v>0</v>
      </c>
    </row>
    <row r="51" spans="1:4">
      <c r="A51" s="112"/>
      <c r="B51" s="54" t="s">
        <v>283</v>
      </c>
      <c r="C51" s="69">
        <v>5</v>
      </c>
      <c r="D51" s="68">
        <v>0</v>
      </c>
    </row>
    <row r="52" spans="1:4">
      <c r="A52" s="112"/>
      <c r="B52" s="54" t="s">
        <v>284</v>
      </c>
      <c r="C52" s="69">
        <v>26</v>
      </c>
      <c r="D52" s="68">
        <v>1E-3</v>
      </c>
    </row>
    <row r="53" spans="1:4">
      <c r="A53" s="112"/>
      <c r="B53" s="54" t="s">
        <v>151</v>
      </c>
      <c r="C53" s="69">
        <v>45</v>
      </c>
      <c r="D53" s="68">
        <v>2E-3</v>
      </c>
    </row>
    <row r="54" spans="1:4">
      <c r="A54" s="112"/>
      <c r="B54" s="54" t="s">
        <v>285</v>
      </c>
      <c r="C54" s="69">
        <v>6</v>
      </c>
      <c r="D54" s="68">
        <v>0</v>
      </c>
    </row>
    <row r="55" spans="1:4">
      <c r="A55" s="112"/>
      <c r="B55" s="54" t="s">
        <v>286</v>
      </c>
      <c r="C55" s="69">
        <v>11</v>
      </c>
      <c r="D55" s="68">
        <v>0</v>
      </c>
    </row>
    <row r="56" spans="1:4">
      <c r="A56" s="112"/>
      <c r="B56" s="54" t="s">
        <v>287</v>
      </c>
      <c r="C56" s="69">
        <v>16</v>
      </c>
      <c r="D56" s="68">
        <v>1E-3</v>
      </c>
    </row>
    <row r="57" spans="1:4">
      <c r="A57" s="112"/>
      <c r="B57" s="54" t="s">
        <v>155</v>
      </c>
      <c r="C57" s="69">
        <v>127</v>
      </c>
      <c r="D57" s="68">
        <v>5.0000000000000001E-3</v>
      </c>
    </row>
    <row r="58" spans="1:4">
      <c r="A58" s="112"/>
      <c r="B58" s="54" t="s">
        <v>156</v>
      </c>
      <c r="C58" s="69">
        <v>6</v>
      </c>
      <c r="D58" s="68">
        <v>0</v>
      </c>
    </row>
    <row r="59" spans="1:4">
      <c r="A59" s="112"/>
      <c r="B59" s="54" t="s">
        <v>157</v>
      </c>
      <c r="C59" s="69">
        <v>34</v>
      </c>
      <c r="D59" s="68">
        <v>1E-3</v>
      </c>
    </row>
    <row r="60" spans="1:4">
      <c r="A60" s="112"/>
      <c r="B60" s="54" t="s">
        <v>158</v>
      </c>
      <c r="C60" s="69">
        <v>134</v>
      </c>
      <c r="D60" s="68">
        <v>5.0000000000000001E-3</v>
      </c>
    </row>
    <row r="61" spans="1:4">
      <c r="A61" s="112"/>
      <c r="B61" s="54" t="s">
        <v>288</v>
      </c>
      <c r="C61" s="69">
        <v>10</v>
      </c>
      <c r="D61" s="68">
        <v>0</v>
      </c>
    </row>
    <row r="62" spans="1:4">
      <c r="A62" s="112"/>
      <c r="B62" s="54" t="s">
        <v>289</v>
      </c>
      <c r="C62" s="69">
        <v>3</v>
      </c>
      <c r="D62" s="68">
        <v>0</v>
      </c>
    </row>
    <row r="63" spans="1:4">
      <c r="A63" s="112"/>
      <c r="B63" s="54" t="s">
        <v>290</v>
      </c>
      <c r="C63" s="69">
        <v>1</v>
      </c>
      <c r="D63" s="68">
        <v>0</v>
      </c>
    </row>
    <row r="64" spans="1:4">
      <c r="A64" s="112"/>
      <c r="B64" s="54" t="s">
        <v>163</v>
      </c>
      <c r="C64" s="69">
        <v>15</v>
      </c>
      <c r="D64" s="68">
        <v>1E-3</v>
      </c>
    </row>
    <row r="65" spans="1:4">
      <c r="A65" s="112"/>
      <c r="B65" s="54" t="s">
        <v>164</v>
      </c>
      <c r="C65" s="69">
        <v>41</v>
      </c>
      <c r="D65" s="68">
        <v>2E-3</v>
      </c>
    </row>
    <row r="66" spans="1:4">
      <c r="A66" s="112"/>
      <c r="B66" s="54" t="s">
        <v>165</v>
      </c>
      <c r="C66" s="69">
        <v>2</v>
      </c>
      <c r="D66" s="68">
        <v>0</v>
      </c>
    </row>
    <row r="67" spans="1:4">
      <c r="A67" s="112"/>
      <c r="B67" s="54" t="s">
        <v>166</v>
      </c>
      <c r="C67" s="69">
        <v>2</v>
      </c>
      <c r="D67" s="68">
        <v>0</v>
      </c>
    </row>
    <row r="68" spans="1:4">
      <c r="A68" s="113"/>
      <c r="B68" s="74" t="s">
        <v>304</v>
      </c>
      <c r="C68" s="80">
        <v>506</v>
      </c>
      <c r="D68" s="76">
        <v>2.1000000000000001E-2</v>
      </c>
    </row>
    <row r="69" spans="1:4">
      <c r="A69" s="111" t="s">
        <v>86</v>
      </c>
      <c r="B69" s="54" t="s">
        <v>151</v>
      </c>
      <c r="C69" s="69">
        <v>3</v>
      </c>
      <c r="D69" s="68">
        <v>0</v>
      </c>
    </row>
    <row r="70" spans="1:4">
      <c r="A70" s="112"/>
      <c r="B70" s="54" t="s">
        <v>286</v>
      </c>
      <c r="C70" s="69">
        <v>1</v>
      </c>
      <c r="D70" s="68">
        <v>0</v>
      </c>
    </row>
    <row r="71" spans="1:4">
      <c r="A71" s="112"/>
      <c r="B71" s="54" t="s">
        <v>155</v>
      </c>
      <c r="C71" s="69">
        <v>6</v>
      </c>
      <c r="D71" s="68">
        <v>0</v>
      </c>
    </row>
    <row r="72" spans="1:4">
      <c r="A72" s="112"/>
      <c r="B72" s="54" t="s">
        <v>157</v>
      </c>
      <c r="C72" s="69">
        <v>2</v>
      </c>
      <c r="D72" s="68">
        <v>0</v>
      </c>
    </row>
    <row r="73" spans="1:4">
      <c r="A73" s="112"/>
      <c r="B73" s="54" t="s">
        <v>158</v>
      </c>
      <c r="C73" s="69">
        <v>9</v>
      </c>
      <c r="D73" s="68">
        <v>0</v>
      </c>
    </row>
    <row r="74" spans="1:4">
      <c r="A74" s="112"/>
      <c r="B74" s="54" t="s">
        <v>290</v>
      </c>
      <c r="C74" s="69">
        <v>1</v>
      </c>
      <c r="D74" s="68">
        <v>0</v>
      </c>
    </row>
    <row r="75" spans="1:4">
      <c r="A75" s="112"/>
      <c r="B75" s="54" t="s">
        <v>164</v>
      </c>
      <c r="C75" s="69">
        <v>1</v>
      </c>
      <c r="D75" s="68">
        <v>0</v>
      </c>
    </row>
    <row r="76" spans="1:4">
      <c r="A76" s="113"/>
      <c r="B76" s="74" t="s">
        <v>304</v>
      </c>
      <c r="C76" s="80">
        <v>23</v>
      </c>
      <c r="D76" s="76">
        <v>1E-3</v>
      </c>
    </row>
    <row r="77" spans="1:4">
      <c r="A77" s="111" t="s">
        <v>80</v>
      </c>
      <c r="B77" s="54" t="s">
        <v>284</v>
      </c>
      <c r="C77" s="69">
        <v>1</v>
      </c>
      <c r="D77" s="68">
        <v>0</v>
      </c>
    </row>
    <row r="78" spans="1:4">
      <c r="A78" s="112"/>
      <c r="B78" s="54" t="s">
        <v>151</v>
      </c>
      <c r="C78" s="69">
        <v>1</v>
      </c>
      <c r="D78" s="68">
        <v>0</v>
      </c>
    </row>
    <row r="79" spans="1:4">
      <c r="A79" s="112"/>
      <c r="B79" s="54" t="s">
        <v>285</v>
      </c>
      <c r="C79" s="69">
        <v>1</v>
      </c>
      <c r="D79" s="68">
        <v>0</v>
      </c>
    </row>
    <row r="80" spans="1:4">
      <c r="A80" s="112"/>
      <c r="B80" s="54" t="s">
        <v>286</v>
      </c>
      <c r="C80" s="69">
        <v>2</v>
      </c>
      <c r="D80" s="68">
        <v>0</v>
      </c>
    </row>
    <row r="81" spans="1:4">
      <c r="A81" s="112"/>
      <c r="B81" s="54" t="s">
        <v>155</v>
      </c>
      <c r="C81" s="69">
        <v>9</v>
      </c>
      <c r="D81" s="68">
        <v>0</v>
      </c>
    </row>
    <row r="82" spans="1:4">
      <c r="A82" s="112"/>
      <c r="B82" s="54" t="s">
        <v>158</v>
      </c>
      <c r="C82" s="69">
        <v>12</v>
      </c>
      <c r="D82" s="68">
        <v>0</v>
      </c>
    </row>
    <row r="83" spans="1:4">
      <c r="A83" s="112"/>
      <c r="B83" s="54" t="s">
        <v>288</v>
      </c>
      <c r="C83" s="69">
        <v>1</v>
      </c>
      <c r="D83" s="68">
        <v>0</v>
      </c>
    </row>
    <row r="84" spans="1:4">
      <c r="A84" s="112"/>
      <c r="B84" s="54" t="s">
        <v>163</v>
      </c>
      <c r="C84" s="69">
        <v>1</v>
      </c>
      <c r="D84" s="68">
        <v>0</v>
      </c>
    </row>
    <row r="85" spans="1:4">
      <c r="A85" s="112"/>
      <c r="B85" s="54" t="s">
        <v>164</v>
      </c>
      <c r="C85" s="69">
        <v>2</v>
      </c>
      <c r="D85" s="68">
        <v>0</v>
      </c>
    </row>
    <row r="86" spans="1:4">
      <c r="A86" s="113"/>
      <c r="B86" s="74" t="s">
        <v>304</v>
      </c>
      <c r="C86" s="80">
        <v>30</v>
      </c>
      <c r="D86" s="76">
        <v>1E-3</v>
      </c>
    </row>
    <row r="87" spans="1:4">
      <c r="A87" s="111" t="s">
        <v>48</v>
      </c>
      <c r="B87" s="54" t="s">
        <v>144</v>
      </c>
      <c r="C87" s="69">
        <v>27</v>
      </c>
      <c r="D87" s="68">
        <v>1E-3</v>
      </c>
    </row>
    <row r="88" spans="1:4">
      <c r="A88" s="112"/>
      <c r="B88" s="54" t="s">
        <v>168</v>
      </c>
      <c r="C88" s="69">
        <v>1</v>
      </c>
      <c r="D88" s="68">
        <v>0</v>
      </c>
    </row>
    <row r="89" spans="1:4">
      <c r="A89" s="112"/>
      <c r="B89" s="54" t="s">
        <v>279</v>
      </c>
      <c r="C89" s="69">
        <v>7</v>
      </c>
      <c r="D89" s="68">
        <v>0</v>
      </c>
    </row>
    <row r="90" spans="1:4">
      <c r="A90" s="112"/>
      <c r="B90" s="54" t="s">
        <v>280</v>
      </c>
      <c r="C90" s="69">
        <v>23</v>
      </c>
      <c r="D90" s="68">
        <v>1E-3</v>
      </c>
    </row>
    <row r="91" spans="1:4">
      <c r="A91" s="112"/>
      <c r="B91" s="54" t="s">
        <v>281</v>
      </c>
      <c r="C91" s="69">
        <v>50</v>
      </c>
      <c r="D91" s="68">
        <v>2E-3</v>
      </c>
    </row>
    <row r="92" spans="1:4">
      <c r="A92" s="112"/>
      <c r="B92" s="54" t="s">
        <v>282</v>
      </c>
      <c r="C92" s="69">
        <v>42</v>
      </c>
      <c r="D92" s="68">
        <v>2E-3</v>
      </c>
    </row>
    <row r="93" spans="1:4">
      <c r="A93" s="112"/>
      <c r="B93" s="54" t="s">
        <v>283</v>
      </c>
      <c r="C93" s="69">
        <v>30</v>
      </c>
      <c r="D93" s="68">
        <v>1E-3</v>
      </c>
    </row>
    <row r="94" spans="1:4">
      <c r="A94" s="112"/>
      <c r="B94" s="54" t="s">
        <v>284</v>
      </c>
      <c r="C94" s="69">
        <v>230</v>
      </c>
      <c r="D94" s="68">
        <v>8.9999999999999993E-3</v>
      </c>
    </row>
    <row r="95" spans="1:4">
      <c r="A95" s="112"/>
      <c r="B95" s="54" t="s">
        <v>151</v>
      </c>
      <c r="C95" s="69">
        <v>192</v>
      </c>
      <c r="D95" s="68">
        <v>8.0000000000000002E-3</v>
      </c>
    </row>
    <row r="96" spans="1:4">
      <c r="A96" s="112"/>
      <c r="B96" s="54" t="s">
        <v>285</v>
      </c>
      <c r="C96" s="69">
        <v>54</v>
      </c>
      <c r="D96" s="68">
        <v>2E-3</v>
      </c>
    </row>
    <row r="97" spans="1:4">
      <c r="A97" s="112"/>
      <c r="B97" s="54" t="s">
        <v>286</v>
      </c>
      <c r="C97" s="69">
        <v>100</v>
      </c>
      <c r="D97" s="68">
        <v>4.0000000000000001E-3</v>
      </c>
    </row>
    <row r="98" spans="1:4">
      <c r="A98" s="112"/>
      <c r="B98" s="54" t="s">
        <v>287</v>
      </c>
      <c r="C98" s="69">
        <v>169</v>
      </c>
      <c r="D98" s="68">
        <v>7.0000000000000001E-3</v>
      </c>
    </row>
    <row r="99" spans="1:4">
      <c r="A99" s="112"/>
      <c r="B99" s="54" t="s">
        <v>155</v>
      </c>
      <c r="C99" s="69">
        <v>627</v>
      </c>
      <c r="D99" s="68">
        <v>2.5999999999999999E-2</v>
      </c>
    </row>
    <row r="100" spans="1:4">
      <c r="A100" s="112"/>
      <c r="B100" s="54" t="s">
        <v>156</v>
      </c>
      <c r="C100" s="69">
        <v>60</v>
      </c>
      <c r="D100" s="68">
        <v>2E-3</v>
      </c>
    </row>
    <row r="101" spans="1:4">
      <c r="A101" s="112"/>
      <c r="B101" s="54" t="s">
        <v>157</v>
      </c>
      <c r="C101" s="69">
        <v>229</v>
      </c>
      <c r="D101" s="68">
        <v>8.9999999999999993E-3</v>
      </c>
    </row>
    <row r="102" spans="1:4">
      <c r="A102" s="112"/>
      <c r="B102" s="54" t="s">
        <v>158</v>
      </c>
      <c r="C102" s="69">
        <v>831</v>
      </c>
      <c r="D102" s="68">
        <v>3.4000000000000002E-2</v>
      </c>
    </row>
    <row r="103" spans="1:4">
      <c r="A103" s="112"/>
      <c r="B103" s="54" t="s">
        <v>288</v>
      </c>
      <c r="C103" s="69">
        <v>27</v>
      </c>
      <c r="D103" s="68">
        <v>1E-3</v>
      </c>
    </row>
    <row r="104" spans="1:4">
      <c r="A104" s="112"/>
      <c r="B104" s="54" t="s">
        <v>289</v>
      </c>
      <c r="C104" s="69">
        <v>27</v>
      </c>
      <c r="D104" s="68">
        <v>1E-3</v>
      </c>
    </row>
    <row r="105" spans="1:4">
      <c r="A105" s="112"/>
      <c r="B105" s="54" t="s">
        <v>290</v>
      </c>
      <c r="C105" s="69">
        <v>4</v>
      </c>
      <c r="D105" s="68">
        <v>0</v>
      </c>
    </row>
    <row r="106" spans="1:4">
      <c r="A106" s="112"/>
      <c r="B106" s="54" t="s">
        <v>291</v>
      </c>
      <c r="C106" s="69">
        <v>2</v>
      </c>
      <c r="D106" s="68">
        <v>0</v>
      </c>
    </row>
    <row r="107" spans="1:4">
      <c r="A107" s="112"/>
      <c r="B107" s="54" t="s">
        <v>163</v>
      </c>
      <c r="C107" s="69">
        <v>68</v>
      </c>
      <c r="D107" s="68">
        <v>3.0000000000000001E-3</v>
      </c>
    </row>
    <row r="108" spans="1:4">
      <c r="A108" s="112"/>
      <c r="B108" s="54" t="s">
        <v>164</v>
      </c>
      <c r="C108" s="69">
        <v>225</v>
      </c>
      <c r="D108" s="68">
        <v>8.9999999999999993E-3</v>
      </c>
    </row>
    <row r="109" spans="1:4">
      <c r="A109" s="112"/>
      <c r="B109" s="54" t="s">
        <v>166</v>
      </c>
      <c r="C109" s="69">
        <v>13</v>
      </c>
      <c r="D109" s="68">
        <v>1E-3</v>
      </c>
    </row>
    <row r="110" spans="1:4">
      <c r="A110" s="112"/>
      <c r="B110" s="54" t="s">
        <v>167</v>
      </c>
      <c r="C110" s="69">
        <v>1</v>
      </c>
      <c r="D110" s="68">
        <v>0</v>
      </c>
    </row>
    <row r="111" spans="1:4">
      <c r="A111" s="113"/>
      <c r="B111" s="74" t="s">
        <v>304</v>
      </c>
      <c r="C111" s="80">
        <v>3039</v>
      </c>
      <c r="D111" s="76">
        <v>0.125</v>
      </c>
    </row>
    <row r="112" spans="1:4">
      <c r="A112" s="111" t="s">
        <v>95</v>
      </c>
      <c r="B112" s="54" t="s">
        <v>167</v>
      </c>
      <c r="C112" s="69">
        <v>1</v>
      </c>
      <c r="D112" s="68">
        <v>0</v>
      </c>
    </row>
    <row r="113" spans="1:4">
      <c r="A113" s="113"/>
      <c r="B113" s="74" t="s">
        <v>304</v>
      </c>
      <c r="C113" s="80">
        <v>1</v>
      </c>
      <c r="D113" s="76">
        <v>0</v>
      </c>
    </row>
    <row r="114" spans="1:4">
      <c r="A114" s="111" t="s">
        <v>53</v>
      </c>
      <c r="B114" s="54" t="s">
        <v>144</v>
      </c>
      <c r="C114" s="69">
        <v>2</v>
      </c>
      <c r="D114" s="68">
        <v>0</v>
      </c>
    </row>
    <row r="115" spans="1:4">
      <c r="A115" s="112"/>
      <c r="B115" s="54" t="s">
        <v>280</v>
      </c>
      <c r="C115" s="69">
        <v>1</v>
      </c>
      <c r="D115" s="68">
        <v>0</v>
      </c>
    </row>
    <row r="116" spans="1:4">
      <c r="A116" s="112"/>
      <c r="B116" s="54" t="s">
        <v>281</v>
      </c>
      <c r="C116" s="69">
        <v>2</v>
      </c>
      <c r="D116" s="68">
        <v>0</v>
      </c>
    </row>
    <row r="117" spans="1:4">
      <c r="A117" s="112"/>
      <c r="B117" s="54" t="s">
        <v>282</v>
      </c>
      <c r="C117" s="69">
        <v>1</v>
      </c>
      <c r="D117" s="68">
        <v>0</v>
      </c>
    </row>
    <row r="118" spans="1:4">
      <c r="A118" s="112"/>
      <c r="B118" s="54" t="s">
        <v>283</v>
      </c>
      <c r="C118" s="69">
        <v>3</v>
      </c>
      <c r="D118" s="68">
        <v>0</v>
      </c>
    </row>
    <row r="119" spans="1:4">
      <c r="A119" s="112"/>
      <c r="B119" s="54" t="s">
        <v>284</v>
      </c>
      <c r="C119" s="69">
        <v>16</v>
      </c>
      <c r="D119" s="68">
        <v>1E-3</v>
      </c>
    </row>
    <row r="120" spans="1:4">
      <c r="A120" s="112"/>
      <c r="B120" s="54" t="s">
        <v>151</v>
      </c>
      <c r="C120" s="69">
        <v>60</v>
      </c>
      <c r="D120" s="68">
        <v>2E-3</v>
      </c>
    </row>
    <row r="121" spans="1:4">
      <c r="A121" s="112"/>
      <c r="B121" s="54" t="s">
        <v>285</v>
      </c>
      <c r="C121" s="69">
        <v>3</v>
      </c>
      <c r="D121" s="68">
        <v>0</v>
      </c>
    </row>
    <row r="122" spans="1:4">
      <c r="A122" s="112"/>
      <c r="B122" s="54" t="s">
        <v>286</v>
      </c>
      <c r="C122" s="69">
        <v>9</v>
      </c>
      <c r="D122" s="68">
        <v>0</v>
      </c>
    </row>
    <row r="123" spans="1:4">
      <c r="A123" s="112"/>
      <c r="B123" s="54" t="s">
        <v>287</v>
      </c>
      <c r="C123" s="69">
        <v>18</v>
      </c>
      <c r="D123" s="68">
        <v>1E-3</v>
      </c>
    </row>
    <row r="124" spans="1:4">
      <c r="A124" s="112"/>
      <c r="B124" s="54" t="s">
        <v>155</v>
      </c>
      <c r="C124" s="69">
        <v>161</v>
      </c>
      <c r="D124" s="68">
        <v>7.0000000000000001E-3</v>
      </c>
    </row>
    <row r="125" spans="1:4">
      <c r="A125" s="112"/>
      <c r="B125" s="54" t="s">
        <v>156</v>
      </c>
      <c r="C125" s="69">
        <v>4</v>
      </c>
      <c r="D125" s="68">
        <v>0</v>
      </c>
    </row>
    <row r="126" spans="1:4">
      <c r="A126" s="112"/>
      <c r="B126" s="54" t="s">
        <v>157</v>
      </c>
      <c r="C126" s="69">
        <v>36</v>
      </c>
      <c r="D126" s="68">
        <v>1E-3</v>
      </c>
    </row>
    <row r="127" spans="1:4">
      <c r="A127" s="112"/>
      <c r="B127" s="54" t="s">
        <v>158</v>
      </c>
      <c r="C127" s="69">
        <v>171</v>
      </c>
      <c r="D127" s="68">
        <v>7.0000000000000001E-3</v>
      </c>
    </row>
    <row r="128" spans="1:4">
      <c r="A128" s="112"/>
      <c r="B128" s="54" t="s">
        <v>288</v>
      </c>
      <c r="C128" s="69">
        <v>4</v>
      </c>
      <c r="D128" s="68">
        <v>0</v>
      </c>
    </row>
    <row r="129" spans="1:4">
      <c r="A129" s="112"/>
      <c r="B129" s="54" t="s">
        <v>289</v>
      </c>
      <c r="C129" s="69">
        <v>1</v>
      </c>
      <c r="D129" s="68">
        <v>0</v>
      </c>
    </row>
    <row r="130" spans="1:4">
      <c r="A130" s="112"/>
      <c r="B130" s="54" t="s">
        <v>291</v>
      </c>
      <c r="C130" s="69">
        <v>1</v>
      </c>
      <c r="D130" s="68">
        <v>0</v>
      </c>
    </row>
    <row r="131" spans="1:4">
      <c r="A131" s="112"/>
      <c r="B131" s="54" t="s">
        <v>163</v>
      </c>
      <c r="C131" s="69">
        <v>17</v>
      </c>
      <c r="D131" s="68">
        <v>1E-3</v>
      </c>
    </row>
    <row r="132" spans="1:4">
      <c r="A132" s="112"/>
      <c r="B132" s="54" t="s">
        <v>164</v>
      </c>
      <c r="C132" s="69">
        <v>43</v>
      </c>
      <c r="D132" s="68">
        <v>2E-3</v>
      </c>
    </row>
    <row r="133" spans="1:4">
      <c r="A133" s="112"/>
      <c r="B133" s="54" t="s">
        <v>165</v>
      </c>
      <c r="C133" s="69">
        <v>1</v>
      </c>
      <c r="D133" s="68">
        <v>0</v>
      </c>
    </row>
    <row r="134" spans="1:4">
      <c r="A134" s="112"/>
      <c r="B134" s="54" t="s">
        <v>166</v>
      </c>
      <c r="C134" s="69">
        <v>1</v>
      </c>
      <c r="D134" s="68">
        <v>0</v>
      </c>
    </row>
    <row r="135" spans="1:4">
      <c r="A135" s="113"/>
      <c r="B135" s="74" t="s">
        <v>304</v>
      </c>
      <c r="C135" s="80">
        <v>555</v>
      </c>
      <c r="D135" s="76">
        <v>2.3E-2</v>
      </c>
    </row>
    <row r="136" spans="1:4">
      <c r="A136" s="111" t="s">
        <v>49</v>
      </c>
      <c r="B136" s="54" t="s">
        <v>144</v>
      </c>
      <c r="C136" s="69">
        <v>12</v>
      </c>
      <c r="D136" s="68">
        <v>0</v>
      </c>
    </row>
    <row r="137" spans="1:4">
      <c r="A137" s="112"/>
      <c r="B137" s="54" t="s">
        <v>279</v>
      </c>
      <c r="C137" s="69">
        <v>5</v>
      </c>
      <c r="D137" s="68">
        <v>0</v>
      </c>
    </row>
    <row r="138" spans="1:4">
      <c r="A138" s="112"/>
      <c r="B138" s="54" t="s">
        <v>280</v>
      </c>
      <c r="C138" s="69">
        <v>5</v>
      </c>
      <c r="D138" s="68">
        <v>0</v>
      </c>
    </row>
    <row r="139" spans="1:4">
      <c r="A139" s="112"/>
      <c r="B139" s="54" t="s">
        <v>281</v>
      </c>
      <c r="C139" s="69">
        <v>19</v>
      </c>
      <c r="D139" s="68">
        <v>1E-3</v>
      </c>
    </row>
    <row r="140" spans="1:4">
      <c r="A140" s="112"/>
      <c r="B140" s="54" t="s">
        <v>282</v>
      </c>
      <c r="C140" s="69">
        <v>13</v>
      </c>
      <c r="D140" s="68">
        <v>1E-3</v>
      </c>
    </row>
    <row r="141" spans="1:4">
      <c r="A141" s="112"/>
      <c r="B141" s="54" t="s">
        <v>283</v>
      </c>
      <c r="C141" s="69">
        <v>19</v>
      </c>
      <c r="D141" s="68">
        <v>1E-3</v>
      </c>
    </row>
    <row r="142" spans="1:4">
      <c r="A142" s="112"/>
      <c r="B142" s="54" t="s">
        <v>284</v>
      </c>
      <c r="C142" s="69">
        <v>109</v>
      </c>
      <c r="D142" s="68">
        <v>4.0000000000000001E-3</v>
      </c>
    </row>
    <row r="143" spans="1:4">
      <c r="A143" s="112"/>
      <c r="B143" s="54" t="s">
        <v>151</v>
      </c>
      <c r="C143" s="69">
        <v>165</v>
      </c>
      <c r="D143" s="68">
        <v>7.0000000000000001E-3</v>
      </c>
    </row>
    <row r="144" spans="1:4">
      <c r="A144" s="112"/>
      <c r="B144" s="54" t="s">
        <v>285</v>
      </c>
      <c r="C144" s="69">
        <v>21</v>
      </c>
      <c r="D144" s="68">
        <v>1E-3</v>
      </c>
    </row>
    <row r="145" spans="1:4">
      <c r="A145" s="112"/>
      <c r="B145" s="54" t="s">
        <v>286</v>
      </c>
      <c r="C145" s="69">
        <v>30</v>
      </c>
      <c r="D145" s="68">
        <v>1E-3</v>
      </c>
    </row>
    <row r="146" spans="1:4">
      <c r="A146" s="112"/>
      <c r="B146" s="54" t="s">
        <v>287</v>
      </c>
      <c r="C146" s="69">
        <v>56</v>
      </c>
      <c r="D146" s="68">
        <v>2E-3</v>
      </c>
    </row>
    <row r="147" spans="1:4">
      <c r="A147" s="112"/>
      <c r="B147" s="54" t="s">
        <v>155</v>
      </c>
      <c r="C147" s="69">
        <v>647</v>
      </c>
      <c r="D147" s="68">
        <v>2.7E-2</v>
      </c>
    </row>
    <row r="148" spans="1:4">
      <c r="A148" s="112"/>
      <c r="B148" s="54" t="s">
        <v>156</v>
      </c>
      <c r="C148" s="69">
        <v>52</v>
      </c>
      <c r="D148" s="68">
        <v>2E-3</v>
      </c>
    </row>
    <row r="149" spans="1:4">
      <c r="A149" s="112"/>
      <c r="B149" s="54" t="s">
        <v>157</v>
      </c>
      <c r="C149" s="69">
        <v>152</v>
      </c>
      <c r="D149" s="68">
        <v>6.0000000000000001E-3</v>
      </c>
    </row>
    <row r="150" spans="1:4">
      <c r="A150" s="112"/>
      <c r="B150" s="54" t="s">
        <v>158</v>
      </c>
      <c r="C150" s="69">
        <v>674</v>
      </c>
      <c r="D150" s="68">
        <v>2.8000000000000001E-2</v>
      </c>
    </row>
    <row r="151" spans="1:4">
      <c r="A151" s="112"/>
      <c r="B151" s="54" t="s">
        <v>288</v>
      </c>
      <c r="C151" s="69">
        <v>8</v>
      </c>
      <c r="D151" s="68">
        <v>0</v>
      </c>
    </row>
    <row r="152" spans="1:4">
      <c r="A152" s="112"/>
      <c r="B152" s="54" t="s">
        <v>289</v>
      </c>
      <c r="C152" s="69">
        <v>6</v>
      </c>
      <c r="D152" s="68">
        <v>0</v>
      </c>
    </row>
    <row r="153" spans="1:4">
      <c r="A153" s="112"/>
      <c r="B153" s="54" t="s">
        <v>290</v>
      </c>
      <c r="C153" s="69">
        <v>9</v>
      </c>
      <c r="D153" s="68">
        <v>0</v>
      </c>
    </row>
    <row r="154" spans="1:4">
      <c r="A154" s="112"/>
      <c r="B154" s="54" t="s">
        <v>291</v>
      </c>
      <c r="C154" s="69">
        <v>5</v>
      </c>
      <c r="D154" s="68">
        <v>0</v>
      </c>
    </row>
    <row r="155" spans="1:4">
      <c r="A155" s="112"/>
      <c r="B155" s="54" t="s">
        <v>163</v>
      </c>
      <c r="C155" s="69">
        <v>40</v>
      </c>
      <c r="D155" s="68">
        <v>2E-3</v>
      </c>
    </row>
    <row r="156" spans="1:4">
      <c r="A156" s="112"/>
      <c r="B156" s="54" t="s">
        <v>164</v>
      </c>
      <c r="C156" s="69">
        <v>133</v>
      </c>
      <c r="D156" s="68">
        <v>5.0000000000000001E-3</v>
      </c>
    </row>
    <row r="157" spans="1:4">
      <c r="A157" s="112"/>
      <c r="B157" s="54" t="s">
        <v>165</v>
      </c>
      <c r="C157" s="69">
        <v>4</v>
      </c>
      <c r="D157" s="68">
        <v>0</v>
      </c>
    </row>
    <row r="158" spans="1:4">
      <c r="A158" s="113"/>
      <c r="B158" s="74" t="s">
        <v>304</v>
      </c>
      <c r="C158" s="80">
        <v>2184</v>
      </c>
      <c r="D158" s="76">
        <v>0.09</v>
      </c>
    </row>
    <row r="159" spans="1:4">
      <c r="A159" s="111" t="s">
        <v>88</v>
      </c>
      <c r="B159" s="54" t="s">
        <v>279</v>
      </c>
      <c r="C159" s="69">
        <v>1</v>
      </c>
      <c r="D159" s="68">
        <v>0</v>
      </c>
    </row>
    <row r="160" spans="1:4">
      <c r="A160" s="112"/>
      <c r="B160" s="54" t="s">
        <v>155</v>
      </c>
      <c r="C160" s="69">
        <v>2</v>
      </c>
      <c r="D160" s="68">
        <v>0</v>
      </c>
    </row>
    <row r="161" spans="1:4">
      <c r="A161" s="112"/>
      <c r="B161" s="54" t="s">
        <v>157</v>
      </c>
      <c r="C161" s="69">
        <v>1</v>
      </c>
      <c r="D161" s="68">
        <v>0</v>
      </c>
    </row>
    <row r="162" spans="1:4">
      <c r="A162" s="112"/>
      <c r="B162" s="54" t="s">
        <v>158</v>
      </c>
      <c r="C162" s="69">
        <v>5</v>
      </c>
      <c r="D162" s="68">
        <v>0</v>
      </c>
    </row>
    <row r="163" spans="1:4">
      <c r="A163" s="112"/>
      <c r="B163" s="54" t="s">
        <v>164</v>
      </c>
      <c r="C163" s="69">
        <v>2</v>
      </c>
      <c r="D163" s="68">
        <v>0</v>
      </c>
    </row>
    <row r="164" spans="1:4">
      <c r="A164" s="112"/>
      <c r="B164" s="54" t="s">
        <v>166</v>
      </c>
      <c r="C164" s="69">
        <v>1</v>
      </c>
      <c r="D164" s="68">
        <v>0</v>
      </c>
    </row>
    <row r="165" spans="1:4">
      <c r="A165" s="113"/>
      <c r="B165" s="74" t="s">
        <v>304</v>
      </c>
      <c r="C165" s="80">
        <v>12</v>
      </c>
      <c r="D165" s="76">
        <v>0</v>
      </c>
    </row>
    <row r="166" spans="1:4">
      <c r="A166" s="111" t="s">
        <v>69</v>
      </c>
      <c r="B166" s="54" t="s">
        <v>281</v>
      </c>
      <c r="C166" s="69">
        <v>3</v>
      </c>
      <c r="D166" s="68">
        <v>0</v>
      </c>
    </row>
    <row r="167" spans="1:4">
      <c r="A167" s="112"/>
      <c r="B167" s="54" t="s">
        <v>284</v>
      </c>
      <c r="C167" s="69">
        <v>3</v>
      </c>
      <c r="D167" s="68">
        <v>0</v>
      </c>
    </row>
    <row r="168" spans="1:4">
      <c r="A168" s="112"/>
      <c r="B168" s="54" t="s">
        <v>151</v>
      </c>
      <c r="C168" s="69">
        <v>5</v>
      </c>
      <c r="D168" s="68">
        <v>0</v>
      </c>
    </row>
    <row r="169" spans="1:4">
      <c r="A169" s="112"/>
      <c r="B169" s="54" t="s">
        <v>286</v>
      </c>
      <c r="C169" s="69">
        <v>1</v>
      </c>
      <c r="D169" s="68">
        <v>0</v>
      </c>
    </row>
    <row r="170" spans="1:4">
      <c r="A170" s="112"/>
      <c r="B170" s="54" t="s">
        <v>287</v>
      </c>
      <c r="C170" s="69">
        <v>2</v>
      </c>
      <c r="D170" s="68">
        <v>0</v>
      </c>
    </row>
    <row r="171" spans="1:4">
      <c r="A171" s="112"/>
      <c r="B171" s="54" t="s">
        <v>155</v>
      </c>
      <c r="C171" s="69">
        <v>19</v>
      </c>
      <c r="D171" s="68">
        <v>1E-3</v>
      </c>
    </row>
    <row r="172" spans="1:4">
      <c r="A172" s="112"/>
      <c r="B172" s="54" t="s">
        <v>156</v>
      </c>
      <c r="C172" s="69">
        <v>1</v>
      </c>
      <c r="D172" s="68">
        <v>0</v>
      </c>
    </row>
    <row r="173" spans="1:4">
      <c r="A173" s="112"/>
      <c r="B173" s="54" t="s">
        <v>157</v>
      </c>
      <c r="C173" s="69">
        <v>5</v>
      </c>
      <c r="D173" s="68">
        <v>0</v>
      </c>
    </row>
    <row r="174" spans="1:4">
      <c r="A174" s="112"/>
      <c r="B174" s="54" t="s">
        <v>158</v>
      </c>
      <c r="C174" s="69">
        <v>15</v>
      </c>
      <c r="D174" s="68">
        <v>1E-3</v>
      </c>
    </row>
    <row r="175" spans="1:4">
      <c r="A175" s="112"/>
      <c r="B175" s="54" t="s">
        <v>288</v>
      </c>
      <c r="C175" s="69">
        <v>1</v>
      </c>
      <c r="D175" s="68">
        <v>0</v>
      </c>
    </row>
    <row r="176" spans="1:4">
      <c r="A176" s="112"/>
      <c r="B176" s="54" t="s">
        <v>163</v>
      </c>
      <c r="C176" s="69">
        <v>1</v>
      </c>
      <c r="D176" s="68">
        <v>0</v>
      </c>
    </row>
    <row r="177" spans="1:4">
      <c r="A177" s="112"/>
      <c r="B177" s="54" t="s">
        <v>164</v>
      </c>
      <c r="C177" s="69">
        <v>7</v>
      </c>
      <c r="D177" s="68">
        <v>0</v>
      </c>
    </row>
    <row r="178" spans="1:4">
      <c r="A178" s="113"/>
      <c r="B178" s="74" t="s">
        <v>304</v>
      </c>
      <c r="C178" s="80">
        <v>63</v>
      </c>
      <c r="D178" s="76">
        <v>3.0000000000000001E-3</v>
      </c>
    </row>
    <row r="179" spans="1:4">
      <c r="A179" s="111" t="s">
        <v>60</v>
      </c>
      <c r="B179" s="54" t="s">
        <v>144</v>
      </c>
      <c r="C179" s="69">
        <v>2</v>
      </c>
      <c r="D179" s="68">
        <v>0</v>
      </c>
    </row>
    <row r="180" spans="1:4">
      <c r="A180" s="112"/>
      <c r="B180" s="54" t="s">
        <v>280</v>
      </c>
      <c r="C180" s="69">
        <v>3</v>
      </c>
      <c r="D180" s="68">
        <v>0</v>
      </c>
    </row>
    <row r="181" spans="1:4">
      <c r="A181" s="112"/>
      <c r="B181" s="54" t="s">
        <v>281</v>
      </c>
      <c r="C181" s="69">
        <v>2</v>
      </c>
      <c r="D181" s="68">
        <v>0</v>
      </c>
    </row>
    <row r="182" spans="1:4">
      <c r="A182" s="112"/>
      <c r="B182" s="54" t="s">
        <v>282</v>
      </c>
      <c r="C182" s="69">
        <v>3</v>
      </c>
      <c r="D182" s="68">
        <v>0</v>
      </c>
    </row>
    <row r="183" spans="1:4">
      <c r="A183" s="112"/>
      <c r="B183" s="54" t="s">
        <v>283</v>
      </c>
      <c r="C183" s="69">
        <v>4</v>
      </c>
      <c r="D183" s="68">
        <v>0</v>
      </c>
    </row>
    <row r="184" spans="1:4">
      <c r="A184" s="112"/>
      <c r="B184" s="54" t="s">
        <v>284</v>
      </c>
      <c r="C184" s="69">
        <v>22</v>
      </c>
      <c r="D184" s="68">
        <v>1E-3</v>
      </c>
    </row>
    <row r="185" spans="1:4">
      <c r="A185" s="112"/>
      <c r="B185" s="54" t="s">
        <v>151</v>
      </c>
      <c r="C185" s="69">
        <v>21</v>
      </c>
      <c r="D185" s="68">
        <v>1E-3</v>
      </c>
    </row>
    <row r="186" spans="1:4">
      <c r="A186" s="112"/>
      <c r="B186" s="54" t="s">
        <v>285</v>
      </c>
      <c r="C186" s="69">
        <v>6</v>
      </c>
      <c r="D186" s="68">
        <v>0</v>
      </c>
    </row>
    <row r="187" spans="1:4">
      <c r="A187" s="112"/>
      <c r="B187" s="54" t="s">
        <v>286</v>
      </c>
      <c r="C187" s="69">
        <v>8</v>
      </c>
      <c r="D187" s="68">
        <v>0</v>
      </c>
    </row>
    <row r="188" spans="1:4">
      <c r="A188" s="112"/>
      <c r="B188" s="54" t="s">
        <v>287</v>
      </c>
      <c r="C188" s="69">
        <v>6</v>
      </c>
      <c r="D188" s="68">
        <v>0</v>
      </c>
    </row>
    <row r="189" spans="1:4">
      <c r="A189" s="112"/>
      <c r="B189" s="54" t="s">
        <v>155</v>
      </c>
      <c r="C189" s="69">
        <v>67</v>
      </c>
      <c r="D189" s="68">
        <v>3.0000000000000001E-3</v>
      </c>
    </row>
    <row r="190" spans="1:4">
      <c r="A190" s="112"/>
      <c r="B190" s="54" t="s">
        <v>156</v>
      </c>
      <c r="C190" s="69">
        <v>9</v>
      </c>
      <c r="D190" s="68">
        <v>0</v>
      </c>
    </row>
    <row r="191" spans="1:4">
      <c r="A191" s="112"/>
      <c r="B191" s="54" t="s">
        <v>157</v>
      </c>
      <c r="C191" s="69">
        <v>27</v>
      </c>
      <c r="D191" s="68">
        <v>1E-3</v>
      </c>
    </row>
    <row r="192" spans="1:4">
      <c r="A192" s="112"/>
      <c r="B192" s="54" t="s">
        <v>158</v>
      </c>
      <c r="C192" s="69">
        <v>87</v>
      </c>
      <c r="D192" s="68">
        <v>4.0000000000000001E-3</v>
      </c>
    </row>
    <row r="193" spans="1:4">
      <c r="A193" s="112"/>
      <c r="B193" s="54" t="s">
        <v>288</v>
      </c>
      <c r="C193" s="69">
        <v>1</v>
      </c>
      <c r="D193" s="68">
        <v>0</v>
      </c>
    </row>
    <row r="194" spans="1:4">
      <c r="A194" s="112"/>
      <c r="B194" s="54" t="s">
        <v>289</v>
      </c>
      <c r="C194" s="69">
        <v>1</v>
      </c>
      <c r="D194" s="68">
        <v>0</v>
      </c>
    </row>
    <row r="195" spans="1:4">
      <c r="A195" s="112"/>
      <c r="B195" s="54" t="s">
        <v>163</v>
      </c>
      <c r="C195" s="69">
        <v>9</v>
      </c>
      <c r="D195" s="68">
        <v>0</v>
      </c>
    </row>
    <row r="196" spans="1:4">
      <c r="A196" s="112"/>
      <c r="B196" s="54" t="s">
        <v>164</v>
      </c>
      <c r="C196" s="69">
        <v>17</v>
      </c>
      <c r="D196" s="68">
        <v>1E-3</v>
      </c>
    </row>
    <row r="197" spans="1:4">
      <c r="A197" s="112"/>
      <c r="B197" s="54" t="s">
        <v>165</v>
      </c>
      <c r="C197" s="69">
        <v>1</v>
      </c>
      <c r="D197" s="68">
        <v>0</v>
      </c>
    </row>
    <row r="198" spans="1:4">
      <c r="A198" s="112"/>
      <c r="B198" s="54" t="s">
        <v>166</v>
      </c>
      <c r="C198" s="69">
        <v>1</v>
      </c>
      <c r="D198" s="68">
        <v>0</v>
      </c>
    </row>
    <row r="199" spans="1:4">
      <c r="A199" s="113"/>
      <c r="B199" s="74" t="s">
        <v>304</v>
      </c>
      <c r="C199" s="80">
        <v>297</v>
      </c>
      <c r="D199" s="76">
        <v>1.2E-2</v>
      </c>
    </row>
    <row r="200" spans="1:4">
      <c r="A200" s="111" t="s">
        <v>90</v>
      </c>
      <c r="B200" s="54" t="s">
        <v>168</v>
      </c>
      <c r="C200" s="69">
        <v>1</v>
      </c>
      <c r="D200" s="68">
        <v>0</v>
      </c>
    </row>
    <row r="201" spans="1:4">
      <c r="A201" s="112"/>
      <c r="B201" s="54" t="s">
        <v>279</v>
      </c>
      <c r="C201" s="69">
        <v>1</v>
      </c>
      <c r="D201" s="68">
        <v>0</v>
      </c>
    </row>
    <row r="202" spans="1:4">
      <c r="A202" s="112"/>
      <c r="B202" s="54" t="s">
        <v>284</v>
      </c>
      <c r="C202" s="69">
        <v>1</v>
      </c>
      <c r="D202" s="68">
        <v>0</v>
      </c>
    </row>
    <row r="203" spans="1:4">
      <c r="A203" s="112"/>
      <c r="B203" s="54" t="s">
        <v>151</v>
      </c>
      <c r="C203" s="69">
        <v>1</v>
      </c>
      <c r="D203" s="68">
        <v>0</v>
      </c>
    </row>
    <row r="204" spans="1:4">
      <c r="A204" s="112"/>
      <c r="B204" s="54" t="s">
        <v>155</v>
      </c>
      <c r="C204" s="69">
        <v>2</v>
      </c>
      <c r="D204" s="68">
        <v>0</v>
      </c>
    </row>
    <row r="205" spans="1:4">
      <c r="A205" s="112"/>
      <c r="B205" s="54" t="s">
        <v>163</v>
      </c>
      <c r="C205" s="69">
        <v>1</v>
      </c>
      <c r="D205" s="68">
        <v>0</v>
      </c>
    </row>
    <row r="206" spans="1:4">
      <c r="A206" s="112"/>
      <c r="B206" s="54" t="s">
        <v>166</v>
      </c>
      <c r="C206" s="69">
        <v>2</v>
      </c>
      <c r="D206" s="68">
        <v>0</v>
      </c>
    </row>
    <row r="207" spans="1:4">
      <c r="A207" s="113"/>
      <c r="B207" s="74" t="s">
        <v>304</v>
      </c>
      <c r="C207" s="80">
        <v>9</v>
      </c>
      <c r="D207" s="76">
        <v>0</v>
      </c>
    </row>
    <row r="208" spans="1:4">
      <c r="A208" s="111" t="s">
        <v>85</v>
      </c>
      <c r="B208" s="54" t="s">
        <v>155</v>
      </c>
      <c r="C208" s="69">
        <v>5</v>
      </c>
      <c r="D208" s="68">
        <v>0</v>
      </c>
    </row>
    <row r="209" spans="1:4">
      <c r="A209" s="112"/>
      <c r="B209" s="54" t="s">
        <v>158</v>
      </c>
      <c r="C209" s="69">
        <v>3</v>
      </c>
      <c r="D209" s="68">
        <v>0</v>
      </c>
    </row>
    <row r="210" spans="1:4">
      <c r="A210" s="112"/>
      <c r="B210" s="54" t="s">
        <v>289</v>
      </c>
      <c r="C210" s="69">
        <v>1</v>
      </c>
      <c r="D210" s="68">
        <v>0</v>
      </c>
    </row>
    <row r="211" spans="1:4">
      <c r="A211" s="112"/>
      <c r="B211" s="54" t="s">
        <v>163</v>
      </c>
      <c r="C211" s="69">
        <v>2</v>
      </c>
      <c r="D211" s="68">
        <v>0</v>
      </c>
    </row>
    <row r="212" spans="1:4">
      <c r="A212" s="112"/>
      <c r="B212" s="54" t="s">
        <v>164</v>
      </c>
      <c r="C212" s="69">
        <v>4</v>
      </c>
      <c r="D212" s="68">
        <v>0</v>
      </c>
    </row>
    <row r="213" spans="1:4">
      <c r="A213" s="113"/>
      <c r="B213" s="74" t="s">
        <v>304</v>
      </c>
      <c r="C213" s="80">
        <v>15</v>
      </c>
      <c r="D213" s="76">
        <v>1E-3</v>
      </c>
    </row>
    <row r="214" spans="1:4">
      <c r="A214" s="111" t="s">
        <v>68</v>
      </c>
      <c r="B214" s="54" t="s">
        <v>282</v>
      </c>
      <c r="C214" s="69">
        <v>2</v>
      </c>
      <c r="D214" s="68">
        <v>0</v>
      </c>
    </row>
    <row r="215" spans="1:4">
      <c r="A215" s="112"/>
      <c r="B215" s="54" t="s">
        <v>283</v>
      </c>
      <c r="C215" s="69">
        <v>1</v>
      </c>
      <c r="D215" s="68">
        <v>0</v>
      </c>
    </row>
    <row r="216" spans="1:4">
      <c r="A216" s="112"/>
      <c r="B216" s="54" t="s">
        <v>284</v>
      </c>
      <c r="C216" s="69">
        <v>4</v>
      </c>
      <c r="D216" s="68">
        <v>0</v>
      </c>
    </row>
    <row r="217" spans="1:4">
      <c r="A217" s="112"/>
      <c r="B217" s="54" t="s">
        <v>151</v>
      </c>
      <c r="C217" s="69">
        <v>2</v>
      </c>
      <c r="D217" s="68">
        <v>0</v>
      </c>
    </row>
    <row r="218" spans="1:4">
      <c r="A218" s="112"/>
      <c r="B218" s="54" t="s">
        <v>285</v>
      </c>
      <c r="C218" s="69">
        <v>1</v>
      </c>
      <c r="D218" s="68">
        <v>0</v>
      </c>
    </row>
    <row r="219" spans="1:4">
      <c r="A219" s="112"/>
      <c r="B219" s="54" t="s">
        <v>286</v>
      </c>
      <c r="C219" s="69">
        <v>2</v>
      </c>
      <c r="D219" s="68">
        <v>0</v>
      </c>
    </row>
    <row r="220" spans="1:4">
      <c r="A220" s="112"/>
      <c r="B220" s="54" t="s">
        <v>155</v>
      </c>
      <c r="C220" s="69">
        <v>16</v>
      </c>
      <c r="D220" s="68">
        <v>1E-3</v>
      </c>
    </row>
    <row r="221" spans="1:4">
      <c r="A221" s="112"/>
      <c r="B221" s="54" t="s">
        <v>156</v>
      </c>
      <c r="C221" s="69">
        <v>2</v>
      </c>
      <c r="D221" s="68">
        <v>0</v>
      </c>
    </row>
    <row r="222" spans="1:4">
      <c r="A222" s="112"/>
      <c r="B222" s="54" t="s">
        <v>157</v>
      </c>
      <c r="C222" s="69">
        <v>2</v>
      </c>
      <c r="D222" s="68">
        <v>0</v>
      </c>
    </row>
    <row r="223" spans="1:4">
      <c r="A223" s="112"/>
      <c r="B223" s="54" t="s">
        <v>158</v>
      </c>
      <c r="C223" s="69">
        <v>17</v>
      </c>
      <c r="D223" s="68">
        <v>1E-3</v>
      </c>
    </row>
    <row r="224" spans="1:4">
      <c r="A224" s="112"/>
      <c r="B224" s="54" t="s">
        <v>164</v>
      </c>
      <c r="C224" s="69">
        <v>5</v>
      </c>
      <c r="D224" s="68">
        <v>0</v>
      </c>
    </row>
    <row r="225" spans="1:4">
      <c r="A225" s="112"/>
      <c r="B225" s="54" t="s">
        <v>166</v>
      </c>
      <c r="C225" s="69">
        <v>1</v>
      </c>
      <c r="D225" s="68">
        <v>0</v>
      </c>
    </row>
    <row r="226" spans="1:4">
      <c r="A226" s="113"/>
      <c r="B226" s="74" t="s">
        <v>304</v>
      </c>
      <c r="C226" s="80">
        <v>55</v>
      </c>
      <c r="D226" s="76">
        <v>2E-3</v>
      </c>
    </row>
    <row r="227" spans="1:4">
      <c r="A227" s="111" t="s">
        <v>71</v>
      </c>
      <c r="B227" s="54" t="s">
        <v>279</v>
      </c>
      <c r="C227" s="69">
        <v>1</v>
      </c>
      <c r="D227" s="68">
        <v>0</v>
      </c>
    </row>
    <row r="228" spans="1:4">
      <c r="A228" s="112"/>
      <c r="B228" s="54" t="s">
        <v>281</v>
      </c>
      <c r="C228" s="69">
        <v>1</v>
      </c>
      <c r="D228" s="68">
        <v>0</v>
      </c>
    </row>
    <row r="229" spans="1:4">
      <c r="A229" s="112"/>
      <c r="B229" s="54" t="s">
        <v>282</v>
      </c>
      <c r="C229" s="69">
        <v>1</v>
      </c>
      <c r="D229" s="68">
        <v>0</v>
      </c>
    </row>
    <row r="230" spans="1:4">
      <c r="A230" s="112"/>
      <c r="B230" s="54" t="s">
        <v>283</v>
      </c>
      <c r="C230" s="69">
        <v>1</v>
      </c>
      <c r="D230" s="68">
        <v>0</v>
      </c>
    </row>
    <row r="231" spans="1:4">
      <c r="A231" s="112"/>
      <c r="B231" s="54" t="s">
        <v>284</v>
      </c>
      <c r="C231" s="69">
        <v>3</v>
      </c>
      <c r="D231" s="68">
        <v>0</v>
      </c>
    </row>
    <row r="232" spans="1:4">
      <c r="A232" s="112"/>
      <c r="B232" s="54" t="s">
        <v>151</v>
      </c>
      <c r="C232" s="69">
        <v>4</v>
      </c>
      <c r="D232" s="68">
        <v>0</v>
      </c>
    </row>
    <row r="233" spans="1:4">
      <c r="A233" s="112"/>
      <c r="B233" s="54" t="s">
        <v>285</v>
      </c>
      <c r="C233" s="69">
        <v>2</v>
      </c>
      <c r="D233" s="68">
        <v>0</v>
      </c>
    </row>
    <row r="234" spans="1:4">
      <c r="A234" s="112"/>
      <c r="B234" s="54" t="s">
        <v>287</v>
      </c>
      <c r="C234" s="69">
        <v>4</v>
      </c>
      <c r="D234" s="68">
        <v>0</v>
      </c>
    </row>
    <row r="235" spans="1:4">
      <c r="A235" s="112"/>
      <c r="B235" s="54" t="s">
        <v>155</v>
      </c>
      <c r="C235" s="69">
        <v>8</v>
      </c>
      <c r="D235" s="68">
        <v>0</v>
      </c>
    </row>
    <row r="236" spans="1:4">
      <c r="A236" s="112"/>
      <c r="B236" s="54" t="s">
        <v>156</v>
      </c>
      <c r="C236" s="69">
        <v>1</v>
      </c>
      <c r="D236" s="68">
        <v>0</v>
      </c>
    </row>
    <row r="237" spans="1:4">
      <c r="A237" s="112"/>
      <c r="B237" s="54" t="s">
        <v>157</v>
      </c>
      <c r="C237" s="69">
        <v>4</v>
      </c>
      <c r="D237" s="68">
        <v>0</v>
      </c>
    </row>
    <row r="238" spans="1:4">
      <c r="A238" s="112"/>
      <c r="B238" s="54" t="s">
        <v>158</v>
      </c>
      <c r="C238" s="69">
        <v>5</v>
      </c>
      <c r="D238" s="68">
        <v>0</v>
      </c>
    </row>
    <row r="239" spans="1:4">
      <c r="A239" s="112"/>
      <c r="B239" s="54" t="s">
        <v>288</v>
      </c>
      <c r="C239" s="69">
        <v>1</v>
      </c>
      <c r="D239" s="68">
        <v>0</v>
      </c>
    </row>
    <row r="240" spans="1:4">
      <c r="A240" s="112"/>
      <c r="B240" s="54" t="s">
        <v>163</v>
      </c>
      <c r="C240" s="69">
        <v>2</v>
      </c>
      <c r="D240" s="68">
        <v>0</v>
      </c>
    </row>
    <row r="241" spans="1:4">
      <c r="A241" s="112"/>
      <c r="B241" s="54" t="s">
        <v>164</v>
      </c>
      <c r="C241" s="69">
        <v>2</v>
      </c>
      <c r="D241" s="68">
        <v>0</v>
      </c>
    </row>
    <row r="242" spans="1:4">
      <c r="A242" s="113"/>
      <c r="B242" s="74" t="s">
        <v>304</v>
      </c>
      <c r="C242" s="80">
        <v>40</v>
      </c>
      <c r="D242" s="76">
        <v>2E-3</v>
      </c>
    </row>
    <row r="243" spans="1:4">
      <c r="A243" s="111" t="s">
        <v>47</v>
      </c>
      <c r="B243" s="54" t="s">
        <v>144</v>
      </c>
      <c r="C243" s="69">
        <v>27</v>
      </c>
      <c r="D243" s="68">
        <v>1E-3</v>
      </c>
    </row>
    <row r="244" spans="1:4">
      <c r="A244" s="112"/>
      <c r="B244" s="54" t="s">
        <v>168</v>
      </c>
      <c r="C244" s="69">
        <v>1</v>
      </c>
      <c r="D244" s="68">
        <v>0</v>
      </c>
    </row>
    <row r="245" spans="1:4">
      <c r="A245" s="112"/>
      <c r="B245" s="54" t="s">
        <v>279</v>
      </c>
      <c r="C245" s="69">
        <v>9</v>
      </c>
      <c r="D245" s="68">
        <v>0</v>
      </c>
    </row>
    <row r="246" spans="1:4">
      <c r="A246" s="112"/>
      <c r="B246" s="54" t="s">
        <v>280</v>
      </c>
      <c r="C246" s="69">
        <v>29</v>
      </c>
      <c r="D246" s="68">
        <v>1E-3</v>
      </c>
    </row>
    <row r="247" spans="1:4">
      <c r="A247" s="112"/>
      <c r="B247" s="54" t="s">
        <v>281</v>
      </c>
      <c r="C247" s="69">
        <v>56</v>
      </c>
      <c r="D247" s="68">
        <v>2E-3</v>
      </c>
    </row>
    <row r="248" spans="1:4">
      <c r="A248" s="112"/>
      <c r="B248" s="54" t="s">
        <v>282</v>
      </c>
      <c r="C248" s="69">
        <v>49</v>
      </c>
      <c r="D248" s="68">
        <v>2E-3</v>
      </c>
    </row>
    <row r="249" spans="1:4">
      <c r="A249" s="112"/>
      <c r="B249" s="54" t="s">
        <v>283</v>
      </c>
      <c r="C249" s="69">
        <v>76</v>
      </c>
      <c r="D249" s="68">
        <v>3.0000000000000001E-3</v>
      </c>
    </row>
    <row r="250" spans="1:4">
      <c r="A250" s="112"/>
      <c r="B250" s="54" t="s">
        <v>284</v>
      </c>
      <c r="C250" s="69">
        <v>333</v>
      </c>
      <c r="D250" s="68">
        <v>1.4E-2</v>
      </c>
    </row>
    <row r="251" spans="1:4">
      <c r="A251" s="112"/>
      <c r="B251" s="54" t="s">
        <v>151</v>
      </c>
      <c r="C251" s="69">
        <v>473</v>
      </c>
      <c r="D251" s="68">
        <v>1.9E-2</v>
      </c>
    </row>
    <row r="252" spans="1:4">
      <c r="A252" s="112"/>
      <c r="B252" s="54" t="s">
        <v>285</v>
      </c>
      <c r="C252" s="69">
        <v>53</v>
      </c>
      <c r="D252" s="68">
        <v>2E-3</v>
      </c>
    </row>
    <row r="253" spans="1:4">
      <c r="A253" s="112"/>
      <c r="B253" s="54" t="s">
        <v>286</v>
      </c>
      <c r="C253" s="69">
        <v>150</v>
      </c>
      <c r="D253" s="68">
        <v>6.0000000000000001E-3</v>
      </c>
    </row>
    <row r="254" spans="1:4">
      <c r="A254" s="112"/>
      <c r="B254" s="54" t="s">
        <v>287</v>
      </c>
      <c r="C254" s="69">
        <v>218</v>
      </c>
      <c r="D254" s="68">
        <v>8.9999999999999993E-3</v>
      </c>
    </row>
    <row r="255" spans="1:4">
      <c r="A255" s="112"/>
      <c r="B255" s="54" t="s">
        <v>155</v>
      </c>
      <c r="C255" s="67">
        <v>1535</v>
      </c>
      <c r="D255" s="68">
        <v>6.3E-2</v>
      </c>
    </row>
    <row r="256" spans="1:4">
      <c r="A256" s="112"/>
      <c r="B256" s="54" t="s">
        <v>156</v>
      </c>
      <c r="C256" s="69">
        <v>135</v>
      </c>
      <c r="D256" s="68">
        <v>6.0000000000000001E-3</v>
      </c>
    </row>
    <row r="257" spans="1:4">
      <c r="A257" s="112"/>
      <c r="B257" s="54" t="s">
        <v>157</v>
      </c>
      <c r="C257" s="69">
        <v>482</v>
      </c>
      <c r="D257" s="68">
        <v>0.02</v>
      </c>
    </row>
    <row r="258" spans="1:4">
      <c r="A258" s="112"/>
      <c r="B258" s="54" t="s">
        <v>158</v>
      </c>
      <c r="C258" s="67">
        <v>1710</v>
      </c>
      <c r="D258" s="68">
        <v>7.0000000000000007E-2</v>
      </c>
    </row>
    <row r="259" spans="1:4">
      <c r="A259" s="112"/>
      <c r="B259" s="54" t="s">
        <v>288</v>
      </c>
      <c r="C259" s="69">
        <v>33</v>
      </c>
      <c r="D259" s="68">
        <v>1E-3</v>
      </c>
    </row>
    <row r="260" spans="1:4">
      <c r="A260" s="112"/>
      <c r="B260" s="54" t="s">
        <v>289</v>
      </c>
      <c r="C260" s="69">
        <v>24</v>
      </c>
      <c r="D260" s="68">
        <v>1E-3</v>
      </c>
    </row>
    <row r="261" spans="1:4">
      <c r="A261" s="112"/>
      <c r="B261" s="54" t="s">
        <v>290</v>
      </c>
      <c r="C261" s="69">
        <v>8</v>
      </c>
      <c r="D261" s="68">
        <v>0</v>
      </c>
    </row>
    <row r="262" spans="1:4">
      <c r="A262" s="112"/>
      <c r="B262" s="54" t="s">
        <v>291</v>
      </c>
      <c r="C262" s="69">
        <v>7</v>
      </c>
      <c r="D262" s="68">
        <v>0</v>
      </c>
    </row>
    <row r="263" spans="1:4">
      <c r="A263" s="112"/>
      <c r="B263" s="54" t="s">
        <v>163</v>
      </c>
      <c r="C263" s="69">
        <v>121</v>
      </c>
      <c r="D263" s="68">
        <v>5.0000000000000001E-3</v>
      </c>
    </row>
    <row r="264" spans="1:4">
      <c r="A264" s="112"/>
      <c r="B264" s="54" t="s">
        <v>164</v>
      </c>
      <c r="C264" s="69">
        <v>380</v>
      </c>
      <c r="D264" s="68">
        <v>1.6E-2</v>
      </c>
    </row>
    <row r="265" spans="1:4">
      <c r="A265" s="112"/>
      <c r="B265" s="54" t="s">
        <v>165</v>
      </c>
      <c r="C265" s="69">
        <v>6</v>
      </c>
      <c r="D265" s="68">
        <v>0</v>
      </c>
    </row>
    <row r="266" spans="1:4">
      <c r="A266" s="112"/>
      <c r="B266" s="54" t="s">
        <v>166</v>
      </c>
      <c r="C266" s="69">
        <v>8</v>
      </c>
      <c r="D266" s="68">
        <v>0</v>
      </c>
    </row>
    <row r="267" spans="1:4">
      <c r="A267" s="113"/>
      <c r="B267" s="74" t="s">
        <v>304</v>
      </c>
      <c r="C267" s="80">
        <v>5923</v>
      </c>
      <c r="D267" s="76">
        <v>0.24299999999999999</v>
      </c>
    </row>
    <row r="268" spans="1:4">
      <c r="A268" s="111" t="s">
        <v>64</v>
      </c>
      <c r="B268" s="54" t="s">
        <v>144</v>
      </c>
      <c r="C268" s="69">
        <v>2</v>
      </c>
      <c r="D268" s="68">
        <v>0</v>
      </c>
    </row>
    <row r="269" spans="1:4">
      <c r="A269" s="112"/>
      <c r="B269" s="54" t="s">
        <v>279</v>
      </c>
      <c r="C269" s="69">
        <v>1</v>
      </c>
      <c r="D269" s="68">
        <v>0</v>
      </c>
    </row>
    <row r="270" spans="1:4">
      <c r="A270" s="112"/>
      <c r="B270" s="54" t="s">
        <v>281</v>
      </c>
      <c r="C270" s="69">
        <v>1</v>
      </c>
      <c r="D270" s="68">
        <v>0</v>
      </c>
    </row>
    <row r="271" spans="1:4">
      <c r="A271" s="112"/>
      <c r="B271" s="54" t="s">
        <v>283</v>
      </c>
      <c r="C271" s="69">
        <v>1</v>
      </c>
      <c r="D271" s="68">
        <v>0</v>
      </c>
    </row>
    <row r="272" spans="1:4">
      <c r="A272" s="112"/>
      <c r="B272" s="54" t="s">
        <v>284</v>
      </c>
      <c r="C272" s="69">
        <v>5</v>
      </c>
      <c r="D272" s="68">
        <v>0</v>
      </c>
    </row>
    <row r="273" spans="1:4">
      <c r="A273" s="112"/>
      <c r="B273" s="54" t="s">
        <v>151</v>
      </c>
      <c r="C273" s="69">
        <v>11</v>
      </c>
      <c r="D273" s="68">
        <v>0</v>
      </c>
    </row>
    <row r="274" spans="1:4">
      <c r="A274" s="112"/>
      <c r="B274" s="54" t="s">
        <v>285</v>
      </c>
      <c r="C274" s="69">
        <v>3</v>
      </c>
      <c r="D274" s="68">
        <v>0</v>
      </c>
    </row>
    <row r="275" spans="1:4">
      <c r="A275" s="112"/>
      <c r="B275" s="54" t="s">
        <v>286</v>
      </c>
      <c r="C275" s="69">
        <v>5</v>
      </c>
      <c r="D275" s="68">
        <v>0</v>
      </c>
    </row>
    <row r="276" spans="1:4">
      <c r="A276" s="112"/>
      <c r="B276" s="54" t="s">
        <v>287</v>
      </c>
      <c r="C276" s="69">
        <v>5</v>
      </c>
      <c r="D276" s="68">
        <v>0</v>
      </c>
    </row>
    <row r="277" spans="1:4">
      <c r="A277" s="112"/>
      <c r="B277" s="54" t="s">
        <v>155</v>
      </c>
      <c r="C277" s="69">
        <v>41</v>
      </c>
      <c r="D277" s="68">
        <v>2E-3</v>
      </c>
    </row>
    <row r="278" spans="1:4">
      <c r="A278" s="112"/>
      <c r="B278" s="54" t="s">
        <v>156</v>
      </c>
      <c r="C278" s="69">
        <v>1</v>
      </c>
      <c r="D278" s="68">
        <v>0</v>
      </c>
    </row>
    <row r="279" spans="1:4">
      <c r="A279" s="112"/>
      <c r="B279" s="54" t="s">
        <v>157</v>
      </c>
      <c r="C279" s="69">
        <v>11</v>
      </c>
      <c r="D279" s="68">
        <v>0</v>
      </c>
    </row>
    <row r="280" spans="1:4">
      <c r="A280" s="112"/>
      <c r="B280" s="54" t="s">
        <v>158</v>
      </c>
      <c r="C280" s="69">
        <v>32</v>
      </c>
      <c r="D280" s="68">
        <v>1E-3</v>
      </c>
    </row>
    <row r="281" spans="1:4">
      <c r="A281" s="112"/>
      <c r="B281" s="54" t="s">
        <v>163</v>
      </c>
      <c r="C281" s="69">
        <v>3</v>
      </c>
      <c r="D281" s="68">
        <v>0</v>
      </c>
    </row>
    <row r="282" spans="1:4">
      <c r="A282" s="112"/>
      <c r="B282" s="54" t="s">
        <v>164</v>
      </c>
      <c r="C282" s="69">
        <v>5</v>
      </c>
      <c r="D282" s="68">
        <v>0</v>
      </c>
    </row>
    <row r="283" spans="1:4">
      <c r="A283" s="112"/>
      <c r="B283" s="54" t="s">
        <v>166</v>
      </c>
      <c r="C283" s="69">
        <v>1</v>
      </c>
      <c r="D283" s="68">
        <v>0</v>
      </c>
    </row>
    <row r="284" spans="1:4">
      <c r="A284" s="113"/>
      <c r="B284" s="74" t="s">
        <v>304</v>
      </c>
      <c r="C284" s="80">
        <v>128</v>
      </c>
      <c r="D284" s="76">
        <v>5.0000000000000001E-3</v>
      </c>
    </row>
    <row r="285" spans="1:4">
      <c r="A285" s="111" t="s">
        <v>62</v>
      </c>
      <c r="B285" s="54" t="s">
        <v>144</v>
      </c>
      <c r="C285" s="69">
        <v>1</v>
      </c>
      <c r="D285" s="68">
        <v>0</v>
      </c>
    </row>
    <row r="286" spans="1:4">
      <c r="A286" s="112"/>
      <c r="B286" s="54" t="s">
        <v>281</v>
      </c>
      <c r="C286" s="69">
        <v>2</v>
      </c>
      <c r="D286" s="68">
        <v>0</v>
      </c>
    </row>
    <row r="287" spans="1:4">
      <c r="A287" s="112"/>
      <c r="B287" s="54" t="s">
        <v>283</v>
      </c>
      <c r="C287" s="69">
        <v>3</v>
      </c>
      <c r="D287" s="68">
        <v>0</v>
      </c>
    </row>
    <row r="288" spans="1:4">
      <c r="A288" s="112"/>
      <c r="B288" s="54" t="s">
        <v>284</v>
      </c>
      <c r="C288" s="69">
        <v>3</v>
      </c>
      <c r="D288" s="68">
        <v>0</v>
      </c>
    </row>
    <row r="289" spans="1:4">
      <c r="A289" s="112"/>
      <c r="B289" s="54" t="s">
        <v>151</v>
      </c>
      <c r="C289" s="69">
        <v>14</v>
      </c>
      <c r="D289" s="68">
        <v>1E-3</v>
      </c>
    </row>
    <row r="290" spans="1:4">
      <c r="A290" s="112"/>
      <c r="B290" s="54" t="s">
        <v>285</v>
      </c>
      <c r="C290" s="69">
        <v>1</v>
      </c>
      <c r="D290" s="68">
        <v>0</v>
      </c>
    </row>
    <row r="291" spans="1:4">
      <c r="A291" s="112"/>
      <c r="B291" s="54" t="s">
        <v>286</v>
      </c>
      <c r="C291" s="69">
        <v>4</v>
      </c>
      <c r="D291" s="68">
        <v>0</v>
      </c>
    </row>
    <row r="292" spans="1:4">
      <c r="A292" s="112"/>
      <c r="B292" s="54" t="s">
        <v>287</v>
      </c>
      <c r="C292" s="69">
        <v>2</v>
      </c>
      <c r="D292" s="68">
        <v>0</v>
      </c>
    </row>
    <row r="293" spans="1:4">
      <c r="A293" s="112"/>
      <c r="B293" s="54" t="s">
        <v>155</v>
      </c>
      <c r="C293" s="69">
        <v>28</v>
      </c>
      <c r="D293" s="68">
        <v>1E-3</v>
      </c>
    </row>
    <row r="294" spans="1:4">
      <c r="A294" s="112"/>
      <c r="B294" s="54" t="s">
        <v>156</v>
      </c>
      <c r="C294" s="69">
        <v>1</v>
      </c>
      <c r="D294" s="68">
        <v>0</v>
      </c>
    </row>
    <row r="295" spans="1:4">
      <c r="A295" s="112"/>
      <c r="B295" s="54" t="s">
        <v>157</v>
      </c>
      <c r="C295" s="69">
        <v>13</v>
      </c>
      <c r="D295" s="68">
        <v>1E-3</v>
      </c>
    </row>
    <row r="296" spans="1:4">
      <c r="A296" s="112"/>
      <c r="B296" s="54" t="s">
        <v>158</v>
      </c>
      <c r="C296" s="69">
        <v>31</v>
      </c>
      <c r="D296" s="68">
        <v>1E-3</v>
      </c>
    </row>
    <row r="297" spans="1:4">
      <c r="A297" s="112"/>
      <c r="B297" s="54" t="s">
        <v>288</v>
      </c>
      <c r="C297" s="69">
        <v>2</v>
      </c>
      <c r="D297" s="68">
        <v>0</v>
      </c>
    </row>
    <row r="298" spans="1:4">
      <c r="A298" s="112"/>
      <c r="B298" s="54" t="s">
        <v>289</v>
      </c>
      <c r="C298" s="69">
        <v>2</v>
      </c>
      <c r="D298" s="68">
        <v>0</v>
      </c>
    </row>
    <row r="299" spans="1:4">
      <c r="A299" s="112"/>
      <c r="B299" s="54" t="s">
        <v>290</v>
      </c>
      <c r="C299" s="69">
        <v>1</v>
      </c>
      <c r="D299" s="68">
        <v>0</v>
      </c>
    </row>
    <row r="300" spans="1:4">
      <c r="A300" s="112"/>
      <c r="B300" s="54" t="s">
        <v>163</v>
      </c>
      <c r="C300" s="69">
        <v>2</v>
      </c>
      <c r="D300" s="68">
        <v>0</v>
      </c>
    </row>
    <row r="301" spans="1:4">
      <c r="A301" s="112"/>
      <c r="B301" s="54" t="s">
        <v>164</v>
      </c>
      <c r="C301" s="69">
        <v>16</v>
      </c>
      <c r="D301" s="68">
        <v>1E-3</v>
      </c>
    </row>
    <row r="302" spans="1:4">
      <c r="A302" s="113"/>
      <c r="B302" s="74" t="s">
        <v>304</v>
      </c>
      <c r="C302" s="80">
        <v>126</v>
      </c>
      <c r="D302" s="76">
        <v>5.0000000000000001E-3</v>
      </c>
    </row>
    <row r="303" spans="1:4">
      <c r="A303" s="111" t="s">
        <v>50</v>
      </c>
      <c r="B303" s="54" t="s">
        <v>144</v>
      </c>
      <c r="C303" s="69">
        <v>3</v>
      </c>
      <c r="D303" s="68">
        <v>0</v>
      </c>
    </row>
    <row r="304" spans="1:4">
      <c r="A304" s="112"/>
      <c r="B304" s="54" t="s">
        <v>279</v>
      </c>
      <c r="C304" s="69">
        <v>5</v>
      </c>
      <c r="D304" s="68">
        <v>0</v>
      </c>
    </row>
    <row r="305" spans="1:4">
      <c r="A305" s="112"/>
      <c r="B305" s="54" t="s">
        <v>280</v>
      </c>
      <c r="C305" s="69">
        <v>5</v>
      </c>
      <c r="D305" s="68">
        <v>0</v>
      </c>
    </row>
    <row r="306" spans="1:4">
      <c r="A306" s="112"/>
      <c r="B306" s="54" t="s">
        <v>281</v>
      </c>
      <c r="C306" s="69">
        <v>6</v>
      </c>
      <c r="D306" s="68">
        <v>0</v>
      </c>
    </row>
    <row r="307" spans="1:4">
      <c r="A307" s="112"/>
      <c r="B307" s="54" t="s">
        <v>282</v>
      </c>
      <c r="C307" s="69">
        <v>4</v>
      </c>
      <c r="D307" s="68">
        <v>0</v>
      </c>
    </row>
    <row r="308" spans="1:4">
      <c r="A308" s="112"/>
      <c r="B308" s="54" t="s">
        <v>283</v>
      </c>
      <c r="C308" s="69">
        <v>9</v>
      </c>
      <c r="D308" s="68">
        <v>0</v>
      </c>
    </row>
    <row r="309" spans="1:4">
      <c r="A309" s="112"/>
      <c r="B309" s="54" t="s">
        <v>284</v>
      </c>
      <c r="C309" s="69">
        <v>72</v>
      </c>
      <c r="D309" s="68">
        <v>3.0000000000000001E-3</v>
      </c>
    </row>
    <row r="310" spans="1:4">
      <c r="A310" s="112"/>
      <c r="B310" s="54" t="s">
        <v>151</v>
      </c>
      <c r="C310" s="69">
        <v>53</v>
      </c>
      <c r="D310" s="68">
        <v>2E-3</v>
      </c>
    </row>
    <row r="311" spans="1:4">
      <c r="A311" s="112"/>
      <c r="B311" s="54" t="s">
        <v>285</v>
      </c>
      <c r="C311" s="69">
        <v>22</v>
      </c>
      <c r="D311" s="68">
        <v>1E-3</v>
      </c>
    </row>
    <row r="312" spans="1:4">
      <c r="A312" s="112"/>
      <c r="B312" s="54" t="s">
        <v>286</v>
      </c>
      <c r="C312" s="69">
        <v>41</v>
      </c>
      <c r="D312" s="68">
        <v>2E-3</v>
      </c>
    </row>
    <row r="313" spans="1:4">
      <c r="A313" s="112"/>
      <c r="B313" s="54" t="s">
        <v>287</v>
      </c>
      <c r="C313" s="69">
        <v>46</v>
      </c>
      <c r="D313" s="68">
        <v>2E-3</v>
      </c>
    </row>
    <row r="314" spans="1:4">
      <c r="A314" s="112"/>
      <c r="B314" s="54" t="s">
        <v>155</v>
      </c>
      <c r="C314" s="69">
        <v>214</v>
      </c>
      <c r="D314" s="68">
        <v>8.9999999999999993E-3</v>
      </c>
    </row>
    <row r="315" spans="1:4">
      <c r="A315" s="112"/>
      <c r="B315" s="54" t="s">
        <v>156</v>
      </c>
      <c r="C315" s="69">
        <v>41</v>
      </c>
      <c r="D315" s="68">
        <v>2E-3</v>
      </c>
    </row>
    <row r="316" spans="1:4">
      <c r="A316" s="112"/>
      <c r="B316" s="54" t="s">
        <v>157</v>
      </c>
      <c r="C316" s="69">
        <v>91</v>
      </c>
      <c r="D316" s="68">
        <v>4.0000000000000001E-3</v>
      </c>
    </row>
    <row r="317" spans="1:4">
      <c r="A317" s="112"/>
      <c r="B317" s="54" t="s">
        <v>158</v>
      </c>
      <c r="C317" s="69">
        <v>337</v>
      </c>
      <c r="D317" s="68">
        <v>1.4E-2</v>
      </c>
    </row>
    <row r="318" spans="1:4">
      <c r="A318" s="112"/>
      <c r="B318" s="54" t="s">
        <v>288</v>
      </c>
      <c r="C318" s="69">
        <v>14</v>
      </c>
      <c r="D318" s="68">
        <v>1E-3</v>
      </c>
    </row>
    <row r="319" spans="1:4">
      <c r="A319" s="112"/>
      <c r="B319" s="54" t="s">
        <v>289</v>
      </c>
      <c r="C319" s="69">
        <v>10</v>
      </c>
      <c r="D319" s="68">
        <v>0</v>
      </c>
    </row>
    <row r="320" spans="1:4">
      <c r="A320" s="112"/>
      <c r="B320" s="54" t="s">
        <v>290</v>
      </c>
      <c r="C320" s="69">
        <v>2</v>
      </c>
      <c r="D320" s="68">
        <v>0</v>
      </c>
    </row>
    <row r="321" spans="1:4">
      <c r="A321" s="112"/>
      <c r="B321" s="54" t="s">
        <v>291</v>
      </c>
      <c r="C321" s="69">
        <v>3</v>
      </c>
      <c r="D321" s="68">
        <v>0</v>
      </c>
    </row>
    <row r="322" spans="1:4">
      <c r="A322" s="112"/>
      <c r="B322" s="54" t="s">
        <v>163</v>
      </c>
      <c r="C322" s="69">
        <v>33</v>
      </c>
      <c r="D322" s="68">
        <v>1E-3</v>
      </c>
    </row>
    <row r="323" spans="1:4">
      <c r="A323" s="112"/>
      <c r="B323" s="54" t="s">
        <v>164</v>
      </c>
      <c r="C323" s="69">
        <v>103</v>
      </c>
      <c r="D323" s="68">
        <v>4.0000000000000001E-3</v>
      </c>
    </row>
    <row r="324" spans="1:4">
      <c r="A324" s="112"/>
      <c r="B324" s="54" t="s">
        <v>166</v>
      </c>
      <c r="C324" s="69">
        <v>6</v>
      </c>
      <c r="D324" s="68">
        <v>0</v>
      </c>
    </row>
    <row r="325" spans="1:4">
      <c r="A325" s="112"/>
      <c r="B325" s="54" t="s">
        <v>167</v>
      </c>
      <c r="C325" s="69">
        <v>1</v>
      </c>
      <c r="D325" s="68">
        <v>0</v>
      </c>
    </row>
    <row r="326" spans="1:4">
      <c r="A326" s="113"/>
      <c r="B326" s="74" t="s">
        <v>304</v>
      </c>
      <c r="C326" s="80">
        <v>1121</v>
      </c>
      <c r="D326" s="76">
        <v>4.5999999999999999E-2</v>
      </c>
    </row>
    <row r="327" spans="1:4">
      <c r="A327" s="111" t="s">
        <v>77</v>
      </c>
      <c r="B327" s="54" t="s">
        <v>280</v>
      </c>
      <c r="C327" s="69">
        <v>1</v>
      </c>
      <c r="D327" s="68">
        <v>0</v>
      </c>
    </row>
    <row r="328" spans="1:4">
      <c r="A328" s="112"/>
      <c r="B328" s="54" t="s">
        <v>283</v>
      </c>
      <c r="C328" s="69">
        <v>1</v>
      </c>
      <c r="D328" s="68">
        <v>0</v>
      </c>
    </row>
    <row r="329" spans="1:4">
      <c r="A329" s="112"/>
      <c r="B329" s="54" t="s">
        <v>284</v>
      </c>
      <c r="C329" s="69">
        <v>1</v>
      </c>
      <c r="D329" s="68">
        <v>0</v>
      </c>
    </row>
    <row r="330" spans="1:4">
      <c r="A330" s="112"/>
      <c r="B330" s="54" t="s">
        <v>151</v>
      </c>
      <c r="C330" s="69">
        <v>4</v>
      </c>
      <c r="D330" s="68">
        <v>0</v>
      </c>
    </row>
    <row r="331" spans="1:4">
      <c r="A331" s="112"/>
      <c r="B331" s="54" t="s">
        <v>286</v>
      </c>
      <c r="C331" s="69">
        <v>2</v>
      </c>
      <c r="D331" s="68">
        <v>0</v>
      </c>
    </row>
    <row r="332" spans="1:4">
      <c r="A332" s="112"/>
      <c r="B332" s="54" t="s">
        <v>287</v>
      </c>
      <c r="C332" s="69">
        <v>3</v>
      </c>
      <c r="D332" s="68">
        <v>0</v>
      </c>
    </row>
    <row r="333" spans="1:4">
      <c r="A333" s="112"/>
      <c r="B333" s="54" t="s">
        <v>155</v>
      </c>
      <c r="C333" s="69">
        <v>9</v>
      </c>
      <c r="D333" s="68">
        <v>0</v>
      </c>
    </row>
    <row r="334" spans="1:4">
      <c r="A334" s="112"/>
      <c r="B334" s="54" t="s">
        <v>157</v>
      </c>
      <c r="C334" s="69">
        <v>3</v>
      </c>
      <c r="D334" s="68">
        <v>0</v>
      </c>
    </row>
    <row r="335" spans="1:4">
      <c r="A335" s="112"/>
      <c r="B335" s="54" t="s">
        <v>158</v>
      </c>
      <c r="C335" s="69">
        <v>11</v>
      </c>
      <c r="D335" s="68">
        <v>0</v>
      </c>
    </row>
    <row r="336" spans="1:4">
      <c r="A336" s="112"/>
      <c r="B336" s="54" t="s">
        <v>288</v>
      </c>
      <c r="C336" s="69">
        <v>1</v>
      </c>
      <c r="D336" s="68">
        <v>0</v>
      </c>
    </row>
    <row r="337" spans="1:4">
      <c r="A337" s="112"/>
      <c r="B337" s="54" t="s">
        <v>164</v>
      </c>
      <c r="C337" s="69">
        <v>2</v>
      </c>
      <c r="D337" s="68">
        <v>0</v>
      </c>
    </row>
    <row r="338" spans="1:4">
      <c r="A338" s="112"/>
      <c r="B338" s="54" t="s">
        <v>166</v>
      </c>
      <c r="C338" s="69">
        <v>1</v>
      </c>
      <c r="D338" s="68">
        <v>0</v>
      </c>
    </row>
    <row r="339" spans="1:4">
      <c r="A339" s="113"/>
      <c r="B339" s="74" t="s">
        <v>304</v>
      </c>
      <c r="C339" s="80">
        <v>39</v>
      </c>
      <c r="D339" s="76">
        <v>2E-3</v>
      </c>
    </row>
    <row r="340" spans="1:4">
      <c r="A340" s="111" t="s">
        <v>55</v>
      </c>
      <c r="B340" s="54" t="s">
        <v>144</v>
      </c>
      <c r="C340" s="69">
        <v>3</v>
      </c>
      <c r="D340" s="68">
        <v>0</v>
      </c>
    </row>
    <row r="341" spans="1:4">
      <c r="A341" s="112"/>
      <c r="B341" s="54" t="s">
        <v>280</v>
      </c>
      <c r="C341" s="69">
        <v>1</v>
      </c>
      <c r="D341" s="68">
        <v>0</v>
      </c>
    </row>
    <row r="342" spans="1:4">
      <c r="A342" s="112"/>
      <c r="B342" s="54" t="s">
        <v>281</v>
      </c>
      <c r="C342" s="69">
        <v>4</v>
      </c>
      <c r="D342" s="68">
        <v>0</v>
      </c>
    </row>
    <row r="343" spans="1:4">
      <c r="A343" s="112"/>
      <c r="B343" s="54" t="s">
        <v>282</v>
      </c>
      <c r="C343" s="69">
        <v>3</v>
      </c>
      <c r="D343" s="68">
        <v>0</v>
      </c>
    </row>
    <row r="344" spans="1:4">
      <c r="A344" s="112"/>
      <c r="B344" s="54" t="s">
        <v>283</v>
      </c>
      <c r="C344" s="69">
        <v>10</v>
      </c>
      <c r="D344" s="68">
        <v>0</v>
      </c>
    </row>
    <row r="345" spans="1:4">
      <c r="A345" s="112"/>
      <c r="B345" s="54" t="s">
        <v>284</v>
      </c>
      <c r="C345" s="69">
        <v>21</v>
      </c>
      <c r="D345" s="68">
        <v>1E-3</v>
      </c>
    </row>
    <row r="346" spans="1:4">
      <c r="A346" s="112"/>
      <c r="B346" s="54" t="s">
        <v>151</v>
      </c>
      <c r="C346" s="69">
        <v>40</v>
      </c>
      <c r="D346" s="68">
        <v>2E-3</v>
      </c>
    </row>
    <row r="347" spans="1:4">
      <c r="A347" s="112"/>
      <c r="B347" s="54" t="s">
        <v>285</v>
      </c>
      <c r="C347" s="69">
        <v>4</v>
      </c>
      <c r="D347" s="68">
        <v>0</v>
      </c>
    </row>
    <row r="348" spans="1:4">
      <c r="A348" s="112"/>
      <c r="B348" s="54" t="s">
        <v>286</v>
      </c>
      <c r="C348" s="69">
        <v>14</v>
      </c>
      <c r="D348" s="68">
        <v>1E-3</v>
      </c>
    </row>
    <row r="349" spans="1:4">
      <c r="A349" s="112"/>
      <c r="B349" s="54" t="s">
        <v>287</v>
      </c>
      <c r="C349" s="69">
        <v>26</v>
      </c>
      <c r="D349" s="68">
        <v>1E-3</v>
      </c>
    </row>
    <row r="350" spans="1:4">
      <c r="A350" s="112"/>
      <c r="B350" s="54" t="s">
        <v>155</v>
      </c>
      <c r="C350" s="69">
        <v>130</v>
      </c>
      <c r="D350" s="68">
        <v>5.0000000000000001E-3</v>
      </c>
    </row>
    <row r="351" spans="1:4">
      <c r="A351" s="112"/>
      <c r="B351" s="54" t="s">
        <v>156</v>
      </c>
      <c r="C351" s="69">
        <v>6</v>
      </c>
      <c r="D351" s="68">
        <v>0</v>
      </c>
    </row>
    <row r="352" spans="1:4">
      <c r="A352" s="112"/>
      <c r="B352" s="54" t="s">
        <v>157</v>
      </c>
      <c r="C352" s="69">
        <v>27</v>
      </c>
      <c r="D352" s="68">
        <v>1E-3</v>
      </c>
    </row>
    <row r="353" spans="1:4">
      <c r="A353" s="112"/>
      <c r="B353" s="54" t="s">
        <v>158</v>
      </c>
      <c r="C353" s="69">
        <v>115</v>
      </c>
      <c r="D353" s="68">
        <v>5.0000000000000001E-3</v>
      </c>
    </row>
    <row r="354" spans="1:4">
      <c r="A354" s="112"/>
      <c r="B354" s="54" t="s">
        <v>288</v>
      </c>
      <c r="C354" s="69">
        <v>4</v>
      </c>
      <c r="D354" s="68">
        <v>0</v>
      </c>
    </row>
    <row r="355" spans="1:4">
      <c r="A355" s="112"/>
      <c r="B355" s="54" t="s">
        <v>289</v>
      </c>
      <c r="C355" s="69">
        <v>2</v>
      </c>
      <c r="D355" s="68">
        <v>0</v>
      </c>
    </row>
    <row r="356" spans="1:4">
      <c r="A356" s="112"/>
      <c r="B356" s="54" t="s">
        <v>163</v>
      </c>
      <c r="C356" s="69">
        <v>8</v>
      </c>
      <c r="D356" s="68">
        <v>0</v>
      </c>
    </row>
    <row r="357" spans="1:4">
      <c r="A357" s="112"/>
      <c r="B357" s="54" t="s">
        <v>164</v>
      </c>
      <c r="C357" s="69">
        <v>35</v>
      </c>
      <c r="D357" s="68">
        <v>1E-3</v>
      </c>
    </row>
    <row r="358" spans="1:4">
      <c r="A358" s="112"/>
      <c r="B358" s="54" t="s">
        <v>165</v>
      </c>
      <c r="C358" s="69">
        <v>3</v>
      </c>
      <c r="D358" s="68">
        <v>0</v>
      </c>
    </row>
    <row r="359" spans="1:4">
      <c r="A359" s="113"/>
      <c r="B359" s="74" t="s">
        <v>304</v>
      </c>
      <c r="C359" s="80">
        <v>456</v>
      </c>
      <c r="D359" s="76">
        <v>1.9E-2</v>
      </c>
    </row>
    <row r="360" spans="1:4">
      <c r="A360" s="111" t="s">
        <v>65</v>
      </c>
      <c r="B360" s="54" t="s">
        <v>144</v>
      </c>
      <c r="C360" s="69">
        <v>1</v>
      </c>
      <c r="D360" s="68">
        <v>0</v>
      </c>
    </row>
    <row r="361" spans="1:4">
      <c r="A361" s="112"/>
      <c r="B361" s="54" t="s">
        <v>279</v>
      </c>
      <c r="C361" s="69">
        <v>1</v>
      </c>
      <c r="D361" s="68">
        <v>0</v>
      </c>
    </row>
    <row r="362" spans="1:4">
      <c r="A362" s="112"/>
      <c r="B362" s="54" t="s">
        <v>281</v>
      </c>
      <c r="C362" s="69">
        <v>1</v>
      </c>
      <c r="D362" s="68">
        <v>0</v>
      </c>
    </row>
    <row r="363" spans="1:4">
      <c r="A363" s="112"/>
      <c r="B363" s="54" t="s">
        <v>282</v>
      </c>
      <c r="C363" s="69">
        <v>1</v>
      </c>
      <c r="D363" s="68">
        <v>0</v>
      </c>
    </row>
    <row r="364" spans="1:4">
      <c r="A364" s="112"/>
      <c r="B364" s="54" t="s">
        <v>283</v>
      </c>
      <c r="C364" s="69">
        <v>2</v>
      </c>
      <c r="D364" s="68">
        <v>0</v>
      </c>
    </row>
    <row r="365" spans="1:4">
      <c r="A365" s="112"/>
      <c r="B365" s="54" t="s">
        <v>284</v>
      </c>
      <c r="C365" s="69">
        <v>10</v>
      </c>
      <c r="D365" s="68">
        <v>0</v>
      </c>
    </row>
    <row r="366" spans="1:4">
      <c r="A366" s="112"/>
      <c r="B366" s="54" t="s">
        <v>151</v>
      </c>
      <c r="C366" s="69">
        <v>14</v>
      </c>
      <c r="D366" s="68">
        <v>1E-3</v>
      </c>
    </row>
    <row r="367" spans="1:4">
      <c r="A367" s="112"/>
      <c r="B367" s="54" t="s">
        <v>285</v>
      </c>
      <c r="C367" s="69">
        <v>1</v>
      </c>
      <c r="D367" s="68">
        <v>0</v>
      </c>
    </row>
    <row r="368" spans="1:4">
      <c r="A368" s="112"/>
      <c r="B368" s="54" t="s">
        <v>286</v>
      </c>
      <c r="C368" s="69">
        <v>1</v>
      </c>
      <c r="D368" s="68">
        <v>0</v>
      </c>
    </row>
    <row r="369" spans="1:4">
      <c r="A369" s="112"/>
      <c r="B369" s="54" t="s">
        <v>287</v>
      </c>
      <c r="C369" s="69">
        <v>5</v>
      </c>
      <c r="D369" s="68">
        <v>0</v>
      </c>
    </row>
    <row r="370" spans="1:4">
      <c r="A370" s="112"/>
      <c r="B370" s="54" t="s">
        <v>155</v>
      </c>
      <c r="C370" s="69">
        <v>27</v>
      </c>
      <c r="D370" s="68">
        <v>1E-3</v>
      </c>
    </row>
    <row r="371" spans="1:4">
      <c r="A371" s="112"/>
      <c r="B371" s="54" t="s">
        <v>156</v>
      </c>
      <c r="C371" s="69">
        <v>2</v>
      </c>
      <c r="D371" s="68">
        <v>0</v>
      </c>
    </row>
    <row r="372" spans="1:4">
      <c r="A372" s="112"/>
      <c r="B372" s="54" t="s">
        <v>157</v>
      </c>
      <c r="C372" s="69">
        <v>7</v>
      </c>
      <c r="D372" s="68">
        <v>0</v>
      </c>
    </row>
    <row r="373" spans="1:4">
      <c r="A373" s="112"/>
      <c r="B373" s="54" t="s">
        <v>158</v>
      </c>
      <c r="C373" s="69">
        <v>33</v>
      </c>
      <c r="D373" s="68">
        <v>1E-3</v>
      </c>
    </row>
    <row r="374" spans="1:4">
      <c r="A374" s="112"/>
      <c r="B374" s="54" t="s">
        <v>289</v>
      </c>
      <c r="C374" s="69">
        <v>2</v>
      </c>
      <c r="D374" s="68">
        <v>0</v>
      </c>
    </row>
    <row r="375" spans="1:4">
      <c r="A375" s="112"/>
      <c r="B375" s="54" t="s">
        <v>163</v>
      </c>
      <c r="C375" s="69">
        <v>3</v>
      </c>
      <c r="D375" s="68">
        <v>0</v>
      </c>
    </row>
    <row r="376" spans="1:4">
      <c r="A376" s="112"/>
      <c r="B376" s="54" t="s">
        <v>164</v>
      </c>
      <c r="C376" s="69">
        <v>13</v>
      </c>
      <c r="D376" s="68">
        <v>1E-3</v>
      </c>
    </row>
    <row r="377" spans="1:4">
      <c r="A377" s="113"/>
      <c r="B377" s="74" t="s">
        <v>304</v>
      </c>
      <c r="C377" s="80">
        <v>124</v>
      </c>
      <c r="D377" s="76">
        <v>5.0000000000000001E-3</v>
      </c>
    </row>
    <row r="378" spans="1:4">
      <c r="A378" s="111" t="s">
        <v>46</v>
      </c>
      <c r="B378" s="54" t="s">
        <v>144</v>
      </c>
      <c r="C378" s="69">
        <v>36</v>
      </c>
      <c r="D378" s="68">
        <v>1E-3</v>
      </c>
    </row>
    <row r="379" spans="1:4">
      <c r="A379" s="112"/>
      <c r="B379" s="54" t="s">
        <v>279</v>
      </c>
      <c r="C379" s="69">
        <v>16</v>
      </c>
      <c r="D379" s="68">
        <v>1E-3</v>
      </c>
    </row>
    <row r="380" spans="1:4">
      <c r="A380" s="112"/>
      <c r="B380" s="54" t="s">
        <v>280</v>
      </c>
      <c r="C380" s="69">
        <v>36</v>
      </c>
      <c r="D380" s="68">
        <v>1E-3</v>
      </c>
    </row>
    <row r="381" spans="1:4">
      <c r="A381" s="112"/>
      <c r="B381" s="54" t="s">
        <v>281</v>
      </c>
      <c r="C381" s="69">
        <v>78</v>
      </c>
      <c r="D381" s="68">
        <v>3.0000000000000001E-3</v>
      </c>
    </row>
    <row r="382" spans="1:4">
      <c r="A382" s="112"/>
      <c r="B382" s="54" t="s">
        <v>282</v>
      </c>
      <c r="C382" s="69">
        <v>51</v>
      </c>
      <c r="D382" s="68">
        <v>2E-3</v>
      </c>
    </row>
    <row r="383" spans="1:4">
      <c r="A383" s="112"/>
      <c r="B383" s="54" t="s">
        <v>283</v>
      </c>
      <c r="C383" s="69">
        <v>108</v>
      </c>
      <c r="D383" s="68">
        <v>4.0000000000000001E-3</v>
      </c>
    </row>
    <row r="384" spans="1:4">
      <c r="A384" s="112"/>
      <c r="B384" s="54" t="s">
        <v>284</v>
      </c>
      <c r="C384" s="69">
        <v>506</v>
      </c>
      <c r="D384" s="68">
        <v>2.1000000000000001E-2</v>
      </c>
    </row>
    <row r="385" spans="1:4">
      <c r="A385" s="112"/>
      <c r="B385" s="54" t="s">
        <v>151</v>
      </c>
      <c r="C385" s="69">
        <v>445</v>
      </c>
      <c r="D385" s="68">
        <v>1.7999999999999999E-2</v>
      </c>
    </row>
    <row r="386" spans="1:4">
      <c r="A386" s="112"/>
      <c r="B386" s="54" t="s">
        <v>285</v>
      </c>
      <c r="C386" s="69">
        <v>92</v>
      </c>
      <c r="D386" s="68">
        <v>4.0000000000000001E-3</v>
      </c>
    </row>
    <row r="387" spans="1:4">
      <c r="A387" s="112"/>
      <c r="B387" s="54" t="s">
        <v>286</v>
      </c>
      <c r="C387" s="69">
        <v>194</v>
      </c>
      <c r="D387" s="68">
        <v>8.0000000000000002E-3</v>
      </c>
    </row>
    <row r="388" spans="1:4">
      <c r="A388" s="112"/>
      <c r="B388" s="54" t="s">
        <v>287</v>
      </c>
      <c r="C388" s="69">
        <v>367</v>
      </c>
      <c r="D388" s="68">
        <v>1.4999999999999999E-2</v>
      </c>
    </row>
    <row r="389" spans="1:4">
      <c r="A389" s="112"/>
      <c r="B389" s="54" t="s">
        <v>155</v>
      </c>
      <c r="C389" s="67">
        <v>1105</v>
      </c>
      <c r="D389" s="68">
        <v>4.4999999999999998E-2</v>
      </c>
    </row>
    <row r="390" spans="1:4">
      <c r="A390" s="112"/>
      <c r="B390" s="54" t="s">
        <v>156</v>
      </c>
      <c r="C390" s="69">
        <v>119</v>
      </c>
      <c r="D390" s="68">
        <v>5.0000000000000001E-3</v>
      </c>
    </row>
    <row r="391" spans="1:4">
      <c r="A391" s="112"/>
      <c r="B391" s="54" t="s">
        <v>157</v>
      </c>
      <c r="C391" s="69">
        <v>394</v>
      </c>
      <c r="D391" s="68">
        <v>1.6E-2</v>
      </c>
    </row>
    <row r="392" spans="1:4">
      <c r="A392" s="112"/>
      <c r="B392" s="54" t="s">
        <v>158</v>
      </c>
      <c r="C392" s="67">
        <v>1506</v>
      </c>
      <c r="D392" s="68">
        <v>6.2E-2</v>
      </c>
    </row>
    <row r="393" spans="1:4">
      <c r="A393" s="112"/>
      <c r="B393" s="54" t="s">
        <v>288</v>
      </c>
      <c r="C393" s="69">
        <v>51</v>
      </c>
      <c r="D393" s="68">
        <v>2E-3</v>
      </c>
    </row>
    <row r="394" spans="1:4">
      <c r="A394" s="112"/>
      <c r="B394" s="54" t="s">
        <v>289</v>
      </c>
      <c r="C394" s="69">
        <v>59</v>
      </c>
      <c r="D394" s="68">
        <v>2E-3</v>
      </c>
    </row>
    <row r="395" spans="1:4">
      <c r="A395" s="112"/>
      <c r="B395" s="54" t="s">
        <v>290</v>
      </c>
      <c r="C395" s="69">
        <v>20</v>
      </c>
      <c r="D395" s="68">
        <v>1E-3</v>
      </c>
    </row>
    <row r="396" spans="1:4">
      <c r="A396" s="112"/>
      <c r="B396" s="54" t="s">
        <v>291</v>
      </c>
      <c r="C396" s="69">
        <v>10</v>
      </c>
      <c r="D396" s="68">
        <v>0</v>
      </c>
    </row>
    <row r="397" spans="1:4">
      <c r="A397" s="112"/>
      <c r="B397" s="54" t="s">
        <v>163</v>
      </c>
      <c r="C397" s="69">
        <v>51</v>
      </c>
      <c r="D397" s="68">
        <v>2E-3</v>
      </c>
    </row>
    <row r="398" spans="1:4">
      <c r="A398" s="112"/>
      <c r="B398" s="54" t="s">
        <v>164</v>
      </c>
      <c r="C398" s="69">
        <v>344</v>
      </c>
      <c r="D398" s="68">
        <v>1.4E-2</v>
      </c>
    </row>
    <row r="399" spans="1:4">
      <c r="A399" s="112"/>
      <c r="B399" s="54" t="s">
        <v>166</v>
      </c>
      <c r="C399" s="69">
        <v>18</v>
      </c>
      <c r="D399" s="68">
        <v>1E-3</v>
      </c>
    </row>
    <row r="400" spans="1:4">
      <c r="A400" s="112"/>
      <c r="B400" s="54" t="s">
        <v>167</v>
      </c>
      <c r="C400" s="69">
        <v>5</v>
      </c>
      <c r="D400" s="68">
        <v>0</v>
      </c>
    </row>
    <row r="401" spans="1:4">
      <c r="A401" s="113"/>
      <c r="B401" s="74" t="s">
        <v>304</v>
      </c>
      <c r="C401" s="80">
        <v>5611</v>
      </c>
      <c r="D401" s="76">
        <v>0.23</v>
      </c>
    </row>
    <row r="402" spans="1:4">
      <c r="A402" s="111" t="s">
        <v>61</v>
      </c>
      <c r="B402" s="54" t="s">
        <v>144</v>
      </c>
      <c r="C402" s="69">
        <v>2</v>
      </c>
      <c r="D402" s="68">
        <v>0</v>
      </c>
    </row>
    <row r="403" spans="1:4">
      <c r="A403" s="112"/>
      <c r="B403" s="54" t="s">
        <v>279</v>
      </c>
      <c r="C403" s="69">
        <v>3</v>
      </c>
      <c r="D403" s="68">
        <v>0</v>
      </c>
    </row>
    <row r="404" spans="1:4">
      <c r="A404" s="112"/>
      <c r="B404" s="54" t="s">
        <v>280</v>
      </c>
      <c r="C404" s="69">
        <v>3</v>
      </c>
      <c r="D404" s="68">
        <v>0</v>
      </c>
    </row>
    <row r="405" spans="1:4">
      <c r="A405" s="112"/>
      <c r="B405" s="54" t="s">
        <v>281</v>
      </c>
      <c r="C405" s="69">
        <v>2</v>
      </c>
      <c r="D405" s="68">
        <v>0</v>
      </c>
    </row>
    <row r="406" spans="1:4">
      <c r="A406" s="112"/>
      <c r="B406" s="54" t="s">
        <v>282</v>
      </c>
      <c r="C406" s="69">
        <v>3</v>
      </c>
      <c r="D406" s="68">
        <v>0</v>
      </c>
    </row>
    <row r="407" spans="1:4">
      <c r="A407" s="112"/>
      <c r="B407" s="54" t="s">
        <v>283</v>
      </c>
      <c r="C407" s="69">
        <v>1</v>
      </c>
      <c r="D407" s="68">
        <v>0</v>
      </c>
    </row>
    <row r="408" spans="1:4">
      <c r="A408" s="112"/>
      <c r="B408" s="54" t="s">
        <v>284</v>
      </c>
      <c r="C408" s="69">
        <v>8</v>
      </c>
      <c r="D408" s="68">
        <v>0</v>
      </c>
    </row>
    <row r="409" spans="1:4">
      <c r="A409" s="112"/>
      <c r="B409" s="54" t="s">
        <v>151</v>
      </c>
      <c r="C409" s="69">
        <v>28</v>
      </c>
      <c r="D409" s="68">
        <v>1E-3</v>
      </c>
    </row>
    <row r="410" spans="1:4">
      <c r="A410" s="112"/>
      <c r="B410" s="54" t="s">
        <v>285</v>
      </c>
      <c r="C410" s="69">
        <v>1</v>
      </c>
      <c r="D410" s="68">
        <v>0</v>
      </c>
    </row>
    <row r="411" spans="1:4">
      <c r="A411" s="112"/>
      <c r="B411" s="54" t="s">
        <v>286</v>
      </c>
      <c r="C411" s="69">
        <v>2</v>
      </c>
      <c r="D411" s="68">
        <v>0</v>
      </c>
    </row>
    <row r="412" spans="1:4">
      <c r="A412" s="112"/>
      <c r="B412" s="54" t="s">
        <v>287</v>
      </c>
      <c r="C412" s="69">
        <v>7</v>
      </c>
      <c r="D412" s="68">
        <v>0</v>
      </c>
    </row>
    <row r="413" spans="1:4">
      <c r="A413" s="112"/>
      <c r="B413" s="54" t="s">
        <v>155</v>
      </c>
      <c r="C413" s="69">
        <v>44</v>
      </c>
      <c r="D413" s="68">
        <v>2E-3</v>
      </c>
    </row>
    <row r="414" spans="1:4">
      <c r="A414" s="112"/>
      <c r="B414" s="54" t="s">
        <v>156</v>
      </c>
      <c r="C414" s="69">
        <v>5</v>
      </c>
      <c r="D414" s="68">
        <v>0</v>
      </c>
    </row>
    <row r="415" spans="1:4">
      <c r="A415" s="112"/>
      <c r="B415" s="54" t="s">
        <v>157</v>
      </c>
      <c r="C415" s="69">
        <v>8</v>
      </c>
      <c r="D415" s="68">
        <v>0</v>
      </c>
    </row>
    <row r="416" spans="1:4">
      <c r="A416" s="112"/>
      <c r="B416" s="54" t="s">
        <v>158</v>
      </c>
      <c r="C416" s="69">
        <v>54</v>
      </c>
      <c r="D416" s="68">
        <v>2E-3</v>
      </c>
    </row>
    <row r="417" spans="1:4">
      <c r="A417" s="112"/>
      <c r="B417" s="54" t="s">
        <v>289</v>
      </c>
      <c r="C417" s="69">
        <v>2</v>
      </c>
      <c r="D417" s="68">
        <v>0</v>
      </c>
    </row>
    <row r="418" spans="1:4">
      <c r="A418" s="112"/>
      <c r="B418" s="54" t="s">
        <v>290</v>
      </c>
      <c r="C418" s="69">
        <v>3</v>
      </c>
      <c r="D418" s="68">
        <v>0</v>
      </c>
    </row>
    <row r="419" spans="1:4">
      <c r="A419" s="112"/>
      <c r="B419" s="54" t="s">
        <v>163</v>
      </c>
      <c r="C419" s="69">
        <v>5</v>
      </c>
      <c r="D419" s="68">
        <v>0</v>
      </c>
    </row>
    <row r="420" spans="1:4">
      <c r="A420" s="112"/>
      <c r="B420" s="54" t="s">
        <v>164</v>
      </c>
      <c r="C420" s="69">
        <v>11</v>
      </c>
      <c r="D420" s="68">
        <v>0</v>
      </c>
    </row>
    <row r="421" spans="1:4">
      <c r="A421" s="112"/>
      <c r="B421" s="54" t="s">
        <v>166</v>
      </c>
      <c r="C421" s="69">
        <v>1</v>
      </c>
      <c r="D421" s="68">
        <v>0</v>
      </c>
    </row>
    <row r="422" spans="1:4">
      <c r="A422" s="113"/>
      <c r="B422" s="74" t="s">
        <v>304</v>
      </c>
      <c r="C422" s="80">
        <v>193</v>
      </c>
      <c r="D422" s="76">
        <v>8.0000000000000002E-3</v>
      </c>
    </row>
    <row r="423" spans="1:4">
      <c r="A423" s="111" t="s">
        <v>70</v>
      </c>
      <c r="B423" s="54" t="s">
        <v>144</v>
      </c>
      <c r="C423" s="69">
        <v>1</v>
      </c>
      <c r="D423" s="68">
        <v>0</v>
      </c>
    </row>
    <row r="424" spans="1:4">
      <c r="A424" s="112"/>
      <c r="B424" s="54" t="s">
        <v>281</v>
      </c>
      <c r="C424" s="69">
        <v>1</v>
      </c>
      <c r="D424" s="68">
        <v>0</v>
      </c>
    </row>
    <row r="425" spans="1:4">
      <c r="A425" s="112"/>
      <c r="B425" s="54" t="s">
        <v>282</v>
      </c>
      <c r="C425" s="69">
        <v>3</v>
      </c>
      <c r="D425" s="68">
        <v>0</v>
      </c>
    </row>
    <row r="426" spans="1:4">
      <c r="A426" s="112"/>
      <c r="B426" s="54" t="s">
        <v>284</v>
      </c>
      <c r="C426" s="69">
        <v>2</v>
      </c>
      <c r="D426" s="68">
        <v>0</v>
      </c>
    </row>
    <row r="427" spans="1:4">
      <c r="A427" s="112"/>
      <c r="B427" s="54" t="s">
        <v>151</v>
      </c>
      <c r="C427" s="69">
        <v>2</v>
      </c>
      <c r="D427" s="68">
        <v>0</v>
      </c>
    </row>
    <row r="428" spans="1:4">
      <c r="A428" s="112"/>
      <c r="B428" s="54" t="s">
        <v>286</v>
      </c>
      <c r="C428" s="69">
        <v>2</v>
      </c>
      <c r="D428" s="68">
        <v>0</v>
      </c>
    </row>
    <row r="429" spans="1:4">
      <c r="A429" s="112"/>
      <c r="B429" s="54" t="s">
        <v>287</v>
      </c>
      <c r="C429" s="69">
        <v>4</v>
      </c>
      <c r="D429" s="68">
        <v>0</v>
      </c>
    </row>
    <row r="430" spans="1:4">
      <c r="A430" s="112"/>
      <c r="B430" s="54" t="s">
        <v>155</v>
      </c>
      <c r="C430" s="69">
        <v>12</v>
      </c>
      <c r="D430" s="68">
        <v>0</v>
      </c>
    </row>
    <row r="431" spans="1:4">
      <c r="A431" s="112"/>
      <c r="B431" s="54" t="s">
        <v>156</v>
      </c>
      <c r="C431" s="69">
        <v>2</v>
      </c>
      <c r="D431" s="68">
        <v>0</v>
      </c>
    </row>
    <row r="432" spans="1:4">
      <c r="A432" s="112"/>
      <c r="B432" s="54" t="s">
        <v>157</v>
      </c>
      <c r="C432" s="69">
        <v>4</v>
      </c>
      <c r="D432" s="68">
        <v>0</v>
      </c>
    </row>
    <row r="433" spans="1:4">
      <c r="A433" s="112"/>
      <c r="B433" s="54" t="s">
        <v>158</v>
      </c>
      <c r="C433" s="69">
        <v>10</v>
      </c>
      <c r="D433" s="68">
        <v>0</v>
      </c>
    </row>
    <row r="434" spans="1:4">
      <c r="A434" s="112"/>
      <c r="B434" s="54" t="s">
        <v>288</v>
      </c>
      <c r="C434" s="69">
        <v>1</v>
      </c>
      <c r="D434" s="68">
        <v>0</v>
      </c>
    </row>
    <row r="435" spans="1:4">
      <c r="A435" s="112"/>
      <c r="B435" s="54" t="s">
        <v>163</v>
      </c>
      <c r="C435" s="69">
        <v>3</v>
      </c>
      <c r="D435" s="68">
        <v>0</v>
      </c>
    </row>
    <row r="436" spans="1:4">
      <c r="A436" s="112"/>
      <c r="B436" s="54" t="s">
        <v>164</v>
      </c>
      <c r="C436" s="69">
        <v>4</v>
      </c>
      <c r="D436" s="68">
        <v>0</v>
      </c>
    </row>
    <row r="437" spans="1:4">
      <c r="A437" s="112"/>
      <c r="B437" s="54" t="s">
        <v>165</v>
      </c>
      <c r="C437" s="69">
        <v>1</v>
      </c>
      <c r="D437" s="68">
        <v>0</v>
      </c>
    </row>
    <row r="438" spans="1:4">
      <c r="A438" s="113"/>
      <c r="B438" s="74" t="s">
        <v>304</v>
      </c>
      <c r="C438" s="80">
        <v>52</v>
      </c>
      <c r="D438" s="76">
        <v>2E-3</v>
      </c>
    </row>
    <row r="439" spans="1:4">
      <c r="A439" s="111" t="s">
        <v>91</v>
      </c>
      <c r="B439" s="54" t="s">
        <v>151</v>
      </c>
      <c r="C439" s="69">
        <v>1</v>
      </c>
      <c r="D439" s="68">
        <v>0</v>
      </c>
    </row>
    <row r="440" spans="1:4">
      <c r="A440" s="112"/>
      <c r="B440" s="54" t="s">
        <v>286</v>
      </c>
      <c r="C440" s="69">
        <v>1</v>
      </c>
      <c r="D440" s="68">
        <v>0</v>
      </c>
    </row>
    <row r="441" spans="1:4">
      <c r="A441" s="112"/>
      <c r="B441" s="54" t="s">
        <v>155</v>
      </c>
      <c r="C441" s="69">
        <v>2</v>
      </c>
      <c r="D441" s="68">
        <v>0</v>
      </c>
    </row>
    <row r="442" spans="1:4">
      <c r="A442" s="112"/>
      <c r="B442" s="54" t="s">
        <v>158</v>
      </c>
      <c r="C442" s="69">
        <v>4</v>
      </c>
      <c r="D442" s="68">
        <v>0</v>
      </c>
    </row>
    <row r="443" spans="1:4">
      <c r="A443" s="112"/>
      <c r="B443" s="54" t="s">
        <v>288</v>
      </c>
      <c r="C443" s="69">
        <v>1</v>
      </c>
      <c r="D443" s="68">
        <v>0</v>
      </c>
    </row>
    <row r="444" spans="1:4">
      <c r="A444" s="112"/>
      <c r="B444" s="54" t="s">
        <v>163</v>
      </c>
      <c r="C444" s="69">
        <v>1</v>
      </c>
      <c r="D444" s="68">
        <v>0</v>
      </c>
    </row>
    <row r="445" spans="1:4">
      <c r="A445" s="112"/>
      <c r="B445" s="54" t="s">
        <v>166</v>
      </c>
      <c r="C445" s="69">
        <v>1</v>
      </c>
      <c r="D445" s="68">
        <v>0</v>
      </c>
    </row>
    <row r="446" spans="1:4">
      <c r="A446" s="113"/>
      <c r="B446" s="74" t="s">
        <v>304</v>
      </c>
      <c r="C446" s="80">
        <v>11</v>
      </c>
      <c r="D446" s="76">
        <v>0</v>
      </c>
    </row>
    <row r="447" spans="1:4">
      <c r="A447" s="111" t="s">
        <v>57</v>
      </c>
      <c r="B447" s="54" t="s">
        <v>144</v>
      </c>
      <c r="C447" s="69">
        <v>2</v>
      </c>
      <c r="D447" s="68">
        <v>0</v>
      </c>
    </row>
    <row r="448" spans="1:4">
      <c r="A448" s="112"/>
      <c r="B448" s="54" t="s">
        <v>279</v>
      </c>
      <c r="C448" s="69">
        <v>1</v>
      </c>
      <c r="D448" s="68">
        <v>0</v>
      </c>
    </row>
    <row r="449" spans="1:4">
      <c r="A449" s="112"/>
      <c r="B449" s="54" t="s">
        <v>280</v>
      </c>
      <c r="C449" s="69">
        <v>4</v>
      </c>
      <c r="D449" s="68">
        <v>0</v>
      </c>
    </row>
    <row r="450" spans="1:4">
      <c r="A450" s="112"/>
      <c r="B450" s="54" t="s">
        <v>281</v>
      </c>
      <c r="C450" s="69">
        <v>3</v>
      </c>
      <c r="D450" s="68">
        <v>0</v>
      </c>
    </row>
    <row r="451" spans="1:4">
      <c r="A451" s="112"/>
      <c r="B451" s="54" t="s">
        <v>282</v>
      </c>
      <c r="C451" s="69">
        <v>3</v>
      </c>
      <c r="D451" s="68">
        <v>0</v>
      </c>
    </row>
    <row r="452" spans="1:4">
      <c r="A452" s="112"/>
      <c r="B452" s="54" t="s">
        <v>283</v>
      </c>
      <c r="C452" s="69">
        <v>6</v>
      </c>
      <c r="D452" s="68">
        <v>0</v>
      </c>
    </row>
    <row r="453" spans="1:4">
      <c r="A453" s="112"/>
      <c r="B453" s="54" t="s">
        <v>284</v>
      </c>
      <c r="C453" s="69">
        <v>16</v>
      </c>
      <c r="D453" s="68">
        <v>1E-3</v>
      </c>
    </row>
    <row r="454" spans="1:4">
      <c r="A454" s="112"/>
      <c r="B454" s="54" t="s">
        <v>151</v>
      </c>
      <c r="C454" s="69">
        <v>23</v>
      </c>
      <c r="D454" s="68">
        <v>1E-3</v>
      </c>
    </row>
    <row r="455" spans="1:4">
      <c r="A455" s="112"/>
      <c r="B455" s="54" t="s">
        <v>285</v>
      </c>
      <c r="C455" s="69">
        <v>8</v>
      </c>
      <c r="D455" s="68">
        <v>0</v>
      </c>
    </row>
    <row r="456" spans="1:4">
      <c r="A456" s="112"/>
      <c r="B456" s="54" t="s">
        <v>286</v>
      </c>
      <c r="C456" s="69">
        <v>5</v>
      </c>
      <c r="D456" s="68">
        <v>0</v>
      </c>
    </row>
    <row r="457" spans="1:4">
      <c r="A457" s="112"/>
      <c r="B457" s="54" t="s">
        <v>287</v>
      </c>
      <c r="C457" s="69">
        <v>7</v>
      </c>
      <c r="D457" s="68">
        <v>0</v>
      </c>
    </row>
    <row r="458" spans="1:4">
      <c r="A458" s="112"/>
      <c r="B458" s="54" t="s">
        <v>155</v>
      </c>
      <c r="C458" s="69">
        <v>73</v>
      </c>
      <c r="D458" s="68">
        <v>3.0000000000000001E-3</v>
      </c>
    </row>
    <row r="459" spans="1:4">
      <c r="A459" s="112"/>
      <c r="B459" s="54" t="s">
        <v>156</v>
      </c>
      <c r="C459" s="69">
        <v>7</v>
      </c>
      <c r="D459" s="68">
        <v>0</v>
      </c>
    </row>
    <row r="460" spans="1:4">
      <c r="A460" s="112"/>
      <c r="B460" s="54" t="s">
        <v>157</v>
      </c>
      <c r="C460" s="69">
        <v>23</v>
      </c>
      <c r="D460" s="68">
        <v>1E-3</v>
      </c>
    </row>
    <row r="461" spans="1:4">
      <c r="A461" s="112"/>
      <c r="B461" s="54" t="s">
        <v>158</v>
      </c>
      <c r="C461" s="69">
        <v>109</v>
      </c>
      <c r="D461" s="68">
        <v>4.0000000000000001E-3</v>
      </c>
    </row>
    <row r="462" spans="1:4">
      <c r="A462" s="112"/>
      <c r="B462" s="54" t="s">
        <v>288</v>
      </c>
      <c r="C462" s="69">
        <v>1</v>
      </c>
      <c r="D462" s="68">
        <v>0</v>
      </c>
    </row>
    <row r="463" spans="1:4">
      <c r="A463" s="112"/>
      <c r="B463" s="54" t="s">
        <v>163</v>
      </c>
      <c r="C463" s="69">
        <v>8</v>
      </c>
      <c r="D463" s="68">
        <v>0</v>
      </c>
    </row>
    <row r="464" spans="1:4">
      <c r="A464" s="112"/>
      <c r="B464" s="54" t="s">
        <v>164</v>
      </c>
      <c r="C464" s="69">
        <v>19</v>
      </c>
      <c r="D464" s="68">
        <v>1E-3</v>
      </c>
    </row>
    <row r="465" spans="1:4">
      <c r="A465" s="112"/>
      <c r="B465" s="54" t="s">
        <v>166</v>
      </c>
      <c r="C465" s="69">
        <v>2</v>
      </c>
      <c r="D465" s="68">
        <v>0</v>
      </c>
    </row>
    <row r="466" spans="1:4">
      <c r="A466" s="113"/>
      <c r="B466" s="74" t="s">
        <v>304</v>
      </c>
      <c r="C466" s="80">
        <v>320</v>
      </c>
      <c r="D466" s="76">
        <v>1.2999999999999999E-2</v>
      </c>
    </row>
    <row r="467" spans="1:4">
      <c r="A467" s="111" t="s">
        <v>72</v>
      </c>
      <c r="B467" s="54" t="s">
        <v>282</v>
      </c>
      <c r="C467" s="69">
        <v>1</v>
      </c>
      <c r="D467" s="68">
        <v>0</v>
      </c>
    </row>
    <row r="468" spans="1:4">
      <c r="A468" s="112"/>
      <c r="B468" s="54" t="s">
        <v>284</v>
      </c>
      <c r="C468" s="69">
        <v>5</v>
      </c>
      <c r="D468" s="68">
        <v>0</v>
      </c>
    </row>
    <row r="469" spans="1:4">
      <c r="A469" s="112"/>
      <c r="B469" s="54" t="s">
        <v>151</v>
      </c>
      <c r="C469" s="69">
        <v>4</v>
      </c>
      <c r="D469" s="68">
        <v>0</v>
      </c>
    </row>
    <row r="470" spans="1:4">
      <c r="A470" s="112"/>
      <c r="B470" s="54" t="s">
        <v>155</v>
      </c>
      <c r="C470" s="69">
        <v>8</v>
      </c>
      <c r="D470" s="68">
        <v>0</v>
      </c>
    </row>
    <row r="471" spans="1:4">
      <c r="A471" s="112"/>
      <c r="B471" s="54" t="s">
        <v>156</v>
      </c>
      <c r="C471" s="69">
        <v>2</v>
      </c>
      <c r="D471" s="68">
        <v>0</v>
      </c>
    </row>
    <row r="472" spans="1:4">
      <c r="A472" s="112"/>
      <c r="B472" s="54" t="s">
        <v>157</v>
      </c>
      <c r="C472" s="69">
        <v>1</v>
      </c>
      <c r="D472" s="68">
        <v>0</v>
      </c>
    </row>
    <row r="473" spans="1:4">
      <c r="A473" s="112"/>
      <c r="B473" s="54" t="s">
        <v>158</v>
      </c>
      <c r="C473" s="69">
        <v>12</v>
      </c>
      <c r="D473" s="68">
        <v>0</v>
      </c>
    </row>
    <row r="474" spans="1:4">
      <c r="A474" s="112"/>
      <c r="B474" s="54" t="s">
        <v>164</v>
      </c>
      <c r="C474" s="69">
        <v>5</v>
      </c>
      <c r="D474" s="68">
        <v>0</v>
      </c>
    </row>
    <row r="475" spans="1:4">
      <c r="A475" s="112"/>
      <c r="B475" s="54" t="s">
        <v>166</v>
      </c>
      <c r="C475" s="69">
        <v>3</v>
      </c>
      <c r="D475" s="68">
        <v>0</v>
      </c>
    </row>
    <row r="476" spans="1:4">
      <c r="A476" s="113"/>
      <c r="B476" s="74" t="s">
        <v>304</v>
      </c>
      <c r="C476" s="80">
        <v>41</v>
      </c>
      <c r="D476" s="76">
        <v>2E-3</v>
      </c>
    </row>
    <row r="477" spans="1:4">
      <c r="A477" s="111" t="s">
        <v>59</v>
      </c>
      <c r="B477" s="54" t="s">
        <v>144</v>
      </c>
      <c r="C477" s="69">
        <v>4</v>
      </c>
      <c r="D477" s="68">
        <v>0</v>
      </c>
    </row>
    <row r="478" spans="1:4">
      <c r="A478" s="112"/>
      <c r="B478" s="54" t="s">
        <v>168</v>
      </c>
      <c r="C478" s="69">
        <v>1</v>
      </c>
      <c r="D478" s="68">
        <v>0</v>
      </c>
    </row>
    <row r="479" spans="1:4">
      <c r="A479" s="112"/>
      <c r="B479" s="54" t="s">
        <v>280</v>
      </c>
      <c r="C479" s="69">
        <v>3</v>
      </c>
      <c r="D479" s="68">
        <v>0</v>
      </c>
    </row>
    <row r="480" spans="1:4">
      <c r="A480" s="112"/>
      <c r="B480" s="54" t="s">
        <v>281</v>
      </c>
      <c r="C480" s="69">
        <v>4</v>
      </c>
      <c r="D480" s="68">
        <v>0</v>
      </c>
    </row>
    <row r="481" spans="1:4">
      <c r="A481" s="112"/>
      <c r="B481" s="54" t="s">
        <v>282</v>
      </c>
      <c r="C481" s="69">
        <v>1</v>
      </c>
      <c r="D481" s="68">
        <v>0</v>
      </c>
    </row>
    <row r="482" spans="1:4">
      <c r="A482" s="112"/>
      <c r="B482" s="54" t="s">
        <v>283</v>
      </c>
      <c r="C482" s="69">
        <v>4</v>
      </c>
      <c r="D482" s="68">
        <v>0</v>
      </c>
    </row>
    <row r="483" spans="1:4">
      <c r="A483" s="112"/>
      <c r="B483" s="54" t="s">
        <v>284</v>
      </c>
      <c r="C483" s="69">
        <v>10</v>
      </c>
      <c r="D483" s="68">
        <v>0</v>
      </c>
    </row>
    <row r="484" spans="1:4">
      <c r="A484" s="112"/>
      <c r="B484" s="54" t="s">
        <v>151</v>
      </c>
      <c r="C484" s="69">
        <v>29</v>
      </c>
      <c r="D484" s="68">
        <v>1E-3</v>
      </c>
    </row>
    <row r="485" spans="1:4">
      <c r="A485" s="112"/>
      <c r="B485" s="54" t="s">
        <v>285</v>
      </c>
      <c r="C485" s="69">
        <v>5</v>
      </c>
      <c r="D485" s="68">
        <v>0</v>
      </c>
    </row>
    <row r="486" spans="1:4">
      <c r="A486" s="112"/>
      <c r="B486" s="54" t="s">
        <v>286</v>
      </c>
      <c r="C486" s="69">
        <v>10</v>
      </c>
      <c r="D486" s="68">
        <v>0</v>
      </c>
    </row>
    <row r="487" spans="1:4">
      <c r="A487" s="112"/>
      <c r="B487" s="54" t="s">
        <v>287</v>
      </c>
      <c r="C487" s="69">
        <v>6</v>
      </c>
      <c r="D487" s="68">
        <v>0</v>
      </c>
    </row>
    <row r="488" spans="1:4">
      <c r="A488" s="112"/>
      <c r="B488" s="54" t="s">
        <v>155</v>
      </c>
      <c r="C488" s="69">
        <v>100</v>
      </c>
      <c r="D488" s="68">
        <v>4.0000000000000001E-3</v>
      </c>
    </row>
    <row r="489" spans="1:4">
      <c r="A489" s="112"/>
      <c r="B489" s="54" t="s">
        <v>156</v>
      </c>
      <c r="C489" s="69">
        <v>5</v>
      </c>
      <c r="D489" s="68">
        <v>0</v>
      </c>
    </row>
    <row r="490" spans="1:4">
      <c r="A490" s="112"/>
      <c r="B490" s="54" t="s">
        <v>157</v>
      </c>
      <c r="C490" s="69">
        <v>25</v>
      </c>
      <c r="D490" s="68">
        <v>1E-3</v>
      </c>
    </row>
    <row r="491" spans="1:4">
      <c r="A491" s="112"/>
      <c r="B491" s="54" t="s">
        <v>158</v>
      </c>
      <c r="C491" s="69">
        <v>83</v>
      </c>
      <c r="D491" s="68">
        <v>3.0000000000000001E-3</v>
      </c>
    </row>
    <row r="492" spans="1:4">
      <c r="A492" s="112"/>
      <c r="B492" s="54" t="s">
        <v>288</v>
      </c>
      <c r="C492" s="69">
        <v>3</v>
      </c>
      <c r="D492" s="68">
        <v>0</v>
      </c>
    </row>
    <row r="493" spans="1:4">
      <c r="A493" s="112"/>
      <c r="B493" s="54" t="s">
        <v>289</v>
      </c>
      <c r="C493" s="69">
        <v>2</v>
      </c>
      <c r="D493" s="68">
        <v>0</v>
      </c>
    </row>
    <row r="494" spans="1:4">
      <c r="A494" s="112"/>
      <c r="B494" s="54" t="s">
        <v>290</v>
      </c>
      <c r="C494" s="69">
        <v>1</v>
      </c>
      <c r="D494" s="68">
        <v>0</v>
      </c>
    </row>
    <row r="495" spans="1:4">
      <c r="A495" s="112"/>
      <c r="B495" s="54" t="s">
        <v>291</v>
      </c>
      <c r="C495" s="69">
        <v>1</v>
      </c>
      <c r="D495" s="68">
        <v>0</v>
      </c>
    </row>
    <row r="496" spans="1:4">
      <c r="A496" s="112"/>
      <c r="B496" s="54" t="s">
        <v>163</v>
      </c>
      <c r="C496" s="69">
        <v>5</v>
      </c>
      <c r="D496" s="68">
        <v>0</v>
      </c>
    </row>
    <row r="497" spans="1:4">
      <c r="A497" s="112"/>
      <c r="B497" s="54" t="s">
        <v>164</v>
      </c>
      <c r="C497" s="69">
        <v>27</v>
      </c>
      <c r="D497" s="68">
        <v>1E-3</v>
      </c>
    </row>
    <row r="498" spans="1:4">
      <c r="A498" s="112"/>
      <c r="B498" s="54" t="s">
        <v>165</v>
      </c>
      <c r="C498" s="69">
        <v>1</v>
      </c>
      <c r="D498" s="68">
        <v>0</v>
      </c>
    </row>
    <row r="499" spans="1:4">
      <c r="A499" s="112"/>
      <c r="B499" s="54" t="s">
        <v>166</v>
      </c>
      <c r="C499" s="69">
        <v>2</v>
      </c>
      <c r="D499" s="68">
        <v>0</v>
      </c>
    </row>
    <row r="500" spans="1:4">
      <c r="A500" s="113"/>
      <c r="B500" s="74" t="s">
        <v>304</v>
      </c>
      <c r="C500" s="80">
        <v>332</v>
      </c>
      <c r="D500" s="76">
        <v>1.4E-2</v>
      </c>
    </row>
    <row r="501" spans="1:4">
      <c r="A501" s="111" t="s">
        <v>67</v>
      </c>
      <c r="B501" s="54" t="s">
        <v>144</v>
      </c>
      <c r="C501" s="69">
        <v>1</v>
      </c>
      <c r="D501" s="68">
        <v>0</v>
      </c>
    </row>
    <row r="502" spans="1:4">
      <c r="A502" s="112"/>
      <c r="B502" s="54" t="s">
        <v>282</v>
      </c>
      <c r="C502" s="69">
        <v>1</v>
      </c>
      <c r="D502" s="68">
        <v>0</v>
      </c>
    </row>
    <row r="503" spans="1:4">
      <c r="A503" s="112"/>
      <c r="B503" s="54" t="s">
        <v>283</v>
      </c>
      <c r="C503" s="69">
        <v>1</v>
      </c>
      <c r="D503" s="68">
        <v>0</v>
      </c>
    </row>
    <row r="504" spans="1:4">
      <c r="A504" s="112"/>
      <c r="B504" s="54" t="s">
        <v>284</v>
      </c>
      <c r="C504" s="69">
        <v>5</v>
      </c>
      <c r="D504" s="68">
        <v>0</v>
      </c>
    </row>
    <row r="505" spans="1:4">
      <c r="A505" s="112"/>
      <c r="B505" s="54" t="s">
        <v>151</v>
      </c>
      <c r="C505" s="69">
        <v>3</v>
      </c>
      <c r="D505" s="68">
        <v>0</v>
      </c>
    </row>
    <row r="506" spans="1:4">
      <c r="A506" s="112"/>
      <c r="B506" s="54" t="s">
        <v>285</v>
      </c>
      <c r="C506" s="69">
        <v>1</v>
      </c>
      <c r="D506" s="68">
        <v>0</v>
      </c>
    </row>
    <row r="507" spans="1:4">
      <c r="A507" s="112"/>
      <c r="B507" s="54" t="s">
        <v>286</v>
      </c>
      <c r="C507" s="69">
        <v>2</v>
      </c>
      <c r="D507" s="68">
        <v>0</v>
      </c>
    </row>
    <row r="508" spans="1:4">
      <c r="A508" s="112"/>
      <c r="B508" s="54" t="s">
        <v>287</v>
      </c>
      <c r="C508" s="69">
        <v>5</v>
      </c>
      <c r="D508" s="68">
        <v>0</v>
      </c>
    </row>
    <row r="509" spans="1:4">
      <c r="A509" s="112"/>
      <c r="B509" s="54" t="s">
        <v>155</v>
      </c>
      <c r="C509" s="69">
        <v>18</v>
      </c>
      <c r="D509" s="68">
        <v>1E-3</v>
      </c>
    </row>
    <row r="510" spans="1:4">
      <c r="A510" s="112"/>
      <c r="B510" s="54" t="s">
        <v>156</v>
      </c>
      <c r="C510" s="69">
        <v>2</v>
      </c>
      <c r="D510" s="68">
        <v>0</v>
      </c>
    </row>
    <row r="511" spans="1:4">
      <c r="A511" s="112"/>
      <c r="B511" s="54" t="s">
        <v>157</v>
      </c>
      <c r="C511" s="69">
        <v>10</v>
      </c>
      <c r="D511" s="68">
        <v>0</v>
      </c>
    </row>
    <row r="512" spans="1:4">
      <c r="A512" s="112"/>
      <c r="B512" s="54" t="s">
        <v>158</v>
      </c>
      <c r="C512" s="69">
        <v>28</v>
      </c>
      <c r="D512" s="68">
        <v>1E-3</v>
      </c>
    </row>
    <row r="513" spans="1:4">
      <c r="A513" s="112"/>
      <c r="B513" s="54" t="s">
        <v>289</v>
      </c>
      <c r="C513" s="69">
        <v>1</v>
      </c>
      <c r="D513" s="68">
        <v>0</v>
      </c>
    </row>
    <row r="514" spans="1:4">
      <c r="A514" s="112"/>
      <c r="B514" s="54" t="s">
        <v>290</v>
      </c>
      <c r="C514" s="69">
        <v>1</v>
      </c>
      <c r="D514" s="68">
        <v>0</v>
      </c>
    </row>
    <row r="515" spans="1:4">
      <c r="A515" s="112"/>
      <c r="B515" s="54" t="s">
        <v>163</v>
      </c>
      <c r="C515" s="69">
        <v>2</v>
      </c>
      <c r="D515" s="68">
        <v>0</v>
      </c>
    </row>
    <row r="516" spans="1:4">
      <c r="A516" s="112"/>
      <c r="B516" s="54" t="s">
        <v>164</v>
      </c>
      <c r="C516" s="69">
        <v>10</v>
      </c>
      <c r="D516" s="68">
        <v>0</v>
      </c>
    </row>
    <row r="517" spans="1:4">
      <c r="A517" s="113"/>
      <c r="B517" s="74" t="s">
        <v>304</v>
      </c>
      <c r="C517" s="80">
        <v>91</v>
      </c>
      <c r="D517" s="76">
        <v>4.0000000000000001E-3</v>
      </c>
    </row>
    <row r="518" spans="1:4">
      <c r="A518" s="111" t="s">
        <v>58</v>
      </c>
      <c r="B518" s="54" t="s">
        <v>281</v>
      </c>
      <c r="C518" s="69">
        <v>2</v>
      </c>
      <c r="D518" s="68">
        <v>0</v>
      </c>
    </row>
    <row r="519" spans="1:4">
      <c r="A519" s="112"/>
      <c r="B519" s="54" t="s">
        <v>282</v>
      </c>
      <c r="C519" s="69">
        <v>6</v>
      </c>
      <c r="D519" s="68">
        <v>0</v>
      </c>
    </row>
    <row r="520" spans="1:4">
      <c r="A520" s="112"/>
      <c r="B520" s="54" t="s">
        <v>283</v>
      </c>
      <c r="C520" s="69">
        <v>4</v>
      </c>
      <c r="D520" s="68">
        <v>0</v>
      </c>
    </row>
    <row r="521" spans="1:4">
      <c r="A521" s="112"/>
      <c r="B521" s="54" t="s">
        <v>284</v>
      </c>
      <c r="C521" s="69">
        <v>11</v>
      </c>
      <c r="D521" s="68">
        <v>0</v>
      </c>
    </row>
    <row r="522" spans="1:4">
      <c r="A522" s="112"/>
      <c r="B522" s="54" t="s">
        <v>151</v>
      </c>
      <c r="C522" s="69">
        <v>24</v>
      </c>
      <c r="D522" s="68">
        <v>1E-3</v>
      </c>
    </row>
    <row r="523" spans="1:4">
      <c r="A523" s="112"/>
      <c r="B523" s="54" t="s">
        <v>285</v>
      </c>
      <c r="C523" s="69">
        <v>3</v>
      </c>
      <c r="D523" s="68">
        <v>0</v>
      </c>
    </row>
    <row r="524" spans="1:4">
      <c r="A524" s="112"/>
      <c r="B524" s="54" t="s">
        <v>286</v>
      </c>
      <c r="C524" s="69">
        <v>10</v>
      </c>
      <c r="D524" s="68">
        <v>0</v>
      </c>
    </row>
    <row r="525" spans="1:4">
      <c r="A525" s="112"/>
      <c r="B525" s="54" t="s">
        <v>287</v>
      </c>
      <c r="C525" s="69">
        <v>9</v>
      </c>
      <c r="D525" s="68">
        <v>0</v>
      </c>
    </row>
    <row r="526" spans="1:4">
      <c r="A526" s="112"/>
      <c r="B526" s="54" t="s">
        <v>155</v>
      </c>
      <c r="C526" s="69">
        <v>58</v>
      </c>
      <c r="D526" s="68">
        <v>2E-3</v>
      </c>
    </row>
    <row r="527" spans="1:4">
      <c r="A527" s="112"/>
      <c r="B527" s="54" t="s">
        <v>156</v>
      </c>
      <c r="C527" s="69">
        <v>3</v>
      </c>
      <c r="D527" s="68">
        <v>0</v>
      </c>
    </row>
    <row r="528" spans="1:4">
      <c r="A528" s="112"/>
      <c r="B528" s="54" t="s">
        <v>157</v>
      </c>
      <c r="C528" s="69">
        <v>30</v>
      </c>
      <c r="D528" s="68">
        <v>1E-3</v>
      </c>
    </row>
    <row r="529" spans="1:4">
      <c r="A529" s="112"/>
      <c r="B529" s="54" t="s">
        <v>158</v>
      </c>
      <c r="C529" s="69">
        <v>55</v>
      </c>
      <c r="D529" s="68">
        <v>2E-3</v>
      </c>
    </row>
    <row r="530" spans="1:4">
      <c r="A530" s="112"/>
      <c r="B530" s="54" t="s">
        <v>288</v>
      </c>
      <c r="C530" s="69">
        <v>1</v>
      </c>
      <c r="D530" s="68">
        <v>0</v>
      </c>
    </row>
    <row r="531" spans="1:4">
      <c r="A531" s="112"/>
      <c r="B531" s="54" t="s">
        <v>289</v>
      </c>
      <c r="C531" s="69">
        <v>1</v>
      </c>
      <c r="D531" s="68">
        <v>0</v>
      </c>
    </row>
    <row r="532" spans="1:4">
      <c r="A532" s="112"/>
      <c r="B532" s="54" t="s">
        <v>290</v>
      </c>
      <c r="C532" s="69">
        <v>1</v>
      </c>
      <c r="D532" s="68">
        <v>0</v>
      </c>
    </row>
    <row r="533" spans="1:4">
      <c r="A533" s="112"/>
      <c r="B533" s="54" t="s">
        <v>163</v>
      </c>
      <c r="C533" s="69">
        <v>5</v>
      </c>
      <c r="D533" s="68">
        <v>0</v>
      </c>
    </row>
    <row r="534" spans="1:4">
      <c r="A534" s="112"/>
      <c r="B534" s="54" t="s">
        <v>164</v>
      </c>
      <c r="C534" s="69">
        <v>13</v>
      </c>
      <c r="D534" s="68">
        <v>1E-3</v>
      </c>
    </row>
    <row r="535" spans="1:4">
      <c r="A535" s="112"/>
      <c r="B535" s="54" t="s">
        <v>165</v>
      </c>
      <c r="C535" s="69">
        <v>1</v>
      </c>
      <c r="D535" s="68">
        <v>0</v>
      </c>
    </row>
    <row r="536" spans="1:4">
      <c r="A536" s="113"/>
      <c r="B536" s="74" t="s">
        <v>304</v>
      </c>
      <c r="C536" s="80">
        <v>237</v>
      </c>
      <c r="D536" s="76">
        <v>0.01</v>
      </c>
    </row>
    <row r="537" spans="1:4">
      <c r="A537" s="111" t="s">
        <v>87</v>
      </c>
      <c r="B537" s="54" t="s">
        <v>280</v>
      </c>
      <c r="C537" s="69">
        <v>2</v>
      </c>
      <c r="D537" s="68">
        <v>0</v>
      </c>
    </row>
    <row r="538" spans="1:4">
      <c r="A538" s="112"/>
      <c r="B538" s="54" t="s">
        <v>284</v>
      </c>
      <c r="C538" s="69">
        <v>1</v>
      </c>
      <c r="D538" s="68">
        <v>0</v>
      </c>
    </row>
    <row r="539" spans="1:4">
      <c r="A539" s="112"/>
      <c r="B539" s="54" t="s">
        <v>151</v>
      </c>
      <c r="C539" s="69">
        <v>3</v>
      </c>
      <c r="D539" s="68">
        <v>0</v>
      </c>
    </row>
    <row r="540" spans="1:4">
      <c r="A540" s="112"/>
      <c r="B540" s="54" t="s">
        <v>155</v>
      </c>
      <c r="C540" s="69">
        <v>2</v>
      </c>
      <c r="D540" s="68">
        <v>0</v>
      </c>
    </row>
    <row r="541" spans="1:4">
      <c r="A541" s="112"/>
      <c r="B541" s="54" t="s">
        <v>157</v>
      </c>
      <c r="C541" s="69">
        <v>1</v>
      </c>
      <c r="D541" s="68">
        <v>0</v>
      </c>
    </row>
    <row r="542" spans="1:4">
      <c r="A542" s="112"/>
      <c r="B542" s="54" t="s">
        <v>158</v>
      </c>
      <c r="C542" s="69">
        <v>4</v>
      </c>
      <c r="D542" s="68">
        <v>0</v>
      </c>
    </row>
    <row r="543" spans="1:4">
      <c r="A543" s="112"/>
      <c r="B543" s="54" t="s">
        <v>164</v>
      </c>
      <c r="C543" s="69">
        <v>1</v>
      </c>
      <c r="D543" s="68">
        <v>0</v>
      </c>
    </row>
    <row r="544" spans="1:4">
      <c r="A544" s="113"/>
      <c r="B544" s="74" t="s">
        <v>304</v>
      </c>
      <c r="C544" s="80">
        <v>14</v>
      </c>
      <c r="D544" s="76">
        <v>1E-3</v>
      </c>
    </row>
    <row r="545" spans="1:4">
      <c r="A545" s="111" t="s">
        <v>75</v>
      </c>
      <c r="B545" s="54" t="s">
        <v>151</v>
      </c>
      <c r="C545" s="69">
        <v>1</v>
      </c>
      <c r="D545" s="68">
        <v>0</v>
      </c>
    </row>
    <row r="546" spans="1:4">
      <c r="A546" s="112"/>
      <c r="B546" s="54" t="s">
        <v>287</v>
      </c>
      <c r="C546" s="69">
        <v>2</v>
      </c>
      <c r="D546" s="68">
        <v>0</v>
      </c>
    </row>
    <row r="547" spans="1:4">
      <c r="A547" s="112"/>
      <c r="B547" s="54" t="s">
        <v>155</v>
      </c>
      <c r="C547" s="69">
        <v>7</v>
      </c>
      <c r="D547" s="68">
        <v>0</v>
      </c>
    </row>
    <row r="548" spans="1:4">
      <c r="A548" s="112"/>
      <c r="B548" s="54" t="s">
        <v>157</v>
      </c>
      <c r="C548" s="69">
        <v>2</v>
      </c>
      <c r="D548" s="68">
        <v>0</v>
      </c>
    </row>
    <row r="549" spans="1:4">
      <c r="A549" s="112"/>
      <c r="B549" s="54" t="s">
        <v>158</v>
      </c>
      <c r="C549" s="69">
        <v>14</v>
      </c>
      <c r="D549" s="68">
        <v>1E-3</v>
      </c>
    </row>
    <row r="550" spans="1:4">
      <c r="A550" s="112"/>
      <c r="B550" s="54" t="s">
        <v>288</v>
      </c>
      <c r="C550" s="69">
        <v>1</v>
      </c>
      <c r="D550" s="68">
        <v>0</v>
      </c>
    </row>
    <row r="551" spans="1:4">
      <c r="A551" s="112"/>
      <c r="B551" s="54" t="s">
        <v>164</v>
      </c>
      <c r="C551" s="69">
        <v>2</v>
      </c>
      <c r="D551" s="68">
        <v>0</v>
      </c>
    </row>
    <row r="552" spans="1:4">
      <c r="A552" s="113"/>
      <c r="B552" s="74" t="s">
        <v>304</v>
      </c>
      <c r="C552" s="80">
        <v>29</v>
      </c>
      <c r="D552" s="76">
        <v>1E-3</v>
      </c>
    </row>
    <row r="553" spans="1:4">
      <c r="A553" s="111" t="s">
        <v>89</v>
      </c>
      <c r="B553" s="54" t="s">
        <v>151</v>
      </c>
      <c r="C553" s="69">
        <v>1</v>
      </c>
      <c r="D553" s="68">
        <v>0</v>
      </c>
    </row>
    <row r="554" spans="1:4">
      <c r="A554" s="112"/>
      <c r="B554" s="54" t="s">
        <v>285</v>
      </c>
      <c r="C554" s="69">
        <v>1</v>
      </c>
      <c r="D554" s="68">
        <v>0</v>
      </c>
    </row>
    <row r="555" spans="1:4">
      <c r="A555" s="112"/>
      <c r="B555" s="54" t="s">
        <v>287</v>
      </c>
      <c r="C555" s="69">
        <v>1</v>
      </c>
      <c r="D555" s="68">
        <v>0</v>
      </c>
    </row>
    <row r="556" spans="1:4">
      <c r="A556" s="112"/>
      <c r="B556" s="54" t="s">
        <v>155</v>
      </c>
      <c r="C556" s="69">
        <v>4</v>
      </c>
      <c r="D556" s="68">
        <v>0</v>
      </c>
    </row>
    <row r="557" spans="1:4">
      <c r="A557" s="112"/>
      <c r="B557" s="54" t="s">
        <v>156</v>
      </c>
      <c r="C557" s="69">
        <v>1</v>
      </c>
      <c r="D557" s="68">
        <v>0</v>
      </c>
    </row>
    <row r="558" spans="1:4">
      <c r="A558" s="112"/>
      <c r="B558" s="54" t="s">
        <v>157</v>
      </c>
      <c r="C558" s="69">
        <v>1</v>
      </c>
      <c r="D558" s="68">
        <v>0</v>
      </c>
    </row>
    <row r="559" spans="1:4">
      <c r="A559" s="112"/>
      <c r="B559" s="54" t="s">
        <v>158</v>
      </c>
      <c r="C559" s="69">
        <v>4</v>
      </c>
      <c r="D559" s="68">
        <v>0</v>
      </c>
    </row>
    <row r="560" spans="1:4">
      <c r="A560" s="112"/>
      <c r="B560" s="54" t="s">
        <v>288</v>
      </c>
      <c r="C560" s="69">
        <v>1</v>
      </c>
      <c r="D560" s="68">
        <v>0</v>
      </c>
    </row>
    <row r="561" spans="1:4">
      <c r="A561" s="112"/>
      <c r="B561" s="54" t="s">
        <v>164</v>
      </c>
      <c r="C561" s="69">
        <v>3</v>
      </c>
      <c r="D561" s="68">
        <v>0</v>
      </c>
    </row>
    <row r="562" spans="1:4">
      <c r="A562" s="113"/>
      <c r="B562" s="74" t="s">
        <v>304</v>
      </c>
      <c r="C562" s="80">
        <v>17</v>
      </c>
      <c r="D562" s="76">
        <v>1E-3</v>
      </c>
    </row>
    <row r="563" spans="1:4">
      <c r="A563" s="111" t="s">
        <v>79</v>
      </c>
      <c r="B563" s="54" t="s">
        <v>283</v>
      </c>
      <c r="C563" s="69">
        <v>1</v>
      </c>
      <c r="D563" s="68">
        <v>0</v>
      </c>
    </row>
    <row r="564" spans="1:4">
      <c r="A564" s="112"/>
      <c r="B564" s="54" t="s">
        <v>284</v>
      </c>
      <c r="C564" s="69">
        <v>4</v>
      </c>
      <c r="D564" s="68">
        <v>0</v>
      </c>
    </row>
    <row r="565" spans="1:4">
      <c r="A565" s="112"/>
      <c r="B565" s="54" t="s">
        <v>151</v>
      </c>
      <c r="C565" s="69">
        <v>1</v>
      </c>
      <c r="D565" s="68">
        <v>0</v>
      </c>
    </row>
    <row r="566" spans="1:4">
      <c r="A566" s="112"/>
      <c r="B566" s="54" t="s">
        <v>286</v>
      </c>
      <c r="C566" s="69">
        <v>1</v>
      </c>
      <c r="D566" s="68">
        <v>0</v>
      </c>
    </row>
    <row r="567" spans="1:4">
      <c r="A567" s="112"/>
      <c r="B567" s="54" t="s">
        <v>287</v>
      </c>
      <c r="C567" s="69">
        <v>2</v>
      </c>
      <c r="D567" s="68">
        <v>0</v>
      </c>
    </row>
    <row r="568" spans="1:4">
      <c r="A568" s="112"/>
      <c r="B568" s="54" t="s">
        <v>155</v>
      </c>
      <c r="C568" s="69">
        <v>5</v>
      </c>
      <c r="D568" s="68">
        <v>0</v>
      </c>
    </row>
    <row r="569" spans="1:4">
      <c r="A569" s="112"/>
      <c r="B569" s="54" t="s">
        <v>157</v>
      </c>
      <c r="C569" s="69">
        <v>3</v>
      </c>
      <c r="D569" s="68">
        <v>0</v>
      </c>
    </row>
    <row r="570" spans="1:4">
      <c r="A570" s="112"/>
      <c r="B570" s="54" t="s">
        <v>158</v>
      </c>
      <c r="C570" s="69">
        <v>3</v>
      </c>
      <c r="D570" s="68">
        <v>0</v>
      </c>
    </row>
    <row r="571" spans="1:4">
      <c r="A571" s="112"/>
      <c r="B571" s="54" t="s">
        <v>163</v>
      </c>
      <c r="C571" s="69">
        <v>1</v>
      </c>
      <c r="D571" s="68">
        <v>0</v>
      </c>
    </row>
    <row r="572" spans="1:4">
      <c r="A572" s="112"/>
      <c r="B572" s="54" t="s">
        <v>164</v>
      </c>
      <c r="C572" s="69">
        <v>2</v>
      </c>
      <c r="D572" s="68">
        <v>0</v>
      </c>
    </row>
    <row r="573" spans="1:4">
      <c r="A573" s="113"/>
      <c r="B573" s="74" t="s">
        <v>304</v>
      </c>
      <c r="C573" s="80">
        <v>23</v>
      </c>
      <c r="D573" s="76">
        <v>1E-3</v>
      </c>
    </row>
    <row r="574" spans="1:4">
      <c r="A574" s="111" t="s">
        <v>54</v>
      </c>
      <c r="B574" s="54" t="s">
        <v>144</v>
      </c>
      <c r="C574" s="69">
        <v>9</v>
      </c>
      <c r="D574" s="68">
        <v>0</v>
      </c>
    </row>
    <row r="575" spans="1:4">
      <c r="A575" s="112"/>
      <c r="B575" s="54" t="s">
        <v>279</v>
      </c>
      <c r="C575" s="69">
        <v>1</v>
      </c>
      <c r="D575" s="68">
        <v>0</v>
      </c>
    </row>
    <row r="576" spans="1:4">
      <c r="A576" s="112"/>
      <c r="B576" s="54" t="s">
        <v>280</v>
      </c>
      <c r="C576" s="69">
        <v>2</v>
      </c>
      <c r="D576" s="68">
        <v>0</v>
      </c>
    </row>
    <row r="577" spans="1:4">
      <c r="A577" s="112"/>
      <c r="B577" s="54" t="s">
        <v>281</v>
      </c>
      <c r="C577" s="69">
        <v>7</v>
      </c>
      <c r="D577" s="68">
        <v>0</v>
      </c>
    </row>
    <row r="578" spans="1:4">
      <c r="A578" s="112"/>
      <c r="B578" s="54" t="s">
        <v>282</v>
      </c>
      <c r="C578" s="69">
        <v>5</v>
      </c>
      <c r="D578" s="68">
        <v>0</v>
      </c>
    </row>
    <row r="579" spans="1:4">
      <c r="A579" s="112"/>
      <c r="B579" s="54" t="s">
        <v>283</v>
      </c>
      <c r="C579" s="69">
        <v>8</v>
      </c>
      <c r="D579" s="68">
        <v>0</v>
      </c>
    </row>
    <row r="580" spans="1:4">
      <c r="A580" s="112"/>
      <c r="B580" s="54" t="s">
        <v>284</v>
      </c>
      <c r="C580" s="69">
        <v>21</v>
      </c>
      <c r="D580" s="68">
        <v>1E-3</v>
      </c>
    </row>
    <row r="581" spans="1:4">
      <c r="A581" s="112"/>
      <c r="B581" s="54" t="s">
        <v>151</v>
      </c>
      <c r="C581" s="69">
        <v>77</v>
      </c>
      <c r="D581" s="68">
        <v>3.0000000000000001E-3</v>
      </c>
    </row>
    <row r="582" spans="1:4">
      <c r="A582" s="112"/>
      <c r="B582" s="54" t="s">
        <v>285</v>
      </c>
      <c r="C582" s="69">
        <v>4</v>
      </c>
      <c r="D582" s="68">
        <v>0</v>
      </c>
    </row>
    <row r="583" spans="1:4">
      <c r="A583" s="112"/>
      <c r="B583" s="54" t="s">
        <v>286</v>
      </c>
      <c r="C583" s="69">
        <v>11</v>
      </c>
      <c r="D583" s="68">
        <v>0</v>
      </c>
    </row>
    <row r="584" spans="1:4">
      <c r="A584" s="112"/>
      <c r="B584" s="54" t="s">
        <v>287</v>
      </c>
      <c r="C584" s="69">
        <v>23</v>
      </c>
      <c r="D584" s="68">
        <v>1E-3</v>
      </c>
    </row>
    <row r="585" spans="1:4">
      <c r="A585" s="112"/>
      <c r="B585" s="54" t="s">
        <v>155</v>
      </c>
      <c r="C585" s="69">
        <v>222</v>
      </c>
      <c r="D585" s="68">
        <v>8.9999999999999993E-3</v>
      </c>
    </row>
    <row r="586" spans="1:4">
      <c r="A586" s="112"/>
      <c r="B586" s="54" t="s">
        <v>156</v>
      </c>
      <c r="C586" s="69">
        <v>6</v>
      </c>
      <c r="D586" s="68">
        <v>0</v>
      </c>
    </row>
    <row r="587" spans="1:4">
      <c r="A587" s="112"/>
      <c r="B587" s="54" t="s">
        <v>157</v>
      </c>
      <c r="C587" s="69">
        <v>43</v>
      </c>
      <c r="D587" s="68">
        <v>2E-3</v>
      </c>
    </row>
    <row r="588" spans="1:4">
      <c r="A588" s="112"/>
      <c r="B588" s="54" t="s">
        <v>158</v>
      </c>
      <c r="C588" s="69">
        <v>142</v>
      </c>
      <c r="D588" s="68">
        <v>6.0000000000000001E-3</v>
      </c>
    </row>
    <row r="589" spans="1:4">
      <c r="A589" s="112"/>
      <c r="B589" s="54" t="s">
        <v>288</v>
      </c>
      <c r="C589" s="69">
        <v>1</v>
      </c>
      <c r="D589" s="68">
        <v>0</v>
      </c>
    </row>
    <row r="590" spans="1:4">
      <c r="A590" s="112"/>
      <c r="B590" s="54" t="s">
        <v>289</v>
      </c>
      <c r="C590" s="69">
        <v>2</v>
      </c>
      <c r="D590" s="68">
        <v>0</v>
      </c>
    </row>
    <row r="591" spans="1:4">
      <c r="A591" s="112"/>
      <c r="B591" s="54" t="s">
        <v>163</v>
      </c>
      <c r="C591" s="69">
        <v>8</v>
      </c>
      <c r="D591" s="68">
        <v>0</v>
      </c>
    </row>
    <row r="592" spans="1:4">
      <c r="A592" s="112"/>
      <c r="B592" s="54" t="s">
        <v>164</v>
      </c>
      <c r="C592" s="69">
        <v>32</v>
      </c>
      <c r="D592" s="68">
        <v>1E-3</v>
      </c>
    </row>
    <row r="593" spans="1:4">
      <c r="A593" s="112"/>
      <c r="B593" s="54" t="s">
        <v>166</v>
      </c>
      <c r="C593" s="69">
        <v>1</v>
      </c>
      <c r="D593" s="68">
        <v>0</v>
      </c>
    </row>
    <row r="594" spans="1:4">
      <c r="A594" s="113"/>
      <c r="B594" s="74" t="s">
        <v>304</v>
      </c>
      <c r="C594" s="80">
        <v>625</v>
      </c>
      <c r="D594" s="76">
        <v>2.5999999999999999E-2</v>
      </c>
    </row>
    <row r="595" spans="1:4">
      <c r="A595" s="111" t="s">
        <v>81</v>
      </c>
      <c r="B595" s="54" t="s">
        <v>284</v>
      </c>
      <c r="C595" s="69">
        <v>3</v>
      </c>
      <c r="D595" s="68">
        <v>0</v>
      </c>
    </row>
    <row r="596" spans="1:4">
      <c r="A596" s="112"/>
      <c r="B596" s="54" t="s">
        <v>151</v>
      </c>
      <c r="C596" s="69">
        <v>3</v>
      </c>
      <c r="D596" s="68">
        <v>0</v>
      </c>
    </row>
    <row r="597" spans="1:4">
      <c r="A597" s="112"/>
      <c r="B597" s="54" t="s">
        <v>285</v>
      </c>
      <c r="C597" s="69">
        <v>1</v>
      </c>
      <c r="D597" s="68">
        <v>0</v>
      </c>
    </row>
    <row r="598" spans="1:4">
      <c r="A598" s="112"/>
      <c r="B598" s="54" t="s">
        <v>287</v>
      </c>
      <c r="C598" s="69">
        <v>2</v>
      </c>
      <c r="D598" s="68">
        <v>0</v>
      </c>
    </row>
    <row r="599" spans="1:4">
      <c r="A599" s="112"/>
      <c r="B599" s="54" t="s">
        <v>155</v>
      </c>
      <c r="C599" s="69">
        <v>7</v>
      </c>
      <c r="D599" s="68">
        <v>0</v>
      </c>
    </row>
    <row r="600" spans="1:4">
      <c r="A600" s="112"/>
      <c r="B600" s="54" t="s">
        <v>156</v>
      </c>
      <c r="C600" s="69">
        <v>1</v>
      </c>
      <c r="D600" s="68">
        <v>0</v>
      </c>
    </row>
    <row r="601" spans="1:4">
      <c r="A601" s="112"/>
      <c r="B601" s="54" t="s">
        <v>157</v>
      </c>
      <c r="C601" s="69">
        <v>2</v>
      </c>
      <c r="D601" s="68">
        <v>0</v>
      </c>
    </row>
    <row r="602" spans="1:4">
      <c r="A602" s="112"/>
      <c r="B602" s="54" t="s">
        <v>158</v>
      </c>
      <c r="C602" s="69">
        <v>11</v>
      </c>
      <c r="D602" s="68">
        <v>0</v>
      </c>
    </row>
    <row r="603" spans="1:4">
      <c r="A603" s="112"/>
      <c r="B603" s="54" t="s">
        <v>290</v>
      </c>
      <c r="C603" s="69">
        <v>1</v>
      </c>
      <c r="D603" s="68">
        <v>0</v>
      </c>
    </row>
    <row r="604" spans="1:4">
      <c r="A604" s="112"/>
      <c r="B604" s="54" t="s">
        <v>164</v>
      </c>
      <c r="C604" s="69">
        <v>3</v>
      </c>
      <c r="D604" s="68">
        <v>0</v>
      </c>
    </row>
    <row r="605" spans="1:4">
      <c r="A605" s="112"/>
      <c r="B605" s="54" t="s">
        <v>166</v>
      </c>
      <c r="C605" s="69">
        <v>1</v>
      </c>
      <c r="D605" s="68">
        <v>0</v>
      </c>
    </row>
    <row r="606" spans="1:4">
      <c r="A606" s="113"/>
      <c r="B606" s="74" t="s">
        <v>304</v>
      </c>
      <c r="C606" s="80">
        <v>35</v>
      </c>
      <c r="D606" s="76">
        <v>1E-3</v>
      </c>
    </row>
    <row r="607" spans="1:4">
      <c r="A607" s="111" t="s">
        <v>63</v>
      </c>
      <c r="B607" s="54" t="s">
        <v>144</v>
      </c>
      <c r="C607" s="69">
        <v>1</v>
      </c>
      <c r="D607" s="68">
        <v>0</v>
      </c>
    </row>
    <row r="608" spans="1:4">
      <c r="A608" s="112"/>
      <c r="B608" s="54" t="s">
        <v>281</v>
      </c>
      <c r="C608" s="69">
        <v>2</v>
      </c>
      <c r="D608" s="68">
        <v>0</v>
      </c>
    </row>
    <row r="609" spans="1:4">
      <c r="A609" s="112"/>
      <c r="B609" s="54" t="s">
        <v>283</v>
      </c>
      <c r="C609" s="69">
        <v>2</v>
      </c>
      <c r="D609" s="68">
        <v>0</v>
      </c>
    </row>
    <row r="610" spans="1:4">
      <c r="A610" s="112"/>
      <c r="B610" s="54" t="s">
        <v>284</v>
      </c>
      <c r="C610" s="69">
        <v>2</v>
      </c>
      <c r="D610" s="68">
        <v>0</v>
      </c>
    </row>
    <row r="611" spans="1:4">
      <c r="A611" s="112"/>
      <c r="B611" s="54" t="s">
        <v>151</v>
      </c>
      <c r="C611" s="69">
        <v>6</v>
      </c>
      <c r="D611" s="68">
        <v>0</v>
      </c>
    </row>
    <row r="612" spans="1:4">
      <c r="A612" s="112"/>
      <c r="B612" s="54" t="s">
        <v>285</v>
      </c>
      <c r="C612" s="69">
        <v>2</v>
      </c>
      <c r="D612" s="68">
        <v>0</v>
      </c>
    </row>
    <row r="613" spans="1:4">
      <c r="A613" s="112"/>
      <c r="B613" s="54" t="s">
        <v>286</v>
      </c>
      <c r="C613" s="69">
        <v>7</v>
      </c>
      <c r="D613" s="68">
        <v>0</v>
      </c>
    </row>
    <row r="614" spans="1:4">
      <c r="A614" s="112"/>
      <c r="B614" s="54" t="s">
        <v>287</v>
      </c>
      <c r="C614" s="69">
        <v>2</v>
      </c>
      <c r="D614" s="68">
        <v>0</v>
      </c>
    </row>
    <row r="615" spans="1:4">
      <c r="A615" s="112"/>
      <c r="B615" s="54" t="s">
        <v>155</v>
      </c>
      <c r="C615" s="69">
        <v>49</v>
      </c>
      <c r="D615" s="68">
        <v>2E-3</v>
      </c>
    </row>
    <row r="616" spans="1:4">
      <c r="A616" s="112"/>
      <c r="B616" s="54" t="s">
        <v>156</v>
      </c>
      <c r="C616" s="69">
        <v>4</v>
      </c>
      <c r="D616" s="68">
        <v>0</v>
      </c>
    </row>
    <row r="617" spans="1:4">
      <c r="A617" s="112"/>
      <c r="B617" s="54" t="s">
        <v>157</v>
      </c>
      <c r="C617" s="69">
        <v>15</v>
      </c>
      <c r="D617" s="68">
        <v>1E-3</v>
      </c>
    </row>
    <row r="618" spans="1:4">
      <c r="A618" s="112"/>
      <c r="B618" s="54" t="s">
        <v>158</v>
      </c>
      <c r="C618" s="69">
        <v>47</v>
      </c>
      <c r="D618" s="68">
        <v>2E-3</v>
      </c>
    </row>
    <row r="619" spans="1:4">
      <c r="A619" s="112"/>
      <c r="B619" s="54" t="s">
        <v>288</v>
      </c>
      <c r="C619" s="69">
        <v>2</v>
      </c>
      <c r="D619" s="68">
        <v>0</v>
      </c>
    </row>
    <row r="620" spans="1:4">
      <c r="A620" s="112"/>
      <c r="B620" s="54" t="s">
        <v>290</v>
      </c>
      <c r="C620" s="69">
        <v>2</v>
      </c>
      <c r="D620" s="68">
        <v>0</v>
      </c>
    </row>
    <row r="621" spans="1:4">
      <c r="A621" s="112"/>
      <c r="B621" s="54" t="s">
        <v>163</v>
      </c>
      <c r="C621" s="69">
        <v>4</v>
      </c>
      <c r="D621" s="68">
        <v>0</v>
      </c>
    </row>
    <row r="622" spans="1:4">
      <c r="A622" s="112"/>
      <c r="B622" s="54" t="s">
        <v>164</v>
      </c>
      <c r="C622" s="69">
        <v>11</v>
      </c>
      <c r="D622" s="68">
        <v>0</v>
      </c>
    </row>
    <row r="623" spans="1:4">
      <c r="A623" s="113"/>
      <c r="B623" s="74" t="s">
        <v>304</v>
      </c>
      <c r="C623" s="80">
        <v>158</v>
      </c>
      <c r="D623" s="76">
        <v>6.0000000000000001E-3</v>
      </c>
    </row>
    <row r="624" spans="1:4">
      <c r="A624" s="111" t="s">
        <v>84</v>
      </c>
      <c r="B624" s="54" t="s">
        <v>282</v>
      </c>
      <c r="C624" s="69">
        <v>1</v>
      </c>
      <c r="D624" s="68">
        <v>0</v>
      </c>
    </row>
    <row r="625" spans="1:4">
      <c r="A625" s="112"/>
      <c r="B625" s="54" t="s">
        <v>284</v>
      </c>
      <c r="C625" s="69">
        <v>1</v>
      </c>
      <c r="D625" s="68">
        <v>0</v>
      </c>
    </row>
    <row r="626" spans="1:4">
      <c r="A626" s="112"/>
      <c r="B626" s="54" t="s">
        <v>151</v>
      </c>
      <c r="C626" s="69">
        <v>1</v>
      </c>
      <c r="D626" s="68">
        <v>0</v>
      </c>
    </row>
    <row r="627" spans="1:4">
      <c r="A627" s="112"/>
      <c r="B627" s="54" t="s">
        <v>155</v>
      </c>
      <c r="C627" s="69">
        <v>7</v>
      </c>
      <c r="D627" s="68">
        <v>0</v>
      </c>
    </row>
    <row r="628" spans="1:4">
      <c r="A628" s="112"/>
      <c r="B628" s="54" t="s">
        <v>156</v>
      </c>
      <c r="C628" s="69">
        <v>2</v>
      </c>
      <c r="D628" s="68">
        <v>0</v>
      </c>
    </row>
    <row r="629" spans="1:4">
      <c r="A629" s="112"/>
      <c r="B629" s="54" t="s">
        <v>157</v>
      </c>
      <c r="C629" s="69">
        <v>2</v>
      </c>
      <c r="D629" s="68">
        <v>0</v>
      </c>
    </row>
    <row r="630" spans="1:4">
      <c r="A630" s="112"/>
      <c r="B630" s="54" t="s">
        <v>158</v>
      </c>
      <c r="C630" s="69">
        <v>7</v>
      </c>
      <c r="D630" s="68">
        <v>0</v>
      </c>
    </row>
    <row r="631" spans="1:4">
      <c r="A631" s="112"/>
      <c r="B631" s="54" t="s">
        <v>288</v>
      </c>
      <c r="C631" s="69">
        <v>1</v>
      </c>
      <c r="D631" s="68">
        <v>0</v>
      </c>
    </row>
    <row r="632" spans="1:4">
      <c r="A632" s="112"/>
      <c r="B632" s="54" t="s">
        <v>164</v>
      </c>
      <c r="C632" s="69">
        <v>2</v>
      </c>
      <c r="D632" s="68">
        <v>0</v>
      </c>
    </row>
    <row r="633" spans="1:4">
      <c r="A633" s="113"/>
      <c r="B633" s="74" t="s">
        <v>304</v>
      </c>
      <c r="C633" s="80">
        <v>24</v>
      </c>
      <c r="D633" s="76">
        <v>1E-3</v>
      </c>
    </row>
    <row r="634" spans="1:4">
      <c r="A634" s="111" t="s">
        <v>51</v>
      </c>
      <c r="B634" s="54" t="s">
        <v>144</v>
      </c>
      <c r="C634" s="69">
        <v>8</v>
      </c>
      <c r="D634" s="68">
        <v>0</v>
      </c>
    </row>
    <row r="635" spans="1:4">
      <c r="A635" s="112"/>
      <c r="B635" s="54" t="s">
        <v>279</v>
      </c>
      <c r="C635" s="69">
        <v>1</v>
      </c>
      <c r="D635" s="68">
        <v>0</v>
      </c>
    </row>
    <row r="636" spans="1:4">
      <c r="A636" s="112"/>
      <c r="B636" s="54" t="s">
        <v>280</v>
      </c>
      <c r="C636" s="69">
        <v>2</v>
      </c>
      <c r="D636" s="68">
        <v>0</v>
      </c>
    </row>
    <row r="637" spans="1:4">
      <c r="A637" s="112"/>
      <c r="B637" s="54" t="s">
        <v>281</v>
      </c>
      <c r="C637" s="69">
        <v>6</v>
      </c>
      <c r="D637" s="68">
        <v>0</v>
      </c>
    </row>
    <row r="638" spans="1:4">
      <c r="A638" s="112"/>
      <c r="B638" s="54" t="s">
        <v>282</v>
      </c>
      <c r="C638" s="69">
        <v>5</v>
      </c>
      <c r="D638" s="68">
        <v>0</v>
      </c>
    </row>
    <row r="639" spans="1:4">
      <c r="A639" s="112"/>
      <c r="B639" s="54" t="s">
        <v>283</v>
      </c>
      <c r="C639" s="69">
        <v>6</v>
      </c>
      <c r="D639" s="68">
        <v>0</v>
      </c>
    </row>
    <row r="640" spans="1:4">
      <c r="A640" s="112"/>
      <c r="B640" s="54" t="s">
        <v>284</v>
      </c>
      <c r="C640" s="69">
        <v>49</v>
      </c>
      <c r="D640" s="68">
        <v>2E-3</v>
      </c>
    </row>
    <row r="641" spans="1:4">
      <c r="A641" s="112"/>
      <c r="B641" s="54" t="s">
        <v>151</v>
      </c>
      <c r="C641" s="69">
        <v>52</v>
      </c>
      <c r="D641" s="68">
        <v>2E-3</v>
      </c>
    </row>
    <row r="642" spans="1:4">
      <c r="A642" s="112"/>
      <c r="B642" s="54" t="s">
        <v>285</v>
      </c>
      <c r="C642" s="69">
        <v>13</v>
      </c>
      <c r="D642" s="68">
        <v>1E-3</v>
      </c>
    </row>
    <row r="643" spans="1:4">
      <c r="A643" s="112"/>
      <c r="B643" s="54" t="s">
        <v>286</v>
      </c>
      <c r="C643" s="69">
        <v>15</v>
      </c>
      <c r="D643" s="68">
        <v>1E-3</v>
      </c>
    </row>
    <row r="644" spans="1:4">
      <c r="A644" s="112"/>
      <c r="B644" s="54" t="s">
        <v>287</v>
      </c>
      <c r="C644" s="69">
        <v>39</v>
      </c>
      <c r="D644" s="68">
        <v>2E-3</v>
      </c>
    </row>
    <row r="645" spans="1:4">
      <c r="A645" s="112"/>
      <c r="B645" s="54" t="s">
        <v>155</v>
      </c>
      <c r="C645" s="69">
        <v>226</v>
      </c>
      <c r="D645" s="68">
        <v>8.9999999999999993E-3</v>
      </c>
    </row>
    <row r="646" spans="1:4">
      <c r="A646" s="112"/>
      <c r="B646" s="54" t="s">
        <v>156</v>
      </c>
      <c r="C646" s="69">
        <v>18</v>
      </c>
      <c r="D646" s="68">
        <v>1E-3</v>
      </c>
    </row>
    <row r="647" spans="1:4">
      <c r="A647" s="112"/>
      <c r="B647" s="54" t="s">
        <v>157</v>
      </c>
      <c r="C647" s="69">
        <v>38</v>
      </c>
      <c r="D647" s="68">
        <v>2E-3</v>
      </c>
    </row>
    <row r="648" spans="1:4">
      <c r="A648" s="112"/>
      <c r="B648" s="54" t="s">
        <v>158</v>
      </c>
      <c r="C648" s="69">
        <v>289</v>
      </c>
      <c r="D648" s="68">
        <v>1.2E-2</v>
      </c>
    </row>
    <row r="649" spans="1:4">
      <c r="A649" s="112"/>
      <c r="B649" s="54" t="s">
        <v>288</v>
      </c>
      <c r="C649" s="69">
        <v>2</v>
      </c>
      <c r="D649" s="68">
        <v>0</v>
      </c>
    </row>
    <row r="650" spans="1:4">
      <c r="A650" s="112"/>
      <c r="B650" s="54" t="s">
        <v>289</v>
      </c>
      <c r="C650" s="69">
        <v>1</v>
      </c>
      <c r="D650" s="68">
        <v>0</v>
      </c>
    </row>
    <row r="651" spans="1:4">
      <c r="A651" s="112"/>
      <c r="B651" s="54" t="s">
        <v>290</v>
      </c>
      <c r="C651" s="69">
        <v>1</v>
      </c>
      <c r="D651" s="68">
        <v>0</v>
      </c>
    </row>
    <row r="652" spans="1:4">
      <c r="A652" s="112"/>
      <c r="B652" s="54" t="s">
        <v>291</v>
      </c>
      <c r="C652" s="69">
        <v>1</v>
      </c>
      <c r="D652" s="68">
        <v>0</v>
      </c>
    </row>
    <row r="653" spans="1:4">
      <c r="A653" s="112"/>
      <c r="B653" s="54" t="s">
        <v>163</v>
      </c>
      <c r="C653" s="69">
        <v>20</v>
      </c>
      <c r="D653" s="68">
        <v>1E-3</v>
      </c>
    </row>
    <row r="654" spans="1:4">
      <c r="A654" s="112"/>
      <c r="B654" s="54" t="s">
        <v>164</v>
      </c>
      <c r="C654" s="69">
        <v>75</v>
      </c>
      <c r="D654" s="68">
        <v>3.0000000000000001E-3</v>
      </c>
    </row>
    <row r="655" spans="1:4">
      <c r="A655" s="112"/>
      <c r="B655" s="54" t="s">
        <v>166</v>
      </c>
      <c r="C655" s="69">
        <v>4</v>
      </c>
      <c r="D655" s="68">
        <v>0</v>
      </c>
    </row>
    <row r="656" spans="1:4">
      <c r="A656" s="112"/>
      <c r="B656" s="54" t="s">
        <v>167</v>
      </c>
      <c r="C656" s="69">
        <v>1</v>
      </c>
      <c r="D656" s="68">
        <v>0</v>
      </c>
    </row>
    <row r="657" spans="1:4">
      <c r="A657" s="113"/>
      <c r="B657" s="74" t="s">
        <v>304</v>
      </c>
      <c r="C657" s="80">
        <v>872</v>
      </c>
      <c r="D657" s="76">
        <v>3.5999999999999997E-2</v>
      </c>
    </row>
    <row r="658" spans="1:4">
      <c r="A658" s="111" t="s">
        <v>78</v>
      </c>
      <c r="B658" s="54" t="s">
        <v>281</v>
      </c>
      <c r="C658" s="69">
        <v>1</v>
      </c>
      <c r="D658" s="68">
        <v>0</v>
      </c>
    </row>
    <row r="659" spans="1:4">
      <c r="A659" s="112"/>
      <c r="B659" s="54" t="s">
        <v>282</v>
      </c>
      <c r="C659" s="69">
        <v>1</v>
      </c>
      <c r="D659" s="68">
        <v>0</v>
      </c>
    </row>
    <row r="660" spans="1:4">
      <c r="A660" s="112"/>
      <c r="B660" s="54" t="s">
        <v>284</v>
      </c>
      <c r="C660" s="69">
        <v>3</v>
      </c>
      <c r="D660" s="68">
        <v>0</v>
      </c>
    </row>
    <row r="661" spans="1:4">
      <c r="A661" s="112"/>
      <c r="B661" s="54" t="s">
        <v>151</v>
      </c>
      <c r="C661" s="69">
        <v>4</v>
      </c>
      <c r="D661" s="68">
        <v>0</v>
      </c>
    </row>
    <row r="662" spans="1:4">
      <c r="A662" s="112"/>
      <c r="B662" s="54" t="s">
        <v>285</v>
      </c>
      <c r="C662" s="69">
        <v>1</v>
      </c>
      <c r="D662" s="68">
        <v>0</v>
      </c>
    </row>
    <row r="663" spans="1:4">
      <c r="A663" s="112"/>
      <c r="B663" s="54" t="s">
        <v>287</v>
      </c>
      <c r="C663" s="69">
        <v>2</v>
      </c>
      <c r="D663" s="68">
        <v>0</v>
      </c>
    </row>
    <row r="664" spans="1:4">
      <c r="A664" s="112"/>
      <c r="B664" s="54" t="s">
        <v>155</v>
      </c>
      <c r="C664" s="69">
        <v>9</v>
      </c>
      <c r="D664" s="68">
        <v>0</v>
      </c>
    </row>
    <row r="665" spans="1:4">
      <c r="A665" s="112"/>
      <c r="B665" s="54" t="s">
        <v>157</v>
      </c>
      <c r="C665" s="69">
        <v>5</v>
      </c>
      <c r="D665" s="68">
        <v>0</v>
      </c>
    </row>
    <row r="666" spans="1:4">
      <c r="A666" s="112"/>
      <c r="B666" s="54" t="s">
        <v>158</v>
      </c>
      <c r="C666" s="69">
        <v>11</v>
      </c>
      <c r="D666" s="68">
        <v>0</v>
      </c>
    </row>
    <row r="667" spans="1:4">
      <c r="A667" s="113"/>
      <c r="B667" s="74" t="s">
        <v>304</v>
      </c>
      <c r="C667" s="80">
        <v>37</v>
      </c>
      <c r="D667" s="76">
        <v>2E-3</v>
      </c>
    </row>
    <row r="668" spans="1:4">
      <c r="A668" s="111" t="s">
        <v>82</v>
      </c>
      <c r="B668" s="54" t="s">
        <v>284</v>
      </c>
      <c r="C668" s="69">
        <v>1</v>
      </c>
      <c r="D668" s="68">
        <v>0</v>
      </c>
    </row>
    <row r="669" spans="1:4">
      <c r="A669" s="112"/>
      <c r="B669" s="54" t="s">
        <v>151</v>
      </c>
      <c r="C669" s="69">
        <v>3</v>
      </c>
      <c r="D669" s="68">
        <v>0</v>
      </c>
    </row>
    <row r="670" spans="1:4">
      <c r="A670" s="112"/>
      <c r="B670" s="54" t="s">
        <v>155</v>
      </c>
      <c r="C670" s="69">
        <v>10</v>
      </c>
      <c r="D670" s="68">
        <v>0</v>
      </c>
    </row>
    <row r="671" spans="1:4">
      <c r="A671" s="112"/>
      <c r="B671" s="54" t="s">
        <v>157</v>
      </c>
      <c r="C671" s="69">
        <v>3</v>
      </c>
      <c r="D671" s="68">
        <v>0</v>
      </c>
    </row>
    <row r="672" spans="1:4">
      <c r="A672" s="112"/>
      <c r="B672" s="54" t="s">
        <v>158</v>
      </c>
      <c r="C672" s="69">
        <v>7</v>
      </c>
      <c r="D672" s="68">
        <v>0</v>
      </c>
    </row>
    <row r="673" spans="1:4">
      <c r="A673" s="112"/>
      <c r="B673" s="54" t="s">
        <v>163</v>
      </c>
      <c r="C673" s="69">
        <v>2</v>
      </c>
      <c r="D673" s="68">
        <v>0</v>
      </c>
    </row>
    <row r="674" spans="1:4">
      <c r="A674" s="112"/>
      <c r="B674" s="54" t="s">
        <v>166</v>
      </c>
      <c r="C674" s="69">
        <v>1</v>
      </c>
      <c r="D674" s="68">
        <v>0</v>
      </c>
    </row>
    <row r="675" spans="1:4">
      <c r="A675" s="113"/>
      <c r="B675" s="74" t="s">
        <v>304</v>
      </c>
      <c r="C675" s="80">
        <v>27</v>
      </c>
      <c r="D675" s="76">
        <v>1E-3</v>
      </c>
    </row>
    <row r="676" spans="1:4">
      <c r="A676" s="111" t="s">
        <v>83</v>
      </c>
      <c r="B676" s="54" t="s">
        <v>144</v>
      </c>
      <c r="C676" s="69">
        <v>1</v>
      </c>
      <c r="D676" s="68">
        <v>0</v>
      </c>
    </row>
    <row r="677" spans="1:4">
      <c r="A677" s="112"/>
      <c r="B677" s="54" t="s">
        <v>281</v>
      </c>
      <c r="C677" s="69">
        <v>1</v>
      </c>
      <c r="D677" s="68">
        <v>0</v>
      </c>
    </row>
    <row r="678" spans="1:4">
      <c r="A678" s="112"/>
      <c r="B678" s="54" t="s">
        <v>282</v>
      </c>
      <c r="C678" s="69">
        <v>1</v>
      </c>
      <c r="D678" s="68">
        <v>0</v>
      </c>
    </row>
    <row r="679" spans="1:4">
      <c r="A679" s="112"/>
      <c r="B679" s="54" t="s">
        <v>284</v>
      </c>
      <c r="C679" s="69">
        <v>1</v>
      </c>
      <c r="D679" s="68">
        <v>0</v>
      </c>
    </row>
    <row r="680" spans="1:4">
      <c r="A680" s="112"/>
      <c r="B680" s="54" t="s">
        <v>151</v>
      </c>
      <c r="C680" s="69">
        <v>1</v>
      </c>
      <c r="D680" s="68">
        <v>0</v>
      </c>
    </row>
    <row r="681" spans="1:4">
      <c r="A681" s="112"/>
      <c r="B681" s="54" t="s">
        <v>155</v>
      </c>
      <c r="C681" s="69">
        <v>8</v>
      </c>
      <c r="D681" s="68">
        <v>0</v>
      </c>
    </row>
    <row r="682" spans="1:4">
      <c r="A682" s="112"/>
      <c r="B682" s="54" t="s">
        <v>156</v>
      </c>
      <c r="C682" s="69">
        <v>1</v>
      </c>
      <c r="D682" s="68">
        <v>0</v>
      </c>
    </row>
    <row r="683" spans="1:4">
      <c r="A683" s="112"/>
      <c r="B683" s="54" t="s">
        <v>158</v>
      </c>
      <c r="C683" s="69">
        <v>10</v>
      </c>
      <c r="D683" s="68">
        <v>0</v>
      </c>
    </row>
    <row r="684" spans="1:4">
      <c r="A684" s="112"/>
      <c r="B684" s="54" t="s">
        <v>164</v>
      </c>
      <c r="C684" s="69">
        <v>2</v>
      </c>
      <c r="D684" s="68">
        <v>0</v>
      </c>
    </row>
    <row r="685" spans="1:4">
      <c r="A685" s="113"/>
      <c r="B685" s="74" t="s">
        <v>304</v>
      </c>
      <c r="C685" s="80">
        <v>26</v>
      </c>
      <c r="D685" s="76">
        <v>1E-3</v>
      </c>
    </row>
    <row r="686" spans="1:4">
      <c r="A686" s="111" t="s">
        <v>76</v>
      </c>
      <c r="B686" s="54" t="s">
        <v>279</v>
      </c>
      <c r="C686" s="69">
        <v>2</v>
      </c>
      <c r="D686" s="68">
        <v>0</v>
      </c>
    </row>
    <row r="687" spans="1:4">
      <c r="A687" s="112"/>
      <c r="B687" s="54" t="s">
        <v>281</v>
      </c>
      <c r="C687" s="69">
        <v>1</v>
      </c>
      <c r="D687" s="68">
        <v>0</v>
      </c>
    </row>
    <row r="688" spans="1:4">
      <c r="A688" s="112"/>
      <c r="B688" s="54" t="s">
        <v>284</v>
      </c>
      <c r="C688" s="69">
        <v>4</v>
      </c>
      <c r="D688" s="68">
        <v>0</v>
      </c>
    </row>
    <row r="689" spans="1:4">
      <c r="A689" s="112"/>
      <c r="B689" s="54" t="s">
        <v>151</v>
      </c>
      <c r="C689" s="69">
        <v>4</v>
      </c>
      <c r="D689" s="68">
        <v>0</v>
      </c>
    </row>
    <row r="690" spans="1:4">
      <c r="A690" s="112"/>
      <c r="B690" s="54" t="s">
        <v>286</v>
      </c>
      <c r="C690" s="69">
        <v>3</v>
      </c>
      <c r="D690" s="68">
        <v>0</v>
      </c>
    </row>
    <row r="691" spans="1:4">
      <c r="A691" s="112"/>
      <c r="B691" s="54" t="s">
        <v>287</v>
      </c>
      <c r="C691" s="69">
        <v>3</v>
      </c>
      <c r="D691" s="68">
        <v>0</v>
      </c>
    </row>
    <row r="692" spans="1:4">
      <c r="A692" s="112"/>
      <c r="B692" s="54" t="s">
        <v>155</v>
      </c>
      <c r="C692" s="69">
        <v>6</v>
      </c>
      <c r="D692" s="68">
        <v>0</v>
      </c>
    </row>
    <row r="693" spans="1:4">
      <c r="A693" s="112"/>
      <c r="B693" s="54" t="s">
        <v>157</v>
      </c>
      <c r="C693" s="69">
        <v>1</v>
      </c>
      <c r="D693" s="68">
        <v>0</v>
      </c>
    </row>
    <row r="694" spans="1:4">
      <c r="A694" s="112"/>
      <c r="B694" s="54" t="s">
        <v>158</v>
      </c>
      <c r="C694" s="69">
        <v>8</v>
      </c>
      <c r="D694" s="68">
        <v>0</v>
      </c>
    </row>
    <row r="695" spans="1:4">
      <c r="A695" s="112"/>
      <c r="B695" s="54" t="s">
        <v>164</v>
      </c>
      <c r="C695" s="69">
        <v>2</v>
      </c>
      <c r="D695" s="68">
        <v>0</v>
      </c>
    </row>
    <row r="696" spans="1:4">
      <c r="A696" s="113"/>
      <c r="B696" s="74" t="s">
        <v>304</v>
      </c>
      <c r="C696" s="80">
        <v>34</v>
      </c>
      <c r="D696" s="76">
        <v>1E-3</v>
      </c>
    </row>
    <row r="697" spans="1:4">
      <c r="A697" s="111" t="s">
        <v>74</v>
      </c>
      <c r="B697" s="54" t="s">
        <v>282</v>
      </c>
      <c r="C697" s="69">
        <v>1</v>
      </c>
      <c r="D697" s="68">
        <v>0</v>
      </c>
    </row>
    <row r="698" spans="1:4">
      <c r="A698" s="112"/>
      <c r="B698" s="54" t="s">
        <v>284</v>
      </c>
      <c r="C698" s="69">
        <v>3</v>
      </c>
      <c r="D698" s="68">
        <v>0</v>
      </c>
    </row>
    <row r="699" spans="1:4">
      <c r="A699" s="112"/>
      <c r="B699" s="54" t="s">
        <v>151</v>
      </c>
      <c r="C699" s="69">
        <v>2</v>
      </c>
      <c r="D699" s="68">
        <v>0</v>
      </c>
    </row>
    <row r="700" spans="1:4">
      <c r="A700" s="112"/>
      <c r="B700" s="54" t="s">
        <v>155</v>
      </c>
      <c r="C700" s="69">
        <v>8</v>
      </c>
      <c r="D700" s="68">
        <v>0</v>
      </c>
    </row>
    <row r="701" spans="1:4">
      <c r="A701" s="112"/>
      <c r="B701" s="54" t="s">
        <v>157</v>
      </c>
      <c r="C701" s="69">
        <v>2</v>
      </c>
      <c r="D701" s="68">
        <v>0</v>
      </c>
    </row>
    <row r="702" spans="1:4">
      <c r="A702" s="112"/>
      <c r="B702" s="54" t="s">
        <v>158</v>
      </c>
      <c r="C702" s="69">
        <v>7</v>
      </c>
      <c r="D702" s="68">
        <v>0</v>
      </c>
    </row>
    <row r="703" spans="1:4">
      <c r="A703" s="112"/>
      <c r="B703" s="54" t="s">
        <v>163</v>
      </c>
      <c r="C703" s="69">
        <v>1</v>
      </c>
      <c r="D703" s="68">
        <v>0</v>
      </c>
    </row>
    <row r="704" spans="1:4">
      <c r="A704" s="112"/>
      <c r="B704" s="54" t="s">
        <v>164</v>
      </c>
      <c r="C704" s="69">
        <v>5</v>
      </c>
      <c r="D704" s="68">
        <v>0</v>
      </c>
    </row>
    <row r="705" spans="1:4">
      <c r="A705" s="113"/>
      <c r="B705" s="74" t="s">
        <v>304</v>
      </c>
      <c r="C705" s="80">
        <v>29</v>
      </c>
      <c r="D705" s="76">
        <v>1E-3</v>
      </c>
    </row>
    <row r="706" spans="1:4">
      <c r="A706" s="111" t="s">
        <v>92</v>
      </c>
      <c r="B706" s="54" t="s">
        <v>284</v>
      </c>
      <c r="C706" s="69">
        <v>1</v>
      </c>
      <c r="D706" s="68">
        <v>0</v>
      </c>
    </row>
    <row r="707" spans="1:4">
      <c r="A707" s="112"/>
      <c r="B707" s="54" t="s">
        <v>157</v>
      </c>
      <c r="C707" s="69">
        <v>2</v>
      </c>
      <c r="D707" s="68">
        <v>0</v>
      </c>
    </row>
    <row r="708" spans="1:4">
      <c r="A708" s="112"/>
      <c r="B708" s="54" t="s">
        <v>158</v>
      </c>
      <c r="C708" s="69">
        <v>2</v>
      </c>
      <c r="D708" s="68">
        <v>0</v>
      </c>
    </row>
    <row r="709" spans="1:4">
      <c r="A709" s="112"/>
      <c r="B709" s="54" t="s">
        <v>164</v>
      </c>
      <c r="C709" s="69">
        <v>1</v>
      </c>
      <c r="D709" s="68">
        <v>0</v>
      </c>
    </row>
    <row r="710" spans="1:4">
      <c r="A710" s="113"/>
      <c r="B710" s="74" t="s">
        <v>304</v>
      </c>
      <c r="C710" s="80">
        <v>6</v>
      </c>
      <c r="D710" s="76">
        <v>0</v>
      </c>
    </row>
    <row r="711" spans="1:4">
      <c r="A711" s="111" t="s">
        <v>93</v>
      </c>
      <c r="B711" s="54" t="s">
        <v>157</v>
      </c>
      <c r="C711" s="69">
        <v>1</v>
      </c>
      <c r="D711" s="68">
        <v>0</v>
      </c>
    </row>
    <row r="712" spans="1:4">
      <c r="A712" s="112"/>
      <c r="B712" s="54" t="s">
        <v>164</v>
      </c>
      <c r="C712" s="69">
        <v>3</v>
      </c>
      <c r="D712" s="68">
        <v>0</v>
      </c>
    </row>
    <row r="713" spans="1:4">
      <c r="A713" s="112"/>
      <c r="B713" s="88" t="s">
        <v>304</v>
      </c>
      <c r="C713" s="80">
        <v>4</v>
      </c>
      <c r="D713" s="76">
        <v>0</v>
      </c>
    </row>
    <row r="714" spans="1:4" ht="15" customHeight="1">
      <c r="A714" s="115" t="s">
        <v>66</v>
      </c>
      <c r="B714" s="54" t="s">
        <v>144</v>
      </c>
      <c r="C714" s="69">
        <v>1</v>
      </c>
      <c r="D714" s="68">
        <v>0</v>
      </c>
    </row>
    <row r="715" spans="1:4" ht="15" customHeight="1">
      <c r="A715" s="116"/>
      <c r="B715" s="54" t="s">
        <v>282</v>
      </c>
      <c r="C715" s="69">
        <v>1</v>
      </c>
      <c r="D715" s="68">
        <v>0</v>
      </c>
    </row>
    <row r="716" spans="1:4" ht="15" customHeight="1">
      <c r="A716" s="116"/>
      <c r="B716" s="54" t="s">
        <v>283</v>
      </c>
      <c r="C716" s="69">
        <v>1</v>
      </c>
      <c r="D716" s="68">
        <v>0</v>
      </c>
    </row>
    <row r="717" spans="1:4" ht="15" customHeight="1">
      <c r="A717" s="116"/>
      <c r="B717" s="54" t="s">
        <v>284</v>
      </c>
      <c r="C717" s="69">
        <v>5</v>
      </c>
      <c r="D717" s="68">
        <v>0</v>
      </c>
    </row>
    <row r="718" spans="1:4" ht="15" customHeight="1">
      <c r="A718" s="116"/>
      <c r="B718" s="54" t="s">
        <v>151</v>
      </c>
      <c r="C718" s="69">
        <v>11</v>
      </c>
      <c r="D718" s="68">
        <v>0</v>
      </c>
    </row>
    <row r="719" spans="1:4" ht="15" customHeight="1">
      <c r="A719" s="116"/>
      <c r="B719" s="54" t="s">
        <v>285</v>
      </c>
      <c r="C719" s="69">
        <v>1</v>
      </c>
      <c r="D719" s="68">
        <v>0</v>
      </c>
    </row>
    <row r="720" spans="1:4" ht="15" customHeight="1">
      <c r="A720" s="116"/>
      <c r="B720" s="54" t="s">
        <v>286</v>
      </c>
      <c r="C720" s="69">
        <v>3</v>
      </c>
      <c r="D720" s="68">
        <v>0</v>
      </c>
    </row>
    <row r="721" spans="1:4" ht="15" customHeight="1">
      <c r="A721" s="116"/>
      <c r="B721" s="54" t="s">
        <v>287</v>
      </c>
      <c r="C721" s="69">
        <v>3</v>
      </c>
      <c r="D721" s="68">
        <v>0</v>
      </c>
    </row>
    <row r="722" spans="1:4" ht="15" customHeight="1">
      <c r="A722" s="116"/>
      <c r="B722" s="54" t="s">
        <v>155</v>
      </c>
      <c r="C722" s="69">
        <v>25</v>
      </c>
      <c r="D722" s="68">
        <v>1E-3</v>
      </c>
    </row>
    <row r="723" spans="1:4" ht="15" customHeight="1">
      <c r="A723" s="116"/>
      <c r="B723" s="54" t="s">
        <v>156</v>
      </c>
      <c r="C723" s="69">
        <v>1</v>
      </c>
      <c r="D723" s="68">
        <v>0</v>
      </c>
    </row>
    <row r="724" spans="1:4" ht="15" customHeight="1">
      <c r="A724" s="116"/>
      <c r="B724" s="54" t="s">
        <v>157</v>
      </c>
      <c r="C724" s="69">
        <v>3</v>
      </c>
      <c r="D724" s="68">
        <v>0</v>
      </c>
    </row>
    <row r="725" spans="1:4" ht="15" customHeight="1">
      <c r="A725" s="116"/>
      <c r="B725" s="54" t="s">
        <v>158</v>
      </c>
      <c r="C725" s="69">
        <v>19</v>
      </c>
      <c r="D725" s="68">
        <v>1E-3</v>
      </c>
    </row>
    <row r="726" spans="1:4" ht="15" customHeight="1">
      <c r="A726" s="116"/>
      <c r="B726" s="54" t="s">
        <v>288</v>
      </c>
      <c r="C726" s="69">
        <v>1</v>
      </c>
      <c r="D726" s="68">
        <v>0</v>
      </c>
    </row>
    <row r="727" spans="1:4" ht="15" customHeight="1">
      <c r="A727" s="116"/>
      <c r="B727" s="54" t="s">
        <v>289</v>
      </c>
      <c r="C727" s="69">
        <v>1</v>
      </c>
      <c r="D727" s="68">
        <v>0</v>
      </c>
    </row>
    <row r="728" spans="1:4" ht="15" customHeight="1">
      <c r="A728" s="116"/>
      <c r="B728" s="54" t="s">
        <v>163</v>
      </c>
      <c r="C728" s="69">
        <v>2</v>
      </c>
      <c r="D728" s="68">
        <v>0</v>
      </c>
    </row>
    <row r="729" spans="1:4" ht="15" customHeight="1">
      <c r="A729" s="116"/>
      <c r="B729" s="54" t="s">
        <v>164</v>
      </c>
      <c r="C729" s="69">
        <v>5</v>
      </c>
      <c r="D729" s="68">
        <v>0</v>
      </c>
    </row>
    <row r="730" spans="1:4" ht="15" customHeight="1">
      <c r="A730" s="116"/>
      <c r="B730" s="54" t="s">
        <v>166</v>
      </c>
      <c r="C730" s="69">
        <v>2</v>
      </c>
      <c r="D730" s="68">
        <v>0</v>
      </c>
    </row>
    <row r="731" spans="1:4" ht="15" customHeight="1">
      <c r="A731" s="116"/>
      <c r="B731" s="54" t="s">
        <v>167</v>
      </c>
      <c r="C731" s="69">
        <v>1</v>
      </c>
      <c r="D731" s="68">
        <v>0</v>
      </c>
    </row>
    <row r="732" spans="1:4" ht="15" customHeight="1">
      <c r="A732" s="117"/>
      <c r="B732" s="74" t="s">
        <v>304</v>
      </c>
      <c r="C732" s="80">
        <v>86</v>
      </c>
      <c r="D732" s="76">
        <v>4.0000000000000001E-3</v>
      </c>
    </row>
    <row r="733" spans="1:4" ht="15" customHeight="1">
      <c r="A733" s="112" t="s">
        <v>94</v>
      </c>
      <c r="B733" s="54" t="s">
        <v>284</v>
      </c>
      <c r="C733" s="69">
        <v>1</v>
      </c>
      <c r="D733" s="68">
        <v>0</v>
      </c>
    </row>
    <row r="734" spans="1:4" ht="15" customHeight="1">
      <c r="A734" s="112"/>
      <c r="B734" s="54" t="s">
        <v>166</v>
      </c>
      <c r="C734" s="69">
        <v>1</v>
      </c>
      <c r="D734" s="68">
        <v>0</v>
      </c>
    </row>
    <row r="735" spans="1:4" ht="15" customHeight="1">
      <c r="A735" s="113"/>
      <c r="B735" s="74" t="s">
        <v>304</v>
      </c>
      <c r="C735" s="80">
        <v>2</v>
      </c>
      <c r="D735" s="76">
        <v>0</v>
      </c>
    </row>
    <row r="736" spans="1:4" ht="15" customHeight="1">
      <c r="A736" s="114" t="s">
        <v>304</v>
      </c>
      <c r="B736" s="114"/>
      <c r="C736" s="77">
        <v>24389</v>
      </c>
      <c r="D736" s="78">
        <v>1</v>
      </c>
    </row>
    <row r="737" spans="1:4" ht="15" customHeight="1">
      <c r="A737" s="45"/>
      <c r="B737" s="45"/>
      <c r="C737" s="45"/>
      <c r="D737" s="45"/>
    </row>
    <row r="738" spans="1:4" ht="15" customHeight="1">
      <c r="A738" s="35" t="s">
        <v>275</v>
      </c>
      <c r="B738" s="45"/>
      <c r="C738" s="45"/>
      <c r="D738" s="45"/>
    </row>
    <row r="739" spans="1:4" ht="15" customHeight="1">
      <c r="A739" s="36" t="s">
        <v>18</v>
      </c>
      <c r="B739" s="45"/>
      <c r="C739" s="45"/>
      <c r="D739" s="45"/>
    </row>
    <row r="740" spans="1:4" ht="15" customHeight="1">
      <c r="A740" s="33" t="s">
        <v>45</v>
      </c>
      <c r="B740" s="45"/>
      <c r="C740" s="45"/>
      <c r="D740" s="45"/>
    </row>
    <row r="741" spans="1:4" ht="15" customHeight="1">
      <c r="A741" s="35" t="s">
        <v>17</v>
      </c>
      <c r="B741" s="45"/>
      <c r="C741" s="45"/>
      <c r="D741" s="45"/>
    </row>
    <row r="742" spans="1:4" ht="15" customHeight="1">
      <c r="A742" s="35" t="s">
        <v>308</v>
      </c>
      <c r="B742" s="45"/>
      <c r="C742" s="45"/>
      <c r="D742" s="45"/>
    </row>
    <row r="743" spans="1:4" ht="15" customHeight="1">
      <c r="A743" s="45"/>
      <c r="B743" s="45"/>
      <c r="C743" s="45"/>
      <c r="D743" s="45"/>
    </row>
  </sheetData>
  <mergeCells count="52">
    <mergeCell ref="A711:A713"/>
    <mergeCell ref="A714:A732"/>
    <mergeCell ref="A733:A735"/>
    <mergeCell ref="A736:B736"/>
    <mergeCell ref="A668:A675"/>
    <mergeCell ref="A676:A685"/>
    <mergeCell ref="A686:A696"/>
    <mergeCell ref="A697:A705"/>
    <mergeCell ref="A706:A710"/>
    <mergeCell ref="A467:A476"/>
    <mergeCell ref="A477:A500"/>
    <mergeCell ref="A501:A517"/>
    <mergeCell ref="A518:A536"/>
    <mergeCell ref="A537:A544"/>
    <mergeCell ref="A159:A165"/>
    <mergeCell ref="A166:A178"/>
    <mergeCell ref="A179:A199"/>
    <mergeCell ref="A200:A207"/>
    <mergeCell ref="A402:A422"/>
    <mergeCell ref="A360:A377"/>
    <mergeCell ref="A378:A401"/>
    <mergeCell ref="A87:A111"/>
    <mergeCell ref="A112:A113"/>
    <mergeCell ref="A114:A135"/>
    <mergeCell ref="A136:A158"/>
    <mergeCell ref="A7:D8"/>
    <mergeCell ref="A10:A23"/>
    <mergeCell ref="A24:A45"/>
    <mergeCell ref="A46:A68"/>
    <mergeCell ref="A69:A76"/>
    <mergeCell ref="A77:A86"/>
    <mergeCell ref="A607:A623"/>
    <mergeCell ref="A624:A633"/>
    <mergeCell ref="A634:A657"/>
    <mergeCell ref="A658:A667"/>
    <mergeCell ref="A208:A213"/>
    <mergeCell ref="A214:A226"/>
    <mergeCell ref="A227:A242"/>
    <mergeCell ref="A243:A267"/>
    <mergeCell ref="A268:A284"/>
    <mergeCell ref="A285:A302"/>
    <mergeCell ref="A303:A326"/>
    <mergeCell ref="A327:A339"/>
    <mergeCell ref="A340:A359"/>
    <mergeCell ref="A423:A438"/>
    <mergeCell ref="A439:A446"/>
    <mergeCell ref="A447:A466"/>
    <mergeCell ref="A545:A552"/>
    <mergeCell ref="A553:A562"/>
    <mergeCell ref="A563:A573"/>
    <mergeCell ref="A574:A594"/>
    <mergeCell ref="A595:A606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4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50"/>
  </sheetPr>
  <dimension ref="A1:F21"/>
  <sheetViews>
    <sheetView showGridLines="0" view="pageBreakPreview" topLeftCell="A2" zoomScaleNormal="100" zoomScaleSheetLayoutView="100" workbookViewId="0">
      <selection activeCell="K21" sqref="K20:K21"/>
    </sheetView>
  </sheetViews>
  <sheetFormatPr baseColWidth="10" defaultColWidth="11.42578125" defaultRowHeight="15"/>
  <cols>
    <col min="1" max="1" width="9.28515625" style="10" customWidth="1"/>
    <col min="2" max="2" width="21.7109375" style="10" customWidth="1"/>
    <col min="3" max="3" width="17.7109375" style="11" customWidth="1"/>
    <col min="4" max="4" width="17.7109375" style="10" customWidth="1"/>
    <col min="5" max="5" width="9.28515625" style="10" customWidth="1"/>
    <col min="6" max="6" width="5.7109375" style="10" customWidth="1"/>
    <col min="7" max="16384" width="11.42578125" style="10"/>
  </cols>
  <sheetData>
    <row r="1" spans="1:6" s="12" customFormat="1" ht="15" customHeight="1">
      <c r="C1" s="14"/>
    </row>
    <row r="2" spans="1:6" s="12" customFormat="1" ht="15" customHeight="1">
      <c r="C2" s="14"/>
    </row>
    <row r="3" spans="1:6" s="12" customFormat="1" ht="15" customHeight="1">
      <c r="C3" s="14"/>
    </row>
    <row r="4" spans="1:6" s="12" customFormat="1" ht="30" customHeight="1">
      <c r="C4" s="14"/>
      <c r="D4" s="13"/>
    </row>
    <row r="5" spans="1:6" s="12" customFormat="1" ht="15" customHeight="1">
      <c r="C5" s="14"/>
      <c r="D5" s="13"/>
    </row>
    <row r="6" spans="1:6" s="12" customFormat="1" ht="15" customHeight="1">
      <c r="C6" s="14"/>
      <c r="D6" s="13"/>
    </row>
    <row r="7" spans="1:6" s="12" customFormat="1" ht="15" customHeight="1">
      <c r="A7" s="30"/>
      <c r="B7" s="101" t="s">
        <v>36</v>
      </c>
      <c r="C7" s="101"/>
      <c r="D7" s="101"/>
      <c r="E7" s="30"/>
      <c r="F7" s="30"/>
    </row>
    <row r="8" spans="1:6" s="12" customFormat="1" ht="15" customHeight="1">
      <c r="A8" s="30"/>
      <c r="B8" s="101"/>
      <c r="C8" s="101"/>
      <c r="D8" s="101"/>
      <c r="E8" s="30"/>
      <c r="F8" s="30"/>
    </row>
    <row r="9" spans="1:6" s="12" customFormat="1" ht="33" customHeight="1">
      <c r="A9" s="30"/>
      <c r="B9" s="101"/>
      <c r="C9" s="101"/>
      <c r="D9" s="101"/>
      <c r="E9" s="30"/>
      <c r="F9" s="30"/>
    </row>
    <row r="10" spans="1:6" s="12" customFormat="1" ht="4.5" customHeight="1">
      <c r="A10" s="30"/>
      <c r="B10" s="31"/>
      <c r="C10" s="31"/>
      <c r="D10" s="31"/>
      <c r="E10" s="30"/>
      <c r="F10" s="30"/>
    </row>
    <row r="11" spans="1:6" s="12" customFormat="1" ht="33" customHeight="1">
      <c r="A11" s="30"/>
      <c r="B11" s="46" t="s">
        <v>29</v>
      </c>
      <c r="C11" s="47" t="s">
        <v>20</v>
      </c>
      <c r="D11" s="48" t="s">
        <v>19</v>
      </c>
      <c r="E11" s="30"/>
      <c r="F11" s="30"/>
    </row>
    <row r="12" spans="1:6" ht="14.45" customHeight="1">
      <c r="A12" s="32"/>
      <c r="B12" s="60" t="s">
        <v>142</v>
      </c>
      <c r="C12" s="55">
        <v>11981</v>
      </c>
      <c r="D12" s="56">
        <v>0.49124605354873102</v>
      </c>
      <c r="E12" s="32"/>
      <c r="F12" s="32"/>
    </row>
    <row r="13" spans="1:6" ht="14.45" customHeight="1">
      <c r="A13" s="32"/>
      <c r="B13" s="60" t="s">
        <v>143</v>
      </c>
      <c r="C13" s="55">
        <v>12405</v>
      </c>
      <c r="D13" s="56">
        <v>0.50863094017794896</v>
      </c>
      <c r="E13" s="32"/>
      <c r="F13" s="32"/>
    </row>
    <row r="14" spans="1:6" ht="14.45" customHeight="1">
      <c r="A14" s="32"/>
      <c r="B14" s="60" t="s">
        <v>277</v>
      </c>
      <c r="C14" s="55">
        <v>3</v>
      </c>
      <c r="D14" s="56">
        <v>1.2300627332000001E-4</v>
      </c>
      <c r="E14" s="32"/>
      <c r="F14" s="32"/>
    </row>
    <row r="15" spans="1:6" ht="14.45" customHeight="1">
      <c r="A15" s="32"/>
      <c r="B15" s="82" t="s">
        <v>307</v>
      </c>
      <c r="C15" s="58">
        <v>24389</v>
      </c>
      <c r="D15" s="59">
        <v>1</v>
      </c>
      <c r="E15" s="32"/>
      <c r="F15" s="32"/>
    </row>
    <row r="16" spans="1:6" ht="14.45" customHeight="1">
      <c r="A16" s="32"/>
      <c r="B16" s="35"/>
      <c r="C16" s="34"/>
      <c r="D16" s="34"/>
      <c r="E16" s="32"/>
      <c r="F16" s="32"/>
    </row>
    <row r="17" spans="1:6" ht="14.45" customHeight="1">
      <c r="A17" s="32"/>
      <c r="B17" s="35" t="s">
        <v>275</v>
      </c>
      <c r="C17" s="49"/>
      <c r="D17" s="49"/>
      <c r="E17" s="32"/>
      <c r="F17" s="32"/>
    </row>
    <row r="18" spans="1:6" ht="14.45" customHeight="1">
      <c r="A18" s="32"/>
      <c r="B18" s="36" t="s">
        <v>18</v>
      </c>
      <c r="C18" s="50"/>
      <c r="D18" s="50"/>
      <c r="E18" s="32"/>
      <c r="F18" s="32"/>
    </row>
    <row r="19" spans="1:6" ht="14.45" customHeight="1">
      <c r="A19" s="32"/>
      <c r="B19" s="33" t="s">
        <v>45</v>
      </c>
      <c r="C19" s="34"/>
      <c r="D19" s="32"/>
      <c r="E19" s="32"/>
      <c r="F19" s="32"/>
    </row>
    <row r="20" spans="1:6" ht="14.45" customHeight="1">
      <c r="A20" s="32"/>
      <c r="B20" s="35" t="s">
        <v>17</v>
      </c>
      <c r="C20" s="34"/>
      <c r="D20" s="32"/>
      <c r="E20" s="32"/>
      <c r="F20" s="32"/>
    </row>
    <row r="21" spans="1:6" ht="16.5">
      <c r="A21" s="32"/>
      <c r="B21" s="35" t="s">
        <v>308</v>
      </c>
      <c r="C21" s="34"/>
      <c r="D21" s="32"/>
      <c r="E21" s="32"/>
      <c r="F21" s="3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B050"/>
  </sheetPr>
  <dimension ref="A1:F170"/>
  <sheetViews>
    <sheetView showGridLines="0" view="pageBreakPreview" zoomScaleNormal="100" zoomScaleSheetLayoutView="100" workbookViewId="0">
      <selection activeCell="G158" sqref="G158"/>
    </sheetView>
  </sheetViews>
  <sheetFormatPr baseColWidth="10" defaultColWidth="11.42578125" defaultRowHeight="11.25"/>
  <cols>
    <col min="1" max="1" width="5.7109375" style="12" customWidth="1"/>
    <col min="2" max="3" width="23.7109375" style="21" customWidth="1"/>
    <col min="4" max="4" width="15.7109375" style="24" customWidth="1"/>
    <col min="5" max="5" width="15.7109375" style="21" customWidth="1"/>
    <col min="6" max="6" width="2.5703125" style="12" customWidth="1"/>
    <col min="7" max="16384" width="11.42578125" style="12"/>
  </cols>
  <sheetData>
    <row r="1" spans="1:6" s="10" customFormat="1" ht="15">
      <c r="B1" s="21"/>
      <c r="C1" s="21"/>
    </row>
    <row r="2" spans="1:6" s="21" customFormat="1">
      <c r="B2" s="26"/>
    </row>
    <row r="3" spans="1:6" ht="15" customHeight="1">
      <c r="B3" s="27"/>
      <c r="C3" s="14"/>
      <c r="D3" s="12"/>
      <c r="F3" s="21"/>
    </row>
    <row r="4" spans="1:6" ht="30" customHeight="1">
      <c r="B4" s="27"/>
      <c r="C4" s="14"/>
      <c r="D4" s="12"/>
      <c r="F4" s="21"/>
    </row>
    <row r="5" spans="1:6" ht="15" customHeight="1">
      <c r="B5" s="27"/>
      <c r="C5" s="14"/>
      <c r="D5" s="12"/>
      <c r="F5" s="21"/>
    </row>
    <row r="6" spans="1:6" s="21" customFormat="1">
      <c r="B6" s="23"/>
      <c r="C6" s="20"/>
    </row>
    <row r="7" spans="1:6" s="21" customFormat="1">
      <c r="B7" s="26"/>
    </row>
    <row r="8" spans="1:6" s="10" customFormat="1" ht="15" customHeight="1">
      <c r="A8" s="32"/>
      <c r="B8" s="101" t="s">
        <v>38</v>
      </c>
      <c r="C8" s="101"/>
      <c r="D8" s="101"/>
      <c r="E8" s="101"/>
      <c r="F8" s="32"/>
    </row>
    <row r="9" spans="1:6" s="10" customFormat="1" ht="15" customHeight="1">
      <c r="A9" s="32"/>
      <c r="B9" s="101"/>
      <c r="C9" s="101"/>
      <c r="D9" s="101"/>
      <c r="E9" s="101"/>
      <c r="F9" s="51"/>
    </row>
    <row r="10" spans="1:6" s="10" customFormat="1" ht="15" customHeight="1">
      <c r="A10" s="32"/>
      <c r="B10" s="101"/>
      <c r="C10" s="101"/>
      <c r="D10" s="101"/>
      <c r="E10" s="101"/>
      <c r="F10" s="32"/>
    </row>
    <row r="11" spans="1:6" s="10" customFormat="1" ht="15" customHeight="1">
      <c r="A11" s="32"/>
      <c r="B11" s="52"/>
      <c r="C11" s="52"/>
      <c r="D11" s="52"/>
      <c r="E11" s="52"/>
      <c r="F11" s="32"/>
    </row>
    <row r="12" spans="1:6" s="10" customFormat="1" ht="36.950000000000003" customHeight="1">
      <c r="A12" s="32"/>
      <c r="B12" s="83" t="s">
        <v>22</v>
      </c>
      <c r="C12" s="83" t="s">
        <v>29</v>
      </c>
      <c r="D12" s="83" t="s">
        <v>20</v>
      </c>
      <c r="E12" s="83" t="s">
        <v>19</v>
      </c>
      <c r="F12" s="32"/>
    </row>
    <row r="13" spans="1:6" ht="14.45" customHeight="1">
      <c r="A13" s="30"/>
      <c r="B13" s="111" t="s">
        <v>73</v>
      </c>
      <c r="C13" s="54" t="s">
        <v>142</v>
      </c>
      <c r="D13" s="69">
        <v>29</v>
      </c>
      <c r="E13" s="68">
        <v>1E-3</v>
      </c>
      <c r="F13" s="30"/>
    </row>
    <row r="14" spans="1:6" ht="14.45" customHeight="1">
      <c r="A14" s="30"/>
      <c r="B14" s="112"/>
      <c r="C14" s="54" t="s">
        <v>143</v>
      </c>
      <c r="D14" s="69">
        <v>33</v>
      </c>
      <c r="E14" s="68">
        <v>1E-3</v>
      </c>
      <c r="F14" s="30"/>
    </row>
    <row r="15" spans="1:6" ht="14.45" customHeight="1">
      <c r="A15" s="30"/>
      <c r="B15" s="113"/>
      <c r="C15" s="74" t="s">
        <v>304</v>
      </c>
      <c r="D15" s="80">
        <v>62</v>
      </c>
      <c r="E15" s="76">
        <v>3.0000000000000001E-3</v>
      </c>
      <c r="F15" s="30"/>
    </row>
    <row r="16" spans="1:6" ht="14.45" customHeight="1">
      <c r="A16" s="30"/>
      <c r="B16" s="111" t="s">
        <v>52</v>
      </c>
      <c r="C16" s="54" t="s">
        <v>142</v>
      </c>
      <c r="D16" s="69">
        <v>256</v>
      </c>
      <c r="E16" s="68">
        <v>0.01</v>
      </c>
      <c r="F16" s="30"/>
    </row>
    <row r="17" spans="1:6" ht="14.45" customHeight="1">
      <c r="A17" s="30"/>
      <c r="B17" s="112"/>
      <c r="C17" s="54" t="s">
        <v>143</v>
      </c>
      <c r="D17" s="69">
        <v>389</v>
      </c>
      <c r="E17" s="68">
        <v>1.6E-2</v>
      </c>
      <c r="F17" s="30"/>
    </row>
    <row r="18" spans="1:6" ht="14.45" customHeight="1">
      <c r="A18" s="30"/>
      <c r="B18" s="113"/>
      <c r="C18" s="74" t="s">
        <v>304</v>
      </c>
      <c r="D18" s="80">
        <v>645</v>
      </c>
      <c r="E18" s="76">
        <v>2.5999999999999999E-2</v>
      </c>
      <c r="F18" s="30"/>
    </row>
    <row r="19" spans="1:6" ht="14.45" customHeight="1">
      <c r="A19" s="30"/>
      <c r="B19" s="111" t="s">
        <v>56</v>
      </c>
      <c r="C19" s="54" t="s">
        <v>142</v>
      </c>
      <c r="D19" s="69">
        <v>232</v>
      </c>
      <c r="E19" s="68">
        <v>0.01</v>
      </c>
      <c r="F19" s="30"/>
    </row>
    <row r="20" spans="1:6" ht="14.45" customHeight="1">
      <c r="A20" s="30"/>
      <c r="B20" s="112"/>
      <c r="C20" s="54" t="s">
        <v>143</v>
      </c>
      <c r="D20" s="69">
        <v>274</v>
      </c>
      <c r="E20" s="68">
        <v>1.0999999999999999E-2</v>
      </c>
      <c r="F20" s="30"/>
    </row>
    <row r="21" spans="1:6" ht="14.45" customHeight="1">
      <c r="A21" s="30"/>
      <c r="B21" s="113"/>
      <c r="C21" s="74" t="s">
        <v>304</v>
      </c>
      <c r="D21" s="80">
        <v>506</v>
      </c>
      <c r="E21" s="76">
        <v>2.1000000000000001E-2</v>
      </c>
      <c r="F21" s="30"/>
    </row>
    <row r="22" spans="1:6" ht="14.45" customHeight="1">
      <c r="A22" s="30"/>
      <c r="B22" s="111" t="s">
        <v>86</v>
      </c>
      <c r="C22" s="54" t="s">
        <v>142</v>
      </c>
      <c r="D22" s="69">
        <v>11</v>
      </c>
      <c r="E22" s="68">
        <v>0</v>
      </c>
      <c r="F22" s="30"/>
    </row>
    <row r="23" spans="1:6" ht="14.45" customHeight="1">
      <c r="A23" s="30"/>
      <c r="B23" s="112"/>
      <c r="C23" s="54" t="s">
        <v>143</v>
      </c>
      <c r="D23" s="69">
        <v>12</v>
      </c>
      <c r="E23" s="68">
        <v>0</v>
      </c>
      <c r="F23" s="30"/>
    </row>
    <row r="24" spans="1:6" ht="14.45" customHeight="1">
      <c r="A24" s="30"/>
      <c r="B24" s="113"/>
      <c r="C24" s="74" t="s">
        <v>304</v>
      </c>
      <c r="D24" s="80">
        <v>23</v>
      </c>
      <c r="E24" s="76">
        <v>1E-3</v>
      </c>
      <c r="F24" s="30"/>
    </row>
    <row r="25" spans="1:6" ht="14.45" customHeight="1">
      <c r="A25" s="30"/>
      <c r="B25" s="111" t="s">
        <v>80</v>
      </c>
      <c r="C25" s="54" t="s">
        <v>142</v>
      </c>
      <c r="D25" s="69">
        <v>9</v>
      </c>
      <c r="E25" s="68">
        <v>0</v>
      </c>
      <c r="F25" s="30"/>
    </row>
    <row r="26" spans="1:6" ht="14.45" customHeight="1">
      <c r="A26" s="30"/>
      <c r="B26" s="112"/>
      <c r="C26" s="54" t="s">
        <v>143</v>
      </c>
      <c r="D26" s="69">
        <v>21</v>
      </c>
      <c r="E26" s="68">
        <v>1E-3</v>
      </c>
      <c r="F26" s="30"/>
    </row>
    <row r="27" spans="1:6" ht="14.45" customHeight="1">
      <c r="A27" s="30"/>
      <c r="B27" s="113"/>
      <c r="C27" s="74" t="s">
        <v>304</v>
      </c>
      <c r="D27" s="80">
        <v>30</v>
      </c>
      <c r="E27" s="76">
        <v>1E-3</v>
      </c>
      <c r="F27" s="30"/>
    </row>
    <row r="28" spans="1:6" ht="14.45" customHeight="1">
      <c r="A28" s="30"/>
      <c r="B28" s="111" t="s">
        <v>48</v>
      </c>
      <c r="C28" s="54" t="s">
        <v>142</v>
      </c>
      <c r="D28" s="67">
        <v>1678</v>
      </c>
      <c r="E28" s="68">
        <v>6.9000000000000006E-2</v>
      </c>
      <c r="F28" s="30"/>
    </row>
    <row r="29" spans="1:6" ht="14.45" customHeight="1">
      <c r="A29" s="30"/>
      <c r="B29" s="112"/>
      <c r="C29" s="54" t="s">
        <v>143</v>
      </c>
      <c r="D29" s="67">
        <v>1361</v>
      </c>
      <c r="E29" s="68">
        <v>5.6000000000000001E-2</v>
      </c>
      <c r="F29" s="30"/>
    </row>
    <row r="30" spans="1:6" ht="14.45" customHeight="1">
      <c r="A30" s="30"/>
      <c r="B30" s="113"/>
      <c r="C30" s="74" t="s">
        <v>304</v>
      </c>
      <c r="D30" s="80">
        <v>3039</v>
      </c>
      <c r="E30" s="76">
        <v>0.125</v>
      </c>
      <c r="F30" s="30"/>
    </row>
    <row r="31" spans="1:6" ht="14.45" customHeight="1">
      <c r="A31" s="30"/>
      <c r="B31" s="111" t="s">
        <v>95</v>
      </c>
      <c r="C31" s="54" t="s">
        <v>143</v>
      </c>
      <c r="D31" s="69">
        <v>1</v>
      </c>
      <c r="E31" s="68">
        <v>0</v>
      </c>
      <c r="F31" s="30"/>
    </row>
    <row r="32" spans="1:6" ht="14.45" customHeight="1">
      <c r="A32" s="30"/>
      <c r="B32" s="113"/>
      <c r="C32" s="74" t="s">
        <v>304</v>
      </c>
      <c r="D32" s="80">
        <v>1</v>
      </c>
      <c r="E32" s="76">
        <v>0</v>
      </c>
      <c r="F32" s="30"/>
    </row>
    <row r="33" spans="1:6" ht="14.45" customHeight="1">
      <c r="A33" s="30"/>
      <c r="B33" s="111" t="s">
        <v>53</v>
      </c>
      <c r="C33" s="54" t="s">
        <v>142</v>
      </c>
      <c r="D33" s="69">
        <v>241</v>
      </c>
      <c r="E33" s="68">
        <v>0.01</v>
      </c>
      <c r="F33" s="30"/>
    </row>
    <row r="34" spans="1:6" ht="14.45" customHeight="1">
      <c r="A34" s="30"/>
      <c r="B34" s="112"/>
      <c r="C34" s="54" t="s">
        <v>143</v>
      </c>
      <c r="D34" s="69">
        <v>314</v>
      </c>
      <c r="E34" s="68">
        <v>1.2999999999999999E-2</v>
      </c>
      <c r="F34" s="30"/>
    </row>
    <row r="35" spans="1:6" ht="14.45" customHeight="1">
      <c r="A35" s="30"/>
      <c r="B35" s="113"/>
      <c r="C35" s="74" t="s">
        <v>304</v>
      </c>
      <c r="D35" s="80">
        <v>555</v>
      </c>
      <c r="E35" s="76">
        <v>2.3E-2</v>
      </c>
      <c r="F35" s="30"/>
    </row>
    <row r="36" spans="1:6" ht="14.45" customHeight="1">
      <c r="A36" s="30"/>
      <c r="B36" s="111" t="s">
        <v>49</v>
      </c>
      <c r="C36" s="54" t="s">
        <v>142</v>
      </c>
      <c r="D36" s="67">
        <v>1015</v>
      </c>
      <c r="E36" s="68">
        <v>4.2000000000000003E-2</v>
      </c>
      <c r="F36" s="30"/>
    </row>
    <row r="37" spans="1:6" ht="14.45" customHeight="1">
      <c r="A37" s="30"/>
      <c r="B37" s="112"/>
      <c r="C37" s="54" t="s">
        <v>143</v>
      </c>
      <c r="D37" s="67">
        <v>1167</v>
      </c>
      <c r="E37" s="68">
        <v>4.8000000000000001E-2</v>
      </c>
      <c r="F37" s="30"/>
    </row>
    <row r="38" spans="1:6" ht="14.45" customHeight="1">
      <c r="A38" s="30"/>
      <c r="B38" s="112"/>
      <c r="C38" s="54" t="s">
        <v>277</v>
      </c>
      <c r="D38" s="69">
        <v>2</v>
      </c>
      <c r="E38" s="68">
        <v>0</v>
      </c>
      <c r="F38" s="30"/>
    </row>
    <row r="39" spans="1:6" ht="14.45" customHeight="1">
      <c r="A39" s="30"/>
      <c r="B39" s="113"/>
      <c r="C39" s="74" t="s">
        <v>304</v>
      </c>
      <c r="D39" s="80">
        <v>2184</v>
      </c>
      <c r="E39" s="76">
        <v>0.09</v>
      </c>
      <c r="F39" s="30"/>
    </row>
    <row r="40" spans="1:6" ht="14.45" customHeight="1">
      <c r="A40" s="30"/>
      <c r="B40" s="111" t="s">
        <v>88</v>
      </c>
      <c r="C40" s="54" t="s">
        <v>142</v>
      </c>
      <c r="D40" s="69">
        <v>9</v>
      </c>
      <c r="E40" s="68">
        <v>0</v>
      </c>
      <c r="F40" s="30"/>
    </row>
    <row r="41" spans="1:6" ht="14.45" customHeight="1">
      <c r="A41" s="30"/>
      <c r="B41" s="112"/>
      <c r="C41" s="54" t="s">
        <v>143</v>
      </c>
      <c r="D41" s="69">
        <v>3</v>
      </c>
      <c r="E41" s="68">
        <v>0</v>
      </c>
      <c r="F41" s="30"/>
    </row>
    <row r="42" spans="1:6" ht="14.45" customHeight="1">
      <c r="A42" s="30"/>
      <c r="B42" s="113"/>
      <c r="C42" s="74" t="s">
        <v>304</v>
      </c>
      <c r="D42" s="80">
        <v>12</v>
      </c>
      <c r="E42" s="76">
        <v>0</v>
      </c>
      <c r="F42" s="30"/>
    </row>
    <row r="43" spans="1:6" ht="14.45" customHeight="1">
      <c r="A43" s="30"/>
      <c r="B43" s="111" t="s">
        <v>69</v>
      </c>
      <c r="C43" s="54" t="s">
        <v>142</v>
      </c>
      <c r="D43" s="69">
        <v>22</v>
      </c>
      <c r="E43" s="68">
        <v>1E-3</v>
      </c>
      <c r="F43" s="30"/>
    </row>
    <row r="44" spans="1:6" ht="14.45" customHeight="1">
      <c r="A44" s="30"/>
      <c r="B44" s="112"/>
      <c r="C44" s="54" t="s">
        <v>143</v>
      </c>
      <c r="D44" s="69">
        <v>41</v>
      </c>
      <c r="E44" s="68">
        <v>2E-3</v>
      </c>
      <c r="F44" s="30"/>
    </row>
    <row r="45" spans="1:6" ht="14.45" customHeight="1">
      <c r="A45" s="30"/>
      <c r="B45" s="113"/>
      <c r="C45" s="74" t="s">
        <v>304</v>
      </c>
      <c r="D45" s="80">
        <v>63</v>
      </c>
      <c r="E45" s="76">
        <v>3.0000000000000001E-3</v>
      </c>
      <c r="F45" s="30"/>
    </row>
    <row r="46" spans="1:6" ht="14.45" customHeight="1">
      <c r="A46" s="30"/>
      <c r="B46" s="111" t="s">
        <v>60</v>
      </c>
      <c r="C46" s="54" t="s">
        <v>142</v>
      </c>
      <c r="D46" s="69">
        <v>112</v>
      </c>
      <c r="E46" s="68">
        <v>5.0000000000000001E-3</v>
      </c>
      <c r="F46" s="30"/>
    </row>
    <row r="47" spans="1:6" ht="14.45" customHeight="1">
      <c r="A47" s="30"/>
      <c r="B47" s="112"/>
      <c r="C47" s="54" t="s">
        <v>143</v>
      </c>
      <c r="D47" s="69">
        <v>185</v>
      </c>
      <c r="E47" s="68">
        <v>8.0000000000000002E-3</v>
      </c>
      <c r="F47" s="30"/>
    </row>
    <row r="48" spans="1:6" ht="14.45" customHeight="1">
      <c r="A48" s="30"/>
      <c r="B48" s="113"/>
      <c r="C48" s="74" t="s">
        <v>304</v>
      </c>
      <c r="D48" s="80">
        <v>297</v>
      </c>
      <c r="E48" s="76">
        <v>1.2E-2</v>
      </c>
      <c r="F48" s="30"/>
    </row>
    <row r="49" spans="1:6" ht="14.45" customHeight="1">
      <c r="A49" s="30"/>
      <c r="B49" s="111" t="s">
        <v>90</v>
      </c>
      <c r="C49" s="54" t="s">
        <v>142</v>
      </c>
      <c r="D49" s="69">
        <v>4</v>
      </c>
      <c r="E49" s="68">
        <v>0</v>
      </c>
      <c r="F49" s="30"/>
    </row>
    <row r="50" spans="1:6" ht="14.45" customHeight="1">
      <c r="A50" s="30"/>
      <c r="B50" s="112"/>
      <c r="C50" s="54" t="s">
        <v>143</v>
      </c>
      <c r="D50" s="69">
        <v>5</v>
      </c>
      <c r="E50" s="68">
        <v>0</v>
      </c>
      <c r="F50" s="30"/>
    </row>
    <row r="51" spans="1:6" ht="14.45" customHeight="1">
      <c r="A51" s="30"/>
      <c r="B51" s="113"/>
      <c r="C51" s="74" t="s">
        <v>304</v>
      </c>
      <c r="D51" s="80">
        <v>9</v>
      </c>
      <c r="E51" s="76">
        <v>0</v>
      </c>
      <c r="F51" s="30"/>
    </row>
    <row r="52" spans="1:6" ht="14.45" customHeight="1">
      <c r="A52" s="30"/>
      <c r="B52" s="111" t="s">
        <v>85</v>
      </c>
      <c r="C52" s="54" t="s">
        <v>142</v>
      </c>
      <c r="D52" s="69">
        <v>5</v>
      </c>
      <c r="E52" s="68">
        <v>0</v>
      </c>
      <c r="F52" s="30"/>
    </row>
    <row r="53" spans="1:6" ht="14.45" customHeight="1">
      <c r="A53" s="30"/>
      <c r="B53" s="112"/>
      <c r="C53" s="54" t="s">
        <v>143</v>
      </c>
      <c r="D53" s="69">
        <v>10</v>
      </c>
      <c r="E53" s="68">
        <v>0</v>
      </c>
      <c r="F53" s="30"/>
    </row>
    <row r="54" spans="1:6" ht="14.45" customHeight="1">
      <c r="A54" s="30"/>
      <c r="B54" s="113"/>
      <c r="C54" s="74" t="s">
        <v>304</v>
      </c>
      <c r="D54" s="80">
        <v>15</v>
      </c>
      <c r="E54" s="76">
        <v>1E-3</v>
      </c>
      <c r="F54" s="30"/>
    </row>
    <row r="55" spans="1:6" ht="14.45" customHeight="1">
      <c r="A55" s="30"/>
      <c r="B55" s="111" t="s">
        <v>68</v>
      </c>
      <c r="C55" s="54" t="s">
        <v>142</v>
      </c>
      <c r="D55" s="69">
        <v>17</v>
      </c>
      <c r="E55" s="68">
        <v>1E-3</v>
      </c>
      <c r="F55" s="30"/>
    </row>
    <row r="56" spans="1:6" ht="14.45" customHeight="1">
      <c r="A56" s="30"/>
      <c r="B56" s="112"/>
      <c r="C56" s="54" t="s">
        <v>143</v>
      </c>
      <c r="D56" s="69">
        <v>38</v>
      </c>
      <c r="E56" s="68">
        <v>2E-3</v>
      </c>
      <c r="F56" s="30"/>
    </row>
    <row r="57" spans="1:6" ht="14.45" customHeight="1">
      <c r="A57" s="30"/>
      <c r="B57" s="113"/>
      <c r="C57" s="74" t="s">
        <v>304</v>
      </c>
      <c r="D57" s="80">
        <v>55</v>
      </c>
      <c r="E57" s="76">
        <v>2E-3</v>
      </c>
      <c r="F57" s="30"/>
    </row>
    <row r="58" spans="1:6" ht="14.45" customHeight="1">
      <c r="A58" s="30"/>
      <c r="B58" s="111" t="s">
        <v>71</v>
      </c>
      <c r="C58" s="54" t="s">
        <v>142</v>
      </c>
      <c r="D58" s="69">
        <v>19</v>
      </c>
      <c r="E58" s="68">
        <v>1E-3</v>
      </c>
      <c r="F58" s="30"/>
    </row>
    <row r="59" spans="1:6" ht="14.45" customHeight="1">
      <c r="A59" s="30"/>
      <c r="B59" s="112"/>
      <c r="C59" s="54" t="s">
        <v>143</v>
      </c>
      <c r="D59" s="69">
        <v>21</v>
      </c>
      <c r="E59" s="68">
        <v>1E-3</v>
      </c>
      <c r="F59" s="30"/>
    </row>
    <row r="60" spans="1:6" ht="14.45" customHeight="1">
      <c r="A60" s="30"/>
      <c r="B60" s="113"/>
      <c r="C60" s="74" t="s">
        <v>304</v>
      </c>
      <c r="D60" s="80">
        <v>40</v>
      </c>
      <c r="E60" s="76">
        <v>2E-3</v>
      </c>
      <c r="F60" s="30"/>
    </row>
    <row r="61" spans="1:6" ht="14.45" customHeight="1">
      <c r="A61" s="30"/>
      <c r="B61" s="111" t="s">
        <v>47</v>
      </c>
      <c r="C61" s="54" t="s">
        <v>142</v>
      </c>
      <c r="D61" s="67">
        <v>2776</v>
      </c>
      <c r="E61" s="68">
        <v>0.114</v>
      </c>
      <c r="F61" s="30"/>
    </row>
    <row r="62" spans="1:6" ht="14.45" customHeight="1">
      <c r="A62" s="30"/>
      <c r="B62" s="112"/>
      <c r="C62" s="54" t="s">
        <v>143</v>
      </c>
      <c r="D62" s="67">
        <v>3147</v>
      </c>
      <c r="E62" s="68">
        <v>0.129</v>
      </c>
      <c r="F62" s="30"/>
    </row>
    <row r="63" spans="1:6" ht="14.45" customHeight="1">
      <c r="A63" s="30"/>
      <c r="B63" s="113"/>
      <c r="C63" s="74" t="s">
        <v>304</v>
      </c>
      <c r="D63" s="80">
        <v>5923</v>
      </c>
      <c r="E63" s="76">
        <v>0.24299999999999999</v>
      </c>
      <c r="F63" s="30"/>
    </row>
    <row r="64" spans="1:6" ht="14.45" customHeight="1">
      <c r="A64" s="30"/>
      <c r="B64" s="111" t="s">
        <v>64</v>
      </c>
      <c r="C64" s="54" t="s">
        <v>142</v>
      </c>
      <c r="D64" s="69">
        <v>58</v>
      </c>
      <c r="E64" s="68">
        <v>2E-3</v>
      </c>
      <c r="F64" s="30"/>
    </row>
    <row r="65" spans="1:6" ht="14.45" customHeight="1">
      <c r="A65" s="30"/>
      <c r="B65" s="112"/>
      <c r="C65" s="54" t="s">
        <v>143</v>
      </c>
      <c r="D65" s="69">
        <v>70</v>
      </c>
      <c r="E65" s="68">
        <v>3.0000000000000001E-3</v>
      </c>
      <c r="F65" s="30"/>
    </row>
    <row r="66" spans="1:6" ht="14.45" customHeight="1">
      <c r="A66" s="30"/>
      <c r="B66" s="113"/>
      <c r="C66" s="74" t="s">
        <v>304</v>
      </c>
      <c r="D66" s="80">
        <v>128</v>
      </c>
      <c r="E66" s="76">
        <v>5.0000000000000001E-3</v>
      </c>
      <c r="F66" s="30"/>
    </row>
    <row r="67" spans="1:6" ht="14.45" customHeight="1">
      <c r="A67" s="30"/>
      <c r="B67" s="111" t="s">
        <v>62</v>
      </c>
      <c r="C67" s="54" t="s">
        <v>142</v>
      </c>
      <c r="D67" s="69">
        <v>52</v>
      </c>
      <c r="E67" s="68">
        <v>2E-3</v>
      </c>
      <c r="F67" s="30"/>
    </row>
    <row r="68" spans="1:6" ht="14.45" customHeight="1">
      <c r="A68" s="30"/>
      <c r="B68" s="112"/>
      <c r="C68" s="54" t="s">
        <v>143</v>
      </c>
      <c r="D68" s="69">
        <v>74</v>
      </c>
      <c r="E68" s="68">
        <v>3.0000000000000001E-3</v>
      </c>
      <c r="F68" s="30"/>
    </row>
    <row r="69" spans="1:6" ht="14.45" customHeight="1">
      <c r="A69" s="30"/>
      <c r="B69" s="113"/>
      <c r="C69" s="74" t="s">
        <v>304</v>
      </c>
      <c r="D69" s="80">
        <v>126</v>
      </c>
      <c r="E69" s="76">
        <v>5.0000000000000001E-3</v>
      </c>
      <c r="F69" s="30"/>
    </row>
    <row r="70" spans="1:6" ht="14.45" customHeight="1">
      <c r="A70" s="30"/>
      <c r="B70" s="111" t="s">
        <v>50</v>
      </c>
      <c r="C70" s="54" t="s">
        <v>142</v>
      </c>
      <c r="D70" s="69">
        <v>649</v>
      </c>
      <c r="E70" s="68">
        <v>2.7E-2</v>
      </c>
      <c r="F70" s="30"/>
    </row>
    <row r="71" spans="1:6" ht="14.45" customHeight="1">
      <c r="A71" s="30"/>
      <c r="B71" s="112"/>
      <c r="C71" s="54" t="s">
        <v>143</v>
      </c>
      <c r="D71" s="69">
        <v>472</v>
      </c>
      <c r="E71" s="68">
        <v>1.9E-2</v>
      </c>
      <c r="F71" s="30"/>
    </row>
    <row r="72" spans="1:6" ht="14.45" customHeight="1">
      <c r="A72" s="30"/>
      <c r="B72" s="113"/>
      <c r="C72" s="74" t="s">
        <v>304</v>
      </c>
      <c r="D72" s="80">
        <v>1121</v>
      </c>
      <c r="E72" s="76">
        <v>4.5999999999999999E-2</v>
      </c>
      <c r="F72" s="30"/>
    </row>
    <row r="73" spans="1:6" ht="14.45" customHeight="1">
      <c r="A73" s="30"/>
      <c r="B73" s="111" t="s">
        <v>77</v>
      </c>
      <c r="C73" s="54" t="s">
        <v>142</v>
      </c>
      <c r="D73" s="69">
        <v>14</v>
      </c>
      <c r="E73" s="68">
        <v>1E-3</v>
      </c>
      <c r="F73" s="30"/>
    </row>
    <row r="74" spans="1:6" ht="14.45" customHeight="1">
      <c r="A74" s="30"/>
      <c r="B74" s="112"/>
      <c r="C74" s="54" t="s">
        <v>143</v>
      </c>
      <c r="D74" s="69">
        <v>25</v>
      </c>
      <c r="E74" s="68">
        <v>1E-3</v>
      </c>
      <c r="F74" s="30"/>
    </row>
    <row r="75" spans="1:6" ht="14.45" customHeight="1">
      <c r="A75" s="30"/>
      <c r="B75" s="113"/>
      <c r="C75" s="74" t="s">
        <v>304</v>
      </c>
      <c r="D75" s="80">
        <v>39</v>
      </c>
      <c r="E75" s="76">
        <v>2E-3</v>
      </c>
      <c r="F75" s="30"/>
    </row>
    <row r="76" spans="1:6" ht="14.45" customHeight="1">
      <c r="A76" s="30"/>
      <c r="B76" s="111" t="s">
        <v>55</v>
      </c>
      <c r="C76" s="54" t="s">
        <v>142</v>
      </c>
      <c r="D76" s="69">
        <v>205</v>
      </c>
      <c r="E76" s="68">
        <v>8.0000000000000002E-3</v>
      </c>
      <c r="F76" s="30"/>
    </row>
    <row r="77" spans="1:6" ht="14.45" customHeight="1">
      <c r="A77" s="30"/>
      <c r="B77" s="112"/>
      <c r="C77" s="54" t="s">
        <v>143</v>
      </c>
      <c r="D77" s="69">
        <v>251</v>
      </c>
      <c r="E77" s="68">
        <v>0.01</v>
      </c>
      <c r="F77" s="30"/>
    </row>
    <row r="78" spans="1:6" ht="14.45" customHeight="1">
      <c r="A78" s="30"/>
      <c r="B78" s="113"/>
      <c r="C78" s="74" t="s">
        <v>304</v>
      </c>
      <c r="D78" s="80">
        <v>456</v>
      </c>
      <c r="E78" s="76">
        <v>1.9E-2</v>
      </c>
      <c r="F78" s="30"/>
    </row>
    <row r="79" spans="1:6" ht="14.45" customHeight="1">
      <c r="A79" s="30"/>
      <c r="B79" s="111" t="s">
        <v>65</v>
      </c>
      <c r="C79" s="54" t="s">
        <v>142</v>
      </c>
      <c r="D79" s="69">
        <v>72</v>
      </c>
      <c r="E79" s="68">
        <v>3.0000000000000001E-3</v>
      </c>
      <c r="F79" s="30"/>
    </row>
    <row r="80" spans="1:6" ht="14.45" customHeight="1">
      <c r="A80" s="30"/>
      <c r="B80" s="112"/>
      <c r="C80" s="54" t="s">
        <v>143</v>
      </c>
      <c r="D80" s="69">
        <v>52</v>
      </c>
      <c r="E80" s="68">
        <v>2E-3</v>
      </c>
      <c r="F80" s="30"/>
    </row>
    <row r="81" spans="1:6" ht="14.45" customHeight="1">
      <c r="A81" s="30"/>
      <c r="B81" s="113"/>
      <c r="C81" s="74" t="s">
        <v>304</v>
      </c>
      <c r="D81" s="80">
        <v>124</v>
      </c>
      <c r="E81" s="76">
        <v>5.0000000000000001E-3</v>
      </c>
      <c r="F81" s="30"/>
    </row>
    <row r="82" spans="1:6" ht="14.45" customHeight="1">
      <c r="A82" s="30"/>
      <c r="B82" s="111" t="s">
        <v>46</v>
      </c>
      <c r="C82" s="54" t="s">
        <v>142</v>
      </c>
      <c r="D82" s="67">
        <v>3073</v>
      </c>
      <c r="E82" s="68">
        <v>0.126</v>
      </c>
      <c r="F82" s="30"/>
    </row>
    <row r="83" spans="1:6" ht="14.45" customHeight="1">
      <c r="A83" s="30"/>
      <c r="B83" s="112"/>
      <c r="C83" s="54" t="s">
        <v>143</v>
      </c>
      <c r="D83" s="67">
        <v>2538</v>
      </c>
      <c r="E83" s="68">
        <v>0.104</v>
      </c>
      <c r="F83" s="30"/>
    </row>
    <row r="84" spans="1:6" ht="14.45" customHeight="1">
      <c r="A84" s="30"/>
      <c r="B84" s="113"/>
      <c r="C84" s="74" t="s">
        <v>304</v>
      </c>
      <c r="D84" s="80">
        <v>5611</v>
      </c>
      <c r="E84" s="76">
        <v>0.23</v>
      </c>
      <c r="F84" s="30"/>
    </row>
    <row r="85" spans="1:6" ht="14.45" customHeight="1">
      <c r="A85" s="30"/>
      <c r="B85" s="111" t="s">
        <v>61</v>
      </c>
      <c r="C85" s="54" t="s">
        <v>142</v>
      </c>
      <c r="D85" s="69">
        <v>95</v>
      </c>
      <c r="E85" s="68">
        <v>4.0000000000000001E-3</v>
      </c>
      <c r="F85" s="30"/>
    </row>
    <row r="86" spans="1:6" ht="14.45" customHeight="1">
      <c r="A86" s="30"/>
      <c r="B86" s="112"/>
      <c r="C86" s="54" t="s">
        <v>143</v>
      </c>
      <c r="D86" s="69">
        <v>98</v>
      </c>
      <c r="E86" s="68">
        <v>4.0000000000000001E-3</v>
      </c>
      <c r="F86" s="30"/>
    </row>
    <row r="87" spans="1:6" ht="14.45" customHeight="1">
      <c r="A87" s="30"/>
      <c r="B87" s="113"/>
      <c r="C87" s="74" t="s">
        <v>304</v>
      </c>
      <c r="D87" s="80">
        <v>193</v>
      </c>
      <c r="E87" s="76">
        <v>8.0000000000000002E-3</v>
      </c>
      <c r="F87" s="30"/>
    </row>
    <row r="88" spans="1:6" ht="14.45" customHeight="1">
      <c r="A88" s="30"/>
      <c r="B88" s="111" t="s">
        <v>70</v>
      </c>
      <c r="C88" s="54" t="s">
        <v>142</v>
      </c>
      <c r="D88" s="69">
        <v>17</v>
      </c>
      <c r="E88" s="68">
        <v>1E-3</v>
      </c>
      <c r="F88" s="30"/>
    </row>
    <row r="89" spans="1:6" ht="14.45" customHeight="1">
      <c r="A89" s="30"/>
      <c r="B89" s="112"/>
      <c r="C89" s="54" t="s">
        <v>143</v>
      </c>
      <c r="D89" s="69">
        <v>35</v>
      </c>
      <c r="E89" s="68">
        <v>1E-3</v>
      </c>
      <c r="F89" s="30"/>
    </row>
    <row r="90" spans="1:6" ht="14.45" customHeight="1">
      <c r="A90" s="30"/>
      <c r="B90" s="113"/>
      <c r="C90" s="74" t="s">
        <v>304</v>
      </c>
      <c r="D90" s="80">
        <v>52</v>
      </c>
      <c r="E90" s="76">
        <v>2E-3</v>
      </c>
      <c r="F90" s="30"/>
    </row>
    <row r="91" spans="1:6" ht="14.45" customHeight="1">
      <c r="A91" s="30"/>
      <c r="B91" s="111" t="s">
        <v>91</v>
      </c>
      <c r="C91" s="54" t="s">
        <v>142</v>
      </c>
      <c r="D91" s="69">
        <v>4</v>
      </c>
      <c r="E91" s="68">
        <v>0</v>
      </c>
      <c r="F91" s="30"/>
    </row>
    <row r="92" spans="1:6" ht="14.45" customHeight="1">
      <c r="A92" s="30"/>
      <c r="B92" s="112"/>
      <c r="C92" s="54" t="s">
        <v>143</v>
      </c>
      <c r="D92" s="69">
        <v>7</v>
      </c>
      <c r="E92" s="68">
        <v>0</v>
      </c>
      <c r="F92" s="30"/>
    </row>
    <row r="93" spans="1:6" ht="14.45" customHeight="1">
      <c r="A93" s="30"/>
      <c r="B93" s="113"/>
      <c r="C93" s="74" t="s">
        <v>304</v>
      </c>
      <c r="D93" s="80">
        <v>11</v>
      </c>
      <c r="E93" s="76">
        <v>0</v>
      </c>
      <c r="F93" s="30"/>
    </row>
    <row r="94" spans="1:6" ht="14.45" customHeight="1">
      <c r="A94" s="30"/>
      <c r="B94" s="111" t="s">
        <v>57</v>
      </c>
      <c r="C94" s="54" t="s">
        <v>142</v>
      </c>
      <c r="D94" s="69">
        <v>132</v>
      </c>
      <c r="E94" s="68">
        <v>5.0000000000000001E-3</v>
      </c>
      <c r="F94" s="30"/>
    </row>
    <row r="95" spans="1:6" ht="14.45" customHeight="1">
      <c r="A95" s="30"/>
      <c r="B95" s="112"/>
      <c r="C95" s="54" t="s">
        <v>143</v>
      </c>
      <c r="D95" s="69">
        <v>188</v>
      </c>
      <c r="E95" s="68">
        <v>8.0000000000000002E-3</v>
      </c>
      <c r="F95" s="30"/>
    </row>
    <row r="96" spans="1:6" ht="14.45" customHeight="1">
      <c r="A96" s="30"/>
      <c r="B96" s="113"/>
      <c r="C96" s="74" t="s">
        <v>304</v>
      </c>
      <c r="D96" s="80">
        <v>320</v>
      </c>
      <c r="E96" s="76">
        <v>1.2999999999999999E-2</v>
      </c>
      <c r="F96" s="30"/>
    </row>
    <row r="97" spans="1:6" ht="14.45" customHeight="1">
      <c r="A97" s="30"/>
      <c r="B97" s="111" t="s">
        <v>72</v>
      </c>
      <c r="C97" s="54" t="s">
        <v>142</v>
      </c>
      <c r="D97" s="69">
        <v>15</v>
      </c>
      <c r="E97" s="68">
        <v>1E-3</v>
      </c>
      <c r="F97" s="30"/>
    </row>
    <row r="98" spans="1:6" ht="14.45" customHeight="1">
      <c r="A98" s="30"/>
      <c r="B98" s="112"/>
      <c r="C98" s="54" t="s">
        <v>143</v>
      </c>
      <c r="D98" s="69">
        <v>26</v>
      </c>
      <c r="E98" s="68">
        <v>1E-3</v>
      </c>
      <c r="F98" s="30"/>
    </row>
    <row r="99" spans="1:6" ht="14.45" customHeight="1">
      <c r="A99" s="30"/>
      <c r="B99" s="113"/>
      <c r="C99" s="74" t="s">
        <v>304</v>
      </c>
      <c r="D99" s="80">
        <v>41</v>
      </c>
      <c r="E99" s="76">
        <v>2E-3</v>
      </c>
      <c r="F99" s="30"/>
    </row>
    <row r="100" spans="1:6" ht="14.45" customHeight="1">
      <c r="A100" s="30"/>
      <c r="B100" s="111" t="s">
        <v>59</v>
      </c>
      <c r="C100" s="54" t="s">
        <v>142</v>
      </c>
      <c r="D100" s="69">
        <v>150</v>
      </c>
      <c r="E100" s="68">
        <v>6.0000000000000001E-3</v>
      </c>
      <c r="F100" s="30"/>
    </row>
    <row r="101" spans="1:6" ht="14.45" customHeight="1">
      <c r="A101" s="30"/>
      <c r="B101" s="112"/>
      <c r="C101" s="54" t="s">
        <v>143</v>
      </c>
      <c r="D101" s="69">
        <v>182</v>
      </c>
      <c r="E101" s="68">
        <v>7.0000000000000001E-3</v>
      </c>
      <c r="F101" s="30"/>
    </row>
    <row r="102" spans="1:6" ht="14.45" customHeight="1">
      <c r="A102" s="30"/>
      <c r="B102" s="113"/>
      <c r="C102" s="74" t="s">
        <v>304</v>
      </c>
      <c r="D102" s="80">
        <v>332</v>
      </c>
      <c r="E102" s="76">
        <v>1.4E-2</v>
      </c>
      <c r="F102" s="30"/>
    </row>
    <row r="103" spans="1:6" ht="14.45" customHeight="1">
      <c r="A103" s="30"/>
      <c r="B103" s="111" t="s">
        <v>67</v>
      </c>
      <c r="C103" s="54" t="s">
        <v>142</v>
      </c>
      <c r="D103" s="69">
        <v>40</v>
      </c>
      <c r="E103" s="68">
        <v>2E-3</v>
      </c>
      <c r="F103" s="30"/>
    </row>
    <row r="104" spans="1:6" ht="14.45" customHeight="1">
      <c r="A104" s="30"/>
      <c r="B104" s="112"/>
      <c r="C104" s="54" t="s">
        <v>143</v>
      </c>
      <c r="D104" s="69">
        <v>51</v>
      </c>
      <c r="E104" s="68">
        <v>2E-3</v>
      </c>
      <c r="F104" s="30"/>
    </row>
    <row r="105" spans="1:6" ht="14.45" customHeight="1">
      <c r="A105" s="30"/>
      <c r="B105" s="113"/>
      <c r="C105" s="74" t="s">
        <v>304</v>
      </c>
      <c r="D105" s="80">
        <v>91</v>
      </c>
      <c r="E105" s="76">
        <v>4.0000000000000001E-3</v>
      </c>
      <c r="F105" s="30"/>
    </row>
    <row r="106" spans="1:6" ht="14.45" customHeight="1">
      <c r="A106" s="30"/>
      <c r="B106" s="111" t="s">
        <v>58</v>
      </c>
      <c r="C106" s="54" t="s">
        <v>142</v>
      </c>
      <c r="D106" s="69">
        <v>101</v>
      </c>
      <c r="E106" s="68">
        <v>4.0000000000000001E-3</v>
      </c>
      <c r="F106" s="30"/>
    </row>
    <row r="107" spans="1:6" ht="14.45" customHeight="1">
      <c r="A107" s="30"/>
      <c r="B107" s="112"/>
      <c r="C107" s="54" t="s">
        <v>143</v>
      </c>
      <c r="D107" s="69">
        <v>136</v>
      </c>
      <c r="E107" s="68">
        <v>6.0000000000000001E-3</v>
      </c>
      <c r="F107" s="30"/>
    </row>
    <row r="108" spans="1:6" ht="14.45" customHeight="1">
      <c r="A108" s="30"/>
      <c r="B108" s="113"/>
      <c r="C108" s="74" t="s">
        <v>304</v>
      </c>
      <c r="D108" s="80">
        <v>237</v>
      </c>
      <c r="E108" s="76">
        <v>0.01</v>
      </c>
      <c r="F108" s="30"/>
    </row>
    <row r="109" spans="1:6" ht="14.45" customHeight="1">
      <c r="A109" s="30"/>
      <c r="B109" s="111" t="s">
        <v>87</v>
      </c>
      <c r="C109" s="54" t="s">
        <v>142</v>
      </c>
      <c r="D109" s="69">
        <v>6</v>
      </c>
      <c r="E109" s="68">
        <v>0</v>
      </c>
      <c r="F109" s="30"/>
    </row>
    <row r="110" spans="1:6" ht="14.45" customHeight="1">
      <c r="A110" s="30"/>
      <c r="B110" s="112"/>
      <c r="C110" s="54" t="s">
        <v>143</v>
      </c>
      <c r="D110" s="69">
        <v>8</v>
      </c>
      <c r="E110" s="68">
        <v>0</v>
      </c>
      <c r="F110" s="30"/>
    </row>
    <row r="111" spans="1:6" ht="14.45" customHeight="1">
      <c r="A111" s="30"/>
      <c r="B111" s="113"/>
      <c r="C111" s="74" t="s">
        <v>304</v>
      </c>
      <c r="D111" s="80">
        <v>14</v>
      </c>
      <c r="E111" s="76">
        <v>1E-3</v>
      </c>
      <c r="F111" s="30"/>
    </row>
    <row r="112" spans="1:6" ht="14.45" customHeight="1">
      <c r="A112" s="30"/>
      <c r="B112" s="111" t="s">
        <v>75</v>
      </c>
      <c r="C112" s="54" t="s">
        <v>142</v>
      </c>
      <c r="D112" s="69">
        <v>8</v>
      </c>
      <c r="E112" s="68">
        <v>0</v>
      </c>
      <c r="F112" s="30"/>
    </row>
    <row r="113" spans="1:6" ht="14.45" customHeight="1">
      <c r="A113" s="30"/>
      <c r="B113" s="112"/>
      <c r="C113" s="54" t="s">
        <v>143</v>
      </c>
      <c r="D113" s="69">
        <v>21</v>
      </c>
      <c r="E113" s="68">
        <v>1E-3</v>
      </c>
      <c r="F113" s="30"/>
    </row>
    <row r="114" spans="1:6" ht="14.45" customHeight="1">
      <c r="A114" s="30"/>
      <c r="B114" s="113"/>
      <c r="C114" s="74" t="s">
        <v>304</v>
      </c>
      <c r="D114" s="80">
        <v>29</v>
      </c>
      <c r="E114" s="76">
        <v>1E-3</v>
      </c>
      <c r="F114" s="30"/>
    </row>
    <row r="115" spans="1:6" ht="14.45" customHeight="1">
      <c r="A115" s="30"/>
      <c r="B115" s="111" t="s">
        <v>89</v>
      </c>
      <c r="C115" s="54" t="s">
        <v>142</v>
      </c>
      <c r="D115" s="69">
        <v>7</v>
      </c>
      <c r="E115" s="68">
        <v>0</v>
      </c>
      <c r="F115" s="30"/>
    </row>
    <row r="116" spans="1:6" ht="14.45" customHeight="1">
      <c r="A116" s="30"/>
      <c r="B116" s="112"/>
      <c r="C116" s="54" t="s">
        <v>143</v>
      </c>
      <c r="D116" s="69">
        <v>10</v>
      </c>
      <c r="E116" s="68">
        <v>0</v>
      </c>
      <c r="F116" s="30"/>
    </row>
    <row r="117" spans="1:6" ht="14.45" customHeight="1">
      <c r="A117" s="30"/>
      <c r="B117" s="113"/>
      <c r="C117" s="74" t="s">
        <v>304</v>
      </c>
      <c r="D117" s="80">
        <v>17</v>
      </c>
      <c r="E117" s="76">
        <v>1E-3</v>
      </c>
      <c r="F117" s="30"/>
    </row>
    <row r="118" spans="1:6" ht="14.45" customHeight="1">
      <c r="A118" s="30"/>
      <c r="B118" s="111" t="s">
        <v>79</v>
      </c>
      <c r="C118" s="54" t="s">
        <v>142</v>
      </c>
      <c r="D118" s="69">
        <v>7</v>
      </c>
      <c r="E118" s="68">
        <v>0</v>
      </c>
      <c r="F118" s="30"/>
    </row>
    <row r="119" spans="1:6" ht="14.45" customHeight="1">
      <c r="A119" s="30"/>
      <c r="B119" s="112"/>
      <c r="C119" s="54" t="s">
        <v>143</v>
      </c>
      <c r="D119" s="69">
        <v>15</v>
      </c>
      <c r="E119" s="68">
        <v>1E-3</v>
      </c>
      <c r="F119" s="30"/>
    </row>
    <row r="120" spans="1:6" ht="14.45" customHeight="1">
      <c r="A120" s="30"/>
      <c r="B120" s="112"/>
      <c r="C120" s="54" t="s">
        <v>277</v>
      </c>
      <c r="D120" s="69">
        <v>1</v>
      </c>
      <c r="E120" s="68">
        <v>0</v>
      </c>
      <c r="F120" s="30"/>
    </row>
    <row r="121" spans="1:6" ht="14.45" customHeight="1">
      <c r="A121" s="30"/>
      <c r="B121" s="113"/>
      <c r="C121" s="74" t="s">
        <v>304</v>
      </c>
      <c r="D121" s="80">
        <v>23</v>
      </c>
      <c r="E121" s="76">
        <v>1E-3</v>
      </c>
      <c r="F121" s="30"/>
    </row>
    <row r="122" spans="1:6" ht="14.45" customHeight="1">
      <c r="A122" s="30"/>
      <c r="B122" s="111" t="s">
        <v>54</v>
      </c>
      <c r="C122" s="54" t="s">
        <v>142</v>
      </c>
      <c r="D122" s="69">
        <v>215</v>
      </c>
      <c r="E122" s="68">
        <v>8.9999999999999993E-3</v>
      </c>
      <c r="F122" s="30"/>
    </row>
    <row r="123" spans="1:6" ht="14.45" customHeight="1">
      <c r="A123" s="30"/>
      <c r="B123" s="112"/>
      <c r="C123" s="54" t="s">
        <v>143</v>
      </c>
      <c r="D123" s="69">
        <v>410</v>
      </c>
      <c r="E123" s="68">
        <v>1.7000000000000001E-2</v>
      </c>
      <c r="F123" s="30"/>
    </row>
    <row r="124" spans="1:6" ht="14.45" customHeight="1">
      <c r="A124" s="30"/>
      <c r="B124" s="113"/>
      <c r="C124" s="74" t="s">
        <v>304</v>
      </c>
      <c r="D124" s="80">
        <v>625</v>
      </c>
      <c r="E124" s="76">
        <v>2.5999999999999999E-2</v>
      </c>
      <c r="F124" s="30"/>
    </row>
    <row r="125" spans="1:6" ht="14.45" customHeight="1">
      <c r="A125" s="30"/>
      <c r="B125" s="111" t="s">
        <v>81</v>
      </c>
      <c r="C125" s="54" t="s">
        <v>142</v>
      </c>
      <c r="D125" s="69">
        <v>12</v>
      </c>
      <c r="E125" s="68">
        <v>0</v>
      </c>
      <c r="F125" s="30"/>
    </row>
    <row r="126" spans="1:6" ht="14.45" customHeight="1">
      <c r="A126" s="30"/>
      <c r="B126" s="112"/>
      <c r="C126" s="54" t="s">
        <v>143</v>
      </c>
      <c r="D126" s="69">
        <v>23</v>
      </c>
      <c r="E126" s="68">
        <v>1E-3</v>
      </c>
      <c r="F126" s="30"/>
    </row>
    <row r="127" spans="1:6" ht="14.45" customHeight="1">
      <c r="A127" s="30"/>
      <c r="B127" s="113"/>
      <c r="C127" s="74" t="s">
        <v>304</v>
      </c>
      <c r="D127" s="80">
        <v>35</v>
      </c>
      <c r="E127" s="76">
        <v>1E-3</v>
      </c>
      <c r="F127" s="30"/>
    </row>
    <row r="128" spans="1:6" ht="14.45" customHeight="1">
      <c r="A128" s="30"/>
      <c r="B128" s="111" t="s">
        <v>63</v>
      </c>
      <c r="C128" s="54" t="s">
        <v>142</v>
      </c>
      <c r="D128" s="69">
        <v>73</v>
      </c>
      <c r="E128" s="68">
        <v>3.0000000000000001E-3</v>
      </c>
      <c r="F128" s="30"/>
    </row>
    <row r="129" spans="1:6" ht="14.45" customHeight="1">
      <c r="A129" s="30"/>
      <c r="B129" s="112"/>
      <c r="C129" s="54" t="s">
        <v>143</v>
      </c>
      <c r="D129" s="69">
        <v>85</v>
      </c>
      <c r="E129" s="68">
        <v>3.0000000000000001E-3</v>
      </c>
      <c r="F129" s="30"/>
    </row>
    <row r="130" spans="1:6" ht="14.45" customHeight="1">
      <c r="A130" s="30"/>
      <c r="B130" s="113"/>
      <c r="C130" s="74" t="s">
        <v>304</v>
      </c>
      <c r="D130" s="80">
        <v>158</v>
      </c>
      <c r="E130" s="76">
        <v>6.0000000000000001E-3</v>
      </c>
      <c r="F130" s="30"/>
    </row>
    <row r="131" spans="1:6" ht="14.45" customHeight="1">
      <c r="A131" s="30"/>
      <c r="B131" s="111" t="s">
        <v>84</v>
      </c>
      <c r="C131" s="54" t="s">
        <v>142</v>
      </c>
      <c r="D131" s="69">
        <v>9</v>
      </c>
      <c r="E131" s="68">
        <v>0</v>
      </c>
      <c r="F131" s="30"/>
    </row>
    <row r="132" spans="1:6" ht="14.45" customHeight="1">
      <c r="A132" s="30"/>
      <c r="B132" s="112"/>
      <c r="C132" s="54" t="s">
        <v>143</v>
      </c>
      <c r="D132" s="69">
        <v>15</v>
      </c>
      <c r="E132" s="68">
        <v>1E-3</v>
      </c>
      <c r="F132" s="30"/>
    </row>
    <row r="133" spans="1:6" ht="14.45" customHeight="1">
      <c r="A133" s="30"/>
      <c r="B133" s="113"/>
      <c r="C133" s="74" t="s">
        <v>304</v>
      </c>
      <c r="D133" s="80">
        <v>24</v>
      </c>
      <c r="E133" s="76">
        <v>1E-3</v>
      </c>
      <c r="F133" s="30"/>
    </row>
    <row r="134" spans="1:6" ht="14.45" customHeight="1">
      <c r="A134" s="30"/>
      <c r="B134" s="111" t="s">
        <v>51</v>
      </c>
      <c r="C134" s="54" t="s">
        <v>142</v>
      </c>
      <c r="D134" s="69">
        <v>428</v>
      </c>
      <c r="E134" s="68">
        <v>1.7999999999999999E-2</v>
      </c>
      <c r="F134" s="30"/>
    </row>
    <row r="135" spans="1:6" ht="14.45" customHeight="1">
      <c r="A135" s="30"/>
      <c r="B135" s="112"/>
      <c r="C135" s="54" t="s">
        <v>143</v>
      </c>
      <c r="D135" s="69">
        <v>444</v>
      </c>
      <c r="E135" s="68">
        <v>1.7999999999999999E-2</v>
      </c>
      <c r="F135" s="30"/>
    </row>
    <row r="136" spans="1:6" ht="14.45" customHeight="1">
      <c r="A136" s="30"/>
      <c r="B136" s="113"/>
      <c r="C136" s="74" t="s">
        <v>304</v>
      </c>
      <c r="D136" s="80">
        <v>872</v>
      </c>
      <c r="E136" s="76">
        <v>3.5999999999999997E-2</v>
      </c>
      <c r="F136" s="30"/>
    </row>
    <row r="137" spans="1:6" ht="14.45" customHeight="1">
      <c r="A137" s="30"/>
      <c r="B137" s="111" t="s">
        <v>78</v>
      </c>
      <c r="C137" s="54" t="s">
        <v>142</v>
      </c>
      <c r="D137" s="69">
        <v>17</v>
      </c>
      <c r="E137" s="68">
        <v>1E-3</v>
      </c>
      <c r="F137" s="30"/>
    </row>
    <row r="138" spans="1:6" ht="14.45" customHeight="1">
      <c r="A138" s="30"/>
      <c r="B138" s="112"/>
      <c r="C138" s="54" t="s">
        <v>143</v>
      </c>
      <c r="D138" s="69">
        <v>20</v>
      </c>
      <c r="E138" s="68">
        <v>1E-3</v>
      </c>
      <c r="F138" s="30"/>
    </row>
    <row r="139" spans="1:6" ht="14.45" customHeight="1">
      <c r="A139" s="30"/>
      <c r="B139" s="113"/>
      <c r="C139" s="74" t="s">
        <v>304</v>
      </c>
      <c r="D139" s="80">
        <v>37</v>
      </c>
      <c r="E139" s="76">
        <v>2E-3</v>
      </c>
      <c r="F139" s="30"/>
    </row>
    <row r="140" spans="1:6" ht="14.45" customHeight="1">
      <c r="A140" s="30"/>
      <c r="B140" s="111" t="s">
        <v>82</v>
      </c>
      <c r="C140" s="54" t="s">
        <v>142</v>
      </c>
      <c r="D140" s="69">
        <v>12</v>
      </c>
      <c r="E140" s="68">
        <v>0</v>
      </c>
      <c r="F140" s="30"/>
    </row>
    <row r="141" spans="1:6" ht="14.45" customHeight="1">
      <c r="A141" s="30"/>
      <c r="B141" s="112"/>
      <c r="C141" s="54" t="s">
        <v>143</v>
      </c>
      <c r="D141" s="69">
        <v>15</v>
      </c>
      <c r="E141" s="68">
        <v>1E-3</v>
      </c>
      <c r="F141" s="30"/>
    </row>
    <row r="142" spans="1:6" ht="14.45" customHeight="1">
      <c r="A142" s="30"/>
      <c r="B142" s="113"/>
      <c r="C142" s="74" t="s">
        <v>304</v>
      </c>
      <c r="D142" s="80">
        <v>27</v>
      </c>
      <c r="E142" s="76">
        <v>1E-3</v>
      </c>
      <c r="F142" s="30"/>
    </row>
    <row r="143" spans="1:6" ht="14.45" customHeight="1">
      <c r="A143" s="30"/>
      <c r="B143" s="111" t="s">
        <v>83</v>
      </c>
      <c r="C143" s="54" t="s">
        <v>142</v>
      </c>
      <c r="D143" s="69">
        <v>13</v>
      </c>
      <c r="E143" s="68">
        <v>1E-3</v>
      </c>
      <c r="F143" s="30"/>
    </row>
    <row r="144" spans="1:6" ht="14.45" customHeight="1">
      <c r="A144" s="30"/>
      <c r="B144" s="112"/>
      <c r="C144" s="54" t="s">
        <v>143</v>
      </c>
      <c r="D144" s="69">
        <v>13</v>
      </c>
      <c r="E144" s="68">
        <v>1E-3</v>
      </c>
      <c r="F144" s="30"/>
    </row>
    <row r="145" spans="1:6" ht="14.45" customHeight="1">
      <c r="A145" s="30"/>
      <c r="B145" s="113"/>
      <c r="C145" s="74" t="s">
        <v>304</v>
      </c>
      <c r="D145" s="80">
        <v>26</v>
      </c>
      <c r="E145" s="76">
        <v>1E-3</v>
      </c>
      <c r="F145" s="30"/>
    </row>
    <row r="146" spans="1:6" ht="14.45" customHeight="1">
      <c r="A146" s="30"/>
      <c r="B146" s="111" t="s">
        <v>76</v>
      </c>
      <c r="C146" s="54" t="s">
        <v>142</v>
      </c>
      <c r="D146" s="69">
        <v>9</v>
      </c>
      <c r="E146" s="68">
        <v>0</v>
      </c>
      <c r="F146" s="30"/>
    </row>
    <row r="147" spans="1:6" ht="14.45" customHeight="1">
      <c r="A147" s="30"/>
      <c r="B147" s="112"/>
      <c r="C147" s="54" t="s">
        <v>143</v>
      </c>
      <c r="D147" s="69">
        <v>25</v>
      </c>
      <c r="E147" s="68">
        <v>1E-3</v>
      </c>
      <c r="F147" s="30"/>
    </row>
    <row r="148" spans="1:6" ht="14.45" customHeight="1">
      <c r="A148" s="30"/>
      <c r="B148" s="113"/>
      <c r="C148" s="74" t="s">
        <v>304</v>
      </c>
      <c r="D148" s="80">
        <v>34</v>
      </c>
      <c r="E148" s="76">
        <v>1E-3</v>
      </c>
      <c r="F148" s="30"/>
    </row>
    <row r="149" spans="1:6" ht="14.45" customHeight="1">
      <c r="A149" s="30"/>
      <c r="B149" s="111" t="s">
        <v>74</v>
      </c>
      <c r="C149" s="54" t="s">
        <v>142</v>
      </c>
      <c r="D149" s="69">
        <v>16</v>
      </c>
      <c r="E149" s="68">
        <v>1E-3</v>
      </c>
      <c r="F149" s="30"/>
    </row>
    <row r="150" spans="1:6" ht="14.45" customHeight="1">
      <c r="A150" s="30"/>
      <c r="B150" s="112"/>
      <c r="C150" s="54" t="s">
        <v>143</v>
      </c>
      <c r="D150" s="69">
        <v>13</v>
      </c>
      <c r="E150" s="68">
        <v>1E-3</v>
      </c>
      <c r="F150" s="30"/>
    </row>
    <row r="151" spans="1:6" ht="14.45" customHeight="1">
      <c r="A151" s="30"/>
      <c r="B151" s="113"/>
      <c r="C151" s="74" t="s">
        <v>304</v>
      </c>
      <c r="D151" s="80">
        <v>29</v>
      </c>
      <c r="E151" s="76">
        <v>1E-3</v>
      </c>
      <c r="F151" s="30"/>
    </row>
    <row r="152" spans="1:6" ht="14.45" customHeight="1">
      <c r="A152" s="30"/>
      <c r="B152" s="111" t="s">
        <v>92</v>
      </c>
      <c r="C152" s="54" t="s">
        <v>142</v>
      </c>
      <c r="D152" s="69">
        <v>2</v>
      </c>
      <c r="E152" s="68">
        <v>0</v>
      </c>
      <c r="F152" s="30"/>
    </row>
    <row r="153" spans="1:6" ht="14.45" customHeight="1">
      <c r="A153" s="30"/>
      <c r="B153" s="112"/>
      <c r="C153" s="54" t="s">
        <v>143</v>
      </c>
      <c r="D153" s="69">
        <v>4</v>
      </c>
      <c r="E153" s="68">
        <v>0</v>
      </c>
      <c r="F153" s="30"/>
    </row>
    <row r="154" spans="1:6" ht="14.45" customHeight="1">
      <c r="A154" s="30"/>
      <c r="B154" s="113"/>
      <c r="C154" s="74" t="s">
        <v>304</v>
      </c>
      <c r="D154" s="80">
        <v>6</v>
      </c>
      <c r="E154" s="76">
        <v>0</v>
      </c>
      <c r="F154" s="30"/>
    </row>
    <row r="155" spans="1:6" ht="14.45" customHeight="1">
      <c r="A155" s="30"/>
      <c r="B155" s="111" t="s">
        <v>93</v>
      </c>
      <c r="C155" s="54" t="s">
        <v>142</v>
      </c>
      <c r="D155" s="69">
        <v>2</v>
      </c>
      <c r="E155" s="68">
        <v>0</v>
      </c>
      <c r="F155" s="30"/>
    </row>
    <row r="156" spans="1:6" ht="14.45" customHeight="1">
      <c r="A156" s="30"/>
      <c r="B156" s="112"/>
      <c r="C156" s="54" t="s">
        <v>143</v>
      </c>
      <c r="D156" s="69">
        <v>2</v>
      </c>
      <c r="E156" s="68">
        <v>0</v>
      </c>
      <c r="F156" s="30"/>
    </row>
    <row r="157" spans="1:6" ht="14.45" customHeight="1">
      <c r="A157" s="30"/>
      <c r="B157" s="113"/>
      <c r="C157" s="74" t="s">
        <v>304</v>
      </c>
      <c r="D157" s="80">
        <v>4</v>
      </c>
      <c r="E157" s="76">
        <v>0</v>
      </c>
      <c r="F157" s="30"/>
    </row>
    <row r="158" spans="1:6" ht="14.45" customHeight="1">
      <c r="A158" s="30"/>
      <c r="B158" s="111" t="s">
        <v>66</v>
      </c>
      <c r="C158" s="54" t="s">
        <v>142</v>
      </c>
      <c r="D158" s="69">
        <v>32</v>
      </c>
      <c r="E158" s="68">
        <v>1E-3</v>
      </c>
      <c r="F158" s="30"/>
    </row>
    <row r="159" spans="1:6" ht="14.45" customHeight="1">
      <c r="A159" s="30"/>
      <c r="B159" s="112"/>
      <c r="C159" s="54" t="s">
        <v>143</v>
      </c>
      <c r="D159" s="69">
        <v>54</v>
      </c>
      <c r="E159" s="68">
        <v>2E-3</v>
      </c>
      <c r="F159" s="30"/>
    </row>
    <row r="160" spans="1:6" ht="14.45" customHeight="1">
      <c r="A160" s="30"/>
      <c r="B160" s="113"/>
      <c r="C160" s="74" t="s">
        <v>304</v>
      </c>
      <c r="D160" s="80">
        <v>86</v>
      </c>
      <c r="E160" s="76">
        <v>4.0000000000000001E-3</v>
      </c>
      <c r="F160" s="30"/>
    </row>
    <row r="161" spans="1:6" ht="14.45" customHeight="1">
      <c r="A161" s="30"/>
      <c r="B161" s="111" t="s">
        <v>94</v>
      </c>
      <c r="C161" s="54" t="s">
        <v>142</v>
      </c>
      <c r="D161" s="69">
        <v>1</v>
      </c>
      <c r="E161" s="68">
        <v>0</v>
      </c>
      <c r="F161" s="30"/>
    </row>
    <row r="162" spans="1:6" ht="14.45" customHeight="1">
      <c r="A162" s="30"/>
      <c r="B162" s="112"/>
      <c r="C162" s="54" t="s">
        <v>143</v>
      </c>
      <c r="D162" s="69">
        <v>1</v>
      </c>
      <c r="E162" s="68">
        <v>0</v>
      </c>
      <c r="F162" s="30"/>
    </row>
    <row r="163" spans="1:6" ht="14.45" customHeight="1">
      <c r="A163" s="30"/>
      <c r="B163" s="113"/>
      <c r="C163" s="74" t="s">
        <v>304</v>
      </c>
      <c r="D163" s="80">
        <v>2</v>
      </c>
      <c r="E163" s="76">
        <v>0</v>
      </c>
      <c r="F163" s="30"/>
    </row>
    <row r="164" spans="1:6" ht="14.45" customHeight="1">
      <c r="A164" s="30"/>
      <c r="B164" s="114" t="s">
        <v>304</v>
      </c>
      <c r="C164" s="114"/>
      <c r="D164" s="77">
        <v>24389</v>
      </c>
      <c r="E164" s="78">
        <v>1</v>
      </c>
      <c r="F164" s="30"/>
    </row>
    <row r="165" spans="1:6" ht="14.45" customHeight="1">
      <c r="A165" s="30"/>
      <c r="B165" s="35"/>
      <c r="C165" s="41"/>
      <c r="D165" s="53"/>
      <c r="E165" s="41"/>
      <c r="F165" s="30"/>
    </row>
    <row r="166" spans="1:6" ht="14.45" customHeight="1">
      <c r="A166" s="30"/>
      <c r="B166" s="35" t="s">
        <v>275</v>
      </c>
      <c r="C166" s="41"/>
      <c r="D166" s="53"/>
      <c r="E166" s="41"/>
      <c r="F166" s="30"/>
    </row>
    <row r="167" spans="1:6" ht="14.45" customHeight="1">
      <c r="A167" s="30"/>
      <c r="B167" s="36" t="s">
        <v>18</v>
      </c>
      <c r="C167" s="41"/>
      <c r="D167" s="53"/>
      <c r="E167" s="41"/>
      <c r="F167" s="30"/>
    </row>
    <row r="168" spans="1:6" ht="14.45" customHeight="1">
      <c r="A168" s="30"/>
      <c r="B168" s="33" t="s">
        <v>45</v>
      </c>
      <c r="C168" s="41"/>
      <c r="D168" s="53"/>
      <c r="E168" s="41"/>
      <c r="F168" s="30"/>
    </row>
    <row r="169" spans="1:6" ht="14.45" customHeight="1">
      <c r="A169" s="30"/>
      <c r="B169" s="35" t="s">
        <v>17</v>
      </c>
      <c r="C169" s="41"/>
      <c r="D169" s="53"/>
      <c r="E169" s="41"/>
      <c r="F169" s="30"/>
    </row>
    <row r="170" spans="1:6" ht="12.75">
      <c r="A170" s="30"/>
      <c r="B170" s="35" t="s">
        <v>308</v>
      </c>
      <c r="C170" s="41"/>
      <c r="D170" s="53"/>
      <c r="E170" s="41"/>
      <c r="F170" s="30"/>
    </row>
  </sheetData>
  <mergeCells count="52">
    <mergeCell ref="B164:C164"/>
    <mergeCell ref="B13:B15"/>
    <mergeCell ref="B16:B18"/>
    <mergeCell ref="B19:B21"/>
    <mergeCell ref="B22:B24"/>
    <mergeCell ref="B25:B27"/>
    <mergeCell ref="B28:B30"/>
    <mergeCell ref="B31:B32"/>
    <mergeCell ref="B33:B35"/>
    <mergeCell ref="B36:B39"/>
    <mergeCell ref="B40:B42"/>
    <mergeCell ref="B43:B45"/>
    <mergeCell ref="B46:B48"/>
    <mergeCell ref="B49:B51"/>
    <mergeCell ref="B52:B54"/>
    <mergeCell ref="B55:B57"/>
    <mergeCell ref="B149:B151"/>
    <mergeCell ref="B152:B154"/>
    <mergeCell ref="B137:B139"/>
    <mergeCell ref="B140:B142"/>
    <mergeCell ref="B143:B145"/>
    <mergeCell ref="B134:B136"/>
    <mergeCell ref="B122:B124"/>
    <mergeCell ref="B125:B127"/>
    <mergeCell ref="B128:B130"/>
    <mergeCell ref="B146:B148"/>
    <mergeCell ref="B94:B96"/>
    <mergeCell ref="B97:B99"/>
    <mergeCell ref="B85:B87"/>
    <mergeCell ref="B88:B90"/>
    <mergeCell ref="B131:B133"/>
    <mergeCell ref="B79:B81"/>
    <mergeCell ref="B82:B84"/>
    <mergeCell ref="B70:B72"/>
    <mergeCell ref="B73:B75"/>
    <mergeCell ref="B91:B93"/>
    <mergeCell ref="B58:B60"/>
    <mergeCell ref="B8:E10"/>
    <mergeCell ref="B161:B163"/>
    <mergeCell ref="B115:B117"/>
    <mergeCell ref="B118:B121"/>
    <mergeCell ref="B100:B102"/>
    <mergeCell ref="B103:B105"/>
    <mergeCell ref="B106:B108"/>
    <mergeCell ref="B109:B111"/>
    <mergeCell ref="B112:B114"/>
    <mergeCell ref="B61:B63"/>
    <mergeCell ref="B64:B66"/>
    <mergeCell ref="B67:B69"/>
    <mergeCell ref="B155:B157"/>
    <mergeCell ref="B158:B160"/>
    <mergeCell ref="B76:B78"/>
  </mergeCells>
  <printOptions horizontalCentered="1"/>
  <pageMargins left="0.74803149606299213" right="0.74803149606299213" top="0.98425196850393704" bottom="0.98425196850393704" header="0.51181102362204722" footer="0.51181102362204722"/>
  <pageSetup scale="59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A1:F161"/>
  <sheetViews>
    <sheetView showGridLines="0" view="pageBreakPreview" zoomScale="90" zoomScaleNormal="100" zoomScaleSheetLayoutView="90" workbookViewId="0">
      <selection activeCell="A63" sqref="A63"/>
    </sheetView>
  </sheetViews>
  <sheetFormatPr baseColWidth="10" defaultColWidth="11.42578125" defaultRowHeight="11.25"/>
  <cols>
    <col min="1" max="1" width="5.7109375" style="12" customWidth="1"/>
    <col min="2" max="3" width="23.7109375" style="21" customWidth="1"/>
    <col min="4" max="4" width="15.7109375" style="24" customWidth="1"/>
    <col min="5" max="5" width="15.7109375" style="21" customWidth="1"/>
    <col min="6" max="6" width="2.42578125" style="12" customWidth="1"/>
    <col min="7" max="16384" width="11.42578125" style="12"/>
  </cols>
  <sheetData>
    <row r="1" spans="1:6" s="10" customFormat="1" ht="15">
      <c r="B1" s="21"/>
      <c r="C1" s="21"/>
    </row>
    <row r="2" spans="1:6" s="21" customFormat="1">
      <c r="B2" s="26"/>
    </row>
    <row r="3" spans="1:6" ht="15" customHeight="1">
      <c r="B3" s="27"/>
      <c r="C3" s="14"/>
      <c r="D3" s="12"/>
      <c r="F3" s="21"/>
    </row>
    <row r="4" spans="1:6" ht="30" customHeight="1">
      <c r="B4" s="27"/>
      <c r="C4" s="14"/>
      <c r="D4" s="12"/>
      <c r="F4" s="21"/>
    </row>
    <row r="5" spans="1:6" ht="15" customHeight="1">
      <c r="B5" s="27"/>
      <c r="C5" s="14"/>
      <c r="D5" s="12"/>
      <c r="F5" s="21"/>
    </row>
    <row r="6" spans="1:6" s="21" customFormat="1">
      <c r="B6" s="23"/>
      <c r="C6" s="20"/>
    </row>
    <row r="7" spans="1:6" s="21" customFormat="1">
      <c r="B7" s="26"/>
    </row>
    <row r="8" spans="1:6" s="10" customFormat="1" ht="15" customHeight="1">
      <c r="A8" s="32"/>
      <c r="B8" s="101" t="s">
        <v>39</v>
      </c>
      <c r="C8" s="101"/>
      <c r="D8" s="101"/>
      <c r="E8" s="101"/>
      <c r="F8" s="32"/>
    </row>
    <row r="9" spans="1:6" s="10" customFormat="1" ht="15" customHeight="1">
      <c r="A9" s="32"/>
      <c r="B9" s="101"/>
      <c r="C9" s="101"/>
      <c r="D9" s="101"/>
      <c r="E9" s="101"/>
      <c r="F9" s="51"/>
    </row>
    <row r="10" spans="1:6" s="10" customFormat="1" ht="15" customHeight="1">
      <c r="A10" s="32"/>
      <c r="B10" s="101"/>
      <c r="C10" s="101"/>
      <c r="D10" s="101"/>
      <c r="E10" s="101"/>
      <c r="F10" s="32"/>
    </row>
    <row r="11" spans="1:6" s="10" customFormat="1" ht="15" customHeight="1">
      <c r="A11" s="32"/>
      <c r="B11" s="52"/>
      <c r="C11" s="52"/>
      <c r="D11" s="52"/>
      <c r="E11" s="52"/>
      <c r="F11" s="32"/>
    </row>
    <row r="12" spans="1:6" s="10" customFormat="1" ht="36.950000000000003" customHeight="1">
      <c r="A12" s="32"/>
      <c r="B12" s="83" t="s">
        <v>25</v>
      </c>
      <c r="C12" s="83" t="s">
        <v>29</v>
      </c>
      <c r="D12" s="83" t="s">
        <v>20</v>
      </c>
      <c r="E12" s="83" t="s">
        <v>19</v>
      </c>
      <c r="F12" s="32"/>
    </row>
    <row r="13" spans="1:6" ht="14.25">
      <c r="A13" s="30"/>
      <c r="B13" s="111" t="s">
        <v>96</v>
      </c>
      <c r="C13" s="54" t="s">
        <v>142</v>
      </c>
      <c r="D13" s="69">
        <v>70</v>
      </c>
      <c r="E13" s="68">
        <v>3.0000000000000001E-3</v>
      </c>
      <c r="F13" s="30"/>
    </row>
    <row r="14" spans="1:6" ht="14.25">
      <c r="A14" s="30"/>
      <c r="B14" s="112"/>
      <c r="C14" s="54" t="s">
        <v>143</v>
      </c>
      <c r="D14" s="69">
        <v>88</v>
      </c>
      <c r="E14" s="68">
        <v>4.0000000000000001E-3</v>
      </c>
      <c r="F14" s="30"/>
    </row>
    <row r="15" spans="1:6" ht="14.25">
      <c r="A15" s="30"/>
      <c r="B15" s="113"/>
      <c r="C15" s="74" t="s">
        <v>304</v>
      </c>
      <c r="D15" s="80">
        <v>158</v>
      </c>
      <c r="E15" s="76">
        <v>6.0000000000000001E-3</v>
      </c>
      <c r="F15" s="30"/>
    </row>
    <row r="16" spans="1:6" ht="14.25">
      <c r="A16" s="30"/>
      <c r="B16" s="111" t="s">
        <v>97</v>
      </c>
      <c r="C16" s="54" t="s">
        <v>142</v>
      </c>
      <c r="D16" s="69">
        <v>10</v>
      </c>
      <c r="E16" s="68">
        <v>0</v>
      </c>
      <c r="F16" s="30"/>
    </row>
    <row r="17" spans="1:6" ht="14.25">
      <c r="A17" s="30"/>
      <c r="B17" s="112"/>
      <c r="C17" s="54" t="s">
        <v>143</v>
      </c>
      <c r="D17" s="69">
        <v>24</v>
      </c>
      <c r="E17" s="68">
        <v>1E-3</v>
      </c>
      <c r="F17" s="30"/>
    </row>
    <row r="18" spans="1:6" ht="14.25">
      <c r="A18" s="30"/>
      <c r="B18" s="113"/>
      <c r="C18" s="74" t="s">
        <v>304</v>
      </c>
      <c r="D18" s="80">
        <v>34</v>
      </c>
      <c r="E18" s="76">
        <v>1E-3</v>
      </c>
      <c r="F18" s="30"/>
    </row>
    <row r="19" spans="1:6" ht="14.25">
      <c r="A19" s="30"/>
      <c r="B19" s="111" t="s">
        <v>98</v>
      </c>
      <c r="C19" s="54" t="s">
        <v>142</v>
      </c>
      <c r="D19" s="69">
        <v>103</v>
      </c>
      <c r="E19" s="68">
        <v>4.0000000000000001E-3</v>
      </c>
      <c r="F19" s="30"/>
    </row>
    <row r="20" spans="1:6" ht="14.25">
      <c r="A20" s="30"/>
      <c r="B20" s="112"/>
      <c r="C20" s="54" t="s">
        <v>143</v>
      </c>
      <c r="D20" s="69">
        <v>129</v>
      </c>
      <c r="E20" s="68">
        <v>5.0000000000000001E-3</v>
      </c>
      <c r="F20" s="30"/>
    </row>
    <row r="21" spans="1:6" ht="14.25">
      <c r="A21" s="30"/>
      <c r="B21" s="113"/>
      <c r="C21" s="74" t="s">
        <v>304</v>
      </c>
      <c r="D21" s="80">
        <v>232</v>
      </c>
      <c r="E21" s="76">
        <v>0.01</v>
      </c>
      <c r="F21" s="30"/>
    </row>
    <row r="22" spans="1:6" ht="14.25">
      <c r="A22" s="30"/>
      <c r="B22" s="111" t="s">
        <v>99</v>
      </c>
      <c r="C22" s="54" t="s">
        <v>142</v>
      </c>
      <c r="D22" s="69">
        <v>173</v>
      </c>
      <c r="E22" s="68">
        <v>7.0000000000000001E-3</v>
      </c>
      <c r="F22" s="30"/>
    </row>
    <row r="23" spans="1:6" ht="14.25">
      <c r="A23" s="30"/>
      <c r="B23" s="112"/>
      <c r="C23" s="54" t="s">
        <v>143</v>
      </c>
      <c r="D23" s="69">
        <v>186</v>
      </c>
      <c r="E23" s="68">
        <v>8.0000000000000002E-3</v>
      </c>
      <c r="F23" s="30"/>
    </row>
    <row r="24" spans="1:6" ht="14.25">
      <c r="A24" s="30"/>
      <c r="B24" s="113"/>
      <c r="C24" s="74" t="s">
        <v>304</v>
      </c>
      <c r="D24" s="80">
        <v>359</v>
      </c>
      <c r="E24" s="76">
        <v>1.4999999999999999E-2</v>
      </c>
      <c r="F24" s="30"/>
    </row>
    <row r="25" spans="1:6" ht="14.25">
      <c r="A25" s="30"/>
      <c r="B25" s="111" t="s">
        <v>100</v>
      </c>
      <c r="C25" s="54" t="s">
        <v>142</v>
      </c>
      <c r="D25" s="69">
        <v>22</v>
      </c>
      <c r="E25" s="68">
        <v>1E-3</v>
      </c>
      <c r="F25" s="30"/>
    </row>
    <row r="26" spans="1:6" ht="14.25">
      <c r="A26" s="30"/>
      <c r="B26" s="112"/>
      <c r="C26" s="54" t="s">
        <v>143</v>
      </c>
      <c r="D26" s="69">
        <v>39</v>
      </c>
      <c r="E26" s="68">
        <v>2E-3</v>
      </c>
      <c r="F26" s="30"/>
    </row>
    <row r="27" spans="1:6" ht="14.25">
      <c r="A27" s="30"/>
      <c r="B27" s="113"/>
      <c r="C27" s="74" t="s">
        <v>304</v>
      </c>
      <c r="D27" s="80">
        <v>61</v>
      </c>
      <c r="E27" s="76">
        <v>3.0000000000000001E-3</v>
      </c>
      <c r="F27" s="30"/>
    </row>
    <row r="28" spans="1:6" ht="14.25">
      <c r="A28" s="30"/>
      <c r="B28" s="111" t="s">
        <v>101</v>
      </c>
      <c r="C28" s="54" t="s">
        <v>142</v>
      </c>
      <c r="D28" s="69">
        <v>6</v>
      </c>
      <c r="E28" s="68">
        <v>0</v>
      </c>
      <c r="F28" s="30"/>
    </row>
    <row r="29" spans="1:6" ht="14.25">
      <c r="A29" s="30"/>
      <c r="B29" s="112"/>
      <c r="C29" s="54" t="s">
        <v>143</v>
      </c>
      <c r="D29" s="69">
        <v>11</v>
      </c>
      <c r="E29" s="68">
        <v>0</v>
      </c>
      <c r="F29" s="30"/>
    </row>
    <row r="30" spans="1:6" ht="14.25">
      <c r="A30" s="30"/>
      <c r="B30" s="113"/>
      <c r="C30" s="74" t="s">
        <v>304</v>
      </c>
      <c r="D30" s="80">
        <v>17</v>
      </c>
      <c r="E30" s="76">
        <v>1E-3</v>
      </c>
      <c r="F30" s="30"/>
    </row>
    <row r="31" spans="1:6" ht="14.25">
      <c r="A31" s="30"/>
      <c r="B31" s="111" t="s">
        <v>102</v>
      </c>
      <c r="C31" s="54" t="s">
        <v>142</v>
      </c>
      <c r="D31" s="69">
        <v>7</v>
      </c>
      <c r="E31" s="68">
        <v>0</v>
      </c>
      <c r="F31" s="30"/>
    </row>
    <row r="32" spans="1:6" ht="14.25">
      <c r="A32" s="30"/>
      <c r="B32" s="112"/>
      <c r="C32" s="54" t="s">
        <v>143</v>
      </c>
      <c r="D32" s="69">
        <v>12</v>
      </c>
      <c r="E32" s="68">
        <v>0</v>
      </c>
      <c r="F32" s="30"/>
    </row>
    <row r="33" spans="1:6" ht="14.25">
      <c r="A33" s="30"/>
      <c r="B33" s="113"/>
      <c r="C33" s="74" t="s">
        <v>304</v>
      </c>
      <c r="D33" s="80">
        <v>19</v>
      </c>
      <c r="E33" s="76">
        <v>1E-3</v>
      </c>
      <c r="F33" s="30"/>
    </row>
    <row r="34" spans="1:6" ht="14.25">
      <c r="A34" s="30"/>
      <c r="B34" s="111" t="s">
        <v>103</v>
      </c>
      <c r="C34" s="54" t="s">
        <v>142</v>
      </c>
      <c r="D34" s="69">
        <v>1</v>
      </c>
      <c r="E34" s="68">
        <v>0</v>
      </c>
      <c r="F34" s="30"/>
    </row>
    <row r="35" spans="1:6" ht="14.25">
      <c r="A35" s="30"/>
      <c r="B35" s="112"/>
      <c r="C35" s="54" t="s">
        <v>143</v>
      </c>
      <c r="D35" s="69">
        <v>2</v>
      </c>
      <c r="E35" s="68">
        <v>0</v>
      </c>
      <c r="F35" s="30"/>
    </row>
    <row r="36" spans="1:6" ht="14.25" customHeight="1">
      <c r="A36" s="30"/>
      <c r="B36" s="113"/>
      <c r="C36" s="74" t="s">
        <v>304</v>
      </c>
      <c r="D36" s="80">
        <v>3</v>
      </c>
      <c r="E36" s="76">
        <v>0</v>
      </c>
      <c r="F36" s="30"/>
    </row>
    <row r="37" spans="1:6" ht="14.25">
      <c r="A37" s="30"/>
      <c r="B37" s="111" t="s">
        <v>104</v>
      </c>
      <c r="C37" s="54" t="s">
        <v>142</v>
      </c>
      <c r="D37" s="69">
        <v>188</v>
      </c>
      <c r="E37" s="68">
        <v>8.0000000000000002E-3</v>
      </c>
      <c r="F37" s="30"/>
    </row>
    <row r="38" spans="1:6" ht="14.25">
      <c r="A38" s="30"/>
      <c r="B38" s="112"/>
      <c r="C38" s="54" t="s">
        <v>143</v>
      </c>
      <c r="D38" s="69">
        <v>213</v>
      </c>
      <c r="E38" s="68">
        <v>8.9999999999999993E-3</v>
      </c>
      <c r="F38" s="30"/>
    </row>
    <row r="39" spans="1:6" ht="14.25">
      <c r="A39" s="30"/>
      <c r="B39" s="113"/>
      <c r="C39" s="74" t="s">
        <v>304</v>
      </c>
      <c r="D39" s="80">
        <v>401</v>
      </c>
      <c r="E39" s="76">
        <v>1.6E-2</v>
      </c>
      <c r="F39" s="30"/>
    </row>
    <row r="40" spans="1:6" ht="14.25">
      <c r="A40" s="30"/>
      <c r="B40" s="111" t="s">
        <v>105</v>
      </c>
      <c r="C40" s="54" t="s">
        <v>142</v>
      </c>
      <c r="D40" s="69">
        <v>207</v>
      </c>
      <c r="E40" s="68">
        <v>8.0000000000000002E-3</v>
      </c>
      <c r="F40" s="30"/>
    </row>
    <row r="41" spans="1:6" ht="14.25">
      <c r="A41" s="30"/>
      <c r="B41" s="112"/>
      <c r="C41" s="54" t="s">
        <v>143</v>
      </c>
      <c r="D41" s="69">
        <v>324</v>
      </c>
      <c r="E41" s="68">
        <v>1.2999999999999999E-2</v>
      </c>
      <c r="F41" s="30"/>
    </row>
    <row r="42" spans="1:6" ht="14.25">
      <c r="A42" s="30"/>
      <c r="B42" s="113"/>
      <c r="C42" s="74" t="s">
        <v>304</v>
      </c>
      <c r="D42" s="80">
        <v>531</v>
      </c>
      <c r="E42" s="76">
        <v>2.1999999999999999E-2</v>
      </c>
      <c r="F42" s="30"/>
    </row>
    <row r="43" spans="1:6" ht="14.25">
      <c r="A43" s="30"/>
      <c r="B43" s="111" t="s">
        <v>276</v>
      </c>
      <c r="C43" s="54" t="s">
        <v>142</v>
      </c>
      <c r="D43" s="69">
        <v>2</v>
      </c>
      <c r="E43" s="68">
        <v>0</v>
      </c>
      <c r="F43" s="30"/>
    </row>
    <row r="44" spans="1:6" ht="14.25">
      <c r="A44" s="30"/>
      <c r="B44" s="113"/>
      <c r="C44" s="74" t="s">
        <v>304</v>
      </c>
      <c r="D44" s="80">
        <v>2</v>
      </c>
      <c r="E44" s="76">
        <v>0</v>
      </c>
      <c r="F44" s="30"/>
    </row>
    <row r="45" spans="1:6" ht="14.25">
      <c r="A45" s="30"/>
      <c r="B45" s="111" t="s">
        <v>106</v>
      </c>
      <c r="C45" s="54" t="s">
        <v>142</v>
      </c>
      <c r="D45" s="69">
        <v>9</v>
      </c>
      <c r="E45" s="68">
        <v>0</v>
      </c>
      <c r="F45" s="30"/>
    </row>
    <row r="46" spans="1:6" ht="14.25">
      <c r="A46" s="30"/>
      <c r="B46" s="112"/>
      <c r="C46" s="54" t="s">
        <v>143</v>
      </c>
      <c r="D46" s="69">
        <v>9</v>
      </c>
      <c r="E46" s="68">
        <v>0</v>
      </c>
      <c r="F46" s="30"/>
    </row>
    <row r="47" spans="1:6" ht="14.25">
      <c r="A47" s="30"/>
      <c r="B47" s="113"/>
      <c r="C47" s="74" t="s">
        <v>304</v>
      </c>
      <c r="D47" s="80">
        <v>18</v>
      </c>
      <c r="E47" s="76">
        <v>1E-3</v>
      </c>
      <c r="F47" s="30"/>
    </row>
    <row r="48" spans="1:6" ht="14.25">
      <c r="A48" s="30"/>
      <c r="B48" s="111" t="s">
        <v>107</v>
      </c>
      <c r="C48" s="54" t="s">
        <v>142</v>
      </c>
      <c r="D48" s="69">
        <v>170</v>
      </c>
      <c r="E48" s="68">
        <v>7.0000000000000001E-3</v>
      </c>
      <c r="F48" s="30"/>
    </row>
    <row r="49" spans="1:6" ht="14.25">
      <c r="A49" s="30"/>
      <c r="B49" s="112"/>
      <c r="C49" s="54" t="s">
        <v>143</v>
      </c>
      <c r="D49" s="69">
        <v>209</v>
      </c>
      <c r="E49" s="68">
        <v>8.9999999999999993E-3</v>
      </c>
      <c r="F49" s="30"/>
    </row>
    <row r="50" spans="1:6" ht="14.25">
      <c r="A50" s="30"/>
      <c r="B50" s="113"/>
      <c r="C50" s="74" t="s">
        <v>304</v>
      </c>
      <c r="D50" s="80">
        <v>379</v>
      </c>
      <c r="E50" s="76">
        <v>1.6E-2</v>
      </c>
      <c r="F50" s="30"/>
    </row>
    <row r="51" spans="1:6" ht="14.25">
      <c r="A51" s="30"/>
      <c r="B51" s="118" t="s">
        <v>108</v>
      </c>
      <c r="C51" s="54" t="s">
        <v>142</v>
      </c>
      <c r="D51" s="69">
        <v>77</v>
      </c>
      <c r="E51" s="68">
        <v>3.0000000000000001E-3</v>
      </c>
      <c r="F51" s="30"/>
    </row>
    <row r="52" spans="1:6" ht="14.25">
      <c r="A52" s="30"/>
      <c r="B52" s="119"/>
      <c r="C52" s="54" t="s">
        <v>143</v>
      </c>
      <c r="D52" s="69">
        <v>76</v>
      </c>
      <c r="E52" s="68">
        <v>3.0000000000000001E-3</v>
      </c>
      <c r="F52" s="30"/>
    </row>
    <row r="53" spans="1:6" ht="14.25">
      <c r="A53" s="30"/>
      <c r="B53" s="120"/>
      <c r="C53" s="79" t="s">
        <v>304</v>
      </c>
      <c r="D53" s="80">
        <v>153</v>
      </c>
      <c r="E53" s="76">
        <v>6.0000000000000001E-3</v>
      </c>
      <c r="F53" s="30"/>
    </row>
    <row r="54" spans="1:6" ht="14.25">
      <c r="A54" s="30"/>
      <c r="B54" s="118" t="s">
        <v>109</v>
      </c>
      <c r="C54" s="54" t="s">
        <v>142</v>
      </c>
      <c r="D54" s="69">
        <v>19</v>
      </c>
      <c r="E54" s="68">
        <v>1E-3</v>
      </c>
      <c r="F54" s="30"/>
    </row>
    <row r="55" spans="1:6" ht="14.25">
      <c r="A55" s="30"/>
      <c r="B55" s="119"/>
      <c r="C55" s="54" t="s">
        <v>143</v>
      </c>
      <c r="D55" s="69">
        <v>25</v>
      </c>
      <c r="E55" s="68">
        <v>1E-3</v>
      </c>
      <c r="F55" s="30"/>
    </row>
    <row r="56" spans="1:6" ht="14.25">
      <c r="A56" s="30"/>
      <c r="B56" s="120"/>
      <c r="C56" s="79" t="s">
        <v>304</v>
      </c>
      <c r="D56" s="80">
        <v>44</v>
      </c>
      <c r="E56" s="76">
        <v>2E-3</v>
      </c>
      <c r="F56" s="30"/>
    </row>
    <row r="57" spans="1:6" ht="14.25">
      <c r="A57" s="30"/>
      <c r="B57" s="118" t="s">
        <v>110</v>
      </c>
      <c r="C57" s="54" t="s">
        <v>142</v>
      </c>
      <c r="D57" s="69">
        <v>27</v>
      </c>
      <c r="E57" s="68">
        <v>1E-3</v>
      </c>
      <c r="F57" s="30"/>
    </row>
    <row r="58" spans="1:6" ht="14.25">
      <c r="A58" s="30"/>
      <c r="B58" s="119"/>
      <c r="C58" s="54" t="s">
        <v>143</v>
      </c>
      <c r="D58" s="69">
        <v>24</v>
      </c>
      <c r="E58" s="68">
        <v>1E-3</v>
      </c>
      <c r="F58" s="30"/>
    </row>
    <row r="59" spans="1:6" ht="14.25">
      <c r="A59" s="30"/>
      <c r="B59" s="120"/>
      <c r="C59" s="79" t="s">
        <v>304</v>
      </c>
      <c r="D59" s="80">
        <v>51</v>
      </c>
      <c r="E59" s="76">
        <v>2E-3</v>
      </c>
      <c r="F59" s="30"/>
    </row>
    <row r="60" spans="1:6" ht="14.25">
      <c r="A60" s="30"/>
      <c r="B60" s="118" t="s">
        <v>111</v>
      </c>
      <c r="C60" s="54" t="s">
        <v>142</v>
      </c>
      <c r="D60" s="69">
        <v>36</v>
      </c>
      <c r="E60" s="68">
        <v>1E-3</v>
      </c>
      <c r="F60" s="30"/>
    </row>
    <row r="61" spans="1:6" ht="14.25">
      <c r="A61" s="30"/>
      <c r="B61" s="119"/>
      <c r="C61" s="54" t="s">
        <v>143</v>
      </c>
      <c r="D61" s="69">
        <v>63</v>
      </c>
      <c r="E61" s="68">
        <v>3.0000000000000001E-3</v>
      </c>
      <c r="F61" s="30"/>
    </row>
    <row r="62" spans="1:6" ht="14.25">
      <c r="A62" s="30"/>
      <c r="B62" s="120"/>
      <c r="C62" s="79" t="s">
        <v>304</v>
      </c>
      <c r="D62" s="80">
        <v>99</v>
      </c>
      <c r="E62" s="76">
        <v>4.0000000000000001E-3</v>
      </c>
      <c r="F62" s="30"/>
    </row>
    <row r="63" spans="1:6" ht="14.25">
      <c r="A63" s="30"/>
      <c r="B63" s="118" t="s">
        <v>112</v>
      </c>
      <c r="C63" s="54" t="s">
        <v>142</v>
      </c>
      <c r="D63" s="69">
        <v>56</v>
      </c>
      <c r="E63" s="68">
        <v>2E-3</v>
      </c>
      <c r="F63" s="30"/>
    </row>
    <row r="64" spans="1:6" ht="14.25">
      <c r="A64" s="30"/>
      <c r="B64" s="119"/>
      <c r="C64" s="54" t="s">
        <v>143</v>
      </c>
      <c r="D64" s="69">
        <v>112</v>
      </c>
      <c r="E64" s="68">
        <v>5.0000000000000001E-3</v>
      </c>
      <c r="F64" s="30"/>
    </row>
    <row r="65" spans="1:6" ht="14.25">
      <c r="A65" s="30"/>
      <c r="B65" s="120"/>
      <c r="C65" s="79" t="s">
        <v>304</v>
      </c>
      <c r="D65" s="80">
        <v>168</v>
      </c>
      <c r="E65" s="76">
        <v>7.0000000000000001E-3</v>
      </c>
      <c r="F65" s="30"/>
    </row>
    <row r="66" spans="1:6" ht="14.25">
      <c r="A66" s="30"/>
      <c r="B66" s="118" t="s">
        <v>113</v>
      </c>
      <c r="C66" s="54" t="s">
        <v>142</v>
      </c>
      <c r="D66" s="69">
        <v>5</v>
      </c>
      <c r="E66" s="68">
        <v>0</v>
      </c>
      <c r="F66" s="30"/>
    </row>
    <row r="67" spans="1:6" ht="14.25">
      <c r="A67" s="30"/>
      <c r="B67" s="119"/>
      <c r="C67" s="54" t="s">
        <v>143</v>
      </c>
      <c r="D67" s="69">
        <v>14</v>
      </c>
      <c r="E67" s="68">
        <v>1E-3</v>
      </c>
      <c r="F67" s="30"/>
    </row>
    <row r="68" spans="1:6" ht="14.25">
      <c r="A68" s="30"/>
      <c r="B68" s="120"/>
      <c r="C68" s="79" t="s">
        <v>304</v>
      </c>
      <c r="D68" s="80">
        <v>19</v>
      </c>
      <c r="E68" s="76">
        <v>1E-3</v>
      </c>
      <c r="F68" s="30"/>
    </row>
    <row r="69" spans="1:6" ht="14.25">
      <c r="A69" s="30"/>
      <c r="B69" s="118" t="s">
        <v>114</v>
      </c>
      <c r="C69" s="54" t="s">
        <v>142</v>
      </c>
      <c r="D69" s="69">
        <v>3</v>
      </c>
      <c r="E69" s="68">
        <v>0</v>
      </c>
      <c r="F69" s="30"/>
    </row>
    <row r="70" spans="1:6" ht="14.25">
      <c r="A70" s="30"/>
      <c r="B70" s="119"/>
      <c r="C70" s="54" t="s">
        <v>143</v>
      </c>
      <c r="D70" s="69">
        <v>6</v>
      </c>
      <c r="E70" s="68">
        <v>0</v>
      </c>
      <c r="F70" s="30"/>
    </row>
    <row r="71" spans="1:6" ht="14.25">
      <c r="A71" s="30"/>
      <c r="B71" s="120"/>
      <c r="C71" s="79" t="s">
        <v>304</v>
      </c>
      <c r="D71" s="80">
        <v>9</v>
      </c>
      <c r="E71" s="76">
        <v>0</v>
      </c>
      <c r="F71" s="30"/>
    </row>
    <row r="72" spans="1:6" ht="14.25">
      <c r="A72" s="30"/>
      <c r="B72" s="118" t="s">
        <v>115</v>
      </c>
      <c r="C72" s="54" t="s">
        <v>142</v>
      </c>
      <c r="D72" s="69">
        <v>80</v>
      </c>
      <c r="E72" s="68">
        <v>3.0000000000000001E-3</v>
      </c>
      <c r="F72" s="30"/>
    </row>
    <row r="73" spans="1:6" ht="14.25">
      <c r="A73" s="30"/>
      <c r="B73" s="119"/>
      <c r="C73" s="54" t="s">
        <v>143</v>
      </c>
      <c r="D73" s="69">
        <v>124</v>
      </c>
      <c r="E73" s="68">
        <v>5.0000000000000001E-3</v>
      </c>
      <c r="F73" s="30"/>
    </row>
    <row r="74" spans="1:6" ht="14.25">
      <c r="A74" s="30"/>
      <c r="B74" s="120"/>
      <c r="C74" s="79" t="s">
        <v>304</v>
      </c>
      <c r="D74" s="80">
        <v>204</v>
      </c>
      <c r="E74" s="76">
        <v>8.0000000000000002E-3</v>
      </c>
      <c r="F74" s="30"/>
    </row>
    <row r="75" spans="1:6" ht="14.25">
      <c r="A75" s="30"/>
      <c r="B75" s="118" t="s">
        <v>116</v>
      </c>
      <c r="C75" s="54" t="s">
        <v>142</v>
      </c>
      <c r="D75" s="69">
        <v>70</v>
      </c>
      <c r="E75" s="68">
        <v>3.0000000000000001E-3</v>
      </c>
      <c r="F75" s="30"/>
    </row>
    <row r="76" spans="1:6" ht="14.25">
      <c r="A76" s="30"/>
      <c r="B76" s="119"/>
      <c r="C76" s="54" t="s">
        <v>143</v>
      </c>
      <c r="D76" s="69">
        <v>79</v>
      </c>
      <c r="E76" s="68">
        <v>3.0000000000000001E-3</v>
      </c>
      <c r="F76" s="30"/>
    </row>
    <row r="77" spans="1:6" ht="14.25">
      <c r="A77" s="30"/>
      <c r="B77" s="120"/>
      <c r="C77" s="79" t="s">
        <v>304</v>
      </c>
      <c r="D77" s="80">
        <v>149</v>
      </c>
      <c r="E77" s="76">
        <v>6.0000000000000001E-3</v>
      </c>
      <c r="F77" s="30"/>
    </row>
    <row r="78" spans="1:6" ht="14.25">
      <c r="A78" s="30"/>
      <c r="B78" s="118" t="s">
        <v>117</v>
      </c>
      <c r="C78" s="54" t="s">
        <v>142</v>
      </c>
      <c r="D78" s="69">
        <v>63</v>
      </c>
      <c r="E78" s="68">
        <v>3.0000000000000001E-3</v>
      </c>
      <c r="F78" s="30"/>
    </row>
    <row r="79" spans="1:6" ht="14.25">
      <c r="A79" s="30"/>
      <c r="B79" s="119"/>
      <c r="C79" s="54" t="s">
        <v>143</v>
      </c>
      <c r="D79" s="69">
        <v>56</v>
      </c>
      <c r="E79" s="68">
        <v>2E-3</v>
      </c>
      <c r="F79" s="30"/>
    </row>
    <row r="80" spans="1:6" ht="14.25">
      <c r="A80" s="30"/>
      <c r="B80" s="120"/>
      <c r="C80" s="79" t="s">
        <v>304</v>
      </c>
      <c r="D80" s="80">
        <v>119</v>
      </c>
      <c r="E80" s="76">
        <v>5.0000000000000001E-3</v>
      </c>
      <c r="F80" s="30"/>
    </row>
    <row r="81" spans="1:6" ht="14.25">
      <c r="A81" s="30"/>
      <c r="B81" s="118" t="s">
        <v>118</v>
      </c>
      <c r="C81" s="54" t="s">
        <v>142</v>
      </c>
      <c r="D81" s="69">
        <v>33</v>
      </c>
      <c r="E81" s="68">
        <v>1E-3</v>
      </c>
      <c r="F81" s="30"/>
    </row>
    <row r="82" spans="1:6" ht="14.25">
      <c r="A82" s="30"/>
      <c r="B82" s="119"/>
      <c r="C82" s="54" t="s">
        <v>143</v>
      </c>
      <c r="D82" s="69">
        <v>69</v>
      </c>
      <c r="E82" s="68">
        <v>3.0000000000000001E-3</v>
      </c>
      <c r="F82" s="30"/>
    </row>
    <row r="83" spans="1:6" ht="14.25">
      <c r="A83" s="30"/>
      <c r="B83" s="120"/>
      <c r="C83" s="79" t="s">
        <v>304</v>
      </c>
      <c r="D83" s="80">
        <v>102</v>
      </c>
      <c r="E83" s="76">
        <v>4.0000000000000001E-3</v>
      </c>
      <c r="F83" s="30"/>
    </row>
    <row r="84" spans="1:6" ht="14.25">
      <c r="A84" s="30"/>
      <c r="B84" s="118" t="s">
        <v>119</v>
      </c>
      <c r="C84" s="54" t="s">
        <v>142</v>
      </c>
      <c r="D84" s="69">
        <v>1</v>
      </c>
      <c r="E84" s="68">
        <v>0</v>
      </c>
      <c r="F84" s="30"/>
    </row>
    <row r="85" spans="1:6" ht="14.25">
      <c r="A85" s="30"/>
      <c r="B85" s="119"/>
      <c r="C85" s="54" t="s">
        <v>143</v>
      </c>
      <c r="D85" s="69">
        <v>1</v>
      </c>
      <c r="E85" s="68">
        <v>0</v>
      </c>
      <c r="F85" s="30"/>
    </row>
    <row r="86" spans="1:6" ht="14.25">
      <c r="A86" s="30"/>
      <c r="B86" s="120"/>
      <c r="C86" s="79" t="s">
        <v>304</v>
      </c>
      <c r="D86" s="80">
        <v>2</v>
      </c>
      <c r="E86" s="76">
        <v>0</v>
      </c>
      <c r="F86" s="30"/>
    </row>
    <row r="87" spans="1:6" ht="14.25">
      <c r="A87" s="30"/>
      <c r="B87" s="118" t="s">
        <v>120</v>
      </c>
      <c r="C87" s="54" t="s">
        <v>142</v>
      </c>
      <c r="D87" s="69">
        <v>27</v>
      </c>
      <c r="E87" s="68">
        <v>1E-3</v>
      </c>
      <c r="F87" s="30"/>
    </row>
    <row r="88" spans="1:6" ht="14.25">
      <c r="A88" s="30"/>
      <c r="B88" s="119"/>
      <c r="C88" s="54" t="s">
        <v>143</v>
      </c>
      <c r="D88" s="69">
        <v>29</v>
      </c>
      <c r="E88" s="68">
        <v>1E-3</v>
      </c>
      <c r="F88" s="30"/>
    </row>
    <row r="89" spans="1:6" ht="14.25">
      <c r="A89" s="30"/>
      <c r="B89" s="120"/>
      <c r="C89" s="79" t="s">
        <v>304</v>
      </c>
      <c r="D89" s="80">
        <v>56</v>
      </c>
      <c r="E89" s="76">
        <v>2E-3</v>
      </c>
      <c r="F89" s="30"/>
    </row>
    <row r="90" spans="1:6" ht="14.25">
      <c r="A90" s="30"/>
      <c r="B90" s="118" t="s">
        <v>121</v>
      </c>
      <c r="C90" s="54" t="s">
        <v>142</v>
      </c>
      <c r="D90" s="69">
        <v>17</v>
      </c>
      <c r="E90" s="68">
        <v>1E-3</v>
      </c>
      <c r="F90" s="30"/>
    </row>
    <row r="91" spans="1:6" ht="14.25">
      <c r="A91" s="30"/>
      <c r="B91" s="119"/>
      <c r="C91" s="54" t="s">
        <v>143</v>
      </c>
      <c r="D91" s="69">
        <v>30</v>
      </c>
      <c r="E91" s="68">
        <v>1E-3</v>
      </c>
      <c r="F91" s="30"/>
    </row>
    <row r="92" spans="1:6" ht="14.25">
      <c r="A92" s="30"/>
      <c r="B92" s="120"/>
      <c r="C92" s="79" t="s">
        <v>304</v>
      </c>
      <c r="D92" s="80">
        <v>47</v>
      </c>
      <c r="E92" s="76">
        <v>2E-3</v>
      </c>
      <c r="F92" s="30"/>
    </row>
    <row r="93" spans="1:6" ht="14.25">
      <c r="A93" s="30"/>
      <c r="B93" s="118" t="s">
        <v>122</v>
      </c>
      <c r="C93" s="54" t="s">
        <v>142</v>
      </c>
      <c r="D93" s="69">
        <v>9</v>
      </c>
      <c r="E93" s="68">
        <v>0</v>
      </c>
      <c r="F93" s="30"/>
    </row>
    <row r="94" spans="1:6" ht="14.25">
      <c r="A94" s="30"/>
      <c r="B94" s="119"/>
      <c r="C94" s="54" t="s">
        <v>143</v>
      </c>
      <c r="D94" s="69">
        <v>15</v>
      </c>
      <c r="E94" s="68">
        <v>1E-3</v>
      </c>
      <c r="F94" s="30"/>
    </row>
    <row r="95" spans="1:6" ht="14.25">
      <c r="A95" s="30"/>
      <c r="B95" s="120"/>
      <c r="C95" s="79" t="s">
        <v>304</v>
      </c>
      <c r="D95" s="80">
        <v>24</v>
      </c>
      <c r="E95" s="76">
        <v>1E-3</v>
      </c>
      <c r="F95" s="30"/>
    </row>
    <row r="96" spans="1:6" ht="14.25">
      <c r="A96" s="30"/>
      <c r="B96" s="118" t="s">
        <v>123</v>
      </c>
      <c r="C96" s="54" t="s">
        <v>142</v>
      </c>
      <c r="D96" s="69">
        <v>7</v>
      </c>
      <c r="E96" s="68">
        <v>0</v>
      </c>
      <c r="F96" s="30"/>
    </row>
    <row r="97" spans="1:6" ht="14.25">
      <c r="A97" s="30"/>
      <c r="B97" s="119"/>
      <c r="C97" s="54" t="s">
        <v>143</v>
      </c>
      <c r="D97" s="69">
        <v>8</v>
      </c>
      <c r="E97" s="68">
        <v>0</v>
      </c>
      <c r="F97" s="30"/>
    </row>
    <row r="98" spans="1:6" ht="14.25">
      <c r="A98" s="30"/>
      <c r="B98" s="120"/>
      <c r="C98" s="79" t="s">
        <v>304</v>
      </c>
      <c r="D98" s="80">
        <v>15</v>
      </c>
      <c r="E98" s="76">
        <v>1E-3</v>
      </c>
      <c r="F98" s="30"/>
    </row>
    <row r="99" spans="1:6" ht="14.25">
      <c r="A99" s="30"/>
      <c r="B99" s="118" t="s">
        <v>124</v>
      </c>
      <c r="C99" s="54" t="s">
        <v>142</v>
      </c>
      <c r="D99" s="69">
        <v>15</v>
      </c>
      <c r="E99" s="68">
        <v>1E-3</v>
      </c>
      <c r="F99" s="30"/>
    </row>
    <row r="100" spans="1:6" ht="14.25">
      <c r="A100" s="30"/>
      <c r="B100" s="119"/>
      <c r="C100" s="54" t="s">
        <v>143</v>
      </c>
      <c r="D100" s="69">
        <v>26</v>
      </c>
      <c r="E100" s="68">
        <v>1E-3</v>
      </c>
      <c r="F100" s="30"/>
    </row>
    <row r="101" spans="1:6" ht="14.25">
      <c r="A101" s="30"/>
      <c r="B101" s="120"/>
      <c r="C101" s="79" t="s">
        <v>304</v>
      </c>
      <c r="D101" s="80">
        <v>41</v>
      </c>
      <c r="E101" s="76">
        <v>2E-3</v>
      </c>
      <c r="F101" s="30"/>
    </row>
    <row r="102" spans="1:6" ht="14.25">
      <c r="A102" s="30"/>
      <c r="B102" s="118" t="s">
        <v>125</v>
      </c>
      <c r="C102" s="54" t="s">
        <v>142</v>
      </c>
      <c r="D102" s="69">
        <v>149</v>
      </c>
      <c r="E102" s="68">
        <v>6.0000000000000001E-3</v>
      </c>
      <c r="F102" s="30"/>
    </row>
    <row r="103" spans="1:6" ht="14.25">
      <c r="A103" s="30"/>
      <c r="B103" s="119"/>
      <c r="C103" s="54" t="s">
        <v>143</v>
      </c>
      <c r="D103" s="69">
        <v>268</v>
      </c>
      <c r="E103" s="68">
        <v>1.0999999999999999E-2</v>
      </c>
      <c r="F103" s="30"/>
    </row>
    <row r="104" spans="1:6" ht="14.25">
      <c r="A104" s="30"/>
      <c r="B104" s="120"/>
      <c r="C104" s="79" t="s">
        <v>304</v>
      </c>
      <c r="D104" s="80">
        <v>417</v>
      </c>
      <c r="E104" s="76">
        <v>1.7000000000000001E-2</v>
      </c>
      <c r="F104" s="30"/>
    </row>
    <row r="105" spans="1:6" ht="14.25">
      <c r="A105" s="30"/>
      <c r="B105" s="118" t="s">
        <v>126</v>
      </c>
      <c r="C105" s="54" t="s">
        <v>142</v>
      </c>
      <c r="D105" s="69">
        <v>1</v>
      </c>
      <c r="E105" s="68">
        <v>0</v>
      </c>
      <c r="F105" s="30"/>
    </row>
    <row r="106" spans="1:6" ht="14.25">
      <c r="A106" s="30"/>
      <c r="B106" s="119"/>
      <c r="C106" s="54" t="s">
        <v>143</v>
      </c>
      <c r="D106" s="69">
        <v>1</v>
      </c>
      <c r="E106" s="68">
        <v>0</v>
      </c>
      <c r="F106" s="30"/>
    </row>
    <row r="107" spans="1:6" ht="14.25">
      <c r="A107" s="30"/>
      <c r="B107" s="120"/>
      <c r="C107" s="79" t="s">
        <v>304</v>
      </c>
      <c r="D107" s="80">
        <v>2</v>
      </c>
      <c r="E107" s="76">
        <v>0</v>
      </c>
      <c r="F107" s="30"/>
    </row>
    <row r="108" spans="1:6" ht="14.25">
      <c r="A108" s="30"/>
      <c r="B108" s="118" t="s">
        <v>127</v>
      </c>
      <c r="C108" s="54" t="s">
        <v>142</v>
      </c>
      <c r="D108" s="69">
        <v>42</v>
      </c>
      <c r="E108" s="68">
        <v>2E-3</v>
      </c>
      <c r="F108" s="30"/>
    </row>
    <row r="109" spans="1:6" ht="14.25">
      <c r="A109" s="30"/>
      <c r="B109" s="119"/>
      <c r="C109" s="54" t="s">
        <v>143</v>
      </c>
      <c r="D109" s="69">
        <v>73</v>
      </c>
      <c r="E109" s="68">
        <v>3.0000000000000001E-3</v>
      </c>
      <c r="F109" s="30"/>
    </row>
    <row r="110" spans="1:6" ht="14.25">
      <c r="A110" s="30"/>
      <c r="B110" s="120"/>
      <c r="C110" s="79" t="s">
        <v>304</v>
      </c>
      <c r="D110" s="80">
        <v>115</v>
      </c>
      <c r="E110" s="76">
        <v>5.0000000000000001E-3</v>
      </c>
      <c r="F110" s="30"/>
    </row>
    <row r="111" spans="1:6" ht="14.25">
      <c r="A111" s="30"/>
      <c r="B111" s="118" t="s">
        <v>128</v>
      </c>
      <c r="C111" s="54" t="s">
        <v>142</v>
      </c>
      <c r="D111" s="69">
        <v>145</v>
      </c>
      <c r="E111" s="68">
        <v>6.0000000000000001E-3</v>
      </c>
      <c r="F111" s="30"/>
    </row>
    <row r="112" spans="1:6" ht="14.25">
      <c r="A112" s="30"/>
      <c r="B112" s="119"/>
      <c r="C112" s="54" t="s">
        <v>143</v>
      </c>
      <c r="D112" s="69">
        <v>182</v>
      </c>
      <c r="E112" s="68">
        <v>7.0000000000000001E-3</v>
      </c>
      <c r="F112" s="30"/>
    </row>
    <row r="113" spans="1:6" ht="14.25">
      <c r="A113" s="30"/>
      <c r="B113" s="120"/>
      <c r="C113" s="79" t="s">
        <v>304</v>
      </c>
      <c r="D113" s="80">
        <v>327</v>
      </c>
      <c r="E113" s="76">
        <v>1.2999999999999999E-2</v>
      </c>
      <c r="F113" s="30"/>
    </row>
    <row r="114" spans="1:6" ht="14.25">
      <c r="A114" s="30"/>
      <c r="B114" s="118" t="s">
        <v>129</v>
      </c>
      <c r="C114" s="54" t="s">
        <v>142</v>
      </c>
      <c r="D114" s="69">
        <v>6</v>
      </c>
      <c r="E114" s="68">
        <v>0</v>
      </c>
      <c r="F114" s="30"/>
    </row>
    <row r="115" spans="1:6" ht="14.25">
      <c r="A115" s="30"/>
      <c r="B115" s="119"/>
      <c r="C115" s="54" t="s">
        <v>143</v>
      </c>
      <c r="D115" s="69">
        <v>5</v>
      </c>
      <c r="E115" s="68">
        <v>0</v>
      </c>
      <c r="F115" s="30"/>
    </row>
    <row r="116" spans="1:6" ht="14.25">
      <c r="A116" s="30"/>
      <c r="B116" s="120"/>
      <c r="C116" s="79" t="s">
        <v>304</v>
      </c>
      <c r="D116" s="80">
        <v>11</v>
      </c>
      <c r="E116" s="76">
        <v>0</v>
      </c>
      <c r="F116" s="30"/>
    </row>
    <row r="117" spans="1:6" ht="14.25">
      <c r="A117" s="30"/>
      <c r="B117" s="118" t="s">
        <v>130</v>
      </c>
      <c r="C117" s="54" t="s">
        <v>142</v>
      </c>
      <c r="D117" s="69">
        <v>3</v>
      </c>
      <c r="E117" s="68">
        <v>0</v>
      </c>
      <c r="F117" s="30"/>
    </row>
    <row r="118" spans="1:6" ht="14.25">
      <c r="A118" s="30"/>
      <c r="B118" s="119"/>
      <c r="C118" s="54" t="s">
        <v>143</v>
      </c>
      <c r="D118" s="69">
        <v>14</v>
      </c>
      <c r="E118" s="68">
        <v>1E-3</v>
      </c>
      <c r="F118" s="30"/>
    </row>
    <row r="119" spans="1:6" ht="14.25">
      <c r="A119" s="30"/>
      <c r="B119" s="120"/>
      <c r="C119" s="79" t="s">
        <v>304</v>
      </c>
      <c r="D119" s="80">
        <v>17</v>
      </c>
      <c r="E119" s="76">
        <v>1E-3</v>
      </c>
      <c r="F119" s="30"/>
    </row>
    <row r="120" spans="1:6" ht="14.25">
      <c r="A120" s="30"/>
      <c r="B120" s="118" t="s">
        <v>131</v>
      </c>
      <c r="C120" s="54" t="s">
        <v>142</v>
      </c>
      <c r="D120" s="69">
        <v>1</v>
      </c>
      <c r="E120" s="68">
        <v>0</v>
      </c>
      <c r="F120" s="30"/>
    </row>
    <row r="121" spans="1:6" ht="14.25">
      <c r="A121" s="30"/>
      <c r="B121" s="119"/>
      <c r="C121" s="54" t="s">
        <v>143</v>
      </c>
      <c r="D121" s="69">
        <v>4</v>
      </c>
      <c r="E121" s="68">
        <v>0</v>
      </c>
      <c r="F121" s="30"/>
    </row>
    <row r="122" spans="1:6" ht="14.25">
      <c r="A122" s="30"/>
      <c r="B122" s="120"/>
      <c r="C122" s="79" t="s">
        <v>304</v>
      </c>
      <c r="D122" s="80">
        <v>5</v>
      </c>
      <c r="E122" s="76">
        <v>0</v>
      </c>
      <c r="F122" s="30"/>
    </row>
    <row r="123" spans="1:6" ht="14.25">
      <c r="A123" s="30"/>
      <c r="B123" s="118" t="s">
        <v>132</v>
      </c>
      <c r="C123" s="54" t="s">
        <v>142</v>
      </c>
      <c r="D123" s="69">
        <v>44</v>
      </c>
      <c r="E123" s="68">
        <v>2E-3</v>
      </c>
      <c r="F123" s="30"/>
    </row>
    <row r="124" spans="1:6" ht="14.25">
      <c r="A124" s="30"/>
      <c r="B124" s="119"/>
      <c r="C124" s="54" t="s">
        <v>143</v>
      </c>
      <c r="D124" s="69">
        <v>88</v>
      </c>
      <c r="E124" s="68">
        <v>4.0000000000000001E-3</v>
      </c>
      <c r="F124" s="30"/>
    </row>
    <row r="125" spans="1:6" ht="14.25">
      <c r="A125" s="30"/>
      <c r="B125" s="120"/>
      <c r="C125" s="79" t="s">
        <v>304</v>
      </c>
      <c r="D125" s="80">
        <v>132</v>
      </c>
      <c r="E125" s="76">
        <v>5.0000000000000001E-3</v>
      </c>
      <c r="F125" s="30"/>
    </row>
    <row r="126" spans="1:6" ht="14.25">
      <c r="A126" s="30"/>
      <c r="B126" s="118" t="s">
        <v>133</v>
      </c>
      <c r="C126" s="54" t="s">
        <v>143</v>
      </c>
      <c r="D126" s="69">
        <v>2</v>
      </c>
      <c r="E126" s="68">
        <v>0</v>
      </c>
      <c r="F126" s="30"/>
    </row>
    <row r="127" spans="1:6" ht="14.25">
      <c r="A127" s="30"/>
      <c r="B127" s="120"/>
      <c r="C127" s="79" t="s">
        <v>304</v>
      </c>
      <c r="D127" s="80">
        <v>2</v>
      </c>
      <c r="E127" s="76">
        <v>0</v>
      </c>
      <c r="F127" s="30"/>
    </row>
    <row r="128" spans="1:6" ht="14.25">
      <c r="A128" s="30"/>
      <c r="B128" s="118" t="s">
        <v>134</v>
      </c>
      <c r="C128" s="54" t="s">
        <v>142</v>
      </c>
      <c r="D128" s="69">
        <v>122</v>
      </c>
      <c r="E128" s="68">
        <v>5.0000000000000001E-3</v>
      </c>
      <c r="F128" s="30"/>
    </row>
    <row r="129" spans="1:6" ht="14.25">
      <c r="A129" s="30"/>
      <c r="B129" s="119"/>
      <c r="C129" s="54" t="s">
        <v>143</v>
      </c>
      <c r="D129" s="69">
        <v>174</v>
      </c>
      <c r="E129" s="68">
        <v>7.0000000000000001E-3</v>
      </c>
      <c r="F129" s="30"/>
    </row>
    <row r="130" spans="1:6" ht="14.25">
      <c r="A130" s="30"/>
      <c r="B130" s="120"/>
      <c r="C130" s="79" t="s">
        <v>304</v>
      </c>
      <c r="D130" s="80">
        <v>296</v>
      </c>
      <c r="E130" s="76">
        <v>1.2E-2</v>
      </c>
      <c r="F130" s="30"/>
    </row>
    <row r="131" spans="1:6" ht="14.25">
      <c r="A131" s="30"/>
      <c r="B131" s="118" t="s">
        <v>135</v>
      </c>
      <c r="C131" s="54" t="s">
        <v>142</v>
      </c>
      <c r="D131" s="67">
        <v>9890</v>
      </c>
      <c r="E131" s="68">
        <v>0.40600000000000003</v>
      </c>
      <c r="F131" s="30"/>
    </row>
    <row r="132" spans="1:6" ht="14.25">
      <c r="A132" s="30"/>
      <c r="B132" s="119"/>
      <c r="C132" s="54" t="s">
        <v>143</v>
      </c>
      <c r="D132" s="67">
        <v>9455</v>
      </c>
      <c r="E132" s="68">
        <v>0.38800000000000001</v>
      </c>
      <c r="F132" s="30"/>
    </row>
    <row r="133" spans="1:6" ht="14.25">
      <c r="A133" s="30"/>
      <c r="B133" s="119"/>
      <c r="C133" s="54" t="s">
        <v>277</v>
      </c>
      <c r="D133" s="69">
        <v>3</v>
      </c>
      <c r="E133" s="68">
        <v>0</v>
      </c>
      <c r="F133" s="30"/>
    </row>
    <row r="134" spans="1:6" ht="14.25">
      <c r="A134" s="30"/>
      <c r="B134" s="120"/>
      <c r="C134" s="79" t="s">
        <v>304</v>
      </c>
      <c r="D134" s="80">
        <v>19348</v>
      </c>
      <c r="E134" s="76">
        <v>0.79300000000000004</v>
      </c>
      <c r="F134" s="30"/>
    </row>
    <row r="135" spans="1:6" ht="14.25">
      <c r="A135" s="30"/>
      <c r="B135" s="118" t="s">
        <v>136</v>
      </c>
      <c r="C135" s="54" t="s">
        <v>142</v>
      </c>
      <c r="D135" s="69">
        <v>9</v>
      </c>
      <c r="E135" s="68">
        <v>0</v>
      </c>
      <c r="F135" s="30"/>
    </row>
    <row r="136" spans="1:6" ht="14.25">
      <c r="A136" s="30"/>
      <c r="B136" s="119"/>
      <c r="C136" s="54" t="s">
        <v>143</v>
      </c>
      <c r="D136" s="69">
        <v>15</v>
      </c>
      <c r="E136" s="68">
        <v>1E-3</v>
      </c>
      <c r="F136" s="30"/>
    </row>
    <row r="137" spans="1:6" ht="14.25">
      <c r="A137" s="30"/>
      <c r="B137" s="120"/>
      <c r="C137" s="79" t="s">
        <v>304</v>
      </c>
      <c r="D137" s="80">
        <v>24</v>
      </c>
      <c r="E137" s="76">
        <v>1E-3</v>
      </c>
      <c r="F137" s="30"/>
    </row>
    <row r="138" spans="1:6" ht="14.25">
      <c r="A138" s="30"/>
      <c r="B138" s="118" t="s">
        <v>137</v>
      </c>
      <c r="C138" s="54" t="s">
        <v>143</v>
      </c>
      <c r="D138" s="69">
        <v>1</v>
      </c>
      <c r="E138" s="68">
        <v>0</v>
      </c>
      <c r="F138" s="30"/>
    </row>
    <row r="139" spans="1:6" ht="14.25">
      <c r="A139" s="30"/>
      <c r="B139" s="120"/>
      <c r="C139" s="79" t="s">
        <v>304</v>
      </c>
      <c r="D139" s="80">
        <v>1</v>
      </c>
      <c r="E139" s="76">
        <v>0</v>
      </c>
      <c r="F139" s="30"/>
    </row>
    <row r="140" spans="1:6" ht="14.25">
      <c r="A140" s="30"/>
      <c r="B140" s="118" t="s">
        <v>138</v>
      </c>
      <c r="C140" s="54" t="s">
        <v>142</v>
      </c>
      <c r="D140" s="69">
        <v>26</v>
      </c>
      <c r="E140" s="68">
        <v>1E-3</v>
      </c>
      <c r="F140" s="30"/>
    </row>
    <row r="141" spans="1:6" ht="14.25">
      <c r="A141" s="30"/>
      <c r="B141" s="119"/>
      <c r="C141" s="54" t="s">
        <v>143</v>
      </c>
      <c r="D141" s="69">
        <v>45</v>
      </c>
      <c r="E141" s="68">
        <v>2E-3</v>
      </c>
      <c r="F141" s="30"/>
    </row>
    <row r="142" spans="1:6" ht="14.25">
      <c r="A142" s="30"/>
      <c r="B142" s="120"/>
      <c r="C142" s="79" t="s">
        <v>304</v>
      </c>
      <c r="D142" s="80">
        <v>71</v>
      </c>
      <c r="E142" s="76">
        <v>3.0000000000000001E-3</v>
      </c>
      <c r="F142" s="30"/>
    </row>
    <row r="143" spans="1:6" ht="14.25">
      <c r="A143" s="30"/>
      <c r="B143" s="118" t="s">
        <v>66</v>
      </c>
      <c r="C143" s="54" t="s">
        <v>142</v>
      </c>
      <c r="D143" s="69">
        <v>3</v>
      </c>
      <c r="E143" s="68">
        <v>0</v>
      </c>
      <c r="F143" s="30"/>
    </row>
    <row r="144" spans="1:6" ht="14.25">
      <c r="A144" s="30"/>
      <c r="B144" s="119"/>
      <c r="C144" s="54" t="s">
        <v>143</v>
      </c>
      <c r="D144" s="69">
        <v>13</v>
      </c>
      <c r="E144" s="68">
        <v>1E-3</v>
      </c>
      <c r="F144" s="30"/>
    </row>
    <row r="145" spans="1:6" ht="14.25">
      <c r="A145" s="30"/>
      <c r="B145" s="120"/>
      <c r="C145" s="79" t="s">
        <v>304</v>
      </c>
      <c r="D145" s="80">
        <v>16</v>
      </c>
      <c r="E145" s="76">
        <v>1E-3</v>
      </c>
      <c r="F145" s="30"/>
    </row>
    <row r="146" spans="1:6" ht="14.25">
      <c r="A146" s="30"/>
      <c r="B146" s="118" t="s">
        <v>139</v>
      </c>
      <c r="C146" s="54" t="s">
        <v>142</v>
      </c>
      <c r="D146" s="69">
        <v>1</v>
      </c>
      <c r="E146" s="68">
        <v>0</v>
      </c>
      <c r="F146" s="30"/>
    </row>
    <row r="147" spans="1:6" ht="14.25">
      <c r="A147" s="30"/>
      <c r="B147" s="120"/>
      <c r="C147" s="79" t="s">
        <v>304</v>
      </c>
      <c r="D147" s="80">
        <v>1</v>
      </c>
      <c r="E147" s="76">
        <v>0</v>
      </c>
      <c r="F147" s="30"/>
    </row>
    <row r="148" spans="1:6" ht="14.25">
      <c r="A148" s="30"/>
      <c r="B148" s="118" t="s">
        <v>140</v>
      </c>
      <c r="C148" s="54" t="s">
        <v>142</v>
      </c>
      <c r="D148" s="69">
        <v>24</v>
      </c>
      <c r="E148" s="68">
        <v>1E-3</v>
      </c>
      <c r="F148" s="30"/>
    </row>
    <row r="149" spans="1:6" ht="14.25">
      <c r="A149" s="30"/>
      <c r="B149" s="119"/>
      <c r="C149" s="54" t="s">
        <v>143</v>
      </c>
      <c r="D149" s="69">
        <v>61</v>
      </c>
      <c r="E149" s="68">
        <v>3.0000000000000001E-3</v>
      </c>
      <c r="F149" s="30"/>
    </row>
    <row r="150" spans="1:6" ht="14.25">
      <c r="A150" s="30"/>
      <c r="B150" s="120"/>
      <c r="C150" s="79" t="s">
        <v>304</v>
      </c>
      <c r="D150" s="80">
        <v>85</v>
      </c>
      <c r="E150" s="76">
        <v>3.0000000000000001E-3</v>
      </c>
      <c r="F150" s="30"/>
    </row>
    <row r="151" spans="1:6" ht="14.25">
      <c r="A151" s="30"/>
      <c r="B151" s="118" t="s">
        <v>141</v>
      </c>
      <c r="C151" s="54" t="s">
        <v>142</v>
      </c>
      <c r="D151" s="69">
        <v>2</v>
      </c>
      <c r="E151" s="68">
        <v>0</v>
      </c>
      <c r="F151" s="30"/>
    </row>
    <row r="152" spans="1:6" ht="14.25">
      <c r="A152" s="30"/>
      <c r="B152" s="119"/>
      <c r="C152" s="54" t="s">
        <v>143</v>
      </c>
      <c r="D152" s="69">
        <v>1</v>
      </c>
      <c r="E152" s="68">
        <v>0</v>
      </c>
      <c r="F152" s="30"/>
    </row>
    <row r="153" spans="1:6" ht="14.45" customHeight="1">
      <c r="A153" s="30"/>
      <c r="B153" s="120"/>
      <c r="C153" s="79" t="s">
        <v>304</v>
      </c>
      <c r="D153" s="80">
        <v>3</v>
      </c>
      <c r="E153" s="76">
        <v>0</v>
      </c>
      <c r="F153" s="30"/>
    </row>
    <row r="154" spans="1:6" ht="14.45" customHeight="1">
      <c r="A154" s="30"/>
      <c r="B154" s="114" t="s">
        <v>306</v>
      </c>
      <c r="C154" s="114"/>
      <c r="D154" s="81">
        <v>24389</v>
      </c>
      <c r="E154" s="78">
        <v>1</v>
      </c>
      <c r="F154" s="30"/>
    </row>
    <row r="155" spans="1:6" ht="14.45" customHeight="1">
      <c r="A155" s="30"/>
      <c r="B155" s="35"/>
      <c r="C155" s="41"/>
      <c r="D155" s="53"/>
      <c r="E155" s="41"/>
      <c r="F155" s="30"/>
    </row>
    <row r="156" spans="1:6" ht="14.45" customHeight="1">
      <c r="A156" s="30"/>
      <c r="B156" s="35" t="s">
        <v>275</v>
      </c>
      <c r="C156" s="41"/>
      <c r="D156" s="53"/>
      <c r="E156" s="41"/>
      <c r="F156" s="30"/>
    </row>
    <row r="157" spans="1:6" ht="14.45" customHeight="1">
      <c r="A157" s="30"/>
      <c r="B157" s="36" t="s">
        <v>18</v>
      </c>
      <c r="C157" s="41"/>
      <c r="D157" s="53"/>
      <c r="E157" s="41"/>
      <c r="F157" s="30"/>
    </row>
    <row r="158" spans="1:6" ht="14.45" customHeight="1">
      <c r="A158" s="30"/>
      <c r="B158" s="33" t="s">
        <v>45</v>
      </c>
      <c r="C158" s="41"/>
      <c r="D158" s="53"/>
      <c r="E158" s="41"/>
      <c r="F158" s="30"/>
    </row>
    <row r="159" spans="1:6" ht="14.45" customHeight="1">
      <c r="A159" s="30"/>
      <c r="B159" s="35" t="s">
        <v>17</v>
      </c>
      <c r="C159" s="41"/>
      <c r="D159" s="53"/>
      <c r="E159" s="41"/>
      <c r="F159" s="30"/>
    </row>
    <row r="160" spans="1:6" ht="12.75">
      <c r="A160" s="30"/>
      <c r="B160" s="35" t="s">
        <v>308</v>
      </c>
      <c r="C160" s="41"/>
      <c r="D160" s="53"/>
      <c r="E160" s="41"/>
      <c r="F160" s="30"/>
    </row>
    <row r="161" spans="1:6" ht="12.75">
      <c r="A161" s="30"/>
      <c r="B161" s="41"/>
      <c r="C161" s="41"/>
      <c r="D161" s="53"/>
      <c r="E161" s="41"/>
      <c r="F161" s="30"/>
    </row>
  </sheetData>
  <mergeCells count="50">
    <mergeCell ref="B151:B153"/>
    <mergeCell ref="B66:B68"/>
    <mergeCell ref="B69:B71"/>
    <mergeCell ref="B72:B74"/>
    <mergeCell ref="B75:B77"/>
    <mergeCell ref="B78:B80"/>
    <mergeCell ref="B84:B86"/>
    <mergeCell ref="B87:B89"/>
    <mergeCell ref="B90:B92"/>
    <mergeCell ref="B93:B95"/>
    <mergeCell ref="B96:B98"/>
    <mergeCell ref="B99:B101"/>
    <mergeCell ref="B102:B104"/>
    <mergeCell ref="B105:B107"/>
    <mergeCell ref="B108:B110"/>
    <mergeCell ref="B111:B113"/>
    <mergeCell ref="B154:C154"/>
    <mergeCell ref="B13:B15"/>
    <mergeCell ref="B16:B18"/>
    <mergeCell ref="B19:B21"/>
    <mergeCell ref="B22:B24"/>
    <mergeCell ref="B25:B27"/>
    <mergeCell ref="B28:B30"/>
    <mergeCell ref="B31:B33"/>
    <mergeCell ref="B34:B36"/>
    <mergeCell ref="B37:B39"/>
    <mergeCell ref="B40:B42"/>
    <mergeCell ref="B43:B44"/>
    <mergeCell ref="B45:B47"/>
    <mergeCell ref="B48:B50"/>
    <mergeCell ref="B51:B53"/>
    <mergeCell ref="B54:B56"/>
    <mergeCell ref="B8:E10"/>
    <mergeCell ref="B57:B59"/>
    <mergeCell ref="B60:B62"/>
    <mergeCell ref="B63:B65"/>
    <mergeCell ref="B81:B83"/>
    <mergeCell ref="B114:B116"/>
    <mergeCell ref="B117:B119"/>
    <mergeCell ref="B120:B122"/>
    <mergeCell ref="B123:B125"/>
    <mergeCell ref="B126:B127"/>
    <mergeCell ref="B143:B145"/>
    <mergeCell ref="B146:B147"/>
    <mergeCell ref="B148:B150"/>
    <mergeCell ref="B128:B130"/>
    <mergeCell ref="B131:B134"/>
    <mergeCell ref="B135:B137"/>
    <mergeCell ref="B138:B139"/>
    <mergeCell ref="B140:B142"/>
  </mergeCells>
  <printOptions horizontalCentered="1"/>
  <pageMargins left="0.74803149606299213" right="0.74803149606299213" top="0.98425196850393704" bottom="0.98425196850393704" header="0.51181102362204722" footer="0.51181102362204722"/>
  <pageSetup scale="59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B0F0"/>
  </sheetPr>
  <dimension ref="A1:I41"/>
  <sheetViews>
    <sheetView showGridLines="0" view="pageBreakPreview" topLeftCell="A19" zoomScale="90" zoomScaleNormal="175" zoomScaleSheetLayoutView="90" workbookViewId="0">
      <selection activeCell="E36" sqref="E36"/>
    </sheetView>
  </sheetViews>
  <sheetFormatPr baseColWidth="10" defaultColWidth="11.42578125" defaultRowHeight="11.25"/>
  <cols>
    <col min="1" max="1" width="5.7109375" style="12" customWidth="1"/>
    <col min="2" max="2" width="19" style="21" customWidth="1"/>
    <col min="3" max="3" width="26.42578125" style="21" customWidth="1"/>
    <col min="4" max="4" width="17.140625" style="24" customWidth="1"/>
    <col min="5" max="5" width="16.5703125" style="24" customWidth="1"/>
    <col min="6" max="6" width="16.5703125" style="21" customWidth="1"/>
    <col min="7" max="16384" width="11.42578125" style="12"/>
  </cols>
  <sheetData>
    <row r="1" spans="1:6" s="10" customFormat="1" ht="15">
      <c r="B1" s="21"/>
      <c r="C1" s="21"/>
    </row>
    <row r="2" spans="1:6" s="21" customFormat="1">
      <c r="B2" s="26"/>
    </row>
    <row r="3" spans="1:6" ht="15" customHeight="1">
      <c r="B3" s="27"/>
      <c r="C3" s="14"/>
      <c r="D3" s="12"/>
      <c r="E3" s="12"/>
    </row>
    <row r="4" spans="1:6" ht="30" customHeight="1">
      <c r="B4" s="27"/>
      <c r="C4" s="14"/>
      <c r="D4" s="12"/>
      <c r="E4" s="12"/>
    </row>
    <row r="5" spans="1:6" ht="15" customHeight="1">
      <c r="B5" s="27"/>
      <c r="C5" s="14"/>
      <c r="D5" s="12"/>
      <c r="E5" s="12"/>
    </row>
    <row r="6" spans="1:6" s="21" customFormat="1">
      <c r="B6" s="23"/>
      <c r="C6" s="20"/>
    </row>
    <row r="7" spans="1:6" s="21" customFormat="1">
      <c r="B7" s="26"/>
    </row>
    <row r="8" spans="1:6" s="10" customFormat="1" ht="15" customHeight="1">
      <c r="A8" s="32"/>
      <c r="B8" s="101" t="s">
        <v>273</v>
      </c>
      <c r="C8" s="101"/>
      <c r="D8" s="101"/>
      <c r="E8" s="101"/>
      <c r="F8" s="101"/>
    </row>
    <row r="9" spans="1:6" s="10" customFormat="1" ht="15" customHeight="1">
      <c r="A9" s="32"/>
      <c r="B9" s="101"/>
      <c r="C9" s="101"/>
      <c r="D9" s="101"/>
      <c r="E9" s="101"/>
      <c r="F9" s="101"/>
    </row>
    <row r="10" spans="1:6" s="10" customFormat="1" ht="15" customHeight="1">
      <c r="A10" s="32"/>
      <c r="B10" s="101"/>
      <c r="C10" s="101"/>
      <c r="D10" s="101"/>
      <c r="E10" s="101"/>
      <c r="F10" s="101"/>
    </row>
    <row r="11" spans="1:6" s="10" customFormat="1" ht="15" customHeight="1">
      <c r="A11" s="32"/>
      <c r="B11" s="52"/>
      <c r="C11" s="52"/>
      <c r="D11" s="52"/>
      <c r="E11" s="52"/>
      <c r="F11" s="52"/>
    </row>
    <row r="12" spans="1:6" s="10" customFormat="1" ht="42.75">
      <c r="A12" s="32"/>
      <c r="B12" s="83" t="s">
        <v>29</v>
      </c>
      <c r="C12" s="83" t="s">
        <v>32</v>
      </c>
      <c r="D12" s="83" t="s">
        <v>20</v>
      </c>
      <c r="E12" s="83" t="s">
        <v>31</v>
      </c>
      <c r="F12" s="83" t="s">
        <v>30</v>
      </c>
    </row>
    <row r="13" spans="1:6" ht="14.45" customHeight="1">
      <c r="A13" s="30"/>
      <c r="B13" s="121" t="s">
        <v>295</v>
      </c>
      <c r="C13" s="60" t="s">
        <v>292</v>
      </c>
      <c r="D13" s="55">
        <v>16</v>
      </c>
      <c r="E13" s="56">
        <f>D13/$D$21</f>
        <v>1.3354477923378683E-3</v>
      </c>
      <c r="F13" s="89">
        <f>D13/$D$35</f>
        <v>6.5603345770634297E-4</v>
      </c>
    </row>
    <row r="14" spans="1:6" ht="14.45" customHeight="1">
      <c r="A14" s="30"/>
      <c r="B14" s="122"/>
      <c r="C14" s="60" t="s">
        <v>212</v>
      </c>
      <c r="D14" s="55">
        <v>97</v>
      </c>
      <c r="E14" s="56">
        <f t="shared" ref="E14:E20" si="0">D14/$D$21</f>
        <v>8.096152241048326E-3</v>
      </c>
      <c r="F14" s="89">
        <f t="shared" ref="F14:F20" si="1">D14/$D$35</f>
        <v>3.9772028373447049E-3</v>
      </c>
    </row>
    <row r="15" spans="1:6" ht="14.45" customHeight="1">
      <c r="A15" s="30"/>
      <c r="B15" s="122"/>
      <c r="C15" s="60" t="s">
        <v>213</v>
      </c>
      <c r="D15" s="55">
        <v>1871</v>
      </c>
      <c r="E15" s="56">
        <f t="shared" si="0"/>
        <v>0.15616392621650949</v>
      </c>
      <c r="F15" s="89">
        <f t="shared" si="1"/>
        <v>7.6714912460535481E-2</v>
      </c>
    </row>
    <row r="16" spans="1:6" ht="14.45" customHeight="1">
      <c r="A16" s="30"/>
      <c r="B16" s="122"/>
      <c r="C16" s="60" t="s">
        <v>214</v>
      </c>
      <c r="D16" s="55">
        <v>3049</v>
      </c>
      <c r="E16" s="56">
        <f t="shared" si="0"/>
        <v>0.25448626992738504</v>
      </c>
      <c r="F16" s="89">
        <f t="shared" si="1"/>
        <v>0.12501537578416499</v>
      </c>
    </row>
    <row r="17" spans="1:9" ht="14.45" customHeight="1">
      <c r="A17" s="30"/>
      <c r="B17" s="122"/>
      <c r="C17" s="60" t="s">
        <v>215</v>
      </c>
      <c r="D17" s="55">
        <v>3551</v>
      </c>
      <c r="E17" s="56">
        <f t="shared" si="0"/>
        <v>0.29638594441198562</v>
      </c>
      <c r="F17" s="89">
        <f t="shared" si="1"/>
        <v>0.14559842551970151</v>
      </c>
    </row>
    <row r="18" spans="1:9" ht="14.45" customHeight="1">
      <c r="A18" s="30"/>
      <c r="B18" s="122"/>
      <c r="C18" s="60" t="s">
        <v>216</v>
      </c>
      <c r="D18" s="55">
        <v>2874</v>
      </c>
      <c r="E18" s="56">
        <f t="shared" si="0"/>
        <v>0.23987980969868961</v>
      </c>
      <c r="F18" s="89">
        <f t="shared" si="1"/>
        <v>0.11784000984050187</v>
      </c>
    </row>
    <row r="19" spans="1:9" ht="14.45" customHeight="1">
      <c r="A19" s="30"/>
      <c r="B19" s="122"/>
      <c r="C19" s="60" t="s">
        <v>217</v>
      </c>
      <c r="D19" s="55">
        <v>441</v>
      </c>
      <c r="E19" s="56">
        <f t="shared" si="0"/>
        <v>3.6808279776312493E-2</v>
      </c>
      <c r="F19" s="89">
        <f t="shared" si="1"/>
        <v>1.808192217803108E-2</v>
      </c>
    </row>
    <row r="20" spans="1:9" ht="14.45" customHeight="1">
      <c r="A20" s="30"/>
      <c r="B20" s="122"/>
      <c r="C20" s="60" t="s">
        <v>218</v>
      </c>
      <c r="D20" s="55">
        <v>82</v>
      </c>
      <c r="E20" s="56">
        <f t="shared" si="0"/>
        <v>6.8441699357315753E-3</v>
      </c>
      <c r="F20" s="89">
        <f t="shared" si="1"/>
        <v>3.3621714707450078E-3</v>
      </c>
    </row>
    <row r="21" spans="1:9" ht="14.45" customHeight="1">
      <c r="A21" s="30"/>
      <c r="B21" s="123"/>
      <c r="C21" s="84" t="s">
        <v>304</v>
      </c>
      <c r="D21" s="85">
        <v>11981</v>
      </c>
      <c r="E21" s="86"/>
      <c r="F21" s="84"/>
    </row>
    <row r="22" spans="1:9" ht="14.45" customHeight="1">
      <c r="A22" s="30"/>
      <c r="B22" s="121" t="s">
        <v>294</v>
      </c>
      <c r="C22" s="60" t="s">
        <v>292</v>
      </c>
      <c r="D22" s="55">
        <v>17</v>
      </c>
      <c r="E22" s="56">
        <f>D22/$D$30</f>
        <v>1.3704151551793631E-3</v>
      </c>
      <c r="F22" s="89">
        <f>D22/$D$35</f>
        <v>6.9703554881298945E-4</v>
      </c>
    </row>
    <row r="23" spans="1:9" ht="14.45" customHeight="1">
      <c r="A23" s="30"/>
      <c r="B23" s="122"/>
      <c r="C23" s="60" t="s">
        <v>212</v>
      </c>
      <c r="D23" s="55">
        <v>97</v>
      </c>
      <c r="E23" s="56">
        <f t="shared" ref="E23:E29" si="2">D23/$D$30</f>
        <v>7.8194276501410715E-3</v>
      </c>
      <c r="F23" s="89">
        <f t="shared" ref="F23:F29" si="3">D23/$D$35</f>
        <v>3.9772028373447049E-3</v>
      </c>
    </row>
    <row r="24" spans="1:9" ht="14.45" customHeight="1">
      <c r="A24" s="30"/>
      <c r="B24" s="122"/>
      <c r="C24" s="60" t="s">
        <v>213</v>
      </c>
      <c r="D24" s="55">
        <v>2112</v>
      </c>
      <c r="E24" s="56">
        <f t="shared" si="2"/>
        <v>0.17025392986698912</v>
      </c>
      <c r="F24" s="89">
        <f t="shared" si="3"/>
        <v>8.6596416417237282E-2</v>
      </c>
    </row>
    <row r="25" spans="1:9" ht="14.45" customHeight="1">
      <c r="A25" s="30"/>
      <c r="B25" s="122"/>
      <c r="C25" s="60" t="s">
        <v>214</v>
      </c>
      <c r="D25" s="55">
        <v>3060</v>
      </c>
      <c r="E25" s="56">
        <f t="shared" si="2"/>
        <v>0.24667472793228537</v>
      </c>
      <c r="F25" s="89">
        <f t="shared" si="3"/>
        <v>0.12546639878633811</v>
      </c>
    </row>
    <row r="26" spans="1:9" ht="14.45" customHeight="1">
      <c r="A26" s="30"/>
      <c r="B26" s="122"/>
      <c r="C26" s="60" t="s">
        <v>215</v>
      </c>
      <c r="D26" s="55">
        <v>3621</v>
      </c>
      <c r="E26" s="56">
        <f t="shared" si="2"/>
        <v>0.29189842805320437</v>
      </c>
      <c r="F26" s="89">
        <f t="shared" si="3"/>
        <v>0.14846857189716675</v>
      </c>
    </row>
    <row r="27" spans="1:9" ht="14.45" customHeight="1">
      <c r="A27" s="30"/>
      <c r="B27" s="122"/>
      <c r="C27" s="60" t="s">
        <v>216</v>
      </c>
      <c r="D27" s="55">
        <v>2976</v>
      </c>
      <c r="E27" s="56">
        <f t="shared" si="2"/>
        <v>0.23990326481257557</v>
      </c>
      <c r="F27" s="89">
        <f t="shared" si="3"/>
        <v>0.12202222313337981</v>
      </c>
    </row>
    <row r="28" spans="1:9" ht="14.45" customHeight="1">
      <c r="A28" s="30"/>
      <c r="B28" s="122"/>
      <c r="C28" s="60" t="s">
        <v>217</v>
      </c>
      <c r="D28" s="55">
        <v>446</v>
      </c>
      <c r="E28" s="56">
        <f t="shared" si="2"/>
        <v>3.5953244659411528E-2</v>
      </c>
      <c r="F28" s="89">
        <f t="shared" si="3"/>
        <v>1.8286932633564311E-2</v>
      </c>
    </row>
    <row r="29" spans="1:9" ht="14.45" customHeight="1">
      <c r="A29" s="30"/>
      <c r="B29" s="122"/>
      <c r="C29" s="60" t="s">
        <v>218</v>
      </c>
      <c r="D29" s="55">
        <v>76</v>
      </c>
      <c r="E29" s="56">
        <f>D29/$D$30</f>
        <v>6.1265618702136234E-3</v>
      </c>
      <c r="F29" s="89">
        <f>D29/$D$35</f>
        <v>3.1161589241051292E-3</v>
      </c>
    </row>
    <row r="30" spans="1:9" ht="14.45" customHeight="1">
      <c r="A30" s="30"/>
      <c r="B30" s="123"/>
      <c r="C30" s="84" t="s">
        <v>304</v>
      </c>
      <c r="D30" s="85">
        <v>12405</v>
      </c>
      <c r="E30" s="86"/>
      <c r="F30" s="84"/>
    </row>
    <row r="31" spans="1:9" ht="14.45" customHeight="1">
      <c r="A31" s="30"/>
      <c r="B31" s="121" t="s">
        <v>293</v>
      </c>
      <c r="C31" s="60" t="s">
        <v>214</v>
      </c>
      <c r="D31" s="55">
        <v>1</v>
      </c>
      <c r="E31" s="56">
        <f>D31/$D$34</f>
        <v>0.33333333333333331</v>
      </c>
      <c r="F31" s="89">
        <f>D31/$D$35</f>
        <v>4.1002091106646436E-5</v>
      </c>
      <c r="I31" s="21"/>
    </row>
    <row r="32" spans="1:9" ht="14.45" customHeight="1">
      <c r="A32" s="30"/>
      <c r="B32" s="122"/>
      <c r="C32" s="60" t="s">
        <v>215</v>
      </c>
      <c r="D32" s="55">
        <v>1</v>
      </c>
      <c r="E32" s="56">
        <f t="shared" ref="E32:E33" si="4">D32/$D$34</f>
        <v>0.33333333333333331</v>
      </c>
      <c r="F32" s="89">
        <f t="shared" ref="F32:F33" si="5">D32/$D$35</f>
        <v>4.1002091106646436E-5</v>
      </c>
    </row>
    <row r="33" spans="1:6" ht="14.45" customHeight="1">
      <c r="A33" s="30"/>
      <c r="B33" s="122"/>
      <c r="C33" s="60" t="s">
        <v>216</v>
      </c>
      <c r="D33" s="55">
        <v>1</v>
      </c>
      <c r="E33" s="56">
        <f t="shared" si="4"/>
        <v>0.33333333333333331</v>
      </c>
      <c r="F33" s="89">
        <f t="shared" si="5"/>
        <v>4.1002091106646436E-5</v>
      </c>
    </row>
    <row r="34" spans="1:6" ht="14.45" customHeight="1">
      <c r="A34" s="30"/>
      <c r="B34" s="123"/>
      <c r="C34" s="84" t="s">
        <v>304</v>
      </c>
      <c r="D34" s="85">
        <v>3</v>
      </c>
      <c r="E34" s="86"/>
      <c r="F34" s="90">
        <f>D34/D35</f>
        <v>1.2300627331993932E-4</v>
      </c>
    </row>
    <row r="35" spans="1:6" ht="14.45" customHeight="1">
      <c r="A35" s="30"/>
      <c r="B35" s="124" t="s">
        <v>306</v>
      </c>
      <c r="C35" s="125"/>
      <c r="D35" s="87">
        <v>24389</v>
      </c>
      <c r="E35" s="91">
        <v>1</v>
      </c>
      <c r="F35" s="91">
        <f>D35/D35</f>
        <v>1</v>
      </c>
    </row>
    <row r="36" spans="1:6" ht="12.75">
      <c r="A36" s="30"/>
      <c r="B36" s="41"/>
      <c r="C36" s="41"/>
      <c r="D36" s="53"/>
      <c r="E36" s="53"/>
      <c r="F36" s="41"/>
    </row>
    <row r="37" spans="1:6" ht="12.75">
      <c r="A37" s="30"/>
      <c r="B37" s="35" t="s">
        <v>275</v>
      </c>
      <c r="C37" s="41"/>
      <c r="D37" s="53"/>
      <c r="E37" s="53"/>
      <c r="F37" s="41"/>
    </row>
    <row r="38" spans="1:6" ht="12.75">
      <c r="A38" s="30"/>
      <c r="B38" s="36" t="s">
        <v>18</v>
      </c>
      <c r="C38" s="41"/>
      <c r="D38" s="53"/>
      <c r="E38" s="53"/>
      <c r="F38" s="41"/>
    </row>
    <row r="39" spans="1:6" ht="12.75">
      <c r="A39" s="30"/>
      <c r="B39" s="33" t="s">
        <v>45</v>
      </c>
      <c r="C39" s="41"/>
      <c r="D39" s="53"/>
      <c r="E39" s="53"/>
      <c r="F39" s="41"/>
    </row>
    <row r="40" spans="1:6" ht="12.75">
      <c r="A40" s="30"/>
      <c r="B40" s="35" t="s">
        <v>17</v>
      </c>
      <c r="C40" s="41"/>
      <c r="D40" s="53"/>
      <c r="E40" s="53"/>
      <c r="F40" s="41"/>
    </row>
    <row r="41" spans="1:6" ht="12.75">
      <c r="A41" s="30"/>
      <c r="B41" s="35" t="s">
        <v>308</v>
      </c>
      <c r="C41" s="41"/>
      <c r="D41" s="53"/>
      <c r="E41" s="53"/>
      <c r="F41" s="41"/>
    </row>
  </sheetData>
  <mergeCells count="5">
    <mergeCell ref="B8:F10"/>
    <mergeCell ref="B13:B21"/>
    <mergeCell ref="B22:B30"/>
    <mergeCell ref="B31:B34"/>
    <mergeCell ref="B35:C35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7030A0"/>
  </sheetPr>
  <dimension ref="A1:E81"/>
  <sheetViews>
    <sheetView showGridLines="0" tabSelected="1" view="pageBreakPreview" zoomScaleNormal="100" zoomScaleSheetLayoutView="100" workbookViewId="0">
      <selection activeCell="G76" sqref="G76"/>
    </sheetView>
  </sheetViews>
  <sheetFormatPr baseColWidth="10" defaultColWidth="11.42578125" defaultRowHeight="15"/>
  <cols>
    <col min="1" max="1" width="9.28515625" style="10" customWidth="1"/>
    <col min="2" max="2" width="43.85546875" style="10" customWidth="1"/>
    <col min="3" max="3" width="17.7109375" style="11" customWidth="1"/>
    <col min="4" max="4" width="17.7109375" style="10" customWidth="1"/>
    <col min="5" max="5" width="8.5703125" style="10" customWidth="1"/>
    <col min="6" max="6" width="5.7109375" style="10" customWidth="1"/>
    <col min="7" max="16384" width="11.42578125" style="10"/>
  </cols>
  <sheetData>
    <row r="1" spans="1:5" s="12" customFormat="1" ht="15" customHeight="1">
      <c r="C1" s="14"/>
    </row>
    <row r="2" spans="1:5" s="12" customFormat="1" ht="15" customHeight="1">
      <c r="C2" s="14"/>
    </row>
    <row r="3" spans="1:5" s="12" customFormat="1" ht="15" customHeight="1">
      <c r="C3" s="14"/>
    </row>
    <row r="4" spans="1:5" s="12" customFormat="1" ht="30" customHeight="1">
      <c r="C4" s="14"/>
      <c r="D4" s="13"/>
    </row>
    <row r="5" spans="1:5" s="12" customFormat="1" ht="15" customHeight="1">
      <c r="C5" s="14"/>
      <c r="D5" s="13"/>
    </row>
    <row r="6" spans="1:5" s="12" customFormat="1" ht="15" customHeight="1">
      <c r="C6" s="14"/>
      <c r="D6" s="13"/>
    </row>
    <row r="7" spans="1:5" s="12" customFormat="1" ht="15" customHeight="1">
      <c r="A7" s="30"/>
      <c r="B7" s="101" t="s">
        <v>274</v>
      </c>
      <c r="C7" s="101"/>
      <c r="D7" s="101"/>
      <c r="E7" s="30"/>
    </row>
    <row r="8" spans="1:5" s="12" customFormat="1" ht="15" customHeight="1">
      <c r="A8" s="30"/>
      <c r="B8" s="101"/>
      <c r="C8" s="101"/>
      <c r="D8" s="101"/>
      <c r="E8" s="30"/>
    </row>
    <row r="9" spans="1:5" s="12" customFormat="1" ht="33" customHeight="1">
      <c r="A9" s="30"/>
      <c r="B9" s="101"/>
      <c r="C9" s="101"/>
      <c r="D9" s="101"/>
      <c r="E9" s="30"/>
    </row>
    <row r="10" spans="1:5" s="12" customFormat="1" ht="4.5" customHeight="1">
      <c r="A10" s="30"/>
      <c r="B10" s="31"/>
      <c r="C10" s="31"/>
      <c r="D10" s="31"/>
      <c r="E10" s="30"/>
    </row>
    <row r="11" spans="1:5" s="12" customFormat="1" ht="33" customHeight="1">
      <c r="A11" s="30"/>
      <c r="B11" s="48" t="s">
        <v>33</v>
      </c>
      <c r="C11" s="47" t="s">
        <v>20</v>
      </c>
      <c r="D11" s="48" t="s">
        <v>19</v>
      </c>
      <c r="E11" s="30"/>
    </row>
    <row r="12" spans="1:5" ht="16.5">
      <c r="A12" s="32"/>
      <c r="B12" s="54" t="s">
        <v>219</v>
      </c>
      <c r="C12" s="67">
        <v>11243</v>
      </c>
      <c r="D12" s="68">
        <v>0.46100000000000002</v>
      </c>
      <c r="E12" s="32"/>
    </row>
    <row r="13" spans="1:5" ht="16.5">
      <c r="A13" s="32"/>
      <c r="B13" s="54" t="s">
        <v>220</v>
      </c>
      <c r="C13" s="67">
        <v>7233</v>
      </c>
      <c r="D13" s="68">
        <v>0.29699999999999999</v>
      </c>
      <c r="E13" s="32"/>
    </row>
    <row r="14" spans="1:5" ht="16.5">
      <c r="A14" s="32"/>
      <c r="B14" s="54" t="s">
        <v>221</v>
      </c>
      <c r="C14" s="67">
        <v>1135</v>
      </c>
      <c r="D14" s="68">
        <v>4.7E-2</v>
      </c>
      <c r="E14" s="32"/>
    </row>
    <row r="15" spans="1:5" ht="16.5">
      <c r="A15" s="32"/>
      <c r="B15" s="54" t="s">
        <v>222</v>
      </c>
      <c r="C15" s="67">
        <v>1039</v>
      </c>
      <c r="D15" s="68">
        <v>4.2999999999999997E-2</v>
      </c>
      <c r="E15" s="32"/>
    </row>
    <row r="16" spans="1:5" ht="16.5">
      <c r="A16" s="32"/>
      <c r="B16" s="54" t="s">
        <v>223</v>
      </c>
      <c r="C16" s="69">
        <v>624</v>
      </c>
      <c r="D16" s="68">
        <v>2.5999999999999999E-2</v>
      </c>
      <c r="E16" s="32"/>
    </row>
    <row r="17" spans="1:5" ht="16.5">
      <c r="A17" s="32"/>
      <c r="B17" s="54" t="s">
        <v>227</v>
      </c>
      <c r="C17" s="69">
        <v>261</v>
      </c>
      <c r="D17" s="68">
        <v>1.0999999999999999E-2</v>
      </c>
      <c r="E17" s="32"/>
    </row>
    <row r="18" spans="1:5" ht="16.5">
      <c r="A18" s="32"/>
      <c r="B18" s="54" t="s">
        <v>225</v>
      </c>
      <c r="C18" s="69">
        <v>249</v>
      </c>
      <c r="D18" s="68">
        <v>0.01</v>
      </c>
      <c r="E18" s="32"/>
    </row>
    <row r="19" spans="1:5" ht="14.45" customHeight="1">
      <c r="A19" s="32"/>
      <c r="B19" s="54" t="s">
        <v>226</v>
      </c>
      <c r="C19" s="69">
        <v>243</v>
      </c>
      <c r="D19" s="68">
        <v>0.01</v>
      </c>
      <c r="E19" s="32"/>
    </row>
    <row r="20" spans="1:5" ht="16.5">
      <c r="A20" s="32"/>
      <c r="B20" s="54" t="s">
        <v>228</v>
      </c>
      <c r="C20" s="69">
        <v>225</v>
      </c>
      <c r="D20" s="68">
        <v>8.9999999999999993E-3</v>
      </c>
      <c r="E20" s="32"/>
    </row>
    <row r="21" spans="1:5" ht="16.5">
      <c r="A21" s="32"/>
      <c r="B21" s="54" t="s">
        <v>230</v>
      </c>
      <c r="C21" s="69">
        <v>220</v>
      </c>
      <c r="D21" s="68">
        <v>8.9999999999999993E-3</v>
      </c>
      <c r="E21" s="32"/>
    </row>
    <row r="22" spans="1:5" ht="16.5">
      <c r="A22" s="32"/>
      <c r="B22" s="54" t="s">
        <v>224</v>
      </c>
      <c r="C22" s="69">
        <v>189</v>
      </c>
      <c r="D22" s="68">
        <v>8.0000000000000002E-3</v>
      </c>
      <c r="E22" s="32"/>
    </row>
    <row r="23" spans="1:5" ht="16.5">
      <c r="A23" s="32"/>
      <c r="B23" s="54" t="s">
        <v>229</v>
      </c>
      <c r="C23" s="69">
        <v>173</v>
      </c>
      <c r="D23" s="68">
        <v>7.0000000000000001E-3</v>
      </c>
      <c r="E23" s="32"/>
    </row>
    <row r="24" spans="1:5" ht="16.5">
      <c r="A24" s="32"/>
      <c r="B24" s="54" t="s">
        <v>232</v>
      </c>
      <c r="C24" s="69">
        <v>134</v>
      </c>
      <c r="D24" s="68">
        <v>5.0000000000000001E-3</v>
      </c>
      <c r="E24" s="32"/>
    </row>
    <row r="25" spans="1:5" ht="16.5">
      <c r="A25" s="32"/>
      <c r="B25" s="54" t="s">
        <v>236</v>
      </c>
      <c r="C25" s="69">
        <v>125</v>
      </c>
      <c r="D25" s="68">
        <v>5.0000000000000001E-3</v>
      </c>
      <c r="E25" s="32"/>
    </row>
    <row r="26" spans="1:5" ht="16.5">
      <c r="A26" s="32"/>
      <c r="B26" s="54" t="s">
        <v>235</v>
      </c>
      <c r="C26" s="69">
        <v>122</v>
      </c>
      <c r="D26" s="68">
        <v>5.0000000000000001E-3</v>
      </c>
      <c r="E26" s="32"/>
    </row>
    <row r="27" spans="1:5" ht="16.5">
      <c r="A27" s="32"/>
      <c r="B27" s="54" t="s">
        <v>231</v>
      </c>
      <c r="C27" s="69">
        <v>117</v>
      </c>
      <c r="D27" s="68">
        <v>5.0000000000000001E-3</v>
      </c>
      <c r="E27" s="32"/>
    </row>
    <row r="28" spans="1:5" ht="16.5">
      <c r="A28" s="32"/>
      <c r="B28" s="54" t="s">
        <v>233</v>
      </c>
      <c r="C28" s="69">
        <v>105</v>
      </c>
      <c r="D28" s="68">
        <v>4.0000000000000001E-3</v>
      </c>
      <c r="E28" s="32"/>
    </row>
    <row r="29" spans="1:5" ht="16.5">
      <c r="A29" s="32"/>
      <c r="B29" s="54" t="s">
        <v>256</v>
      </c>
      <c r="C29" s="69">
        <v>101</v>
      </c>
      <c r="D29" s="68">
        <v>4.0000000000000001E-3</v>
      </c>
      <c r="E29" s="32"/>
    </row>
    <row r="30" spans="1:5" ht="16.5">
      <c r="A30" s="32"/>
      <c r="B30" s="54" t="s">
        <v>237</v>
      </c>
      <c r="C30" s="69">
        <v>97</v>
      </c>
      <c r="D30" s="68">
        <v>4.0000000000000001E-3</v>
      </c>
      <c r="E30" s="32"/>
    </row>
    <row r="31" spans="1:5" ht="16.5">
      <c r="A31" s="32"/>
      <c r="B31" s="54" t="s">
        <v>234</v>
      </c>
      <c r="C31" s="69">
        <v>87</v>
      </c>
      <c r="D31" s="68">
        <v>4.0000000000000001E-3</v>
      </c>
      <c r="E31" s="32"/>
    </row>
    <row r="32" spans="1:5" ht="16.5">
      <c r="A32" s="32"/>
      <c r="B32" s="54" t="s">
        <v>255</v>
      </c>
      <c r="C32" s="69">
        <v>84</v>
      </c>
      <c r="D32" s="68">
        <v>3.0000000000000001E-3</v>
      </c>
      <c r="E32" s="32"/>
    </row>
    <row r="33" spans="1:5" ht="16.5">
      <c r="A33" s="32"/>
      <c r="B33" s="54" t="s">
        <v>238</v>
      </c>
      <c r="C33" s="69">
        <v>79</v>
      </c>
      <c r="D33" s="68">
        <v>3.0000000000000001E-3</v>
      </c>
      <c r="E33" s="32"/>
    </row>
    <row r="34" spans="1:5" ht="16.5">
      <c r="A34" s="32"/>
      <c r="B34" s="54" t="s">
        <v>241</v>
      </c>
      <c r="C34" s="69">
        <v>69</v>
      </c>
      <c r="D34" s="68">
        <v>3.0000000000000001E-3</v>
      </c>
      <c r="E34" s="32"/>
    </row>
    <row r="35" spans="1:5" ht="16.5">
      <c r="A35" s="32"/>
      <c r="B35" s="54" t="s">
        <v>242</v>
      </c>
      <c r="C35" s="69">
        <v>67</v>
      </c>
      <c r="D35" s="68">
        <v>3.0000000000000001E-3</v>
      </c>
      <c r="E35" s="32"/>
    </row>
    <row r="36" spans="1:5" ht="16.5">
      <c r="A36" s="32"/>
      <c r="B36" s="54" t="s">
        <v>239</v>
      </c>
      <c r="C36" s="69">
        <v>59</v>
      </c>
      <c r="D36" s="68">
        <v>2E-3</v>
      </c>
      <c r="E36" s="32"/>
    </row>
    <row r="37" spans="1:5" ht="16.5">
      <c r="A37" s="32"/>
      <c r="B37" s="54" t="s">
        <v>240</v>
      </c>
      <c r="C37" s="69">
        <v>54</v>
      </c>
      <c r="D37" s="68">
        <v>2E-3</v>
      </c>
      <c r="E37" s="32"/>
    </row>
    <row r="38" spans="1:5" ht="16.5">
      <c r="A38" s="32"/>
      <c r="B38" s="54" t="s">
        <v>243</v>
      </c>
      <c r="C38" s="69">
        <v>45</v>
      </c>
      <c r="D38" s="68">
        <v>2E-3</v>
      </c>
      <c r="E38" s="32"/>
    </row>
    <row r="39" spans="1:5" ht="16.5">
      <c r="A39" s="32"/>
      <c r="B39" s="54" t="s">
        <v>244</v>
      </c>
      <c r="C39" s="69">
        <v>28</v>
      </c>
      <c r="D39" s="68">
        <v>1E-3</v>
      </c>
      <c r="E39" s="32"/>
    </row>
    <row r="40" spans="1:5" ht="16.5">
      <c r="A40" s="32"/>
      <c r="B40" s="54" t="s">
        <v>245</v>
      </c>
      <c r="C40" s="69">
        <v>19</v>
      </c>
      <c r="D40" s="68">
        <v>1E-3</v>
      </c>
      <c r="E40" s="32"/>
    </row>
    <row r="41" spans="1:5" ht="16.5">
      <c r="A41" s="32"/>
      <c r="B41" s="54" t="s">
        <v>249</v>
      </c>
      <c r="C41" s="69">
        <v>16</v>
      </c>
      <c r="D41" s="68">
        <v>1E-3</v>
      </c>
      <c r="E41" s="32"/>
    </row>
    <row r="42" spans="1:5" ht="16.5">
      <c r="A42" s="32"/>
      <c r="B42" s="54" t="s">
        <v>247</v>
      </c>
      <c r="C42" s="69">
        <v>15</v>
      </c>
      <c r="D42" s="68">
        <v>1E-3</v>
      </c>
      <c r="E42" s="32"/>
    </row>
    <row r="43" spans="1:5" ht="16.5">
      <c r="A43" s="32"/>
      <c r="B43" s="54" t="s">
        <v>252</v>
      </c>
      <c r="C43" s="69">
        <v>14</v>
      </c>
      <c r="D43" s="68">
        <v>1E-3</v>
      </c>
      <c r="E43" s="32"/>
    </row>
    <row r="44" spans="1:5" ht="16.5">
      <c r="A44" s="32"/>
      <c r="B44" s="54" t="s">
        <v>248</v>
      </c>
      <c r="C44" s="69">
        <v>10</v>
      </c>
      <c r="D44" s="68">
        <v>0</v>
      </c>
      <c r="E44" s="32"/>
    </row>
    <row r="45" spans="1:5" ht="16.5">
      <c r="A45" s="32"/>
      <c r="B45" s="54" t="s">
        <v>250</v>
      </c>
      <c r="C45" s="69">
        <v>10</v>
      </c>
      <c r="D45" s="68">
        <v>0</v>
      </c>
      <c r="E45" s="32"/>
    </row>
    <row r="46" spans="1:5" ht="16.5">
      <c r="A46" s="32"/>
      <c r="B46" s="54" t="s">
        <v>257</v>
      </c>
      <c r="C46" s="69">
        <v>10</v>
      </c>
      <c r="D46" s="68">
        <v>0</v>
      </c>
      <c r="E46" s="32"/>
    </row>
    <row r="47" spans="1:5" ht="16.5">
      <c r="A47" s="32"/>
      <c r="B47" s="54" t="s">
        <v>246</v>
      </c>
      <c r="C47" s="69">
        <v>8</v>
      </c>
      <c r="D47" s="68">
        <v>0</v>
      </c>
      <c r="E47" s="32"/>
    </row>
    <row r="48" spans="1:5" ht="16.5">
      <c r="A48" s="32"/>
      <c r="B48" s="54" t="s">
        <v>254</v>
      </c>
      <c r="C48" s="69">
        <v>8</v>
      </c>
      <c r="D48" s="68">
        <v>0</v>
      </c>
      <c r="E48" s="32"/>
    </row>
    <row r="49" spans="1:5" ht="16.5">
      <c r="A49" s="32"/>
      <c r="B49" s="54" t="s">
        <v>251</v>
      </c>
      <c r="C49" s="69">
        <v>8</v>
      </c>
      <c r="D49" s="68">
        <v>0</v>
      </c>
      <c r="E49" s="32"/>
    </row>
    <row r="50" spans="1:5" ht="16.5">
      <c r="A50" s="32"/>
      <c r="B50" s="54" t="s">
        <v>263</v>
      </c>
      <c r="C50" s="69">
        <v>8</v>
      </c>
      <c r="D50" s="68">
        <v>0</v>
      </c>
      <c r="E50" s="32"/>
    </row>
    <row r="51" spans="1:5" ht="16.5">
      <c r="A51" s="32"/>
      <c r="B51" s="54" t="s">
        <v>260</v>
      </c>
      <c r="C51" s="69">
        <v>6</v>
      </c>
      <c r="D51" s="68">
        <v>0</v>
      </c>
      <c r="E51" s="32"/>
    </row>
    <row r="52" spans="1:5" ht="16.5">
      <c r="A52" s="32"/>
      <c r="B52" s="54" t="s">
        <v>165</v>
      </c>
      <c r="C52" s="69">
        <v>6</v>
      </c>
      <c r="D52" s="68">
        <v>0</v>
      </c>
      <c r="E52" s="32"/>
    </row>
    <row r="53" spans="1:5" ht="16.5">
      <c r="A53" s="32"/>
      <c r="B53" s="54" t="s">
        <v>253</v>
      </c>
      <c r="C53" s="69">
        <v>5</v>
      </c>
      <c r="D53" s="68">
        <v>0</v>
      </c>
      <c r="E53" s="32"/>
    </row>
    <row r="54" spans="1:5" ht="16.5">
      <c r="A54" s="32"/>
      <c r="B54" s="54" t="s">
        <v>258</v>
      </c>
      <c r="C54" s="69">
        <v>5</v>
      </c>
      <c r="D54" s="68">
        <v>0</v>
      </c>
      <c r="E54" s="32"/>
    </row>
    <row r="55" spans="1:5" ht="16.5">
      <c r="A55" s="32"/>
      <c r="B55" s="54" t="s">
        <v>267</v>
      </c>
      <c r="C55" s="69">
        <v>4</v>
      </c>
      <c r="D55" s="68">
        <v>0</v>
      </c>
      <c r="E55" s="32"/>
    </row>
    <row r="56" spans="1:5" ht="16.5">
      <c r="A56" s="32"/>
      <c r="B56" s="54" t="s">
        <v>259</v>
      </c>
      <c r="C56" s="69">
        <v>4</v>
      </c>
      <c r="D56" s="68">
        <v>0</v>
      </c>
      <c r="E56" s="32"/>
    </row>
    <row r="57" spans="1:5" ht="16.5">
      <c r="A57" s="32"/>
      <c r="B57" s="54" t="s">
        <v>262</v>
      </c>
      <c r="C57" s="69">
        <v>3</v>
      </c>
      <c r="D57" s="68">
        <v>0</v>
      </c>
      <c r="E57" s="32"/>
    </row>
    <row r="58" spans="1:5" ht="16.5">
      <c r="A58" s="32"/>
      <c r="B58" s="54" t="s">
        <v>296</v>
      </c>
      <c r="C58" s="69">
        <v>3</v>
      </c>
      <c r="D58" s="68">
        <v>0</v>
      </c>
      <c r="E58" s="32"/>
    </row>
    <row r="59" spans="1:5" ht="16.5">
      <c r="A59" s="32"/>
      <c r="B59" s="54" t="s">
        <v>297</v>
      </c>
      <c r="C59" s="69">
        <v>2</v>
      </c>
      <c r="D59" s="68">
        <v>0</v>
      </c>
      <c r="E59" s="32"/>
    </row>
    <row r="60" spans="1:5" ht="16.5">
      <c r="A60" s="32"/>
      <c r="B60" s="54" t="s">
        <v>269</v>
      </c>
      <c r="C60" s="69">
        <v>2</v>
      </c>
      <c r="D60" s="68">
        <v>0</v>
      </c>
      <c r="E60" s="32"/>
    </row>
    <row r="61" spans="1:5" ht="16.5">
      <c r="A61" s="32"/>
      <c r="B61" s="54" t="s">
        <v>270</v>
      </c>
      <c r="C61" s="69">
        <v>2</v>
      </c>
      <c r="D61" s="68">
        <v>0</v>
      </c>
      <c r="E61" s="32"/>
    </row>
    <row r="62" spans="1:5" ht="16.5">
      <c r="A62" s="32"/>
      <c r="B62" s="54" t="s">
        <v>265</v>
      </c>
      <c r="C62" s="69">
        <v>2</v>
      </c>
      <c r="D62" s="68">
        <v>0</v>
      </c>
      <c r="E62" s="32"/>
    </row>
    <row r="63" spans="1:5" ht="16.5">
      <c r="A63" s="32"/>
      <c r="B63" s="54" t="s">
        <v>268</v>
      </c>
      <c r="C63" s="69">
        <v>1</v>
      </c>
      <c r="D63" s="68">
        <v>0</v>
      </c>
      <c r="E63" s="32"/>
    </row>
    <row r="64" spans="1:5" ht="16.5">
      <c r="A64" s="32"/>
      <c r="B64" s="54" t="s">
        <v>266</v>
      </c>
      <c r="C64" s="69">
        <v>1</v>
      </c>
      <c r="D64" s="68">
        <v>0</v>
      </c>
      <c r="E64" s="32"/>
    </row>
    <row r="65" spans="1:5" ht="16.5">
      <c r="A65" s="32"/>
      <c r="B65" s="54" t="s">
        <v>298</v>
      </c>
      <c r="C65" s="69">
        <v>1</v>
      </c>
      <c r="D65" s="68">
        <v>0</v>
      </c>
      <c r="E65" s="32"/>
    </row>
    <row r="66" spans="1:5" ht="16.5">
      <c r="A66" s="32"/>
      <c r="B66" s="54" t="s">
        <v>271</v>
      </c>
      <c r="C66" s="69">
        <v>1</v>
      </c>
      <c r="D66" s="68">
        <v>0</v>
      </c>
      <c r="E66" s="32"/>
    </row>
    <row r="67" spans="1:5" ht="16.5">
      <c r="A67" s="32"/>
      <c r="B67" s="54" t="s">
        <v>261</v>
      </c>
      <c r="C67" s="69">
        <v>1</v>
      </c>
      <c r="D67" s="68">
        <v>0</v>
      </c>
      <c r="E67" s="32"/>
    </row>
    <row r="68" spans="1:5" ht="16.5">
      <c r="A68" s="32"/>
      <c r="B68" s="54" t="s">
        <v>299</v>
      </c>
      <c r="C68" s="69">
        <v>1</v>
      </c>
      <c r="D68" s="68">
        <v>0</v>
      </c>
      <c r="E68" s="32"/>
    </row>
    <row r="69" spans="1:5" ht="16.5">
      <c r="A69" s="32"/>
      <c r="B69" s="54" t="s">
        <v>300</v>
      </c>
      <c r="C69" s="69">
        <v>1</v>
      </c>
      <c r="D69" s="68">
        <v>0</v>
      </c>
      <c r="E69" s="32"/>
    </row>
    <row r="70" spans="1:5" ht="16.5">
      <c r="A70" s="32"/>
      <c r="B70" s="54" t="s">
        <v>301</v>
      </c>
      <c r="C70" s="69">
        <v>1</v>
      </c>
      <c r="D70" s="68">
        <v>0</v>
      </c>
      <c r="E70" s="32"/>
    </row>
    <row r="71" spans="1:5" ht="16.5">
      <c r="A71" s="32"/>
      <c r="B71" s="54" t="s">
        <v>272</v>
      </c>
      <c r="C71" s="69">
        <v>1</v>
      </c>
      <c r="D71" s="68">
        <v>0</v>
      </c>
      <c r="E71" s="32"/>
    </row>
    <row r="72" spans="1:5" ht="16.5">
      <c r="A72" s="32"/>
      <c r="B72" s="54" t="s">
        <v>264</v>
      </c>
      <c r="C72" s="69">
        <v>1</v>
      </c>
      <c r="D72" s="68">
        <v>0</v>
      </c>
      <c r="E72" s="32"/>
    </row>
    <row r="73" spans="1:5" ht="14.45" customHeight="1">
      <c r="A73" s="32"/>
      <c r="B73" s="54" t="s">
        <v>302</v>
      </c>
      <c r="C73" s="69">
        <v>1</v>
      </c>
      <c r="D73" s="68">
        <v>0</v>
      </c>
      <c r="E73" s="32"/>
    </row>
    <row r="74" spans="1:5" ht="14.45" customHeight="1">
      <c r="A74" s="32"/>
      <c r="B74" s="54" t="s">
        <v>303</v>
      </c>
      <c r="C74" s="69">
        <v>1</v>
      </c>
      <c r="D74" s="68">
        <v>0</v>
      </c>
      <c r="E74" s="32"/>
    </row>
    <row r="75" spans="1:5" ht="14.45" customHeight="1">
      <c r="A75" s="32"/>
      <c r="B75" s="57" t="s">
        <v>304</v>
      </c>
      <c r="C75" s="38">
        <v>24389</v>
      </c>
      <c r="D75" s="66">
        <v>1</v>
      </c>
      <c r="E75" s="32"/>
    </row>
    <row r="76" spans="1:5" ht="14.45" customHeight="1">
      <c r="A76" s="32"/>
      <c r="B76" s="33"/>
      <c r="C76" s="34"/>
      <c r="D76" s="32"/>
      <c r="E76" s="32"/>
    </row>
    <row r="77" spans="1:5" ht="14.45" customHeight="1">
      <c r="A77" s="32"/>
      <c r="B77" s="35" t="s">
        <v>275</v>
      </c>
      <c r="C77" s="34"/>
      <c r="D77" s="32"/>
      <c r="E77" s="32"/>
    </row>
    <row r="78" spans="1:5" ht="14.45" customHeight="1">
      <c r="A78" s="32"/>
      <c r="B78" s="36" t="s">
        <v>18</v>
      </c>
      <c r="C78" s="34"/>
      <c r="D78" s="32"/>
      <c r="E78" s="32"/>
    </row>
    <row r="79" spans="1:5" ht="16.5">
      <c r="A79" s="32"/>
      <c r="B79" s="33" t="s">
        <v>45</v>
      </c>
      <c r="C79" s="34"/>
      <c r="D79" s="32"/>
      <c r="E79" s="32"/>
    </row>
    <row r="80" spans="1:5" ht="16.5">
      <c r="A80" s="32"/>
      <c r="B80" s="35" t="s">
        <v>17</v>
      </c>
      <c r="C80" s="34"/>
      <c r="D80" s="32"/>
      <c r="E80" s="32"/>
    </row>
    <row r="81" spans="1:5" ht="16.5">
      <c r="A81" s="32"/>
      <c r="B81" s="35" t="s">
        <v>308</v>
      </c>
      <c r="C81" s="34"/>
      <c r="D81" s="32"/>
      <c r="E81" s="3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81" fitToWidth="0" fitToHeight="0" orientation="portrait" horizontalDpi="1200" verticalDpi="1200" r:id="rId1"/>
  <headerFooter>
    <oddFooter>&amp;C&amp;P de &amp;N</oddFooter>
  </headerFooter>
  <rowBreaks count="1" manualBreakCount="1">
    <brk id="43" max="4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24</vt:i4>
      </vt:variant>
    </vt:vector>
  </HeadingPairs>
  <TitlesOfParts>
    <vt:vector size="39" baseType="lpstr">
      <vt:lpstr>Índice</vt:lpstr>
      <vt:lpstr>Tamaulipas_EdoUsa</vt:lpstr>
      <vt:lpstr>Tamaulipas_Cons</vt:lpstr>
      <vt:lpstr>TamaulipasXCons</vt:lpstr>
      <vt:lpstr>Tamaulipas_EdoMun</vt:lpstr>
      <vt:lpstr>Tamaulipas_USAMuni</vt:lpstr>
      <vt:lpstr>Tamaulipas_MUNICIPIO</vt:lpstr>
      <vt:lpstr>Tamaulipas_educ_gral</vt:lpstr>
      <vt:lpstr>Tamaulipas_NivelE_Cons</vt:lpstr>
      <vt:lpstr>Tamaulipas_EducCons</vt:lpstr>
      <vt:lpstr>Tamaulipas_GenGral</vt:lpstr>
      <vt:lpstr>Tamaulipas_GENERO</vt:lpstr>
      <vt:lpstr>Tamaulipas_GENERO_EUA</vt:lpstr>
      <vt:lpstr>Tamaulipas_Gen_Edad</vt:lpstr>
      <vt:lpstr>Tamaulipas_ocup_gral</vt:lpstr>
      <vt:lpstr>Tamaulipas_educ_gral!Área_de_impresión</vt:lpstr>
      <vt:lpstr>Tamaulipas_EducCons!Área_de_impresión</vt:lpstr>
      <vt:lpstr>Tamaulipas_Gen_Edad!Área_de_impresión</vt:lpstr>
      <vt:lpstr>Tamaulipas_GENERO!Área_de_impresión</vt:lpstr>
      <vt:lpstr>Tamaulipas_GENERO_EUA!Área_de_impresión</vt:lpstr>
      <vt:lpstr>Tamaulipas_GenGral!Área_de_impresión</vt:lpstr>
      <vt:lpstr>Tamaulipas_MUNICIPIO!Área_de_impresión</vt:lpstr>
      <vt:lpstr>Tamaulipas_NivelE_Cons!Área_de_impresión</vt:lpstr>
      <vt:lpstr>Tamaulipas_ocup_gral!Área_de_impresión</vt:lpstr>
      <vt:lpstr>Tamaulipas_USAMuni!Área_de_impresión</vt:lpstr>
      <vt:lpstr>Tamaulipas_Cons!Títulos_a_imprimir</vt:lpstr>
      <vt:lpstr>Tamaulipas_EdoMun!Títulos_a_imprimir</vt:lpstr>
      <vt:lpstr>Tamaulipas_EdoUsa!Títulos_a_imprimir</vt:lpstr>
      <vt:lpstr>Tamaulipas_educ_gral!Títulos_a_imprimir</vt:lpstr>
      <vt:lpstr>Tamaulipas_EducCons!Títulos_a_imprimir</vt:lpstr>
      <vt:lpstr>Tamaulipas_Gen_Edad!Títulos_a_imprimir</vt:lpstr>
      <vt:lpstr>Tamaulipas_GENERO!Títulos_a_imprimir</vt:lpstr>
      <vt:lpstr>Tamaulipas_GENERO_EUA!Títulos_a_imprimir</vt:lpstr>
      <vt:lpstr>Tamaulipas_GenGral!Títulos_a_imprimir</vt:lpstr>
      <vt:lpstr>Tamaulipas_MUNICIPIO!Títulos_a_imprimir</vt:lpstr>
      <vt:lpstr>Tamaulipas_NivelE_Cons!Títulos_a_imprimir</vt:lpstr>
      <vt:lpstr>Tamaulipas_ocup_gral!Títulos_a_imprimir</vt:lpstr>
      <vt:lpstr>Tamaulipas_USAMuni!Títulos_a_imprimir</vt:lpstr>
      <vt:lpstr>TamaulipasXCons!Títulos_a_imprimir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García Ayala, Miguel Ángel</cp:lastModifiedBy>
  <cp:lastPrinted>2025-02-18T15:56:25Z</cp:lastPrinted>
  <dcterms:created xsi:type="dcterms:W3CDTF">2020-06-04T00:51:41Z</dcterms:created>
  <dcterms:modified xsi:type="dcterms:W3CDTF">2025-08-23T03:28:06Z</dcterms:modified>
</cp:coreProperties>
</file>