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342D2108-D560-443F-941C-F10656109DEC}" xr6:coauthVersionLast="47" xr6:coauthVersionMax="47" xr10:uidLastSave="{00000000-0000-0000-0000-000000000000}"/>
  <bookViews>
    <workbookView xWindow="-120" yWindow="-120" windowWidth="29040" windowHeight="15840" tabRatio="839" firstSheet="8" activeTab="14" xr2:uid="{00000000-000D-0000-FFFF-FFFF00000000}"/>
  </bookViews>
  <sheets>
    <sheet name="Índice" sheetId="1" r:id="rId1"/>
    <sheet name="Sinaloa_EdoUsa" sheetId="2" r:id="rId2"/>
    <sheet name="Sinaloa_Cons" sheetId="15" r:id="rId3"/>
    <sheet name="SinaloaXCons" sheetId="16" r:id="rId4"/>
    <sheet name="Sinaloa_EdoMun" sheetId="5" r:id="rId5"/>
    <sheet name="Sinaloa_USAMuni" sheetId="6" r:id="rId6"/>
    <sheet name="Sinaloa_MUNICIPIO" sheetId="7" r:id="rId7"/>
    <sheet name="Sinaloa_educ_gral" sheetId="8" r:id="rId8"/>
    <sheet name="Sinaloa_NivelE_Cons" sheetId="9" r:id="rId9"/>
    <sheet name="Sinaloa_EducCons" sheetId="10" r:id="rId10"/>
    <sheet name="Sinaloa_GenGral" sheetId="11" r:id="rId11"/>
    <sheet name="Sinaloa_GENERO" sheetId="12" r:id="rId12"/>
    <sheet name="Sinaloa_GENERO_EUA" sheetId="17" r:id="rId13"/>
    <sheet name="Sinaloa_Gen_Edad" sheetId="13" r:id="rId14"/>
    <sheet name="Sinaloa_ocup_gral" sheetId="14" r:id="rId15"/>
  </sheets>
  <definedNames>
    <definedName name="_xlnm._FilterDatabase" localSheetId="2" hidden="1">Sinaloa_Cons!$B$11:$D$11</definedName>
    <definedName name="_xlnm._FilterDatabase" localSheetId="4" hidden="1">Sinaloa_EdoMun!$B$11:$D$11</definedName>
    <definedName name="_xlnm._FilterDatabase" localSheetId="1" hidden="1">Sinaloa_EdoUsa!$B$11:$D$11</definedName>
    <definedName name="_xlnm._FilterDatabase" localSheetId="7" hidden="1">Sinaloa_educ_gral!$B$11:$D$11</definedName>
    <definedName name="_xlnm._FilterDatabase" localSheetId="9" hidden="1">Sinaloa_EducCons!$B$9:$E$9</definedName>
    <definedName name="_xlnm._FilterDatabase" localSheetId="11" hidden="1">Sinaloa_GENERO!$B$12:$E$164</definedName>
    <definedName name="_xlnm._FilterDatabase" localSheetId="12" hidden="1">Sinaloa_GENERO_EUA!$B$12:$E$141</definedName>
    <definedName name="_xlnm._FilterDatabase" localSheetId="10" hidden="1">Sinaloa_GenGral!$B$11:$D$11</definedName>
    <definedName name="_xlnm._FilterDatabase" localSheetId="6" hidden="1">Sinaloa_MUNICIPIO!$B$9:$E$9</definedName>
    <definedName name="_xlnm._FilterDatabase" localSheetId="8" hidden="1">Sinaloa_NivelE_Cons!$B$9:$E$9</definedName>
    <definedName name="_xlnm._FilterDatabase" localSheetId="14" hidden="1">Sinaloa_ocup_gral!$B$11:$D$11</definedName>
    <definedName name="_xlnm._FilterDatabase" localSheetId="5" hidden="1">Sinaloa_USAMuni!$B$9:$E$9</definedName>
    <definedName name="_xlnm._FilterDatabase" localSheetId="3" hidden="1">SinaloaXCons!$B$11:$D$11</definedName>
    <definedName name="_xlnm.Print_Area" localSheetId="7">Sinaloa_educ_gral!$A$1:$F$42</definedName>
    <definedName name="_xlnm.Print_Area" localSheetId="9">Sinaloa_EducCons!$A$1:$E$749</definedName>
    <definedName name="_xlnm.Print_Area" localSheetId="13">Sinaloa_Gen_Edad!$A$1:$G$39</definedName>
    <definedName name="_xlnm.Print_Area" localSheetId="11">Sinaloa_GENERO!$A$1:$F$171</definedName>
    <definedName name="_xlnm.Print_Area" localSheetId="12">Sinaloa_GENERO_EUA!$A$1:$F$156</definedName>
    <definedName name="_xlnm.Print_Area" localSheetId="10">Sinaloa_GenGral!$A$1:$F$22</definedName>
    <definedName name="_xlnm.Print_Area" localSheetId="6">Sinaloa_MUNICIPIO!$A$1:$E$731</definedName>
    <definedName name="_xlnm.Print_Area" localSheetId="8">Sinaloa_NivelE_Cons!$A$1:$E$524</definedName>
    <definedName name="_xlnm.Print_Area" localSheetId="5">Sinaloa_USAMuni!$A$1:$E$529</definedName>
    <definedName name="_xlnm.Print_Titles" localSheetId="2">Sinaloa_Cons!$1:$11</definedName>
    <definedName name="_xlnm.Print_Titles" localSheetId="4">Sinaloa_EdoMun!$1:$11</definedName>
    <definedName name="_xlnm.Print_Titles" localSheetId="1">Sinaloa_EdoUsa!$1:$11</definedName>
    <definedName name="_xlnm.Print_Titles" localSheetId="7">Sinaloa_educ_gral!$1:$11</definedName>
    <definedName name="_xlnm.Print_Titles" localSheetId="9">Sinaloa_EducCons!$1:$9</definedName>
    <definedName name="_xlnm.Print_Titles" localSheetId="13">Sinaloa_Gen_Edad!$1:$12</definedName>
    <definedName name="_xlnm.Print_Titles" localSheetId="11">Sinaloa_GENERO!$1:$12</definedName>
    <definedName name="_xlnm.Print_Titles" localSheetId="12">Sinaloa_GENERO_EUA!$1:$12</definedName>
    <definedName name="_xlnm.Print_Titles" localSheetId="10">Sinaloa_GenGral!$1:$11</definedName>
    <definedName name="_xlnm.Print_Titles" localSheetId="6">Sinaloa_MUNICIPIO!$1:$9</definedName>
    <definedName name="_xlnm.Print_Titles" localSheetId="8">Sinaloa_NivelE_Cons!$1:$9</definedName>
    <definedName name="_xlnm.Print_Titles" localSheetId="14">Sinaloa_ocup_gral!$1:$11</definedName>
    <definedName name="_xlnm.Print_Titles" localSheetId="5">Sinaloa_USAMuni!$1:$9</definedName>
    <definedName name="_xlnm.Print_Titles" localSheetId="3">SinaloaXCons!$1:$11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3" l="1"/>
  <c r="F32" i="13"/>
  <c r="F30" i="13"/>
  <c r="F21" i="13"/>
  <c r="F31" i="13"/>
  <c r="F23" i="13"/>
  <c r="F24" i="13"/>
  <c r="F25" i="13"/>
  <c r="F26" i="13"/>
  <c r="F27" i="13"/>
  <c r="F28" i="13"/>
  <c r="F29" i="13"/>
  <c r="F22" i="13"/>
  <c r="F14" i="13"/>
  <c r="F15" i="13"/>
  <c r="F16" i="13"/>
  <c r="F17" i="13"/>
  <c r="F18" i="13"/>
  <c r="F19" i="13"/>
  <c r="F20" i="13"/>
  <c r="F13" i="13"/>
  <c r="E23" i="13"/>
  <c r="E24" i="13"/>
  <c r="E25" i="13"/>
  <c r="E26" i="13"/>
  <c r="E27" i="13"/>
  <c r="E28" i="13"/>
  <c r="E29" i="13"/>
  <c r="E22" i="13"/>
  <c r="E14" i="13"/>
  <c r="E15" i="13"/>
  <c r="E16" i="13"/>
  <c r="E17" i="13"/>
  <c r="E18" i="13"/>
  <c r="E19" i="13"/>
  <c r="E20" i="13"/>
  <c r="E13" i="13"/>
  <c r="C22" i="16"/>
  <c r="D22" i="16" s="1"/>
</calcChain>
</file>

<file path=xl/sharedStrings.xml><?xml version="1.0" encoding="utf-8"?>
<sst xmlns="http://schemas.openxmlformats.org/spreadsheetml/2006/main" count="3414" uniqueCount="275">
  <si>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</si>
  <si>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</si>
  <si>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</si>
  <si>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</si>
  <si>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</si>
  <si>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</si>
  <si>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</si>
  <si>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</si>
  <si>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</si>
  <si>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</si>
  <si>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</si>
  <si>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</si>
  <si>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</si>
  <si>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</si>
  <si>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</si>
  <si>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</si>
  <si>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</si>
  <si>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</si>
  <si>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</si>
  <si>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</si>
  <si>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</si>
  <si>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</si>
  <si>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</si>
  <si>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</si>
  <si>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</si>
  <si>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</si>
  <si>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</si>
  <si>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</si>
  <si>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</si>
  <si>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</si>
  <si>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</si>
  <si>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</si>
  <si>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</si>
  <si>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SINALOA POR GÉNERO Y EDAD EN EE.UU.</t>
  </si>
  <si>
    <t>Ocupación</t>
  </si>
  <si>
    <t>5.3 Por Estados de la Unión Americana</t>
  </si>
  <si>
    <t>MATRÍCULAS CONSULARES DE ALTA SEGURIDAD EXPEDIDAS A ORIGINARIOS DE SINALOA EN LOS CONSULADOS DE MÉXICO EN EE.UU.</t>
  </si>
  <si>
    <t xml:space="preserve">MATRÍCULAS CONSULARES EXPEDIDAS A ORIGINARIOS DE SINALOA POR GÉNERO EN EE.UU </t>
  </si>
  <si>
    <t>MATRÍCULAS CONSULARES EXPEDIDAS EN EE.UU. A ORIGINARIOS DE SINALOA POR NIVEL DE EDUCACIÓN</t>
  </si>
  <si>
    <t>MATRÍCULAS CONSULARES EXPEDIDAS A ORIGINARIOS DE SINALOA POR GÉNERO Y CONSULADO</t>
  </si>
  <si>
    <t>MATRÍCULAS CONSULARES EXPEDIDAS A ORIGINARIOS DE SINALOA POR GÉNERO Y POR ESTADO DE LA UNIÓN AMERICANA</t>
  </si>
  <si>
    <t xml:space="preserve">MATRÍCULAS CONSULARES DE ALTA SEGURIDAD EXPEDIDAS POR MUNICIPIO A ORIGINARIOS DEL ESTADO DE SINALOA EN LOS CONSULADOS DE MÉXICO EN EE.UU. </t>
  </si>
  <si>
    <t>MATRÍCULAS CONSULARES DE ALTA SEGURIDAD EXPEDIDAS A ORIGINARIOS DE SINALOA POR ESTADO DE LA UNIÓN AMERICANA.</t>
  </si>
  <si>
    <t>LOS 10 CONSULADOS  DE MÉXICO EN EE.UU., CON MAYOR NÚMERO DE EXPEDICIÓN DE  MATRÍCULAS CONSULARES DE ALTA SEGURIDAD A ORIGINARIOS DE SINALOA</t>
  </si>
  <si>
    <t>TOTAL TOP 10</t>
  </si>
  <si>
    <t>TOTAL GENERAL</t>
  </si>
  <si>
    <t>Elaborado por: Análisis de Información, Instituto de Mexicanas y Mexicanos en el Exterior</t>
  </si>
  <si>
    <t>LOS ANGELES</t>
  </si>
  <si>
    <t>PHOENIX</t>
  </si>
  <si>
    <t>FRESNO</t>
  </si>
  <si>
    <t>SAN BERNARDINO</t>
  </si>
  <si>
    <t>SACRAMENTO</t>
  </si>
  <si>
    <t>LAS VEGAS</t>
  </si>
  <si>
    <t>SAN JOSE</t>
  </si>
  <si>
    <t>SANTA ANA</t>
  </si>
  <si>
    <t>SAN DIEGO</t>
  </si>
  <si>
    <t>CHICAGO</t>
  </si>
  <si>
    <t>SAN FRANCISCO</t>
  </si>
  <si>
    <t>TUCSON</t>
  </si>
  <si>
    <t>OXNARD</t>
  </si>
  <si>
    <t>DENVER</t>
  </si>
  <si>
    <t>RALEIGH</t>
  </si>
  <si>
    <t>BOISE</t>
  </si>
  <si>
    <t>SALT LAKE CITY</t>
  </si>
  <si>
    <t>DALLAS</t>
  </si>
  <si>
    <t>HOUSTON</t>
  </si>
  <si>
    <t>KANSAS CITY</t>
  </si>
  <si>
    <t>SEATTLE</t>
  </si>
  <si>
    <t>OKLAHOMA CITY</t>
  </si>
  <si>
    <t>LITTLE ROCK</t>
  </si>
  <si>
    <t>SAINT PAUL</t>
  </si>
  <si>
    <t>OMAHA</t>
  </si>
  <si>
    <t>ATLANTA</t>
  </si>
  <si>
    <t>ORLANDO</t>
  </si>
  <si>
    <t>ALBUQUERQUE</t>
  </si>
  <si>
    <t>PORTLAND</t>
  </si>
  <si>
    <t>YUMA</t>
  </si>
  <si>
    <t>NUEVA ORLEANS</t>
  </si>
  <si>
    <t>SAN ANTONIO</t>
  </si>
  <si>
    <t>DETROIT</t>
  </si>
  <si>
    <t>NUEVA YORK</t>
  </si>
  <si>
    <t>MCALLEN</t>
  </si>
  <si>
    <t>MIAMI</t>
  </si>
  <si>
    <t>EL PASO</t>
  </si>
  <si>
    <t>INDIANAPOLIS</t>
  </si>
  <si>
    <t>AUSTIN</t>
  </si>
  <si>
    <t>FILADELFIA</t>
  </si>
  <si>
    <t>MILWAUKEE</t>
  </si>
  <si>
    <t>CALEXICO</t>
  </si>
  <si>
    <t>WASHINGTON</t>
  </si>
  <si>
    <t>NOGALES</t>
  </si>
  <si>
    <t>BROWNSVILLE</t>
  </si>
  <si>
    <t>PRESIDIO</t>
  </si>
  <si>
    <t>LAREDO</t>
  </si>
  <si>
    <t>BOSTON</t>
  </si>
  <si>
    <t>NEW BRUNSWICK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</si>
  <si>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</si>
  <si>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</si>
  <si>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</si>
  <si>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</si>
  <si>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</si>
  <si>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</si>
  <si>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</si>
  <si>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</si>
  <si>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</si>
  <si>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</si>
  <si>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</si>
  <si>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</si>
  <si>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</si>
  <si>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</si>
  <si>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</si>
  <si>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</si>
  <si>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</si>
  <si>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</si>
  <si>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</si>
  <si>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</si>
  <si>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</si>
  <si>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</si>
  <si>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</si>
  <si>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</si>
  <si>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</si>
  <si>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</si>
  <si>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</si>
  <si>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</si>
  <si>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</si>
  <si>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</si>
  <si>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</si>
  <si>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</si>
  <si>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</si>
  <si>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</si>
  <si>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</si>
  <si>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</si>
  <si>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</si>
  <si>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</si>
  <si>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</si>
  <si>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</si>
  <si>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</si>
  <si>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</si>
  <si>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</si>
  <si>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</si>
  <si>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</si>
  <si>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</si>
  <si>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AHOME</t>
  </si>
  <si>
    <t>BADIRAGUATO</t>
  </si>
  <si>
    <t>CULIACÁN</t>
  </si>
  <si>
    <t>ELOTA</t>
  </si>
  <si>
    <t>ESCUINAPA</t>
  </si>
  <si>
    <t>GUASAVE</t>
  </si>
  <si>
    <t>MAZATLÁN</t>
  </si>
  <si>
    <t>NAVOLATO</t>
  </si>
  <si>
    <t>SALVADOR ALVARADO</t>
  </si>
  <si>
    <t>SAN IGNACIO</t>
  </si>
  <si>
    <t>ANGOSTURA</t>
  </si>
  <si>
    <t>CHOIX</t>
  </si>
  <si>
    <t>CONCORDIA</t>
  </si>
  <si>
    <t>COSALÁ</t>
  </si>
  <si>
    <t>EL FUERTE</t>
  </si>
  <si>
    <t>MOCORITO</t>
  </si>
  <si>
    <t>ROSARIO</t>
  </si>
  <si>
    <t>SINALOA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</si>
  <si>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</si>
  <si>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</si>
  <si>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</si>
  <si>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</si>
  <si>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</si>
  <si>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</si>
  <si>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</si>
  <si>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</si>
  <si>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</si>
  <si>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</si>
  <si>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</si>
  <si>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</si>
  <si>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</si>
  <si>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</si>
  <si>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</si>
  <si>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</si>
  <si>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</si>
  <si>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</si>
  <si>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</si>
  <si>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</si>
  <si>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</si>
  <si>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</si>
  <si>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</si>
  <si>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</si>
  <si>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</si>
  <si>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</si>
  <si>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</si>
  <si>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</si>
  <si>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</si>
  <si>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</si>
  <si>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</si>
  <si>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</si>
  <si>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</si>
  <si>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</si>
  <si>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AGROPECUARIA, TRAB. DE LA INDUSTRIA</t>
  </si>
  <si>
    <t>ESTUDIANTE</t>
  </si>
  <si>
    <t>OBRERO(A)</t>
  </si>
  <si>
    <t>ALIMENTOS Y BEBIDAS, ESP. EN PREPARACIÓN DE</t>
  </si>
  <si>
    <t>JARDINERO(A)</t>
  </si>
  <si>
    <t>PINTOR(A)</t>
  </si>
  <si>
    <t>SIN ESPECIFICAR</t>
  </si>
  <si>
    <t>JUBILADO(A)/PENSIONADO(A)</t>
  </si>
  <si>
    <t>LIMPIEZA, EMPLEADO DE</t>
  </si>
  <si>
    <t>PROFESIONISTA</t>
  </si>
  <si>
    <t>DESEMPLEADO</t>
  </si>
  <si>
    <t>CHOFER</t>
  </si>
  <si>
    <t>EMPRESARIO(A)</t>
  </si>
  <si>
    <t>MECÁNICO(A)</t>
  </si>
  <si>
    <t>VENDEDOR(A)</t>
  </si>
  <si>
    <t>CARPINTERO/TAPICERO</t>
  </si>
  <si>
    <t>OPERARIO(A)</t>
  </si>
  <si>
    <t>MESERO(A)</t>
  </si>
  <si>
    <t>CAJERO(A)/COBRADOR(A)</t>
  </si>
  <si>
    <t>AEROCOMERCIAL, TRAB. DE LA INDUSTRIA</t>
  </si>
  <si>
    <t>BELLEZA, PROFESIONAL DE SERVICIOS DE</t>
  </si>
  <si>
    <t>TÉCNICO(A) EN MANTENIMIENTO</t>
  </si>
  <si>
    <t>SOLDADOR</t>
  </si>
  <si>
    <t>DISCAPACITADO</t>
  </si>
  <si>
    <t>ENFERMERO(A)/TRAB. DE APOYO EN SALUD</t>
  </si>
  <si>
    <t>INGENIERO(A)</t>
  </si>
  <si>
    <t>PROFESOR(A)</t>
  </si>
  <si>
    <t>ARTISTA INTERPRETATIVO(A)</t>
  </si>
  <si>
    <t>ABOGADO(A)</t>
  </si>
  <si>
    <t>ADMINISTRADOR(A)/CONTADOR(A)</t>
  </si>
  <si>
    <t>CARNICERO(A)</t>
  </si>
  <si>
    <t>GERENTE/DIRECTOR(A)</t>
  </si>
  <si>
    <t>TRABAJADOR(A) DOMÉSTICO(A)</t>
  </si>
  <si>
    <t>PROFESIONAL TÉCNICO</t>
  </si>
  <si>
    <t>COMERCIANTE</t>
  </si>
  <si>
    <t>CONSULTOR</t>
  </si>
  <si>
    <t>FOTÓGRAFO(A)</t>
  </si>
  <si>
    <t>MÉDICO(A) /ESP. EN SALUD</t>
  </si>
  <si>
    <t>OTRO</t>
  </si>
  <si>
    <t>RECICLAJE, TRAB. DE LA INDUSTRIA DEL</t>
  </si>
  <si>
    <t>MATRÍCULAS CONSULARES EXPEDIDAS EN EE.UU. ORIGINARIOS DE SINALOA POR PERFIL OCUPACIONAL</t>
  </si>
  <si>
    <t>Tamaño de la muestra: 808,027</t>
  </si>
  <si>
    <t>DOUGLAS</t>
  </si>
  <si>
    <t>DISTRICT OF COLUMBIA</t>
  </si>
  <si>
    <t>NO BINARIO</t>
  </si>
  <si>
    <t>VERMONT</t>
  </si>
  <si>
    <t>SUMA TOTAL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</si>
  <si>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</si>
  <si>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</si>
  <si>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</si>
  <si>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</si>
  <si>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</si>
  <si>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</si>
  <si>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</si>
  <si>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</si>
  <si>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</si>
  <si>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</si>
  <si>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</si>
  <si>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</si>
  <si>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</si>
  <si>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</si>
  <si>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</si>
  <si>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NO BINARIO   </t>
  </si>
  <si>
    <t xml:space="preserve">MASCULINO  </t>
  </si>
  <si>
    <t xml:space="preserve">FEMENINO  </t>
  </si>
  <si>
    <t xml:space="preserve">NO BINARIO </t>
  </si>
  <si>
    <t>AUXILIARES ADMINISTRATIVOS Y DE OFICINA</t>
  </si>
  <si>
    <t>DISEÑADOR(A)</t>
  </si>
  <si>
    <t>EXTRACCIÓN, TRAB. DE LA INDUSTRIA DE LA</t>
  </si>
  <si>
    <t>ARTESANO(A)</t>
  </si>
  <si>
    <t>HOJALATERO</t>
  </si>
  <si>
    <t>INVESTIGADOR(A)</t>
  </si>
  <si>
    <t>TRABAJADOR(A) SOCIAL</t>
  </si>
  <si>
    <t>TOTAL</t>
  </si>
  <si>
    <t>Junio de 2025</t>
  </si>
  <si>
    <t xml:space="preserve">TOTAL </t>
  </si>
  <si>
    <t xml:space="preserve"> TOTAL</t>
  </si>
  <si>
    <t xml:space="preserve"> TOTAL </t>
  </si>
  <si>
    <t>Juinio de 2025</t>
  </si>
  <si>
    <t>Junio  de 2025</t>
  </si>
  <si>
    <t xml:space="preserve">  Matrículas consulares expedidas a originarios de Sinaloa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</si>
</sst>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theme="1"/>
      <name val="Mnot"/>
    </font>
    <font>
      <sz val="10"/>
      <color theme="1"/>
      <name val="Mnot"/>
    </font>
    <font>
      <sz val="11"/>
      <color theme="1"/>
      <name val="Mnot"/>
    </font>
    <font>
      <sz val="7"/>
      <color indexed="8"/>
      <name val="Mnot"/>
    </font>
    <font>
      <sz val="8"/>
      <color indexed="8"/>
      <name val="Mnot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b/>
      <sz val="9"/>
      <color theme="0"/>
      <name val="Noto Sans"/>
      <family val="2"/>
    </font>
    <font>
      <sz val="10"/>
      <color theme="1"/>
      <name val="Noto Sans "/>
    </font>
    <font>
      <b/>
      <sz val="9"/>
      <color theme="0"/>
      <name val="Noto Sans "/>
    </font>
    <font>
      <sz val="9"/>
      <color theme="1"/>
      <name val="Noto Sans "/>
    </font>
    <font>
      <sz val="9"/>
      <color rgb="FF000000"/>
      <name val="Noto Sans 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2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9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1" fillId="0" borderId="4" xfId="0" applyFont="1" applyBorder="1"/>
    <xf numFmtId="0" fontId="13" fillId="0" borderId="0" xfId="0" applyFont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 applyAlignment="1">
      <alignment vertical="center"/>
    </xf>
    <xf numFmtId="3" fontId="16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top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0" borderId="0" xfId="0" applyFont="1"/>
    <xf numFmtId="0" fontId="23" fillId="0" borderId="0" xfId="0" applyFont="1" applyAlignment="1">
      <alignment horizontal="center" vertical="center" wrapText="1"/>
    </xf>
    <xf numFmtId="0" fontId="23" fillId="3" borderId="0" xfId="0" applyFont="1" applyFill="1"/>
    <xf numFmtId="0" fontId="24" fillId="3" borderId="0" xfId="0" applyFont="1" applyFill="1"/>
    <xf numFmtId="3" fontId="23" fillId="3" borderId="0" xfId="0" applyNumberFormat="1" applyFont="1" applyFill="1"/>
    <xf numFmtId="0" fontId="25" fillId="0" borderId="0" xfId="0" applyFont="1" applyAlignment="1">
      <alignment horizontal="justify" vertical="center"/>
    </xf>
    <xf numFmtId="0" fontId="25" fillId="0" borderId="0" xfId="0" applyFont="1" applyAlignment="1">
      <alignment vertical="top"/>
    </xf>
    <xf numFmtId="0" fontId="26" fillId="3" borderId="0" xfId="0" applyFont="1" applyFill="1"/>
    <xf numFmtId="0" fontId="26" fillId="3" borderId="14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8" fillId="0" borderId="9" xfId="0" applyFont="1" applyBorder="1" applyAlignment="1">
      <alignment vertical="center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0" fontId="17" fillId="4" borderId="9" xfId="0" applyFont="1" applyFill="1" applyBorder="1" applyAlignment="1">
      <alignment vertical="center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49" fontId="29" fillId="0" borderId="9" xfId="0" applyNumberFormat="1" applyFont="1" applyBorder="1" applyAlignment="1">
      <alignment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0" fontId="29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3" fontId="28" fillId="6" borderId="9" xfId="0" applyNumberFormat="1" applyFont="1" applyFill="1" applyBorder="1" applyAlignment="1">
      <alignment horizontal="right" vertical="center" wrapText="1"/>
    </xf>
    <xf numFmtId="10" fontId="28" fillId="6" borderId="9" xfId="0" applyNumberFormat="1" applyFont="1" applyFill="1" applyBorder="1" applyAlignment="1">
      <alignment horizontal="right" vertical="center" wrapText="1"/>
    </xf>
    <xf numFmtId="0" fontId="28" fillId="6" borderId="9" xfId="0" applyFont="1" applyFill="1" applyBorder="1" applyAlignment="1">
      <alignment horizontal="right" vertical="center" wrapText="1"/>
    </xf>
    <xf numFmtId="0" fontId="30" fillId="7" borderId="9" xfId="0" applyFont="1" applyFill="1" applyBorder="1" applyAlignment="1">
      <alignment vertical="center" wrapText="1"/>
    </xf>
    <xf numFmtId="3" fontId="30" fillId="7" borderId="9" xfId="0" applyNumberFormat="1" applyFont="1" applyFill="1" applyBorder="1" applyAlignment="1">
      <alignment horizontal="right" vertical="center" wrapText="1"/>
    </xf>
    <xf numFmtId="10" fontId="30" fillId="7" borderId="9" xfId="0" applyNumberFormat="1" applyFont="1" applyFill="1" applyBorder="1" applyAlignment="1">
      <alignment horizontal="right" vertical="center" wrapText="1"/>
    </xf>
    <xf numFmtId="3" fontId="30" fillId="4" borderId="9" xfId="0" applyNumberFormat="1" applyFont="1" applyFill="1" applyBorder="1" applyAlignment="1">
      <alignment horizontal="right" vertical="center" wrapText="1"/>
    </xf>
    <xf numFmtId="10" fontId="30" fillId="4" borderId="9" xfId="0" applyNumberFormat="1" applyFont="1" applyFill="1" applyBorder="1" applyAlignment="1">
      <alignment horizontal="right" vertical="center" wrapText="1"/>
    </xf>
    <xf numFmtId="0" fontId="30" fillId="7" borderId="9" xfId="0" applyFont="1" applyFill="1" applyBorder="1" applyAlignment="1">
      <alignment horizontal="right" vertical="center" wrapText="1"/>
    </xf>
    <xf numFmtId="0" fontId="30" fillId="4" borderId="9" xfId="0" applyFont="1" applyFill="1" applyBorder="1" applyAlignment="1">
      <alignment horizontal="right"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28" fillId="0" borderId="10" xfId="0" applyFont="1" applyBorder="1" applyAlignment="1">
      <alignment vertical="center" wrapText="1"/>
    </xf>
    <xf numFmtId="0" fontId="28" fillId="0" borderId="19" xfId="0" applyFont="1" applyBorder="1" applyAlignment="1">
      <alignment vertical="center" wrapText="1"/>
    </xf>
    <xf numFmtId="0" fontId="32" fillId="2" borderId="11" xfId="0" applyFont="1" applyFill="1" applyBorder="1" applyAlignment="1">
      <alignment horizontal="center" vertical="center" wrapText="1"/>
    </xf>
    <xf numFmtId="1" fontId="32" fillId="2" borderId="10" xfId="0" applyNumberFormat="1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49" fontId="33" fillId="0" borderId="15" xfId="0" applyNumberFormat="1" applyFont="1" applyBorder="1" applyAlignment="1">
      <alignment vertical="top" wrapText="1"/>
    </xf>
    <xf numFmtId="165" fontId="34" fillId="6" borderId="16" xfId="0" applyNumberFormat="1" applyFont="1" applyFill="1" applyBorder="1" applyAlignment="1">
      <alignment horizontal="right" vertical="top" wrapText="1"/>
    </xf>
    <xf numFmtId="164" fontId="34" fillId="6" borderId="17" xfId="0" applyNumberFormat="1" applyFont="1" applyFill="1" applyBorder="1" applyAlignment="1">
      <alignment horizontal="right" vertical="top" wrapText="1"/>
    </xf>
    <xf numFmtId="49" fontId="33" fillId="0" borderId="16" xfId="0" applyNumberFormat="1" applyFont="1" applyBorder="1" applyAlignment="1">
      <alignment vertical="top" wrapText="1"/>
    </xf>
    <xf numFmtId="49" fontId="32" fillId="4" borderId="0" xfId="0" applyNumberFormat="1" applyFont="1" applyFill="1" applyAlignment="1">
      <alignment vertical="top" wrapText="1"/>
    </xf>
    <xf numFmtId="165" fontId="32" fillId="4" borderId="0" xfId="0" applyNumberFormat="1" applyFont="1" applyFill="1" applyAlignment="1">
      <alignment horizontal="right" vertical="top" wrapText="1"/>
    </xf>
    <xf numFmtId="164" fontId="32" fillId="4" borderId="0" xfId="0" applyNumberFormat="1" applyFont="1" applyFill="1" applyAlignment="1">
      <alignment horizontal="right" vertical="top" wrapText="1"/>
    </xf>
    <xf numFmtId="0" fontId="27" fillId="5" borderId="10" xfId="3" applyFont="1" applyFill="1" applyBorder="1" applyAlignment="1">
      <alignment horizontal="center" vertical="center" wrapText="1"/>
    </xf>
    <xf numFmtId="49" fontId="30" fillId="7" borderId="9" xfId="0" applyNumberFormat="1" applyFont="1" applyFill="1" applyBorder="1" applyAlignment="1">
      <alignment vertical="top" wrapText="1"/>
    </xf>
    <xf numFmtId="165" fontId="30" fillId="7" borderId="9" xfId="0" applyNumberFormat="1" applyFont="1" applyFill="1" applyBorder="1" applyAlignment="1">
      <alignment horizontal="right" vertical="top" wrapText="1"/>
    </xf>
    <xf numFmtId="164" fontId="30" fillId="7" borderId="9" xfId="0" applyNumberFormat="1" applyFont="1" applyFill="1" applyBorder="1" applyAlignment="1">
      <alignment horizontal="right" vertical="top" wrapText="1"/>
    </xf>
    <xf numFmtId="49" fontId="30" fillId="4" borderId="9" xfId="0" applyNumberFormat="1" applyFont="1" applyFill="1" applyBorder="1" applyAlignment="1">
      <alignment vertical="top" wrapText="1"/>
    </xf>
    <xf numFmtId="165" fontId="30" fillId="4" borderId="9" xfId="0" applyNumberFormat="1" applyFont="1" applyFill="1" applyBorder="1" applyAlignment="1">
      <alignment horizontal="right" vertical="top" wrapText="1"/>
    </xf>
    <xf numFmtId="164" fontId="30" fillId="4" borderId="9" xfId="0" applyNumberFormat="1" applyFont="1" applyFill="1" applyBorder="1" applyAlignment="1">
      <alignment horizontal="right" vertical="top" wrapText="1"/>
    </xf>
    <xf numFmtId="0" fontId="17" fillId="7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2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8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center" vertical="center" wrapText="1"/>
    </xf>
    <xf numFmtId="0" fontId="30" fillId="4" borderId="9" xfId="0" applyFont="1" applyFill="1" applyBorder="1" applyAlignment="1">
      <alignment vertical="center" wrapText="1"/>
    </xf>
    <xf numFmtId="0" fontId="16" fillId="3" borderId="0" xfId="0" applyFont="1" applyFill="1" applyAlignment="1">
      <alignment horizontal="center" wrapText="1"/>
    </xf>
    <xf numFmtId="0" fontId="30" fillId="4" borderId="13" xfId="0" applyFont="1" applyFill="1" applyBorder="1" applyAlignment="1">
      <alignment vertical="center" wrapText="1"/>
    </xf>
    <xf numFmtId="0" fontId="30" fillId="4" borderId="12" xfId="0" applyFont="1" applyFill="1" applyBorder="1" applyAlignment="1">
      <alignment vertical="center" wrapText="1"/>
    </xf>
    <xf numFmtId="0" fontId="3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 wrapText="1"/>
    </xf>
    <xf numFmtId="49" fontId="29" fillId="0" borderId="10" xfId="0" applyNumberFormat="1" applyFont="1" applyBorder="1" applyAlignment="1">
      <alignment horizontal="center" vertical="center" wrapText="1"/>
    </xf>
    <xf numFmtId="49" fontId="29" fillId="0" borderId="18" xfId="0" applyNumberFormat="1" applyFont="1" applyBorder="1" applyAlignment="1">
      <alignment horizontal="center" vertical="center" wrapText="1"/>
    </xf>
    <xf numFmtId="49" fontId="29" fillId="0" borderId="19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362666</xdr:colOff>
      <xdr:row>1</xdr:row>
      <xdr:rowOff>196542</xdr:rowOff>
    </xdr:from>
    <xdr:to>
      <xdr:col>3</xdr:col>
      <xdr:colOff>874763</xdr:colOff>
      <xdr:row>2</xdr:row>
      <xdr:rowOff>196542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48816" y="7299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375478</xdr:colOff>
      <xdr:row>7</xdr:row>
      <xdr:rowOff>0</xdr:rowOff>
    </xdr:from>
    <xdr:to>
      <xdr:col>5</xdr:col>
      <xdr:colOff>241532</xdr:colOff>
      <xdr:row>7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013739" y="154056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139672</xdr:colOff>
      <xdr:row>1</xdr:row>
      <xdr:rowOff>150621</xdr:rowOff>
    </xdr:from>
    <xdr:to>
      <xdr:col>1</xdr:col>
      <xdr:colOff>1139797</xdr:colOff>
      <xdr:row>2</xdr:row>
      <xdr:rowOff>181998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82BAF8D-358F-4E75-AC1B-684F45868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672" y="34112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424654</xdr:colOff>
      <xdr:row>1</xdr:row>
      <xdr:rowOff>55217</xdr:rowOff>
    </xdr:from>
    <xdr:to>
      <xdr:col>5</xdr:col>
      <xdr:colOff>243678</xdr:colOff>
      <xdr:row>3</xdr:row>
      <xdr:rowOff>142652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B8FFD3C-3072-41E1-BD08-CFA073599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4265" y="245717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134733</xdr:colOff>
      <xdr:row>1</xdr:row>
      <xdr:rowOff>126449</xdr:rowOff>
    </xdr:from>
    <xdr:to>
      <xdr:col>1</xdr:col>
      <xdr:colOff>1134858</xdr:colOff>
      <xdr:row>2</xdr:row>
      <xdr:rowOff>157826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C122E70-DC1D-4996-9142-4736E92FF4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733" y="316949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438704</xdr:colOff>
      <xdr:row>1</xdr:row>
      <xdr:rowOff>48039</xdr:rowOff>
    </xdr:from>
    <xdr:to>
      <xdr:col>5</xdr:col>
      <xdr:colOff>257728</xdr:colOff>
      <xdr:row>3</xdr:row>
      <xdr:rowOff>135474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455EF06-7B5A-4299-A02C-478AD4E8D6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0554" y="238539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126450</xdr:colOff>
      <xdr:row>1</xdr:row>
      <xdr:rowOff>162616</xdr:rowOff>
    </xdr:from>
    <xdr:to>
      <xdr:col>1</xdr:col>
      <xdr:colOff>1126575</xdr:colOff>
      <xdr:row>3</xdr:row>
      <xdr:rowOff>3493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6F7F3E3-BB83-4E78-8C41-90E1F9B932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450" y="353116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437599</xdr:colOff>
      <xdr:row>1</xdr:row>
      <xdr:rowOff>71231</xdr:rowOff>
    </xdr:from>
    <xdr:to>
      <xdr:col>5</xdr:col>
      <xdr:colOff>256623</xdr:colOff>
      <xdr:row>3</xdr:row>
      <xdr:rowOff>158666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6FBB99D-6CEF-4E78-9218-3DC9F29ED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9449" y="261731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295275</xdr:colOff>
      <xdr:row>7</xdr:row>
      <xdr:rowOff>66675</xdr:rowOff>
    </xdr:from>
    <xdr:to>
      <xdr:col>5</xdr:col>
      <xdr:colOff>188247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343275" y="140017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119549</xdr:colOff>
      <xdr:row>1</xdr:row>
      <xdr:rowOff>118166</xdr:rowOff>
    </xdr:from>
    <xdr:to>
      <xdr:col>1</xdr:col>
      <xdr:colOff>1119674</xdr:colOff>
      <xdr:row>2</xdr:row>
      <xdr:rowOff>149543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C859E74-C42C-4E35-8096-9E8905412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49" y="308666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443396</xdr:colOff>
      <xdr:row>1</xdr:row>
      <xdr:rowOff>54665</xdr:rowOff>
    </xdr:from>
    <xdr:to>
      <xdr:col>5</xdr:col>
      <xdr:colOff>262421</xdr:colOff>
      <xdr:row>3</xdr:row>
      <xdr:rowOff>142100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5E5C394-45EF-45AE-B7F3-A7F2E2DEC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64696" y="245165"/>
          <a:ext cx="46672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SINALOA POR ESTADO EN EE.UU.</a:t>
          </a:r>
        </a:p>
      </xdr:txBody>
    </xdr:sp>
    <xdr:clientData/>
  </xdr:twoCellAnchor>
  <xdr:twoCellAnchor>
    <xdr:from>
      <xdr:col>4</xdr:col>
      <xdr:colOff>606985</xdr:colOff>
      <xdr:row>6</xdr:row>
      <xdr:rowOff>321384</xdr:rowOff>
    </xdr:from>
    <xdr:to>
      <xdr:col>4</xdr:col>
      <xdr:colOff>1119082</xdr:colOff>
      <xdr:row>7</xdr:row>
      <xdr:rowOff>173910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693335" y="1731084"/>
          <a:ext cx="512097" cy="18272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113844</xdr:colOff>
      <xdr:row>1</xdr:row>
      <xdr:rowOff>121534</xdr:rowOff>
    </xdr:from>
    <xdr:to>
      <xdr:col>2</xdr:col>
      <xdr:colOff>211165</xdr:colOff>
      <xdr:row>2</xdr:row>
      <xdr:rowOff>152911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B411040-29FB-4417-BBE8-BB33D4A687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400" y="276756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516839</xdr:colOff>
      <xdr:row>1</xdr:row>
      <xdr:rowOff>55958</xdr:rowOff>
    </xdr:from>
    <xdr:to>
      <xdr:col>4</xdr:col>
      <xdr:colOff>957059</xdr:colOff>
      <xdr:row>3</xdr:row>
      <xdr:rowOff>141733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28A9692-1CE4-4870-A675-237BC6800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3895" y="211180"/>
          <a:ext cx="440220" cy="466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SINALOA EN LOS CONSULADOS DE MÉXICO EN EE.UU. </a:t>
          </a:r>
        </a:p>
      </xdr:txBody>
    </xdr:sp>
    <xdr:clientData/>
  </xdr:twoCellAnchor>
  <xdr:twoCellAnchor>
    <xdr:from>
      <xdr:col>4</xdr:col>
      <xdr:colOff>575687</xdr:colOff>
      <xdr:row>7</xdr:row>
      <xdr:rowOff>104670</xdr:rowOff>
    </xdr:from>
    <xdr:to>
      <xdr:col>4</xdr:col>
      <xdr:colOff>1087784</xdr:colOff>
      <xdr:row>7</xdr:row>
      <xdr:rowOff>293077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910187" y="1438170"/>
          <a:ext cx="512097" cy="8363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69240</xdr:rowOff>
    </xdr:from>
    <xdr:to>
      <xdr:col>2</xdr:col>
      <xdr:colOff>163435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E294814-DB4C-4F7A-B7E7-F5CC0E976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480731</xdr:colOff>
      <xdr:row>1</xdr:row>
      <xdr:rowOff>46828</xdr:rowOff>
    </xdr:from>
    <xdr:to>
      <xdr:col>4</xdr:col>
      <xdr:colOff>920951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4075ACB-34F0-4862-8F02-05860BC0B7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44084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19450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106849</xdr:colOff>
      <xdr:row>1</xdr:row>
      <xdr:rowOff>118166</xdr:rowOff>
    </xdr:from>
    <xdr:to>
      <xdr:col>1</xdr:col>
      <xdr:colOff>1106974</xdr:colOff>
      <xdr:row>2</xdr:row>
      <xdr:rowOff>149543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9C5D546-1D77-44C3-BD94-3373E6F3F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49" y="308666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438979</xdr:colOff>
      <xdr:row>1</xdr:row>
      <xdr:rowOff>75372</xdr:rowOff>
    </xdr:from>
    <xdr:to>
      <xdr:col>5</xdr:col>
      <xdr:colOff>258003</xdr:colOff>
      <xdr:row>3</xdr:row>
      <xdr:rowOff>162807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AB244C5-624B-407A-9D7A-2AB5F553D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8579" y="265872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SINALOA POR NIVEL DE EDUCACIÓN Y ESTADO EN EE.UU.</a:t>
          </a:r>
        </a:p>
      </xdr:txBody>
    </xdr:sp>
    <xdr:clientData/>
  </xdr:twoCellAnchor>
  <xdr:twoCellAnchor>
    <xdr:from>
      <xdr:col>4</xdr:col>
      <xdr:colOff>512097</xdr:colOff>
      <xdr:row>7</xdr:row>
      <xdr:rowOff>92177</xdr:rowOff>
    </xdr:from>
    <xdr:to>
      <xdr:col>4</xdr:col>
      <xdr:colOff>1024194</xdr:colOff>
      <xdr:row>7</xdr:row>
      <xdr:rowOff>286774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846597" y="1425677"/>
          <a:ext cx="512097" cy="9934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58034</xdr:rowOff>
    </xdr:from>
    <xdr:to>
      <xdr:col>2</xdr:col>
      <xdr:colOff>197053</xdr:colOff>
      <xdr:row>2</xdr:row>
      <xdr:rowOff>89411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A631D4B-7377-43FF-8858-2591ECE88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1491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312643</xdr:colOff>
      <xdr:row>0</xdr:row>
      <xdr:rowOff>136474</xdr:rowOff>
    </xdr:from>
    <xdr:to>
      <xdr:col>4</xdr:col>
      <xdr:colOff>752863</xdr:colOff>
      <xdr:row>3</xdr:row>
      <xdr:rowOff>67027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FD350D0-DAA6-4551-8F3A-CCBE59728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1878" y="1364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SINALOA POR CONSULADO Y NIVEL DE EDUCACIÓN EN EE.UU.</a:t>
          </a:r>
        </a:p>
      </xdr:txBody>
    </xdr:sp>
    <xdr:clientData/>
  </xdr:twoCellAnchor>
  <xdr:twoCellAnchor>
    <xdr:from>
      <xdr:col>4</xdr:col>
      <xdr:colOff>486171</xdr:colOff>
      <xdr:row>7</xdr:row>
      <xdr:rowOff>128984</xdr:rowOff>
    </xdr:from>
    <xdr:to>
      <xdr:col>4</xdr:col>
      <xdr:colOff>998268</xdr:colOff>
      <xdr:row>7</xdr:row>
      <xdr:rowOff>317499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20671" y="1462484"/>
          <a:ext cx="512097" cy="6469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112432</xdr:colOff>
      <xdr:row>1</xdr:row>
      <xdr:rowOff>164490</xdr:rowOff>
    </xdr:from>
    <xdr:to>
      <xdr:col>2</xdr:col>
      <xdr:colOff>209753</xdr:colOff>
      <xdr:row>3</xdr:row>
      <xdr:rowOff>5367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48F51A1-1BC9-4717-9D90-18B748BD0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282" y="316890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583826</xdr:colOff>
      <xdr:row>1</xdr:row>
      <xdr:rowOff>108460</xdr:rowOff>
    </xdr:from>
    <xdr:to>
      <xdr:col>4</xdr:col>
      <xdr:colOff>1024046</xdr:colOff>
      <xdr:row>3</xdr:row>
      <xdr:rowOff>195895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BFFA5BD-A971-4AC4-8367-AC291ADAF1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0526" y="26086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248479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3261"/>
          <a:ext cx="5475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273740</xdr:colOff>
      <xdr:row>7</xdr:row>
      <xdr:rowOff>71783</xdr:rowOff>
    </xdr:from>
    <xdr:to>
      <xdr:col>5</xdr:col>
      <xdr:colOff>166712</xdr:colOff>
      <xdr:row>8</xdr:row>
      <xdr:rowOff>69022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912001" y="1612348"/>
          <a:ext cx="5390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123966</xdr:colOff>
      <xdr:row>1</xdr:row>
      <xdr:rowOff>141910</xdr:rowOff>
    </xdr:from>
    <xdr:to>
      <xdr:col>1</xdr:col>
      <xdr:colOff>1124091</xdr:colOff>
      <xdr:row>2</xdr:row>
      <xdr:rowOff>173287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E8F5210-30F9-49CB-8538-318EA0D90D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66" y="332410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320814</xdr:colOff>
      <xdr:row>1</xdr:row>
      <xdr:rowOff>99115</xdr:rowOff>
    </xdr:from>
    <xdr:to>
      <xdr:col>5</xdr:col>
      <xdr:colOff>139838</xdr:colOff>
      <xdr:row>3</xdr:row>
      <xdr:rowOff>186550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0B5FA52-3907-4941-A45C-3A9E39FC5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664" y="289615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781906</xdr:colOff>
      <xdr:row>9</xdr:row>
      <xdr:rowOff>7064</xdr:rowOff>
    </xdr:from>
    <xdr:to>
      <xdr:col>5</xdr:col>
      <xdr:colOff>210222</xdr:colOff>
      <xdr:row>10</xdr:row>
      <xdr:rowOff>7064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595206" y="1721564"/>
          <a:ext cx="52686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1</xdr:row>
      <xdr:rowOff>97254</xdr:rowOff>
    </xdr:from>
    <xdr:to>
      <xdr:col>2</xdr:col>
      <xdr:colOff>68746</xdr:colOff>
      <xdr:row>2</xdr:row>
      <xdr:rowOff>169906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0D0170D-6584-4C9A-8615-609F2599E8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8625" y="281404"/>
          <a:ext cx="16975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650875</xdr:colOff>
      <xdr:row>1</xdr:row>
      <xdr:rowOff>5179</xdr:rowOff>
    </xdr:from>
    <xdr:to>
      <xdr:col>4</xdr:col>
      <xdr:colOff>1091095</xdr:colOff>
      <xdr:row>3</xdr:row>
      <xdr:rowOff>133889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F03543B-1596-4270-B2E1-14255A81C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4175" y="18932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896206</xdr:colOff>
      <xdr:row>8</xdr:row>
      <xdr:rowOff>178514</xdr:rowOff>
    </xdr:from>
    <xdr:to>
      <xdr:col>5</xdr:col>
      <xdr:colOff>324522</xdr:colOff>
      <xdr:row>9</xdr:row>
      <xdr:rowOff>178514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709506" y="1702514"/>
          <a:ext cx="52686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0</xdr:row>
      <xdr:rowOff>125829</xdr:rowOff>
    </xdr:from>
    <xdr:to>
      <xdr:col>2</xdr:col>
      <xdr:colOff>59221</xdr:colOff>
      <xdr:row>2</xdr:row>
      <xdr:rowOff>14331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9727D37-BB53-4BC6-8822-B4514CDD52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258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447675</xdr:colOff>
      <xdr:row>0</xdr:row>
      <xdr:rowOff>106779</xdr:rowOff>
    </xdr:from>
    <xdr:to>
      <xdr:col>4</xdr:col>
      <xdr:colOff>887895</xdr:colOff>
      <xdr:row>3</xdr:row>
      <xdr:rowOff>51339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D050A09-0EB8-4895-B7B2-1DECEC9BD0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8725" y="1067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893536</xdr:colOff>
      <xdr:row>9</xdr:row>
      <xdr:rowOff>75292</xdr:rowOff>
    </xdr:from>
    <xdr:to>
      <xdr:col>6</xdr:col>
      <xdr:colOff>300733</xdr:colOff>
      <xdr:row>10</xdr:row>
      <xdr:rowOff>75293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824436" y="1789792"/>
          <a:ext cx="5628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135354</xdr:rowOff>
    </xdr:from>
    <xdr:to>
      <xdr:col>2</xdr:col>
      <xdr:colOff>383071</xdr:colOff>
      <xdr:row>2</xdr:row>
      <xdr:rowOff>23856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9934027-C0C9-423A-BDCD-5F18683407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" y="1353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476250</xdr:colOff>
      <xdr:row>0</xdr:row>
      <xdr:rowOff>87729</xdr:rowOff>
    </xdr:from>
    <xdr:to>
      <xdr:col>5</xdr:col>
      <xdr:colOff>916470</xdr:colOff>
      <xdr:row>3</xdr:row>
      <xdr:rowOff>32289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467C035-5574-4D16-B110-0D1E544D4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0" y="877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590826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55789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SINALOA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19188</xdr:colOff>
      <xdr:row>8</xdr:row>
      <xdr:rowOff>98839</xdr:rowOff>
    </xdr:from>
    <xdr:to>
      <xdr:col>4</xdr:col>
      <xdr:colOff>558204</xdr:colOff>
      <xdr:row>8</xdr:row>
      <xdr:rowOff>292100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43405" y="1832665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195058</xdr:colOff>
      <xdr:row>1</xdr:row>
      <xdr:rowOff>125344</xdr:rowOff>
    </xdr:from>
    <xdr:to>
      <xdr:col>1</xdr:col>
      <xdr:colOff>1195183</xdr:colOff>
      <xdr:row>2</xdr:row>
      <xdr:rowOff>156721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C6B31A1-4392-439B-8109-FDE3635D9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058" y="315844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1175303</xdr:colOff>
      <xdr:row>0</xdr:row>
      <xdr:rowOff>184978</xdr:rowOff>
    </xdr:from>
    <xdr:to>
      <xdr:col>4</xdr:col>
      <xdr:colOff>431110</xdr:colOff>
      <xdr:row>3</xdr:row>
      <xdr:rowOff>81913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8A0F210-DF50-45FD-92FA-D908A6CD4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5586" y="1849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topLeftCell="A13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05" t="s">
        <v>274</v>
      </c>
      <c r="B1" s="106"/>
      <c r="C1" s="106"/>
      <c r="D1" s="107"/>
    </row>
    <row r="2" spans="1:4">
      <c r="A2" s="2"/>
      <c r="B2" s="3"/>
      <c r="C2" s="3"/>
      <c r="D2" s="4"/>
    </row>
    <row r="3" spans="1:4">
      <c r="A3" s="108" t="s">
        <v>0</v>
      </c>
      <c r="B3" s="109"/>
      <c r="C3" s="109"/>
      <c r="D3" s="110"/>
    </row>
    <row r="4" spans="1:4">
      <c r="A4" s="108"/>
      <c r="B4" s="109"/>
      <c r="C4" s="109"/>
      <c r="D4" s="110"/>
    </row>
    <row r="5" spans="1:4">
      <c r="A5" s="5"/>
      <c r="B5" s="6"/>
      <c r="C5" s="6"/>
      <c r="D5" s="7"/>
    </row>
    <row r="6" spans="1:4" ht="18.75">
      <c r="A6" s="103" t="s">
        <v>1</v>
      </c>
      <c r="B6" s="104"/>
      <c r="C6" s="104"/>
      <c r="D6" s="111"/>
    </row>
    <row r="7" spans="1:4">
      <c r="A7" s="8"/>
      <c r="D7" s="9"/>
    </row>
    <row r="8" spans="1:4" ht="18.75">
      <c r="A8" s="103" t="s">
        <v>2</v>
      </c>
      <c r="B8" s="104"/>
      <c r="C8" s="104"/>
      <c r="D8" s="111"/>
    </row>
    <row r="9" spans="1:4" ht="18.75">
      <c r="A9" s="8"/>
      <c r="B9" s="103" t="s">
        <v>3</v>
      </c>
      <c r="C9" s="104"/>
      <c r="D9" s="104"/>
    </row>
    <row r="10" spans="1:4">
      <c r="A10" s="8"/>
      <c r="D10" s="9"/>
    </row>
    <row r="11" spans="1:4" ht="18.75">
      <c r="A11" s="28" t="s">
        <v>4</v>
      </c>
      <c r="D11" s="9"/>
    </row>
    <row r="12" spans="1:4" ht="18.75">
      <c r="A12" s="8"/>
      <c r="B12" s="103" t="s">
        <v>5</v>
      </c>
      <c r="C12" s="104"/>
      <c r="D12" s="104"/>
    </row>
    <row r="13" spans="1:4" ht="18.75">
      <c r="A13" s="8"/>
      <c r="B13" s="103" t="s">
        <v>6</v>
      </c>
      <c r="C13" s="104"/>
      <c r="D13" s="104"/>
    </row>
    <row r="14" spans="1:4" ht="18.75">
      <c r="A14" s="8"/>
      <c r="B14" s="103" t="s">
        <v>7</v>
      </c>
      <c r="C14" s="104"/>
      <c r="D14" s="104"/>
    </row>
    <row r="15" spans="1:4">
      <c r="A15" s="8"/>
      <c r="D15" s="9"/>
    </row>
    <row r="16" spans="1:4" ht="18.75">
      <c r="A16" s="28" t="s">
        <v>8</v>
      </c>
      <c r="D16" s="9"/>
    </row>
    <row r="17" spans="1:4" ht="18.75">
      <c r="A17" s="8"/>
      <c r="B17" s="103" t="s">
        <v>9</v>
      </c>
      <c r="C17" s="104"/>
      <c r="D17" s="104"/>
    </row>
    <row r="18" spans="1:4" ht="18.75">
      <c r="A18" s="8"/>
      <c r="B18" s="103" t="s">
        <v>10</v>
      </c>
      <c r="C18" s="104"/>
      <c r="D18" s="104"/>
    </row>
    <row r="19" spans="1:4" ht="18.75">
      <c r="A19" s="8"/>
      <c r="B19" s="103" t="s">
        <v>11</v>
      </c>
      <c r="C19" s="104"/>
      <c r="D19" s="104"/>
    </row>
    <row r="20" spans="1:4">
      <c r="A20" s="8"/>
      <c r="D20" s="9"/>
    </row>
    <row r="21" spans="1:4" ht="18.75">
      <c r="A21" s="28" t="s">
        <v>12</v>
      </c>
      <c r="D21" s="9"/>
    </row>
    <row r="22" spans="1:4" ht="18.75">
      <c r="A22" s="8"/>
      <c r="B22" s="103" t="s">
        <v>13</v>
      </c>
      <c r="C22" s="104"/>
      <c r="D22" s="104"/>
    </row>
    <row r="23" spans="1:4" ht="18.75">
      <c r="A23" s="8"/>
      <c r="B23" s="103" t="s">
        <v>14</v>
      </c>
      <c r="C23" s="104"/>
      <c r="D23" s="104"/>
    </row>
    <row r="24" spans="1:4" ht="18.75">
      <c r="A24" s="8"/>
      <c r="B24" s="103" t="s">
        <v>35</v>
      </c>
      <c r="C24" s="104"/>
      <c r="D24" s="104"/>
    </row>
    <row r="25" spans="1:4">
      <c r="A25" s="8"/>
      <c r="D25" s="9"/>
    </row>
    <row r="26" spans="1:4" ht="18.75">
      <c r="A26" s="103" t="s">
        <v>15</v>
      </c>
      <c r="B26" s="104"/>
      <c r="C26" s="104"/>
      <c r="D26" s="111"/>
    </row>
    <row r="27" spans="1:4">
      <c r="A27" s="8"/>
      <c r="D27" s="9"/>
    </row>
    <row r="28" spans="1:4" ht="18.75">
      <c r="A28" s="103" t="s">
        <v>16</v>
      </c>
      <c r="B28" s="104"/>
      <c r="C28" s="104"/>
      <c r="D28" s="111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Sinaloa_USAMuni!A1" display="3.2 Por Estado de USA" xr:uid="{00000000-0004-0000-0000-00000D000000}"/>
    <hyperlink ref="A8:D8" location="Sinaloa_Cons!A1" display="2. Por Circunscripción Consular" xr:uid="{00000000-0004-0000-0000-00000E000000}"/>
    <hyperlink ref="B9:D9" location="SinaloaXCons!A1" display="2.1 Top ten por circunscripción consular" xr:uid="{00000000-0004-0000-0000-00000F000000}"/>
    <hyperlink ref="A6:D6" location="Sinaloa_EdoUsa!A1" display="1. Por Estados de USA" xr:uid="{00000000-0004-0000-0000-000010000000}"/>
    <hyperlink ref="B12:D12" location="Sinaloa_EdoMun!A1" display="3.1 Municipio general" xr:uid="{00000000-0004-0000-0000-000011000000}"/>
    <hyperlink ref="B14:D14" location="Sinaloa_MUNICIPIO!A1" display="3.3 Por Circunscripción Consular" xr:uid="{00000000-0004-0000-0000-000012000000}"/>
    <hyperlink ref="B17:D17" location="Sinaloa_educ_gral!A1" display="4.1 Educación general" xr:uid="{00000000-0004-0000-0000-000013000000}"/>
    <hyperlink ref="B18:D18" location="Sinaloa_NivelE_Cons!A1" display="4.2 Por Estado de USA" xr:uid="{00000000-0004-0000-0000-000014000000}"/>
    <hyperlink ref="B19:D19" location="Sinaloa_EducCons!A1" display="4.3 Por Circunscripción Consular" xr:uid="{00000000-0004-0000-0000-000015000000}"/>
    <hyperlink ref="B22:D22" location="Sinaloa_GenGral!A1" display="5.1 Género General" xr:uid="{00000000-0004-0000-0000-000016000000}"/>
    <hyperlink ref="B23:D23" location="Sinaloa_GENERO!A1" display="5.2 Por Circunscripción Consular" xr:uid="{00000000-0004-0000-0000-000017000000}"/>
    <hyperlink ref="A26:D26" location="Sinaloa_Gen_Edad!A1" display="6. Por estructura de Edad" xr:uid="{00000000-0004-0000-0000-000018000000}"/>
    <hyperlink ref="A28:D28" location="Sinaloa_ocup_gral!A1" display="7. Por Ocupación" xr:uid="{00000000-0004-0000-0000-000019000000}"/>
    <hyperlink ref="B24" location="Sinaloa_GENERO_EUA!A1" display="5.3 Por Estados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5"/>
  <sheetViews>
    <sheetView showGridLines="0" view="pageBreakPreview" topLeftCell="A49" zoomScale="90" zoomScaleNormal="100" zoomScaleSheetLayoutView="90" workbookViewId="0">
      <selection activeCell="B17" sqref="B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7" width="25.42578125" style="13" customWidth="1"/>
    <col min="8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2" t="s">
        <v>42</v>
      </c>
      <c r="C7" s="112"/>
      <c r="D7" s="112"/>
      <c r="E7" s="30"/>
      <c r="F7" s="30"/>
    </row>
    <row r="8" spans="1:6" s="15" customFormat="1" ht="15" customHeight="1">
      <c r="A8" s="30"/>
      <c r="B8" s="112"/>
      <c r="C8" s="112"/>
      <c r="D8" s="112"/>
      <c r="E8" s="30"/>
      <c r="F8" s="30"/>
    </row>
    <row r="9" spans="1:6" s="15" customFormat="1" ht="33" customHeight="1">
      <c r="A9" s="30"/>
      <c r="B9" s="112"/>
      <c r="C9" s="112"/>
      <c r="D9" s="112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9" t="s">
        <v>21</v>
      </c>
      <c r="C11" s="38" t="s">
        <v>20</v>
      </c>
      <c r="D11" s="39" t="s">
        <v>19</v>
      </c>
      <c r="E11" s="30"/>
      <c r="F11" s="30"/>
    </row>
    <row r="12" spans="1:6" ht="16.5">
      <c r="A12" s="32"/>
      <c r="B12" s="58" t="s">
        <v>100</v>
      </c>
      <c r="C12" s="59">
        <v>7048</v>
      </c>
      <c r="D12" s="60">
        <v>0.58826475252483101</v>
      </c>
      <c r="E12" s="32"/>
      <c r="F12" s="32"/>
    </row>
    <row r="13" spans="1:6" ht="16.5">
      <c r="A13" s="32"/>
      <c r="B13" s="58" t="s">
        <v>98</v>
      </c>
      <c r="C13" s="59">
        <v>1800</v>
      </c>
      <c r="D13" s="60">
        <v>0.15023787663801</v>
      </c>
      <c r="E13" s="32"/>
      <c r="F13" s="32"/>
    </row>
    <row r="14" spans="1:6" ht="16.5">
      <c r="A14" s="32"/>
      <c r="B14" s="58" t="s">
        <v>121</v>
      </c>
      <c r="C14" s="59">
        <v>569</v>
      </c>
      <c r="D14" s="60">
        <v>4.7491862115015E-2</v>
      </c>
      <c r="E14" s="32"/>
      <c r="F14" s="32"/>
    </row>
    <row r="15" spans="1:6" ht="16.5">
      <c r="A15" s="32"/>
      <c r="B15" s="58" t="s">
        <v>134</v>
      </c>
      <c r="C15" s="59">
        <v>480</v>
      </c>
      <c r="D15" s="60">
        <v>4.0063433770135999E-2</v>
      </c>
      <c r="E15" s="32"/>
      <c r="F15" s="32"/>
    </row>
    <row r="16" spans="1:6" ht="16.5">
      <c r="A16" s="32"/>
      <c r="B16" s="58" t="s">
        <v>135</v>
      </c>
      <c r="C16" s="59">
        <v>199</v>
      </c>
      <c r="D16" s="60">
        <v>1.6609631917202002E-2</v>
      </c>
      <c r="E16" s="32"/>
      <c r="F16" s="32"/>
    </row>
    <row r="17" spans="1:6" ht="16.5">
      <c r="A17" s="32"/>
      <c r="B17" s="58" t="s">
        <v>101</v>
      </c>
      <c r="C17" s="59">
        <v>198</v>
      </c>
      <c r="D17" s="60">
        <v>1.6526166430181E-2</v>
      </c>
      <c r="E17" s="32"/>
      <c r="F17" s="32"/>
    </row>
    <row r="18" spans="1:6" ht="16.5">
      <c r="A18" s="32"/>
      <c r="B18" s="58" t="s">
        <v>107</v>
      </c>
      <c r="C18" s="59">
        <v>171</v>
      </c>
      <c r="D18" s="60">
        <v>1.4272598280611001E-2</v>
      </c>
      <c r="E18" s="32"/>
      <c r="F18" s="32"/>
    </row>
    <row r="19" spans="1:6" ht="16.5">
      <c r="A19" s="32"/>
      <c r="B19" s="58" t="s">
        <v>106</v>
      </c>
      <c r="C19" s="59">
        <v>140</v>
      </c>
      <c r="D19" s="60">
        <v>1.1685168182956E-2</v>
      </c>
      <c r="E19" s="32"/>
      <c r="F19" s="32"/>
    </row>
    <row r="20" spans="1:6" ht="16.5">
      <c r="A20" s="32"/>
      <c r="B20" s="58" t="s">
        <v>125</v>
      </c>
      <c r="C20" s="59">
        <v>139</v>
      </c>
      <c r="D20" s="60">
        <v>1.1601702695935001E-2</v>
      </c>
      <c r="E20" s="32"/>
      <c r="F20" s="32"/>
    </row>
    <row r="21" spans="1:6" ht="16.5">
      <c r="A21" s="32"/>
      <c r="B21" s="58" t="s">
        <v>89</v>
      </c>
      <c r="C21" s="59">
        <v>104</v>
      </c>
      <c r="D21" s="60">
        <v>8.6804106501960007E-3</v>
      </c>
      <c r="E21" s="32"/>
      <c r="F21" s="32"/>
    </row>
    <row r="22" spans="1:6" ht="16.5">
      <c r="A22" s="32"/>
      <c r="B22" s="58" t="s">
        <v>128</v>
      </c>
      <c r="C22" s="59">
        <v>85</v>
      </c>
      <c r="D22" s="60">
        <v>7.0945663967949997E-3</v>
      </c>
      <c r="E22" s="32"/>
      <c r="F22" s="32"/>
    </row>
    <row r="23" spans="1:6" ht="16.5">
      <c r="A23" s="32"/>
      <c r="B23" s="58" t="s">
        <v>104</v>
      </c>
      <c r="C23" s="59">
        <v>81</v>
      </c>
      <c r="D23" s="60">
        <v>6.7607044487099999E-3</v>
      </c>
      <c r="E23" s="32"/>
      <c r="F23" s="32"/>
    </row>
    <row r="24" spans="1:6" ht="16.5">
      <c r="A24" s="32"/>
      <c r="B24" s="58" t="s">
        <v>120</v>
      </c>
      <c r="C24" s="59">
        <v>78</v>
      </c>
      <c r="D24" s="60">
        <v>6.5103079876469997E-3</v>
      </c>
      <c r="E24" s="32"/>
      <c r="F24" s="32"/>
    </row>
    <row r="25" spans="1:6" ht="16.5">
      <c r="A25" s="32"/>
      <c r="B25" s="58" t="s">
        <v>116</v>
      </c>
      <c r="C25" s="59">
        <v>72</v>
      </c>
      <c r="D25" s="60">
        <v>6.00951506552E-3</v>
      </c>
      <c r="E25" s="32"/>
      <c r="F25" s="32"/>
    </row>
    <row r="26" spans="1:6" ht="16.5">
      <c r="A26" s="32"/>
      <c r="B26" s="58" t="s">
        <v>110</v>
      </c>
      <c r="C26" s="59">
        <v>70</v>
      </c>
      <c r="D26" s="60">
        <v>5.8425840914780001E-3</v>
      </c>
      <c r="E26" s="32"/>
      <c r="F26" s="32"/>
    </row>
    <row r="27" spans="1:6" ht="16.5">
      <c r="A27" s="32"/>
      <c r="B27" s="58" t="s">
        <v>133</v>
      </c>
      <c r="C27" s="59">
        <v>69</v>
      </c>
      <c r="D27" s="60">
        <v>5.7591186044569998E-3</v>
      </c>
      <c r="E27" s="32"/>
      <c r="F27" s="32"/>
    </row>
    <row r="28" spans="1:6" ht="16.5">
      <c r="A28" s="32"/>
      <c r="B28" s="58" t="s">
        <v>123</v>
      </c>
      <c r="C28" s="59">
        <v>60</v>
      </c>
      <c r="D28" s="60">
        <v>5.0079292212669999E-3</v>
      </c>
      <c r="E28" s="32"/>
      <c r="F28" s="32"/>
    </row>
    <row r="29" spans="1:6" ht="16.5">
      <c r="A29" s="32"/>
      <c r="B29" s="58" t="s">
        <v>129</v>
      </c>
      <c r="C29" s="59">
        <v>56</v>
      </c>
      <c r="D29" s="60">
        <v>4.6740672731830002E-3</v>
      </c>
      <c r="E29" s="32"/>
      <c r="F29" s="32"/>
    </row>
    <row r="30" spans="1:6" ht="16.5">
      <c r="A30" s="32"/>
      <c r="B30" s="58" t="s">
        <v>105</v>
      </c>
      <c r="C30" s="59">
        <v>48</v>
      </c>
      <c r="D30" s="60">
        <v>4.0063433770139998E-3</v>
      </c>
      <c r="E30" s="32"/>
      <c r="F30" s="32"/>
    </row>
    <row r="31" spans="1:6" ht="16.5">
      <c r="A31" s="32"/>
      <c r="B31" s="58" t="s">
        <v>108</v>
      </c>
      <c r="C31" s="59">
        <v>46</v>
      </c>
      <c r="D31" s="60">
        <v>3.8394124029709998E-3</v>
      </c>
      <c r="E31" s="32"/>
      <c r="F31" s="32"/>
    </row>
    <row r="32" spans="1:6" ht="16.5">
      <c r="A32" s="32"/>
      <c r="B32" s="58" t="s">
        <v>118</v>
      </c>
      <c r="C32" s="59">
        <v>41</v>
      </c>
      <c r="D32" s="60">
        <v>3.4220849678660002E-3</v>
      </c>
      <c r="E32" s="32"/>
      <c r="F32" s="32"/>
    </row>
    <row r="33" spans="1:6" ht="16.5">
      <c r="A33" s="32"/>
      <c r="B33" s="58" t="s">
        <v>136</v>
      </c>
      <c r="C33" s="59">
        <v>40</v>
      </c>
      <c r="D33" s="60">
        <v>3.3386194808449998E-3</v>
      </c>
      <c r="E33" s="32"/>
      <c r="F33" s="32"/>
    </row>
    <row r="34" spans="1:6" ht="16.5">
      <c r="A34" s="32"/>
      <c r="B34" s="58" t="s">
        <v>112</v>
      </c>
      <c r="C34" s="59">
        <v>37</v>
      </c>
      <c r="D34" s="60">
        <v>3.0882230197809999E-3</v>
      </c>
      <c r="E34" s="32"/>
      <c r="F34" s="32"/>
    </row>
    <row r="35" spans="1:6" ht="16.5">
      <c r="A35" s="32"/>
      <c r="B35" s="58" t="s">
        <v>99</v>
      </c>
      <c r="C35" s="59">
        <v>33</v>
      </c>
      <c r="D35" s="60">
        <v>2.7543610716970002E-3</v>
      </c>
      <c r="E35" s="32"/>
      <c r="F35" s="32"/>
    </row>
    <row r="36" spans="1:6" ht="16.5">
      <c r="A36" s="32"/>
      <c r="B36" s="58" t="s">
        <v>115</v>
      </c>
      <c r="C36" s="59">
        <v>33</v>
      </c>
      <c r="D36" s="60">
        <v>2.7543610716970002E-3</v>
      </c>
      <c r="E36" s="32"/>
      <c r="F36" s="32"/>
    </row>
    <row r="37" spans="1:6" ht="16.5">
      <c r="A37" s="32"/>
      <c r="B37" s="58" t="s">
        <v>124</v>
      </c>
      <c r="C37" s="59">
        <v>31</v>
      </c>
      <c r="D37" s="60">
        <v>2.5874300976549999E-3</v>
      </c>
      <c r="E37" s="32"/>
      <c r="F37" s="32"/>
    </row>
    <row r="38" spans="1:6" ht="16.5">
      <c r="A38" s="32"/>
      <c r="B38" s="58" t="s">
        <v>127</v>
      </c>
      <c r="C38" s="59">
        <v>31</v>
      </c>
      <c r="D38" s="60">
        <v>2.5874300976549999E-3</v>
      </c>
      <c r="E38" s="32"/>
      <c r="F38" s="32"/>
    </row>
    <row r="39" spans="1:6" ht="16.5">
      <c r="A39" s="32"/>
      <c r="B39" s="58" t="s">
        <v>138</v>
      </c>
      <c r="C39" s="59">
        <v>31</v>
      </c>
      <c r="D39" s="60">
        <v>2.5874300976549999E-3</v>
      </c>
      <c r="E39" s="32"/>
      <c r="F39" s="32"/>
    </row>
    <row r="40" spans="1:6" ht="16.5">
      <c r="A40" s="32"/>
      <c r="B40" s="58" t="s">
        <v>96</v>
      </c>
      <c r="C40" s="59">
        <v>28</v>
      </c>
      <c r="D40" s="60">
        <v>2.337033636591E-3</v>
      </c>
      <c r="E40" s="32"/>
      <c r="F40" s="32"/>
    </row>
    <row r="41" spans="1:6" ht="16.5">
      <c r="A41" s="32"/>
      <c r="B41" s="58" t="s">
        <v>109</v>
      </c>
      <c r="C41" s="59">
        <v>28</v>
      </c>
      <c r="D41" s="60">
        <v>2.337033636591E-3</v>
      </c>
      <c r="E41" s="32"/>
      <c r="F41" s="32"/>
    </row>
    <row r="42" spans="1:6" ht="16.5">
      <c r="A42" s="32"/>
      <c r="B42" s="58" t="s">
        <v>122</v>
      </c>
      <c r="C42" s="59">
        <v>26</v>
      </c>
      <c r="D42" s="60">
        <v>2.1701026625490002E-3</v>
      </c>
      <c r="E42" s="32"/>
      <c r="F42" s="32"/>
    </row>
    <row r="43" spans="1:6" ht="16.5">
      <c r="A43" s="32"/>
      <c r="B43" s="58" t="s">
        <v>111</v>
      </c>
      <c r="C43" s="59">
        <v>23</v>
      </c>
      <c r="D43" s="60">
        <v>1.9197062014859999E-3</v>
      </c>
      <c r="E43" s="32"/>
      <c r="F43" s="32"/>
    </row>
    <row r="44" spans="1:6" ht="16.5">
      <c r="A44" s="32"/>
      <c r="B44" s="58" t="s">
        <v>131</v>
      </c>
      <c r="C44" s="59">
        <v>18</v>
      </c>
      <c r="D44" s="60">
        <v>1.50237876638E-3</v>
      </c>
      <c r="E44" s="32"/>
      <c r="F44" s="32"/>
    </row>
    <row r="45" spans="1:6" ht="16.5">
      <c r="A45" s="32"/>
      <c r="B45" s="58" t="s">
        <v>139</v>
      </c>
      <c r="C45" s="59">
        <v>15</v>
      </c>
      <c r="D45" s="60">
        <v>1.251982305317E-3</v>
      </c>
      <c r="E45" s="32"/>
      <c r="F45" s="32"/>
    </row>
    <row r="46" spans="1:6" ht="16.5">
      <c r="A46" s="32"/>
      <c r="B46" s="58" t="s">
        <v>130</v>
      </c>
      <c r="C46" s="59">
        <v>14</v>
      </c>
      <c r="D46" s="60">
        <v>1.1685168182960001E-3</v>
      </c>
      <c r="E46" s="32"/>
      <c r="F46" s="32"/>
    </row>
    <row r="47" spans="1:6" ht="16.5">
      <c r="A47" s="32"/>
      <c r="B47" s="58" t="s">
        <v>132</v>
      </c>
      <c r="C47" s="59">
        <v>7</v>
      </c>
      <c r="D47" s="60">
        <v>5.8425840914800003E-4</v>
      </c>
      <c r="E47" s="32"/>
      <c r="F47" s="32"/>
    </row>
    <row r="48" spans="1:6" ht="16.5">
      <c r="A48" s="32"/>
      <c r="B48" s="58" t="s">
        <v>113</v>
      </c>
      <c r="C48" s="59">
        <v>6</v>
      </c>
      <c r="D48" s="60">
        <v>5.0079292212699999E-4</v>
      </c>
      <c r="E48" s="32"/>
      <c r="F48" s="32"/>
    </row>
    <row r="49" spans="1:6" ht="16.5">
      <c r="A49" s="32"/>
      <c r="B49" s="58" t="s">
        <v>114</v>
      </c>
      <c r="C49" s="59">
        <v>5</v>
      </c>
      <c r="D49" s="60">
        <v>4.17327435106E-4</v>
      </c>
      <c r="E49" s="32"/>
      <c r="F49" s="32"/>
    </row>
    <row r="50" spans="1:6" ht="16.5">
      <c r="A50" s="32"/>
      <c r="B50" s="58" t="s">
        <v>117</v>
      </c>
      <c r="C50" s="59">
        <v>5</v>
      </c>
      <c r="D50" s="60">
        <v>4.17327435106E-4</v>
      </c>
      <c r="E50" s="32"/>
      <c r="F50" s="32"/>
    </row>
    <row r="51" spans="1:6" ht="16.5">
      <c r="A51" s="32"/>
      <c r="B51" s="58" t="s">
        <v>126</v>
      </c>
      <c r="C51" s="59">
        <v>4</v>
      </c>
      <c r="D51" s="60">
        <v>3.33861948084E-4</v>
      </c>
      <c r="E51" s="32"/>
      <c r="F51" s="32"/>
    </row>
    <row r="52" spans="1:6" ht="16.5">
      <c r="A52" s="32"/>
      <c r="B52" s="58" t="s">
        <v>102</v>
      </c>
      <c r="C52" s="59">
        <v>3</v>
      </c>
      <c r="D52" s="60">
        <v>2.5039646106300001E-4</v>
      </c>
      <c r="E52" s="32"/>
      <c r="F52" s="32"/>
    </row>
    <row r="53" spans="1:6" ht="16.5">
      <c r="A53" s="32"/>
      <c r="B53" s="58" t="s">
        <v>103</v>
      </c>
      <c r="C53" s="59">
        <v>2</v>
      </c>
      <c r="D53" s="60">
        <v>1.66930974042E-4</v>
      </c>
      <c r="E53" s="32"/>
      <c r="F53" s="32"/>
    </row>
    <row r="54" spans="1:6" ht="16.5">
      <c r="A54" s="32"/>
      <c r="B54" s="58" t="s">
        <v>119</v>
      </c>
      <c r="C54" s="59">
        <v>2</v>
      </c>
      <c r="D54" s="60">
        <v>1.66930974042E-4</v>
      </c>
      <c r="E54" s="32"/>
      <c r="F54" s="32"/>
    </row>
    <row r="55" spans="1:6" ht="16.5">
      <c r="A55" s="32"/>
      <c r="B55" s="58" t="s">
        <v>137</v>
      </c>
      <c r="C55" s="59">
        <v>2</v>
      </c>
      <c r="D55" s="60">
        <v>1.66930974042E-4</v>
      </c>
      <c r="E55" s="32"/>
      <c r="F55" s="32"/>
    </row>
    <row r="56" spans="1:6" ht="16.5">
      <c r="A56" s="32"/>
      <c r="B56" s="58" t="s">
        <v>97</v>
      </c>
      <c r="C56" s="59">
        <v>1</v>
      </c>
      <c r="D56" s="60">
        <v>8.3465487021E-5</v>
      </c>
      <c r="E56" s="32"/>
      <c r="F56" s="32"/>
    </row>
    <row r="57" spans="1:6" ht="16.5">
      <c r="A57" s="32"/>
      <c r="B57" s="58" t="s">
        <v>237</v>
      </c>
      <c r="C57" s="59">
        <v>1</v>
      </c>
      <c r="D57" s="60">
        <v>8.3465487021E-5</v>
      </c>
      <c r="E57" s="32"/>
      <c r="F57" s="32"/>
    </row>
    <row r="58" spans="1:6" ht="16.5">
      <c r="A58" s="32"/>
      <c r="B58" s="58" t="s">
        <v>239</v>
      </c>
      <c r="C58" s="59">
        <v>1</v>
      </c>
      <c r="D58" s="60">
        <v>8.3465487021E-5</v>
      </c>
      <c r="E58" s="32"/>
      <c r="F58" s="32"/>
    </row>
    <row r="59" spans="1:6" ht="16.5">
      <c r="A59" s="32"/>
      <c r="B59" s="61" t="s">
        <v>267</v>
      </c>
      <c r="C59" s="62">
        <v>11981</v>
      </c>
      <c r="D59" s="63">
        <v>1</v>
      </c>
      <c r="E59" s="32"/>
      <c r="F59" s="32"/>
    </row>
    <row r="60" spans="1:6" ht="16.5">
      <c r="A60" s="32"/>
      <c r="B60" s="33"/>
      <c r="C60" s="34"/>
      <c r="D60" s="32"/>
      <c r="E60" s="32"/>
      <c r="F60" s="32"/>
    </row>
    <row r="61" spans="1:6" ht="16.5">
      <c r="A61" s="32"/>
      <c r="B61" s="35" t="s">
        <v>235</v>
      </c>
      <c r="C61" s="34"/>
      <c r="D61" s="32"/>
      <c r="E61" s="32"/>
      <c r="F61" s="32"/>
    </row>
    <row r="62" spans="1:6" ht="16.5">
      <c r="A62" s="32"/>
      <c r="B62" s="33" t="s">
        <v>18</v>
      </c>
      <c r="C62" s="34"/>
      <c r="D62" s="32"/>
      <c r="E62" s="32"/>
      <c r="F62" s="32"/>
    </row>
    <row r="63" spans="1:6" ht="16.5">
      <c r="A63" s="32"/>
      <c r="B63" s="36" t="s">
        <v>46</v>
      </c>
      <c r="C63" s="34"/>
      <c r="D63" s="32"/>
      <c r="E63" s="32"/>
      <c r="F63" s="32"/>
    </row>
    <row r="64" spans="1:6" ht="16.5">
      <c r="A64" s="32"/>
      <c r="B64" s="35" t="s">
        <v>17</v>
      </c>
      <c r="C64" s="34"/>
      <c r="D64" s="32"/>
      <c r="E64" s="32"/>
      <c r="F64" s="32"/>
    </row>
    <row r="65" spans="1:6" ht="16.5">
      <c r="A65" s="32"/>
      <c r="B65" s="35" t="s">
        <v>268</v>
      </c>
      <c r="C65" s="34"/>
      <c r="D65" s="32"/>
      <c r="E65" s="32"/>
      <c r="F65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topLeftCell="A60" zoomScaleNormal="100" zoomScaleSheetLayoutView="100" workbookViewId="0">
      <selection activeCell="D11" sqref="D1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2" t="s">
        <v>36</v>
      </c>
      <c r="C7" s="112"/>
      <c r="D7" s="112"/>
      <c r="E7" s="30"/>
      <c r="F7" s="30"/>
    </row>
    <row r="8" spans="1:6" s="15" customFormat="1" ht="15" customHeight="1">
      <c r="A8" s="30"/>
      <c r="B8" s="112"/>
      <c r="C8" s="112"/>
      <c r="D8" s="112"/>
      <c r="E8" s="30"/>
      <c r="F8" s="30"/>
    </row>
    <row r="9" spans="1:6" s="15" customFormat="1" ht="33" customHeight="1">
      <c r="A9" s="30"/>
      <c r="B9" s="112"/>
      <c r="C9" s="112"/>
      <c r="D9" s="112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7" t="s">
        <v>22</v>
      </c>
      <c r="C11" s="38" t="s">
        <v>20</v>
      </c>
      <c r="D11" s="39" t="s">
        <v>19</v>
      </c>
      <c r="E11" s="30"/>
      <c r="F11" s="30"/>
    </row>
    <row r="12" spans="1:6" ht="16.5">
      <c r="A12" s="32"/>
      <c r="B12" s="64" t="s">
        <v>47</v>
      </c>
      <c r="C12" s="59">
        <v>2312</v>
      </c>
      <c r="D12" s="60">
        <v>0.192972205992822</v>
      </c>
      <c r="E12" s="32"/>
      <c r="F12" s="32"/>
    </row>
    <row r="13" spans="1:6" ht="16.5">
      <c r="A13" s="32"/>
      <c r="B13" s="64" t="s">
        <v>48</v>
      </c>
      <c r="C13" s="59">
        <v>1587</v>
      </c>
      <c r="D13" s="60">
        <v>0.13245972790251201</v>
      </c>
      <c r="E13" s="32"/>
      <c r="F13" s="32"/>
    </row>
    <row r="14" spans="1:6" ht="16.5">
      <c r="A14" s="32"/>
      <c r="B14" s="64" t="s">
        <v>50</v>
      </c>
      <c r="C14" s="59">
        <v>1215</v>
      </c>
      <c r="D14" s="60">
        <v>0.101410566730657</v>
      </c>
      <c r="E14" s="32"/>
      <c r="F14" s="32"/>
    </row>
    <row r="15" spans="1:6" ht="16.5">
      <c r="A15" s="32"/>
      <c r="B15" s="64" t="s">
        <v>49</v>
      </c>
      <c r="C15" s="59">
        <v>1069</v>
      </c>
      <c r="D15" s="60">
        <v>8.9224605625573994E-2</v>
      </c>
      <c r="E15" s="32"/>
      <c r="F15" s="32"/>
    </row>
    <row r="16" spans="1:6" ht="16.5">
      <c r="A16" s="32"/>
      <c r="B16" s="64" t="s">
        <v>51</v>
      </c>
      <c r="C16" s="59">
        <v>564</v>
      </c>
      <c r="D16" s="60">
        <v>4.7074534679909998E-2</v>
      </c>
      <c r="E16" s="32"/>
      <c r="F16" s="32"/>
    </row>
    <row r="17" spans="1:6" ht="16.5">
      <c r="A17" s="32"/>
      <c r="B17" s="64" t="s">
        <v>52</v>
      </c>
      <c r="C17" s="59">
        <v>490</v>
      </c>
      <c r="D17" s="60">
        <v>4.0898088640346997E-2</v>
      </c>
      <c r="E17" s="32"/>
      <c r="F17" s="32"/>
    </row>
    <row r="18" spans="1:6" ht="16.5">
      <c r="A18" s="32"/>
      <c r="B18" s="64" t="s">
        <v>53</v>
      </c>
      <c r="C18" s="59">
        <v>488</v>
      </c>
      <c r="D18" s="60">
        <v>4.0731157666305001E-2</v>
      </c>
      <c r="E18" s="32"/>
      <c r="F18" s="32"/>
    </row>
    <row r="19" spans="1:6" ht="16.5">
      <c r="A19" s="32"/>
      <c r="B19" s="64" t="s">
        <v>54</v>
      </c>
      <c r="C19" s="59">
        <v>440</v>
      </c>
      <c r="D19" s="60">
        <v>3.6724814289291002E-2</v>
      </c>
      <c r="E19" s="32"/>
      <c r="F19" s="32"/>
    </row>
    <row r="20" spans="1:6" ht="16.5">
      <c r="A20" s="32"/>
      <c r="B20" s="64" t="s">
        <v>55</v>
      </c>
      <c r="C20" s="59">
        <v>415</v>
      </c>
      <c r="D20" s="60">
        <v>3.4638177113762998E-2</v>
      </c>
      <c r="E20" s="32"/>
      <c r="F20" s="32"/>
    </row>
    <row r="21" spans="1:6" ht="16.5">
      <c r="A21" s="32"/>
      <c r="B21" s="64" t="s">
        <v>57</v>
      </c>
      <c r="C21" s="59">
        <v>310</v>
      </c>
      <c r="D21" s="60">
        <v>2.5874300976546E-2</v>
      </c>
      <c r="E21" s="32"/>
      <c r="F21" s="32"/>
    </row>
    <row r="22" spans="1:6" ht="16.5">
      <c r="A22" s="32"/>
      <c r="B22" s="64" t="s">
        <v>59</v>
      </c>
      <c r="C22" s="59">
        <v>244</v>
      </c>
      <c r="D22" s="60">
        <v>2.0365578833152001E-2</v>
      </c>
      <c r="E22" s="32"/>
      <c r="F22" s="32"/>
    </row>
    <row r="23" spans="1:6" ht="16.5">
      <c r="A23" s="32"/>
      <c r="B23" s="64" t="s">
        <v>56</v>
      </c>
      <c r="C23" s="59">
        <v>233</v>
      </c>
      <c r="D23" s="60">
        <v>1.9447458475919999E-2</v>
      </c>
      <c r="E23" s="32"/>
      <c r="F23" s="32"/>
    </row>
    <row r="24" spans="1:6" ht="16.5">
      <c r="A24" s="32"/>
      <c r="B24" s="64" t="s">
        <v>63</v>
      </c>
      <c r="C24" s="59">
        <v>188</v>
      </c>
      <c r="D24" s="60">
        <v>1.5691511559969999E-2</v>
      </c>
      <c r="E24" s="32"/>
      <c r="F24" s="32"/>
    </row>
    <row r="25" spans="1:6" ht="16.5">
      <c r="A25" s="32"/>
      <c r="B25" s="64" t="s">
        <v>60</v>
      </c>
      <c r="C25" s="59">
        <v>187</v>
      </c>
      <c r="D25" s="60">
        <v>1.5608046072949E-2</v>
      </c>
      <c r="E25" s="32"/>
      <c r="F25" s="32"/>
    </row>
    <row r="26" spans="1:6" ht="16.5">
      <c r="A26" s="32"/>
      <c r="B26" s="64" t="s">
        <v>58</v>
      </c>
      <c r="C26" s="59">
        <v>186</v>
      </c>
      <c r="D26" s="60">
        <v>1.5524580585928E-2</v>
      </c>
      <c r="E26" s="32"/>
      <c r="F26" s="32"/>
    </row>
    <row r="27" spans="1:6" ht="16.5">
      <c r="A27" s="32"/>
      <c r="B27" s="64" t="s">
        <v>62</v>
      </c>
      <c r="C27" s="59">
        <v>185</v>
      </c>
      <c r="D27" s="60">
        <v>1.5441115098907001E-2</v>
      </c>
      <c r="E27" s="32"/>
      <c r="F27" s="32"/>
    </row>
    <row r="28" spans="1:6" ht="16.5">
      <c r="A28" s="32"/>
      <c r="B28" s="64" t="s">
        <v>61</v>
      </c>
      <c r="C28" s="59">
        <v>176</v>
      </c>
      <c r="D28" s="60">
        <v>1.4689925715717001E-2</v>
      </c>
      <c r="E28" s="32"/>
      <c r="F28" s="32"/>
    </row>
    <row r="29" spans="1:6" ht="16.5">
      <c r="A29" s="32"/>
      <c r="B29" s="64" t="s">
        <v>64</v>
      </c>
      <c r="C29" s="59">
        <v>164</v>
      </c>
      <c r="D29" s="60">
        <v>1.3688339871463E-2</v>
      </c>
      <c r="E29" s="32"/>
      <c r="F29" s="32"/>
    </row>
    <row r="30" spans="1:6" ht="16.5">
      <c r="A30" s="32"/>
      <c r="B30" s="64" t="s">
        <v>65</v>
      </c>
      <c r="C30" s="59">
        <v>122</v>
      </c>
      <c r="D30" s="60">
        <v>1.0182789416576001E-2</v>
      </c>
      <c r="E30" s="32"/>
      <c r="F30" s="32"/>
    </row>
    <row r="31" spans="1:6" ht="16.5">
      <c r="A31" s="32"/>
      <c r="B31" s="64" t="s">
        <v>66</v>
      </c>
      <c r="C31" s="59">
        <v>104</v>
      </c>
      <c r="D31" s="60">
        <v>8.6804106501960007E-3</v>
      </c>
      <c r="E31" s="32"/>
      <c r="F31" s="32"/>
    </row>
    <row r="32" spans="1:6" ht="16.5">
      <c r="A32" s="32"/>
      <c r="B32" s="64" t="s">
        <v>71</v>
      </c>
      <c r="C32" s="59">
        <v>97</v>
      </c>
      <c r="D32" s="60">
        <v>8.0961522410479998E-3</v>
      </c>
      <c r="E32" s="32"/>
      <c r="F32" s="32"/>
    </row>
    <row r="33" spans="1:6" ht="16.5">
      <c r="A33" s="32"/>
      <c r="B33" s="64" t="s">
        <v>68</v>
      </c>
      <c r="C33" s="59">
        <v>91</v>
      </c>
      <c r="D33" s="60">
        <v>7.5953593189220002E-3</v>
      </c>
      <c r="E33" s="32"/>
      <c r="F33" s="32"/>
    </row>
    <row r="34" spans="1:6" ht="16.5">
      <c r="A34" s="32"/>
      <c r="B34" s="64" t="s">
        <v>72</v>
      </c>
      <c r="C34" s="59">
        <v>86</v>
      </c>
      <c r="D34" s="60">
        <v>7.1780318838160001E-3</v>
      </c>
      <c r="E34" s="32"/>
      <c r="F34" s="32"/>
    </row>
    <row r="35" spans="1:6" ht="16.5">
      <c r="A35" s="32"/>
      <c r="B35" s="64" t="s">
        <v>70</v>
      </c>
      <c r="C35" s="59">
        <v>85</v>
      </c>
      <c r="D35" s="60">
        <v>7.0945663967949997E-3</v>
      </c>
      <c r="E35" s="32"/>
      <c r="F35" s="32"/>
    </row>
    <row r="36" spans="1:6" ht="16.5">
      <c r="A36" s="32"/>
      <c r="B36" s="64" t="s">
        <v>79</v>
      </c>
      <c r="C36" s="59">
        <v>74</v>
      </c>
      <c r="D36" s="60">
        <v>6.1764460395629999E-3</v>
      </c>
      <c r="E36" s="32"/>
      <c r="F36" s="32"/>
    </row>
    <row r="37" spans="1:6" ht="16.5">
      <c r="A37" s="32"/>
      <c r="B37" s="64" t="s">
        <v>69</v>
      </c>
      <c r="C37" s="59">
        <v>74</v>
      </c>
      <c r="D37" s="60">
        <v>6.1764460395629999E-3</v>
      </c>
      <c r="E37" s="32"/>
      <c r="F37" s="32"/>
    </row>
    <row r="38" spans="1:6" ht="16.5">
      <c r="A38" s="32"/>
      <c r="B38" s="64" t="s">
        <v>75</v>
      </c>
      <c r="C38" s="59">
        <v>68</v>
      </c>
      <c r="D38" s="60">
        <v>5.6756531174360003E-3</v>
      </c>
      <c r="E38" s="32"/>
      <c r="F38" s="32"/>
    </row>
    <row r="39" spans="1:6" ht="16.5">
      <c r="A39" s="32"/>
      <c r="B39" s="64" t="s">
        <v>67</v>
      </c>
      <c r="C39" s="59">
        <v>68</v>
      </c>
      <c r="D39" s="60">
        <v>5.6756531174360003E-3</v>
      </c>
      <c r="E39" s="32"/>
      <c r="F39" s="32"/>
    </row>
    <row r="40" spans="1:6" ht="16.5">
      <c r="A40" s="32"/>
      <c r="B40" s="64" t="s">
        <v>74</v>
      </c>
      <c r="C40" s="59">
        <v>59</v>
      </c>
      <c r="D40" s="60">
        <v>4.9244637342460004E-3</v>
      </c>
      <c r="E40" s="32"/>
      <c r="F40" s="32"/>
    </row>
    <row r="41" spans="1:6" ht="16.5">
      <c r="A41" s="32"/>
      <c r="B41" s="64" t="s">
        <v>83</v>
      </c>
      <c r="C41" s="59">
        <v>51</v>
      </c>
      <c r="D41" s="60">
        <v>4.256739838077E-3</v>
      </c>
      <c r="E41" s="32"/>
      <c r="F41" s="32"/>
    </row>
    <row r="42" spans="1:6" ht="16.5">
      <c r="A42" s="32"/>
      <c r="B42" s="64" t="s">
        <v>73</v>
      </c>
      <c r="C42" s="59">
        <v>51</v>
      </c>
      <c r="D42" s="60">
        <v>4.256739838077E-3</v>
      </c>
      <c r="E42" s="32"/>
      <c r="F42" s="32"/>
    </row>
    <row r="43" spans="1:6" ht="16.5">
      <c r="A43" s="32"/>
      <c r="B43" s="64" t="s">
        <v>78</v>
      </c>
      <c r="C43" s="59">
        <v>51</v>
      </c>
      <c r="D43" s="60">
        <v>4.256739838077E-3</v>
      </c>
      <c r="E43" s="32"/>
      <c r="F43" s="32"/>
    </row>
    <row r="44" spans="1:6" ht="16.5">
      <c r="A44" s="32"/>
      <c r="B44" s="64" t="s">
        <v>76</v>
      </c>
      <c r="C44" s="59">
        <v>51</v>
      </c>
      <c r="D44" s="60">
        <v>4.256739838077E-3</v>
      </c>
      <c r="E44" s="32"/>
      <c r="F44" s="32"/>
    </row>
    <row r="45" spans="1:6" ht="16.5">
      <c r="A45" s="32"/>
      <c r="B45" s="64" t="s">
        <v>77</v>
      </c>
      <c r="C45" s="59">
        <v>47</v>
      </c>
      <c r="D45" s="60">
        <v>3.9228778899920002E-3</v>
      </c>
      <c r="E45" s="32"/>
      <c r="F45" s="32"/>
    </row>
    <row r="46" spans="1:6" ht="16.5">
      <c r="A46" s="32"/>
      <c r="B46" s="64" t="s">
        <v>88</v>
      </c>
      <c r="C46" s="59">
        <v>40</v>
      </c>
      <c r="D46" s="60">
        <v>3.3386194808449998E-3</v>
      </c>
      <c r="E46" s="32"/>
      <c r="F46" s="32"/>
    </row>
    <row r="47" spans="1:6" ht="16.5">
      <c r="A47" s="32"/>
      <c r="B47" s="64" t="s">
        <v>81</v>
      </c>
      <c r="C47" s="59">
        <v>37</v>
      </c>
      <c r="D47" s="60">
        <v>3.0882230197809999E-3</v>
      </c>
      <c r="E47" s="32"/>
      <c r="F47" s="32"/>
    </row>
    <row r="48" spans="1:6" ht="16.5">
      <c r="A48" s="32"/>
      <c r="B48" s="64" t="s">
        <v>80</v>
      </c>
      <c r="C48" s="59">
        <v>34</v>
      </c>
      <c r="D48" s="60">
        <v>2.8378265587180001E-3</v>
      </c>
      <c r="E48" s="32"/>
      <c r="F48" s="32"/>
    </row>
    <row r="49" spans="1:6" ht="16.5">
      <c r="A49" s="32"/>
      <c r="B49" s="64" t="s">
        <v>82</v>
      </c>
      <c r="C49" s="59">
        <v>32</v>
      </c>
      <c r="D49" s="60">
        <v>2.6708955846759998E-3</v>
      </c>
      <c r="E49" s="32"/>
      <c r="F49" s="32"/>
    </row>
    <row r="50" spans="1:6" ht="16.5">
      <c r="A50" s="32"/>
      <c r="B50" s="64" t="s">
        <v>89</v>
      </c>
      <c r="C50" s="59">
        <v>30</v>
      </c>
      <c r="D50" s="60">
        <v>2.503964610634E-3</v>
      </c>
      <c r="E50" s="32"/>
      <c r="F50" s="32"/>
    </row>
    <row r="51" spans="1:6" ht="16.5">
      <c r="A51" s="32"/>
      <c r="B51" s="64" t="s">
        <v>87</v>
      </c>
      <c r="C51" s="59">
        <v>24</v>
      </c>
      <c r="D51" s="60">
        <v>2.0031716885069999E-3</v>
      </c>
      <c r="E51" s="32"/>
      <c r="F51" s="32"/>
    </row>
    <row r="52" spans="1:6" ht="16.5">
      <c r="A52" s="32"/>
      <c r="B52" s="64" t="s">
        <v>86</v>
      </c>
      <c r="C52" s="59">
        <v>23</v>
      </c>
      <c r="D52" s="60">
        <v>1.9197062014859999E-3</v>
      </c>
      <c r="E52" s="32"/>
      <c r="F52" s="32"/>
    </row>
    <row r="53" spans="1:6" ht="16.5">
      <c r="A53" s="32"/>
      <c r="B53" s="64" t="s">
        <v>84</v>
      </c>
      <c r="C53" s="59">
        <v>23</v>
      </c>
      <c r="D53" s="60">
        <v>1.9197062014859999E-3</v>
      </c>
      <c r="E53" s="32"/>
      <c r="F53" s="32"/>
    </row>
    <row r="54" spans="1:6" ht="16.5">
      <c r="A54" s="32"/>
      <c r="B54" s="64" t="s">
        <v>85</v>
      </c>
      <c r="C54" s="59">
        <v>21</v>
      </c>
      <c r="D54" s="60">
        <v>1.752775227443E-3</v>
      </c>
      <c r="E54" s="32"/>
      <c r="F54" s="32"/>
    </row>
    <row r="55" spans="1:6" ht="16.5">
      <c r="A55" s="32"/>
      <c r="B55" s="64" t="s">
        <v>92</v>
      </c>
      <c r="C55" s="59">
        <v>19</v>
      </c>
      <c r="D55" s="60">
        <v>1.5858442534009999E-3</v>
      </c>
      <c r="E55" s="32"/>
      <c r="F55" s="32"/>
    </row>
    <row r="56" spans="1:6" ht="16.5">
      <c r="A56" s="32"/>
      <c r="B56" s="64" t="s">
        <v>95</v>
      </c>
      <c r="C56" s="59">
        <v>17</v>
      </c>
      <c r="D56" s="60">
        <v>1.4189132793590001E-3</v>
      </c>
      <c r="E56" s="32"/>
      <c r="F56" s="32"/>
    </row>
    <row r="57" spans="1:6" ht="16.5">
      <c r="A57" s="32"/>
      <c r="B57" s="64" t="s">
        <v>90</v>
      </c>
      <c r="C57" s="59">
        <v>17</v>
      </c>
      <c r="D57" s="60">
        <v>1.4189132793590001E-3</v>
      </c>
      <c r="E57" s="32"/>
      <c r="F57" s="32"/>
    </row>
    <row r="58" spans="1:6" ht="16.5">
      <c r="A58" s="32"/>
      <c r="B58" s="64" t="s">
        <v>93</v>
      </c>
      <c r="C58" s="59">
        <v>14</v>
      </c>
      <c r="D58" s="60">
        <v>1.1685168182960001E-3</v>
      </c>
      <c r="E58" s="32"/>
      <c r="F58" s="32"/>
    </row>
    <row r="59" spans="1:6" ht="16.5">
      <c r="A59" s="32"/>
      <c r="B59" s="64" t="s">
        <v>94</v>
      </c>
      <c r="C59" s="59">
        <v>8</v>
      </c>
      <c r="D59" s="60">
        <v>6.6772389616899996E-4</v>
      </c>
      <c r="E59" s="32"/>
      <c r="F59" s="32"/>
    </row>
    <row r="60" spans="1:6" ht="16.5">
      <c r="A60" s="32"/>
      <c r="B60" s="64" t="s">
        <v>91</v>
      </c>
      <c r="C60" s="59">
        <v>8</v>
      </c>
      <c r="D60" s="60">
        <v>6.6772389616899996E-4</v>
      </c>
      <c r="E60" s="32"/>
      <c r="F60" s="32"/>
    </row>
    <row r="61" spans="1:6" ht="16.5">
      <c r="A61" s="32"/>
      <c r="B61" s="64" t="s">
        <v>236</v>
      </c>
      <c r="C61" s="59">
        <v>2</v>
      </c>
      <c r="D61" s="60">
        <v>1.66930974042E-4</v>
      </c>
      <c r="E61" s="32"/>
      <c r="F61" s="32"/>
    </row>
    <row r="62" spans="1:6" ht="16.5">
      <c r="A62" s="32"/>
      <c r="B62" s="65" t="s">
        <v>269</v>
      </c>
      <c r="C62" s="62">
        <v>11981</v>
      </c>
      <c r="D62" s="63">
        <v>1</v>
      </c>
      <c r="E62" s="32"/>
      <c r="F62" s="32"/>
    </row>
    <row r="63" spans="1:6" ht="16.5">
      <c r="A63" s="32"/>
      <c r="B63" s="35"/>
      <c r="C63" s="34"/>
      <c r="D63" s="32"/>
      <c r="E63" s="32"/>
      <c r="F63" s="32"/>
    </row>
    <row r="64" spans="1:6" ht="16.5">
      <c r="A64" s="32"/>
      <c r="B64" s="35" t="s">
        <v>235</v>
      </c>
      <c r="C64" s="34"/>
      <c r="D64" s="32"/>
      <c r="E64" s="32"/>
      <c r="F64" s="32"/>
    </row>
    <row r="65" spans="1:6" ht="16.5">
      <c r="A65" s="32"/>
      <c r="B65" s="33" t="s">
        <v>18</v>
      </c>
      <c r="C65" s="34"/>
      <c r="D65" s="32"/>
      <c r="E65" s="32"/>
      <c r="F65" s="32"/>
    </row>
    <row r="66" spans="1:6" ht="16.5">
      <c r="A66" s="32"/>
      <c r="B66" s="36" t="s">
        <v>46</v>
      </c>
      <c r="C66" s="34"/>
      <c r="D66" s="32"/>
      <c r="E66" s="32"/>
      <c r="F66" s="32"/>
    </row>
    <row r="67" spans="1:6" ht="16.5">
      <c r="A67" s="32"/>
      <c r="B67" s="35" t="s">
        <v>17</v>
      </c>
      <c r="C67" s="34"/>
      <c r="D67" s="32"/>
      <c r="E67" s="32"/>
      <c r="F67" s="32"/>
    </row>
    <row r="68" spans="1:6" ht="16.5">
      <c r="A68" s="32"/>
      <c r="B68" s="35" t="s">
        <v>268</v>
      </c>
      <c r="C68" s="34"/>
      <c r="D68" s="32"/>
      <c r="E68" s="32"/>
      <c r="F68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18" zoomScaleNormal="100" zoomScaleSheetLayoutView="100" workbookViewId="0">
      <selection activeCell="C20" sqref="C20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2" t="s">
        <v>43</v>
      </c>
      <c r="C7" s="112"/>
      <c r="D7" s="112"/>
      <c r="E7" s="30"/>
      <c r="F7" s="30"/>
    </row>
    <row r="8" spans="1:6" s="15" customFormat="1" ht="15" customHeight="1">
      <c r="A8" s="30"/>
      <c r="B8" s="112"/>
      <c r="C8" s="112"/>
      <c r="D8" s="112"/>
      <c r="E8" s="30"/>
      <c r="F8" s="30"/>
    </row>
    <row r="9" spans="1:6" s="15" customFormat="1" ht="33" customHeight="1">
      <c r="A9" s="30"/>
      <c r="B9" s="112"/>
      <c r="C9" s="112"/>
      <c r="D9" s="112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7" t="s">
        <v>22</v>
      </c>
      <c r="C11" s="38" t="s">
        <v>20</v>
      </c>
      <c r="D11" s="39" t="s">
        <v>19</v>
      </c>
      <c r="E11" s="30"/>
      <c r="F11" s="30"/>
    </row>
    <row r="12" spans="1:6" ht="16.5">
      <c r="A12" s="32"/>
      <c r="B12" s="64" t="s">
        <v>47</v>
      </c>
      <c r="C12" s="59">
        <v>2312</v>
      </c>
      <c r="D12" s="60">
        <v>0.192972205992822</v>
      </c>
      <c r="E12" s="32"/>
      <c r="F12" s="32"/>
    </row>
    <row r="13" spans="1:6" ht="16.5">
      <c r="A13" s="32"/>
      <c r="B13" s="64" t="s">
        <v>48</v>
      </c>
      <c r="C13" s="59">
        <v>1587</v>
      </c>
      <c r="D13" s="60">
        <v>0.13245972790251201</v>
      </c>
      <c r="E13" s="32"/>
      <c r="F13" s="32"/>
    </row>
    <row r="14" spans="1:6" ht="16.5">
      <c r="A14" s="32"/>
      <c r="B14" s="64" t="s">
        <v>50</v>
      </c>
      <c r="C14" s="59">
        <v>1215</v>
      </c>
      <c r="D14" s="60">
        <v>0.101410566730657</v>
      </c>
      <c r="E14" s="32"/>
      <c r="F14" s="32"/>
    </row>
    <row r="15" spans="1:6" ht="16.5">
      <c r="A15" s="32"/>
      <c r="B15" s="64" t="s">
        <v>49</v>
      </c>
      <c r="C15" s="59">
        <v>1069</v>
      </c>
      <c r="D15" s="60">
        <v>8.9224605625573994E-2</v>
      </c>
      <c r="E15" s="32"/>
      <c r="F15" s="32"/>
    </row>
    <row r="16" spans="1:6" ht="16.5">
      <c r="A16" s="32"/>
      <c r="B16" s="64" t="s">
        <v>51</v>
      </c>
      <c r="C16" s="59">
        <v>564</v>
      </c>
      <c r="D16" s="60">
        <v>4.7074534679909998E-2</v>
      </c>
      <c r="E16" s="32"/>
      <c r="F16" s="32"/>
    </row>
    <row r="17" spans="1:6" ht="16.5">
      <c r="A17" s="32"/>
      <c r="B17" s="64" t="s">
        <v>52</v>
      </c>
      <c r="C17" s="59">
        <v>490</v>
      </c>
      <c r="D17" s="60">
        <v>4.0898088640346997E-2</v>
      </c>
      <c r="E17" s="32"/>
      <c r="F17" s="32"/>
    </row>
    <row r="18" spans="1:6" ht="16.5">
      <c r="A18" s="32"/>
      <c r="B18" s="64" t="s">
        <v>53</v>
      </c>
      <c r="C18" s="59">
        <v>488</v>
      </c>
      <c r="D18" s="60">
        <v>4.0731157666305001E-2</v>
      </c>
      <c r="E18" s="32"/>
      <c r="F18" s="32"/>
    </row>
    <row r="19" spans="1:6" ht="16.5">
      <c r="A19" s="32"/>
      <c r="B19" s="64" t="s">
        <v>54</v>
      </c>
      <c r="C19" s="59">
        <v>440</v>
      </c>
      <c r="D19" s="60">
        <v>3.6724814289291002E-2</v>
      </c>
      <c r="E19" s="32"/>
      <c r="F19" s="32"/>
    </row>
    <row r="20" spans="1:6" ht="16.5">
      <c r="A20" s="32"/>
      <c r="B20" s="64" t="s">
        <v>55</v>
      </c>
      <c r="C20" s="59">
        <v>415</v>
      </c>
      <c r="D20" s="60">
        <v>3.4638177113762998E-2</v>
      </c>
      <c r="E20" s="32"/>
      <c r="F20" s="32"/>
    </row>
    <row r="21" spans="1:6" ht="16.5">
      <c r="A21" s="32"/>
      <c r="B21" s="64" t="s">
        <v>57</v>
      </c>
      <c r="C21" s="59">
        <v>310</v>
      </c>
      <c r="D21" s="60">
        <v>2.5874300976546E-2</v>
      </c>
      <c r="E21" s="32"/>
      <c r="F21" s="32"/>
    </row>
    <row r="22" spans="1:6" ht="16.5">
      <c r="A22" s="32"/>
      <c r="B22" s="67" t="s">
        <v>44</v>
      </c>
      <c r="C22" s="68">
        <f>SUM(C12:C21)</f>
        <v>8890</v>
      </c>
      <c r="D22" s="69">
        <f t="shared" ref="D22" si="0">C22/$C$22</f>
        <v>1</v>
      </c>
      <c r="E22" s="32"/>
      <c r="F22" s="32"/>
    </row>
    <row r="23" spans="1:6" ht="16.5">
      <c r="A23" s="32"/>
      <c r="B23" s="40" t="s">
        <v>45</v>
      </c>
      <c r="C23" s="41">
        <v>11981</v>
      </c>
      <c r="D23" s="66"/>
      <c r="E23" s="32"/>
      <c r="F23" s="32"/>
    </row>
    <row r="24" spans="1:6" ht="16.5">
      <c r="A24" s="32"/>
      <c r="B24" s="35"/>
      <c r="C24" s="34"/>
      <c r="D24" s="32"/>
      <c r="E24" s="32"/>
      <c r="F24" s="32"/>
    </row>
    <row r="25" spans="1:6" ht="16.5">
      <c r="A25" s="32"/>
      <c r="B25" s="35" t="s">
        <v>235</v>
      </c>
      <c r="C25" s="34"/>
      <c r="D25" s="32"/>
      <c r="E25" s="32"/>
      <c r="F25" s="32"/>
    </row>
    <row r="26" spans="1:6" ht="16.5">
      <c r="A26" s="32"/>
      <c r="B26" s="33" t="s">
        <v>18</v>
      </c>
      <c r="C26" s="34"/>
      <c r="D26" s="32"/>
      <c r="E26" s="32"/>
      <c r="F26" s="32"/>
    </row>
    <row r="27" spans="1:6" ht="16.5">
      <c r="A27" s="32"/>
      <c r="B27" s="36" t="s">
        <v>46</v>
      </c>
      <c r="C27" s="34"/>
      <c r="D27" s="32"/>
      <c r="E27" s="32"/>
      <c r="F27" s="32"/>
    </row>
    <row r="28" spans="1:6" ht="16.5">
      <c r="A28" s="32"/>
      <c r="B28" s="35" t="s">
        <v>17</v>
      </c>
      <c r="C28" s="34"/>
      <c r="D28" s="32"/>
      <c r="E28" s="32"/>
      <c r="F28" s="32"/>
    </row>
    <row r="29" spans="1:6" ht="16.5">
      <c r="A29" s="32"/>
      <c r="B29" s="35" t="s">
        <v>268</v>
      </c>
      <c r="C29" s="34"/>
      <c r="D29" s="32"/>
      <c r="E29" s="32"/>
      <c r="F2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37"/>
  <sheetViews>
    <sheetView showGridLines="0" view="pageBreakPreview" topLeftCell="A20" zoomScaleNormal="100" zoomScaleSheetLayoutView="100" workbookViewId="0">
      <selection activeCell="B33" sqref="B33"/>
    </sheetView>
  </sheetViews>
  <sheetFormatPr baseColWidth="10" defaultColWidth="11.42578125" defaultRowHeight="15"/>
  <cols>
    <col min="1" max="1" width="9.28515625" style="13" customWidth="1"/>
    <col min="2" max="2" width="31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2" t="s">
        <v>41</v>
      </c>
      <c r="C7" s="112"/>
      <c r="D7" s="112"/>
      <c r="E7" s="30"/>
      <c r="F7" s="30"/>
    </row>
    <row r="8" spans="1:6" s="15" customFormat="1" ht="15" customHeight="1">
      <c r="A8" s="30"/>
      <c r="B8" s="112"/>
      <c r="C8" s="112"/>
      <c r="D8" s="112"/>
      <c r="E8" s="30"/>
      <c r="F8" s="30"/>
    </row>
    <row r="9" spans="1:6" s="15" customFormat="1" ht="33" customHeight="1">
      <c r="A9" s="30"/>
      <c r="B9" s="112"/>
      <c r="C9" s="112"/>
      <c r="D9" s="112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7" t="s">
        <v>23</v>
      </c>
      <c r="C11" s="38" t="s">
        <v>20</v>
      </c>
      <c r="D11" s="39" t="s">
        <v>19</v>
      </c>
      <c r="E11" s="30"/>
      <c r="F11" s="30"/>
    </row>
    <row r="12" spans="1:6" ht="16.5">
      <c r="A12" s="32"/>
      <c r="B12" s="58" t="s">
        <v>144</v>
      </c>
      <c r="C12" s="59">
        <v>3641</v>
      </c>
      <c r="D12" s="60">
        <v>0.303897838243886</v>
      </c>
      <c r="E12" s="32"/>
      <c r="F12" s="32"/>
    </row>
    <row r="13" spans="1:6" ht="16.5">
      <c r="A13" s="32"/>
      <c r="B13" s="58" t="s">
        <v>142</v>
      </c>
      <c r="C13" s="59">
        <v>1349</v>
      </c>
      <c r="D13" s="60">
        <v>0.11259494199148699</v>
      </c>
      <c r="E13" s="32"/>
      <c r="F13" s="32"/>
    </row>
    <row r="14" spans="1:6" ht="16.5">
      <c r="A14" s="32"/>
      <c r="B14" s="58" t="s">
        <v>147</v>
      </c>
      <c r="C14" s="59">
        <v>1277</v>
      </c>
      <c r="D14" s="60">
        <v>0.106585426925966</v>
      </c>
      <c r="E14" s="32"/>
      <c r="F14" s="32"/>
    </row>
    <row r="15" spans="1:6" ht="16.5">
      <c r="A15" s="32"/>
      <c r="B15" s="58" t="s">
        <v>148</v>
      </c>
      <c r="C15" s="59">
        <v>1051</v>
      </c>
      <c r="D15" s="60">
        <v>8.7722226859193994E-2</v>
      </c>
      <c r="E15" s="32"/>
      <c r="F15" s="32"/>
    </row>
    <row r="16" spans="1:6" ht="16.5">
      <c r="A16" s="32"/>
      <c r="B16" s="58" t="s">
        <v>159</v>
      </c>
      <c r="C16" s="59">
        <v>593</v>
      </c>
      <c r="D16" s="60">
        <v>4.9495033803522E-2</v>
      </c>
      <c r="E16" s="32"/>
      <c r="F16" s="32"/>
    </row>
    <row r="17" spans="1:6" ht="16.5">
      <c r="A17" s="32"/>
      <c r="B17" s="58" t="s">
        <v>157</v>
      </c>
      <c r="C17" s="59">
        <v>514</v>
      </c>
      <c r="D17" s="60">
        <v>4.2901260328854003E-2</v>
      </c>
      <c r="E17" s="32"/>
      <c r="F17" s="32"/>
    </row>
    <row r="18" spans="1:6" ht="16.5">
      <c r="A18" s="32"/>
      <c r="B18" s="58" t="s">
        <v>143</v>
      </c>
      <c r="C18" s="59">
        <v>418</v>
      </c>
      <c r="D18" s="60">
        <v>3.4888573574826998E-2</v>
      </c>
      <c r="E18" s="32"/>
      <c r="F18" s="32"/>
    </row>
    <row r="19" spans="1:6" ht="16.5">
      <c r="A19" s="32"/>
      <c r="B19" s="58" t="s">
        <v>150</v>
      </c>
      <c r="C19" s="59">
        <v>407</v>
      </c>
      <c r="D19" s="60">
        <v>3.3970453217595002E-2</v>
      </c>
      <c r="E19" s="32"/>
      <c r="F19" s="32"/>
    </row>
    <row r="20" spans="1:6" ht="16.5">
      <c r="A20" s="32"/>
      <c r="B20" s="58" t="s">
        <v>156</v>
      </c>
      <c r="C20" s="59">
        <v>347</v>
      </c>
      <c r="D20" s="60">
        <v>2.8962523996328E-2</v>
      </c>
      <c r="E20" s="32"/>
      <c r="F20" s="32"/>
    </row>
    <row r="21" spans="1:6" ht="16.5">
      <c r="A21" s="32"/>
      <c r="B21" s="58" t="s">
        <v>146</v>
      </c>
      <c r="C21" s="59">
        <v>334</v>
      </c>
      <c r="D21" s="60">
        <v>2.7877472665052999E-2</v>
      </c>
      <c r="E21" s="32"/>
      <c r="F21" s="32"/>
    </row>
    <row r="22" spans="1:6" ht="16.5">
      <c r="A22" s="32"/>
      <c r="B22" s="58" t="s">
        <v>149</v>
      </c>
      <c r="C22" s="59">
        <v>334</v>
      </c>
      <c r="D22" s="60">
        <v>2.7877472665052999E-2</v>
      </c>
      <c r="E22" s="32"/>
      <c r="F22" s="32"/>
    </row>
    <row r="23" spans="1:6" ht="16.5">
      <c r="A23" s="32"/>
      <c r="B23" s="58" t="s">
        <v>155</v>
      </c>
      <c r="C23" s="59">
        <v>314</v>
      </c>
      <c r="D23" s="60">
        <v>2.6208162924631E-2</v>
      </c>
      <c r="E23" s="32"/>
      <c r="F23" s="32"/>
    </row>
    <row r="24" spans="1:6" ht="16.5">
      <c r="A24" s="32"/>
      <c r="B24" s="58" t="s">
        <v>151</v>
      </c>
      <c r="C24" s="59">
        <v>276</v>
      </c>
      <c r="D24" s="60">
        <v>2.3036474417827999E-2</v>
      </c>
      <c r="E24" s="32"/>
      <c r="F24" s="32"/>
    </row>
    <row r="25" spans="1:6" ht="16.5">
      <c r="A25" s="32"/>
      <c r="B25" s="58" t="s">
        <v>145</v>
      </c>
      <c r="C25" s="59">
        <v>265</v>
      </c>
      <c r="D25" s="60">
        <v>2.2118354060596E-2</v>
      </c>
      <c r="E25" s="32"/>
      <c r="F25" s="32"/>
    </row>
    <row r="26" spans="1:6" ht="16.5">
      <c r="A26" s="32"/>
      <c r="B26" s="58" t="s">
        <v>153</v>
      </c>
      <c r="C26" s="59">
        <v>259</v>
      </c>
      <c r="D26" s="60">
        <v>2.1617561138469001E-2</v>
      </c>
      <c r="E26" s="32"/>
      <c r="F26" s="32"/>
    </row>
    <row r="27" spans="1:6" ht="16.5">
      <c r="A27" s="32"/>
      <c r="B27" s="58" t="s">
        <v>158</v>
      </c>
      <c r="C27" s="59">
        <v>224</v>
      </c>
      <c r="D27" s="60">
        <v>1.8696269092729999E-2</v>
      </c>
      <c r="E27" s="32"/>
      <c r="F27" s="32"/>
    </row>
    <row r="28" spans="1:6" ht="16.5">
      <c r="A28" s="32"/>
      <c r="B28" s="58" t="s">
        <v>152</v>
      </c>
      <c r="C28" s="59">
        <v>169</v>
      </c>
      <c r="D28" s="60">
        <v>1.4105667306569E-2</v>
      </c>
      <c r="E28" s="32"/>
      <c r="F28" s="32"/>
    </row>
    <row r="29" spans="1:6" ht="16.5">
      <c r="A29" s="32"/>
      <c r="B29" s="58" t="s">
        <v>154</v>
      </c>
      <c r="C29" s="59">
        <v>111</v>
      </c>
      <c r="D29" s="60">
        <v>9.2646690593439999E-3</v>
      </c>
      <c r="E29" s="32"/>
      <c r="F29" s="32"/>
    </row>
    <row r="30" spans="1:6" ht="16.5">
      <c r="A30" s="32"/>
      <c r="B30" s="58" t="s">
        <v>241</v>
      </c>
      <c r="C30" s="59">
        <v>98</v>
      </c>
      <c r="D30" s="60">
        <v>8.1796177280689993E-3</v>
      </c>
      <c r="E30" s="32"/>
      <c r="F30" s="32"/>
    </row>
    <row r="31" spans="1:6" ht="16.5">
      <c r="A31" s="32"/>
      <c r="B31" s="61" t="s">
        <v>267</v>
      </c>
      <c r="C31" s="62">
        <v>11981</v>
      </c>
      <c r="D31" s="63">
        <v>1</v>
      </c>
      <c r="E31" s="32"/>
      <c r="F31" s="32"/>
    </row>
    <row r="32" spans="1:6" ht="16.5">
      <c r="A32" s="32"/>
      <c r="B32" s="35"/>
      <c r="C32" s="34"/>
      <c r="D32" s="32"/>
      <c r="E32" s="32"/>
      <c r="F32" s="32"/>
    </row>
    <row r="33" spans="1:6" ht="16.5">
      <c r="A33" s="32"/>
      <c r="B33" s="35" t="s">
        <v>235</v>
      </c>
      <c r="C33" s="34"/>
      <c r="D33" s="32"/>
      <c r="E33" s="32"/>
      <c r="F33" s="32"/>
    </row>
    <row r="34" spans="1:6" ht="16.5">
      <c r="A34" s="32"/>
      <c r="B34" s="33" t="s">
        <v>18</v>
      </c>
      <c r="C34" s="34"/>
      <c r="D34" s="32"/>
      <c r="E34" s="32"/>
      <c r="F34" s="32"/>
    </row>
    <row r="35" spans="1:6" ht="16.5">
      <c r="A35" s="32"/>
      <c r="B35" s="36" t="s">
        <v>46</v>
      </c>
      <c r="C35" s="34"/>
      <c r="D35" s="32"/>
      <c r="E35" s="32"/>
      <c r="F35" s="32"/>
    </row>
    <row r="36" spans="1:6" ht="16.5">
      <c r="A36" s="32"/>
      <c r="B36" s="35" t="s">
        <v>17</v>
      </c>
      <c r="C36" s="34"/>
      <c r="D36" s="32"/>
      <c r="E36" s="32"/>
      <c r="F36" s="32"/>
    </row>
    <row r="37" spans="1:6" ht="16.5">
      <c r="A37" s="32"/>
      <c r="B37" s="35" t="s">
        <v>268</v>
      </c>
      <c r="C37" s="34"/>
      <c r="D37" s="32"/>
      <c r="E37" s="32"/>
      <c r="F37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29"/>
  <sheetViews>
    <sheetView showGridLines="0" view="pageBreakPreview" topLeftCell="A507" zoomScale="90" zoomScaleNormal="100" zoomScaleSheetLayoutView="90" workbookViewId="0">
      <selection activeCell="B525" sqref="B525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4.710937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117"/>
      <c r="C7" s="117"/>
      <c r="D7" s="117"/>
      <c r="E7" s="117"/>
    </row>
    <row r="8" spans="1:5" s="21" customFormat="1" ht="33" customHeight="1">
      <c r="A8" s="22"/>
      <c r="B8" s="117"/>
      <c r="C8" s="117"/>
      <c r="D8" s="117"/>
      <c r="E8" s="117"/>
    </row>
    <row r="9" spans="1:5" s="15" customFormat="1" ht="40.5" customHeight="1">
      <c r="B9" s="44" t="s">
        <v>25</v>
      </c>
      <c r="C9" s="45" t="s">
        <v>24</v>
      </c>
      <c r="D9" s="46" t="s">
        <v>20</v>
      </c>
      <c r="E9" s="44" t="s">
        <v>19</v>
      </c>
    </row>
    <row r="10" spans="1:5" ht="15" customHeight="1">
      <c r="B10" s="113" t="s">
        <v>100</v>
      </c>
      <c r="C10" s="58" t="s">
        <v>144</v>
      </c>
      <c r="D10" s="70">
        <v>2247</v>
      </c>
      <c r="E10" s="71">
        <v>0.188</v>
      </c>
    </row>
    <row r="11" spans="1:5" ht="15" customHeight="1">
      <c r="B11" s="114"/>
      <c r="C11" s="58" t="s">
        <v>148</v>
      </c>
      <c r="D11" s="72">
        <v>684</v>
      </c>
      <c r="E11" s="71">
        <v>5.7000000000000002E-2</v>
      </c>
    </row>
    <row r="12" spans="1:5" ht="15" customHeight="1">
      <c r="B12" s="114"/>
      <c r="C12" s="58" t="s">
        <v>147</v>
      </c>
      <c r="D12" s="72">
        <v>628</v>
      </c>
      <c r="E12" s="71">
        <v>5.1999999999999998E-2</v>
      </c>
    </row>
    <row r="13" spans="1:5" ht="15" customHeight="1">
      <c r="B13" s="114"/>
      <c r="C13" s="58" t="s">
        <v>142</v>
      </c>
      <c r="D13" s="72">
        <v>507</v>
      </c>
      <c r="E13" s="71">
        <v>4.2000000000000003E-2</v>
      </c>
    </row>
    <row r="14" spans="1:5" ht="15" customHeight="1">
      <c r="B14" s="114"/>
      <c r="C14" s="58" t="s">
        <v>157</v>
      </c>
      <c r="D14" s="72">
        <v>377</v>
      </c>
      <c r="E14" s="71">
        <v>3.1E-2</v>
      </c>
    </row>
    <row r="15" spans="1:5" ht="15" customHeight="1">
      <c r="B15" s="114"/>
      <c r="C15" s="58" t="s">
        <v>159</v>
      </c>
      <c r="D15" s="72">
        <v>356</v>
      </c>
      <c r="E15" s="71">
        <v>0.03</v>
      </c>
    </row>
    <row r="16" spans="1:5" ht="15" customHeight="1">
      <c r="B16" s="114"/>
      <c r="C16" s="58" t="s">
        <v>143</v>
      </c>
      <c r="D16" s="72">
        <v>307</v>
      </c>
      <c r="E16" s="71">
        <v>2.5999999999999999E-2</v>
      </c>
    </row>
    <row r="17" spans="2:5" ht="15" customHeight="1">
      <c r="B17" s="114"/>
      <c r="C17" s="58" t="s">
        <v>155</v>
      </c>
      <c r="D17" s="72">
        <v>282</v>
      </c>
      <c r="E17" s="71">
        <v>2.4E-2</v>
      </c>
    </row>
    <row r="18" spans="2:5" ht="15" customHeight="1">
      <c r="B18" s="114"/>
      <c r="C18" s="58" t="s">
        <v>150</v>
      </c>
      <c r="D18" s="72">
        <v>254</v>
      </c>
      <c r="E18" s="71">
        <v>2.1000000000000001E-2</v>
      </c>
    </row>
    <row r="19" spans="2:5" ht="15" customHeight="1">
      <c r="B19" s="114"/>
      <c r="C19" s="58" t="s">
        <v>151</v>
      </c>
      <c r="D19" s="72">
        <v>221</v>
      </c>
      <c r="E19" s="71">
        <v>1.7999999999999999E-2</v>
      </c>
    </row>
    <row r="20" spans="2:5" ht="15" customHeight="1">
      <c r="B20" s="114"/>
      <c r="C20" s="58" t="s">
        <v>149</v>
      </c>
      <c r="D20" s="72">
        <v>202</v>
      </c>
      <c r="E20" s="71">
        <v>1.7000000000000001E-2</v>
      </c>
    </row>
    <row r="21" spans="2:5" ht="15" customHeight="1">
      <c r="B21" s="114"/>
      <c r="C21" s="58" t="s">
        <v>146</v>
      </c>
      <c r="D21" s="72">
        <v>192</v>
      </c>
      <c r="E21" s="71">
        <v>1.6E-2</v>
      </c>
    </row>
    <row r="22" spans="2:5" ht="15" customHeight="1">
      <c r="B22" s="114"/>
      <c r="C22" s="58" t="s">
        <v>145</v>
      </c>
      <c r="D22" s="72">
        <v>189</v>
      </c>
      <c r="E22" s="71">
        <v>1.6E-2</v>
      </c>
    </row>
    <row r="23" spans="2:5" ht="15" customHeight="1">
      <c r="B23" s="114"/>
      <c r="C23" s="58" t="s">
        <v>158</v>
      </c>
      <c r="D23" s="72">
        <v>161</v>
      </c>
      <c r="E23" s="71">
        <v>1.2999999999999999E-2</v>
      </c>
    </row>
    <row r="24" spans="2:5" ht="15" customHeight="1">
      <c r="B24" s="114"/>
      <c r="C24" s="58" t="s">
        <v>156</v>
      </c>
      <c r="D24" s="72">
        <v>149</v>
      </c>
      <c r="E24" s="71">
        <v>1.2E-2</v>
      </c>
    </row>
    <row r="25" spans="2:5" ht="15" customHeight="1">
      <c r="B25" s="114"/>
      <c r="C25" s="58" t="s">
        <v>152</v>
      </c>
      <c r="D25" s="72">
        <v>98</v>
      </c>
      <c r="E25" s="71">
        <v>8.0000000000000002E-3</v>
      </c>
    </row>
    <row r="26" spans="2:5" ht="15" customHeight="1">
      <c r="B26" s="114"/>
      <c r="C26" s="58" t="s">
        <v>154</v>
      </c>
      <c r="D26" s="72">
        <v>83</v>
      </c>
      <c r="E26" s="71">
        <v>7.0000000000000001E-3</v>
      </c>
    </row>
    <row r="27" spans="2:5" ht="15" customHeight="1">
      <c r="B27" s="114"/>
      <c r="C27" s="58" t="s">
        <v>153</v>
      </c>
      <c r="D27" s="72">
        <v>80</v>
      </c>
      <c r="E27" s="71">
        <v>7.0000000000000001E-3</v>
      </c>
    </row>
    <row r="28" spans="2:5" ht="15" customHeight="1">
      <c r="B28" s="114"/>
      <c r="C28" s="58" t="s">
        <v>241</v>
      </c>
      <c r="D28" s="72">
        <v>31</v>
      </c>
      <c r="E28" s="71">
        <v>3.0000000000000001E-3</v>
      </c>
    </row>
    <row r="29" spans="2:5" ht="15" customHeight="1">
      <c r="B29" s="115"/>
      <c r="C29" s="73" t="s">
        <v>267</v>
      </c>
      <c r="D29" s="74">
        <v>7048</v>
      </c>
      <c r="E29" s="75">
        <v>0.58799999999999997</v>
      </c>
    </row>
    <row r="30" spans="2:5" ht="15" customHeight="1">
      <c r="B30" s="113" t="s">
        <v>98</v>
      </c>
      <c r="C30" s="58" t="s">
        <v>144</v>
      </c>
      <c r="D30" s="72">
        <v>472</v>
      </c>
      <c r="E30" s="71">
        <v>3.9E-2</v>
      </c>
    </row>
    <row r="31" spans="2:5" ht="15" customHeight="1">
      <c r="B31" s="114"/>
      <c r="C31" s="58" t="s">
        <v>142</v>
      </c>
      <c r="D31" s="72">
        <v>369</v>
      </c>
      <c r="E31" s="71">
        <v>3.1E-2</v>
      </c>
    </row>
    <row r="32" spans="2:5" ht="15" customHeight="1">
      <c r="B32" s="114"/>
      <c r="C32" s="58" t="s">
        <v>147</v>
      </c>
      <c r="D32" s="72">
        <v>273</v>
      </c>
      <c r="E32" s="71">
        <v>2.3E-2</v>
      </c>
    </row>
    <row r="33" spans="2:5" ht="15" customHeight="1">
      <c r="B33" s="114"/>
      <c r="C33" s="58" t="s">
        <v>153</v>
      </c>
      <c r="D33" s="72">
        <v>121</v>
      </c>
      <c r="E33" s="71">
        <v>0.01</v>
      </c>
    </row>
    <row r="34" spans="2:5" ht="15" customHeight="1">
      <c r="B34" s="114"/>
      <c r="C34" s="58" t="s">
        <v>159</v>
      </c>
      <c r="D34" s="72">
        <v>116</v>
      </c>
      <c r="E34" s="71">
        <v>0.01</v>
      </c>
    </row>
    <row r="35" spans="2:5" ht="15" customHeight="1">
      <c r="B35" s="114"/>
      <c r="C35" s="58" t="s">
        <v>156</v>
      </c>
      <c r="D35" s="72">
        <v>97</v>
      </c>
      <c r="E35" s="71">
        <v>8.0000000000000002E-3</v>
      </c>
    </row>
    <row r="36" spans="2:5" ht="15" customHeight="1">
      <c r="B36" s="114"/>
      <c r="C36" s="58" t="s">
        <v>148</v>
      </c>
      <c r="D36" s="72">
        <v>63</v>
      </c>
      <c r="E36" s="71">
        <v>5.0000000000000001E-3</v>
      </c>
    </row>
    <row r="37" spans="2:5" ht="15" customHeight="1">
      <c r="B37" s="114"/>
      <c r="C37" s="58" t="s">
        <v>150</v>
      </c>
      <c r="D37" s="72">
        <v>60</v>
      </c>
      <c r="E37" s="71">
        <v>5.0000000000000001E-3</v>
      </c>
    </row>
    <row r="38" spans="2:5" ht="15" customHeight="1">
      <c r="B38" s="114"/>
      <c r="C38" s="58" t="s">
        <v>157</v>
      </c>
      <c r="D38" s="72">
        <v>46</v>
      </c>
      <c r="E38" s="71">
        <v>4.0000000000000001E-3</v>
      </c>
    </row>
    <row r="39" spans="2:5" ht="15" customHeight="1">
      <c r="B39" s="114"/>
      <c r="C39" s="58" t="s">
        <v>146</v>
      </c>
      <c r="D39" s="72">
        <v>45</v>
      </c>
      <c r="E39" s="71">
        <v>4.0000000000000001E-3</v>
      </c>
    </row>
    <row r="40" spans="2:5" ht="15" customHeight="1">
      <c r="B40" s="114"/>
      <c r="C40" s="58" t="s">
        <v>143</v>
      </c>
      <c r="D40" s="72">
        <v>42</v>
      </c>
      <c r="E40" s="71">
        <v>4.0000000000000001E-3</v>
      </c>
    </row>
    <row r="41" spans="2:5" ht="15" customHeight="1">
      <c r="B41" s="114"/>
      <c r="C41" s="58" t="s">
        <v>149</v>
      </c>
      <c r="D41" s="72">
        <v>32</v>
      </c>
      <c r="E41" s="71">
        <v>3.0000000000000001E-3</v>
      </c>
    </row>
    <row r="42" spans="2:5" ht="15" customHeight="1">
      <c r="B42" s="114"/>
      <c r="C42" s="58" t="s">
        <v>145</v>
      </c>
      <c r="D42" s="72">
        <v>15</v>
      </c>
      <c r="E42" s="71">
        <v>1E-3</v>
      </c>
    </row>
    <row r="43" spans="2:5" ht="15" customHeight="1">
      <c r="B43" s="114"/>
      <c r="C43" s="58" t="s">
        <v>152</v>
      </c>
      <c r="D43" s="72">
        <v>12</v>
      </c>
      <c r="E43" s="71">
        <v>1E-3</v>
      </c>
    </row>
    <row r="44" spans="2:5" ht="15" customHeight="1">
      <c r="B44" s="114"/>
      <c r="C44" s="58" t="s">
        <v>158</v>
      </c>
      <c r="D44" s="72">
        <v>12</v>
      </c>
      <c r="E44" s="71">
        <v>1E-3</v>
      </c>
    </row>
    <row r="45" spans="2:5" ht="15" customHeight="1">
      <c r="B45" s="114"/>
      <c r="C45" s="58" t="s">
        <v>151</v>
      </c>
      <c r="D45" s="72">
        <v>9</v>
      </c>
      <c r="E45" s="71">
        <v>1E-3</v>
      </c>
    </row>
    <row r="46" spans="2:5" ht="15" customHeight="1">
      <c r="B46" s="114"/>
      <c r="C46" s="58" t="s">
        <v>155</v>
      </c>
      <c r="D46" s="72">
        <v>6</v>
      </c>
      <c r="E46" s="71">
        <v>1E-3</v>
      </c>
    </row>
    <row r="47" spans="2:5" ht="15" customHeight="1">
      <c r="B47" s="114"/>
      <c r="C47" s="58" t="s">
        <v>241</v>
      </c>
      <c r="D47" s="72">
        <v>6</v>
      </c>
      <c r="E47" s="71">
        <v>1E-3</v>
      </c>
    </row>
    <row r="48" spans="2:5" ht="15" customHeight="1">
      <c r="B48" s="114"/>
      <c r="C48" s="58" t="s">
        <v>154</v>
      </c>
      <c r="D48" s="72">
        <v>4</v>
      </c>
      <c r="E48" s="71">
        <v>0</v>
      </c>
    </row>
    <row r="49" spans="2:5" ht="15" customHeight="1">
      <c r="B49" s="115"/>
      <c r="C49" s="73" t="s">
        <v>267</v>
      </c>
      <c r="D49" s="74">
        <v>1800</v>
      </c>
      <c r="E49" s="75">
        <v>0.15</v>
      </c>
    </row>
    <row r="50" spans="2:5" ht="15" customHeight="1">
      <c r="B50" s="113" t="s">
        <v>121</v>
      </c>
      <c r="C50" s="58" t="s">
        <v>144</v>
      </c>
      <c r="D50" s="72">
        <v>177</v>
      </c>
      <c r="E50" s="71">
        <v>1.4999999999999999E-2</v>
      </c>
    </row>
    <row r="51" spans="2:5" ht="15" customHeight="1">
      <c r="B51" s="114"/>
      <c r="C51" s="58" t="s">
        <v>147</v>
      </c>
      <c r="D51" s="72">
        <v>67</v>
      </c>
      <c r="E51" s="71">
        <v>6.0000000000000001E-3</v>
      </c>
    </row>
    <row r="52" spans="2:5" ht="15" customHeight="1">
      <c r="B52" s="114"/>
      <c r="C52" s="58" t="s">
        <v>142</v>
      </c>
      <c r="D52" s="72">
        <v>66</v>
      </c>
      <c r="E52" s="71">
        <v>6.0000000000000001E-3</v>
      </c>
    </row>
    <row r="53" spans="2:5" ht="15" customHeight="1">
      <c r="B53" s="114"/>
      <c r="C53" s="58" t="s">
        <v>148</v>
      </c>
      <c r="D53" s="72">
        <v>53</v>
      </c>
      <c r="E53" s="71">
        <v>4.0000000000000001E-3</v>
      </c>
    </row>
    <row r="54" spans="2:5" ht="15" customHeight="1">
      <c r="B54" s="114"/>
      <c r="C54" s="58" t="s">
        <v>241</v>
      </c>
      <c r="D54" s="72">
        <v>29</v>
      </c>
      <c r="E54" s="71">
        <v>2E-3</v>
      </c>
    </row>
    <row r="55" spans="2:5" ht="15" customHeight="1">
      <c r="B55" s="114"/>
      <c r="C55" s="58" t="s">
        <v>156</v>
      </c>
      <c r="D55" s="72">
        <v>23</v>
      </c>
      <c r="E55" s="71">
        <v>2E-3</v>
      </c>
    </row>
    <row r="56" spans="2:5" ht="15" customHeight="1">
      <c r="B56" s="114"/>
      <c r="C56" s="58" t="s">
        <v>157</v>
      </c>
      <c r="D56" s="72">
        <v>23</v>
      </c>
      <c r="E56" s="71">
        <v>2E-3</v>
      </c>
    </row>
    <row r="57" spans="2:5" ht="15" customHeight="1">
      <c r="B57" s="114"/>
      <c r="C57" s="58" t="s">
        <v>150</v>
      </c>
      <c r="D57" s="72">
        <v>23</v>
      </c>
      <c r="E57" s="71">
        <v>2E-3</v>
      </c>
    </row>
    <row r="58" spans="2:5" ht="15" customHeight="1">
      <c r="B58" s="114"/>
      <c r="C58" s="58" t="s">
        <v>152</v>
      </c>
      <c r="D58" s="72">
        <v>17</v>
      </c>
      <c r="E58" s="71">
        <v>1E-3</v>
      </c>
    </row>
    <row r="59" spans="2:5" ht="15" customHeight="1">
      <c r="B59" s="114"/>
      <c r="C59" s="58" t="s">
        <v>146</v>
      </c>
      <c r="D59" s="72">
        <v>17</v>
      </c>
      <c r="E59" s="71">
        <v>1E-3</v>
      </c>
    </row>
    <row r="60" spans="2:5" ht="15" customHeight="1">
      <c r="B60" s="114"/>
      <c r="C60" s="58" t="s">
        <v>149</v>
      </c>
      <c r="D60" s="72">
        <v>15</v>
      </c>
      <c r="E60" s="71">
        <v>1E-3</v>
      </c>
    </row>
    <row r="61" spans="2:5" ht="15" customHeight="1">
      <c r="B61" s="114"/>
      <c r="C61" s="58" t="s">
        <v>159</v>
      </c>
      <c r="D61" s="72">
        <v>13</v>
      </c>
      <c r="E61" s="71">
        <v>1E-3</v>
      </c>
    </row>
    <row r="62" spans="2:5" ht="15" customHeight="1">
      <c r="B62" s="114"/>
      <c r="C62" s="58" t="s">
        <v>143</v>
      </c>
      <c r="D62" s="72">
        <v>12</v>
      </c>
      <c r="E62" s="71">
        <v>1E-3</v>
      </c>
    </row>
    <row r="63" spans="2:5" ht="15" customHeight="1">
      <c r="B63" s="114"/>
      <c r="C63" s="58" t="s">
        <v>153</v>
      </c>
      <c r="D63" s="72">
        <v>9</v>
      </c>
      <c r="E63" s="71">
        <v>1E-3</v>
      </c>
    </row>
    <row r="64" spans="2:5" ht="15" customHeight="1">
      <c r="B64" s="114"/>
      <c r="C64" s="58" t="s">
        <v>145</v>
      </c>
      <c r="D64" s="72">
        <v>8</v>
      </c>
      <c r="E64" s="71">
        <v>1E-3</v>
      </c>
    </row>
    <row r="65" spans="2:5" ht="15" customHeight="1">
      <c r="B65" s="114"/>
      <c r="C65" s="58" t="s">
        <v>155</v>
      </c>
      <c r="D65" s="72">
        <v>6</v>
      </c>
      <c r="E65" s="71">
        <v>1E-3</v>
      </c>
    </row>
    <row r="66" spans="2:5" ht="15" customHeight="1">
      <c r="B66" s="114"/>
      <c r="C66" s="58" t="s">
        <v>158</v>
      </c>
      <c r="D66" s="72">
        <v>6</v>
      </c>
      <c r="E66" s="71">
        <v>1E-3</v>
      </c>
    </row>
    <row r="67" spans="2:5" ht="15" customHeight="1">
      <c r="B67" s="114"/>
      <c r="C67" s="58" t="s">
        <v>151</v>
      </c>
      <c r="D67" s="72">
        <v>5</v>
      </c>
      <c r="E67" s="71">
        <v>0</v>
      </c>
    </row>
    <row r="68" spans="2:5" ht="15" customHeight="1">
      <c r="B68" s="115"/>
      <c r="C68" s="73" t="s">
        <v>267</v>
      </c>
      <c r="D68" s="74">
        <v>569</v>
      </c>
      <c r="E68" s="75">
        <v>4.7E-2</v>
      </c>
    </row>
    <row r="69" spans="2:5" ht="15" customHeight="1">
      <c r="B69" s="113" t="s">
        <v>134</v>
      </c>
      <c r="C69" s="58" t="s">
        <v>144</v>
      </c>
      <c r="D69" s="72">
        <v>155</v>
      </c>
      <c r="E69" s="71">
        <v>1.2999999999999999E-2</v>
      </c>
    </row>
    <row r="70" spans="2:5" ht="15" customHeight="1">
      <c r="B70" s="114"/>
      <c r="C70" s="58" t="s">
        <v>142</v>
      </c>
      <c r="D70" s="72">
        <v>82</v>
      </c>
      <c r="E70" s="71">
        <v>7.0000000000000001E-3</v>
      </c>
    </row>
    <row r="71" spans="2:5" ht="15" customHeight="1">
      <c r="B71" s="114"/>
      <c r="C71" s="58" t="s">
        <v>148</v>
      </c>
      <c r="D71" s="72">
        <v>57</v>
      </c>
      <c r="E71" s="71">
        <v>5.0000000000000001E-3</v>
      </c>
    </row>
    <row r="72" spans="2:5" ht="15" customHeight="1">
      <c r="B72" s="114"/>
      <c r="C72" s="58" t="s">
        <v>147</v>
      </c>
      <c r="D72" s="72">
        <v>41</v>
      </c>
      <c r="E72" s="71">
        <v>3.0000000000000001E-3</v>
      </c>
    </row>
    <row r="73" spans="2:5" ht="15" customHeight="1">
      <c r="B73" s="114"/>
      <c r="C73" s="58" t="s">
        <v>159</v>
      </c>
      <c r="D73" s="72">
        <v>21</v>
      </c>
      <c r="E73" s="71">
        <v>2E-3</v>
      </c>
    </row>
    <row r="74" spans="2:5" ht="15" customHeight="1">
      <c r="B74" s="114"/>
      <c r="C74" s="58" t="s">
        <v>156</v>
      </c>
      <c r="D74" s="72">
        <v>16</v>
      </c>
      <c r="E74" s="71">
        <v>1E-3</v>
      </c>
    </row>
    <row r="75" spans="2:5" ht="15" customHeight="1">
      <c r="B75" s="114"/>
      <c r="C75" s="58" t="s">
        <v>145</v>
      </c>
      <c r="D75" s="72">
        <v>13</v>
      </c>
      <c r="E75" s="71">
        <v>1E-3</v>
      </c>
    </row>
    <row r="76" spans="2:5" ht="15" customHeight="1">
      <c r="B76" s="114"/>
      <c r="C76" s="58" t="s">
        <v>150</v>
      </c>
      <c r="D76" s="72">
        <v>13</v>
      </c>
      <c r="E76" s="71">
        <v>1E-3</v>
      </c>
    </row>
    <row r="77" spans="2:5" ht="15" customHeight="1">
      <c r="B77" s="114"/>
      <c r="C77" s="58" t="s">
        <v>153</v>
      </c>
      <c r="D77" s="72">
        <v>12</v>
      </c>
      <c r="E77" s="71">
        <v>1E-3</v>
      </c>
    </row>
    <row r="78" spans="2:5" ht="15" customHeight="1">
      <c r="B78" s="114"/>
      <c r="C78" s="58" t="s">
        <v>149</v>
      </c>
      <c r="D78" s="72">
        <v>11</v>
      </c>
      <c r="E78" s="71">
        <v>1E-3</v>
      </c>
    </row>
    <row r="79" spans="2:5" ht="15" customHeight="1">
      <c r="B79" s="114"/>
      <c r="C79" s="58" t="s">
        <v>146</v>
      </c>
      <c r="D79" s="72">
        <v>10</v>
      </c>
      <c r="E79" s="71">
        <v>1E-3</v>
      </c>
    </row>
    <row r="80" spans="2:5" ht="15" customHeight="1">
      <c r="B80" s="114"/>
      <c r="C80" s="58" t="s">
        <v>158</v>
      </c>
      <c r="D80" s="72">
        <v>10</v>
      </c>
      <c r="E80" s="71">
        <v>1E-3</v>
      </c>
    </row>
    <row r="81" spans="2:5" ht="15" customHeight="1">
      <c r="B81" s="114"/>
      <c r="C81" s="58" t="s">
        <v>157</v>
      </c>
      <c r="D81" s="72">
        <v>9</v>
      </c>
      <c r="E81" s="71">
        <v>1E-3</v>
      </c>
    </row>
    <row r="82" spans="2:5" ht="15" customHeight="1">
      <c r="B82" s="114"/>
      <c r="C82" s="58" t="s">
        <v>154</v>
      </c>
      <c r="D82" s="72">
        <v>8</v>
      </c>
      <c r="E82" s="71">
        <v>1E-3</v>
      </c>
    </row>
    <row r="83" spans="2:5" ht="15" customHeight="1">
      <c r="B83" s="114"/>
      <c r="C83" s="58" t="s">
        <v>155</v>
      </c>
      <c r="D83" s="72">
        <v>6</v>
      </c>
      <c r="E83" s="71">
        <v>1E-3</v>
      </c>
    </row>
    <row r="84" spans="2:5" ht="15" customHeight="1">
      <c r="B84" s="114"/>
      <c r="C84" s="58" t="s">
        <v>143</v>
      </c>
      <c r="D84" s="72">
        <v>5</v>
      </c>
      <c r="E84" s="71">
        <v>0</v>
      </c>
    </row>
    <row r="85" spans="2:5" ht="15" customHeight="1">
      <c r="B85" s="114"/>
      <c r="C85" s="58" t="s">
        <v>152</v>
      </c>
      <c r="D85" s="72">
        <v>4</v>
      </c>
      <c r="E85" s="71">
        <v>0</v>
      </c>
    </row>
    <row r="86" spans="2:5" ht="15" customHeight="1">
      <c r="B86" s="114"/>
      <c r="C86" s="58" t="s">
        <v>151</v>
      </c>
      <c r="D86" s="72">
        <v>4</v>
      </c>
      <c r="E86" s="71">
        <v>0</v>
      </c>
    </row>
    <row r="87" spans="2:5" ht="15" customHeight="1">
      <c r="B87" s="114"/>
      <c r="C87" s="58" t="s">
        <v>241</v>
      </c>
      <c r="D87" s="72">
        <v>3</v>
      </c>
      <c r="E87" s="71">
        <v>0</v>
      </c>
    </row>
    <row r="88" spans="2:5" ht="15" customHeight="1">
      <c r="B88" s="115"/>
      <c r="C88" s="73" t="s">
        <v>267</v>
      </c>
      <c r="D88" s="74">
        <v>480</v>
      </c>
      <c r="E88" s="75">
        <v>0.04</v>
      </c>
    </row>
    <row r="89" spans="2:5" ht="15" customHeight="1">
      <c r="B89" s="113" t="s">
        <v>135</v>
      </c>
      <c r="C89" s="58" t="s">
        <v>142</v>
      </c>
      <c r="D89" s="72">
        <v>44</v>
      </c>
      <c r="E89" s="71">
        <v>4.0000000000000001E-3</v>
      </c>
    </row>
    <row r="90" spans="2:5" ht="15" customHeight="1">
      <c r="B90" s="114"/>
      <c r="C90" s="58" t="s">
        <v>144</v>
      </c>
      <c r="D90" s="72">
        <v>40</v>
      </c>
      <c r="E90" s="71">
        <v>3.0000000000000001E-3</v>
      </c>
    </row>
    <row r="91" spans="2:5" ht="15" customHeight="1">
      <c r="B91" s="114"/>
      <c r="C91" s="58" t="s">
        <v>146</v>
      </c>
      <c r="D91" s="72">
        <v>18</v>
      </c>
      <c r="E91" s="71">
        <v>2E-3</v>
      </c>
    </row>
    <row r="92" spans="2:5" ht="15" customHeight="1">
      <c r="B92" s="114"/>
      <c r="C92" s="58" t="s">
        <v>148</v>
      </c>
      <c r="D92" s="72">
        <v>18</v>
      </c>
      <c r="E92" s="71">
        <v>2E-3</v>
      </c>
    </row>
    <row r="93" spans="2:5" ht="15" customHeight="1">
      <c r="B93" s="114"/>
      <c r="C93" s="58" t="s">
        <v>147</v>
      </c>
      <c r="D93" s="72">
        <v>11</v>
      </c>
      <c r="E93" s="71">
        <v>1E-3</v>
      </c>
    </row>
    <row r="94" spans="2:5" ht="15" customHeight="1">
      <c r="B94" s="114"/>
      <c r="C94" s="58" t="s">
        <v>143</v>
      </c>
      <c r="D94" s="72">
        <v>9</v>
      </c>
      <c r="E94" s="71">
        <v>1E-3</v>
      </c>
    </row>
    <row r="95" spans="2:5" ht="15" customHeight="1">
      <c r="B95" s="114"/>
      <c r="C95" s="58" t="s">
        <v>158</v>
      </c>
      <c r="D95" s="72">
        <v>9</v>
      </c>
      <c r="E95" s="71">
        <v>1E-3</v>
      </c>
    </row>
    <row r="96" spans="2:5" ht="15" customHeight="1">
      <c r="B96" s="114"/>
      <c r="C96" s="58" t="s">
        <v>157</v>
      </c>
      <c r="D96" s="72">
        <v>8</v>
      </c>
      <c r="E96" s="71">
        <v>1E-3</v>
      </c>
    </row>
    <row r="97" spans="2:5" ht="15" customHeight="1">
      <c r="B97" s="114"/>
      <c r="C97" s="58" t="s">
        <v>159</v>
      </c>
      <c r="D97" s="72">
        <v>8</v>
      </c>
      <c r="E97" s="71">
        <v>1E-3</v>
      </c>
    </row>
    <row r="98" spans="2:5" ht="15" customHeight="1">
      <c r="B98" s="114"/>
      <c r="C98" s="58" t="s">
        <v>150</v>
      </c>
      <c r="D98" s="72">
        <v>7</v>
      </c>
      <c r="E98" s="71">
        <v>1E-3</v>
      </c>
    </row>
    <row r="99" spans="2:5" ht="15" customHeight="1">
      <c r="B99" s="114"/>
      <c r="C99" s="58" t="s">
        <v>152</v>
      </c>
      <c r="D99" s="72">
        <v>6</v>
      </c>
      <c r="E99" s="71">
        <v>1E-3</v>
      </c>
    </row>
    <row r="100" spans="2:5" ht="15" customHeight="1">
      <c r="B100" s="114"/>
      <c r="C100" s="58" t="s">
        <v>153</v>
      </c>
      <c r="D100" s="72">
        <v>5</v>
      </c>
      <c r="E100" s="71">
        <v>0</v>
      </c>
    </row>
    <row r="101" spans="2:5" ht="15" customHeight="1">
      <c r="B101" s="114"/>
      <c r="C101" s="58" t="s">
        <v>149</v>
      </c>
      <c r="D101" s="72">
        <v>5</v>
      </c>
      <c r="E101" s="71">
        <v>0</v>
      </c>
    </row>
    <row r="102" spans="2:5" ht="15" customHeight="1">
      <c r="B102" s="114"/>
      <c r="C102" s="58" t="s">
        <v>156</v>
      </c>
      <c r="D102" s="72">
        <v>4</v>
      </c>
      <c r="E102" s="71">
        <v>0</v>
      </c>
    </row>
    <row r="103" spans="2:5" ht="15" customHeight="1">
      <c r="B103" s="114"/>
      <c r="C103" s="58" t="s">
        <v>151</v>
      </c>
      <c r="D103" s="72">
        <v>4</v>
      </c>
      <c r="E103" s="71">
        <v>0</v>
      </c>
    </row>
    <row r="104" spans="2:5" ht="15" customHeight="1">
      <c r="B104" s="114"/>
      <c r="C104" s="58" t="s">
        <v>155</v>
      </c>
      <c r="D104" s="72">
        <v>1</v>
      </c>
      <c r="E104" s="71">
        <v>0</v>
      </c>
    </row>
    <row r="105" spans="2:5" ht="15" customHeight="1">
      <c r="B105" s="114"/>
      <c r="C105" s="58" t="s">
        <v>241</v>
      </c>
      <c r="D105" s="72">
        <v>1</v>
      </c>
      <c r="E105" s="71">
        <v>0</v>
      </c>
    </row>
    <row r="106" spans="2:5" ht="15" customHeight="1">
      <c r="B106" s="114"/>
      <c r="C106" s="58" t="s">
        <v>145</v>
      </c>
      <c r="D106" s="72">
        <v>1</v>
      </c>
      <c r="E106" s="71">
        <v>0</v>
      </c>
    </row>
    <row r="107" spans="2:5" ht="15" customHeight="1">
      <c r="B107" s="115"/>
      <c r="C107" s="73" t="s">
        <v>267</v>
      </c>
      <c r="D107" s="74">
        <v>199</v>
      </c>
      <c r="E107" s="75">
        <v>1.7000000000000001E-2</v>
      </c>
    </row>
    <row r="108" spans="2:5" ht="15" customHeight="1">
      <c r="B108" s="113" t="s">
        <v>101</v>
      </c>
      <c r="C108" s="58" t="s">
        <v>144</v>
      </c>
      <c r="D108" s="72">
        <v>42</v>
      </c>
      <c r="E108" s="71">
        <v>4.0000000000000001E-3</v>
      </c>
    </row>
    <row r="109" spans="2:5" ht="15" customHeight="1">
      <c r="B109" s="114"/>
      <c r="C109" s="58" t="s">
        <v>142</v>
      </c>
      <c r="D109" s="72">
        <v>30</v>
      </c>
      <c r="E109" s="71">
        <v>3.0000000000000001E-3</v>
      </c>
    </row>
    <row r="110" spans="2:5" ht="15" customHeight="1">
      <c r="B110" s="114"/>
      <c r="C110" s="58" t="s">
        <v>147</v>
      </c>
      <c r="D110" s="72">
        <v>23</v>
      </c>
      <c r="E110" s="71">
        <v>2E-3</v>
      </c>
    </row>
    <row r="111" spans="2:5" ht="15" customHeight="1">
      <c r="B111" s="114"/>
      <c r="C111" s="58" t="s">
        <v>159</v>
      </c>
      <c r="D111" s="72">
        <v>22</v>
      </c>
      <c r="E111" s="71">
        <v>2E-3</v>
      </c>
    </row>
    <row r="112" spans="2:5" ht="15" customHeight="1">
      <c r="B112" s="114"/>
      <c r="C112" s="58" t="s">
        <v>241</v>
      </c>
      <c r="D112" s="72">
        <v>18</v>
      </c>
      <c r="E112" s="71">
        <v>2E-3</v>
      </c>
    </row>
    <row r="113" spans="2:5" ht="15" customHeight="1">
      <c r="B113" s="114"/>
      <c r="C113" s="58" t="s">
        <v>148</v>
      </c>
      <c r="D113" s="72">
        <v>17</v>
      </c>
      <c r="E113" s="71">
        <v>1E-3</v>
      </c>
    </row>
    <row r="114" spans="2:5" ht="15" customHeight="1">
      <c r="B114" s="114"/>
      <c r="C114" s="58" t="s">
        <v>143</v>
      </c>
      <c r="D114" s="72">
        <v>7</v>
      </c>
      <c r="E114" s="71">
        <v>1E-3</v>
      </c>
    </row>
    <row r="115" spans="2:5" ht="15" customHeight="1">
      <c r="B115" s="114"/>
      <c r="C115" s="58" t="s">
        <v>156</v>
      </c>
      <c r="D115" s="72">
        <v>7</v>
      </c>
      <c r="E115" s="71">
        <v>1E-3</v>
      </c>
    </row>
    <row r="116" spans="2:5" ht="15" customHeight="1">
      <c r="B116" s="114"/>
      <c r="C116" s="58" t="s">
        <v>146</v>
      </c>
      <c r="D116" s="72">
        <v>5</v>
      </c>
      <c r="E116" s="71">
        <v>0</v>
      </c>
    </row>
    <row r="117" spans="2:5" ht="15" customHeight="1">
      <c r="B117" s="114"/>
      <c r="C117" s="58" t="s">
        <v>149</v>
      </c>
      <c r="D117" s="72">
        <v>5</v>
      </c>
      <c r="E117" s="71">
        <v>0</v>
      </c>
    </row>
    <row r="118" spans="2:5" ht="15" customHeight="1">
      <c r="B118" s="114"/>
      <c r="C118" s="58" t="s">
        <v>153</v>
      </c>
      <c r="D118" s="72">
        <v>4</v>
      </c>
      <c r="E118" s="71">
        <v>0</v>
      </c>
    </row>
    <row r="119" spans="2:5" ht="15" customHeight="1">
      <c r="B119" s="114"/>
      <c r="C119" s="58" t="s">
        <v>145</v>
      </c>
      <c r="D119" s="72">
        <v>4</v>
      </c>
      <c r="E119" s="71">
        <v>0</v>
      </c>
    </row>
    <row r="120" spans="2:5" ht="15" customHeight="1">
      <c r="B120" s="114"/>
      <c r="C120" s="58" t="s">
        <v>157</v>
      </c>
      <c r="D120" s="72">
        <v>4</v>
      </c>
      <c r="E120" s="71">
        <v>0</v>
      </c>
    </row>
    <row r="121" spans="2:5" ht="15" customHeight="1">
      <c r="B121" s="114"/>
      <c r="C121" s="58" t="s">
        <v>150</v>
      </c>
      <c r="D121" s="72">
        <v>4</v>
      </c>
      <c r="E121" s="71">
        <v>0</v>
      </c>
    </row>
    <row r="122" spans="2:5" ht="15" customHeight="1">
      <c r="B122" s="114"/>
      <c r="C122" s="58" t="s">
        <v>152</v>
      </c>
      <c r="D122" s="72">
        <v>3</v>
      </c>
      <c r="E122" s="71">
        <v>0</v>
      </c>
    </row>
    <row r="123" spans="2:5" ht="15" customHeight="1">
      <c r="B123" s="114"/>
      <c r="C123" s="58" t="s">
        <v>151</v>
      </c>
      <c r="D123" s="72">
        <v>2</v>
      </c>
      <c r="E123" s="71">
        <v>0</v>
      </c>
    </row>
    <row r="124" spans="2:5" ht="15" customHeight="1">
      <c r="B124" s="114"/>
      <c r="C124" s="58" t="s">
        <v>158</v>
      </c>
      <c r="D124" s="72">
        <v>1</v>
      </c>
      <c r="E124" s="71">
        <v>0</v>
      </c>
    </row>
    <row r="125" spans="2:5" ht="15" customHeight="1">
      <c r="B125" s="115"/>
      <c r="C125" s="73" t="s">
        <v>267</v>
      </c>
      <c r="D125" s="74">
        <v>198</v>
      </c>
      <c r="E125" s="75">
        <v>1.7000000000000001E-2</v>
      </c>
    </row>
    <row r="126" spans="2:5" ht="15" customHeight="1">
      <c r="B126" s="113" t="s">
        <v>107</v>
      </c>
      <c r="C126" s="58" t="s">
        <v>144</v>
      </c>
      <c r="D126" s="72">
        <v>69</v>
      </c>
      <c r="E126" s="71">
        <v>6.0000000000000001E-3</v>
      </c>
    </row>
    <row r="127" spans="2:5" ht="15" customHeight="1">
      <c r="B127" s="114"/>
      <c r="C127" s="58" t="s">
        <v>148</v>
      </c>
      <c r="D127" s="72">
        <v>18</v>
      </c>
      <c r="E127" s="71">
        <v>2E-3</v>
      </c>
    </row>
    <row r="128" spans="2:5" ht="15" customHeight="1">
      <c r="B128" s="114"/>
      <c r="C128" s="58" t="s">
        <v>142</v>
      </c>
      <c r="D128" s="72">
        <v>17</v>
      </c>
      <c r="E128" s="71">
        <v>1E-3</v>
      </c>
    </row>
    <row r="129" spans="2:5" ht="15" customHeight="1">
      <c r="B129" s="114"/>
      <c r="C129" s="58" t="s">
        <v>147</v>
      </c>
      <c r="D129" s="72">
        <v>15</v>
      </c>
      <c r="E129" s="71">
        <v>1E-3</v>
      </c>
    </row>
    <row r="130" spans="2:5" ht="15" customHeight="1">
      <c r="B130" s="114"/>
      <c r="C130" s="58" t="s">
        <v>157</v>
      </c>
      <c r="D130" s="72">
        <v>10</v>
      </c>
      <c r="E130" s="71">
        <v>1E-3</v>
      </c>
    </row>
    <row r="131" spans="2:5" ht="15" customHeight="1">
      <c r="B131" s="114"/>
      <c r="C131" s="58" t="s">
        <v>149</v>
      </c>
      <c r="D131" s="72">
        <v>6</v>
      </c>
      <c r="E131" s="71">
        <v>1E-3</v>
      </c>
    </row>
    <row r="132" spans="2:5" ht="15" customHeight="1">
      <c r="B132" s="114"/>
      <c r="C132" s="58" t="s">
        <v>152</v>
      </c>
      <c r="D132" s="72">
        <v>5</v>
      </c>
      <c r="E132" s="71">
        <v>0</v>
      </c>
    </row>
    <row r="133" spans="2:5" ht="15" customHeight="1">
      <c r="B133" s="114"/>
      <c r="C133" s="58" t="s">
        <v>159</v>
      </c>
      <c r="D133" s="72">
        <v>5</v>
      </c>
      <c r="E133" s="71">
        <v>0</v>
      </c>
    </row>
    <row r="134" spans="2:5" ht="15" customHeight="1">
      <c r="B134" s="114"/>
      <c r="C134" s="58" t="s">
        <v>154</v>
      </c>
      <c r="D134" s="72">
        <v>4</v>
      </c>
      <c r="E134" s="71">
        <v>0</v>
      </c>
    </row>
    <row r="135" spans="2:5" ht="15" customHeight="1">
      <c r="B135" s="114"/>
      <c r="C135" s="58" t="s">
        <v>158</v>
      </c>
      <c r="D135" s="72">
        <v>4</v>
      </c>
      <c r="E135" s="71">
        <v>0</v>
      </c>
    </row>
    <row r="136" spans="2:5" ht="15" customHeight="1">
      <c r="B136" s="114"/>
      <c r="C136" s="58" t="s">
        <v>143</v>
      </c>
      <c r="D136" s="72">
        <v>3</v>
      </c>
      <c r="E136" s="71">
        <v>0</v>
      </c>
    </row>
    <row r="137" spans="2:5" ht="15" customHeight="1">
      <c r="B137" s="114"/>
      <c r="C137" s="58" t="s">
        <v>156</v>
      </c>
      <c r="D137" s="72">
        <v>3</v>
      </c>
      <c r="E137" s="71">
        <v>0</v>
      </c>
    </row>
    <row r="138" spans="2:5" ht="15" customHeight="1">
      <c r="B138" s="114"/>
      <c r="C138" s="58" t="s">
        <v>150</v>
      </c>
      <c r="D138" s="72">
        <v>3</v>
      </c>
      <c r="E138" s="71">
        <v>0</v>
      </c>
    </row>
    <row r="139" spans="2:5" ht="15" customHeight="1">
      <c r="B139" s="114"/>
      <c r="C139" s="58" t="s">
        <v>145</v>
      </c>
      <c r="D139" s="72">
        <v>2</v>
      </c>
      <c r="E139" s="71">
        <v>0</v>
      </c>
    </row>
    <row r="140" spans="2:5" ht="15" customHeight="1">
      <c r="B140" s="114"/>
      <c r="C140" s="58" t="s">
        <v>146</v>
      </c>
      <c r="D140" s="72">
        <v>2</v>
      </c>
      <c r="E140" s="71">
        <v>0</v>
      </c>
    </row>
    <row r="141" spans="2:5" ht="15" customHeight="1">
      <c r="B141" s="114"/>
      <c r="C141" s="58" t="s">
        <v>151</v>
      </c>
      <c r="D141" s="72">
        <v>2</v>
      </c>
      <c r="E141" s="71">
        <v>0</v>
      </c>
    </row>
    <row r="142" spans="2:5" ht="15" customHeight="1">
      <c r="B142" s="114"/>
      <c r="C142" s="58" t="s">
        <v>153</v>
      </c>
      <c r="D142" s="72">
        <v>1</v>
      </c>
      <c r="E142" s="71">
        <v>0</v>
      </c>
    </row>
    <row r="143" spans="2:5" ht="15" customHeight="1">
      <c r="B143" s="114"/>
      <c r="C143" s="58" t="s">
        <v>155</v>
      </c>
      <c r="D143" s="72">
        <v>1</v>
      </c>
      <c r="E143" s="71">
        <v>0</v>
      </c>
    </row>
    <row r="144" spans="2:5" ht="15" customHeight="1">
      <c r="B144" s="114"/>
      <c r="C144" s="58" t="s">
        <v>241</v>
      </c>
      <c r="D144" s="72">
        <v>1</v>
      </c>
      <c r="E144" s="71">
        <v>0</v>
      </c>
    </row>
    <row r="145" spans="2:5" ht="15" customHeight="1">
      <c r="B145" s="115"/>
      <c r="C145" s="73" t="s">
        <v>267</v>
      </c>
      <c r="D145" s="74">
        <v>171</v>
      </c>
      <c r="E145" s="75">
        <v>1.4E-2</v>
      </c>
    </row>
    <row r="146" spans="2:5" ht="15" customHeight="1">
      <c r="B146" s="113" t="s">
        <v>106</v>
      </c>
      <c r="C146" s="58" t="s">
        <v>144</v>
      </c>
      <c r="D146" s="72">
        <v>40</v>
      </c>
      <c r="E146" s="71">
        <v>3.0000000000000001E-3</v>
      </c>
    </row>
    <row r="147" spans="2:5" ht="15" customHeight="1">
      <c r="B147" s="114"/>
      <c r="C147" s="58" t="s">
        <v>142</v>
      </c>
      <c r="D147" s="72">
        <v>29</v>
      </c>
      <c r="E147" s="71">
        <v>2E-3</v>
      </c>
    </row>
    <row r="148" spans="2:5" ht="15" customHeight="1">
      <c r="B148" s="114"/>
      <c r="C148" s="58" t="s">
        <v>147</v>
      </c>
      <c r="D148" s="72">
        <v>12</v>
      </c>
      <c r="E148" s="71">
        <v>1E-3</v>
      </c>
    </row>
    <row r="149" spans="2:5" ht="15" customHeight="1">
      <c r="B149" s="114"/>
      <c r="C149" s="58" t="s">
        <v>159</v>
      </c>
      <c r="D149" s="72">
        <v>9</v>
      </c>
      <c r="E149" s="71">
        <v>1E-3</v>
      </c>
    </row>
    <row r="150" spans="2:5" ht="15" customHeight="1">
      <c r="B150" s="114"/>
      <c r="C150" s="58" t="s">
        <v>143</v>
      </c>
      <c r="D150" s="72">
        <v>7</v>
      </c>
      <c r="E150" s="71">
        <v>1E-3</v>
      </c>
    </row>
    <row r="151" spans="2:5" ht="15" customHeight="1">
      <c r="B151" s="114"/>
      <c r="C151" s="58" t="s">
        <v>145</v>
      </c>
      <c r="D151" s="72">
        <v>7</v>
      </c>
      <c r="E151" s="71">
        <v>1E-3</v>
      </c>
    </row>
    <row r="152" spans="2:5" ht="15" customHeight="1">
      <c r="B152" s="114"/>
      <c r="C152" s="58" t="s">
        <v>152</v>
      </c>
      <c r="D152" s="72">
        <v>5</v>
      </c>
      <c r="E152" s="71">
        <v>0</v>
      </c>
    </row>
    <row r="153" spans="2:5" ht="15" customHeight="1">
      <c r="B153" s="114"/>
      <c r="C153" s="58" t="s">
        <v>156</v>
      </c>
      <c r="D153" s="72">
        <v>5</v>
      </c>
      <c r="E153" s="71">
        <v>0</v>
      </c>
    </row>
    <row r="154" spans="2:5" ht="15" customHeight="1">
      <c r="B154" s="114"/>
      <c r="C154" s="58" t="s">
        <v>148</v>
      </c>
      <c r="D154" s="72">
        <v>5</v>
      </c>
      <c r="E154" s="71">
        <v>0</v>
      </c>
    </row>
    <row r="155" spans="2:5" ht="15" customHeight="1">
      <c r="B155" s="114"/>
      <c r="C155" s="58" t="s">
        <v>153</v>
      </c>
      <c r="D155" s="72">
        <v>4</v>
      </c>
      <c r="E155" s="71">
        <v>0</v>
      </c>
    </row>
    <row r="156" spans="2:5" ht="15" customHeight="1">
      <c r="B156" s="114"/>
      <c r="C156" s="58" t="s">
        <v>149</v>
      </c>
      <c r="D156" s="72">
        <v>4</v>
      </c>
      <c r="E156" s="71">
        <v>0</v>
      </c>
    </row>
    <row r="157" spans="2:5" ht="15" customHeight="1">
      <c r="B157" s="114"/>
      <c r="C157" s="58" t="s">
        <v>155</v>
      </c>
      <c r="D157" s="72">
        <v>3</v>
      </c>
      <c r="E157" s="71">
        <v>0</v>
      </c>
    </row>
    <row r="158" spans="2:5" ht="15" customHeight="1">
      <c r="B158" s="114"/>
      <c r="C158" s="58" t="s">
        <v>157</v>
      </c>
      <c r="D158" s="72">
        <v>3</v>
      </c>
      <c r="E158" s="71">
        <v>0</v>
      </c>
    </row>
    <row r="159" spans="2:5" ht="15" customHeight="1">
      <c r="B159" s="114"/>
      <c r="C159" s="58" t="s">
        <v>150</v>
      </c>
      <c r="D159" s="72">
        <v>3</v>
      </c>
      <c r="E159" s="71">
        <v>0</v>
      </c>
    </row>
    <row r="160" spans="2:5" ht="15" customHeight="1">
      <c r="B160" s="114"/>
      <c r="C160" s="58" t="s">
        <v>151</v>
      </c>
      <c r="D160" s="72">
        <v>3</v>
      </c>
      <c r="E160" s="71">
        <v>0</v>
      </c>
    </row>
    <row r="161" spans="2:5" ht="15" customHeight="1">
      <c r="B161" s="114"/>
      <c r="C161" s="58" t="s">
        <v>241</v>
      </c>
      <c r="D161" s="72">
        <v>1</v>
      </c>
      <c r="E161" s="71">
        <v>0</v>
      </c>
    </row>
    <row r="162" spans="2:5" ht="15" customHeight="1">
      <c r="B162" s="115"/>
      <c r="C162" s="73" t="s">
        <v>267</v>
      </c>
      <c r="D162" s="74">
        <v>140</v>
      </c>
      <c r="E162" s="75">
        <v>1.2E-2</v>
      </c>
    </row>
    <row r="163" spans="2:5" ht="15" customHeight="1">
      <c r="B163" s="113" t="s">
        <v>125</v>
      </c>
      <c r="C163" s="58" t="s">
        <v>147</v>
      </c>
      <c r="D163" s="72">
        <v>65</v>
      </c>
      <c r="E163" s="71">
        <v>5.0000000000000001E-3</v>
      </c>
    </row>
    <row r="164" spans="2:5" ht="15" customHeight="1">
      <c r="B164" s="114"/>
      <c r="C164" s="58" t="s">
        <v>142</v>
      </c>
      <c r="D164" s="72">
        <v>21</v>
      </c>
      <c r="E164" s="71">
        <v>2E-3</v>
      </c>
    </row>
    <row r="165" spans="2:5" ht="15" customHeight="1">
      <c r="B165" s="114"/>
      <c r="C165" s="58" t="s">
        <v>144</v>
      </c>
      <c r="D165" s="72">
        <v>11</v>
      </c>
      <c r="E165" s="71">
        <v>1E-3</v>
      </c>
    </row>
    <row r="166" spans="2:5" ht="15" customHeight="1">
      <c r="B166" s="114"/>
      <c r="C166" s="58" t="s">
        <v>150</v>
      </c>
      <c r="D166" s="72">
        <v>9</v>
      </c>
      <c r="E166" s="71">
        <v>1E-3</v>
      </c>
    </row>
    <row r="167" spans="2:5" ht="15" customHeight="1">
      <c r="B167" s="114"/>
      <c r="C167" s="58" t="s">
        <v>156</v>
      </c>
      <c r="D167" s="72">
        <v>7</v>
      </c>
      <c r="E167" s="71">
        <v>1E-3</v>
      </c>
    </row>
    <row r="168" spans="2:5" ht="15" customHeight="1">
      <c r="B168" s="114"/>
      <c r="C168" s="58" t="s">
        <v>145</v>
      </c>
      <c r="D168" s="72">
        <v>6</v>
      </c>
      <c r="E168" s="71">
        <v>1E-3</v>
      </c>
    </row>
    <row r="169" spans="2:5" ht="15" customHeight="1">
      <c r="B169" s="114"/>
      <c r="C169" s="58" t="s">
        <v>148</v>
      </c>
      <c r="D169" s="72">
        <v>6</v>
      </c>
      <c r="E169" s="71">
        <v>1E-3</v>
      </c>
    </row>
    <row r="170" spans="2:5" ht="15" customHeight="1">
      <c r="B170" s="114"/>
      <c r="C170" s="58" t="s">
        <v>157</v>
      </c>
      <c r="D170" s="72">
        <v>4</v>
      </c>
      <c r="E170" s="71">
        <v>0</v>
      </c>
    </row>
    <row r="171" spans="2:5" ht="15" customHeight="1">
      <c r="B171" s="114"/>
      <c r="C171" s="58" t="s">
        <v>159</v>
      </c>
      <c r="D171" s="72">
        <v>4</v>
      </c>
      <c r="E171" s="71">
        <v>0</v>
      </c>
    </row>
    <row r="172" spans="2:5" ht="15" customHeight="1">
      <c r="B172" s="114"/>
      <c r="C172" s="58" t="s">
        <v>149</v>
      </c>
      <c r="D172" s="72">
        <v>2</v>
      </c>
      <c r="E172" s="71">
        <v>0</v>
      </c>
    </row>
    <row r="173" spans="2:5" ht="15" customHeight="1">
      <c r="B173" s="114"/>
      <c r="C173" s="58" t="s">
        <v>143</v>
      </c>
      <c r="D173" s="72">
        <v>1</v>
      </c>
      <c r="E173" s="71">
        <v>0</v>
      </c>
    </row>
    <row r="174" spans="2:5" ht="15" customHeight="1">
      <c r="B174" s="114"/>
      <c r="C174" s="58" t="s">
        <v>146</v>
      </c>
      <c r="D174" s="72">
        <v>1</v>
      </c>
      <c r="E174" s="71">
        <v>0</v>
      </c>
    </row>
    <row r="175" spans="2:5" ht="15" customHeight="1">
      <c r="B175" s="114"/>
      <c r="C175" s="58" t="s">
        <v>158</v>
      </c>
      <c r="D175" s="72">
        <v>1</v>
      </c>
      <c r="E175" s="71">
        <v>0</v>
      </c>
    </row>
    <row r="176" spans="2:5" ht="15" customHeight="1">
      <c r="B176" s="114"/>
      <c r="C176" s="58" t="s">
        <v>151</v>
      </c>
      <c r="D176" s="72">
        <v>1</v>
      </c>
      <c r="E176" s="71">
        <v>0</v>
      </c>
    </row>
    <row r="177" spans="2:5" ht="15" customHeight="1">
      <c r="B177" s="115"/>
      <c r="C177" s="73" t="s">
        <v>267</v>
      </c>
      <c r="D177" s="74">
        <v>139</v>
      </c>
      <c r="E177" s="75">
        <v>1.2E-2</v>
      </c>
    </row>
    <row r="178" spans="2:5" ht="15" customHeight="1">
      <c r="B178" s="113" t="s">
        <v>89</v>
      </c>
      <c r="C178" s="58" t="s">
        <v>144</v>
      </c>
      <c r="D178" s="72">
        <v>31</v>
      </c>
      <c r="E178" s="71">
        <v>3.0000000000000001E-3</v>
      </c>
    </row>
    <row r="179" spans="2:5" ht="15" customHeight="1">
      <c r="B179" s="114"/>
      <c r="C179" s="58" t="s">
        <v>147</v>
      </c>
      <c r="D179" s="72">
        <v>12</v>
      </c>
      <c r="E179" s="71">
        <v>1E-3</v>
      </c>
    </row>
    <row r="180" spans="2:5" ht="15" customHeight="1">
      <c r="B180" s="114"/>
      <c r="C180" s="58" t="s">
        <v>146</v>
      </c>
      <c r="D180" s="72">
        <v>10</v>
      </c>
      <c r="E180" s="71">
        <v>1E-3</v>
      </c>
    </row>
    <row r="181" spans="2:5" ht="15" customHeight="1">
      <c r="B181" s="114"/>
      <c r="C181" s="58" t="s">
        <v>148</v>
      </c>
      <c r="D181" s="72">
        <v>9</v>
      </c>
      <c r="E181" s="71">
        <v>1E-3</v>
      </c>
    </row>
    <row r="182" spans="2:5" ht="15" customHeight="1">
      <c r="B182" s="114"/>
      <c r="C182" s="58" t="s">
        <v>142</v>
      </c>
      <c r="D182" s="72">
        <v>6</v>
      </c>
      <c r="E182" s="71">
        <v>1E-3</v>
      </c>
    </row>
    <row r="183" spans="2:5" ht="15" customHeight="1">
      <c r="B183" s="114"/>
      <c r="C183" s="58" t="s">
        <v>149</v>
      </c>
      <c r="D183" s="72">
        <v>5</v>
      </c>
      <c r="E183" s="71">
        <v>0</v>
      </c>
    </row>
    <row r="184" spans="2:5" ht="15" customHeight="1">
      <c r="B184" s="114"/>
      <c r="C184" s="58" t="s">
        <v>150</v>
      </c>
      <c r="D184" s="72">
        <v>5</v>
      </c>
      <c r="E184" s="71">
        <v>0</v>
      </c>
    </row>
    <row r="185" spans="2:5" ht="15" customHeight="1">
      <c r="B185" s="114"/>
      <c r="C185" s="58" t="s">
        <v>156</v>
      </c>
      <c r="D185" s="72">
        <v>4</v>
      </c>
      <c r="E185" s="71">
        <v>0</v>
      </c>
    </row>
    <row r="186" spans="2:5" ht="15" customHeight="1">
      <c r="B186" s="114"/>
      <c r="C186" s="58" t="s">
        <v>143</v>
      </c>
      <c r="D186" s="72">
        <v>3</v>
      </c>
      <c r="E186" s="71">
        <v>0</v>
      </c>
    </row>
    <row r="187" spans="2:5" ht="15" customHeight="1">
      <c r="B187" s="114"/>
      <c r="C187" s="58" t="s">
        <v>145</v>
      </c>
      <c r="D187" s="72">
        <v>3</v>
      </c>
      <c r="E187" s="71">
        <v>0</v>
      </c>
    </row>
    <row r="188" spans="2:5" ht="15" customHeight="1">
      <c r="B188" s="114"/>
      <c r="C188" s="58" t="s">
        <v>157</v>
      </c>
      <c r="D188" s="72">
        <v>3</v>
      </c>
      <c r="E188" s="71">
        <v>0</v>
      </c>
    </row>
    <row r="189" spans="2:5" ht="15" customHeight="1">
      <c r="B189" s="114"/>
      <c r="C189" s="58" t="s">
        <v>159</v>
      </c>
      <c r="D189" s="72">
        <v>3</v>
      </c>
      <c r="E189" s="71">
        <v>0</v>
      </c>
    </row>
    <row r="190" spans="2:5" ht="15" customHeight="1">
      <c r="B190" s="114"/>
      <c r="C190" s="58" t="s">
        <v>153</v>
      </c>
      <c r="D190" s="72">
        <v>2</v>
      </c>
      <c r="E190" s="71">
        <v>0</v>
      </c>
    </row>
    <row r="191" spans="2:5" ht="15" customHeight="1">
      <c r="B191" s="114"/>
      <c r="C191" s="58" t="s">
        <v>155</v>
      </c>
      <c r="D191" s="72">
        <v>2</v>
      </c>
      <c r="E191" s="71">
        <v>0</v>
      </c>
    </row>
    <row r="192" spans="2:5" ht="15" customHeight="1">
      <c r="B192" s="114"/>
      <c r="C192" s="58" t="s">
        <v>158</v>
      </c>
      <c r="D192" s="72">
        <v>2</v>
      </c>
      <c r="E192" s="71">
        <v>0</v>
      </c>
    </row>
    <row r="193" spans="2:5" ht="15" customHeight="1">
      <c r="B193" s="114"/>
      <c r="C193" s="58" t="s">
        <v>151</v>
      </c>
      <c r="D193" s="72">
        <v>2</v>
      </c>
      <c r="E193" s="71">
        <v>0</v>
      </c>
    </row>
    <row r="194" spans="2:5" ht="15" customHeight="1">
      <c r="B194" s="114"/>
      <c r="C194" s="58" t="s">
        <v>152</v>
      </c>
      <c r="D194" s="72">
        <v>1</v>
      </c>
      <c r="E194" s="71">
        <v>0</v>
      </c>
    </row>
    <row r="195" spans="2:5" ht="15" customHeight="1">
      <c r="B195" s="114"/>
      <c r="C195" s="58" t="s">
        <v>154</v>
      </c>
      <c r="D195" s="72">
        <v>1</v>
      </c>
      <c r="E195" s="71">
        <v>0</v>
      </c>
    </row>
    <row r="196" spans="2:5" ht="15" customHeight="1">
      <c r="B196" s="115"/>
      <c r="C196" s="73" t="s">
        <v>267</v>
      </c>
      <c r="D196" s="74">
        <v>104</v>
      </c>
      <c r="E196" s="75">
        <v>8.9999999999999993E-3</v>
      </c>
    </row>
    <row r="197" spans="2:5" ht="15" customHeight="1">
      <c r="B197" s="113" t="s">
        <v>128</v>
      </c>
      <c r="C197" s="58" t="s">
        <v>144</v>
      </c>
      <c r="D197" s="72">
        <v>31</v>
      </c>
      <c r="E197" s="71">
        <v>3.0000000000000001E-3</v>
      </c>
    </row>
    <row r="198" spans="2:5" ht="15" customHeight="1">
      <c r="B198" s="114"/>
      <c r="C198" s="58" t="s">
        <v>147</v>
      </c>
      <c r="D198" s="72">
        <v>12</v>
      </c>
      <c r="E198" s="71">
        <v>1E-3</v>
      </c>
    </row>
    <row r="199" spans="2:5" ht="15" customHeight="1">
      <c r="B199" s="114"/>
      <c r="C199" s="58" t="s">
        <v>142</v>
      </c>
      <c r="D199" s="72">
        <v>11</v>
      </c>
      <c r="E199" s="71">
        <v>1E-3</v>
      </c>
    </row>
    <row r="200" spans="2:5" ht="15" customHeight="1">
      <c r="B200" s="114"/>
      <c r="C200" s="58" t="s">
        <v>148</v>
      </c>
      <c r="D200" s="72">
        <v>10</v>
      </c>
      <c r="E200" s="71">
        <v>1E-3</v>
      </c>
    </row>
    <row r="201" spans="2:5" ht="15" customHeight="1">
      <c r="B201" s="114"/>
      <c r="C201" s="58" t="s">
        <v>157</v>
      </c>
      <c r="D201" s="72">
        <v>5</v>
      </c>
      <c r="E201" s="71">
        <v>0</v>
      </c>
    </row>
    <row r="202" spans="2:5" ht="15" customHeight="1">
      <c r="B202" s="114"/>
      <c r="C202" s="58" t="s">
        <v>149</v>
      </c>
      <c r="D202" s="72">
        <v>4</v>
      </c>
      <c r="E202" s="71">
        <v>0</v>
      </c>
    </row>
    <row r="203" spans="2:5" ht="15" customHeight="1">
      <c r="B203" s="114"/>
      <c r="C203" s="58" t="s">
        <v>154</v>
      </c>
      <c r="D203" s="72">
        <v>2</v>
      </c>
      <c r="E203" s="71">
        <v>0</v>
      </c>
    </row>
    <row r="204" spans="2:5" ht="15" customHeight="1">
      <c r="B204" s="114"/>
      <c r="C204" s="58" t="s">
        <v>156</v>
      </c>
      <c r="D204" s="72">
        <v>2</v>
      </c>
      <c r="E204" s="71">
        <v>0</v>
      </c>
    </row>
    <row r="205" spans="2:5" ht="15" customHeight="1">
      <c r="B205" s="114"/>
      <c r="C205" s="58" t="s">
        <v>146</v>
      </c>
      <c r="D205" s="72">
        <v>2</v>
      </c>
      <c r="E205" s="71">
        <v>0</v>
      </c>
    </row>
    <row r="206" spans="2:5" ht="15" customHeight="1">
      <c r="B206" s="114"/>
      <c r="C206" s="58" t="s">
        <v>158</v>
      </c>
      <c r="D206" s="72">
        <v>2</v>
      </c>
      <c r="E206" s="71">
        <v>0</v>
      </c>
    </row>
    <row r="207" spans="2:5" ht="15" customHeight="1">
      <c r="B207" s="114"/>
      <c r="C207" s="58" t="s">
        <v>159</v>
      </c>
      <c r="D207" s="72">
        <v>2</v>
      </c>
      <c r="E207" s="71">
        <v>0</v>
      </c>
    </row>
    <row r="208" spans="2:5" ht="15" customHeight="1">
      <c r="B208" s="114"/>
      <c r="C208" s="58" t="s">
        <v>152</v>
      </c>
      <c r="D208" s="72">
        <v>1</v>
      </c>
      <c r="E208" s="71">
        <v>0</v>
      </c>
    </row>
    <row r="209" spans="2:5" ht="15" customHeight="1">
      <c r="B209" s="114"/>
      <c r="C209" s="58" t="s">
        <v>151</v>
      </c>
      <c r="D209" s="72">
        <v>1</v>
      </c>
      <c r="E209" s="71">
        <v>0</v>
      </c>
    </row>
    <row r="210" spans="2:5" ht="15" customHeight="1">
      <c r="B210" s="115"/>
      <c r="C210" s="73" t="s">
        <v>267</v>
      </c>
      <c r="D210" s="74">
        <v>85</v>
      </c>
      <c r="E210" s="75">
        <v>7.0000000000000001E-3</v>
      </c>
    </row>
    <row r="211" spans="2:5" ht="15" customHeight="1">
      <c r="B211" s="113" t="s">
        <v>104</v>
      </c>
      <c r="C211" s="58" t="s">
        <v>144</v>
      </c>
      <c r="D211" s="72">
        <v>26</v>
      </c>
      <c r="E211" s="71">
        <v>2E-3</v>
      </c>
    </row>
    <row r="212" spans="2:5" ht="15" customHeight="1">
      <c r="B212" s="114"/>
      <c r="C212" s="58" t="s">
        <v>147</v>
      </c>
      <c r="D212" s="72">
        <v>17</v>
      </c>
      <c r="E212" s="71">
        <v>1E-3</v>
      </c>
    </row>
    <row r="213" spans="2:5" ht="15" customHeight="1">
      <c r="B213" s="114"/>
      <c r="C213" s="58" t="s">
        <v>142</v>
      </c>
      <c r="D213" s="72">
        <v>9</v>
      </c>
      <c r="E213" s="71">
        <v>1E-3</v>
      </c>
    </row>
    <row r="214" spans="2:5" ht="15" customHeight="1">
      <c r="B214" s="114"/>
      <c r="C214" s="58" t="s">
        <v>148</v>
      </c>
      <c r="D214" s="72">
        <v>9</v>
      </c>
      <c r="E214" s="71">
        <v>1E-3</v>
      </c>
    </row>
    <row r="215" spans="2:5" ht="15" customHeight="1">
      <c r="B215" s="114"/>
      <c r="C215" s="58" t="s">
        <v>149</v>
      </c>
      <c r="D215" s="72">
        <v>4</v>
      </c>
      <c r="E215" s="71">
        <v>0</v>
      </c>
    </row>
    <row r="216" spans="2:5" ht="15" customHeight="1">
      <c r="B216" s="114"/>
      <c r="C216" s="58" t="s">
        <v>241</v>
      </c>
      <c r="D216" s="72">
        <v>3</v>
      </c>
      <c r="E216" s="71">
        <v>0</v>
      </c>
    </row>
    <row r="217" spans="2:5" ht="15" customHeight="1">
      <c r="B217" s="114"/>
      <c r="C217" s="58" t="s">
        <v>151</v>
      </c>
      <c r="D217" s="72">
        <v>3</v>
      </c>
      <c r="E217" s="71">
        <v>0</v>
      </c>
    </row>
    <row r="218" spans="2:5" ht="15" customHeight="1">
      <c r="B218" s="114"/>
      <c r="C218" s="58" t="s">
        <v>152</v>
      </c>
      <c r="D218" s="72">
        <v>2</v>
      </c>
      <c r="E218" s="71">
        <v>0</v>
      </c>
    </row>
    <row r="219" spans="2:5" ht="15" customHeight="1">
      <c r="B219" s="114"/>
      <c r="C219" s="58" t="s">
        <v>154</v>
      </c>
      <c r="D219" s="72">
        <v>2</v>
      </c>
      <c r="E219" s="71">
        <v>0</v>
      </c>
    </row>
    <row r="220" spans="2:5" ht="15" customHeight="1">
      <c r="B220" s="114"/>
      <c r="C220" s="58" t="s">
        <v>153</v>
      </c>
      <c r="D220" s="72">
        <v>1</v>
      </c>
      <c r="E220" s="71">
        <v>0</v>
      </c>
    </row>
    <row r="221" spans="2:5" ht="15" customHeight="1">
      <c r="B221" s="114"/>
      <c r="C221" s="58" t="s">
        <v>155</v>
      </c>
      <c r="D221" s="72">
        <v>1</v>
      </c>
      <c r="E221" s="71">
        <v>0</v>
      </c>
    </row>
    <row r="222" spans="2:5" ht="15" customHeight="1">
      <c r="B222" s="114"/>
      <c r="C222" s="58" t="s">
        <v>145</v>
      </c>
      <c r="D222" s="72">
        <v>1</v>
      </c>
      <c r="E222" s="71">
        <v>0</v>
      </c>
    </row>
    <row r="223" spans="2:5" ht="15" customHeight="1">
      <c r="B223" s="114"/>
      <c r="C223" s="58" t="s">
        <v>146</v>
      </c>
      <c r="D223" s="72">
        <v>1</v>
      </c>
      <c r="E223" s="71">
        <v>0</v>
      </c>
    </row>
    <row r="224" spans="2:5" ht="15" customHeight="1">
      <c r="B224" s="114"/>
      <c r="C224" s="58" t="s">
        <v>150</v>
      </c>
      <c r="D224" s="72">
        <v>1</v>
      </c>
      <c r="E224" s="71">
        <v>0</v>
      </c>
    </row>
    <row r="225" spans="2:5" ht="15" customHeight="1">
      <c r="B225" s="114"/>
      <c r="C225" s="58" t="s">
        <v>159</v>
      </c>
      <c r="D225" s="72">
        <v>1</v>
      </c>
      <c r="E225" s="71">
        <v>0</v>
      </c>
    </row>
    <row r="226" spans="2:5" ht="15" customHeight="1">
      <c r="B226" s="115"/>
      <c r="C226" s="73" t="s">
        <v>267</v>
      </c>
      <c r="D226" s="74">
        <v>81</v>
      </c>
      <c r="E226" s="75">
        <v>7.0000000000000001E-3</v>
      </c>
    </row>
    <row r="227" spans="2:5" ht="15" customHeight="1">
      <c r="B227" s="113" t="s">
        <v>120</v>
      </c>
      <c r="C227" s="58" t="s">
        <v>144</v>
      </c>
      <c r="D227" s="72">
        <v>29</v>
      </c>
      <c r="E227" s="71">
        <v>2E-3</v>
      </c>
    </row>
    <row r="228" spans="2:5" ht="15" customHeight="1">
      <c r="B228" s="114"/>
      <c r="C228" s="58" t="s">
        <v>142</v>
      </c>
      <c r="D228" s="72">
        <v>9</v>
      </c>
      <c r="E228" s="71">
        <v>1E-3</v>
      </c>
    </row>
    <row r="229" spans="2:5" ht="15" customHeight="1">
      <c r="B229" s="114"/>
      <c r="C229" s="58" t="s">
        <v>152</v>
      </c>
      <c r="D229" s="72">
        <v>7</v>
      </c>
      <c r="E229" s="71">
        <v>1E-3</v>
      </c>
    </row>
    <row r="230" spans="2:5" ht="15" customHeight="1">
      <c r="B230" s="114"/>
      <c r="C230" s="58" t="s">
        <v>157</v>
      </c>
      <c r="D230" s="72">
        <v>6</v>
      </c>
      <c r="E230" s="71">
        <v>1E-3</v>
      </c>
    </row>
    <row r="231" spans="2:5" ht="15" customHeight="1">
      <c r="B231" s="114"/>
      <c r="C231" s="58" t="s">
        <v>147</v>
      </c>
      <c r="D231" s="72">
        <v>5</v>
      </c>
      <c r="E231" s="71">
        <v>0</v>
      </c>
    </row>
    <row r="232" spans="2:5" ht="15" customHeight="1">
      <c r="B232" s="114"/>
      <c r="C232" s="58" t="s">
        <v>148</v>
      </c>
      <c r="D232" s="72">
        <v>4</v>
      </c>
      <c r="E232" s="71">
        <v>0</v>
      </c>
    </row>
    <row r="233" spans="2:5" ht="15" customHeight="1">
      <c r="B233" s="114"/>
      <c r="C233" s="58" t="s">
        <v>143</v>
      </c>
      <c r="D233" s="72">
        <v>3</v>
      </c>
      <c r="E233" s="71">
        <v>0</v>
      </c>
    </row>
    <row r="234" spans="2:5" ht="15" customHeight="1">
      <c r="B234" s="114"/>
      <c r="C234" s="58" t="s">
        <v>145</v>
      </c>
      <c r="D234" s="72">
        <v>3</v>
      </c>
      <c r="E234" s="71">
        <v>0</v>
      </c>
    </row>
    <row r="235" spans="2:5" ht="15" customHeight="1">
      <c r="B235" s="114"/>
      <c r="C235" s="58" t="s">
        <v>150</v>
      </c>
      <c r="D235" s="72">
        <v>3</v>
      </c>
      <c r="E235" s="71">
        <v>0</v>
      </c>
    </row>
    <row r="236" spans="2:5" ht="15" customHeight="1">
      <c r="B236" s="114"/>
      <c r="C236" s="58" t="s">
        <v>146</v>
      </c>
      <c r="D236" s="72">
        <v>2</v>
      </c>
      <c r="E236" s="71">
        <v>0</v>
      </c>
    </row>
    <row r="237" spans="2:5" ht="15" customHeight="1">
      <c r="B237" s="114"/>
      <c r="C237" s="58" t="s">
        <v>149</v>
      </c>
      <c r="D237" s="72">
        <v>2</v>
      </c>
      <c r="E237" s="71">
        <v>0</v>
      </c>
    </row>
    <row r="238" spans="2:5" ht="15" customHeight="1">
      <c r="B238" s="114"/>
      <c r="C238" s="58" t="s">
        <v>158</v>
      </c>
      <c r="D238" s="72">
        <v>2</v>
      </c>
      <c r="E238" s="71">
        <v>0</v>
      </c>
    </row>
    <row r="239" spans="2:5" ht="15" customHeight="1">
      <c r="B239" s="114"/>
      <c r="C239" s="58" t="s">
        <v>155</v>
      </c>
      <c r="D239" s="72">
        <v>1</v>
      </c>
      <c r="E239" s="71">
        <v>0</v>
      </c>
    </row>
    <row r="240" spans="2:5" ht="15" customHeight="1">
      <c r="B240" s="114"/>
      <c r="C240" s="58" t="s">
        <v>156</v>
      </c>
      <c r="D240" s="72">
        <v>1</v>
      </c>
      <c r="E240" s="71">
        <v>0</v>
      </c>
    </row>
    <row r="241" spans="2:5" ht="15" customHeight="1">
      <c r="B241" s="114"/>
      <c r="C241" s="58" t="s">
        <v>159</v>
      </c>
      <c r="D241" s="72">
        <v>1</v>
      </c>
      <c r="E241" s="71">
        <v>0</v>
      </c>
    </row>
    <row r="242" spans="2:5" ht="15" customHeight="1">
      <c r="B242" s="115"/>
      <c r="C242" s="73" t="s">
        <v>267</v>
      </c>
      <c r="D242" s="74">
        <v>78</v>
      </c>
      <c r="E242" s="75">
        <v>7.0000000000000001E-3</v>
      </c>
    </row>
    <row r="243" spans="2:5" ht="15" customHeight="1">
      <c r="B243" s="113" t="s">
        <v>116</v>
      </c>
      <c r="C243" s="58" t="s">
        <v>144</v>
      </c>
      <c r="D243" s="72">
        <v>24</v>
      </c>
      <c r="E243" s="71">
        <v>2E-3</v>
      </c>
    </row>
    <row r="244" spans="2:5" ht="15" customHeight="1">
      <c r="B244" s="114"/>
      <c r="C244" s="58" t="s">
        <v>142</v>
      </c>
      <c r="D244" s="72">
        <v>9</v>
      </c>
      <c r="E244" s="71">
        <v>1E-3</v>
      </c>
    </row>
    <row r="245" spans="2:5" ht="15" customHeight="1">
      <c r="B245" s="114"/>
      <c r="C245" s="58" t="s">
        <v>148</v>
      </c>
      <c r="D245" s="72">
        <v>9</v>
      </c>
      <c r="E245" s="71">
        <v>1E-3</v>
      </c>
    </row>
    <row r="246" spans="2:5" ht="15" customHeight="1">
      <c r="B246" s="114"/>
      <c r="C246" s="58" t="s">
        <v>146</v>
      </c>
      <c r="D246" s="72">
        <v>5</v>
      </c>
      <c r="E246" s="71">
        <v>0</v>
      </c>
    </row>
    <row r="247" spans="2:5" ht="15" customHeight="1">
      <c r="B247" s="114"/>
      <c r="C247" s="58" t="s">
        <v>147</v>
      </c>
      <c r="D247" s="72">
        <v>5</v>
      </c>
      <c r="E247" s="71">
        <v>0</v>
      </c>
    </row>
    <row r="248" spans="2:5" ht="15" customHeight="1">
      <c r="B248" s="114"/>
      <c r="C248" s="58" t="s">
        <v>159</v>
      </c>
      <c r="D248" s="72">
        <v>5</v>
      </c>
      <c r="E248" s="71">
        <v>0</v>
      </c>
    </row>
    <row r="249" spans="2:5" ht="15" customHeight="1">
      <c r="B249" s="114"/>
      <c r="C249" s="58" t="s">
        <v>157</v>
      </c>
      <c r="D249" s="72">
        <v>4</v>
      </c>
      <c r="E249" s="71">
        <v>0</v>
      </c>
    </row>
    <row r="250" spans="2:5" ht="15" customHeight="1">
      <c r="B250" s="114"/>
      <c r="C250" s="58" t="s">
        <v>145</v>
      </c>
      <c r="D250" s="72">
        <v>3</v>
      </c>
      <c r="E250" s="71">
        <v>0</v>
      </c>
    </row>
    <row r="251" spans="2:5" ht="15" customHeight="1">
      <c r="B251" s="114"/>
      <c r="C251" s="58" t="s">
        <v>143</v>
      </c>
      <c r="D251" s="72">
        <v>2</v>
      </c>
      <c r="E251" s="71">
        <v>0</v>
      </c>
    </row>
    <row r="252" spans="2:5" ht="15" customHeight="1">
      <c r="B252" s="114"/>
      <c r="C252" s="58" t="s">
        <v>149</v>
      </c>
      <c r="D252" s="72">
        <v>2</v>
      </c>
      <c r="E252" s="71">
        <v>0</v>
      </c>
    </row>
    <row r="253" spans="2:5" ht="15" customHeight="1">
      <c r="B253" s="114"/>
      <c r="C253" s="58" t="s">
        <v>150</v>
      </c>
      <c r="D253" s="72">
        <v>2</v>
      </c>
      <c r="E253" s="71">
        <v>0</v>
      </c>
    </row>
    <row r="254" spans="2:5" ht="15" customHeight="1">
      <c r="B254" s="114"/>
      <c r="C254" s="58" t="s">
        <v>153</v>
      </c>
      <c r="D254" s="72">
        <v>1</v>
      </c>
      <c r="E254" s="71">
        <v>0</v>
      </c>
    </row>
    <row r="255" spans="2:5" ht="15" customHeight="1">
      <c r="B255" s="114"/>
      <c r="C255" s="58" t="s">
        <v>156</v>
      </c>
      <c r="D255" s="72">
        <v>1</v>
      </c>
      <c r="E255" s="71">
        <v>0</v>
      </c>
    </row>
    <row r="256" spans="2:5" ht="15" customHeight="1">
      <c r="B256" s="115"/>
      <c r="C256" s="73" t="s">
        <v>267</v>
      </c>
      <c r="D256" s="74">
        <v>72</v>
      </c>
      <c r="E256" s="75">
        <v>6.0000000000000001E-3</v>
      </c>
    </row>
    <row r="257" spans="2:5" ht="15" customHeight="1">
      <c r="B257" s="113" t="s">
        <v>110</v>
      </c>
      <c r="C257" s="58" t="s">
        <v>142</v>
      </c>
      <c r="D257" s="72">
        <v>17</v>
      </c>
      <c r="E257" s="71">
        <v>1E-3</v>
      </c>
    </row>
    <row r="258" spans="2:5" ht="15" customHeight="1">
      <c r="B258" s="114"/>
      <c r="C258" s="58" t="s">
        <v>144</v>
      </c>
      <c r="D258" s="72">
        <v>16</v>
      </c>
      <c r="E258" s="71">
        <v>1E-3</v>
      </c>
    </row>
    <row r="259" spans="2:5" ht="15" customHeight="1">
      <c r="B259" s="114"/>
      <c r="C259" s="58" t="s">
        <v>147</v>
      </c>
      <c r="D259" s="72">
        <v>8</v>
      </c>
      <c r="E259" s="71">
        <v>1E-3</v>
      </c>
    </row>
    <row r="260" spans="2:5" ht="15" customHeight="1">
      <c r="B260" s="114"/>
      <c r="C260" s="58" t="s">
        <v>156</v>
      </c>
      <c r="D260" s="72">
        <v>6</v>
      </c>
      <c r="E260" s="71">
        <v>1E-3</v>
      </c>
    </row>
    <row r="261" spans="2:5" ht="15" customHeight="1">
      <c r="B261" s="114"/>
      <c r="C261" s="58" t="s">
        <v>148</v>
      </c>
      <c r="D261" s="72">
        <v>6</v>
      </c>
      <c r="E261" s="71">
        <v>1E-3</v>
      </c>
    </row>
    <row r="262" spans="2:5" ht="15" customHeight="1">
      <c r="B262" s="114"/>
      <c r="C262" s="58" t="s">
        <v>159</v>
      </c>
      <c r="D262" s="72">
        <v>4</v>
      </c>
      <c r="E262" s="71">
        <v>0</v>
      </c>
    </row>
    <row r="263" spans="2:5" ht="15" customHeight="1">
      <c r="B263" s="114"/>
      <c r="C263" s="58" t="s">
        <v>153</v>
      </c>
      <c r="D263" s="72">
        <v>3</v>
      </c>
      <c r="E263" s="71">
        <v>0</v>
      </c>
    </row>
    <row r="264" spans="2:5" ht="15" customHeight="1">
      <c r="B264" s="114"/>
      <c r="C264" s="58" t="s">
        <v>146</v>
      </c>
      <c r="D264" s="72">
        <v>3</v>
      </c>
      <c r="E264" s="71">
        <v>0</v>
      </c>
    </row>
    <row r="265" spans="2:5" ht="15" customHeight="1">
      <c r="B265" s="114"/>
      <c r="C265" s="58" t="s">
        <v>143</v>
      </c>
      <c r="D265" s="72">
        <v>2</v>
      </c>
      <c r="E265" s="71">
        <v>0</v>
      </c>
    </row>
    <row r="266" spans="2:5" ht="15" customHeight="1">
      <c r="B266" s="114"/>
      <c r="C266" s="58" t="s">
        <v>241</v>
      </c>
      <c r="D266" s="72">
        <v>2</v>
      </c>
      <c r="E266" s="71">
        <v>0</v>
      </c>
    </row>
    <row r="267" spans="2:5" ht="15" customHeight="1">
      <c r="B267" s="114"/>
      <c r="C267" s="58" t="s">
        <v>150</v>
      </c>
      <c r="D267" s="72">
        <v>2</v>
      </c>
      <c r="E267" s="71">
        <v>0</v>
      </c>
    </row>
    <row r="268" spans="2:5" ht="15" customHeight="1">
      <c r="B268" s="114"/>
      <c r="C268" s="58" t="s">
        <v>158</v>
      </c>
      <c r="D268" s="72">
        <v>1</v>
      </c>
      <c r="E268" s="71">
        <v>0</v>
      </c>
    </row>
    <row r="269" spans="2:5" ht="15" customHeight="1">
      <c r="B269" s="115"/>
      <c r="C269" s="73" t="s">
        <v>267</v>
      </c>
      <c r="D269" s="74">
        <v>70</v>
      </c>
      <c r="E269" s="75">
        <v>6.0000000000000001E-3</v>
      </c>
    </row>
    <row r="270" spans="2:5" ht="15" customHeight="1">
      <c r="B270" s="113" t="s">
        <v>133</v>
      </c>
      <c r="C270" s="58" t="s">
        <v>144</v>
      </c>
      <c r="D270" s="72">
        <v>25</v>
      </c>
      <c r="E270" s="71">
        <v>2E-3</v>
      </c>
    </row>
    <row r="271" spans="2:5" ht="15" customHeight="1">
      <c r="B271" s="114"/>
      <c r="C271" s="58" t="s">
        <v>147</v>
      </c>
      <c r="D271" s="72">
        <v>11</v>
      </c>
      <c r="E271" s="71">
        <v>1E-3</v>
      </c>
    </row>
    <row r="272" spans="2:5" ht="15" customHeight="1">
      <c r="B272" s="114"/>
      <c r="C272" s="58" t="s">
        <v>148</v>
      </c>
      <c r="D272" s="72">
        <v>10</v>
      </c>
      <c r="E272" s="71">
        <v>1E-3</v>
      </c>
    </row>
    <row r="273" spans="2:5" ht="15" customHeight="1">
      <c r="B273" s="114"/>
      <c r="C273" s="58" t="s">
        <v>153</v>
      </c>
      <c r="D273" s="72">
        <v>4</v>
      </c>
      <c r="E273" s="71">
        <v>0</v>
      </c>
    </row>
    <row r="274" spans="2:5" ht="15" customHeight="1">
      <c r="B274" s="114"/>
      <c r="C274" s="58" t="s">
        <v>154</v>
      </c>
      <c r="D274" s="72">
        <v>4</v>
      </c>
      <c r="E274" s="71">
        <v>0</v>
      </c>
    </row>
    <row r="275" spans="2:5" ht="15" customHeight="1">
      <c r="B275" s="114"/>
      <c r="C275" s="58" t="s">
        <v>142</v>
      </c>
      <c r="D275" s="72">
        <v>3</v>
      </c>
      <c r="E275" s="71">
        <v>0</v>
      </c>
    </row>
    <row r="276" spans="2:5" ht="15" customHeight="1">
      <c r="B276" s="114"/>
      <c r="C276" s="58" t="s">
        <v>149</v>
      </c>
      <c r="D276" s="72">
        <v>3</v>
      </c>
      <c r="E276" s="71">
        <v>0</v>
      </c>
    </row>
    <row r="277" spans="2:5" ht="15" customHeight="1">
      <c r="B277" s="114"/>
      <c r="C277" s="58" t="s">
        <v>145</v>
      </c>
      <c r="D277" s="72">
        <v>2</v>
      </c>
      <c r="E277" s="71">
        <v>0</v>
      </c>
    </row>
    <row r="278" spans="2:5" ht="15" customHeight="1">
      <c r="B278" s="114"/>
      <c r="C278" s="58" t="s">
        <v>151</v>
      </c>
      <c r="D278" s="72">
        <v>2</v>
      </c>
      <c r="E278" s="71">
        <v>0</v>
      </c>
    </row>
    <row r="279" spans="2:5" ht="15" customHeight="1">
      <c r="B279" s="114"/>
      <c r="C279" s="58" t="s">
        <v>155</v>
      </c>
      <c r="D279" s="72">
        <v>1</v>
      </c>
      <c r="E279" s="71">
        <v>0</v>
      </c>
    </row>
    <row r="280" spans="2:5" ht="15" customHeight="1">
      <c r="B280" s="114"/>
      <c r="C280" s="58" t="s">
        <v>156</v>
      </c>
      <c r="D280" s="72">
        <v>1</v>
      </c>
      <c r="E280" s="71">
        <v>0</v>
      </c>
    </row>
    <row r="281" spans="2:5" ht="15" customHeight="1">
      <c r="B281" s="114"/>
      <c r="C281" s="58" t="s">
        <v>146</v>
      </c>
      <c r="D281" s="72">
        <v>1</v>
      </c>
      <c r="E281" s="71">
        <v>0</v>
      </c>
    </row>
    <row r="282" spans="2:5" ht="15" customHeight="1">
      <c r="B282" s="114"/>
      <c r="C282" s="58" t="s">
        <v>158</v>
      </c>
      <c r="D282" s="72">
        <v>1</v>
      </c>
      <c r="E282" s="71">
        <v>0</v>
      </c>
    </row>
    <row r="283" spans="2:5" ht="15" customHeight="1">
      <c r="B283" s="114"/>
      <c r="C283" s="58" t="s">
        <v>159</v>
      </c>
      <c r="D283" s="72">
        <v>1</v>
      </c>
      <c r="E283" s="71">
        <v>0</v>
      </c>
    </row>
    <row r="284" spans="2:5" ht="15" customHeight="1">
      <c r="B284" s="115"/>
      <c r="C284" s="73" t="s">
        <v>267</v>
      </c>
      <c r="D284" s="74">
        <v>69</v>
      </c>
      <c r="E284" s="75">
        <v>6.0000000000000001E-3</v>
      </c>
    </row>
    <row r="285" spans="2:5" ht="15" customHeight="1">
      <c r="B285" s="113" t="s">
        <v>123</v>
      </c>
      <c r="C285" s="58" t="s">
        <v>144</v>
      </c>
      <c r="D285" s="72">
        <v>18</v>
      </c>
      <c r="E285" s="71">
        <v>2E-3</v>
      </c>
    </row>
    <row r="286" spans="2:5" ht="15" customHeight="1">
      <c r="B286" s="114"/>
      <c r="C286" s="58" t="s">
        <v>142</v>
      </c>
      <c r="D286" s="72">
        <v>14</v>
      </c>
      <c r="E286" s="71">
        <v>1E-3</v>
      </c>
    </row>
    <row r="287" spans="2:5" ht="15" customHeight="1">
      <c r="B287" s="114"/>
      <c r="C287" s="58" t="s">
        <v>147</v>
      </c>
      <c r="D287" s="72">
        <v>9</v>
      </c>
      <c r="E287" s="71">
        <v>1E-3</v>
      </c>
    </row>
    <row r="288" spans="2:5" ht="15" customHeight="1">
      <c r="B288" s="114"/>
      <c r="C288" s="58" t="s">
        <v>159</v>
      </c>
      <c r="D288" s="72">
        <v>4</v>
      </c>
      <c r="E288" s="71">
        <v>0</v>
      </c>
    </row>
    <row r="289" spans="2:5" ht="15" customHeight="1">
      <c r="B289" s="114"/>
      <c r="C289" s="58" t="s">
        <v>153</v>
      </c>
      <c r="D289" s="72">
        <v>3</v>
      </c>
      <c r="E289" s="71">
        <v>0</v>
      </c>
    </row>
    <row r="290" spans="2:5" ht="15" customHeight="1">
      <c r="B290" s="114"/>
      <c r="C290" s="58" t="s">
        <v>148</v>
      </c>
      <c r="D290" s="72">
        <v>3</v>
      </c>
      <c r="E290" s="71">
        <v>0</v>
      </c>
    </row>
    <row r="291" spans="2:5" ht="15" customHeight="1">
      <c r="B291" s="114"/>
      <c r="C291" s="58" t="s">
        <v>156</v>
      </c>
      <c r="D291" s="72">
        <v>2</v>
      </c>
      <c r="E291" s="71">
        <v>0</v>
      </c>
    </row>
    <row r="292" spans="2:5" ht="15" customHeight="1">
      <c r="B292" s="114"/>
      <c r="C292" s="58" t="s">
        <v>149</v>
      </c>
      <c r="D292" s="72">
        <v>2</v>
      </c>
      <c r="E292" s="71">
        <v>0</v>
      </c>
    </row>
    <row r="293" spans="2:5" ht="15" customHeight="1">
      <c r="B293" s="114"/>
      <c r="C293" s="58" t="s">
        <v>150</v>
      </c>
      <c r="D293" s="72">
        <v>2</v>
      </c>
      <c r="E293" s="71">
        <v>0</v>
      </c>
    </row>
    <row r="294" spans="2:5" ht="15" customHeight="1">
      <c r="B294" s="114"/>
      <c r="C294" s="58" t="s">
        <v>152</v>
      </c>
      <c r="D294" s="72">
        <v>1</v>
      </c>
      <c r="E294" s="71">
        <v>0</v>
      </c>
    </row>
    <row r="295" spans="2:5" ht="15" customHeight="1">
      <c r="B295" s="114"/>
      <c r="C295" s="58" t="s">
        <v>143</v>
      </c>
      <c r="D295" s="72">
        <v>1</v>
      </c>
      <c r="E295" s="71">
        <v>0</v>
      </c>
    </row>
    <row r="296" spans="2:5" ht="15" customHeight="1">
      <c r="B296" s="114"/>
      <c r="C296" s="58" t="s">
        <v>157</v>
      </c>
      <c r="D296" s="72">
        <v>1</v>
      </c>
      <c r="E296" s="71">
        <v>0</v>
      </c>
    </row>
    <row r="297" spans="2:5" ht="15" customHeight="1">
      <c r="B297" s="115"/>
      <c r="C297" s="73" t="s">
        <v>267</v>
      </c>
      <c r="D297" s="74">
        <v>60</v>
      </c>
      <c r="E297" s="75">
        <v>5.0000000000000001E-3</v>
      </c>
    </row>
    <row r="298" spans="2:5" ht="15" customHeight="1">
      <c r="B298" s="113" t="s">
        <v>129</v>
      </c>
      <c r="C298" s="58" t="s">
        <v>144</v>
      </c>
      <c r="D298" s="72">
        <v>24</v>
      </c>
      <c r="E298" s="71">
        <v>2E-3</v>
      </c>
    </row>
    <row r="299" spans="2:5" ht="15" customHeight="1">
      <c r="B299" s="114"/>
      <c r="C299" s="58" t="s">
        <v>142</v>
      </c>
      <c r="D299" s="72">
        <v>7</v>
      </c>
      <c r="E299" s="71">
        <v>1E-3</v>
      </c>
    </row>
    <row r="300" spans="2:5" ht="15" customHeight="1">
      <c r="B300" s="114"/>
      <c r="C300" s="58" t="s">
        <v>148</v>
      </c>
      <c r="D300" s="72">
        <v>5</v>
      </c>
      <c r="E300" s="71">
        <v>0</v>
      </c>
    </row>
    <row r="301" spans="2:5" ht="15" customHeight="1">
      <c r="B301" s="114"/>
      <c r="C301" s="58" t="s">
        <v>149</v>
      </c>
      <c r="D301" s="72">
        <v>5</v>
      </c>
      <c r="E301" s="71">
        <v>0</v>
      </c>
    </row>
    <row r="302" spans="2:5" ht="15" customHeight="1">
      <c r="B302" s="114"/>
      <c r="C302" s="58" t="s">
        <v>159</v>
      </c>
      <c r="D302" s="72">
        <v>4</v>
      </c>
      <c r="E302" s="71">
        <v>0</v>
      </c>
    </row>
    <row r="303" spans="2:5" ht="15" customHeight="1">
      <c r="B303" s="114"/>
      <c r="C303" s="58" t="s">
        <v>157</v>
      </c>
      <c r="D303" s="72">
        <v>3</v>
      </c>
      <c r="E303" s="71">
        <v>0</v>
      </c>
    </row>
    <row r="304" spans="2:5" ht="15" customHeight="1">
      <c r="B304" s="114"/>
      <c r="C304" s="58" t="s">
        <v>150</v>
      </c>
      <c r="D304" s="72">
        <v>3</v>
      </c>
      <c r="E304" s="71">
        <v>0</v>
      </c>
    </row>
    <row r="305" spans="2:5" ht="15" customHeight="1">
      <c r="B305" s="114"/>
      <c r="C305" s="58" t="s">
        <v>147</v>
      </c>
      <c r="D305" s="72">
        <v>2</v>
      </c>
      <c r="E305" s="71">
        <v>0</v>
      </c>
    </row>
    <row r="306" spans="2:5" ht="15" customHeight="1">
      <c r="B306" s="114"/>
      <c r="C306" s="58" t="s">
        <v>143</v>
      </c>
      <c r="D306" s="72">
        <v>1</v>
      </c>
      <c r="E306" s="71">
        <v>0</v>
      </c>
    </row>
    <row r="307" spans="2:5" ht="15" customHeight="1">
      <c r="B307" s="114"/>
      <c r="C307" s="58" t="s">
        <v>146</v>
      </c>
      <c r="D307" s="72">
        <v>1</v>
      </c>
      <c r="E307" s="71">
        <v>0</v>
      </c>
    </row>
    <row r="308" spans="2:5" ht="15" customHeight="1">
      <c r="B308" s="114"/>
      <c r="C308" s="58" t="s">
        <v>151</v>
      </c>
      <c r="D308" s="72">
        <v>1</v>
      </c>
      <c r="E308" s="71">
        <v>0</v>
      </c>
    </row>
    <row r="309" spans="2:5" ht="15" customHeight="1">
      <c r="B309" s="115"/>
      <c r="C309" s="73" t="s">
        <v>267</v>
      </c>
      <c r="D309" s="74">
        <v>56</v>
      </c>
      <c r="E309" s="75">
        <v>5.0000000000000001E-3</v>
      </c>
    </row>
    <row r="310" spans="2:5" ht="15" customHeight="1">
      <c r="B310" s="113" t="s">
        <v>105</v>
      </c>
      <c r="C310" s="58" t="s">
        <v>144</v>
      </c>
      <c r="D310" s="72">
        <v>14</v>
      </c>
      <c r="E310" s="71">
        <v>1E-3</v>
      </c>
    </row>
    <row r="311" spans="2:5" ht="15" customHeight="1">
      <c r="B311" s="114"/>
      <c r="C311" s="58" t="s">
        <v>148</v>
      </c>
      <c r="D311" s="72">
        <v>9</v>
      </c>
      <c r="E311" s="71">
        <v>1E-3</v>
      </c>
    </row>
    <row r="312" spans="2:5" ht="15" customHeight="1">
      <c r="B312" s="114"/>
      <c r="C312" s="58" t="s">
        <v>147</v>
      </c>
      <c r="D312" s="72">
        <v>8</v>
      </c>
      <c r="E312" s="71">
        <v>1E-3</v>
      </c>
    </row>
    <row r="313" spans="2:5" ht="15" customHeight="1">
      <c r="B313" s="114"/>
      <c r="C313" s="58" t="s">
        <v>142</v>
      </c>
      <c r="D313" s="72">
        <v>4</v>
      </c>
      <c r="E313" s="71">
        <v>0</v>
      </c>
    </row>
    <row r="314" spans="2:5" ht="15" customHeight="1">
      <c r="B314" s="114"/>
      <c r="C314" s="58" t="s">
        <v>154</v>
      </c>
      <c r="D314" s="72">
        <v>2</v>
      </c>
      <c r="E314" s="71">
        <v>0</v>
      </c>
    </row>
    <row r="315" spans="2:5" ht="15" customHeight="1">
      <c r="B315" s="114"/>
      <c r="C315" s="58" t="s">
        <v>156</v>
      </c>
      <c r="D315" s="72">
        <v>2</v>
      </c>
      <c r="E315" s="71">
        <v>0</v>
      </c>
    </row>
    <row r="316" spans="2:5" ht="15" customHeight="1">
      <c r="B316" s="114"/>
      <c r="C316" s="58" t="s">
        <v>145</v>
      </c>
      <c r="D316" s="72">
        <v>2</v>
      </c>
      <c r="E316" s="71">
        <v>0</v>
      </c>
    </row>
    <row r="317" spans="2:5" ht="15" customHeight="1">
      <c r="B317" s="114"/>
      <c r="C317" s="58" t="s">
        <v>151</v>
      </c>
      <c r="D317" s="72">
        <v>2</v>
      </c>
      <c r="E317" s="71">
        <v>0</v>
      </c>
    </row>
    <row r="318" spans="2:5" ht="15" customHeight="1">
      <c r="B318" s="114"/>
      <c r="C318" s="58" t="s">
        <v>159</v>
      </c>
      <c r="D318" s="72">
        <v>2</v>
      </c>
      <c r="E318" s="71">
        <v>0</v>
      </c>
    </row>
    <row r="319" spans="2:5" ht="15" customHeight="1">
      <c r="B319" s="114"/>
      <c r="C319" s="58" t="s">
        <v>152</v>
      </c>
      <c r="D319" s="72">
        <v>1</v>
      </c>
      <c r="E319" s="71">
        <v>0</v>
      </c>
    </row>
    <row r="320" spans="2:5" ht="15" customHeight="1">
      <c r="B320" s="114"/>
      <c r="C320" s="58" t="s">
        <v>153</v>
      </c>
      <c r="D320" s="72">
        <v>1</v>
      </c>
      <c r="E320" s="71">
        <v>0</v>
      </c>
    </row>
    <row r="321" spans="2:5" ht="15" customHeight="1">
      <c r="B321" s="114"/>
      <c r="C321" s="58" t="s">
        <v>146</v>
      </c>
      <c r="D321" s="72">
        <v>1</v>
      </c>
      <c r="E321" s="71">
        <v>0</v>
      </c>
    </row>
    <row r="322" spans="2:5" ht="15" customHeight="1">
      <c r="B322" s="115"/>
      <c r="C322" s="73" t="s">
        <v>267</v>
      </c>
      <c r="D322" s="74">
        <v>48</v>
      </c>
      <c r="E322" s="75">
        <v>4.0000000000000001E-3</v>
      </c>
    </row>
    <row r="323" spans="2:5" ht="15" customHeight="1">
      <c r="B323" s="113" t="s">
        <v>108</v>
      </c>
      <c r="C323" s="58" t="s">
        <v>144</v>
      </c>
      <c r="D323" s="72">
        <v>11</v>
      </c>
      <c r="E323" s="71">
        <v>1E-3</v>
      </c>
    </row>
    <row r="324" spans="2:5" ht="15" customHeight="1">
      <c r="B324" s="114"/>
      <c r="C324" s="58" t="s">
        <v>142</v>
      </c>
      <c r="D324" s="72">
        <v>10</v>
      </c>
      <c r="E324" s="71">
        <v>1E-3</v>
      </c>
    </row>
    <row r="325" spans="2:5" ht="15" customHeight="1">
      <c r="B325" s="114"/>
      <c r="C325" s="58" t="s">
        <v>150</v>
      </c>
      <c r="D325" s="72">
        <v>5</v>
      </c>
      <c r="E325" s="71">
        <v>0</v>
      </c>
    </row>
    <row r="326" spans="2:5" ht="15" customHeight="1">
      <c r="B326" s="114"/>
      <c r="C326" s="58" t="s">
        <v>148</v>
      </c>
      <c r="D326" s="72">
        <v>4</v>
      </c>
      <c r="E326" s="71">
        <v>0</v>
      </c>
    </row>
    <row r="327" spans="2:5" ht="15" customHeight="1">
      <c r="B327" s="114"/>
      <c r="C327" s="58" t="s">
        <v>146</v>
      </c>
      <c r="D327" s="72">
        <v>3</v>
      </c>
      <c r="E327" s="71">
        <v>0</v>
      </c>
    </row>
    <row r="328" spans="2:5" ht="15" customHeight="1">
      <c r="B328" s="114"/>
      <c r="C328" s="58" t="s">
        <v>153</v>
      </c>
      <c r="D328" s="72">
        <v>2</v>
      </c>
      <c r="E328" s="71">
        <v>0</v>
      </c>
    </row>
    <row r="329" spans="2:5" ht="15" customHeight="1">
      <c r="B329" s="114"/>
      <c r="C329" s="58" t="s">
        <v>149</v>
      </c>
      <c r="D329" s="72">
        <v>2</v>
      </c>
      <c r="E329" s="71">
        <v>0</v>
      </c>
    </row>
    <row r="330" spans="2:5" ht="15" customHeight="1">
      <c r="B330" s="114"/>
      <c r="C330" s="58" t="s">
        <v>158</v>
      </c>
      <c r="D330" s="72">
        <v>2</v>
      </c>
      <c r="E330" s="71">
        <v>0</v>
      </c>
    </row>
    <row r="331" spans="2:5" ht="15" customHeight="1">
      <c r="B331" s="114"/>
      <c r="C331" s="58" t="s">
        <v>152</v>
      </c>
      <c r="D331" s="72">
        <v>1</v>
      </c>
      <c r="E331" s="71">
        <v>0</v>
      </c>
    </row>
    <row r="332" spans="2:5" ht="15" customHeight="1">
      <c r="B332" s="114"/>
      <c r="C332" s="58" t="s">
        <v>143</v>
      </c>
      <c r="D332" s="72">
        <v>1</v>
      </c>
      <c r="E332" s="71">
        <v>0</v>
      </c>
    </row>
    <row r="333" spans="2:5" ht="15" customHeight="1">
      <c r="B333" s="114"/>
      <c r="C333" s="58" t="s">
        <v>241</v>
      </c>
      <c r="D333" s="72">
        <v>1</v>
      </c>
      <c r="E333" s="71">
        <v>0</v>
      </c>
    </row>
    <row r="334" spans="2:5" ht="15" customHeight="1">
      <c r="B334" s="114"/>
      <c r="C334" s="58" t="s">
        <v>156</v>
      </c>
      <c r="D334" s="72">
        <v>1</v>
      </c>
      <c r="E334" s="71">
        <v>0</v>
      </c>
    </row>
    <row r="335" spans="2:5" ht="15" customHeight="1">
      <c r="B335" s="114"/>
      <c r="C335" s="58" t="s">
        <v>147</v>
      </c>
      <c r="D335" s="72">
        <v>1</v>
      </c>
      <c r="E335" s="71">
        <v>0</v>
      </c>
    </row>
    <row r="336" spans="2:5" ht="15" customHeight="1">
      <c r="B336" s="114"/>
      <c r="C336" s="58" t="s">
        <v>157</v>
      </c>
      <c r="D336" s="72">
        <v>1</v>
      </c>
      <c r="E336" s="71">
        <v>0</v>
      </c>
    </row>
    <row r="337" spans="2:5" ht="15" customHeight="1">
      <c r="B337" s="114"/>
      <c r="C337" s="58" t="s">
        <v>159</v>
      </c>
      <c r="D337" s="72">
        <v>1</v>
      </c>
      <c r="E337" s="71">
        <v>0</v>
      </c>
    </row>
    <row r="338" spans="2:5" ht="15" customHeight="1">
      <c r="B338" s="115"/>
      <c r="C338" s="73" t="s">
        <v>267</v>
      </c>
      <c r="D338" s="74">
        <v>46</v>
      </c>
      <c r="E338" s="75">
        <v>4.0000000000000001E-3</v>
      </c>
    </row>
    <row r="339" spans="2:5" ht="15" customHeight="1">
      <c r="B339" s="113" t="s">
        <v>118</v>
      </c>
      <c r="C339" s="58" t="s">
        <v>142</v>
      </c>
      <c r="D339" s="72">
        <v>17</v>
      </c>
      <c r="E339" s="71">
        <v>1E-3</v>
      </c>
    </row>
    <row r="340" spans="2:5" ht="15" customHeight="1">
      <c r="B340" s="114"/>
      <c r="C340" s="58" t="s">
        <v>144</v>
      </c>
      <c r="D340" s="72">
        <v>9</v>
      </c>
      <c r="E340" s="71">
        <v>1E-3</v>
      </c>
    </row>
    <row r="341" spans="2:5" ht="15" customHeight="1">
      <c r="B341" s="114"/>
      <c r="C341" s="58" t="s">
        <v>147</v>
      </c>
      <c r="D341" s="72">
        <v>4</v>
      </c>
      <c r="E341" s="71">
        <v>0</v>
      </c>
    </row>
    <row r="342" spans="2:5" ht="15" customHeight="1">
      <c r="B342" s="114"/>
      <c r="C342" s="58" t="s">
        <v>153</v>
      </c>
      <c r="D342" s="72">
        <v>3</v>
      </c>
      <c r="E342" s="71">
        <v>0</v>
      </c>
    </row>
    <row r="343" spans="2:5" ht="15" customHeight="1">
      <c r="B343" s="114"/>
      <c r="C343" s="58" t="s">
        <v>156</v>
      </c>
      <c r="D343" s="72">
        <v>2</v>
      </c>
      <c r="E343" s="71">
        <v>0</v>
      </c>
    </row>
    <row r="344" spans="2:5" ht="15" customHeight="1">
      <c r="B344" s="114"/>
      <c r="C344" s="58" t="s">
        <v>159</v>
      </c>
      <c r="D344" s="72">
        <v>2</v>
      </c>
      <c r="E344" s="71">
        <v>0</v>
      </c>
    </row>
    <row r="345" spans="2:5" ht="15" customHeight="1">
      <c r="B345" s="114"/>
      <c r="C345" s="58" t="s">
        <v>152</v>
      </c>
      <c r="D345" s="72">
        <v>1</v>
      </c>
      <c r="E345" s="71">
        <v>0</v>
      </c>
    </row>
    <row r="346" spans="2:5" ht="15" customHeight="1">
      <c r="B346" s="114"/>
      <c r="C346" s="58" t="s">
        <v>143</v>
      </c>
      <c r="D346" s="72">
        <v>1</v>
      </c>
      <c r="E346" s="71">
        <v>0</v>
      </c>
    </row>
    <row r="347" spans="2:5" ht="15" customHeight="1">
      <c r="B347" s="114"/>
      <c r="C347" s="58" t="s">
        <v>146</v>
      </c>
      <c r="D347" s="72">
        <v>1</v>
      </c>
      <c r="E347" s="71">
        <v>0</v>
      </c>
    </row>
    <row r="348" spans="2:5" ht="15" customHeight="1">
      <c r="B348" s="114"/>
      <c r="C348" s="58" t="s">
        <v>148</v>
      </c>
      <c r="D348" s="72">
        <v>1</v>
      </c>
      <c r="E348" s="71">
        <v>0</v>
      </c>
    </row>
    <row r="349" spans="2:5" ht="15" customHeight="1">
      <c r="B349" s="115"/>
      <c r="C349" s="73" t="s">
        <v>267</v>
      </c>
      <c r="D349" s="74">
        <v>41</v>
      </c>
      <c r="E349" s="75">
        <v>3.0000000000000001E-3</v>
      </c>
    </row>
    <row r="350" spans="2:5" ht="15" customHeight="1">
      <c r="B350" s="113" t="s">
        <v>136</v>
      </c>
      <c r="C350" s="58" t="s">
        <v>147</v>
      </c>
      <c r="D350" s="72">
        <v>12</v>
      </c>
      <c r="E350" s="71">
        <v>1E-3</v>
      </c>
    </row>
    <row r="351" spans="2:5" ht="15" customHeight="1">
      <c r="B351" s="114"/>
      <c r="C351" s="58" t="s">
        <v>144</v>
      </c>
      <c r="D351" s="72">
        <v>8</v>
      </c>
      <c r="E351" s="71">
        <v>1E-3</v>
      </c>
    </row>
    <row r="352" spans="2:5" ht="15" customHeight="1">
      <c r="B352" s="114"/>
      <c r="C352" s="58" t="s">
        <v>142</v>
      </c>
      <c r="D352" s="72">
        <v>7</v>
      </c>
      <c r="E352" s="71">
        <v>1E-3</v>
      </c>
    </row>
    <row r="353" spans="2:5" ht="15" customHeight="1">
      <c r="B353" s="114"/>
      <c r="C353" s="58" t="s">
        <v>150</v>
      </c>
      <c r="D353" s="72">
        <v>5</v>
      </c>
      <c r="E353" s="71">
        <v>0</v>
      </c>
    </row>
    <row r="354" spans="2:5" ht="15" customHeight="1">
      <c r="B354" s="114"/>
      <c r="C354" s="58" t="s">
        <v>148</v>
      </c>
      <c r="D354" s="72">
        <v>3</v>
      </c>
      <c r="E354" s="71">
        <v>0</v>
      </c>
    </row>
    <row r="355" spans="2:5" ht="15" customHeight="1">
      <c r="B355" s="114"/>
      <c r="C355" s="58" t="s">
        <v>157</v>
      </c>
      <c r="D355" s="72">
        <v>2</v>
      </c>
      <c r="E355" s="71">
        <v>0</v>
      </c>
    </row>
    <row r="356" spans="2:5" ht="15" customHeight="1">
      <c r="B356" s="114"/>
      <c r="C356" s="58" t="s">
        <v>156</v>
      </c>
      <c r="D356" s="72">
        <v>1</v>
      </c>
      <c r="E356" s="71">
        <v>0</v>
      </c>
    </row>
    <row r="357" spans="2:5" ht="15" customHeight="1">
      <c r="B357" s="114"/>
      <c r="C357" s="58" t="s">
        <v>149</v>
      </c>
      <c r="D357" s="72">
        <v>1</v>
      </c>
      <c r="E357" s="71">
        <v>0</v>
      </c>
    </row>
    <row r="358" spans="2:5" ht="15" customHeight="1">
      <c r="B358" s="114"/>
      <c r="C358" s="58" t="s">
        <v>151</v>
      </c>
      <c r="D358" s="72">
        <v>1</v>
      </c>
      <c r="E358" s="71">
        <v>0</v>
      </c>
    </row>
    <row r="359" spans="2:5" ht="15" customHeight="1">
      <c r="B359" s="115"/>
      <c r="C359" s="73" t="s">
        <v>267</v>
      </c>
      <c r="D359" s="74">
        <v>40</v>
      </c>
      <c r="E359" s="75">
        <v>3.0000000000000001E-3</v>
      </c>
    </row>
    <row r="360" spans="2:5" ht="15" customHeight="1">
      <c r="B360" s="113" t="s">
        <v>112</v>
      </c>
      <c r="C360" s="58" t="s">
        <v>142</v>
      </c>
      <c r="D360" s="72">
        <v>20</v>
      </c>
      <c r="E360" s="71">
        <v>2E-3</v>
      </c>
    </row>
    <row r="361" spans="2:5" ht="15" customHeight="1">
      <c r="B361" s="114"/>
      <c r="C361" s="58" t="s">
        <v>147</v>
      </c>
      <c r="D361" s="72">
        <v>10</v>
      </c>
      <c r="E361" s="71">
        <v>1E-3</v>
      </c>
    </row>
    <row r="362" spans="2:5" ht="15" customHeight="1">
      <c r="B362" s="114"/>
      <c r="C362" s="58" t="s">
        <v>144</v>
      </c>
      <c r="D362" s="72">
        <v>4</v>
      </c>
      <c r="E362" s="71">
        <v>0</v>
      </c>
    </row>
    <row r="363" spans="2:5" ht="15" customHeight="1">
      <c r="B363" s="114"/>
      <c r="C363" s="58" t="s">
        <v>156</v>
      </c>
      <c r="D363" s="72">
        <v>2</v>
      </c>
      <c r="E363" s="71">
        <v>0</v>
      </c>
    </row>
    <row r="364" spans="2:5" ht="15" customHeight="1">
      <c r="B364" s="114"/>
      <c r="C364" s="58" t="s">
        <v>143</v>
      </c>
      <c r="D364" s="72">
        <v>1</v>
      </c>
      <c r="E364" s="71">
        <v>0</v>
      </c>
    </row>
    <row r="365" spans="2:5" ht="15" customHeight="1">
      <c r="B365" s="115"/>
      <c r="C365" s="73" t="s">
        <v>267</v>
      </c>
      <c r="D365" s="74">
        <v>37</v>
      </c>
      <c r="E365" s="75">
        <v>3.0000000000000001E-3</v>
      </c>
    </row>
    <row r="366" spans="2:5" ht="15" customHeight="1">
      <c r="B366" s="113" t="s">
        <v>99</v>
      </c>
      <c r="C366" s="58" t="s">
        <v>144</v>
      </c>
      <c r="D366" s="72">
        <v>11</v>
      </c>
      <c r="E366" s="71">
        <v>1E-3</v>
      </c>
    </row>
    <row r="367" spans="2:5" ht="15" customHeight="1">
      <c r="B367" s="114"/>
      <c r="C367" s="58" t="s">
        <v>148</v>
      </c>
      <c r="D367" s="72">
        <v>4</v>
      </c>
      <c r="E367" s="71">
        <v>0</v>
      </c>
    </row>
    <row r="368" spans="2:5" ht="15" customHeight="1">
      <c r="B368" s="114"/>
      <c r="C368" s="58" t="s">
        <v>142</v>
      </c>
      <c r="D368" s="72">
        <v>3</v>
      </c>
      <c r="E368" s="71">
        <v>0</v>
      </c>
    </row>
    <row r="369" spans="2:5" ht="15" customHeight="1">
      <c r="B369" s="114"/>
      <c r="C369" s="58" t="s">
        <v>146</v>
      </c>
      <c r="D369" s="72">
        <v>3</v>
      </c>
      <c r="E369" s="71">
        <v>0</v>
      </c>
    </row>
    <row r="370" spans="2:5" ht="15" customHeight="1">
      <c r="B370" s="114"/>
      <c r="C370" s="58" t="s">
        <v>151</v>
      </c>
      <c r="D370" s="72">
        <v>3</v>
      </c>
      <c r="E370" s="71">
        <v>0</v>
      </c>
    </row>
    <row r="371" spans="2:5" ht="15" customHeight="1">
      <c r="B371" s="114"/>
      <c r="C371" s="58" t="s">
        <v>143</v>
      </c>
      <c r="D371" s="72">
        <v>2</v>
      </c>
      <c r="E371" s="71">
        <v>0</v>
      </c>
    </row>
    <row r="372" spans="2:5" ht="15" customHeight="1">
      <c r="B372" s="114"/>
      <c r="C372" s="58" t="s">
        <v>156</v>
      </c>
      <c r="D372" s="72">
        <v>2</v>
      </c>
      <c r="E372" s="71">
        <v>0</v>
      </c>
    </row>
    <row r="373" spans="2:5" ht="15" customHeight="1">
      <c r="B373" s="114"/>
      <c r="C373" s="58" t="s">
        <v>147</v>
      </c>
      <c r="D373" s="72">
        <v>2</v>
      </c>
      <c r="E373" s="71">
        <v>0</v>
      </c>
    </row>
    <row r="374" spans="2:5" ht="15" customHeight="1">
      <c r="B374" s="114"/>
      <c r="C374" s="58" t="s">
        <v>152</v>
      </c>
      <c r="D374" s="72">
        <v>1</v>
      </c>
      <c r="E374" s="71">
        <v>0</v>
      </c>
    </row>
    <row r="375" spans="2:5" ht="15" customHeight="1">
      <c r="B375" s="114"/>
      <c r="C375" s="58" t="s">
        <v>149</v>
      </c>
      <c r="D375" s="72">
        <v>1</v>
      </c>
      <c r="E375" s="71">
        <v>0</v>
      </c>
    </row>
    <row r="376" spans="2:5" ht="15" customHeight="1">
      <c r="B376" s="114"/>
      <c r="C376" s="58" t="s">
        <v>158</v>
      </c>
      <c r="D376" s="72">
        <v>1</v>
      </c>
      <c r="E376" s="71">
        <v>0</v>
      </c>
    </row>
    <row r="377" spans="2:5" ht="15" customHeight="1">
      <c r="B377" s="115"/>
      <c r="C377" s="73" t="s">
        <v>267</v>
      </c>
      <c r="D377" s="74">
        <v>33</v>
      </c>
      <c r="E377" s="75">
        <v>3.0000000000000001E-3</v>
      </c>
    </row>
    <row r="378" spans="2:5" ht="15" customHeight="1">
      <c r="B378" s="113" t="s">
        <v>115</v>
      </c>
      <c r="C378" s="58" t="s">
        <v>148</v>
      </c>
      <c r="D378" s="72">
        <v>11</v>
      </c>
      <c r="E378" s="71">
        <v>1E-3</v>
      </c>
    </row>
    <row r="379" spans="2:5" ht="15" customHeight="1">
      <c r="B379" s="114"/>
      <c r="C379" s="58" t="s">
        <v>144</v>
      </c>
      <c r="D379" s="72">
        <v>5</v>
      </c>
      <c r="E379" s="71">
        <v>0</v>
      </c>
    </row>
    <row r="380" spans="2:5" ht="15" customHeight="1">
      <c r="B380" s="114"/>
      <c r="C380" s="58" t="s">
        <v>142</v>
      </c>
      <c r="D380" s="72">
        <v>3</v>
      </c>
      <c r="E380" s="71">
        <v>0</v>
      </c>
    </row>
    <row r="381" spans="2:5" ht="15" customHeight="1">
      <c r="B381" s="114"/>
      <c r="C381" s="58" t="s">
        <v>146</v>
      </c>
      <c r="D381" s="72">
        <v>3</v>
      </c>
      <c r="E381" s="71">
        <v>0</v>
      </c>
    </row>
    <row r="382" spans="2:5" ht="15" customHeight="1">
      <c r="B382" s="114"/>
      <c r="C382" s="58" t="s">
        <v>143</v>
      </c>
      <c r="D382" s="72">
        <v>2</v>
      </c>
      <c r="E382" s="71">
        <v>0</v>
      </c>
    </row>
    <row r="383" spans="2:5" ht="15" customHeight="1">
      <c r="B383" s="114"/>
      <c r="C383" s="58" t="s">
        <v>147</v>
      </c>
      <c r="D383" s="72">
        <v>2</v>
      </c>
      <c r="E383" s="71">
        <v>0</v>
      </c>
    </row>
    <row r="384" spans="2:5" ht="15" customHeight="1">
      <c r="B384" s="114"/>
      <c r="C384" s="58" t="s">
        <v>149</v>
      </c>
      <c r="D384" s="72">
        <v>2</v>
      </c>
      <c r="E384" s="71">
        <v>0</v>
      </c>
    </row>
    <row r="385" spans="2:5" ht="15" customHeight="1">
      <c r="B385" s="114"/>
      <c r="C385" s="58" t="s">
        <v>159</v>
      </c>
      <c r="D385" s="72">
        <v>2</v>
      </c>
      <c r="E385" s="71">
        <v>0</v>
      </c>
    </row>
    <row r="386" spans="2:5" ht="15" customHeight="1">
      <c r="B386" s="114"/>
      <c r="C386" s="58" t="s">
        <v>152</v>
      </c>
      <c r="D386" s="72">
        <v>1</v>
      </c>
      <c r="E386" s="71">
        <v>0</v>
      </c>
    </row>
    <row r="387" spans="2:5" ht="15" customHeight="1">
      <c r="B387" s="114"/>
      <c r="C387" s="58" t="s">
        <v>157</v>
      </c>
      <c r="D387" s="72">
        <v>1</v>
      </c>
      <c r="E387" s="71">
        <v>0</v>
      </c>
    </row>
    <row r="388" spans="2:5" ht="15" customHeight="1">
      <c r="B388" s="114"/>
      <c r="C388" s="58" t="s">
        <v>158</v>
      </c>
      <c r="D388" s="72">
        <v>1</v>
      </c>
      <c r="E388" s="71">
        <v>0</v>
      </c>
    </row>
    <row r="389" spans="2:5" ht="15" customHeight="1">
      <c r="B389" s="115"/>
      <c r="C389" s="73" t="s">
        <v>267</v>
      </c>
      <c r="D389" s="74">
        <v>33</v>
      </c>
      <c r="E389" s="75">
        <v>3.0000000000000001E-3</v>
      </c>
    </row>
    <row r="390" spans="2:5" ht="15" customHeight="1">
      <c r="B390" s="113" t="s">
        <v>124</v>
      </c>
      <c r="C390" s="58" t="s">
        <v>144</v>
      </c>
      <c r="D390" s="72">
        <v>12</v>
      </c>
      <c r="E390" s="71">
        <v>1E-3</v>
      </c>
    </row>
    <row r="391" spans="2:5" ht="15" customHeight="1">
      <c r="B391" s="114"/>
      <c r="C391" s="58" t="s">
        <v>149</v>
      </c>
      <c r="D391" s="72">
        <v>6</v>
      </c>
      <c r="E391" s="71">
        <v>1E-3</v>
      </c>
    </row>
    <row r="392" spans="2:5" ht="15" customHeight="1">
      <c r="B392" s="114"/>
      <c r="C392" s="58" t="s">
        <v>148</v>
      </c>
      <c r="D392" s="72">
        <v>3</v>
      </c>
      <c r="E392" s="71">
        <v>0</v>
      </c>
    </row>
    <row r="393" spans="2:5" ht="15" customHeight="1">
      <c r="B393" s="114"/>
      <c r="C393" s="58" t="s">
        <v>159</v>
      </c>
      <c r="D393" s="72">
        <v>3</v>
      </c>
      <c r="E393" s="71">
        <v>0</v>
      </c>
    </row>
    <row r="394" spans="2:5" ht="15" customHeight="1">
      <c r="B394" s="114"/>
      <c r="C394" s="58" t="s">
        <v>142</v>
      </c>
      <c r="D394" s="72">
        <v>1</v>
      </c>
      <c r="E394" s="71">
        <v>0</v>
      </c>
    </row>
    <row r="395" spans="2:5" ht="15" customHeight="1">
      <c r="B395" s="114"/>
      <c r="C395" s="58" t="s">
        <v>145</v>
      </c>
      <c r="D395" s="72">
        <v>1</v>
      </c>
      <c r="E395" s="71">
        <v>0</v>
      </c>
    </row>
    <row r="396" spans="2:5" ht="15" customHeight="1">
      <c r="B396" s="114"/>
      <c r="C396" s="58" t="s">
        <v>147</v>
      </c>
      <c r="D396" s="72">
        <v>1</v>
      </c>
      <c r="E396" s="71">
        <v>0</v>
      </c>
    </row>
    <row r="397" spans="2:5" ht="15" customHeight="1">
      <c r="B397" s="114"/>
      <c r="C397" s="58" t="s">
        <v>157</v>
      </c>
      <c r="D397" s="72">
        <v>1</v>
      </c>
      <c r="E397" s="71">
        <v>0</v>
      </c>
    </row>
    <row r="398" spans="2:5" ht="15" customHeight="1">
      <c r="B398" s="114"/>
      <c r="C398" s="58" t="s">
        <v>158</v>
      </c>
      <c r="D398" s="72">
        <v>1</v>
      </c>
      <c r="E398" s="71">
        <v>0</v>
      </c>
    </row>
    <row r="399" spans="2:5" ht="15" customHeight="1">
      <c r="B399" s="114"/>
      <c r="C399" s="58" t="s">
        <v>150</v>
      </c>
      <c r="D399" s="72">
        <v>1</v>
      </c>
      <c r="E399" s="71">
        <v>0</v>
      </c>
    </row>
    <row r="400" spans="2:5" ht="15" customHeight="1">
      <c r="B400" s="114"/>
      <c r="C400" s="58" t="s">
        <v>151</v>
      </c>
      <c r="D400" s="72">
        <v>1</v>
      </c>
      <c r="E400" s="71">
        <v>0</v>
      </c>
    </row>
    <row r="401" spans="2:5" ht="15" customHeight="1">
      <c r="B401" s="115"/>
      <c r="C401" s="73" t="s">
        <v>267</v>
      </c>
      <c r="D401" s="74">
        <v>31</v>
      </c>
      <c r="E401" s="75">
        <v>3.0000000000000001E-3</v>
      </c>
    </row>
    <row r="402" spans="2:5" ht="15" customHeight="1">
      <c r="B402" s="113" t="s">
        <v>127</v>
      </c>
      <c r="C402" s="58" t="s">
        <v>144</v>
      </c>
      <c r="D402" s="72">
        <v>13</v>
      </c>
      <c r="E402" s="71">
        <v>1E-3</v>
      </c>
    </row>
    <row r="403" spans="2:5" ht="15" customHeight="1">
      <c r="B403" s="114"/>
      <c r="C403" s="58" t="s">
        <v>142</v>
      </c>
      <c r="D403" s="72">
        <v>3</v>
      </c>
      <c r="E403" s="71">
        <v>0</v>
      </c>
    </row>
    <row r="404" spans="2:5" ht="15" customHeight="1">
      <c r="B404" s="114"/>
      <c r="C404" s="58" t="s">
        <v>147</v>
      </c>
      <c r="D404" s="72">
        <v>3</v>
      </c>
      <c r="E404" s="71">
        <v>0</v>
      </c>
    </row>
    <row r="405" spans="2:5" ht="15" customHeight="1">
      <c r="B405" s="114"/>
      <c r="C405" s="58" t="s">
        <v>155</v>
      </c>
      <c r="D405" s="72">
        <v>2</v>
      </c>
      <c r="E405" s="71">
        <v>0</v>
      </c>
    </row>
    <row r="406" spans="2:5" ht="15" customHeight="1">
      <c r="B406" s="114"/>
      <c r="C406" s="58" t="s">
        <v>149</v>
      </c>
      <c r="D406" s="72">
        <v>2</v>
      </c>
      <c r="E406" s="71">
        <v>0</v>
      </c>
    </row>
    <row r="407" spans="2:5" ht="15" customHeight="1">
      <c r="B407" s="114"/>
      <c r="C407" s="58" t="s">
        <v>150</v>
      </c>
      <c r="D407" s="72">
        <v>2</v>
      </c>
      <c r="E407" s="71">
        <v>0</v>
      </c>
    </row>
    <row r="408" spans="2:5" ht="15" customHeight="1">
      <c r="B408" s="114"/>
      <c r="C408" s="58" t="s">
        <v>152</v>
      </c>
      <c r="D408" s="72">
        <v>1</v>
      </c>
      <c r="E408" s="71">
        <v>0</v>
      </c>
    </row>
    <row r="409" spans="2:5" ht="15" customHeight="1">
      <c r="B409" s="114"/>
      <c r="C409" s="58" t="s">
        <v>241</v>
      </c>
      <c r="D409" s="72">
        <v>1</v>
      </c>
      <c r="E409" s="71">
        <v>0</v>
      </c>
    </row>
    <row r="410" spans="2:5" ht="15" customHeight="1">
      <c r="B410" s="114"/>
      <c r="C410" s="58" t="s">
        <v>156</v>
      </c>
      <c r="D410" s="72">
        <v>1</v>
      </c>
      <c r="E410" s="71">
        <v>0</v>
      </c>
    </row>
    <row r="411" spans="2:5" ht="15" customHeight="1">
      <c r="B411" s="114"/>
      <c r="C411" s="58" t="s">
        <v>146</v>
      </c>
      <c r="D411" s="72">
        <v>1</v>
      </c>
      <c r="E411" s="71">
        <v>0</v>
      </c>
    </row>
    <row r="412" spans="2:5" ht="15" customHeight="1">
      <c r="B412" s="114"/>
      <c r="C412" s="58" t="s">
        <v>148</v>
      </c>
      <c r="D412" s="72">
        <v>1</v>
      </c>
      <c r="E412" s="71">
        <v>0</v>
      </c>
    </row>
    <row r="413" spans="2:5" ht="15" customHeight="1">
      <c r="B413" s="114"/>
      <c r="C413" s="58" t="s">
        <v>158</v>
      </c>
      <c r="D413" s="72">
        <v>1</v>
      </c>
      <c r="E413" s="71">
        <v>0</v>
      </c>
    </row>
    <row r="414" spans="2:5" ht="15" customHeight="1">
      <c r="B414" s="115"/>
      <c r="C414" s="73" t="s">
        <v>267</v>
      </c>
      <c r="D414" s="74">
        <v>31</v>
      </c>
      <c r="E414" s="75">
        <v>3.0000000000000001E-3</v>
      </c>
    </row>
    <row r="415" spans="2:5" ht="15" customHeight="1">
      <c r="B415" s="113" t="s">
        <v>138</v>
      </c>
      <c r="C415" s="58" t="s">
        <v>144</v>
      </c>
      <c r="D415" s="72">
        <v>14</v>
      </c>
      <c r="E415" s="71">
        <v>1E-3</v>
      </c>
    </row>
    <row r="416" spans="2:5" ht="15" customHeight="1">
      <c r="B416" s="114"/>
      <c r="C416" s="58" t="s">
        <v>142</v>
      </c>
      <c r="D416" s="72">
        <v>3</v>
      </c>
      <c r="E416" s="71">
        <v>0</v>
      </c>
    </row>
    <row r="417" spans="2:5" ht="15" customHeight="1">
      <c r="B417" s="114"/>
      <c r="C417" s="58" t="s">
        <v>153</v>
      </c>
      <c r="D417" s="72">
        <v>2</v>
      </c>
      <c r="E417" s="71">
        <v>0</v>
      </c>
    </row>
    <row r="418" spans="2:5" ht="15" customHeight="1">
      <c r="B418" s="114"/>
      <c r="C418" s="58" t="s">
        <v>148</v>
      </c>
      <c r="D418" s="72">
        <v>2</v>
      </c>
      <c r="E418" s="71">
        <v>0</v>
      </c>
    </row>
    <row r="419" spans="2:5" ht="15" customHeight="1">
      <c r="B419" s="114"/>
      <c r="C419" s="58" t="s">
        <v>157</v>
      </c>
      <c r="D419" s="72">
        <v>2</v>
      </c>
      <c r="E419" s="71">
        <v>0</v>
      </c>
    </row>
    <row r="420" spans="2:5" ht="15" customHeight="1">
      <c r="B420" s="114"/>
      <c r="C420" s="58" t="s">
        <v>158</v>
      </c>
      <c r="D420" s="72">
        <v>2</v>
      </c>
      <c r="E420" s="71">
        <v>0</v>
      </c>
    </row>
    <row r="421" spans="2:5" ht="15" customHeight="1">
      <c r="B421" s="114"/>
      <c r="C421" s="58" t="s">
        <v>152</v>
      </c>
      <c r="D421" s="72">
        <v>1</v>
      </c>
      <c r="E421" s="71">
        <v>0</v>
      </c>
    </row>
    <row r="422" spans="2:5" ht="15" customHeight="1">
      <c r="B422" s="114"/>
      <c r="C422" s="58" t="s">
        <v>143</v>
      </c>
      <c r="D422" s="72">
        <v>1</v>
      </c>
      <c r="E422" s="71">
        <v>0</v>
      </c>
    </row>
    <row r="423" spans="2:5" ht="15" customHeight="1">
      <c r="B423" s="114"/>
      <c r="C423" s="58" t="s">
        <v>241</v>
      </c>
      <c r="D423" s="72">
        <v>1</v>
      </c>
      <c r="E423" s="71">
        <v>0</v>
      </c>
    </row>
    <row r="424" spans="2:5" ht="15" customHeight="1">
      <c r="B424" s="114"/>
      <c r="C424" s="58" t="s">
        <v>156</v>
      </c>
      <c r="D424" s="72">
        <v>1</v>
      </c>
      <c r="E424" s="71">
        <v>0</v>
      </c>
    </row>
    <row r="425" spans="2:5" ht="15" customHeight="1">
      <c r="B425" s="114"/>
      <c r="C425" s="58" t="s">
        <v>145</v>
      </c>
      <c r="D425" s="72">
        <v>1</v>
      </c>
      <c r="E425" s="71">
        <v>0</v>
      </c>
    </row>
    <row r="426" spans="2:5" ht="15" customHeight="1">
      <c r="B426" s="114"/>
      <c r="C426" s="58" t="s">
        <v>149</v>
      </c>
      <c r="D426" s="72">
        <v>1</v>
      </c>
      <c r="E426" s="71">
        <v>0</v>
      </c>
    </row>
    <row r="427" spans="2:5" ht="15" customHeight="1">
      <c r="B427" s="115"/>
      <c r="C427" s="73" t="s">
        <v>267</v>
      </c>
      <c r="D427" s="74">
        <v>31</v>
      </c>
      <c r="E427" s="75">
        <v>3.0000000000000001E-3</v>
      </c>
    </row>
    <row r="428" spans="2:5" ht="15" customHeight="1">
      <c r="B428" s="113" t="s">
        <v>96</v>
      </c>
      <c r="C428" s="58" t="s">
        <v>148</v>
      </c>
      <c r="D428" s="72">
        <v>11</v>
      </c>
      <c r="E428" s="71">
        <v>1E-3</v>
      </c>
    </row>
    <row r="429" spans="2:5" ht="15" customHeight="1">
      <c r="B429" s="114"/>
      <c r="C429" s="58" t="s">
        <v>144</v>
      </c>
      <c r="D429" s="72">
        <v>5</v>
      </c>
      <c r="E429" s="71">
        <v>0</v>
      </c>
    </row>
    <row r="430" spans="2:5" ht="15" customHeight="1">
      <c r="B430" s="114"/>
      <c r="C430" s="58" t="s">
        <v>142</v>
      </c>
      <c r="D430" s="72">
        <v>3</v>
      </c>
      <c r="E430" s="71">
        <v>0</v>
      </c>
    </row>
    <row r="431" spans="2:5" ht="15" customHeight="1">
      <c r="B431" s="114"/>
      <c r="C431" s="58" t="s">
        <v>145</v>
      </c>
      <c r="D431" s="72">
        <v>2</v>
      </c>
      <c r="E431" s="71">
        <v>0</v>
      </c>
    </row>
    <row r="432" spans="2:5" ht="15" customHeight="1">
      <c r="B432" s="114"/>
      <c r="C432" s="58" t="s">
        <v>149</v>
      </c>
      <c r="D432" s="72">
        <v>2</v>
      </c>
      <c r="E432" s="71">
        <v>0</v>
      </c>
    </row>
    <row r="433" spans="2:5" ht="15" customHeight="1">
      <c r="B433" s="114"/>
      <c r="C433" s="58" t="s">
        <v>151</v>
      </c>
      <c r="D433" s="72">
        <v>2</v>
      </c>
      <c r="E433" s="71">
        <v>0</v>
      </c>
    </row>
    <row r="434" spans="2:5" ht="15" customHeight="1">
      <c r="B434" s="114"/>
      <c r="C434" s="58" t="s">
        <v>153</v>
      </c>
      <c r="D434" s="72">
        <v>1</v>
      </c>
      <c r="E434" s="71">
        <v>0</v>
      </c>
    </row>
    <row r="435" spans="2:5" ht="15" customHeight="1">
      <c r="B435" s="114"/>
      <c r="C435" s="58" t="s">
        <v>156</v>
      </c>
      <c r="D435" s="72">
        <v>1</v>
      </c>
      <c r="E435" s="71">
        <v>0</v>
      </c>
    </row>
    <row r="436" spans="2:5" ht="15" customHeight="1">
      <c r="B436" s="114"/>
      <c r="C436" s="58" t="s">
        <v>158</v>
      </c>
      <c r="D436" s="72">
        <v>1</v>
      </c>
      <c r="E436" s="71">
        <v>0</v>
      </c>
    </row>
    <row r="437" spans="2:5" ht="15" customHeight="1">
      <c r="B437" s="115"/>
      <c r="C437" s="73" t="s">
        <v>267</v>
      </c>
      <c r="D437" s="74">
        <v>28</v>
      </c>
      <c r="E437" s="75">
        <v>2E-3</v>
      </c>
    </row>
    <row r="438" spans="2:5" ht="15" customHeight="1">
      <c r="B438" s="113" t="s">
        <v>109</v>
      </c>
      <c r="C438" s="58" t="s">
        <v>144</v>
      </c>
      <c r="D438" s="72">
        <v>7</v>
      </c>
      <c r="E438" s="71">
        <v>1E-3</v>
      </c>
    </row>
    <row r="439" spans="2:5" ht="15" customHeight="1">
      <c r="B439" s="114"/>
      <c r="C439" s="58" t="s">
        <v>142</v>
      </c>
      <c r="D439" s="72">
        <v>5</v>
      </c>
      <c r="E439" s="71">
        <v>0</v>
      </c>
    </row>
    <row r="440" spans="2:5" ht="15" customHeight="1">
      <c r="B440" s="114"/>
      <c r="C440" s="58" t="s">
        <v>147</v>
      </c>
      <c r="D440" s="72">
        <v>4</v>
      </c>
      <c r="E440" s="71">
        <v>0</v>
      </c>
    </row>
    <row r="441" spans="2:5" ht="15" customHeight="1">
      <c r="B441" s="114"/>
      <c r="C441" s="58" t="s">
        <v>148</v>
      </c>
      <c r="D441" s="72">
        <v>3</v>
      </c>
      <c r="E441" s="71">
        <v>0</v>
      </c>
    </row>
    <row r="442" spans="2:5" ht="15" customHeight="1">
      <c r="B442" s="114"/>
      <c r="C442" s="58" t="s">
        <v>143</v>
      </c>
      <c r="D442" s="72">
        <v>2</v>
      </c>
      <c r="E442" s="71">
        <v>0</v>
      </c>
    </row>
    <row r="443" spans="2:5" ht="15" customHeight="1">
      <c r="B443" s="114"/>
      <c r="C443" s="58" t="s">
        <v>146</v>
      </c>
      <c r="D443" s="72">
        <v>2</v>
      </c>
      <c r="E443" s="71">
        <v>0</v>
      </c>
    </row>
    <row r="444" spans="2:5" ht="15" customHeight="1">
      <c r="B444" s="114"/>
      <c r="C444" s="58" t="s">
        <v>155</v>
      </c>
      <c r="D444" s="72">
        <v>1</v>
      </c>
      <c r="E444" s="71">
        <v>0</v>
      </c>
    </row>
    <row r="445" spans="2:5" ht="15" customHeight="1">
      <c r="B445" s="114"/>
      <c r="C445" s="58" t="s">
        <v>156</v>
      </c>
      <c r="D445" s="72">
        <v>1</v>
      </c>
      <c r="E445" s="71">
        <v>0</v>
      </c>
    </row>
    <row r="446" spans="2:5" ht="15" customHeight="1">
      <c r="B446" s="114"/>
      <c r="C446" s="58" t="s">
        <v>157</v>
      </c>
      <c r="D446" s="72">
        <v>1</v>
      </c>
      <c r="E446" s="71">
        <v>0</v>
      </c>
    </row>
    <row r="447" spans="2:5" ht="15" customHeight="1">
      <c r="B447" s="114"/>
      <c r="C447" s="58" t="s">
        <v>158</v>
      </c>
      <c r="D447" s="72">
        <v>1</v>
      </c>
      <c r="E447" s="71">
        <v>0</v>
      </c>
    </row>
    <row r="448" spans="2:5" ht="15" customHeight="1">
      <c r="B448" s="114"/>
      <c r="C448" s="58" t="s">
        <v>159</v>
      </c>
      <c r="D448" s="72">
        <v>1</v>
      </c>
      <c r="E448" s="71">
        <v>0</v>
      </c>
    </row>
    <row r="449" spans="2:5" ht="15" customHeight="1">
      <c r="B449" s="115"/>
      <c r="C449" s="73" t="s">
        <v>267</v>
      </c>
      <c r="D449" s="74">
        <v>28</v>
      </c>
      <c r="E449" s="75">
        <v>2E-3</v>
      </c>
    </row>
    <row r="450" spans="2:5" ht="15" customHeight="1">
      <c r="B450" s="113" t="s">
        <v>122</v>
      </c>
      <c r="C450" s="58" t="s">
        <v>144</v>
      </c>
      <c r="D450" s="72">
        <v>14</v>
      </c>
      <c r="E450" s="71">
        <v>1E-3</v>
      </c>
    </row>
    <row r="451" spans="2:5" ht="15" customHeight="1">
      <c r="B451" s="114"/>
      <c r="C451" s="58" t="s">
        <v>142</v>
      </c>
      <c r="D451" s="72">
        <v>4</v>
      </c>
      <c r="E451" s="71">
        <v>0</v>
      </c>
    </row>
    <row r="452" spans="2:5" ht="15" customHeight="1">
      <c r="B452" s="114"/>
      <c r="C452" s="58" t="s">
        <v>148</v>
      </c>
      <c r="D452" s="72">
        <v>3</v>
      </c>
      <c r="E452" s="71">
        <v>0</v>
      </c>
    </row>
    <row r="453" spans="2:5" ht="15" customHeight="1">
      <c r="B453" s="114"/>
      <c r="C453" s="58" t="s">
        <v>149</v>
      </c>
      <c r="D453" s="72">
        <v>3</v>
      </c>
      <c r="E453" s="71">
        <v>0</v>
      </c>
    </row>
    <row r="454" spans="2:5" ht="15" customHeight="1">
      <c r="B454" s="114"/>
      <c r="C454" s="58" t="s">
        <v>156</v>
      </c>
      <c r="D454" s="72">
        <v>1</v>
      </c>
      <c r="E454" s="71">
        <v>0</v>
      </c>
    </row>
    <row r="455" spans="2:5" ht="15" customHeight="1">
      <c r="B455" s="114"/>
      <c r="C455" s="58" t="s">
        <v>146</v>
      </c>
      <c r="D455" s="72">
        <v>1</v>
      </c>
      <c r="E455" s="71">
        <v>0</v>
      </c>
    </row>
    <row r="456" spans="2:5" ht="15" customHeight="1">
      <c r="B456" s="115"/>
      <c r="C456" s="73" t="s">
        <v>267</v>
      </c>
      <c r="D456" s="74">
        <v>26</v>
      </c>
      <c r="E456" s="75">
        <v>2E-3</v>
      </c>
    </row>
    <row r="457" spans="2:5" ht="15" customHeight="1">
      <c r="B457" s="113" t="s">
        <v>111</v>
      </c>
      <c r="C457" s="58" t="s">
        <v>144</v>
      </c>
      <c r="D457" s="72">
        <v>12</v>
      </c>
      <c r="E457" s="71">
        <v>1E-3</v>
      </c>
    </row>
    <row r="458" spans="2:5" ht="15" customHeight="1">
      <c r="B458" s="114"/>
      <c r="C458" s="58" t="s">
        <v>151</v>
      </c>
      <c r="D458" s="72">
        <v>5</v>
      </c>
      <c r="E458" s="71">
        <v>0</v>
      </c>
    </row>
    <row r="459" spans="2:5" ht="15" customHeight="1">
      <c r="B459" s="114"/>
      <c r="C459" s="58" t="s">
        <v>156</v>
      </c>
      <c r="D459" s="72">
        <v>3</v>
      </c>
      <c r="E459" s="71">
        <v>0</v>
      </c>
    </row>
    <row r="460" spans="2:5" ht="15" customHeight="1">
      <c r="B460" s="114"/>
      <c r="C460" s="58" t="s">
        <v>148</v>
      </c>
      <c r="D460" s="72">
        <v>2</v>
      </c>
      <c r="E460" s="71">
        <v>0</v>
      </c>
    </row>
    <row r="461" spans="2:5" ht="15" customHeight="1">
      <c r="B461" s="114"/>
      <c r="C461" s="58" t="s">
        <v>142</v>
      </c>
      <c r="D461" s="72">
        <v>1</v>
      </c>
      <c r="E461" s="71">
        <v>0</v>
      </c>
    </row>
    <row r="462" spans="2:5" ht="15" customHeight="1">
      <c r="B462" s="115"/>
      <c r="C462" s="73" t="s">
        <v>267</v>
      </c>
      <c r="D462" s="74">
        <v>23</v>
      </c>
      <c r="E462" s="75">
        <v>2E-3</v>
      </c>
    </row>
    <row r="463" spans="2:5" ht="15" customHeight="1">
      <c r="B463" s="113" t="s">
        <v>131</v>
      </c>
      <c r="C463" s="58" t="s">
        <v>144</v>
      </c>
      <c r="D463" s="72">
        <v>7</v>
      </c>
      <c r="E463" s="71">
        <v>1E-3</v>
      </c>
    </row>
    <row r="464" spans="2:5" ht="15" customHeight="1">
      <c r="B464" s="114"/>
      <c r="C464" s="58" t="s">
        <v>147</v>
      </c>
      <c r="D464" s="72">
        <v>5</v>
      </c>
      <c r="E464" s="71">
        <v>0</v>
      </c>
    </row>
    <row r="465" spans="2:5" ht="15" customHeight="1">
      <c r="B465" s="114"/>
      <c r="C465" s="58" t="s">
        <v>142</v>
      </c>
      <c r="D465" s="72">
        <v>2</v>
      </c>
      <c r="E465" s="71">
        <v>0</v>
      </c>
    </row>
    <row r="466" spans="2:5" ht="15" customHeight="1">
      <c r="B466" s="114"/>
      <c r="C466" s="58" t="s">
        <v>148</v>
      </c>
      <c r="D466" s="72">
        <v>2</v>
      </c>
      <c r="E466" s="71">
        <v>0</v>
      </c>
    </row>
    <row r="467" spans="2:5" ht="15" customHeight="1">
      <c r="B467" s="114"/>
      <c r="C467" s="58" t="s">
        <v>149</v>
      </c>
      <c r="D467" s="72">
        <v>1</v>
      </c>
      <c r="E467" s="71">
        <v>0</v>
      </c>
    </row>
    <row r="468" spans="2:5" ht="15" customHeight="1">
      <c r="B468" s="114"/>
      <c r="C468" s="58" t="s">
        <v>159</v>
      </c>
      <c r="D468" s="72">
        <v>1</v>
      </c>
      <c r="E468" s="71">
        <v>0</v>
      </c>
    </row>
    <row r="469" spans="2:5" ht="15" customHeight="1">
      <c r="B469" s="115"/>
      <c r="C469" s="73" t="s">
        <v>267</v>
      </c>
      <c r="D469" s="74">
        <v>18</v>
      </c>
      <c r="E469" s="75">
        <v>2E-3</v>
      </c>
    </row>
    <row r="470" spans="2:5" ht="15" customHeight="1">
      <c r="B470" s="113" t="s">
        <v>139</v>
      </c>
      <c r="C470" s="58" t="s">
        <v>144</v>
      </c>
      <c r="D470" s="72">
        <v>6</v>
      </c>
      <c r="E470" s="71">
        <v>1E-3</v>
      </c>
    </row>
    <row r="471" spans="2:5" ht="15" customHeight="1">
      <c r="B471" s="114"/>
      <c r="C471" s="58" t="s">
        <v>143</v>
      </c>
      <c r="D471" s="72">
        <v>3</v>
      </c>
      <c r="E471" s="71">
        <v>0</v>
      </c>
    </row>
    <row r="472" spans="2:5" ht="15" customHeight="1">
      <c r="B472" s="114"/>
      <c r="C472" s="58" t="s">
        <v>142</v>
      </c>
      <c r="D472" s="72">
        <v>2</v>
      </c>
      <c r="E472" s="71">
        <v>0</v>
      </c>
    </row>
    <row r="473" spans="2:5" ht="15" customHeight="1">
      <c r="B473" s="114"/>
      <c r="C473" s="58" t="s">
        <v>149</v>
      </c>
      <c r="D473" s="72">
        <v>2</v>
      </c>
      <c r="E473" s="71">
        <v>0</v>
      </c>
    </row>
    <row r="474" spans="2:5" ht="15" customHeight="1">
      <c r="B474" s="114"/>
      <c r="C474" s="58" t="s">
        <v>147</v>
      </c>
      <c r="D474" s="72">
        <v>1</v>
      </c>
      <c r="E474" s="71">
        <v>0</v>
      </c>
    </row>
    <row r="475" spans="2:5" ht="15" customHeight="1">
      <c r="B475" s="114"/>
      <c r="C475" s="58" t="s">
        <v>159</v>
      </c>
      <c r="D475" s="72">
        <v>1</v>
      </c>
      <c r="E475" s="71">
        <v>0</v>
      </c>
    </row>
    <row r="476" spans="2:5" ht="15" customHeight="1">
      <c r="B476" s="115"/>
      <c r="C476" s="73" t="s">
        <v>267</v>
      </c>
      <c r="D476" s="74">
        <v>15</v>
      </c>
      <c r="E476" s="75">
        <v>1E-3</v>
      </c>
    </row>
    <row r="477" spans="2:5" ht="15" customHeight="1">
      <c r="B477" s="113" t="s">
        <v>130</v>
      </c>
      <c r="C477" s="58" t="s">
        <v>146</v>
      </c>
      <c r="D477" s="72">
        <v>4</v>
      </c>
      <c r="E477" s="71">
        <v>0</v>
      </c>
    </row>
    <row r="478" spans="2:5" ht="15" customHeight="1">
      <c r="B478" s="114"/>
      <c r="C478" s="58" t="s">
        <v>144</v>
      </c>
      <c r="D478" s="72">
        <v>3</v>
      </c>
      <c r="E478" s="71">
        <v>0</v>
      </c>
    </row>
    <row r="479" spans="2:5" ht="15" customHeight="1">
      <c r="B479" s="114"/>
      <c r="C479" s="58" t="s">
        <v>147</v>
      </c>
      <c r="D479" s="72">
        <v>3</v>
      </c>
      <c r="E479" s="71">
        <v>0</v>
      </c>
    </row>
    <row r="480" spans="2:5" ht="15" customHeight="1">
      <c r="B480" s="114"/>
      <c r="C480" s="58" t="s">
        <v>151</v>
      </c>
      <c r="D480" s="72">
        <v>2</v>
      </c>
      <c r="E480" s="71">
        <v>0</v>
      </c>
    </row>
    <row r="481" spans="2:5" ht="15" customHeight="1">
      <c r="B481" s="114"/>
      <c r="C481" s="58" t="s">
        <v>142</v>
      </c>
      <c r="D481" s="72">
        <v>1</v>
      </c>
      <c r="E481" s="71">
        <v>0</v>
      </c>
    </row>
    <row r="482" spans="2:5" ht="15" customHeight="1">
      <c r="B482" s="114"/>
      <c r="C482" s="58" t="s">
        <v>158</v>
      </c>
      <c r="D482" s="72">
        <v>1</v>
      </c>
      <c r="E482" s="71">
        <v>0</v>
      </c>
    </row>
    <row r="483" spans="2:5" ht="15" customHeight="1">
      <c r="B483" s="115"/>
      <c r="C483" s="73" t="s">
        <v>267</v>
      </c>
      <c r="D483" s="74">
        <v>14</v>
      </c>
      <c r="E483" s="75">
        <v>1E-3</v>
      </c>
    </row>
    <row r="484" spans="2:5" ht="15" customHeight="1">
      <c r="B484" s="113" t="s">
        <v>132</v>
      </c>
      <c r="C484" s="58" t="s">
        <v>142</v>
      </c>
      <c r="D484" s="72">
        <v>5</v>
      </c>
      <c r="E484" s="71">
        <v>0</v>
      </c>
    </row>
    <row r="485" spans="2:5" ht="15" customHeight="1">
      <c r="B485" s="114"/>
      <c r="C485" s="58" t="s">
        <v>155</v>
      </c>
      <c r="D485" s="72">
        <v>1</v>
      </c>
      <c r="E485" s="71">
        <v>0</v>
      </c>
    </row>
    <row r="486" spans="2:5" ht="15" customHeight="1">
      <c r="B486" s="114"/>
      <c r="C486" s="58" t="s">
        <v>145</v>
      </c>
      <c r="D486" s="72">
        <v>1</v>
      </c>
      <c r="E486" s="71">
        <v>0</v>
      </c>
    </row>
    <row r="487" spans="2:5" ht="15" customHeight="1">
      <c r="B487" s="115"/>
      <c r="C487" s="73" t="s">
        <v>267</v>
      </c>
      <c r="D487" s="74">
        <v>7</v>
      </c>
      <c r="E487" s="75">
        <v>1E-3</v>
      </c>
    </row>
    <row r="488" spans="2:5" ht="15" customHeight="1">
      <c r="B488" s="113" t="s">
        <v>113</v>
      </c>
      <c r="C488" s="58" t="s">
        <v>147</v>
      </c>
      <c r="D488" s="72">
        <v>2</v>
      </c>
      <c r="E488" s="71">
        <v>0</v>
      </c>
    </row>
    <row r="489" spans="2:5" ht="15" customHeight="1">
      <c r="B489" s="114"/>
      <c r="C489" s="58" t="s">
        <v>148</v>
      </c>
      <c r="D489" s="72">
        <v>2</v>
      </c>
      <c r="E489" s="71">
        <v>0</v>
      </c>
    </row>
    <row r="490" spans="2:5" ht="15" customHeight="1">
      <c r="B490" s="114"/>
      <c r="C490" s="58" t="s">
        <v>144</v>
      </c>
      <c r="D490" s="72">
        <v>1</v>
      </c>
      <c r="E490" s="71">
        <v>0</v>
      </c>
    </row>
    <row r="491" spans="2:5" ht="15" customHeight="1">
      <c r="B491" s="114"/>
      <c r="C491" s="58" t="s">
        <v>159</v>
      </c>
      <c r="D491" s="72">
        <v>1</v>
      </c>
      <c r="E491" s="71">
        <v>0</v>
      </c>
    </row>
    <row r="492" spans="2:5" ht="15" customHeight="1">
      <c r="B492" s="115"/>
      <c r="C492" s="73" t="s">
        <v>267</v>
      </c>
      <c r="D492" s="74">
        <v>6</v>
      </c>
      <c r="E492" s="75">
        <v>1E-3</v>
      </c>
    </row>
    <row r="493" spans="2:5" ht="15" customHeight="1">
      <c r="B493" s="113" t="s">
        <v>114</v>
      </c>
      <c r="C493" s="58" t="s">
        <v>144</v>
      </c>
      <c r="D493" s="72">
        <v>2</v>
      </c>
      <c r="E493" s="71">
        <v>0</v>
      </c>
    </row>
    <row r="494" spans="2:5" ht="15" customHeight="1">
      <c r="B494" s="114"/>
      <c r="C494" s="58" t="s">
        <v>148</v>
      </c>
      <c r="D494" s="72">
        <v>2</v>
      </c>
      <c r="E494" s="71">
        <v>0</v>
      </c>
    </row>
    <row r="495" spans="2:5" ht="15" customHeight="1">
      <c r="B495" s="114"/>
      <c r="C495" s="58" t="s">
        <v>142</v>
      </c>
      <c r="D495" s="72">
        <v>1</v>
      </c>
      <c r="E495" s="71">
        <v>0</v>
      </c>
    </row>
    <row r="496" spans="2:5" ht="15" customHeight="1">
      <c r="B496" s="115"/>
      <c r="C496" s="73" t="s">
        <v>267</v>
      </c>
      <c r="D496" s="74">
        <v>5</v>
      </c>
      <c r="E496" s="75">
        <v>0</v>
      </c>
    </row>
    <row r="497" spans="2:5" ht="15" customHeight="1">
      <c r="B497" s="113" t="s">
        <v>117</v>
      </c>
      <c r="C497" s="58" t="s">
        <v>144</v>
      </c>
      <c r="D497" s="72">
        <v>3</v>
      </c>
      <c r="E497" s="71">
        <v>0</v>
      </c>
    </row>
    <row r="498" spans="2:5" ht="15" customHeight="1">
      <c r="B498" s="114"/>
      <c r="C498" s="58" t="s">
        <v>142</v>
      </c>
      <c r="D498" s="72">
        <v>1</v>
      </c>
      <c r="E498" s="71">
        <v>0</v>
      </c>
    </row>
    <row r="499" spans="2:5" ht="15" customHeight="1">
      <c r="B499" s="114"/>
      <c r="C499" s="58" t="s">
        <v>149</v>
      </c>
      <c r="D499" s="72">
        <v>1</v>
      </c>
      <c r="E499" s="71">
        <v>0</v>
      </c>
    </row>
    <row r="500" spans="2:5" ht="15" customHeight="1">
      <c r="B500" s="115"/>
      <c r="C500" s="73" t="s">
        <v>267</v>
      </c>
      <c r="D500" s="74">
        <v>5</v>
      </c>
      <c r="E500" s="75">
        <v>0</v>
      </c>
    </row>
    <row r="501" spans="2:5" ht="15" customHeight="1">
      <c r="B501" s="113" t="s">
        <v>126</v>
      </c>
      <c r="C501" s="58" t="s">
        <v>142</v>
      </c>
      <c r="D501" s="72">
        <v>1</v>
      </c>
      <c r="E501" s="71">
        <v>0</v>
      </c>
    </row>
    <row r="502" spans="2:5" ht="15" customHeight="1">
      <c r="B502" s="114"/>
      <c r="C502" s="58" t="s">
        <v>154</v>
      </c>
      <c r="D502" s="72">
        <v>1</v>
      </c>
      <c r="E502" s="71">
        <v>0</v>
      </c>
    </row>
    <row r="503" spans="2:5" ht="15" customHeight="1">
      <c r="B503" s="114"/>
      <c r="C503" s="58" t="s">
        <v>156</v>
      </c>
      <c r="D503" s="72">
        <v>1</v>
      </c>
      <c r="E503" s="71">
        <v>0</v>
      </c>
    </row>
    <row r="504" spans="2:5" ht="15" customHeight="1">
      <c r="B504" s="114"/>
      <c r="C504" s="58" t="s">
        <v>145</v>
      </c>
      <c r="D504" s="72">
        <v>1</v>
      </c>
      <c r="E504" s="71">
        <v>0</v>
      </c>
    </row>
    <row r="505" spans="2:5" ht="15" customHeight="1">
      <c r="B505" s="115"/>
      <c r="C505" s="73" t="s">
        <v>267</v>
      </c>
      <c r="D505" s="74">
        <v>4</v>
      </c>
      <c r="E505" s="75">
        <v>0</v>
      </c>
    </row>
    <row r="506" spans="2:5" ht="15" customHeight="1">
      <c r="B506" s="113" t="s">
        <v>102</v>
      </c>
      <c r="C506" s="58" t="s">
        <v>144</v>
      </c>
      <c r="D506" s="72">
        <v>2</v>
      </c>
      <c r="E506" s="71">
        <v>0</v>
      </c>
    </row>
    <row r="507" spans="2:5" ht="15" customHeight="1">
      <c r="B507" s="114"/>
      <c r="C507" s="58" t="s">
        <v>142</v>
      </c>
      <c r="D507" s="72">
        <v>1</v>
      </c>
      <c r="E507" s="71">
        <v>0</v>
      </c>
    </row>
    <row r="508" spans="2:5" ht="15" customHeight="1">
      <c r="B508" s="115"/>
      <c r="C508" s="73" t="s">
        <v>267</v>
      </c>
      <c r="D508" s="74">
        <v>3</v>
      </c>
      <c r="E508" s="75">
        <v>0</v>
      </c>
    </row>
    <row r="509" spans="2:5" ht="15" customHeight="1">
      <c r="B509" s="113" t="s">
        <v>103</v>
      </c>
      <c r="C509" s="58" t="s">
        <v>148</v>
      </c>
      <c r="D509" s="72">
        <v>1</v>
      </c>
      <c r="E509" s="71">
        <v>0</v>
      </c>
    </row>
    <row r="510" spans="2:5" ht="15" customHeight="1">
      <c r="B510" s="114"/>
      <c r="C510" s="58" t="s">
        <v>158</v>
      </c>
      <c r="D510" s="72">
        <v>1</v>
      </c>
      <c r="E510" s="71">
        <v>0</v>
      </c>
    </row>
    <row r="511" spans="2:5" ht="15" customHeight="1">
      <c r="B511" s="115"/>
      <c r="C511" s="73" t="s">
        <v>267</v>
      </c>
      <c r="D511" s="74">
        <v>2</v>
      </c>
      <c r="E511" s="75">
        <v>0</v>
      </c>
    </row>
    <row r="512" spans="2:5" ht="15" customHeight="1">
      <c r="B512" s="113" t="s">
        <v>119</v>
      </c>
      <c r="C512" s="58" t="s">
        <v>142</v>
      </c>
      <c r="D512" s="72">
        <v>1</v>
      </c>
      <c r="E512" s="71">
        <v>0</v>
      </c>
    </row>
    <row r="513" spans="2:5" ht="15" customHeight="1">
      <c r="B513" s="114"/>
      <c r="C513" s="58" t="s">
        <v>148</v>
      </c>
      <c r="D513" s="72">
        <v>1</v>
      </c>
      <c r="E513" s="71">
        <v>0</v>
      </c>
    </row>
    <row r="514" spans="2:5" ht="15" customHeight="1">
      <c r="B514" s="115"/>
      <c r="C514" s="73" t="s">
        <v>267</v>
      </c>
      <c r="D514" s="74">
        <v>2</v>
      </c>
      <c r="E514" s="75">
        <v>0</v>
      </c>
    </row>
    <row r="515" spans="2:5" ht="15" customHeight="1">
      <c r="B515" s="113" t="s">
        <v>137</v>
      </c>
      <c r="C515" s="58" t="s">
        <v>147</v>
      </c>
      <c r="D515" s="72">
        <v>2</v>
      </c>
      <c r="E515" s="71">
        <v>0</v>
      </c>
    </row>
    <row r="516" spans="2:5" ht="15" customHeight="1">
      <c r="B516" s="115"/>
      <c r="C516" s="73" t="s">
        <v>267</v>
      </c>
      <c r="D516" s="74">
        <v>2</v>
      </c>
      <c r="E516" s="75">
        <v>0</v>
      </c>
    </row>
    <row r="517" spans="2:5" ht="15" customHeight="1">
      <c r="B517" s="113" t="s">
        <v>97</v>
      </c>
      <c r="C517" s="58" t="s">
        <v>147</v>
      </c>
      <c r="D517" s="72">
        <v>1</v>
      </c>
      <c r="E517" s="71">
        <v>0</v>
      </c>
    </row>
    <row r="518" spans="2:5" ht="15" customHeight="1">
      <c r="B518" s="115"/>
      <c r="C518" s="73" t="s">
        <v>267</v>
      </c>
      <c r="D518" s="74">
        <v>1</v>
      </c>
      <c r="E518" s="75">
        <v>0</v>
      </c>
    </row>
    <row r="519" spans="2:5" ht="15" customHeight="1">
      <c r="B519" s="113" t="s">
        <v>237</v>
      </c>
      <c r="C519" s="58" t="s">
        <v>149</v>
      </c>
      <c r="D519" s="72">
        <v>1</v>
      </c>
      <c r="E519" s="71">
        <v>0</v>
      </c>
    </row>
    <row r="520" spans="2:5" ht="15" customHeight="1">
      <c r="B520" s="115"/>
      <c r="C520" s="73" t="s">
        <v>267</v>
      </c>
      <c r="D520" s="74">
        <v>1</v>
      </c>
      <c r="E520" s="75">
        <v>0</v>
      </c>
    </row>
    <row r="521" spans="2:5" ht="15" customHeight="1">
      <c r="B521" s="113" t="s">
        <v>239</v>
      </c>
      <c r="C521" s="58" t="s">
        <v>144</v>
      </c>
      <c r="D521" s="72">
        <v>1</v>
      </c>
      <c r="E521" s="71">
        <v>0</v>
      </c>
    </row>
    <row r="522" spans="2:5" ht="15" customHeight="1">
      <c r="B522" s="115"/>
      <c r="C522" s="73" t="s">
        <v>267</v>
      </c>
      <c r="D522" s="74">
        <v>1</v>
      </c>
      <c r="E522" s="75">
        <v>0</v>
      </c>
    </row>
    <row r="523" spans="2:5" ht="15" customHeight="1">
      <c r="B523" s="116" t="s">
        <v>270</v>
      </c>
      <c r="C523" s="116"/>
      <c r="D523" s="76">
        <v>11981</v>
      </c>
      <c r="E523" s="77">
        <v>1</v>
      </c>
    </row>
    <row r="524" spans="2:5" ht="15" customHeight="1">
      <c r="B524" s="47"/>
      <c r="C524" s="47"/>
      <c r="D524" s="47"/>
      <c r="E524" s="47"/>
    </row>
    <row r="525" spans="2:5" ht="15" customHeight="1">
      <c r="B525" s="35" t="s">
        <v>235</v>
      </c>
      <c r="C525" s="47"/>
      <c r="D525" s="47"/>
      <c r="E525" s="47"/>
    </row>
    <row r="526" spans="2:5" ht="15" customHeight="1">
      <c r="B526" s="33" t="s">
        <v>18</v>
      </c>
      <c r="C526" s="47"/>
      <c r="D526" s="47"/>
      <c r="E526" s="47"/>
    </row>
    <row r="527" spans="2:5" ht="15" customHeight="1">
      <c r="B527" s="36" t="s">
        <v>46</v>
      </c>
      <c r="C527" s="47"/>
      <c r="D527" s="47"/>
      <c r="E527" s="47"/>
    </row>
    <row r="528" spans="2:5" ht="15" customHeight="1">
      <c r="B528" s="35" t="s">
        <v>17</v>
      </c>
      <c r="C528" s="47"/>
      <c r="D528" s="47"/>
      <c r="E528" s="47"/>
    </row>
    <row r="529" spans="2:5" ht="15" customHeight="1">
      <c r="B529" s="35" t="s">
        <v>268</v>
      </c>
      <c r="C529" s="47"/>
      <c r="D529" s="47"/>
      <c r="E529" s="47"/>
    </row>
  </sheetData>
  <mergeCells count="49">
    <mergeCell ref="B450:B456"/>
    <mergeCell ref="B457:B462"/>
    <mergeCell ref="B463:B469"/>
    <mergeCell ref="B470:B476"/>
    <mergeCell ref="B477:B483"/>
    <mergeCell ref="B390:B401"/>
    <mergeCell ref="B402:B414"/>
    <mergeCell ref="B415:B427"/>
    <mergeCell ref="B428:B437"/>
    <mergeCell ref="B438:B449"/>
    <mergeCell ref="B89:B107"/>
    <mergeCell ref="B108:B125"/>
    <mergeCell ref="B126:B145"/>
    <mergeCell ref="B146:B162"/>
    <mergeCell ref="B163:B177"/>
    <mergeCell ref="B50:B68"/>
    <mergeCell ref="B69:B88"/>
    <mergeCell ref="B7:E8"/>
    <mergeCell ref="B10:B29"/>
    <mergeCell ref="B30:B49"/>
    <mergeCell ref="B285:B297"/>
    <mergeCell ref="B298:B309"/>
    <mergeCell ref="B310:B322"/>
    <mergeCell ref="B323:B338"/>
    <mergeCell ref="B339:B349"/>
    <mergeCell ref="B493:B496"/>
    <mergeCell ref="B497:B500"/>
    <mergeCell ref="B501:B505"/>
    <mergeCell ref="B178:B196"/>
    <mergeCell ref="B197:B210"/>
    <mergeCell ref="B211:B226"/>
    <mergeCell ref="B227:B242"/>
    <mergeCell ref="B243:B256"/>
    <mergeCell ref="B360:B365"/>
    <mergeCell ref="B366:B377"/>
    <mergeCell ref="B378:B389"/>
    <mergeCell ref="B350:B359"/>
    <mergeCell ref="B257:B269"/>
    <mergeCell ref="B270:B284"/>
    <mergeCell ref="B484:B487"/>
    <mergeCell ref="B488:B492"/>
    <mergeCell ref="B506:B508"/>
    <mergeCell ref="B509:B511"/>
    <mergeCell ref="B512:B514"/>
    <mergeCell ref="B523:C523"/>
    <mergeCell ref="B515:B516"/>
    <mergeCell ref="B517:B518"/>
    <mergeCell ref="B519:B520"/>
    <mergeCell ref="B521:B5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731"/>
  <sheetViews>
    <sheetView showGridLines="0" view="pageBreakPreview" topLeftCell="A709" zoomScale="90" zoomScaleNormal="100" zoomScaleSheetLayoutView="90" workbookViewId="0">
      <selection activeCell="E731" sqref="E731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4.8554687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117"/>
      <c r="C7" s="117"/>
      <c r="D7" s="117"/>
      <c r="E7" s="117"/>
    </row>
    <row r="8" spans="1:5" s="21" customFormat="1" ht="33" customHeight="1">
      <c r="A8" s="22"/>
      <c r="B8" s="117"/>
      <c r="C8" s="117"/>
      <c r="D8" s="117"/>
      <c r="E8" s="117"/>
    </row>
    <row r="9" spans="1:5" s="15" customFormat="1" ht="40.5" customHeight="1">
      <c r="B9" s="44" t="s">
        <v>22</v>
      </c>
      <c r="C9" s="45" t="s">
        <v>24</v>
      </c>
      <c r="D9" s="46" t="s">
        <v>20</v>
      </c>
      <c r="E9" s="44" t="s">
        <v>19</v>
      </c>
    </row>
    <row r="10" spans="1:5" ht="15" customHeight="1">
      <c r="B10" s="113" t="s">
        <v>74</v>
      </c>
      <c r="C10" s="58" t="s">
        <v>142</v>
      </c>
      <c r="D10" s="72">
        <v>10</v>
      </c>
      <c r="E10" s="71">
        <v>1E-3</v>
      </c>
    </row>
    <row r="11" spans="1:5" ht="15" customHeight="1">
      <c r="B11" s="114"/>
      <c r="C11" s="58" t="s">
        <v>152</v>
      </c>
      <c r="D11" s="72">
        <v>1</v>
      </c>
      <c r="E11" s="71">
        <v>0</v>
      </c>
    </row>
    <row r="12" spans="1:5" ht="15" customHeight="1">
      <c r="B12" s="114"/>
      <c r="C12" s="58" t="s">
        <v>143</v>
      </c>
      <c r="D12" s="72">
        <v>1</v>
      </c>
      <c r="E12" s="71">
        <v>0</v>
      </c>
    </row>
    <row r="13" spans="1:5" ht="15" customHeight="1">
      <c r="B13" s="114"/>
      <c r="C13" s="58" t="s">
        <v>153</v>
      </c>
      <c r="D13" s="72">
        <v>2</v>
      </c>
      <c r="E13" s="71">
        <v>0</v>
      </c>
    </row>
    <row r="14" spans="1:5" ht="15" customHeight="1">
      <c r="B14" s="114"/>
      <c r="C14" s="58" t="s">
        <v>144</v>
      </c>
      <c r="D14" s="72">
        <v>20</v>
      </c>
      <c r="E14" s="71">
        <v>2E-3</v>
      </c>
    </row>
    <row r="15" spans="1:5" ht="15" customHeight="1">
      <c r="B15" s="114"/>
      <c r="C15" s="58" t="s">
        <v>156</v>
      </c>
      <c r="D15" s="72">
        <v>1</v>
      </c>
      <c r="E15" s="71">
        <v>0</v>
      </c>
    </row>
    <row r="16" spans="1:5" ht="15" customHeight="1">
      <c r="B16" s="114"/>
      <c r="C16" s="58" t="s">
        <v>147</v>
      </c>
      <c r="D16" s="72">
        <v>7</v>
      </c>
      <c r="E16" s="71">
        <v>1E-3</v>
      </c>
    </row>
    <row r="17" spans="2:5" ht="15" customHeight="1">
      <c r="B17" s="114"/>
      <c r="C17" s="58" t="s">
        <v>148</v>
      </c>
      <c r="D17" s="72">
        <v>4</v>
      </c>
      <c r="E17" s="71">
        <v>0</v>
      </c>
    </row>
    <row r="18" spans="2:5" ht="15" customHeight="1">
      <c r="B18" s="114"/>
      <c r="C18" s="58" t="s">
        <v>157</v>
      </c>
      <c r="D18" s="72">
        <v>1</v>
      </c>
      <c r="E18" s="71">
        <v>0</v>
      </c>
    </row>
    <row r="19" spans="2:5" ht="15" customHeight="1">
      <c r="B19" s="114"/>
      <c r="C19" s="58" t="s">
        <v>149</v>
      </c>
      <c r="D19" s="72">
        <v>4</v>
      </c>
      <c r="E19" s="71">
        <v>0</v>
      </c>
    </row>
    <row r="20" spans="2:5" ht="15" customHeight="1">
      <c r="B20" s="114"/>
      <c r="C20" s="58" t="s">
        <v>150</v>
      </c>
      <c r="D20" s="72">
        <v>3</v>
      </c>
      <c r="E20" s="71">
        <v>0</v>
      </c>
    </row>
    <row r="21" spans="2:5" ht="15" customHeight="1">
      <c r="B21" s="114"/>
      <c r="C21" s="58" t="s">
        <v>159</v>
      </c>
      <c r="D21" s="72">
        <v>5</v>
      </c>
      <c r="E21" s="71">
        <v>0</v>
      </c>
    </row>
    <row r="22" spans="2:5" ht="15" customHeight="1">
      <c r="B22" s="115"/>
      <c r="C22" s="73" t="s">
        <v>267</v>
      </c>
      <c r="D22" s="78">
        <v>59</v>
      </c>
      <c r="E22" s="75">
        <v>5.0000000000000001E-3</v>
      </c>
    </row>
    <row r="23" spans="2:5" ht="15" customHeight="1">
      <c r="B23" s="113" t="s">
        <v>72</v>
      </c>
      <c r="C23" s="58" t="s">
        <v>142</v>
      </c>
      <c r="D23" s="72">
        <v>6</v>
      </c>
      <c r="E23" s="71">
        <v>1E-3</v>
      </c>
    </row>
    <row r="24" spans="2:5" ht="15" customHeight="1">
      <c r="B24" s="114"/>
      <c r="C24" s="58" t="s">
        <v>152</v>
      </c>
      <c r="D24" s="72">
        <v>1</v>
      </c>
      <c r="E24" s="71">
        <v>0</v>
      </c>
    </row>
    <row r="25" spans="2:5" ht="15" customHeight="1">
      <c r="B25" s="114"/>
      <c r="C25" s="58" t="s">
        <v>153</v>
      </c>
      <c r="D25" s="72">
        <v>2</v>
      </c>
      <c r="E25" s="71">
        <v>0</v>
      </c>
    </row>
    <row r="26" spans="2:5" ht="15" customHeight="1">
      <c r="B26" s="114"/>
      <c r="C26" s="58" t="s">
        <v>154</v>
      </c>
      <c r="D26" s="72">
        <v>4</v>
      </c>
      <c r="E26" s="71">
        <v>0</v>
      </c>
    </row>
    <row r="27" spans="2:5" ht="15" customHeight="1">
      <c r="B27" s="114"/>
      <c r="C27" s="58" t="s">
        <v>144</v>
      </c>
      <c r="D27" s="72">
        <v>28</v>
      </c>
      <c r="E27" s="71">
        <v>2E-3</v>
      </c>
    </row>
    <row r="28" spans="2:5" ht="15" customHeight="1">
      <c r="B28" s="114"/>
      <c r="C28" s="58" t="s">
        <v>156</v>
      </c>
      <c r="D28" s="72">
        <v>3</v>
      </c>
      <c r="E28" s="71">
        <v>0</v>
      </c>
    </row>
    <row r="29" spans="2:5" ht="15" customHeight="1">
      <c r="B29" s="114"/>
      <c r="C29" s="58" t="s">
        <v>145</v>
      </c>
      <c r="D29" s="72">
        <v>2</v>
      </c>
      <c r="E29" s="71">
        <v>0</v>
      </c>
    </row>
    <row r="30" spans="2:5" ht="15" customHeight="1">
      <c r="B30" s="114"/>
      <c r="C30" s="58" t="s">
        <v>146</v>
      </c>
      <c r="D30" s="72">
        <v>2</v>
      </c>
      <c r="E30" s="71">
        <v>0</v>
      </c>
    </row>
    <row r="31" spans="2:5" ht="15" customHeight="1">
      <c r="B31" s="114"/>
      <c r="C31" s="58" t="s">
        <v>147</v>
      </c>
      <c r="D31" s="72">
        <v>8</v>
      </c>
      <c r="E31" s="71">
        <v>1E-3</v>
      </c>
    </row>
    <row r="32" spans="2:5" ht="15" customHeight="1">
      <c r="B32" s="114"/>
      <c r="C32" s="58" t="s">
        <v>148</v>
      </c>
      <c r="D32" s="72">
        <v>20</v>
      </c>
      <c r="E32" s="71">
        <v>2E-3</v>
      </c>
    </row>
    <row r="33" spans="2:5" ht="15" customHeight="1">
      <c r="B33" s="114"/>
      <c r="C33" s="58" t="s">
        <v>149</v>
      </c>
      <c r="D33" s="72">
        <v>2</v>
      </c>
      <c r="E33" s="71">
        <v>0</v>
      </c>
    </row>
    <row r="34" spans="2:5" ht="15" customHeight="1">
      <c r="B34" s="114"/>
      <c r="C34" s="58" t="s">
        <v>158</v>
      </c>
      <c r="D34" s="72">
        <v>1</v>
      </c>
      <c r="E34" s="71">
        <v>0</v>
      </c>
    </row>
    <row r="35" spans="2:5" ht="15" customHeight="1">
      <c r="B35" s="114"/>
      <c r="C35" s="58" t="s">
        <v>151</v>
      </c>
      <c r="D35" s="72">
        <v>5</v>
      </c>
      <c r="E35" s="71">
        <v>0</v>
      </c>
    </row>
    <row r="36" spans="2:5" ht="15" customHeight="1">
      <c r="B36" s="114"/>
      <c r="C36" s="58" t="s">
        <v>159</v>
      </c>
      <c r="D36" s="72">
        <v>2</v>
      </c>
      <c r="E36" s="71">
        <v>0</v>
      </c>
    </row>
    <row r="37" spans="2:5" ht="15" customHeight="1">
      <c r="B37" s="115"/>
      <c r="C37" s="73" t="s">
        <v>267</v>
      </c>
      <c r="D37" s="78">
        <v>86</v>
      </c>
      <c r="E37" s="75">
        <v>7.0000000000000001E-3</v>
      </c>
    </row>
    <row r="38" spans="2:5" ht="15" customHeight="1">
      <c r="B38" s="113" t="s">
        <v>85</v>
      </c>
      <c r="C38" s="58" t="s">
        <v>142</v>
      </c>
      <c r="D38" s="72">
        <v>5</v>
      </c>
      <c r="E38" s="71">
        <v>0</v>
      </c>
    </row>
    <row r="39" spans="2:5" ht="15" customHeight="1">
      <c r="B39" s="114"/>
      <c r="C39" s="58" t="s">
        <v>155</v>
      </c>
      <c r="D39" s="72">
        <v>1</v>
      </c>
      <c r="E39" s="71">
        <v>0</v>
      </c>
    </row>
    <row r="40" spans="2:5" ht="15" customHeight="1">
      <c r="B40" s="114"/>
      <c r="C40" s="58" t="s">
        <v>144</v>
      </c>
      <c r="D40" s="72">
        <v>7</v>
      </c>
      <c r="E40" s="71">
        <v>1E-3</v>
      </c>
    </row>
    <row r="41" spans="2:5" ht="15" customHeight="1">
      <c r="B41" s="114"/>
      <c r="C41" s="58" t="s">
        <v>241</v>
      </c>
      <c r="D41" s="72">
        <v>1</v>
      </c>
      <c r="E41" s="71">
        <v>0</v>
      </c>
    </row>
    <row r="42" spans="2:5" ht="15" customHeight="1">
      <c r="B42" s="114"/>
      <c r="C42" s="58" t="s">
        <v>147</v>
      </c>
      <c r="D42" s="72">
        <v>3</v>
      </c>
      <c r="E42" s="71">
        <v>0</v>
      </c>
    </row>
    <row r="43" spans="2:5" ht="15" customHeight="1">
      <c r="B43" s="114"/>
      <c r="C43" s="58" t="s">
        <v>157</v>
      </c>
      <c r="D43" s="72">
        <v>1</v>
      </c>
      <c r="E43" s="71">
        <v>0</v>
      </c>
    </row>
    <row r="44" spans="2:5" ht="15" customHeight="1">
      <c r="B44" s="114"/>
      <c r="C44" s="58" t="s">
        <v>158</v>
      </c>
      <c r="D44" s="72">
        <v>1</v>
      </c>
      <c r="E44" s="71">
        <v>0</v>
      </c>
    </row>
    <row r="45" spans="2:5" ht="15" customHeight="1">
      <c r="B45" s="114"/>
      <c r="C45" s="58" t="s">
        <v>150</v>
      </c>
      <c r="D45" s="72">
        <v>1</v>
      </c>
      <c r="E45" s="71">
        <v>0</v>
      </c>
    </row>
    <row r="46" spans="2:5" ht="15" customHeight="1">
      <c r="B46" s="114"/>
      <c r="C46" s="58" t="s">
        <v>159</v>
      </c>
      <c r="D46" s="72">
        <v>1</v>
      </c>
      <c r="E46" s="71">
        <v>0</v>
      </c>
    </row>
    <row r="47" spans="2:5" ht="15" customHeight="1">
      <c r="B47" s="115"/>
      <c r="C47" s="73" t="s">
        <v>267</v>
      </c>
      <c r="D47" s="78">
        <v>21</v>
      </c>
      <c r="E47" s="75">
        <v>2E-3</v>
      </c>
    </row>
    <row r="48" spans="2:5" ht="15" customHeight="1">
      <c r="B48" s="113" t="s">
        <v>62</v>
      </c>
      <c r="C48" s="58" t="s">
        <v>142</v>
      </c>
      <c r="D48" s="72">
        <v>35</v>
      </c>
      <c r="E48" s="71">
        <v>3.0000000000000001E-3</v>
      </c>
    </row>
    <row r="49" spans="2:5" ht="15" customHeight="1">
      <c r="B49" s="114"/>
      <c r="C49" s="58" t="s">
        <v>152</v>
      </c>
      <c r="D49" s="72">
        <v>8</v>
      </c>
      <c r="E49" s="71">
        <v>1E-3</v>
      </c>
    </row>
    <row r="50" spans="2:5" ht="15" customHeight="1">
      <c r="B50" s="114"/>
      <c r="C50" s="58" t="s">
        <v>143</v>
      </c>
      <c r="D50" s="72">
        <v>8</v>
      </c>
      <c r="E50" s="71">
        <v>1E-3</v>
      </c>
    </row>
    <row r="51" spans="2:5" ht="15" customHeight="1">
      <c r="B51" s="114"/>
      <c r="C51" s="58" t="s">
        <v>153</v>
      </c>
      <c r="D51" s="72">
        <v>4</v>
      </c>
      <c r="E51" s="71">
        <v>0</v>
      </c>
    </row>
    <row r="52" spans="2:5" ht="15" customHeight="1">
      <c r="B52" s="114"/>
      <c r="C52" s="58" t="s">
        <v>155</v>
      </c>
      <c r="D52" s="72">
        <v>4</v>
      </c>
      <c r="E52" s="71">
        <v>0</v>
      </c>
    </row>
    <row r="53" spans="2:5" ht="15" customHeight="1">
      <c r="B53" s="114"/>
      <c r="C53" s="58" t="s">
        <v>144</v>
      </c>
      <c r="D53" s="72">
        <v>51</v>
      </c>
      <c r="E53" s="71">
        <v>4.0000000000000001E-3</v>
      </c>
    </row>
    <row r="54" spans="2:5" ht="15" customHeight="1">
      <c r="B54" s="114"/>
      <c r="C54" s="58" t="s">
        <v>241</v>
      </c>
      <c r="D54" s="72">
        <v>1</v>
      </c>
      <c r="E54" s="71">
        <v>0</v>
      </c>
    </row>
    <row r="55" spans="2:5" ht="15" customHeight="1">
      <c r="B55" s="114"/>
      <c r="C55" s="58" t="s">
        <v>156</v>
      </c>
      <c r="D55" s="72">
        <v>6</v>
      </c>
      <c r="E55" s="71">
        <v>1E-3</v>
      </c>
    </row>
    <row r="56" spans="2:5" ht="15" customHeight="1">
      <c r="B56" s="114"/>
      <c r="C56" s="58" t="s">
        <v>145</v>
      </c>
      <c r="D56" s="72">
        <v>7</v>
      </c>
      <c r="E56" s="71">
        <v>1E-3</v>
      </c>
    </row>
    <row r="57" spans="2:5" ht="15" customHeight="1">
      <c r="B57" s="114"/>
      <c r="C57" s="58" t="s">
        <v>146</v>
      </c>
      <c r="D57" s="72">
        <v>3</v>
      </c>
      <c r="E57" s="71">
        <v>0</v>
      </c>
    </row>
    <row r="58" spans="2:5" ht="15" customHeight="1">
      <c r="B58" s="114"/>
      <c r="C58" s="58" t="s">
        <v>147</v>
      </c>
      <c r="D58" s="72">
        <v>19</v>
      </c>
      <c r="E58" s="71">
        <v>2E-3</v>
      </c>
    </row>
    <row r="59" spans="2:5" ht="15" customHeight="1">
      <c r="B59" s="114"/>
      <c r="C59" s="58" t="s">
        <v>148</v>
      </c>
      <c r="D59" s="72">
        <v>11</v>
      </c>
      <c r="E59" s="71">
        <v>1E-3</v>
      </c>
    </row>
    <row r="60" spans="2:5" ht="15" customHeight="1">
      <c r="B60" s="114"/>
      <c r="C60" s="58" t="s">
        <v>157</v>
      </c>
      <c r="D60" s="72">
        <v>5</v>
      </c>
      <c r="E60" s="71">
        <v>0</v>
      </c>
    </row>
    <row r="61" spans="2:5" ht="15" customHeight="1">
      <c r="B61" s="114"/>
      <c r="C61" s="58" t="s">
        <v>149</v>
      </c>
      <c r="D61" s="72">
        <v>4</v>
      </c>
      <c r="E61" s="71">
        <v>0</v>
      </c>
    </row>
    <row r="62" spans="2:5" ht="15" customHeight="1">
      <c r="B62" s="114"/>
      <c r="C62" s="58" t="s">
        <v>150</v>
      </c>
      <c r="D62" s="72">
        <v>6</v>
      </c>
      <c r="E62" s="71">
        <v>1E-3</v>
      </c>
    </row>
    <row r="63" spans="2:5" ht="15" customHeight="1">
      <c r="B63" s="114"/>
      <c r="C63" s="58" t="s">
        <v>151</v>
      </c>
      <c r="D63" s="72">
        <v>3</v>
      </c>
      <c r="E63" s="71">
        <v>0</v>
      </c>
    </row>
    <row r="64" spans="2:5" ht="15" customHeight="1">
      <c r="B64" s="114"/>
      <c r="C64" s="58" t="s">
        <v>159</v>
      </c>
      <c r="D64" s="72">
        <v>10</v>
      </c>
      <c r="E64" s="71">
        <v>1E-3</v>
      </c>
    </row>
    <row r="65" spans="2:5" ht="15" customHeight="1">
      <c r="B65" s="115"/>
      <c r="C65" s="73" t="s">
        <v>267</v>
      </c>
      <c r="D65" s="78">
        <v>185</v>
      </c>
      <c r="E65" s="75">
        <v>1.4999999999999999E-2</v>
      </c>
    </row>
    <row r="66" spans="2:5" ht="15" customHeight="1">
      <c r="B66" s="113" t="s">
        <v>94</v>
      </c>
      <c r="C66" s="58" t="s">
        <v>142</v>
      </c>
      <c r="D66" s="72">
        <v>1</v>
      </c>
      <c r="E66" s="71">
        <v>0</v>
      </c>
    </row>
    <row r="67" spans="2:5" ht="15" customHeight="1">
      <c r="B67" s="114"/>
      <c r="C67" s="58" t="s">
        <v>144</v>
      </c>
      <c r="D67" s="72">
        <v>5</v>
      </c>
      <c r="E67" s="71">
        <v>0</v>
      </c>
    </row>
    <row r="68" spans="2:5" ht="15" customHeight="1">
      <c r="B68" s="114"/>
      <c r="C68" s="58" t="s">
        <v>148</v>
      </c>
      <c r="D68" s="72">
        <v>2</v>
      </c>
      <c r="E68" s="71">
        <v>0</v>
      </c>
    </row>
    <row r="69" spans="2:5" ht="15" customHeight="1">
      <c r="B69" s="115"/>
      <c r="C69" s="73" t="s">
        <v>267</v>
      </c>
      <c r="D69" s="78">
        <v>8</v>
      </c>
      <c r="E69" s="75">
        <v>1E-3</v>
      </c>
    </row>
    <row r="70" spans="2:5" ht="15" customHeight="1">
      <c r="B70" s="113" t="s">
        <v>91</v>
      </c>
      <c r="C70" s="58" t="s">
        <v>142</v>
      </c>
      <c r="D70" s="72">
        <v>2</v>
      </c>
      <c r="E70" s="71">
        <v>0</v>
      </c>
    </row>
    <row r="71" spans="2:5" ht="15" customHeight="1">
      <c r="B71" s="114"/>
      <c r="C71" s="58" t="s">
        <v>144</v>
      </c>
      <c r="D71" s="72">
        <v>2</v>
      </c>
      <c r="E71" s="71">
        <v>0</v>
      </c>
    </row>
    <row r="72" spans="2:5" ht="15" customHeight="1">
      <c r="B72" s="114"/>
      <c r="C72" s="58" t="s">
        <v>147</v>
      </c>
      <c r="D72" s="72">
        <v>1</v>
      </c>
      <c r="E72" s="71">
        <v>0</v>
      </c>
    </row>
    <row r="73" spans="2:5" ht="15" customHeight="1">
      <c r="B73" s="114"/>
      <c r="C73" s="58" t="s">
        <v>148</v>
      </c>
      <c r="D73" s="72">
        <v>3</v>
      </c>
      <c r="E73" s="71">
        <v>0</v>
      </c>
    </row>
    <row r="74" spans="2:5" ht="15" customHeight="1">
      <c r="B74" s="115"/>
      <c r="C74" s="73" t="s">
        <v>267</v>
      </c>
      <c r="D74" s="78">
        <v>8</v>
      </c>
      <c r="E74" s="75">
        <v>1E-3</v>
      </c>
    </row>
    <row r="75" spans="2:5" ht="15" customHeight="1">
      <c r="B75" s="113" t="s">
        <v>88</v>
      </c>
      <c r="C75" s="58" t="s">
        <v>142</v>
      </c>
      <c r="D75" s="72">
        <v>3</v>
      </c>
      <c r="E75" s="71">
        <v>0</v>
      </c>
    </row>
    <row r="76" spans="2:5" ht="15" customHeight="1">
      <c r="B76" s="114"/>
      <c r="C76" s="58" t="s">
        <v>153</v>
      </c>
      <c r="D76" s="72">
        <v>1</v>
      </c>
      <c r="E76" s="71">
        <v>0</v>
      </c>
    </row>
    <row r="77" spans="2:5" ht="15" customHeight="1">
      <c r="B77" s="114"/>
      <c r="C77" s="58" t="s">
        <v>155</v>
      </c>
      <c r="D77" s="72">
        <v>2</v>
      </c>
      <c r="E77" s="71">
        <v>0</v>
      </c>
    </row>
    <row r="78" spans="2:5" ht="15" customHeight="1">
      <c r="B78" s="114"/>
      <c r="C78" s="58" t="s">
        <v>144</v>
      </c>
      <c r="D78" s="72">
        <v>18</v>
      </c>
      <c r="E78" s="71">
        <v>2E-3</v>
      </c>
    </row>
    <row r="79" spans="2:5" ht="15" customHeight="1">
      <c r="B79" s="114"/>
      <c r="C79" s="58" t="s">
        <v>156</v>
      </c>
      <c r="D79" s="72">
        <v>2</v>
      </c>
      <c r="E79" s="71">
        <v>0</v>
      </c>
    </row>
    <row r="80" spans="2:5" ht="15" customHeight="1">
      <c r="B80" s="114"/>
      <c r="C80" s="58" t="s">
        <v>145</v>
      </c>
      <c r="D80" s="72">
        <v>2</v>
      </c>
      <c r="E80" s="71">
        <v>0</v>
      </c>
    </row>
    <row r="81" spans="2:5" ht="15" customHeight="1">
      <c r="B81" s="114"/>
      <c r="C81" s="58" t="s">
        <v>147</v>
      </c>
      <c r="D81" s="72">
        <v>4</v>
      </c>
      <c r="E81" s="71">
        <v>0</v>
      </c>
    </row>
    <row r="82" spans="2:5" ht="15" customHeight="1">
      <c r="B82" s="114"/>
      <c r="C82" s="58" t="s">
        <v>148</v>
      </c>
      <c r="D82" s="72">
        <v>3</v>
      </c>
      <c r="E82" s="71">
        <v>0</v>
      </c>
    </row>
    <row r="83" spans="2:5" ht="15" customHeight="1">
      <c r="B83" s="114"/>
      <c r="C83" s="58" t="s">
        <v>157</v>
      </c>
      <c r="D83" s="72">
        <v>1</v>
      </c>
      <c r="E83" s="71">
        <v>0</v>
      </c>
    </row>
    <row r="84" spans="2:5" ht="15" customHeight="1">
      <c r="B84" s="114"/>
      <c r="C84" s="58" t="s">
        <v>149</v>
      </c>
      <c r="D84" s="72">
        <v>1</v>
      </c>
      <c r="E84" s="71">
        <v>0</v>
      </c>
    </row>
    <row r="85" spans="2:5" ht="15" customHeight="1">
      <c r="B85" s="114"/>
      <c r="C85" s="58" t="s">
        <v>158</v>
      </c>
      <c r="D85" s="72">
        <v>1</v>
      </c>
      <c r="E85" s="71">
        <v>0</v>
      </c>
    </row>
    <row r="86" spans="2:5" ht="15" customHeight="1">
      <c r="B86" s="114"/>
      <c r="C86" s="58" t="s">
        <v>159</v>
      </c>
      <c r="D86" s="72">
        <v>2</v>
      </c>
      <c r="E86" s="71">
        <v>0</v>
      </c>
    </row>
    <row r="87" spans="2:5" ht="15" customHeight="1">
      <c r="B87" s="115"/>
      <c r="C87" s="73" t="s">
        <v>267</v>
      </c>
      <c r="D87" s="78">
        <v>40</v>
      </c>
      <c r="E87" s="75">
        <v>3.0000000000000001E-3</v>
      </c>
    </row>
    <row r="88" spans="2:5" ht="15" customHeight="1">
      <c r="B88" s="113" t="s">
        <v>56</v>
      </c>
      <c r="C88" s="58" t="s">
        <v>142</v>
      </c>
      <c r="D88" s="72">
        <v>29</v>
      </c>
      <c r="E88" s="71">
        <v>2E-3</v>
      </c>
    </row>
    <row r="89" spans="2:5" ht="15" customHeight="1">
      <c r="B89" s="114"/>
      <c r="C89" s="58" t="s">
        <v>152</v>
      </c>
      <c r="D89" s="72">
        <v>6</v>
      </c>
      <c r="E89" s="71">
        <v>1E-3</v>
      </c>
    </row>
    <row r="90" spans="2:5" ht="15" customHeight="1">
      <c r="B90" s="114"/>
      <c r="C90" s="58" t="s">
        <v>143</v>
      </c>
      <c r="D90" s="72">
        <v>4</v>
      </c>
      <c r="E90" s="71">
        <v>0</v>
      </c>
    </row>
    <row r="91" spans="2:5" ht="15" customHeight="1">
      <c r="B91" s="114"/>
      <c r="C91" s="58" t="s">
        <v>153</v>
      </c>
      <c r="D91" s="72">
        <v>3</v>
      </c>
      <c r="E91" s="71">
        <v>0</v>
      </c>
    </row>
    <row r="92" spans="2:5" ht="15" customHeight="1">
      <c r="B92" s="114"/>
      <c r="C92" s="58" t="s">
        <v>154</v>
      </c>
      <c r="D92" s="72">
        <v>4</v>
      </c>
      <c r="E92" s="71">
        <v>0</v>
      </c>
    </row>
    <row r="93" spans="2:5" ht="15" customHeight="1">
      <c r="B93" s="114"/>
      <c r="C93" s="58" t="s">
        <v>155</v>
      </c>
      <c r="D93" s="72">
        <v>1</v>
      </c>
      <c r="E93" s="71">
        <v>0</v>
      </c>
    </row>
    <row r="94" spans="2:5" ht="15" customHeight="1">
      <c r="B94" s="114"/>
      <c r="C94" s="58" t="s">
        <v>144</v>
      </c>
      <c r="D94" s="72">
        <v>92</v>
      </c>
      <c r="E94" s="71">
        <v>8.0000000000000002E-3</v>
      </c>
    </row>
    <row r="95" spans="2:5" ht="15" customHeight="1">
      <c r="B95" s="114"/>
      <c r="C95" s="58" t="s">
        <v>241</v>
      </c>
      <c r="D95" s="72">
        <v>1</v>
      </c>
      <c r="E95" s="71">
        <v>0</v>
      </c>
    </row>
    <row r="96" spans="2:5" ht="15" customHeight="1">
      <c r="B96" s="114"/>
      <c r="C96" s="58" t="s">
        <v>156</v>
      </c>
      <c r="D96" s="72">
        <v>5</v>
      </c>
      <c r="E96" s="71">
        <v>0</v>
      </c>
    </row>
    <row r="97" spans="2:5" ht="15" customHeight="1">
      <c r="B97" s="114"/>
      <c r="C97" s="58" t="s">
        <v>145</v>
      </c>
      <c r="D97" s="72">
        <v>3</v>
      </c>
      <c r="E97" s="71">
        <v>0</v>
      </c>
    </row>
    <row r="98" spans="2:5" ht="15" customHeight="1">
      <c r="B98" s="114"/>
      <c r="C98" s="58" t="s">
        <v>146</v>
      </c>
      <c r="D98" s="72">
        <v>5</v>
      </c>
      <c r="E98" s="71">
        <v>0</v>
      </c>
    </row>
    <row r="99" spans="2:5" ht="15" customHeight="1">
      <c r="B99" s="114"/>
      <c r="C99" s="58" t="s">
        <v>147</v>
      </c>
      <c r="D99" s="72">
        <v>16</v>
      </c>
      <c r="E99" s="71">
        <v>1E-3</v>
      </c>
    </row>
    <row r="100" spans="2:5" ht="15" customHeight="1">
      <c r="B100" s="114"/>
      <c r="C100" s="58" t="s">
        <v>148</v>
      </c>
      <c r="D100" s="72">
        <v>23</v>
      </c>
      <c r="E100" s="71">
        <v>2E-3</v>
      </c>
    </row>
    <row r="101" spans="2:5" ht="15" customHeight="1">
      <c r="B101" s="114"/>
      <c r="C101" s="58" t="s">
        <v>157</v>
      </c>
      <c r="D101" s="72">
        <v>11</v>
      </c>
      <c r="E101" s="71">
        <v>1E-3</v>
      </c>
    </row>
    <row r="102" spans="2:5" ht="15" customHeight="1">
      <c r="B102" s="114"/>
      <c r="C102" s="58" t="s">
        <v>149</v>
      </c>
      <c r="D102" s="72">
        <v>7</v>
      </c>
      <c r="E102" s="71">
        <v>1E-3</v>
      </c>
    </row>
    <row r="103" spans="2:5" ht="15" customHeight="1">
      <c r="B103" s="114"/>
      <c r="C103" s="58" t="s">
        <v>158</v>
      </c>
      <c r="D103" s="72">
        <v>7</v>
      </c>
      <c r="E103" s="71">
        <v>1E-3</v>
      </c>
    </row>
    <row r="104" spans="2:5" ht="15" customHeight="1">
      <c r="B104" s="114"/>
      <c r="C104" s="58" t="s">
        <v>150</v>
      </c>
      <c r="D104" s="72">
        <v>6</v>
      </c>
      <c r="E104" s="71">
        <v>1E-3</v>
      </c>
    </row>
    <row r="105" spans="2:5" ht="15" customHeight="1">
      <c r="B105" s="114"/>
      <c r="C105" s="58" t="s">
        <v>151</v>
      </c>
      <c r="D105" s="72">
        <v>4</v>
      </c>
      <c r="E105" s="71">
        <v>0</v>
      </c>
    </row>
    <row r="106" spans="2:5" ht="15" customHeight="1">
      <c r="B106" s="114"/>
      <c r="C106" s="58" t="s">
        <v>159</v>
      </c>
      <c r="D106" s="72">
        <v>6</v>
      </c>
      <c r="E106" s="71">
        <v>1E-3</v>
      </c>
    </row>
    <row r="107" spans="2:5" ht="15" customHeight="1">
      <c r="B107" s="115"/>
      <c r="C107" s="73" t="s">
        <v>267</v>
      </c>
      <c r="D107" s="78">
        <v>233</v>
      </c>
      <c r="E107" s="75">
        <v>1.9E-2</v>
      </c>
    </row>
    <row r="108" spans="2:5" ht="15" customHeight="1">
      <c r="B108" s="113" t="s">
        <v>64</v>
      </c>
      <c r="C108" s="58" t="s">
        <v>142</v>
      </c>
      <c r="D108" s="72">
        <v>29</v>
      </c>
      <c r="E108" s="71">
        <v>2E-3</v>
      </c>
    </row>
    <row r="109" spans="2:5" ht="15" customHeight="1">
      <c r="B109" s="114"/>
      <c r="C109" s="58" t="s">
        <v>143</v>
      </c>
      <c r="D109" s="72">
        <v>2</v>
      </c>
      <c r="E109" s="71">
        <v>0</v>
      </c>
    </row>
    <row r="110" spans="2:5" ht="15" customHeight="1">
      <c r="B110" s="114"/>
      <c r="C110" s="58" t="s">
        <v>153</v>
      </c>
      <c r="D110" s="72">
        <v>7</v>
      </c>
      <c r="E110" s="71">
        <v>1E-3</v>
      </c>
    </row>
    <row r="111" spans="2:5" ht="15" customHeight="1">
      <c r="B111" s="114"/>
      <c r="C111" s="58" t="s">
        <v>154</v>
      </c>
      <c r="D111" s="72">
        <v>2</v>
      </c>
      <c r="E111" s="71">
        <v>0</v>
      </c>
    </row>
    <row r="112" spans="2:5" ht="15" customHeight="1">
      <c r="B112" s="114"/>
      <c r="C112" s="58" t="s">
        <v>144</v>
      </c>
      <c r="D112" s="72">
        <v>52</v>
      </c>
      <c r="E112" s="71">
        <v>4.0000000000000001E-3</v>
      </c>
    </row>
    <row r="113" spans="2:5" ht="15" customHeight="1">
      <c r="B113" s="114"/>
      <c r="C113" s="58" t="s">
        <v>156</v>
      </c>
      <c r="D113" s="72">
        <v>10</v>
      </c>
      <c r="E113" s="71">
        <v>1E-3</v>
      </c>
    </row>
    <row r="114" spans="2:5" ht="15" customHeight="1">
      <c r="B114" s="114"/>
      <c r="C114" s="58" t="s">
        <v>145</v>
      </c>
      <c r="D114" s="72">
        <v>3</v>
      </c>
      <c r="E114" s="71">
        <v>0</v>
      </c>
    </row>
    <row r="115" spans="2:5" ht="15" customHeight="1">
      <c r="B115" s="114"/>
      <c r="C115" s="58" t="s">
        <v>146</v>
      </c>
      <c r="D115" s="72">
        <v>3</v>
      </c>
      <c r="E115" s="71">
        <v>0</v>
      </c>
    </row>
    <row r="116" spans="2:5" ht="15" customHeight="1">
      <c r="B116" s="114"/>
      <c r="C116" s="58" t="s">
        <v>147</v>
      </c>
      <c r="D116" s="72">
        <v>15</v>
      </c>
      <c r="E116" s="71">
        <v>1E-3</v>
      </c>
    </row>
    <row r="117" spans="2:5" ht="15" customHeight="1">
      <c r="B117" s="114"/>
      <c r="C117" s="58" t="s">
        <v>148</v>
      </c>
      <c r="D117" s="72">
        <v>15</v>
      </c>
      <c r="E117" s="71">
        <v>1E-3</v>
      </c>
    </row>
    <row r="118" spans="2:5" ht="15" customHeight="1">
      <c r="B118" s="114"/>
      <c r="C118" s="58" t="s">
        <v>157</v>
      </c>
      <c r="D118" s="72">
        <v>3</v>
      </c>
      <c r="E118" s="71">
        <v>0</v>
      </c>
    </row>
    <row r="119" spans="2:5" ht="15" customHeight="1">
      <c r="B119" s="114"/>
      <c r="C119" s="58" t="s">
        <v>149</v>
      </c>
      <c r="D119" s="72">
        <v>5</v>
      </c>
      <c r="E119" s="71">
        <v>0</v>
      </c>
    </row>
    <row r="120" spans="2:5" ht="15" customHeight="1">
      <c r="B120" s="114"/>
      <c r="C120" s="58" t="s">
        <v>158</v>
      </c>
      <c r="D120" s="72">
        <v>4</v>
      </c>
      <c r="E120" s="71">
        <v>0</v>
      </c>
    </row>
    <row r="121" spans="2:5" ht="15" customHeight="1">
      <c r="B121" s="114"/>
      <c r="C121" s="58" t="s">
        <v>150</v>
      </c>
      <c r="D121" s="72">
        <v>4</v>
      </c>
      <c r="E121" s="71">
        <v>0</v>
      </c>
    </row>
    <row r="122" spans="2:5" ht="15" customHeight="1">
      <c r="B122" s="114"/>
      <c r="C122" s="58" t="s">
        <v>151</v>
      </c>
      <c r="D122" s="72">
        <v>2</v>
      </c>
      <c r="E122" s="71">
        <v>0</v>
      </c>
    </row>
    <row r="123" spans="2:5" ht="15" customHeight="1">
      <c r="B123" s="114"/>
      <c r="C123" s="58" t="s">
        <v>159</v>
      </c>
      <c r="D123" s="72">
        <v>8</v>
      </c>
      <c r="E123" s="71">
        <v>1E-3</v>
      </c>
    </row>
    <row r="124" spans="2:5" ht="15" customHeight="1">
      <c r="B124" s="115"/>
      <c r="C124" s="73" t="s">
        <v>267</v>
      </c>
      <c r="D124" s="78">
        <v>164</v>
      </c>
      <c r="E124" s="75">
        <v>1.4E-2</v>
      </c>
    </row>
    <row r="125" spans="2:5" ht="15" customHeight="1">
      <c r="B125" s="113" t="s">
        <v>60</v>
      </c>
      <c r="C125" s="58" t="s">
        <v>142</v>
      </c>
      <c r="D125" s="72">
        <v>26</v>
      </c>
      <c r="E125" s="71">
        <v>2E-3</v>
      </c>
    </row>
    <row r="126" spans="2:5" ht="15" customHeight="1">
      <c r="B126" s="114"/>
      <c r="C126" s="58" t="s">
        <v>152</v>
      </c>
      <c r="D126" s="72">
        <v>3</v>
      </c>
      <c r="E126" s="71">
        <v>0</v>
      </c>
    </row>
    <row r="127" spans="2:5" ht="15" customHeight="1">
      <c r="B127" s="114"/>
      <c r="C127" s="58" t="s">
        <v>143</v>
      </c>
      <c r="D127" s="72">
        <v>6</v>
      </c>
      <c r="E127" s="71">
        <v>1E-3</v>
      </c>
    </row>
    <row r="128" spans="2:5" ht="15" customHeight="1">
      <c r="B128" s="114"/>
      <c r="C128" s="58" t="s">
        <v>153</v>
      </c>
      <c r="D128" s="72">
        <v>4</v>
      </c>
      <c r="E128" s="71">
        <v>0</v>
      </c>
    </row>
    <row r="129" spans="2:5" ht="15" customHeight="1">
      <c r="B129" s="114"/>
      <c r="C129" s="58" t="s">
        <v>144</v>
      </c>
      <c r="D129" s="72">
        <v>40</v>
      </c>
      <c r="E129" s="71">
        <v>3.0000000000000001E-3</v>
      </c>
    </row>
    <row r="130" spans="2:5" ht="15" customHeight="1">
      <c r="B130" s="114"/>
      <c r="C130" s="58" t="s">
        <v>241</v>
      </c>
      <c r="D130" s="72">
        <v>18</v>
      </c>
      <c r="E130" s="71">
        <v>2E-3</v>
      </c>
    </row>
    <row r="131" spans="2:5" ht="15" customHeight="1">
      <c r="B131" s="114"/>
      <c r="C131" s="58" t="s">
        <v>156</v>
      </c>
      <c r="D131" s="72">
        <v>6</v>
      </c>
      <c r="E131" s="71">
        <v>1E-3</v>
      </c>
    </row>
    <row r="132" spans="2:5" ht="15" customHeight="1">
      <c r="B132" s="114"/>
      <c r="C132" s="58" t="s">
        <v>145</v>
      </c>
      <c r="D132" s="72">
        <v>4</v>
      </c>
      <c r="E132" s="71">
        <v>0</v>
      </c>
    </row>
    <row r="133" spans="2:5" ht="15" customHeight="1">
      <c r="B133" s="114"/>
      <c r="C133" s="58" t="s">
        <v>146</v>
      </c>
      <c r="D133" s="72">
        <v>5</v>
      </c>
      <c r="E133" s="71">
        <v>0</v>
      </c>
    </row>
    <row r="134" spans="2:5" ht="15" customHeight="1">
      <c r="B134" s="114"/>
      <c r="C134" s="58" t="s">
        <v>147</v>
      </c>
      <c r="D134" s="72">
        <v>22</v>
      </c>
      <c r="E134" s="71">
        <v>2E-3</v>
      </c>
    </row>
    <row r="135" spans="2:5" ht="15" customHeight="1">
      <c r="B135" s="114"/>
      <c r="C135" s="58" t="s">
        <v>148</v>
      </c>
      <c r="D135" s="72">
        <v>16</v>
      </c>
      <c r="E135" s="71">
        <v>1E-3</v>
      </c>
    </row>
    <row r="136" spans="2:5" ht="15" customHeight="1">
      <c r="B136" s="114"/>
      <c r="C136" s="58" t="s">
        <v>157</v>
      </c>
      <c r="D136" s="72">
        <v>2</v>
      </c>
      <c r="E136" s="71">
        <v>0</v>
      </c>
    </row>
    <row r="137" spans="2:5" ht="15" customHeight="1">
      <c r="B137" s="114"/>
      <c r="C137" s="58" t="s">
        <v>149</v>
      </c>
      <c r="D137" s="72">
        <v>5</v>
      </c>
      <c r="E137" s="71">
        <v>0</v>
      </c>
    </row>
    <row r="138" spans="2:5" ht="15" customHeight="1">
      <c r="B138" s="114"/>
      <c r="C138" s="58" t="s">
        <v>158</v>
      </c>
      <c r="D138" s="72">
        <v>1</v>
      </c>
      <c r="E138" s="71">
        <v>0</v>
      </c>
    </row>
    <row r="139" spans="2:5" ht="15" customHeight="1">
      <c r="B139" s="114"/>
      <c r="C139" s="58" t="s">
        <v>150</v>
      </c>
      <c r="D139" s="72">
        <v>5</v>
      </c>
      <c r="E139" s="71">
        <v>0</v>
      </c>
    </row>
    <row r="140" spans="2:5" ht="15" customHeight="1">
      <c r="B140" s="114"/>
      <c r="C140" s="58" t="s">
        <v>151</v>
      </c>
      <c r="D140" s="72">
        <v>2</v>
      </c>
      <c r="E140" s="71">
        <v>0</v>
      </c>
    </row>
    <row r="141" spans="2:5" ht="15" customHeight="1">
      <c r="B141" s="114"/>
      <c r="C141" s="58" t="s">
        <v>159</v>
      </c>
      <c r="D141" s="72">
        <v>22</v>
      </c>
      <c r="E141" s="71">
        <v>2E-3</v>
      </c>
    </row>
    <row r="142" spans="2:5" ht="15" customHeight="1">
      <c r="B142" s="115"/>
      <c r="C142" s="73" t="s">
        <v>267</v>
      </c>
      <c r="D142" s="78">
        <v>187</v>
      </c>
      <c r="E142" s="75">
        <v>1.6E-2</v>
      </c>
    </row>
    <row r="143" spans="2:5" ht="15" customHeight="1">
      <c r="B143" s="113" t="s">
        <v>79</v>
      </c>
      <c r="C143" s="58" t="s">
        <v>142</v>
      </c>
      <c r="D143" s="72">
        <v>6</v>
      </c>
      <c r="E143" s="71">
        <v>1E-3</v>
      </c>
    </row>
    <row r="144" spans="2:5" ht="15" customHeight="1">
      <c r="B144" s="114"/>
      <c r="C144" s="58" t="s">
        <v>152</v>
      </c>
      <c r="D144" s="72">
        <v>2</v>
      </c>
      <c r="E144" s="71">
        <v>0</v>
      </c>
    </row>
    <row r="145" spans="2:5" ht="15" customHeight="1">
      <c r="B145" s="114"/>
      <c r="C145" s="58" t="s">
        <v>143</v>
      </c>
      <c r="D145" s="72">
        <v>2</v>
      </c>
      <c r="E145" s="71">
        <v>0</v>
      </c>
    </row>
    <row r="146" spans="2:5" ht="15" customHeight="1">
      <c r="B146" s="114"/>
      <c r="C146" s="58" t="s">
        <v>155</v>
      </c>
      <c r="D146" s="72">
        <v>2</v>
      </c>
      <c r="E146" s="71">
        <v>0</v>
      </c>
    </row>
    <row r="147" spans="2:5" ht="15" customHeight="1">
      <c r="B147" s="114"/>
      <c r="C147" s="58" t="s">
        <v>144</v>
      </c>
      <c r="D147" s="72">
        <v>17</v>
      </c>
      <c r="E147" s="71">
        <v>1E-3</v>
      </c>
    </row>
    <row r="148" spans="2:5" ht="15" customHeight="1">
      <c r="B148" s="114"/>
      <c r="C148" s="58" t="s">
        <v>241</v>
      </c>
      <c r="D148" s="72">
        <v>1</v>
      </c>
      <c r="E148" s="71">
        <v>0</v>
      </c>
    </row>
    <row r="149" spans="2:5" ht="15" customHeight="1">
      <c r="B149" s="114"/>
      <c r="C149" s="58" t="s">
        <v>156</v>
      </c>
      <c r="D149" s="72">
        <v>2</v>
      </c>
      <c r="E149" s="71">
        <v>0</v>
      </c>
    </row>
    <row r="150" spans="2:5" ht="15" customHeight="1">
      <c r="B150" s="114"/>
      <c r="C150" s="58" t="s">
        <v>146</v>
      </c>
      <c r="D150" s="72">
        <v>4</v>
      </c>
      <c r="E150" s="71">
        <v>0</v>
      </c>
    </row>
    <row r="151" spans="2:5" ht="15" customHeight="1">
      <c r="B151" s="114"/>
      <c r="C151" s="58" t="s">
        <v>147</v>
      </c>
      <c r="D151" s="72">
        <v>5</v>
      </c>
      <c r="E151" s="71">
        <v>0</v>
      </c>
    </row>
    <row r="152" spans="2:5" ht="15" customHeight="1">
      <c r="B152" s="114"/>
      <c r="C152" s="58" t="s">
        <v>148</v>
      </c>
      <c r="D152" s="72">
        <v>14</v>
      </c>
      <c r="E152" s="71">
        <v>1E-3</v>
      </c>
    </row>
    <row r="153" spans="2:5" ht="15" customHeight="1">
      <c r="B153" s="114"/>
      <c r="C153" s="58" t="s">
        <v>157</v>
      </c>
      <c r="D153" s="72">
        <v>3</v>
      </c>
      <c r="E153" s="71">
        <v>0</v>
      </c>
    </row>
    <row r="154" spans="2:5" ht="15" customHeight="1">
      <c r="B154" s="114"/>
      <c r="C154" s="58" t="s">
        <v>149</v>
      </c>
      <c r="D154" s="72">
        <v>4</v>
      </c>
      <c r="E154" s="71">
        <v>0</v>
      </c>
    </row>
    <row r="155" spans="2:5" ht="15" customHeight="1">
      <c r="B155" s="114"/>
      <c r="C155" s="58" t="s">
        <v>158</v>
      </c>
      <c r="D155" s="72">
        <v>2</v>
      </c>
      <c r="E155" s="71">
        <v>0</v>
      </c>
    </row>
    <row r="156" spans="2:5" ht="15" customHeight="1">
      <c r="B156" s="114"/>
      <c r="C156" s="58" t="s">
        <v>150</v>
      </c>
      <c r="D156" s="72">
        <v>7</v>
      </c>
      <c r="E156" s="71">
        <v>1E-3</v>
      </c>
    </row>
    <row r="157" spans="2:5" ht="15" customHeight="1">
      <c r="B157" s="114"/>
      <c r="C157" s="58" t="s">
        <v>151</v>
      </c>
      <c r="D157" s="72">
        <v>1</v>
      </c>
      <c r="E157" s="71">
        <v>0</v>
      </c>
    </row>
    <row r="158" spans="2:5" ht="15" customHeight="1">
      <c r="B158" s="114"/>
      <c r="C158" s="58" t="s">
        <v>159</v>
      </c>
      <c r="D158" s="72">
        <v>2</v>
      </c>
      <c r="E158" s="71">
        <v>0</v>
      </c>
    </row>
    <row r="159" spans="2:5" ht="15" customHeight="1">
      <c r="B159" s="115"/>
      <c r="C159" s="73" t="s">
        <v>267</v>
      </c>
      <c r="D159" s="78">
        <v>74</v>
      </c>
      <c r="E159" s="75">
        <v>6.0000000000000001E-3</v>
      </c>
    </row>
    <row r="160" spans="2:5" ht="15" customHeight="1">
      <c r="B160" s="113" t="s">
        <v>236</v>
      </c>
      <c r="C160" s="58" t="s">
        <v>144</v>
      </c>
      <c r="D160" s="72">
        <v>1</v>
      </c>
      <c r="E160" s="71">
        <v>0</v>
      </c>
    </row>
    <row r="161" spans="2:5" ht="15" customHeight="1">
      <c r="B161" s="114"/>
      <c r="C161" s="58" t="s">
        <v>159</v>
      </c>
      <c r="D161" s="72">
        <v>1</v>
      </c>
      <c r="E161" s="71">
        <v>0</v>
      </c>
    </row>
    <row r="162" spans="2:5" ht="15" customHeight="1">
      <c r="B162" s="115"/>
      <c r="C162" s="73" t="s">
        <v>267</v>
      </c>
      <c r="D162" s="78">
        <v>2</v>
      </c>
      <c r="E162" s="75">
        <v>0</v>
      </c>
    </row>
    <row r="163" spans="2:5" ht="15" customHeight="1">
      <c r="B163" s="113" t="s">
        <v>83</v>
      </c>
      <c r="C163" s="58" t="s">
        <v>142</v>
      </c>
      <c r="D163" s="72">
        <v>12</v>
      </c>
      <c r="E163" s="71">
        <v>1E-3</v>
      </c>
    </row>
    <row r="164" spans="2:5" ht="15" customHeight="1">
      <c r="B164" s="114"/>
      <c r="C164" s="58" t="s">
        <v>143</v>
      </c>
      <c r="D164" s="72">
        <v>2</v>
      </c>
      <c r="E164" s="71">
        <v>0</v>
      </c>
    </row>
    <row r="165" spans="2:5" ht="15" customHeight="1">
      <c r="B165" s="114"/>
      <c r="C165" s="58" t="s">
        <v>153</v>
      </c>
      <c r="D165" s="72">
        <v>2</v>
      </c>
      <c r="E165" s="71">
        <v>0</v>
      </c>
    </row>
    <row r="166" spans="2:5" ht="15" customHeight="1">
      <c r="B166" s="114"/>
      <c r="C166" s="58" t="s">
        <v>144</v>
      </c>
      <c r="D166" s="72">
        <v>19</v>
      </c>
      <c r="E166" s="71">
        <v>2E-3</v>
      </c>
    </row>
    <row r="167" spans="2:5" ht="15" customHeight="1">
      <c r="B167" s="114"/>
      <c r="C167" s="58" t="s">
        <v>156</v>
      </c>
      <c r="D167" s="72">
        <v>1</v>
      </c>
      <c r="E167" s="71">
        <v>0</v>
      </c>
    </row>
    <row r="168" spans="2:5" ht="15" customHeight="1">
      <c r="B168" s="114"/>
      <c r="C168" s="58" t="s">
        <v>145</v>
      </c>
      <c r="D168" s="72">
        <v>1</v>
      </c>
      <c r="E168" s="71">
        <v>0</v>
      </c>
    </row>
    <row r="169" spans="2:5" ht="15" customHeight="1">
      <c r="B169" s="114"/>
      <c r="C169" s="58" t="s">
        <v>146</v>
      </c>
      <c r="D169" s="72">
        <v>1</v>
      </c>
      <c r="E169" s="71">
        <v>0</v>
      </c>
    </row>
    <row r="170" spans="2:5" ht="15" customHeight="1">
      <c r="B170" s="114"/>
      <c r="C170" s="58" t="s">
        <v>147</v>
      </c>
      <c r="D170" s="72">
        <v>5</v>
      </c>
      <c r="E170" s="71">
        <v>0</v>
      </c>
    </row>
    <row r="171" spans="2:5" ht="15" customHeight="1">
      <c r="B171" s="114"/>
      <c r="C171" s="58" t="s">
        <v>148</v>
      </c>
      <c r="D171" s="72">
        <v>2</v>
      </c>
      <c r="E171" s="71">
        <v>0</v>
      </c>
    </row>
    <row r="172" spans="2:5" ht="15" customHeight="1">
      <c r="B172" s="114"/>
      <c r="C172" s="58" t="s">
        <v>157</v>
      </c>
      <c r="D172" s="72">
        <v>2</v>
      </c>
      <c r="E172" s="71">
        <v>0</v>
      </c>
    </row>
    <row r="173" spans="2:5" ht="15" customHeight="1">
      <c r="B173" s="114"/>
      <c r="C173" s="58" t="s">
        <v>149</v>
      </c>
      <c r="D173" s="72">
        <v>1</v>
      </c>
      <c r="E173" s="71">
        <v>0</v>
      </c>
    </row>
    <row r="174" spans="2:5" ht="15" customHeight="1">
      <c r="B174" s="114"/>
      <c r="C174" s="58" t="s">
        <v>158</v>
      </c>
      <c r="D174" s="72">
        <v>1</v>
      </c>
      <c r="E174" s="71">
        <v>0</v>
      </c>
    </row>
    <row r="175" spans="2:5" ht="15" customHeight="1">
      <c r="B175" s="114"/>
      <c r="C175" s="58" t="s">
        <v>159</v>
      </c>
      <c r="D175" s="72">
        <v>2</v>
      </c>
      <c r="E175" s="71">
        <v>0</v>
      </c>
    </row>
    <row r="176" spans="2:5" ht="15" customHeight="1">
      <c r="B176" s="115"/>
      <c r="C176" s="73" t="s">
        <v>267</v>
      </c>
      <c r="D176" s="78">
        <v>51</v>
      </c>
      <c r="E176" s="75">
        <v>4.0000000000000001E-3</v>
      </c>
    </row>
    <row r="177" spans="2:5" ht="15" customHeight="1">
      <c r="B177" s="113" t="s">
        <v>86</v>
      </c>
      <c r="C177" s="58" t="s">
        <v>142</v>
      </c>
      <c r="D177" s="72">
        <v>2</v>
      </c>
      <c r="E177" s="71">
        <v>0</v>
      </c>
    </row>
    <row r="178" spans="2:5" ht="15" customHeight="1">
      <c r="B178" s="114"/>
      <c r="C178" s="58" t="s">
        <v>144</v>
      </c>
      <c r="D178" s="72">
        <v>6</v>
      </c>
      <c r="E178" s="71">
        <v>1E-3</v>
      </c>
    </row>
    <row r="179" spans="2:5" ht="15" customHeight="1">
      <c r="B179" s="114"/>
      <c r="C179" s="58" t="s">
        <v>146</v>
      </c>
      <c r="D179" s="72">
        <v>4</v>
      </c>
      <c r="E179" s="71">
        <v>0</v>
      </c>
    </row>
    <row r="180" spans="2:5" ht="15" customHeight="1">
      <c r="B180" s="114"/>
      <c r="C180" s="58" t="s">
        <v>147</v>
      </c>
      <c r="D180" s="72">
        <v>4</v>
      </c>
      <c r="E180" s="71">
        <v>0</v>
      </c>
    </row>
    <row r="181" spans="2:5" ht="15" customHeight="1">
      <c r="B181" s="114"/>
      <c r="C181" s="58" t="s">
        <v>148</v>
      </c>
      <c r="D181" s="72">
        <v>4</v>
      </c>
      <c r="E181" s="71">
        <v>0</v>
      </c>
    </row>
    <row r="182" spans="2:5" ht="15" customHeight="1">
      <c r="B182" s="114"/>
      <c r="C182" s="58" t="s">
        <v>158</v>
      </c>
      <c r="D182" s="72">
        <v>1</v>
      </c>
      <c r="E182" s="71">
        <v>0</v>
      </c>
    </row>
    <row r="183" spans="2:5" ht="15" customHeight="1">
      <c r="B183" s="114"/>
      <c r="C183" s="58" t="s">
        <v>151</v>
      </c>
      <c r="D183" s="72">
        <v>2</v>
      </c>
      <c r="E183" s="71">
        <v>0</v>
      </c>
    </row>
    <row r="184" spans="2:5" ht="15" customHeight="1">
      <c r="B184" s="115"/>
      <c r="C184" s="73" t="s">
        <v>267</v>
      </c>
      <c r="D184" s="78">
        <v>23</v>
      </c>
      <c r="E184" s="75">
        <v>2E-3</v>
      </c>
    </row>
    <row r="185" spans="2:5" ht="15" customHeight="1">
      <c r="B185" s="113" t="s">
        <v>49</v>
      </c>
      <c r="C185" s="58" t="s">
        <v>142</v>
      </c>
      <c r="D185" s="72">
        <v>59</v>
      </c>
      <c r="E185" s="71">
        <v>5.0000000000000001E-3</v>
      </c>
    </row>
    <row r="186" spans="2:5" ht="15" customHeight="1">
      <c r="B186" s="114"/>
      <c r="C186" s="58" t="s">
        <v>152</v>
      </c>
      <c r="D186" s="72">
        <v>26</v>
      </c>
      <c r="E186" s="71">
        <v>2E-3</v>
      </c>
    </row>
    <row r="187" spans="2:5" ht="15" customHeight="1">
      <c r="B187" s="114"/>
      <c r="C187" s="58" t="s">
        <v>143</v>
      </c>
      <c r="D187" s="72">
        <v>39</v>
      </c>
      <c r="E187" s="71">
        <v>3.0000000000000001E-3</v>
      </c>
    </row>
    <row r="188" spans="2:5" ht="15" customHeight="1">
      <c r="B188" s="114"/>
      <c r="C188" s="58" t="s">
        <v>153</v>
      </c>
      <c r="D188" s="72">
        <v>10</v>
      </c>
      <c r="E188" s="71">
        <v>1E-3</v>
      </c>
    </row>
    <row r="189" spans="2:5" ht="15" customHeight="1">
      <c r="B189" s="114"/>
      <c r="C189" s="58" t="s">
        <v>154</v>
      </c>
      <c r="D189" s="72">
        <v>5</v>
      </c>
      <c r="E189" s="71">
        <v>0</v>
      </c>
    </row>
    <row r="190" spans="2:5" ht="15" customHeight="1">
      <c r="B190" s="114"/>
      <c r="C190" s="58" t="s">
        <v>155</v>
      </c>
      <c r="D190" s="72">
        <v>70</v>
      </c>
      <c r="E190" s="71">
        <v>6.0000000000000001E-3</v>
      </c>
    </row>
    <row r="191" spans="2:5" ht="15" customHeight="1">
      <c r="B191" s="114"/>
      <c r="C191" s="58" t="s">
        <v>144</v>
      </c>
      <c r="D191" s="72">
        <v>336</v>
      </c>
      <c r="E191" s="71">
        <v>2.8000000000000001E-2</v>
      </c>
    </row>
    <row r="192" spans="2:5" ht="15" customHeight="1">
      <c r="B192" s="114"/>
      <c r="C192" s="58" t="s">
        <v>241</v>
      </c>
      <c r="D192" s="72">
        <v>1</v>
      </c>
      <c r="E192" s="71">
        <v>0</v>
      </c>
    </row>
    <row r="193" spans="2:5" ht="15" customHeight="1">
      <c r="B193" s="114"/>
      <c r="C193" s="58" t="s">
        <v>156</v>
      </c>
      <c r="D193" s="72">
        <v>27</v>
      </c>
      <c r="E193" s="71">
        <v>2E-3</v>
      </c>
    </row>
    <row r="194" spans="2:5" ht="15" customHeight="1">
      <c r="B194" s="114"/>
      <c r="C194" s="58" t="s">
        <v>145</v>
      </c>
      <c r="D194" s="72">
        <v>42</v>
      </c>
      <c r="E194" s="71">
        <v>4.0000000000000001E-3</v>
      </c>
    </row>
    <row r="195" spans="2:5" ht="15" customHeight="1">
      <c r="B195" s="114"/>
      <c r="C195" s="58" t="s">
        <v>146</v>
      </c>
      <c r="D195" s="72">
        <v>23</v>
      </c>
      <c r="E195" s="71">
        <v>2E-3</v>
      </c>
    </row>
    <row r="196" spans="2:5" ht="15" customHeight="1">
      <c r="B196" s="114"/>
      <c r="C196" s="58" t="s">
        <v>147</v>
      </c>
      <c r="D196" s="72">
        <v>122</v>
      </c>
      <c r="E196" s="71">
        <v>0.01</v>
      </c>
    </row>
    <row r="197" spans="2:5" ht="15" customHeight="1">
      <c r="B197" s="114"/>
      <c r="C197" s="58" t="s">
        <v>148</v>
      </c>
      <c r="D197" s="72">
        <v>65</v>
      </c>
      <c r="E197" s="71">
        <v>5.0000000000000001E-3</v>
      </c>
    </row>
    <row r="198" spans="2:5" ht="15" customHeight="1">
      <c r="B198" s="114"/>
      <c r="C198" s="58" t="s">
        <v>157</v>
      </c>
      <c r="D198" s="72">
        <v>53</v>
      </c>
      <c r="E198" s="71">
        <v>4.0000000000000001E-3</v>
      </c>
    </row>
    <row r="199" spans="2:5" ht="15" customHeight="1">
      <c r="B199" s="114"/>
      <c r="C199" s="58" t="s">
        <v>149</v>
      </c>
      <c r="D199" s="72">
        <v>34</v>
      </c>
      <c r="E199" s="71">
        <v>3.0000000000000001E-3</v>
      </c>
    </row>
    <row r="200" spans="2:5" ht="15" customHeight="1">
      <c r="B200" s="114"/>
      <c r="C200" s="58" t="s">
        <v>158</v>
      </c>
      <c r="D200" s="72">
        <v>12</v>
      </c>
      <c r="E200" s="71">
        <v>1E-3</v>
      </c>
    </row>
    <row r="201" spans="2:5" ht="15" customHeight="1">
      <c r="B201" s="114"/>
      <c r="C201" s="58" t="s">
        <v>150</v>
      </c>
      <c r="D201" s="72">
        <v>45</v>
      </c>
      <c r="E201" s="71">
        <v>4.0000000000000001E-3</v>
      </c>
    </row>
    <row r="202" spans="2:5" ht="15" customHeight="1">
      <c r="B202" s="114"/>
      <c r="C202" s="58" t="s">
        <v>151</v>
      </c>
      <c r="D202" s="72">
        <v>26</v>
      </c>
      <c r="E202" s="71">
        <v>2E-3</v>
      </c>
    </row>
    <row r="203" spans="2:5" ht="15" customHeight="1">
      <c r="B203" s="114"/>
      <c r="C203" s="58" t="s">
        <v>159</v>
      </c>
      <c r="D203" s="72">
        <v>74</v>
      </c>
      <c r="E203" s="71">
        <v>6.0000000000000001E-3</v>
      </c>
    </row>
    <row r="204" spans="2:5" ht="15" customHeight="1">
      <c r="B204" s="115"/>
      <c r="C204" s="73" t="s">
        <v>267</v>
      </c>
      <c r="D204" s="78">
        <v>1069</v>
      </c>
      <c r="E204" s="75">
        <v>8.8999999999999996E-2</v>
      </c>
    </row>
    <row r="205" spans="2:5" ht="15" customHeight="1">
      <c r="B205" s="113" t="s">
        <v>65</v>
      </c>
      <c r="C205" s="58" t="s">
        <v>142</v>
      </c>
      <c r="D205" s="72">
        <v>17</v>
      </c>
      <c r="E205" s="71">
        <v>1E-3</v>
      </c>
    </row>
    <row r="206" spans="2:5" ht="15" customHeight="1">
      <c r="B206" s="114"/>
      <c r="C206" s="58" t="s">
        <v>152</v>
      </c>
      <c r="D206" s="72">
        <v>4</v>
      </c>
      <c r="E206" s="71">
        <v>0</v>
      </c>
    </row>
    <row r="207" spans="2:5" ht="15" customHeight="1">
      <c r="B207" s="114"/>
      <c r="C207" s="58" t="s">
        <v>153</v>
      </c>
      <c r="D207" s="72">
        <v>2</v>
      </c>
      <c r="E207" s="71">
        <v>0</v>
      </c>
    </row>
    <row r="208" spans="2:5" ht="15" customHeight="1">
      <c r="B208" s="114"/>
      <c r="C208" s="58" t="s">
        <v>154</v>
      </c>
      <c r="D208" s="72">
        <v>3</v>
      </c>
      <c r="E208" s="71">
        <v>0</v>
      </c>
    </row>
    <row r="209" spans="2:5" ht="15" customHeight="1">
      <c r="B209" s="114"/>
      <c r="C209" s="58" t="s">
        <v>155</v>
      </c>
      <c r="D209" s="72">
        <v>4</v>
      </c>
      <c r="E209" s="71">
        <v>0</v>
      </c>
    </row>
    <row r="210" spans="2:5" ht="15" customHeight="1">
      <c r="B210" s="114"/>
      <c r="C210" s="58" t="s">
        <v>144</v>
      </c>
      <c r="D210" s="72">
        <v>38</v>
      </c>
      <c r="E210" s="71">
        <v>3.0000000000000001E-3</v>
      </c>
    </row>
    <row r="211" spans="2:5" ht="15" customHeight="1">
      <c r="B211" s="114"/>
      <c r="C211" s="58" t="s">
        <v>156</v>
      </c>
      <c r="D211" s="72">
        <v>2</v>
      </c>
      <c r="E211" s="71">
        <v>0</v>
      </c>
    </row>
    <row r="212" spans="2:5" ht="15" customHeight="1">
      <c r="B212" s="114"/>
      <c r="C212" s="58" t="s">
        <v>145</v>
      </c>
      <c r="D212" s="72">
        <v>6</v>
      </c>
      <c r="E212" s="71">
        <v>1E-3</v>
      </c>
    </row>
    <row r="213" spans="2:5" ht="15" customHeight="1">
      <c r="B213" s="114"/>
      <c r="C213" s="58" t="s">
        <v>146</v>
      </c>
      <c r="D213" s="72">
        <v>4</v>
      </c>
      <c r="E213" s="71">
        <v>0</v>
      </c>
    </row>
    <row r="214" spans="2:5" ht="15" customHeight="1">
      <c r="B214" s="114"/>
      <c r="C214" s="58" t="s">
        <v>147</v>
      </c>
      <c r="D214" s="72">
        <v>9</v>
      </c>
      <c r="E214" s="71">
        <v>1E-3</v>
      </c>
    </row>
    <row r="215" spans="2:5" ht="15" customHeight="1">
      <c r="B215" s="114"/>
      <c r="C215" s="58" t="s">
        <v>148</v>
      </c>
      <c r="D215" s="72">
        <v>17</v>
      </c>
      <c r="E215" s="71">
        <v>1E-3</v>
      </c>
    </row>
    <row r="216" spans="2:5" ht="15" customHeight="1">
      <c r="B216" s="114"/>
      <c r="C216" s="58" t="s">
        <v>157</v>
      </c>
      <c r="D216" s="72">
        <v>2</v>
      </c>
      <c r="E216" s="71">
        <v>0</v>
      </c>
    </row>
    <row r="217" spans="2:5" ht="15" customHeight="1">
      <c r="B217" s="114"/>
      <c r="C217" s="58" t="s">
        <v>149</v>
      </c>
      <c r="D217" s="72">
        <v>2</v>
      </c>
      <c r="E217" s="71">
        <v>0</v>
      </c>
    </row>
    <row r="218" spans="2:5" ht="15" customHeight="1">
      <c r="B218" s="114"/>
      <c r="C218" s="58" t="s">
        <v>158</v>
      </c>
      <c r="D218" s="72">
        <v>2</v>
      </c>
      <c r="E218" s="71">
        <v>0</v>
      </c>
    </row>
    <row r="219" spans="2:5" ht="15" customHeight="1">
      <c r="B219" s="114"/>
      <c r="C219" s="58" t="s">
        <v>150</v>
      </c>
      <c r="D219" s="72">
        <v>5</v>
      </c>
      <c r="E219" s="71">
        <v>0</v>
      </c>
    </row>
    <row r="220" spans="2:5" ht="15" customHeight="1">
      <c r="B220" s="114"/>
      <c r="C220" s="58" t="s">
        <v>151</v>
      </c>
      <c r="D220" s="72">
        <v>1</v>
      </c>
      <c r="E220" s="71">
        <v>0</v>
      </c>
    </row>
    <row r="221" spans="2:5" ht="15" customHeight="1">
      <c r="B221" s="114"/>
      <c r="C221" s="58" t="s">
        <v>159</v>
      </c>
      <c r="D221" s="72">
        <v>4</v>
      </c>
      <c r="E221" s="71">
        <v>0</v>
      </c>
    </row>
    <row r="222" spans="2:5" ht="15" customHeight="1">
      <c r="B222" s="115"/>
      <c r="C222" s="73" t="s">
        <v>267</v>
      </c>
      <c r="D222" s="78">
        <v>122</v>
      </c>
      <c r="E222" s="75">
        <v>0.01</v>
      </c>
    </row>
    <row r="223" spans="2:5" ht="15" customHeight="1">
      <c r="B223" s="113" t="s">
        <v>84</v>
      </c>
      <c r="C223" s="58" t="s">
        <v>142</v>
      </c>
      <c r="D223" s="72">
        <v>4</v>
      </c>
      <c r="E223" s="71">
        <v>0</v>
      </c>
    </row>
    <row r="224" spans="2:5" ht="15" customHeight="1">
      <c r="B224" s="114"/>
      <c r="C224" s="58" t="s">
        <v>152</v>
      </c>
      <c r="D224" s="72">
        <v>1</v>
      </c>
      <c r="E224" s="71">
        <v>0</v>
      </c>
    </row>
    <row r="225" spans="2:5" ht="15" customHeight="1">
      <c r="B225" s="114"/>
      <c r="C225" s="58" t="s">
        <v>144</v>
      </c>
      <c r="D225" s="72">
        <v>7</v>
      </c>
      <c r="E225" s="71">
        <v>1E-3</v>
      </c>
    </row>
    <row r="226" spans="2:5" ht="15" customHeight="1">
      <c r="B226" s="114"/>
      <c r="C226" s="58" t="s">
        <v>241</v>
      </c>
      <c r="D226" s="72">
        <v>1</v>
      </c>
      <c r="E226" s="71">
        <v>0</v>
      </c>
    </row>
    <row r="227" spans="2:5" ht="15" customHeight="1">
      <c r="B227" s="114"/>
      <c r="C227" s="58" t="s">
        <v>147</v>
      </c>
      <c r="D227" s="72">
        <v>2</v>
      </c>
      <c r="E227" s="71">
        <v>0</v>
      </c>
    </row>
    <row r="228" spans="2:5" ht="15" customHeight="1">
      <c r="B228" s="114"/>
      <c r="C228" s="58" t="s">
        <v>148</v>
      </c>
      <c r="D228" s="72">
        <v>2</v>
      </c>
      <c r="E228" s="71">
        <v>0</v>
      </c>
    </row>
    <row r="229" spans="2:5" ht="15" customHeight="1">
      <c r="B229" s="114"/>
      <c r="C229" s="58" t="s">
        <v>149</v>
      </c>
      <c r="D229" s="72">
        <v>1</v>
      </c>
      <c r="E229" s="71">
        <v>0</v>
      </c>
    </row>
    <row r="230" spans="2:5" ht="15" customHeight="1">
      <c r="B230" s="114"/>
      <c r="C230" s="58" t="s">
        <v>150</v>
      </c>
      <c r="D230" s="72">
        <v>2</v>
      </c>
      <c r="E230" s="71">
        <v>0</v>
      </c>
    </row>
    <row r="231" spans="2:5" ht="15" customHeight="1">
      <c r="B231" s="114"/>
      <c r="C231" s="58" t="s">
        <v>151</v>
      </c>
      <c r="D231" s="72">
        <v>2</v>
      </c>
      <c r="E231" s="71">
        <v>0</v>
      </c>
    </row>
    <row r="232" spans="2:5" ht="15" customHeight="1">
      <c r="B232" s="114"/>
      <c r="C232" s="58" t="s">
        <v>159</v>
      </c>
      <c r="D232" s="72">
        <v>1</v>
      </c>
      <c r="E232" s="71">
        <v>0</v>
      </c>
    </row>
    <row r="233" spans="2:5" ht="15" customHeight="1">
      <c r="B233" s="115"/>
      <c r="C233" s="73" t="s">
        <v>267</v>
      </c>
      <c r="D233" s="78">
        <v>23</v>
      </c>
      <c r="E233" s="75">
        <v>2E-3</v>
      </c>
    </row>
    <row r="234" spans="2:5" ht="15" customHeight="1">
      <c r="B234" s="113" t="s">
        <v>66</v>
      </c>
      <c r="C234" s="58" t="s">
        <v>142</v>
      </c>
      <c r="D234" s="72">
        <v>26</v>
      </c>
      <c r="E234" s="71">
        <v>2E-3</v>
      </c>
    </row>
    <row r="235" spans="2:5" ht="15" customHeight="1">
      <c r="B235" s="114"/>
      <c r="C235" s="58" t="s">
        <v>143</v>
      </c>
      <c r="D235" s="72">
        <v>3</v>
      </c>
      <c r="E235" s="71">
        <v>0</v>
      </c>
    </row>
    <row r="236" spans="2:5" ht="15" customHeight="1">
      <c r="B236" s="114"/>
      <c r="C236" s="58" t="s">
        <v>153</v>
      </c>
      <c r="D236" s="72">
        <v>6</v>
      </c>
      <c r="E236" s="71">
        <v>1E-3</v>
      </c>
    </row>
    <row r="237" spans="2:5" ht="15" customHeight="1">
      <c r="B237" s="114"/>
      <c r="C237" s="58" t="s">
        <v>144</v>
      </c>
      <c r="D237" s="72">
        <v>23</v>
      </c>
      <c r="E237" s="71">
        <v>2E-3</v>
      </c>
    </row>
    <row r="238" spans="2:5" ht="15" customHeight="1">
      <c r="B238" s="114"/>
      <c r="C238" s="58" t="s">
        <v>241</v>
      </c>
      <c r="D238" s="72">
        <v>2</v>
      </c>
      <c r="E238" s="71">
        <v>0</v>
      </c>
    </row>
    <row r="239" spans="2:5" ht="15" customHeight="1">
      <c r="B239" s="114"/>
      <c r="C239" s="58" t="s">
        <v>156</v>
      </c>
      <c r="D239" s="72">
        <v>8</v>
      </c>
      <c r="E239" s="71">
        <v>1E-3</v>
      </c>
    </row>
    <row r="240" spans="2:5" ht="15" customHeight="1">
      <c r="B240" s="114"/>
      <c r="C240" s="58" t="s">
        <v>146</v>
      </c>
      <c r="D240" s="72">
        <v>4</v>
      </c>
      <c r="E240" s="71">
        <v>0</v>
      </c>
    </row>
    <row r="241" spans="2:5" ht="15" customHeight="1">
      <c r="B241" s="114"/>
      <c r="C241" s="58" t="s">
        <v>147</v>
      </c>
      <c r="D241" s="72">
        <v>13</v>
      </c>
      <c r="E241" s="71">
        <v>1E-3</v>
      </c>
    </row>
    <row r="242" spans="2:5" ht="15" customHeight="1">
      <c r="B242" s="114"/>
      <c r="C242" s="58" t="s">
        <v>148</v>
      </c>
      <c r="D242" s="72">
        <v>9</v>
      </c>
      <c r="E242" s="71">
        <v>1E-3</v>
      </c>
    </row>
    <row r="243" spans="2:5" ht="15" customHeight="1">
      <c r="B243" s="114"/>
      <c r="C243" s="58" t="s">
        <v>158</v>
      </c>
      <c r="D243" s="72">
        <v>1</v>
      </c>
      <c r="E243" s="71">
        <v>0</v>
      </c>
    </row>
    <row r="244" spans="2:5" ht="15" customHeight="1">
      <c r="B244" s="114"/>
      <c r="C244" s="58" t="s">
        <v>150</v>
      </c>
      <c r="D244" s="72">
        <v>3</v>
      </c>
      <c r="E244" s="71">
        <v>0</v>
      </c>
    </row>
    <row r="245" spans="2:5" ht="15" customHeight="1">
      <c r="B245" s="114"/>
      <c r="C245" s="58" t="s">
        <v>159</v>
      </c>
      <c r="D245" s="72">
        <v>6</v>
      </c>
      <c r="E245" s="71">
        <v>1E-3</v>
      </c>
    </row>
    <row r="246" spans="2:5" ht="15" customHeight="1">
      <c r="B246" s="115"/>
      <c r="C246" s="73" t="s">
        <v>267</v>
      </c>
      <c r="D246" s="78">
        <v>104</v>
      </c>
      <c r="E246" s="75">
        <v>8.9999999999999993E-3</v>
      </c>
    </row>
    <row r="247" spans="2:5" ht="15" customHeight="1">
      <c r="B247" s="113" t="s">
        <v>93</v>
      </c>
      <c r="C247" s="58" t="s">
        <v>142</v>
      </c>
      <c r="D247" s="72">
        <v>2</v>
      </c>
      <c r="E247" s="71">
        <v>0</v>
      </c>
    </row>
    <row r="248" spans="2:5" ht="15" customHeight="1">
      <c r="B248" s="114"/>
      <c r="C248" s="58" t="s">
        <v>144</v>
      </c>
      <c r="D248" s="72">
        <v>5</v>
      </c>
      <c r="E248" s="71">
        <v>0</v>
      </c>
    </row>
    <row r="249" spans="2:5" ht="15" customHeight="1">
      <c r="B249" s="114"/>
      <c r="C249" s="58" t="s">
        <v>145</v>
      </c>
      <c r="D249" s="72">
        <v>1</v>
      </c>
      <c r="E249" s="71">
        <v>0</v>
      </c>
    </row>
    <row r="250" spans="2:5" ht="15" customHeight="1">
      <c r="B250" s="114"/>
      <c r="C250" s="58" t="s">
        <v>147</v>
      </c>
      <c r="D250" s="72">
        <v>5</v>
      </c>
      <c r="E250" s="71">
        <v>0</v>
      </c>
    </row>
    <row r="251" spans="2:5" ht="15" customHeight="1">
      <c r="B251" s="114"/>
      <c r="C251" s="58" t="s">
        <v>148</v>
      </c>
      <c r="D251" s="72">
        <v>1</v>
      </c>
      <c r="E251" s="71">
        <v>0</v>
      </c>
    </row>
    <row r="252" spans="2:5" ht="15" customHeight="1">
      <c r="B252" s="115"/>
      <c r="C252" s="73" t="s">
        <v>267</v>
      </c>
      <c r="D252" s="78">
        <v>14</v>
      </c>
      <c r="E252" s="75">
        <v>1E-3</v>
      </c>
    </row>
    <row r="253" spans="2:5" ht="15" customHeight="1">
      <c r="B253" s="113" t="s">
        <v>52</v>
      </c>
      <c r="C253" s="58" t="s">
        <v>142</v>
      </c>
      <c r="D253" s="72">
        <v>49</v>
      </c>
      <c r="E253" s="71">
        <v>4.0000000000000001E-3</v>
      </c>
    </row>
    <row r="254" spans="2:5" ht="15" customHeight="1">
      <c r="B254" s="114"/>
      <c r="C254" s="58" t="s">
        <v>152</v>
      </c>
      <c r="D254" s="72">
        <v>15</v>
      </c>
      <c r="E254" s="71">
        <v>1E-3</v>
      </c>
    </row>
    <row r="255" spans="2:5" ht="15" customHeight="1">
      <c r="B255" s="114"/>
      <c r="C255" s="58" t="s">
        <v>143</v>
      </c>
      <c r="D255" s="72">
        <v>10</v>
      </c>
      <c r="E255" s="71">
        <v>1E-3</v>
      </c>
    </row>
    <row r="256" spans="2:5" ht="15" customHeight="1">
      <c r="B256" s="114"/>
      <c r="C256" s="58" t="s">
        <v>153</v>
      </c>
      <c r="D256" s="72">
        <v>9</v>
      </c>
      <c r="E256" s="71">
        <v>1E-3</v>
      </c>
    </row>
    <row r="257" spans="2:5" ht="15" customHeight="1">
      <c r="B257" s="114"/>
      <c r="C257" s="58" t="s">
        <v>154</v>
      </c>
      <c r="D257" s="72">
        <v>1</v>
      </c>
      <c r="E257" s="71">
        <v>0</v>
      </c>
    </row>
    <row r="258" spans="2:5" ht="15" customHeight="1">
      <c r="B258" s="114"/>
      <c r="C258" s="58" t="s">
        <v>155</v>
      </c>
      <c r="D258" s="72">
        <v>6</v>
      </c>
      <c r="E258" s="71">
        <v>1E-3</v>
      </c>
    </row>
    <row r="259" spans="2:5" ht="15" customHeight="1">
      <c r="B259" s="114"/>
      <c r="C259" s="58" t="s">
        <v>144</v>
      </c>
      <c r="D259" s="72">
        <v>159</v>
      </c>
      <c r="E259" s="71">
        <v>1.2999999999999999E-2</v>
      </c>
    </row>
    <row r="260" spans="2:5" ht="15" customHeight="1">
      <c r="B260" s="114"/>
      <c r="C260" s="58" t="s">
        <v>241</v>
      </c>
      <c r="D260" s="72">
        <v>29</v>
      </c>
      <c r="E260" s="71">
        <v>2E-3</v>
      </c>
    </row>
    <row r="261" spans="2:5" ht="15" customHeight="1">
      <c r="B261" s="114"/>
      <c r="C261" s="58" t="s">
        <v>156</v>
      </c>
      <c r="D261" s="72">
        <v>16</v>
      </c>
      <c r="E261" s="71">
        <v>1E-3</v>
      </c>
    </row>
    <row r="262" spans="2:5" ht="15" customHeight="1">
      <c r="B262" s="114"/>
      <c r="C262" s="58" t="s">
        <v>145</v>
      </c>
      <c r="D262" s="72">
        <v>5</v>
      </c>
      <c r="E262" s="71">
        <v>0</v>
      </c>
    </row>
    <row r="263" spans="2:5" ht="15" customHeight="1">
      <c r="B263" s="114"/>
      <c r="C263" s="58" t="s">
        <v>146</v>
      </c>
      <c r="D263" s="72">
        <v>13</v>
      </c>
      <c r="E263" s="71">
        <v>1E-3</v>
      </c>
    </row>
    <row r="264" spans="2:5" ht="15" customHeight="1">
      <c r="B264" s="114"/>
      <c r="C264" s="58" t="s">
        <v>147</v>
      </c>
      <c r="D264" s="72">
        <v>58</v>
      </c>
      <c r="E264" s="71">
        <v>5.0000000000000001E-3</v>
      </c>
    </row>
    <row r="265" spans="2:5" ht="15" customHeight="1">
      <c r="B265" s="114"/>
      <c r="C265" s="58" t="s">
        <v>148</v>
      </c>
      <c r="D265" s="72">
        <v>47</v>
      </c>
      <c r="E265" s="71">
        <v>4.0000000000000001E-3</v>
      </c>
    </row>
    <row r="266" spans="2:5" ht="15" customHeight="1">
      <c r="B266" s="114"/>
      <c r="C266" s="58" t="s">
        <v>157</v>
      </c>
      <c r="D266" s="72">
        <v>21</v>
      </c>
      <c r="E266" s="71">
        <v>2E-3</v>
      </c>
    </row>
    <row r="267" spans="2:5" ht="15" customHeight="1">
      <c r="B267" s="114"/>
      <c r="C267" s="58" t="s">
        <v>149</v>
      </c>
      <c r="D267" s="72">
        <v>10</v>
      </c>
      <c r="E267" s="71">
        <v>1E-3</v>
      </c>
    </row>
    <row r="268" spans="2:5" ht="15" customHeight="1">
      <c r="B268" s="114"/>
      <c r="C268" s="58" t="s">
        <v>158</v>
      </c>
      <c r="D268" s="72">
        <v>6</v>
      </c>
      <c r="E268" s="71">
        <v>1E-3</v>
      </c>
    </row>
    <row r="269" spans="2:5" ht="15" customHeight="1">
      <c r="B269" s="114"/>
      <c r="C269" s="58" t="s">
        <v>150</v>
      </c>
      <c r="D269" s="72">
        <v>21</v>
      </c>
      <c r="E269" s="71">
        <v>2E-3</v>
      </c>
    </row>
    <row r="270" spans="2:5" ht="15" customHeight="1">
      <c r="B270" s="114"/>
      <c r="C270" s="58" t="s">
        <v>151</v>
      </c>
      <c r="D270" s="72">
        <v>5</v>
      </c>
      <c r="E270" s="71">
        <v>0</v>
      </c>
    </row>
    <row r="271" spans="2:5" ht="15" customHeight="1">
      <c r="B271" s="114"/>
      <c r="C271" s="58" t="s">
        <v>159</v>
      </c>
      <c r="D271" s="72">
        <v>10</v>
      </c>
      <c r="E271" s="71">
        <v>1E-3</v>
      </c>
    </row>
    <row r="272" spans="2:5" ht="15" customHeight="1">
      <c r="B272" s="115"/>
      <c r="C272" s="73" t="s">
        <v>267</v>
      </c>
      <c r="D272" s="78">
        <v>490</v>
      </c>
      <c r="E272" s="75">
        <v>4.1000000000000002E-2</v>
      </c>
    </row>
    <row r="273" spans="2:5" ht="15" customHeight="1">
      <c r="B273" s="113" t="s">
        <v>69</v>
      </c>
      <c r="C273" s="58" t="s">
        <v>142</v>
      </c>
      <c r="D273" s="72">
        <v>6</v>
      </c>
      <c r="E273" s="71">
        <v>1E-3</v>
      </c>
    </row>
    <row r="274" spans="2:5" ht="15" customHeight="1">
      <c r="B274" s="114"/>
      <c r="C274" s="58" t="s">
        <v>152</v>
      </c>
      <c r="D274" s="72">
        <v>1</v>
      </c>
      <c r="E274" s="71">
        <v>0</v>
      </c>
    </row>
    <row r="275" spans="2:5" ht="15" customHeight="1">
      <c r="B275" s="114"/>
      <c r="C275" s="58" t="s">
        <v>143</v>
      </c>
      <c r="D275" s="72">
        <v>2</v>
      </c>
      <c r="E275" s="71">
        <v>0</v>
      </c>
    </row>
    <row r="276" spans="2:5" ht="15" customHeight="1">
      <c r="B276" s="114"/>
      <c r="C276" s="58" t="s">
        <v>153</v>
      </c>
      <c r="D276" s="72">
        <v>3</v>
      </c>
      <c r="E276" s="71">
        <v>0</v>
      </c>
    </row>
    <row r="277" spans="2:5" ht="15" customHeight="1">
      <c r="B277" s="114"/>
      <c r="C277" s="58" t="s">
        <v>154</v>
      </c>
      <c r="D277" s="72">
        <v>2</v>
      </c>
      <c r="E277" s="71">
        <v>0</v>
      </c>
    </row>
    <row r="278" spans="2:5" ht="15" customHeight="1">
      <c r="B278" s="114"/>
      <c r="C278" s="58" t="s">
        <v>144</v>
      </c>
      <c r="D278" s="72">
        <v>22</v>
      </c>
      <c r="E278" s="71">
        <v>2E-3</v>
      </c>
    </row>
    <row r="279" spans="2:5" ht="15" customHeight="1">
      <c r="B279" s="114"/>
      <c r="C279" s="58" t="s">
        <v>156</v>
      </c>
      <c r="D279" s="72">
        <v>3</v>
      </c>
      <c r="E279" s="71">
        <v>0</v>
      </c>
    </row>
    <row r="280" spans="2:5" ht="15" customHeight="1">
      <c r="B280" s="114"/>
      <c r="C280" s="58" t="s">
        <v>145</v>
      </c>
      <c r="D280" s="72">
        <v>2</v>
      </c>
      <c r="E280" s="71">
        <v>0</v>
      </c>
    </row>
    <row r="281" spans="2:5" ht="15" customHeight="1">
      <c r="B281" s="114"/>
      <c r="C281" s="58" t="s">
        <v>146</v>
      </c>
      <c r="D281" s="72">
        <v>3</v>
      </c>
      <c r="E281" s="71">
        <v>0</v>
      </c>
    </row>
    <row r="282" spans="2:5" ht="15" customHeight="1">
      <c r="B282" s="114"/>
      <c r="C282" s="58" t="s">
        <v>147</v>
      </c>
      <c r="D282" s="72">
        <v>9</v>
      </c>
      <c r="E282" s="71">
        <v>1E-3</v>
      </c>
    </row>
    <row r="283" spans="2:5" ht="15" customHeight="1">
      <c r="B283" s="114"/>
      <c r="C283" s="58" t="s">
        <v>148</v>
      </c>
      <c r="D283" s="72">
        <v>10</v>
      </c>
      <c r="E283" s="71">
        <v>1E-3</v>
      </c>
    </row>
    <row r="284" spans="2:5" ht="15" customHeight="1">
      <c r="B284" s="114"/>
      <c r="C284" s="58" t="s">
        <v>149</v>
      </c>
      <c r="D284" s="72">
        <v>4</v>
      </c>
      <c r="E284" s="71">
        <v>0</v>
      </c>
    </row>
    <row r="285" spans="2:5" ht="15" customHeight="1">
      <c r="B285" s="114"/>
      <c r="C285" s="58" t="s">
        <v>158</v>
      </c>
      <c r="D285" s="72">
        <v>2</v>
      </c>
      <c r="E285" s="71">
        <v>0</v>
      </c>
    </row>
    <row r="286" spans="2:5" ht="15" customHeight="1">
      <c r="B286" s="114"/>
      <c r="C286" s="58" t="s">
        <v>150</v>
      </c>
      <c r="D286" s="72">
        <v>1</v>
      </c>
      <c r="E286" s="71">
        <v>0</v>
      </c>
    </row>
    <row r="287" spans="2:5" ht="15" customHeight="1">
      <c r="B287" s="114"/>
      <c r="C287" s="58" t="s">
        <v>151</v>
      </c>
      <c r="D287" s="72">
        <v>3</v>
      </c>
      <c r="E287" s="71">
        <v>0</v>
      </c>
    </row>
    <row r="288" spans="2:5" ht="15" customHeight="1">
      <c r="B288" s="114"/>
      <c r="C288" s="58" t="s">
        <v>159</v>
      </c>
      <c r="D288" s="72">
        <v>1</v>
      </c>
      <c r="E288" s="71">
        <v>0</v>
      </c>
    </row>
    <row r="289" spans="2:5" ht="15" customHeight="1">
      <c r="B289" s="115"/>
      <c r="C289" s="73" t="s">
        <v>267</v>
      </c>
      <c r="D289" s="78">
        <v>74</v>
      </c>
      <c r="E289" s="75">
        <v>6.0000000000000001E-3</v>
      </c>
    </row>
    <row r="290" spans="2:5" ht="15" customHeight="1">
      <c r="B290" s="113" t="s">
        <v>47</v>
      </c>
      <c r="C290" s="58" t="s">
        <v>142</v>
      </c>
      <c r="D290" s="72">
        <v>171</v>
      </c>
      <c r="E290" s="71">
        <v>1.4E-2</v>
      </c>
    </row>
    <row r="291" spans="2:5" ht="15" customHeight="1">
      <c r="B291" s="114"/>
      <c r="C291" s="58" t="s">
        <v>152</v>
      </c>
      <c r="D291" s="72">
        <v>25</v>
      </c>
      <c r="E291" s="71">
        <v>2E-3</v>
      </c>
    </row>
    <row r="292" spans="2:5" ht="15" customHeight="1">
      <c r="B292" s="114"/>
      <c r="C292" s="58" t="s">
        <v>143</v>
      </c>
      <c r="D292" s="72">
        <v>143</v>
      </c>
      <c r="E292" s="71">
        <v>1.2E-2</v>
      </c>
    </row>
    <row r="293" spans="2:5" ht="15" customHeight="1">
      <c r="B293" s="114"/>
      <c r="C293" s="58" t="s">
        <v>153</v>
      </c>
      <c r="D293" s="72">
        <v>15</v>
      </c>
      <c r="E293" s="71">
        <v>1E-3</v>
      </c>
    </row>
    <row r="294" spans="2:5" ht="15" customHeight="1">
      <c r="B294" s="114"/>
      <c r="C294" s="58" t="s">
        <v>154</v>
      </c>
      <c r="D294" s="72">
        <v>32</v>
      </c>
      <c r="E294" s="71">
        <v>3.0000000000000001E-3</v>
      </c>
    </row>
    <row r="295" spans="2:5" ht="15" customHeight="1">
      <c r="B295" s="114"/>
      <c r="C295" s="58" t="s">
        <v>155</v>
      </c>
      <c r="D295" s="72">
        <v>98</v>
      </c>
      <c r="E295" s="71">
        <v>8.0000000000000002E-3</v>
      </c>
    </row>
    <row r="296" spans="2:5" ht="15" customHeight="1">
      <c r="B296" s="114"/>
      <c r="C296" s="58" t="s">
        <v>144</v>
      </c>
      <c r="D296" s="72">
        <v>735</v>
      </c>
      <c r="E296" s="71">
        <v>6.0999999999999999E-2</v>
      </c>
    </row>
    <row r="297" spans="2:5" ht="15" customHeight="1">
      <c r="B297" s="114"/>
      <c r="C297" s="58" t="s">
        <v>241</v>
      </c>
      <c r="D297" s="72">
        <v>5</v>
      </c>
      <c r="E297" s="71">
        <v>0</v>
      </c>
    </row>
    <row r="298" spans="2:5" ht="15" customHeight="1">
      <c r="B298" s="114"/>
      <c r="C298" s="58" t="s">
        <v>156</v>
      </c>
      <c r="D298" s="72">
        <v>54</v>
      </c>
      <c r="E298" s="71">
        <v>5.0000000000000001E-3</v>
      </c>
    </row>
    <row r="299" spans="2:5" ht="15" customHeight="1">
      <c r="B299" s="114"/>
      <c r="C299" s="58" t="s">
        <v>145</v>
      </c>
      <c r="D299" s="72">
        <v>56</v>
      </c>
      <c r="E299" s="71">
        <v>5.0000000000000001E-3</v>
      </c>
    </row>
    <row r="300" spans="2:5" ht="15" customHeight="1">
      <c r="B300" s="114"/>
      <c r="C300" s="58" t="s">
        <v>146</v>
      </c>
      <c r="D300" s="72">
        <v>86</v>
      </c>
      <c r="E300" s="71">
        <v>7.0000000000000001E-3</v>
      </c>
    </row>
    <row r="301" spans="2:5" ht="15" customHeight="1">
      <c r="B301" s="114"/>
      <c r="C301" s="58" t="s">
        <v>147</v>
      </c>
      <c r="D301" s="72">
        <v>176</v>
      </c>
      <c r="E301" s="71">
        <v>1.4999999999999999E-2</v>
      </c>
    </row>
    <row r="302" spans="2:5" ht="15" customHeight="1">
      <c r="B302" s="114"/>
      <c r="C302" s="58" t="s">
        <v>148</v>
      </c>
      <c r="D302" s="72">
        <v>252</v>
      </c>
      <c r="E302" s="71">
        <v>2.1000000000000001E-2</v>
      </c>
    </row>
    <row r="303" spans="2:5" ht="15" customHeight="1">
      <c r="B303" s="114"/>
      <c r="C303" s="58" t="s">
        <v>157</v>
      </c>
      <c r="D303" s="72">
        <v>144</v>
      </c>
      <c r="E303" s="71">
        <v>1.2E-2</v>
      </c>
    </row>
    <row r="304" spans="2:5" ht="15" customHeight="1">
      <c r="B304" s="114"/>
      <c r="C304" s="58" t="s">
        <v>149</v>
      </c>
      <c r="D304" s="72">
        <v>37</v>
      </c>
      <c r="E304" s="71">
        <v>3.0000000000000001E-3</v>
      </c>
    </row>
    <row r="305" spans="2:5" ht="15" customHeight="1">
      <c r="B305" s="114"/>
      <c r="C305" s="58" t="s">
        <v>158</v>
      </c>
      <c r="D305" s="72">
        <v>70</v>
      </c>
      <c r="E305" s="71">
        <v>6.0000000000000001E-3</v>
      </c>
    </row>
    <row r="306" spans="2:5" ht="15" customHeight="1">
      <c r="B306" s="114"/>
      <c r="C306" s="58" t="s">
        <v>150</v>
      </c>
      <c r="D306" s="72">
        <v>58</v>
      </c>
      <c r="E306" s="71">
        <v>5.0000000000000001E-3</v>
      </c>
    </row>
    <row r="307" spans="2:5" ht="15" customHeight="1">
      <c r="B307" s="114"/>
      <c r="C307" s="58" t="s">
        <v>151</v>
      </c>
      <c r="D307" s="72">
        <v>52</v>
      </c>
      <c r="E307" s="71">
        <v>4.0000000000000001E-3</v>
      </c>
    </row>
    <row r="308" spans="2:5" ht="15" customHeight="1">
      <c r="B308" s="114"/>
      <c r="C308" s="58" t="s">
        <v>159</v>
      </c>
      <c r="D308" s="72">
        <v>103</v>
      </c>
      <c r="E308" s="71">
        <v>8.9999999999999993E-3</v>
      </c>
    </row>
    <row r="309" spans="2:5" ht="15" customHeight="1">
      <c r="B309" s="115"/>
      <c r="C309" s="73" t="s">
        <v>267</v>
      </c>
      <c r="D309" s="78">
        <v>2312</v>
      </c>
      <c r="E309" s="75">
        <v>0.193</v>
      </c>
    </row>
    <row r="310" spans="2:5" ht="15" customHeight="1">
      <c r="B310" s="113" t="s">
        <v>81</v>
      </c>
      <c r="C310" s="58" t="s">
        <v>142</v>
      </c>
      <c r="D310" s="72">
        <v>8</v>
      </c>
      <c r="E310" s="71">
        <v>1E-3</v>
      </c>
    </row>
    <row r="311" spans="2:5" ht="15" customHeight="1">
      <c r="B311" s="114"/>
      <c r="C311" s="58" t="s">
        <v>143</v>
      </c>
      <c r="D311" s="72">
        <v>2</v>
      </c>
      <c r="E311" s="71">
        <v>0</v>
      </c>
    </row>
    <row r="312" spans="2:5" ht="15" customHeight="1">
      <c r="B312" s="114"/>
      <c r="C312" s="58" t="s">
        <v>154</v>
      </c>
      <c r="D312" s="72">
        <v>1</v>
      </c>
      <c r="E312" s="71">
        <v>0</v>
      </c>
    </row>
    <row r="313" spans="2:5" ht="15" customHeight="1">
      <c r="B313" s="114"/>
      <c r="C313" s="58" t="s">
        <v>144</v>
      </c>
      <c r="D313" s="72">
        <v>10</v>
      </c>
      <c r="E313" s="71">
        <v>1E-3</v>
      </c>
    </row>
    <row r="314" spans="2:5" ht="15" customHeight="1">
      <c r="B314" s="114"/>
      <c r="C314" s="58" t="s">
        <v>156</v>
      </c>
      <c r="D314" s="72">
        <v>1</v>
      </c>
      <c r="E314" s="71">
        <v>0</v>
      </c>
    </row>
    <row r="315" spans="2:5" ht="15" customHeight="1">
      <c r="B315" s="114"/>
      <c r="C315" s="58" t="s">
        <v>146</v>
      </c>
      <c r="D315" s="72">
        <v>2</v>
      </c>
      <c r="E315" s="71">
        <v>0</v>
      </c>
    </row>
    <row r="316" spans="2:5" ht="15" customHeight="1">
      <c r="B316" s="114"/>
      <c r="C316" s="58" t="s">
        <v>147</v>
      </c>
      <c r="D316" s="72">
        <v>2</v>
      </c>
      <c r="E316" s="71">
        <v>0</v>
      </c>
    </row>
    <row r="317" spans="2:5" ht="15" customHeight="1">
      <c r="B317" s="114"/>
      <c r="C317" s="58" t="s">
        <v>148</v>
      </c>
      <c r="D317" s="72">
        <v>9</v>
      </c>
      <c r="E317" s="71">
        <v>1E-3</v>
      </c>
    </row>
    <row r="318" spans="2:5" ht="15" customHeight="1">
      <c r="B318" s="114"/>
      <c r="C318" s="58" t="s">
        <v>149</v>
      </c>
      <c r="D318" s="72">
        <v>1</v>
      </c>
      <c r="E318" s="71">
        <v>0</v>
      </c>
    </row>
    <row r="319" spans="2:5" ht="15" customHeight="1">
      <c r="B319" s="114"/>
      <c r="C319" s="58" t="s">
        <v>150</v>
      </c>
      <c r="D319" s="72">
        <v>1</v>
      </c>
      <c r="E319" s="71">
        <v>0</v>
      </c>
    </row>
    <row r="320" spans="2:5" ht="15" customHeight="1">
      <c r="B320" s="115"/>
      <c r="C320" s="73" t="s">
        <v>267</v>
      </c>
      <c r="D320" s="78">
        <v>37</v>
      </c>
      <c r="E320" s="75">
        <v>3.0000000000000001E-3</v>
      </c>
    </row>
    <row r="321" spans="2:5" ht="15" customHeight="1">
      <c r="B321" s="113" t="s">
        <v>82</v>
      </c>
      <c r="C321" s="58" t="s">
        <v>142</v>
      </c>
      <c r="D321" s="72">
        <v>4</v>
      </c>
      <c r="E321" s="71">
        <v>0</v>
      </c>
    </row>
    <row r="322" spans="2:5" ht="15" customHeight="1">
      <c r="B322" s="114"/>
      <c r="C322" s="58" t="s">
        <v>152</v>
      </c>
      <c r="D322" s="72">
        <v>1</v>
      </c>
      <c r="E322" s="71">
        <v>0</v>
      </c>
    </row>
    <row r="323" spans="2:5" ht="15" customHeight="1">
      <c r="B323" s="114"/>
      <c r="C323" s="58" t="s">
        <v>153</v>
      </c>
      <c r="D323" s="72">
        <v>1</v>
      </c>
      <c r="E323" s="71">
        <v>0</v>
      </c>
    </row>
    <row r="324" spans="2:5" ht="15" customHeight="1">
      <c r="B324" s="114"/>
      <c r="C324" s="58" t="s">
        <v>144</v>
      </c>
      <c r="D324" s="72">
        <v>8</v>
      </c>
      <c r="E324" s="71">
        <v>1E-3</v>
      </c>
    </row>
    <row r="325" spans="2:5" ht="15" customHeight="1">
      <c r="B325" s="114"/>
      <c r="C325" s="58" t="s">
        <v>241</v>
      </c>
      <c r="D325" s="72">
        <v>2</v>
      </c>
      <c r="E325" s="71">
        <v>0</v>
      </c>
    </row>
    <row r="326" spans="2:5" ht="15" customHeight="1">
      <c r="B326" s="114"/>
      <c r="C326" s="58" t="s">
        <v>145</v>
      </c>
      <c r="D326" s="72">
        <v>1</v>
      </c>
      <c r="E326" s="71">
        <v>0</v>
      </c>
    </row>
    <row r="327" spans="2:5" ht="15" customHeight="1">
      <c r="B327" s="114"/>
      <c r="C327" s="58" t="s">
        <v>147</v>
      </c>
      <c r="D327" s="72">
        <v>6</v>
      </c>
      <c r="E327" s="71">
        <v>1E-3</v>
      </c>
    </row>
    <row r="328" spans="2:5" ht="15" customHeight="1">
      <c r="B328" s="114"/>
      <c r="C328" s="58" t="s">
        <v>148</v>
      </c>
      <c r="D328" s="72">
        <v>5</v>
      </c>
      <c r="E328" s="71">
        <v>0</v>
      </c>
    </row>
    <row r="329" spans="2:5" ht="15" customHeight="1">
      <c r="B329" s="114"/>
      <c r="C329" s="58" t="s">
        <v>149</v>
      </c>
      <c r="D329" s="72">
        <v>1</v>
      </c>
      <c r="E329" s="71">
        <v>0</v>
      </c>
    </row>
    <row r="330" spans="2:5" ht="15" customHeight="1">
      <c r="B330" s="114"/>
      <c r="C330" s="58" t="s">
        <v>151</v>
      </c>
      <c r="D330" s="72">
        <v>2</v>
      </c>
      <c r="E330" s="71">
        <v>0</v>
      </c>
    </row>
    <row r="331" spans="2:5" ht="15" customHeight="1">
      <c r="B331" s="114"/>
      <c r="C331" s="58" t="s">
        <v>159</v>
      </c>
      <c r="D331" s="72">
        <v>1</v>
      </c>
      <c r="E331" s="71">
        <v>0</v>
      </c>
    </row>
    <row r="332" spans="2:5" ht="15" customHeight="1">
      <c r="B332" s="115"/>
      <c r="C332" s="73" t="s">
        <v>267</v>
      </c>
      <c r="D332" s="78">
        <v>32</v>
      </c>
      <c r="E332" s="75">
        <v>3.0000000000000001E-3</v>
      </c>
    </row>
    <row r="333" spans="2:5" ht="15" customHeight="1">
      <c r="B333" s="113" t="s">
        <v>87</v>
      </c>
      <c r="C333" s="58" t="s">
        <v>142</v>
      </c>
      <c r="D333" s="72">
        <v>2</v>
      </c>
      <c r="E333" s="71">
        <v>0</v>
      </c>
    </row>
    <row r="334" spans="2:5" ht="15" customHeight="1">
      <c r="B334" s="114"/>
      <c r="C334" s="58" t="s">
        <v>152</v>
      </c>
      <c r="D334" s="72">
        <v>1</v>
      </c>
      <c r="E334" s="71">
        <v>0</v>
      </c>
    </row>
    <row r="335" spans="2:5" ht="15" customHeight="1">
      <c r="B335" s="114"/>
      <c r="C335" s="58" t="s">
        <v>143</v>
      </c>
      <c r="D335" s="72">
        <v>1</v>
      </c>
      <c r="E335" s="71">
        <v>0</v>
      </c>
    </row>
    <row r="336" spans="2:5" ht="15" customHeight="1">
      <c r="B336" s="114"/>
      <c r="C336" s="58" t="s">
        <v>153</v>
      </c>
      <c r="D336" s="72">
        <v>1</v>
      </c>
      <c r="E336" s="71">
        <v>0</v>
      </c>
    </row>
    <row r="337" spans="2:5" ht="15" customHeight="1">
      <c r="B337" s="114"/>
      <c r="C337" s="58" t="s">
        <v>144</v>
      </c>
      <c r="D337" s="72">
        <v>12</v>
      </c>
      <c r="E337" s="71">
        <v>1E-3</v>
      </c>
    </row>
    <row r="338" spans="2:5" ht="15" customHeight="1">
      <c r="B338" s="114"/>
      <c r="C338" s="58" t="s">
        <v>241</v>
      </c>
      <c r="D338" s="72">
        <v>1</v>
      </c>
      <c r="E338" s="71">
        <v>0</v>
      </c>
    </row>
    <row r="339" spans="2:5" ht="15" customHeight="1">
      <c r="B339" s="114"/>
      <c r="C339" s="58" t="s">
        <v>156</v>
      </c>
      <c r="D339" s="72">
        <v>1</v>
      </c>
      <c r="E339" s="71">
        <v>0</v>
      </c>
    </row>
    <row r="340" spans="2:5" ht="15" customHeight="1">
      <c r="B340" s="114"/>
      <c r="C340" s="58" t="s">
        <v>148</v>
      </c>
      <c r="D340" s="72">
        <v>1</v>
      </c>
      <c r="E340" s="71">
        <v>0</v>
      </c>
    </row>
    <row r="341" spans="2:5" ht="15" customHeight="1">
      <c r="B341" s="114"/>
      <c r="C341" s="58" t="s">
        <v>157</v>
      </c>
      <c r="D341" s="72">
        <v>2</v>
      </c>
      <c r="E341" s="71">
        <v>0</v>
      </c>
    </row>
    <row r="342" spans="2:5" ht="15" customHeight="1">
      <c r="B342" s="114"/>
      <c r="C342" s="58" t="s">
        <v>158</v>
      </c>
      <c r="D342" s="72">
        <v>2</v>
      </c>
      <c r="E342" s="71">
        <v>0</v>
      </c>
    </row>
    <row r="343" spans="2:5" ht="15" customHeight="1">
      <c r="B343" s="115"/>
      <c r="C343" s="73" t="s">
        <v>267</v>
      </c>
      <c r="D343" s="78">
        <v>24</v>
      </c>
      <c r="E343" s="75">
        <v>2E-3</v>
      </c>
    </row>
    <row r="344" spans="2:5" ht="15" customHeight="1">
      <c r="B344" s="113" t="s">
        <v>95</v>
      </c>
      <c r="C344" s="58" t="s">
        <v>142</v>
      </c>
      <c r="D344" s="72">
        <v>3</v>
      </c>
      <c r="E344" s="71">
        <v>0</v>
      </c>
    </row>
    <row r="345" spans="2:5" ht="15" customHeight="1">
      <c r="B345" s="114"/>
      <c r="C345" s="58" t="s">
        <v>144</v>
      </c>
      <c r="D345" s="72">
        <v>10</v>
      </c>
      <c r="E345" s="71">
        <v>1E-3</v>
      </c>
    </row>
    <row r="346" spans="2:5" ht="15" customHeight="1">
      <c r="B346" s="114"/>
      <c r="C346" s="58" t="s">
        <v>156</v>
      </c>
      <c r="D346" s="72">
        <v>1</v>
      </c>
      <c r="E346" s="71">
        <v>0</v>
      </c>
    </row>
    <row r="347" spans="2:5" ht="15" customHeight="1">
      <c r="B347" s="114"/>
      <c r="C347" s="58" t="s">
        <v>149</v>
      </c>
      <c r="D347" s="72">
        <v>3</v>
      </c>
      <c r="E347" s="71">
        <v>0</v>
      </c>
    </row>
    <row r="348" spans="2:5" ht="15" customHeight="1">
      <c r="B348" s="115"/>
      <c r="C348" s="73" t="s">
        <v>267</v>
      </c>
      <c r="D348" s="78">
        <v>17</v>
      </c>
      <c r="E348" s="75">
        <v>1E-3</v>
      </c>
    </row>
    <row r="349" spans="2:5" ht="15" customHeight="1">
      <c r="B349" s="113" t="s">
        <v>90</v>
      </c>
      <c r="C349" s="58" t="s">
        <v>142</v>
      </c>
      <c r="D349" s="72">
        <v>3</v>
      </c>
      <c r="E349" s="71">
        <v>0</v>
      </c>
    </row>
    <row r="350" spans="2:5" ht="15" customHeight="1">
      <c r="B350" s="114"/>
      <c r="C350" s="58" t="s">
        <v>144</v>
      </c>
      <c r="D350" s="72">
        <v>6</v>
      </c>
      <c r="E350" s="71">
        <v>1E-3</v>
      </c>
    </row>
    <row r="351" spans="2:5" ht="15" customHeight="1">
      <c r="B351" s="114"/>
      <c r="C351" s="58" t="s">
        <v>156</v>
      </c>
      <c r="D351" s="72">
        <v>1</v>
      </c>
      <c r="E351" s="71">
        <v>0</v>
      </c>
    </row>
    <row r="352" spans="2:5" ht="15" customHeight="1">
      <c r="B352" s="114"/>
      <c r="C352" s="58" t="s">
        <v>147</v>
      </c>
      <c r="D352" s="72">
        <v>4</v>
      </c>
      <c r="E352" s="71">
        <v>0</v>
      </c>
    </row>
    <row r="353" spans="2:5" ht="15" customHeight="1">
      <c r="B353" s="114"/>
      <c r="C353" s="58" t="s">
        <v>157</v>
      </c>
      <c r="D353" s="72">
        <v>1</v>
      </c>
      <c r="E353" s="71">
        <v>0</v>
      </c>
    </row>
    <row r="354" spans="2:5" ht="15" customHeight="1">
      <c r="B354" s="114"/>
      <c r="C354" s="58" t="s">
        <v>159</v>
      </c>
      <c r="D354" s="72">
        <v>2</v>
      </c>
      <c r="E354" s="71">
        <v>0</v>
      </c>
    </row>
    <row r="355" spans="2:5" ht="15" customHeight="1">
      <c r="B355" s="115"/>
      <c r="C355" s="73" t="s">
        <v>267</v>
      </c>
      <c r="D355" s="78">
        <v>17</v>
      </c>
      <c r="E355" s="75">
        <v>1E-3</v>
      </c>
    </row>
    <row r="356" spans="2:5" ht="15" customHeight="1">
      <c r="B356" s="113" t="s">
        <v>77</v>
      </c>
      <c r="C356" s="58" t="s">
        <v>142</v>
      </c>
      <c r="D356" s="72">
        <v>21</v>
      </c>
      <c r="E356" s="71">
        <v>2E-3</v>
      </c>
    </row>
    <row r="357" spans="2:5" ht="15" customHeight="1">
      <c r="B357" s="114"/>
      <c r="C357" s="58" t="s">
        <v>143</v>
      </c>
      <c r="D357" s="72">
        <v>1</v>
      </c>
      <c r="E357" s="71">
        <v>0</v>
      </c>
    </row>
    <row r="358" spans="2:5" ht="15" customHeight="1">
      <c r="B358" s="114"/>
      <c r="C358" s="58" t="s">
        <v>144</v>
      </c>
      <c r="D358" s="72">
        <v>8</v>
      </c>
      <c r="E358" s="71">
        <v>1E-3</v>
      </c>
    </row>
    <row r="359" spans="2:5" ht="15" customHeight="1">
      <c r="B359" s="114"/>
      <c r="C359" s="58" t="s">
        <v>156</v>
      </c>
      <c r="D359" s="72">
        <v>2</v>
      </c>
      <c r="E359" s="71">
        <v>0</v>
      </c>
    </row>
    <row r="360" spans="2:5" ht="15" customHeight="1">
      <c r="B360" s="114"/>
      <c r="C360" s="58" t="s">
        <v>145</v>
      </c>
      <c r="D360" s="72">
        <v>1</v>
      </c>
      <c r="E360" s="71">
        <v>0</v>
      </c>
    </row>
    <row r="361" spans="2:5" ht="15" customHeight="1">
      <c r="B361" s="114"/>
      <c r="C361" s="58" t="s">
        <v>147</v>
      </c>
      <c r="D361" s="72">
        <v>9</v>
      </c>
      <c r="E361" s="71">
        <v>1E-3</v>
      </c>
    </row>
    <row r="362" spans="2:5" ht="15" customHeight="1">
      <c r="B362" s="114"/>
      <c r="C362" s="58" t="s">
        <v>148</v>
      </c>
      <c r="D362" s="72">
        <v>3</v>
      </c>
      <c r="E362" s="71">
        <v>0</v>
      </c>
    </row>
    <row r="363" spans="2:5" ht="15" customHeight="1">
      <c r="B363" s="114"/>
      <c r="C363" s="58" t="s">
        <v>149</v>
      </c>
      <c r="D363" s="72">
        <v>2</v>
      </c>
      <c r="E363" s="71">
        <v>0</v>
      </c>
    </row>
    <row r="364" spans="2:5" ht="15" customHeight="1">
      <c r="B364" s="115"/>
      <c r="C364" s="73" t="s">
        <v>267</v>
      </c>
      <c r="D364" s="78">
        <v>47</v>
      </c>
      <c r="E364" s="75">
        <v>4.0000000000000001E-3</v>
      </c>
    </row>
    <row r="365" spans="2:5" ht="15" customHeight="1">
      <c r="B365" s="113" t="s">
        <v>80</v>
      </c>
      <c r="C365" s="58" t="s">
        <v>142</v>
      </c>
      <c r="D365" s="72">
        <v>2</v>
      </c>
      <c r="E365" s="71">
        <v>0</v>
      </c>
    </row>
    <row r="366" spans="2:5" ht="15" customHeight="1">
      <c r="B366" s="114"/>
      <c r="C366" s="58" t="s">
        <v>144</v>
      </c>
      <c r="D366" s="72">
        <v>13</v>
      </c>
      <c r="E366" s="71">
        <v>1E-3</v>
      </c>
    </row>
    <row r="367" spans="2:5" ht="15" customHeight="1">
      <c r="B367" s="114"/>
      <c r="C367" s="58" t="s">
        <v>145</v>
      </c>
      <c r="D367" s="72">
        <v>1</v>
      </c>
      <c r="E367" s="71">
        <v>0</v>
      </c>
    </row>
    <row r="368" spans="2:5" ht="15" customHeight="1">
      <c r="B368" s="114"/>
      <c r="C368" s="58" t="s">
        <v>146</v>
      </c>
      <c r="D368" s="72">
        <v>1</v>
      </c>
      <c r="E368" s="71">
        <v>0</v>
      </c>
    </row>
    <row r="369" spans="2:5" ht="15" customHeight="1">
      <c r="B369" s="114"/>
      <c r="C369" s="58" t="s">
        <v>147</v>
      </c>
      <c r="D369" s="72">
        <v>1</v>
      </c>
      <c r="E369" s="71">
        <v>0</v>
      </c>
    </row>
    <row r="370" spans="2:5" ht="15" customHeight="1">
      <c r="B370" s="114"/>
      <c r="C370" s="58" t="s">
        <v>148</v>
      </c>
      <c r="D370" s="72">
        <v>3</v>
      </c>
      <c r="E370" s="71">
        <v>0</v>
      </c>
    </row>
    <row r="371" spans="2:5" ht="15" customHeight="1">
      <c r="B371" s="114"/>
      <c r="C371" s="58" t="s">
        <v>157</v>
      </c>
      <c r="D371" s="72">
        <v>1</v>
      </c>
      <c r="E371" s="71">
        <v>0</v>
      </c>
    </row>
    <row r="372" spans="2:5" ht="15" customHeight="1">
      <c r="B372" s="114"/>
      <c r="C372" s="58" t="s">
        <v>149</v>
      </c>
      <c r="D372" s="72">
        <v>6</v>
      </c>
      <c r="E372" s="71">
        <v>1E-3</v>
      </c>
    </row>
    <row r="373" spans="2:5" ht="15" customHeight="1">
      <c r="B373" s="114"/>
      <c r="C373" s="58" t="s">
        <v>158</v>
      </c>
      <c r="D373" s="72">
        <v>1</v>
      </c>
      <c r="E373" s="71">
        <v>0</v>
      </c>
    </row>
    <row r="374" spans="2:5" ht="15" customHeight="1">
      <c r="B374" s="114"/>
      <c r="C374" s="58" t="s">
        <v>150</v>
      </c>
      <c r="D374" s="72">
        <v>1</v>
      </c>
      <c r="E374" s="71">
        <v>0</v>
      </c>
    </row>
    <row r="375" spans="2:5" ht="15" customHeight="1">
      <c r="B375" s="114"/>
      <c r="C375" s="58" t="s">
        <v>151</v>
      </c>
      <c r="D375" s="72">
        <v>1</v>
      </c>
      <c r="E375" s="71">
        <v>0</v>
      </c>
    </row>
    <row r="376" spans="2:5" ht="15" customHeight="1">
      <c r="B376" s="114"/>
      <c r="C376" s="58" t="s">
        <v>159</v>
      </c>
      <c r="D376" s="72">
        <v>3</v>
      </c>
      <c r="E376" s="71">
        <v>0</v>
      </c>
    </row>
    <row r="377" spans="2:5" ht="15" customHeight="1">
      <c r="B377" s="115"/>
      <c r="C377" s="73" t="s">
        <v>267</v>
      </c>
      <c r="D377" s="78">
        <v>34</v>
      </c>
      <c r="E377" s="75">
        <v>3.0000000000000001E-3</v>
      </c>
    </row>
    <row r="378" spans="2:5" ht="15" customHeight="1">
      <c r="B378" s="113" t="s">
        <v>68</v>
      </c>
      <c r="C378" s="58" t="s">
        <v>142</v>
      </c>
      <c r="D378" s="72">
        <v>13</v>
      </c>
      <c r="E378" s="71">
        <v>1E-3</v>
      </c>
    </row>
    <row r="379" spans="2:5" ht="15" customHeight="1">
      <c r="B379" s="114"/>
      <c r="C379" s="58" t="s">
        <v>152</v>
      </c>
      <c r="D379" s="72">
        <v>1</v>
      </c>
      <c r="E379" s="71">
        <v>0</v>
      </c>
    </row>
    <row r="380" spans="2:5" ht="15" customHeight="1">
      <c r="B380" s="114"/>
      <c r="C380" s="58" t="s">
        <v>154</v>
      </c>
      <c r="D380" s="72">
        <v>2</v>
      </c>
      <c r="E380" s="71">
        <v>0</v>
      </c>
    </row>
    <row r="381" spans="2:5" ht="15" customHeight="1">
      <c r="B381" s="114"/>
      <c r="C381" s="58" t="s">
        <v>144</v>
      </c>
      <c r="D381" s="72">
        <v>32</v>
      </c>
      <c r="E381" s="71">
        <v>3.0000000000000001E-3</v>
      </c>
    </row>
    <row r="382" spans="2:5" ht="15" customHeight="1">
      <c r="B382" s="114"/>
      <c r="C382" s="58" t="s">
        <v>156</v>
      </c>
      <c r="D382" s="72">
        <v>3</v>
      </c>
      <c r="E382" s="71">
        <v>0</v>
      </c>
    </row>
    <row r="383" spans="2:5" ht="15" customHeight="1">
      <c r="B383" s="114"/>
      <c r="C383" s="58" t="s">
        <v>146</v>
      </c>
      <c r="D383" s="72">
        <v>2</v>
      </c>
      <c r="E383" s="71">
        <v>0</v>
      </c>
    </row>
    <row r="384" spans="2:5" ht="15" customHeight="1">
      <c r="B384" s="114"/>
      <c r="C384" s="58" t="s">
        <v>147</v>
      </c>
      <c r="D384" s="72">
        <v>13</v>
      </c>
      <c r="E384" s="71">
        <v>1E-3</v>
      </c>
    </row>
    <row r="385" spans="2:5" ht="15" customHeight="1">
      <c r="B385" s="114"/>
      <c r="C385" s="58" t="s">
        <v>148</v>
      </c>
      <c r="D385" s="72">
        <v>10</v>
      </c>
      <c r="E385" s="71">
        <v>1E-3</v>
      </c>
    </row>
    <row r="386" spans="2:5" ht="15" customHeight="1">
      <c r="B386" s="114"/>
      <c r="C386" s="58" t="s">
        <v>157</v>
      </c>
      <c r="D386" s="72">
        <v>5</v>
      </c>
      <c r="E386" s="71">
        <v>0</v>
      </c>
    </row>
    <row r="387" spans="2:5" ht="15" customHeight="1">
      <c r="B387" s="114"/>
      <c r="C387" s="58" t="s">
        <v>149</v>
      </c>
      <c r="D387" s="72">
        <v>4</v>
      </c>
      <c r="E387" s="71">
        <v>0</v>
      </c>
    </row>
    <row r="388" spans="2:5" ht="15" customHeight="1">
      <c r="B388" s="114"/>
      <c r="C388" s="58" t="s">
        <v>158</v>
      </c>
      <c r="D388" s="72">
        <v>2</v>
      </c>
      <c r="E388" s="71">
        <v>0</v>
      </c>
    </row>
    <row r="389" spans="2:5" ht="15" customHeight="1">
      <c r="B389" s="114"/>
      <c r="C389" s="58" t="s">
        <v>151</v>
      </c>
      <c r="D389" s="72">
        <v>1</v>
      </c>
      <c r="E389" s="71">
        <v>0</v>
      </c>
    </row>
    <row r="390" spans="2:5" ht="15" customHeight="1">
      <c r="B390" s="114"/>
      <c r="C390" s="58" t="s">
        <v>159</v>
      </c>
      <c r="D390" s="72">
        <v>3</v>
      </c>
      <c r="E390" s="71">
        <v>0</v>
      </c>
    </row>
    <row r="391" spans="2:5" ht="15" customHeight="1">
      <c r="B391" s="115"/>
      <c r="C391" s="73" t="s">
        <v>267</v>
      </c>
      <c r="D391" s="78">
        <v>91</v>
      </c>
      <c r="E391" s="75">
        <v>8.0000000000000002E-3</v>
      </c>
    </row>
    <row r="392" spans="2:5" ht="15" customHeight="1">
      <c r="B392" s="113" t="s">
        <v>71</v>
      </c>
      <c r="C392" s="58" t="s">
        <v>142</v>
      </c>
      <c r="D392" s="72">
        <v>14</v>
      </c>
      <c r="E392" s="71">
        <v>1E-3</v>
      </c>
    </row>
    <row r="393" spans="2:5" ht="15" customHeight="1">
      <c r="B393" s="114"/>
      <c r="C393" s="58" t="s">
        <v>152</v>
      </c>
      <c r="D393" s="72">
        <v>7</v>
      </c>
      <c r="E393" s="71">
        <v>1E-3</v>
      </c>
    </row>
    <row r="394" spans="2:5" ht="15" customHeight="1">
      <c r="B394" s="114"/>
      <c r="C394" s="58" t="s">
        <v>143</v>
      </c>
      <c r="D394" s="72">
        <v>5</v>
      </c>
      <c r="E394" s="71">
        <v>0</v>
      </c>
    </row>
    <row r="395" spans="2:5" ht="15" customHeight="1">
      <c r="B395" s="114"/>
      <c r="C395" s="58" t="s">
        <v>155</v>
      </c>
      <c r="D395" s="72">
        <v>2</v>
      </c>
      <c r="E395" s="71">
        <v>0</v>
      </c>
    </row>
    <row r="396" spans="2:5" ht="15" customHeight="1">
      <c r="B396" s="114"/>
      <c r="C396" s="58" t="s">
        <v>144</v>
      </c>
      <c r="D396" s="72">
        <v>33</v>
      </c>
      <c r="E396" s="71">
        <v>3.0000000000000001E-3</v>
      </c>
    </row>
    <row r="397" spans="2:5" ht="15" customHeight="1">
      <c r="B397" s="114"/>
      <c r="C397" s="58" t="s">
        <v>156</v>
      </c>
      <c r="D397" s="72">
        <v>2</v>
      </c>
      <c r="E397" s="71">
        <v>0</v>
      </c>
    </row>
    <row r="398" spans="2:5" ht="15" customHeight="1">
      <c r="B398" s="114"/>
      <c r="C398" s="58" t="s">
        <v>145</v>
      </c>
      <c r="D398" s="72">
        <v>3</v>
      </c>
      <c r="E398" s="71">
        <v>0</v>
      </c>
    </row>
    <row r="399" spans="2:5" ht="15" customHeight="1">
      <c r="B399" s="114"/>
      <c r="C399" s="58" t="s">
        <v>146</v>
      </c>
      <c r="D399" s="72">
        <v>4</v>
      </c>
      <c r="E399" s="71">
        <v>0</v>
      </c>
    </row>
    <row r="400" spans="2:5" ht="15" customHeight="1">
      <c r="B400" s="114"/>
      <c r="C400" s="58" t="s">
        <v>147</v>
      </c>
      <c r="D400" s="72">
        <v>8</v>
      </c>
      <c r="E400" s="71">
        <v>1E-3</v>
      </c>
    </row>
    <row r="401" spans="2:5" ht="15" customHeight="1">
      <c r="B401" s="114"/>
      <c r="C401" s="58" t="s">
        <v>148</v>
      </c>
      <c r="D401" s="72">
        <v>4</v>
      </c>
      <c r="E401" s="71">
        <v>0</v>
      </c>
    </row>
    <row r="402" spans="2:5" ht="15" customHeight="1">
      <c r="B402" s="114"/>
      <c r="C402" s="58" t="s">
        <v>157</v>
      </c>
      <c r="D402" s="72">
        <v>7</v>
      </c>
      <c r="E402" s="71">
        <v>1E-3</v>
      </c>
    </row>
    <row r="403" spans="2:5" ht="15" customHeight="1">
      <c r="B403" s="114"/>
      <c r="C403" s="58" t="s">
        <v>149</v>
      </c>
      <c r="D403" s="72">
        <v>2</v>
      </c>
      <c r="E403" s="71">
        <v>0</v>
      </c>
    </row>
    <row r="404" spans="2:5" ht="15" customHeight="1">
      <c r="B404" s="114"/>
      <c r="C404" s="58" t="s">
        <v>158</v>
      </c>
      <c r="D404" s="72">
        <v>2</v>
      </c>
      <c r="E404" s="71">
        <v>0</v>
      </c>
    </row>
    <row r="405" spans="2:5" ht="15" customHeight="1">
      <c r="B405" s="114"/>
      <c r="C405" s="58" t="s">
        <v>150</v>
      </c>
      <c r="D405" s="72">
        <v>2</v>
      </c>
      <c r="E405" s="71">
        <v>0</v>
      </c>
    </row>
    <row r="406" spans="2:5" ht="15" customHeight="1">
      <c r="B406" s="114"/>
      <c r="C406" s="58" t="s">
        <v>159</v>
      </c>
      <c r="D406" s="72">
        <v>2</v>
      </c>
      <c r="E406" s="71">
        <v>0</v>
      </c>
    </row>
    <row r="407" spans="2:5" ht="15" customHeight="1">
      <c r="B407" s="115"/>
      <c r="C407" s="73" t="s">
        <v>267</v>
      </c>
      <c r="D407" s="78">
        <v>97</v>
      </c>
      <c r="E407" s="75">
        <v>8.0000000000000002E-3</v>
      </c>
    </row>
    <row r="408" spans="2:5" ht="15" customHeight="1">
      <c r="B408" s="113" t="s">
        <v>73</v>
      </c>
      <c r="C408" s="58" t="s">
        <v>142</v>
      </c>
      <c r="D408" s="72">
        <v>5</v>
      </c>
      <c r="E408" s="71">
        <v>0</v>
      </c>
    </row>
    <row r="409" spans="2:5" ht="15" customHeight="1">
      <c r="B409" s="114"/>
      <c r="C409" s="58" t="s">
        <v>152</v>
      </c>
      <c r="D409" s="72">
        <v>1</v>
      </c>
      <c r="E409" s="71">
        <v>0</v>
      </c>
    </row>
    <row r="410" spans="2:5" ht="15" customHeight="1">
      <c r="B410" s="114"/>
      <c r="C410" s="58" t="s">
        <v>154</v>
      </c>
      <c r="D410" s="72">
        <v>2</v>
      </c>
      <c r="E410" s="71">
        <v>0</v>
      </c>
    </row>
    <row r="411" spans="2:5" ht="15" customHeight="1">
      <c r="B411" s="114"/>
      <c r="C411" s="58" t="s">
        <v>155</v>
      </c>
      <c r="D411" s="72">
        <v>1</v>
      </c>
      <c r="E411" s="71">
        <v>0</v>
      </c>
    </row>
    <row r="412" spans="2:5" ht="15" customHeight="1">
      <c r="B412" s="114"/>
      <c r="C412" s="58" t="s">
        <v>144</v>
      </c>
      <c r="D412" s="72">
        <v>18</v>
      </c>
      <c r="E412" s="71">
        <v>2E-3</v>
      </c>
    </row>
    <row r="413" spans="2:5" ht="15" customHeight="1">
      <c r="B413" s="114"/>
      <c r="C413" s="58" t="s">
        <v>241</v>
      </c>
      <c r="D413" s="72">
        <v>1</v>
      </c>
      <c r="E413" s="71">
        <v>0</v>
      </c>
    </row>
    <row r="414" spans="2:5" ht="15" customHeight="1">
      <c r="B414" s="114"/>
      <c r="C414" s="58" t="s">
        <v>145</v>
      </c>
      <c r="D414" s="72">
        <v>1</v>
      </c>
      <c r="E414" s="71">
        <v>0</v>
      </c>
    </row>
    <row r="415" spans="2:5" ht="15" customHeight="1">
      <c r="B415" s="114"/>
      <c r="C415" s="58" t="s">
        <v>146</v>
      </c>
      <c r="D415" s="72">
        <v>1</v>
      </c>
      <c r="E415" s="71">
        <v>0</v>
      </c>
    </row>
    <row r="416" spans="2:5" ht="15" customHeight="1">
      <c r="B416" s="114"/>
      <c r="C416" s="58" t="s">
        <v>147</v>
      </c>
      <c r="D416" s="72">
        <v>12</v>
      </c>
      <c r="E416" s="71">
        <v>1E-3</v>
      </c>
    </row>
    <row r="417" spans="2:5" ht="15" customHeight="1">
      <c r="B417" s="114"/>
      <c r="C417" s="58" t="s">
        <v>148</v>
      </c>
      <c r="D417" s="72">
        <v>3</v>
      </c>
      <c r="E417" s="71">
        <v>0</v>
      </c>
    </row>
    <row r="418" spans="2:5" ht="15" customHeight="1">
      <c r="B418" s="114"/>
      <c r="C418" s="58" t="s">
        <v>149</v>
      </c>
      <c r="D418" s="72">
        <v>4</v>
      </c>
      <c r="E418" s="71">
        <v>0</v>
      </c>
    </row>
    <row r="419" spans="2:5" ht="15" customHeight="1">
      <c r="B419" s="114"/>
      <c r="C419" s="58" t="s">
        <v>150</v>
      </c>
      <c r="D419" s="72">
        <v>1</v>
      </c>
      <c r="E419" s="71">
        <v>0</v>
      </c>
    </row>
    <row r="420" spans="2:5" ht="15" customHeight="1">
      <c r="B420" s="114"/>
      <c r="C420" s="58" t="s">
        <v>151</v>
      </c>
      <c r="D420" s="72">
        <v>1</v>
      </c>
      <c r="E420" s="71">
        <v>0</v>
      </c>
    </row>
    <row r="421" spans="2:5" ht="15" customHeight="1">
      <c r="B421" s="115"/>
      <c r="C421" s="73" t="s">
        <v>267</v>
      </c>
      <c r="D421" s="78">
        <v>51</v>
      </c>
      <c r="E421" s="75">
        <v>4.0000000000000001E-3</v>
      </c>
    </row>
    <row r="422" spans="2:5" ht="15" customHeight="1">
      <c r="B422" s="113" t="s">
        <v>59</v>
      </c>
      <c r="C422" s="58" t="s">
        <v>142</v>
      </c>
      <c r="D422" s="72">
        <v>19</v>
      </c>
      <c r="E422" s="71">
        <v>2E-3</v>
      </c>
    </row>
    <row r="423" spans="2:5" ht="15" customHeight="1">
      <c r="B423" s="114"/>
      <c r="C423" s="58" t="s">
        <v>143</v>
      </c>
      <c r="D423" s="72">
        <v>13</v>
      </c>
      <c r="E423" s="71">
        <v>1E-3</v>
      </c>
    </row>
    <row r="424" spans="2:5" ht="15" customHeight="1">
      <c r="B424" s="114"/>
      <c r="C424" s="58" t="s">
        <v>153</v>
      </c>
      <c r="D424" s="72">
        <v>1</v>
      </c>
      <c r="E424" s="71">
        <v>0</v>
      </c>
    </row>
    <row r="425" spans="2:5" ht="15" customHeight="1">
      <c r="B425" s="114"/>
      <c r="C425" s="58" t="s">
        <v>154</v>
      </c>
      <c r="D425" s="72">
        <v>10</v>
      </c>
      <c r="E425" s="71">
        <v>1E-3</v>
      </c>
    </row>
    <row r="426" spans="2:5" ht="15" customHeight="1">
      <c r="B426" s="114"/>
      <c r="C426" s="58" t="s">
        <v>155</v>
      </c>
      <c r="D426" s="72">
        <v>3</v>
      </c>
      <c r="E426" s="71">
        <v>0</v>
      </c>
    </row>
    <row r="427" spans="2:5" ht="15" customHeight="1">
      <c r="B427" s="114"/>
      <c r="C427" s="58" t="s">
        <v>144</v>
      </c>
      <c r="D427" s="72">
        <v>55</v>
      </c>
      <c r="E427" s="71">
        <v>5.0000000000000001E-3</v>
      </c>
    </row>
    <row r="428" spans="2:5" ht="15" customHeight="1">
      <c r="B428" s="114"/>
      <c r="C428" s="58" t="s">
        <v>156</v>
      </c>
      <c r="D428" s="72">
        <v>4</v>
      </c>
      <c r="E428" s="71">
        <v>0</v>
      </c>
    </row>
    <row r="429" spans="2:5" ht="15" customHeight="1">
      <c r="B429" s="114"/>
      <c r="C429" s="58" t="s">
        <v>145</v>
      </c>
      <c r="D429" s="72">
        <v>10</v>
      </c>
      <c r="E429" s="71">
        <v>1E-3</v>
      </c>
    </row>
    <row r="430" spans="2:5" ht="15" customHeight="1">
      <c r="B430" s="114"/>
      <c r="C430" s="58" t="s">
        <v>146</v>
      </c>
      <c r="D430" s="72">
        <v>6</v>
      </c>
      <c r="E430" s="71">
        <v>1E-3</v>
      </c>
    </row>
    <row r="431" spans="2:5" ht="15" customHeight="1">
      <c r="B431" s="114"/>
      <c r="C431" s="58" t="s">
        <v>147</v>
      </c>
      <c r="D431" s="72">
        <v>30</v>
      </c>
      <c r="E431" s="71">
        <v>3.0000000000000001E-3</v>
      </c>
    </row>
    <row r="432" spans="2:5" ht="15" customHeight="1">
      <c r="B432" s="114"/>
      <c r="C432" s="58" t="s">
        <v>148</v>
      </c>
      <c r="D432" s="72">
        <v>22</v>
      </c>
      <c r="E432" s="71">
        <v>2E-3</v>
      </c>
    </row>
    <row r="433" spans="2:5" ht="15" customHeight="1">
      <c r="B433" s="114"/>
      <c r="C433" s="58" t="s">
        <v>157</v>
      </c>
      <c r="D433" s="72">
        <v>6</v>
      </c>
      <c r="E433" s="71">
        <v>1E-3</v>
      </c>
    </row>
    <row r="434" spans="2:5" ht="15" customHeight="1">
      <c r="B434" s="114"/>
      <c r="C434" s="58" t="s">
        <v>149</v>
      </c>
      <c r="D434" s="72">
        <v>31</v>
      </c>
      <c r="E434" s="71">
        <v>3.0000000000000001E-3</v>
      </c>
    </row>
    <row r="435" spans="2:5" ht="15" customHeight="1">
      <c r="B435" s="114"/>
      <c r="C435" s="58" t="s">
        <v>158</v>
      </c>
      <c r="D435" s="72">
        <v>22</v>
      </c>
      <c r="E435" s="71">
        <v>2E-3</v>
      </c>
    </row>
    <row r="436" spans="2:5" ht="15" customHeight="1">
      <c r="B436" s="114"/>
      <c r="C436" s="58" t="s">
        <v>150</v>
      </c>
      <c r="D436" s="72">
        <v>2</v>
      </c>
      <c r="E436" s="71">
        <v>0</v>
      </c>
    </row>
    <row r="437" spans="2:5" ht="15" customHeight="1">
      <c r="B437" s="114"/>
      <c r="C437" s="58" t="s">
        <v>151</v>
      </c>
      <c r="D437" s="72">
        <v>5</v>
      </c>
      <c r="E437" s="71">
        <v>0</v>
      </c>
    </row>
    <row r="438" spans="2:5" ht="15" customHeight="1">
      <c r="B438" s="114"/>
      <c r="C438" s="58" t="s">
        <v>159</v>
      </c>
      <c r="D438" s="72">
        <v>5</v>
      </c>
      <c r="E438" s="71">
        <v>0</v>
      </c>
    </row>
    <row r="439" spans="2:5" ht="15" customHeight="1">
      <c r="B439" s="115"/>
      <c r="C439" s="73" t="s">
        <v>267</v>
      </c>
      <c r="D439" s="78">
        <v>244</v>
      </c>
      <c r="E439" s="75">
        <v>0.02</v>
      </c>
    </row>
    <row r="440" spans="2:5" ht="15" customHeight="1">
      <c r="B440" s="113" t="s">
        <v>48</v>
      </c>
      <c r="C440" s="58" t="s">
        <v>142</v>
      </c>
      <c r="D440" s="72">
        <v>322</v>
      </c>
      <c r="E440" s="71">
        <v>2.7E-2</v>
      </c>
    </row>
    <row r="441" spans="2:5" ht="15" customHeight="1">
      <c r="B441" s="114"/>
      <c r="C441" s="58" t="s">
        <v>152</v>
      </c>
      <c r="D441" s="72">
        <v>10</v>
      </c>
      <c r="E441" s="71">
        <v>1E-3</v>
      </c>
    </row>
    <row r="442" spans="2:5" ht="15" customHeight="1">
      <c r="B442" s="114"/>
      <c r="C442" s="58" t="s">
        <v>143</v>
      </c>
      <c r="D442" s="72">
        <v>39</v>
      </c>
      <c r="E442" s="71">
        <v>3.0000000000000001E-3</v>
      </c>
    </row>
    <row r="443" spans="2:5" ht="15" customHeight="1">
      <c r="B443" s="114"/>
      <c r="C443" s="58" t="s">
        <v>153</v>
      </c>
      <c r="D443" s="72">
        <v>118</v>
      </c>
      <c r="E443" s="71">
        <v>0.01</v>
      </c>
    </row>
    <row r="444" spans="2:5" ht="15" customHeight="1">
      <c r="B444" s="114"/>
      <c r="C444" s="58" t="s">
        <v>154</v>
      </c>
      <c r="D444" s="72">
        <v>4</v>
      </c>
      <c r="E444" s="71">
        <v>0</v>
      </c>
    </row>
    <row r="445" spans="2:5" ht="15" customHeight="1">
      <c r="B445" s="114"/>
      <c r="C445" s="58" t="s">
        <v>155</v>
      </c>
      <c r="D445" s="72">
        <v>6</v>
      </c>
      <c r="E445" s="71">
        <v>1E-3</v>
      </c>
    </row>
    <row r="446" spans="2:5" ht="15" customHeight="1">
      <c r="B446" s="114"/>
      <c r="C446" s="58" t="s">
        <v>144</v>
      </c>
      <c r="D446" s="72">
        <v>419</v>
      </c>
      <c r="E446" s="71">
        <v>3.5000000000000003E-2</v>
      </c>
    </row>
    <row r="447" spans="2:5" ht="15" customHeight="1">
      <c r="B447" s="114"/>
      <c r="C447" s="58" t="s">
        <v>241</v>
      </c>
      <c r="D447" s="72">
        <v>6</v>
      </c>
      <c r="E447" s="71">
        <v>1E-3</v>
      </c>
    </row>
    <row r="448" spans="2:5" ht="15" customHeight="1">
      <c r="B448" s="114"/>
      <c r="C448" s="58" t="s">
        <v>156</v>
      </c>
      <c r="D448" s="72">
        <v>82</v>
      </c>
      <c r="E448" s="71">
        <v>7.0000000000000001E-3</v>
      </c>
    </row>
    <row r="449" spans="2:5" ht="15" customHeight="1">
      <c r="B449" s="114"/>
      <c r="C449" s="58" t="s">
        <v>145</v>
      </c>
      <c r="D449" s="72">
        <v>15</v>
      </c>
      <c r="E449" s="71">
        <v>1E-3</v>
      </c>
    </row>
    <row r="450" spans="2:5" ht="15" customHeight="1">
      <c r="B450" s="114"/>
      <c r="C450" s="58" t="s">
        <v>146</v>
      </c>
      <c r="D450" s="72">
        <v>41</v>
      </c>
      <c r="E450" s="71">
        <v>3.0000000000000001E-3</v>
      </c>
    </row>
    <row r="451" spans="2:5" ht="15" customHeight="1">
      <c r="B451" s="114"/>
      <c r="C451" s="58" t="s">
        <v>147</v>
      </c>
      <c r="D451" s="72">
        <v>235</v>
      </c>
      <c r="E451" s="71">
        <v>0.02</v>
      </c>
    </row>
    <row r="452" spans="2:5" ht="15" customHeight="1">
      <c r="B452" s="114"/>
      <c r="C452" s="58" t="s">
        <v>148</v>
      </c>
      <c r="D452" s="72">
        <v>54</v>
      </c>
      <c r="E452" s="71">
        <v>5.0000000000000001E-3</v>
      </c>
    </row>
    <row r="453" spans="2:5" ht="15" customHeight="1">
      <c r="B453" s="114"/>
      <c r="C453" s="58" t="s">
        <v>157</v>
      </c>
      <c r="D453" s="72">
        <v>41</v>
      </c>
      <c r="E453" s="71">
        <v>3.0000000000000001E-3</v>
      </c>
    </row>
    <row r="454" spans="2:5" ht="15" customHeight="1">
      <c r="B454" s="114"/>
      <c r="C454" s="58" t="s">
        <v>149</v>
      </c>
      <c r="D454" s="72">
        <v>28</v>
      </c>
      <c r="E454" s="71">
        <v>2E-3</v>
      </c>
    </row>
    <row r="455" spans="2:5" ht="15" customHeight="1">
      <c r="B455" s="114"/>
      <c r="C455" s="58" t="s">
        <v>158</v>
      </c>
      <c r="D455" s="72">
        <v>11</v>
      </c>
      <c r="E455" s="71">
        <v>1E-3</v>
      </c>
    </row>
    <row r="456" spans="2:5" ht="15" customHeight="1">
      <c r="B456" s="114"/>
      <c r="C456" s="58" t="s">
        <v>150</v>
      </c>
      <c r="D456" s="72">
        <v>50</v>
      </c>
      <c r="E456" s="71">
        <v>4.0000000000000001E-3</v>
      </c>
    </row>
    <row r="457" spans="2:5" ht="15" customHeight="1">
      <c r="B457" s="114"/>
      <c r="C457" s="58" t="s">
        <v>151</v>
      </c>
      <c r="D457" s="72">
        <v>7</v>
      </c>
      <c r="E457" s="71">
        <v>1E-3</v>
      </c>
    </row>
    <row r="458" spans="2:5" ht="15" customHeight="1">
      <c r="B458" s="114"/>
      <c r="C458" s="58" t="s">
        <v>159</v>
      </c>
      <c r="D458" s="72">
        <v>99</v>
      </c>
      <c r="E458" s="71">
        <v>8.0000000000000002E-3</v>
      </c>
    </row>
    <row r="459" spans="2:5" ht="15" customHeight="1">
      <c r="B459" s="115"/>
      <c r="C459" s="73" t="s">
        <v>267</v>
      </c>
      <c r="D459" s="78">
        <v>1587</v>
      </c>
      <c r="E459" s="75">
        <v>0.13200000000000001</v>
      </c>
    </row>
    <row r="460" spans="2:5" ht="15" customHeight="1">
      <c r="B460" s="113" t="s">
        <v>75</v>
      </c>
      <c r="C460" s="58" t="s">
        <v>142</v>
      </c>
      <c r="D460" s="72">
        <v>8</v>
      </c>
      <c r="E460" s="71">
        <v>1E-3</v>
      </c>
    </row>
    <row r="461" spans="2:5" ht="15" customHeight="1">
      <c r="B461" s="114"/>
      <c r="C461" s="58" t="s">
        <v>143</v>
      </c>
      <c r="D461" s="72">
        <v>1</v>
      </c>
      <c r="E461" s="71">
        <v>0</v>
      </c>
    </row>
    <row r="462" spans="2:5" ht="15" customHeight="1">
      <c r="B462" s="114"/>
      <c r="C462" s="58" t="s">
        <v>144</v>
      </c>
      <c r="D462" s="72">
        <v>34</v>
      </c>
      <c r="E462" s="71">
        <v>3.0000000000000001E-3</v>
      </c>
    </row>
    <row r="463" spans="2:5" ht="15" customHeight="1">
      <c r="B463" s="114"/>
      <c r="C463" s="58" t="s">
        <v>146</v>
      </c>
      <c r="D463" s="72">
        <v>1</v>
      </c>
      <c r="E463" s="71">
        <v>0</v>
      </c>
    </row>
    <row r="464" spans="2:5" ht="15" customHeight="1">
      <c r="B464" s="114"/>
      <c r="C464" s="58" t="s">
        <v>147</v>
      </c>
      <c r="D464" s="72">
        <v>2</v>
      </c>
      <c r="E464" s="71">
        <v>0</v>
      </c>
    </row>
    <row r="465" spans="2:5" ht="15" customHeight="1">
      <c r="B465" s="114"/>
      <c r="C465" s="58" t="s">
        <v>148</v>
      </c>
      <c r="D465" s="72">
        <v>5</v>
      </c>
      <c r="E465" s="71">
        <v>0</v>
      </c>
    </row>
    <row r="466" spans="2:5" ht="15" customHeight="1">
      <c r="B466" s="114"/>
      <c r="C466" s="58" t="s">
        <v>157</v>
      </c>
      <c r="D466" s="72">
        <v>3</v>
      </c>
      <c r="E466" s="71">
        <v>0</v>
      </c>
    </row>
    <row r="467" spans="2:5" ht="15" customHeight="1">
      <c r="B467" s="114"/>
      <c r="C467" s="58" t="s">
        <v>149</v>
      </c>
      <c r="D467" s="72">
        <v>5</v>
      </c>
      <c r="E467" s="71">
        <v>0</v>
      </c>
    </row>
    <row r="468" spans="2:5" ht="15" customHeight="1">
      <c r="B468" s="114"/>
      <c r="C468" s="58" t="s">
        <v>150</v>
      </c>
      <c r="D468" s="72">
        <v>5</v>
      </c>
      <c r="E468" s="71">
        <v>0</v>
      </c>
    </row>
    <row r="469" spans="2:5" ht="15" customHeight="1">
      <c r="B469" s="114"/>
      <c r="C469" s="58" t="s">
        <v>151</v>
      </c>
      <c r="D469" s="72">
        <v>1</v>
      </c>
      <c r="E469" s="71">
        <v>0</v>
      </c>
    </row>
    <row r="470" spans="2:5" ht="15" customHeight="1">
      <c r="B470" s="114"/>
      <c r="C470" s="58" t="s">
        <v>159</v>
      </c>
      <c r="D470" s="72">
        <v>3</v>
      </c>
      <c r="E470" s="71">
        <v>0</v>
      </c>
    </row>
    <row r="471" spans="2:5" ht="15" customHeight="1">
      <c r="B471" s="115"/>
      <c r="C471" s="73" t="s">
        <v>267</v>
      </c>
      <c r="D471" s="78">
        <v>68</v>
      </c>
      <c r="E471" s="75">
        <v>6.0000000000000001E-3</v>
      </c>
    </row>
    <row r="472" spans="2:5" ht="15" customHeight="1">
      <c r="B472" s="113" t="s">
        <v>92</v>
      </c>
      <c r="C472" s="58" t="s">
        <v>142</v>
      </c>
      <c r="D472" s="72">
        <v>2</v>
      </c>
      <c r="E472" s="71">
        <v>0</v>
      </c>
    </row>
    <row r="473" spans="2:5" ht="15" customHeight="1">
      <c r="B473" s="114"/>
      <c r="C473" s="58" t="s">
        <v>154</v>
      </c>
      <c r="D473" s="72">
        <v>1</v>
      </c>
      <c r="E473" s="71">
        <v>0</v>
      </c>
    </row>
    <row r="474" spans="2:5" ht="15" customHeight="1">
      <c r="B474" s="114"/>
      <c r="C474" s="58" t="s">
        <v>155</v>
      </c>
      <c r="D474" s="72">
        <v>1</v>
      </c>
      <c r="E474" s="71">
        <v>0</v>
      </c>
    </row>
    <row r="475" spans="2:5" ht="15" customHeight="1">
      <c r="B475" s="114"/>
      <c r="C475" s="58" t="s">
        <v>144</v>
      </c>
      <c r="D475" s="72">
        <v>6</v>
      </c>
      <c r="E475" s="71">
        <v>1E-3</v>
      </c>
    </row>
    <row r="476" spans="2:5" ht="15" customHeight="1">
      <c r="B476" s="114"/>
      <c r="C476" s="58" t="s">
        <v>241</v>
      </c>
      <c r="D476" s="72">
        <v>2</v>
      </c>
      <c r="E476" s="71">
        <v>0</v>
      </c>
    </row>
    <row r="477" spans="2:5" ht="15" customHeight="1">
      <c r="B477" s="114"/>
      <c r="C477" s="58" t="s">
        <v>156</v>
      </c>
      <c r="D477" s="72">
        <v>2</v>
      </c>
      <c r="E477" s="71">
        <v>0</v>
      </c>
    </row>
    <row r="478" spans="2:5" ht="15" customHeight="1">
      <c r="B478" s="114"/>
      <c r="C478" s="58" t="s">
        <v>147</v>
      </c>
      <c r="D478" s="72">
        <v>1</v>
      </c>
      <c r="E478" s="71">
        <v>0</v>
      </c>
    </row>
    <row r="479" spans="2:5" ht="15" customHeight="1">
      <c r="B479" s="114"/>
      <c r="C479" s="58" t="s">
        <v>148</v>
      </c>
      <c r="D479" s="72">
        <v>1</v>
      </c>
      <c r="E479" s="71">
        <v>0</v>
      </c>
    </row>
    <row r="480" spans="2:5" ht="15" customHeight="1">
      <c r="B480" s="114"/>
      <c r="C480" s="58" t="s">
        <v>159</v>
      </c>
      <c r="D480" s="72">
        <v>3</v>
      </c>
      <c r="E480" s="71">
        <v>0</v>
      </c>
    </row>
    <row r="481" spans="2:5" ht="15" customHeight="1">
      <c r="B481" s="115"/>
      <c r="C481" s="73" t="s">
        <v>267</v>
      </c>
      <c r="D481" s="78">
        <v>19</v>
      </c>
      <c r="E481" s="75">
        <v>2E-3</v>
      </c>
    </row>
    <row r="482" spans="2:5" ht="15" customHeight="1">
      <c r="B482" s="113" t="s">
        <v>61</v>
      </c>
      <c r="C482" s="58" t="s">
        <v>142</v>
      </c>
      <c r="D482" s="72">
        <v>26</v>
      </c>
      <c r="E482" s="71">
        <v>2E-3</v>
      </c>
    </row>
    <row r="483" spans="2:5" ht="15" customHeight="1">
      <c r="B483" s="114"/>
      <c r="C483" s="58" t="s">
        <v>143</v>
      </c>
      <c r="D483" s="72">
        <v>1</v>
      </c>
      <c r="E483" s="71">
        <v>0</v>
      </c>
    </row>
    <row r="484" spans="2:5" ht="15" customHeight="1">
      <c r="B484" s="114"/>
      <c r="C484" s="58" t="s">
        <v>153</v>
      </c>
      <c r="D484" s="72">
        <v>1</v>
      </c>
      <c r="E484" s="71">
        <v>0</v>
      </c>
    </row>
    <row r="485" spans="2:5" ht="15" customHeight="1">
      <c r="B485" s="114"/>
      <c r="C485" s="58" t="s">
        <v>155</v>
      </c>
      <c r="D485" s="72">
        <v>1</v>
      </c>
      <c r="E485" s="71">
        <v>0</v>
      </c>
    </row>
    <row r="486" spans="2:5" ht="15" customHeight="1">
      <c r="B486" s="114"/>
      <c r="C486" s="58" t="s">
        <v>144</v>
      </c>
      <c r="D486" s="72">
        <v>21</v>
      </c>
      <c r="E486" s="71">
        <v>2E-3</v>
      </c>
    </row>
    <row r="487" spans="2:5" ht="15" customHeight="1">
      <c r="B487" s="114"/>
      <c r="C487" s="58" t="s">
        <v>156</v>
      </c>
      <c r="D487" s="72">
        <v>8</v>
      </c>
      <c r="E487" s="71">
        <v>1E-3</v>
      </c>
    </row>
    <row r="488" spans="2:5" ht="15" customHeight="1">
      <c r="B488" s="114"/>
      <c r="C488" s="58" t="s">
        <v>145</v>
      </c>
      <c r="D488" s="72">
        <v>6</v>
      </c>
      <c r="E488" s="71">
        <v>1E-3</v>
      </c>
    </row>
    <row r="489" spans="2:5" ht="15" customHeight="1">
      <c r="B489" s="114"/>
      <c r="C489" s="58" t="s">
        <v>146</v>
      </c>
      <c r="D489" s="72">
        <v>1</v>
      </c>
      <c r="E489" s="71">
        <v>0</v>
      </c>
    </row>
    <row r="490" spans="2:5" ht="15" customHeight="1">
      <c r="B490" s="114"/>
      <c r="C490" s="58" t="s">
        <v>147</v>
      </c>
      <c r="D490" s="72">
        <v>75</v>
      </c>
      <c r="E490" s="71">
        <v>6.0000000000000001E-3</v>
      </c>
    </row>
    <row r="491" spans="2:5" ht="15" customHeight="1">
      <c r="B491" s="114"/>
      <c r="C491" s="58" t="s">
        <v>148</v>
      </c>
      <c r="D491" s="72">
        <v>12</v>
      </c>
      <c r="E491" s="71">
        <v>1E-3</v>
      </c>
    </row>
    <row r="492" spans="2:5" ht="15" customHeight="1">
      <c r="B492" s="114"/>
      <c r="C492" s="58" t="s">
        <v>157</v>
      </c>
      <c r="D492" s="72">
        <v>4</v>
      </c>
      <c r="E492" s="71">
        <v>0</v>
      </c>
    </row>
    <row r="493" spans="2:5" ht="15" customHeight="1">
      <c r="B493" s="114"/>
      <c r="C493" s="58" t="s">
        <v>149</v>
      </c>
      <c r="D493" s="72">
        <v>3</v>
      </c>
      <c r="E493" s="71">
        <v>0</v>
      </c>
    </row>
    <row r="494" spans="2:5" ht="15" customHeight="1">
      <c r="B494" s="114"/>
      <c r="C494" s="58" t="s">
        <v>158</v>
      </c>
      <c r="D494" s="72">
        <v>1</v>
      </c>
      <c r="E494" s="71">
        <v>0</v>
      </c>
    </row>
    <row r="495" spans="2:5" ht="15" customHeight="1">
      <c r="B495" s="114"/>
      <c r="C495" s="58" t="s">
        <v>150</v>
      </c>
      <c r="D495" s="72">
        <v>9</v>
      </c>
      <c r="E495" s="71">
        <v>1E-3</v>
      </c>
    </row>
    <row r="496" spans="2:5" ht="15" customHeight="1">
      <c r="B496" s="114"/>
      <c r="C496" s="58" t="s">
        <v>151</v>
      </c>
      <c r="D496" s="72">
        <v>2</v>
      </c>
      <c r="E496" s="71">
        <v>0</v>
      </c>
    </row>
    <row r="497" spans="2:5" ht="15" customHeight="1">
      <c r="B497" s="114"/>
      <c r="C497" s="58" t="s">
        <v>159</v>
      </c>
      <c r="D497" s="72">
        <v>5</v>
      </c>
      <c r="E497" s="71">
        <v>0</v>
      </c>
    </row>
    <row r="498" spans="2:5" ht="15" customHeight="1">
      <c r="B498" s="115"/>
      <c r="C498" s="73" t="s">
        <v>267</v>
      </c>
      <c r="D498" s="78">
        <v>176</v>
      </c>
      <c r="E498" s="75">
        <v>1.4999999999999999E-2</v>
      </c>
    </row>
    <row r="499" spans="2:5" ht="15" customHeight="1">
      <c r="B499" s="113" t="s">
        <v>51</v>
      </c>
      <c r="C499" s="58" t="s">
        <v>142</v>
      </c>
      <c r="D499" s="72">
        <v>45</v>
      </c>
      <c r="E499" s="71">
        <v>4.0000000000000001E-3</v>
      </c>
    </row>
    <row r="500" spans="2:5" ht="15" customHeight="1">
      <c r="B500" s="114"/>
      <c r="C500" s="58" t="s">
        <v>152</v>
      </c>
      <c r="D500" s="72">
        <v>10</v>
      </c>
      <c r="E500" s="71">
        <v>1E-3</v>
      </c>
    </row>
    <row r="501" spans="2:5" ht="15" customHeight="1">
      <c r="B501" s="114"/>
      <c r="C501" s="58" t="s">
        <v>143</v>
      </c>
      <c r="D501" s="72">
        <v>16</v>
      </c>
      <c r="E501" s="71">
        <v>1E-3</v>
      </c>
    </row>
    <row r="502" spans="2:5" ht="15" customHeight="1">
      <c r="B502" s="114"/>
      <c r="C502" s="58" t="s">
        <v>153</v>
      </c>
      <c r="D502" s="72">
        <v>10</v>
      </c>
      <c r="E502" s="71">
        <v>1E-3</v>
      </c>
    </row>
    <row r="503" spans="2:5" ht="15" customHeight="1">
      <c r="B503" s="114"/>
      <c r="C503" s="58" t="s">
        <v>154</v>
      </c>
      <c r="D503" s="72">
        <v>1</v>
      </c>
      <c r="E503" s="71">
        <v>0</v>
      </c>
    </row>
    <row r="504" spans="2:5" ht="15" customHeight="1">
      <c r="B504" s="114"/>
      <c r="C504" s="58" t="s">
        <v>155</v>
      </c>
      <c r="D504" s="72">
        <v>16</v>
      </c>
      <c r="E504" s="71">
        <v>1E-3</v>
      </c>
    </row>
    <row r="505" spans="2:5" ht="15" customHeight="1">
      <c r="B505" s="114"/>
      <c r="C505" s="58" t="s">
        <v>144</v>
      </c>
      <c r="D505" s="72">
        <v>215</v>
      </c>
      <c r="E505" s="71">
        <v>1.7999999999999999E-2</v>
      </c>
    </row>
    <row r="506" spans="2:5" ht="15" customHeight="1">
      <c r="B506" s="114"/>
      <c r="C506" s="58" t="s">
        <v>241</v>
      </c>
      <c r="D506" s="72">
        <v>1</v>
      </c>
      <c r="E506" s="71">
        <v>0</v>
      </c>
    </row>
    <row r="507" spans="2:5" ht="15" customHeight="1">
      <c r="B507" s="114"/>
      <c r="C507" s="58" t="s">
        <v>156</v>
      </c>
      <c r="D507" s="72">
        <v>22</v>
      </c>
      <c r="E507" s="71">
        <v>2E-3</v>
      </c>
    </row>
    <row r="508" spans="2:5" ht="15" customHeight="1">
      <c r="B508" s="114"/>
      <c r="C508" s="58" t="s">
        <v>145</v>
      </c>
      <c r="D508" s="72">
        <v>17</v>
      </c>
      <c r="E508" s="71">
        <v>1E-3</v>
      </c>
    </row>
    <row r="509" spans="2:5" ht="15" customHeight="1">
      <c r="B509" s="114"/>
      <c r="C509" s="58" t="s">
        <v>146</v>
      </c>
      <c r="D509" s="72">
        <v>5</v>
      </c>
      <c r="E509" s="71">
        <v>0</v>
      </c>
    </row>
    <row r="510" spans="2:5" ht="15" customHeight="1">
      <c r="B510" s="114"/>
      <c r="C510" s="58" t="s">
        <v>147</v>
      </c>
      <c r="D510" s="72">
        <v>46</v>
      </c>
      <c r="E510" s="71">
        <v>4.0000000000000001E-3</v>
      </c>
    </row>
    <row r="511" spans="2:5" ht="15" customHeight="1">
      <c r="B511" s="114"/>
      <c r="C511" s="58" t="s">
        <v>148</v>
      </c>
      <c r="D511" s="72">
        <v>45</v>
      </c>
      <c r="E511" s="71">
        <v>4.0000000000000001E-3</v>
      </c>
    </row>
    <row r="512" spans="2:5" ht="15" customHeight="1">
      <c r="B512" s="114"/>
      <c r="C512" s="58" t="s">
        <v>157</v>
      </c>
      <c r="D512" s="72">
        <v>16</v>
      </c>
      <c r="E512" s="71">
        <v>1E-3</v>
      </c>
    </row>
    <row r="513" spans="2:5" ht="15" customHeight="1">
      <c r="B513" s="114"/>
      <c r="C513" s="58" t="s">
        <v>149</v>
      </c>
      <c r="D513" s="72">
        <v>21</v>
      </c>
      <c r="E513" s="71">
        <v>2E-3</v>
      </c>
    </row>
    <row r="514" spans="2:5" ht="15" customHeight="1">
      <c r="B514" s="114"/>
      <c r="C514" s="58" t="s">
        <v>158</v>
      </c>
      <c r="D514" s="72">
        <v>5</v>
      </c>
      <c r="E514" s="71">
        <v>0</v>
      </c>
    </row>
    <row r="515" spans="2:5" ht="15" customHeight="1">
      <c r="B515" s="114"/>
      <c r="C515" s="58" t="s">
        <v>150</v>
      </c>
      <c r="D515" s="72">
        <v>29</v>
      </c>
      <c r="E515" s="71">
        <v>2E-3</v>
      </c>
    </row>
    <row r="516" spans="2:5" ht="15" customHeight="1">
      <c r="B516" s="114"/>
      <c r="C516" s="58" t="s">
        <v>151</v>
      </c>
      <c r="D516" s="72">
        <v>16</v>
      </c>
      <c r="E516" s="71">
        <v>1E-3</v>
      </c>
    </row>
    <row r="517" spans="2:5" ht="15" customHeight="1">
      <c r="B517" s="114"/>
      <c r="C517" s="58" t="s">
        <v>159</v>
      </c>
      <c r="D517" s="72">
        <v>28</v>
      </c>
      <c r="E517" s="71">
        <v>2E-3</v>
      </c>
    </row>
    <row r="518" spans="2:5" ht="15" customHeight="1">
      <c r="B518" s="115"/>
      <c r="C518" s="73" t="s">
        <v>267</v>
      </c>
      <c r="D518" s="78">
        <v>564</v>
      </c>
      <c r="E518" s="75">
        <v>4.7E-2</v>
      </c>
    </row>
    <row r="519" spans="2:5" ht="15" customHeight="1">
      <c r="B519" s="113" t="s">
        <v>70</v>
      </c>
      <c r="C519" s="58" t="s">
        <v>142</v>
      </c>
      <c r="D519" s="72">
        <v>15</v>
      </c>
      <c r="E519" s="71">
        <v>1E-3</v>
      </c>
    </row>
    <row r="520" spans="2:5" ht="15" customHeight="1">
      <c r="B520" s="114"/>
      <c r="C520" s="58" t="s">
        <v>143</v>
      </c>
      <c r="D520" s="72">
        <v>2</v>
      </c>
      <c r="E520" s="71">
        <v>0</v>
      </c>
    </row>
    <row r="521" spans="2:5" ht="15" customHeight="1">
      <c r="B521" s="114"/>
      <c r="C521" s="58" t="s">
        <v>153</v>
      </c>
      <c r="D521" s="72">
        <v>2</v>
      </c>
      <c r="E521" s="71">
        <v>0</v>
      </c>
    </row>
    <row r="522" spans="2:5" ht="15" customHeight="1">
      <c r="B522" s="114"/>
      <c r="C522" s="58" t="s">
        <v>154</v>
      </c>
      <c r="D522" s="72">
        <v>1</v>
      </c>
      <c r="E522" s="71">
        <v>0</v>
      </c>
    </row>
    <row r="523" spans="2:5" ht="15" customHeight="1">
      <c r="B523" s="114"/>
      <c r="C523" s="58" t="s">
        <v>155</v>
      </c>
      <c r="D523" s="72">
        <v>1</v>
      </c>
      <c r="E523" s="71">
        <v>0</v>
      </c>
    </row>
    <row r="524" spans="2:5" ht="15" customHeight="1">
      <c r="B524" s="114"/>
      <c r="C524" s="58" t="s">
        <v>144</v>
      </c>
      <c r="D524" s="72">
        <v>24</v>
      </c>
      <c r="E524" s="71">
        <v>2E-3</v>
      </c>
    </row>
    <row r="525" spans="2:5" ht="15" customHeight="1">
      <c r="B525" s="114"/>
      <c r="C525" s="58" t="s">
        <v>156</v>
      </c>
      <c r="D525" s="72">
        <v>1</v>
      </c>
      <c r="E525" s="71">
        <v>0</v>
      </c>
    </row>
    <row r="526" spans="2:5" ht="15" customHeight="1">
      <c r="B526" s="114"/>
      <c r="C526" s="58" t="s">
        <v>145</v>
      </c>
      <c r="D526" s="72">
        <v>5</v>
      </c>
      <c r="E526" s="71">
        <v>0</v>
      </c>
    </row>
    <row r="527" spans="2:5" ht="15" customHeight="1">
      <c r="B527" s="114"/>
      <c r="C527" s="58" t="s">
        <v>146</v>
      </c>
      <c r="D527" s="72">
        <v>5</v>
      </c>
      <c r="E527" s="71">
        <v>0</v>
      </c>
    </row>
    <row r="528" spans="2:5" ht="15" customHeight="1">
      <c r="B528" s="114"/>
      <c r="C528" s="58" t="s">
        <v>147</v>
      </c>
      <c r="D528" s="72">
        <v>5</v>
      </c>
      <c r="E528" s="71">
        <v>0</v>
      </c>
    </row>
    <row r="529" spans="2:5" ht="15" customHeight="1">
      <c r="B529" s="114"/>
      <c r="C529" s="58" t="s">
        <v>148</v>
      </c>
      <c r="D529" s="72">
        <v>10</v>
      </c>
      <c r="E529" s="71">
        <v>1E-3</v>
      </c>
    </row>
    <row r="530" spans="2:5" ht="15" customHeight="1">
      <c r="B530" s="114"/>
      <c r="C530" s="58" t="s">
        <v>157</v>
      </c>
      <c r="D530" s="72">
        <v>5</v>
      </c>
      <c r="E530" s="71">
        <v>0</v>
      </c>
    </row>
    <row r="531" spans="2:5" ht="15" customHeight="1">
      <c r="B531" s="114"/>
      <c r="C531" s="58" t="s">
        <v>149</v>
      </c>
      <c r="D531" s="72">
        <v>2</v>
      </c>
      <c r="E531" s="71">
        <v>0</v>
      </c>
    </row>
    <row r="532" spans="2:5" ht="15" customHeight="1">
      <c r="B532" s="114"/>
      <c r="C532" s="58" t="s">
        <v>150</v>
      </c>
      <c r="D532" s="72">
        <v>2</v>
      </c>
      <c r="E532" s="71">
        <v>0</v>
      </c>
    </row>
    <row r="533" spans="2:5" ht="15" customHeight="1">
      <c r="B533" s="114"/>
      <c r="C533" s="58" t="s">
        <v>159</v>
      </c>
      <c r="D533" s="72">
        <v>5</v>
      </c>
      <c r="E533" s="71">
        <v>0</v>
      </c>
    </row>
    <row r="534" spans="2:5" ht="15" customHeight="1">
      <c r="B534" s="115"/>
      <c r="C534" s="73" t="s">
        <v>267</v>
      </c>
      <c r="D534" s="78">
        <v>85</v>
      </c>
      <c r="E534" s="75">
        <v>7.0000000000000001E-3</v>
      </c>
    </row>
    <row r="535" spans="2:5" ht="15" customHeight="1">
      <c r="B535" s="113" t="s">
        <v>63</v>
      </c>
      <c r="C535" s="58" t="s">
        <v>142</v>
      </c>
      <c r="D535" s="72">
        <v>43</v>
      </c>
      <c r="E535" s="71">
        <v>4.0000000000000001E-3</v>
      </c>
    </row>
    <row r="536" spans="2:5" ht="15" customHeight="1">
      <c r="B536" s="114"/>
      <c r="C536" s="58" t="s">
        <v>152</v>
      </c>
      <c r="D536" s="72">
        <v>3</v>
      </c>
      <c r="E536" s="71">
        <v>0</v>
      </c>
    </row>
    <row r="537" spans="2:5" ht="15" customHeight="1">
      <c r="B537" s="114"/>
      <c r="C537" s="58" t="s">
        <v>143</v>
      </c>
      <c r="D537" s="72">
        <v>10</v>
      </c>
      <c r="E537" s="71">
        <v>1E-3</v>
      </c>
    </row>
    <row r="538" spans="2:5" ht="15" customHeight="1">
      <c r="B538" s="114"/>
      <c r="C538" s="58" t="s">
        <v>153</v>
      </c>
      <c r="D538" s="72">
        <v>5</v>
      </c>
      <c r="E538" s="71">
        <v>0</v>
      </c>
    </row>
    <row r="539" spans="2:5" ht="15" customHeight="1">
      <c r="B539" s="114"/>
      <c r="C539" s="58" t="s">
        <v>155</v>
      </c>
      <c r="D539" s="72">
        <v>1</v>
      </c>
      <c r="E539" s="71">
        <v>0</v>
      </c>
    </row>
    <row r="540" spans="2:5" ht="15" customHeight="1">
      <c r="B540" s="114"/>
      <c r="C540" s="58" t="s">
        <v>144</v>
      </c>
      <c r="D540" s="72">
        <v>42</v>
      </c>
      <c r="E540" s="71">
        <v>4.0000000000000001E-3</v>
      </c>
    </row>
    <row r="541" spans="2:5" ht="15" customHeight="1">
      <c r="B541" s="114"/>
      <c r="C541" s="58" t="s">
        <v>241</v>
      </c>
      <c r="D541" s="72">
        <v>1</v>
      </c>
      <c r="E541" s="71">
        <v>0</v>
      </c>
    </row>
    <row r="542" spans="2:5" ht="15" customHeight="1">
      <c r="B542" s="114"/>
      <c r="C542" s="58" t="s">
        <v>156</v>
      </c>
      <c r="D542" s="72">
        <v>4</v>
      </c>
      <c r="E542" s="71">
        <v>0</v>
      </c>
    </row>
    <row r="543" spans="2:5" ht="15" customHeight="1">
      <c r="B543" s="114"/>
      <c r="C543" s="58" t="s">
        <v>146</v>
      </c>
      <c r="D543" s="72">
        <v>15</v>
      </c>
      <c r="E543" s="71">
        <v>1E-3</v>
      </c>
    </row>
    <row r="544" spans="2:5" ht="15" customHeight="1">
      <c r="B544" s="114"/>
      <c r="C544" s="58" t="s">
        <v>147</v>
      </c>
      <c r="D544" s="72">
        <v>10</v>
      </c>
      <c r="E544" s="71">
        <v>1E-3</v>
      </c>
    </row>
    <row r="545" spans="2:5" ht="15" customHeight="1">
      <c r="B545" s="114"/>
      <c r="C545" s="58" t="s">
        <v>148</v>
      </c>
      <c r="D545" s="72">
        <v>16</v>
      </c>
      <c r="E545" s="71">
        <v>1E-3</v>
      </c>
    </row>
    <row r="546" spans="2:5" ht="15" customHeight="1">
      <c r="B546" s="114"/>
      <c r="C546" s="58" t="s">
        <v>157</v>
      </c>
      <c r="D546" s="72">
        <v>7</v>
      </c>
      <c r="E546" s="71">
        <v>1E-3</v>
      </c>
    </row>
    <row r="547" spans="2:5" ht="15" customHeight="1">
      <c r="B547" s="114"/>
      <c r="C547" s="58" t="s">
        <v>149</v>
      </c>
      <c r="D547" s="72">
        <v>6</v>
      </c>
      <c r="E547" s="71">
        <v>1E-3</v>
      </c>
    </row>
    <row r="548" spans="2:5" ht="15" customHeight="1">
      <c r="B548" s="114"/>
      <c r="C548" s="58" t="s">
        <v>158</v>
      </c>
      <c r="D548" s="72">
        <v>9</v>
      </c>
      <c r="E548" s="71">
        <v>1E-3</v>
      </c>
    </row>
    <row r="549" spans="2:5" ht="15" customHeight="1">
      <c r="B549" s="114"/>
      <c r="C549" s="58" t="s">
        <v>150</v>
      </c>
      <c r="D549" s="72">
        <v>5</v>
      </c>
      <c r="E549" s="71">
        <v>0</v>
      </c>
    </row>
    <row r="550" spans="2:5" ht="15" customHeight="1">
      <c r="B550" s="114"/>
      <c r="C550" s="58" t="s">
        <v>151</v>
      </c>
      <c r="D550" s="72">
        <v>2</v>
      </c>
      <c r="E550" s="71">
        <v>0</v>
      </c>
    </row>
    <row r="551" spans="2:5" ht="15" customHeight="1">
      <c r="B551" s="114"/>
      <c r="C551" s="58" t="s">
        <v>159</v>
      </c>
      <c r="D551" s="72">
        <v>9</v>
      </c>
      <c r="E551" s="71">
        <v>1E-3</v>
      </c>
    </row>
    <row r="552" spans="2:5" ht="15" customHeight="1">
      <c r="B552" s="115"/>
      <c r="C552" s="73" t="s">
        <v>267</v>
      </c>
      <c r="D552" s="78">
        <v>188</v>
      </c>
      <c r="E552" s="75">
        <v>1.6E-2</v>
      </c>
    </row>
    <row r="553" spans="2:5" ht="15" customHeight="1">
      <c r="B553" s="113" t="s">
        <v>78</v>
      </c>
      <c r="C553" s="58" t="s">
        <v>142</v>
      </c>
      <c r="D553" s="72">
        <v>10</v>
      </c>
      <c r="E553" s="71">
        <v>1E-3</v>
      </c>
    </row>
    <row r="554" spans="2:5" ht="15" customHeight="1">
      <c r="B554" s="114"/>
      <c r="C554" s="58" t="s">
        <v>153</v>
      </c>
      <c r="D554" s="72">
        <v>1</v>
      </c>
      <c r="E554" s="71">
        <v>0</v>
      </c>
    </row>
    <row r="555" spans="2:5" ht="15" customHeight="1">
      <c r="B555" s="114"/>
      <c r="C555" s="58" t="s">
        <v>154</v>
      </c>
      <c r="D555" s="72">
        <v>1</v>
      </c>
      <c r="E555" s="71">
        <v>0</v>
      </c>
    </row>
    <row r="556" spans="2:5" ht="15" customHeight="1">
      <c r="B556" s="114"/>
      <c r="C556" s="58" t="s">
        <v>144</v>
      </c>
      <c r="D556" s="72">
        <v>18</v>
      </c>
      <c r="E556" s="71">
        <v>2E-3</v>
      </c>
    </row>
    <row r="557" spans="2:5" ht="15" customHeight="1">
      <c r="B557" s="114"/>
      <c r="C557" s="58" t="s">
        <v>145</v>
      </c>
      <c r="D557" s="72">
        <v>2</v>
      </c>
      <c r="E557" s="71">
        <v>0</v>
      </c>
    </row>
    <row r="558" spans="2:5" ht="15" customHeight="1">
      <c r="B558" s="114"/>
      <c r="C558" s="58" t="s">
        <v>147</v>
      </c>
      <c r="D558" s="72">
        <v>5</v>
      </c>
      <c r="E558" s="71">
        <v>0</v>
      </c>
    </row>
    <row r="559" spans="2:5" ht="15" customHeight="1">
      <c r="B559" s="114"/>
      <c r="C559" s="58" t="s">
        <v>148</v>
      </c>
      <c r="D559" s="72">
        <v>7</v>
      </c>
      <c r="E559" s="71">
        <v>1E-3</v>
      </c>
    </row>
    <row r="560" spans="2:5" ht="15" customHeight="1">
      <c r="B560" s="114"/>
      <c r="C560" s="58" t="s">
        <v>157</v>
      </c>
      <c r="D560" s="72">
        <v>1</v>
      </c>
      <c r="E560" s="71">
        <v>0</v>
      </c>
    </row>
    <row r="561" spans="2:5" ht="15" customHeight="1">
      <c r="B561" s="114"/>
      <c r="C561" s="58" t="s">
        <v>149</v>
      </c>
      <c r="D561" s="72">
        <v>1</v>
      </c>
      <c r="E561" s="71">
        <v>0</v>
      </c>
    </row>
    <row r="562" spans="2:5" ht="15" customHeight="1">
      <c r="B562" s="114"/>
      <c r="C562" s="58" t="s">
        <v>158</v>
      </c>
      <c r="D562" s="72">
        <v>1</v>
      </c>
      <c r="E562" s="71">
        <v>0</v>
      </c>
    </row>
    <row r="563" spans="2:5" ht="15" customHeight="1">
      <c r="B563" s="114"/>
      <c r="C563" s="58" t="s">
        <v>150</v>
      </c>
      <c r="D563" s="72">
        <v>1</v>
      </c>
      <c r="E563" s="71">
        <v>0</v>
      </c>
    </row>
    <row r="564" spans="2:5" ht="15" customHeight="1">
      <c r="B564" s="114"/>
      <c r="C564" s="58" t="s">
        <v>151</v>
      </c>
      <c r="D564" s="72">
        <v>1</v>
      </c>
      <c r="E564" s="71">
        <v>0</v>
      </c>
    </row>
    <row r="565" spans="2:5" ht="15" customHeight="1">
      <c r="B565" s="114"/>
      <c r="C565" s="58" t="s">
        <v>159</v>
      </c>
      <c r="D565" s="72">
        <v>2</v>
      </c>
      <c r="E565" s="71">
        <v>0</v>
      </c>
    </row>
    <row r="566" spans="2:5" ht="15" customHeight="1">
      <c r="B566" s="115"/>
      <c r="C566" s="73" t="s">
        <v>267</v>
      </c>
      <c r="D566" s="78">
        <v>51</v>
      </c>
      <c r="E566" s="75">
        <v>4.0000000000000001E-3</v>
      </c>
    </row>
    <row r="567" spans="2:5" ht="15" customHeight="1">
      <c r="B567" s="113" t="s">
        <v>50</v>
      </c>
      <c r="C567" s="58" t="s">
        <v>142</v>
      </c>
      <c r="D567" s="72">
        <v>85</v>
      </c>
      <c r="E567" s="71">
        <v>7.0000000000000001E-3</v>
      </c>
    </row>
    <row r="568" spans="2:5" ht="15" customHeight="1">
      <c r="B568" s="114"/>
      <c r="C568" s="58" t="s">
        <v>152</v>
      </c>
      <c r="D568" s="72">
        <v>21</v>
      </c>
      <c r="E568" s="71">
        <v>2E-3</v>
      </c>
    </row>
    <row r="569" spans="2:5" ht="15" customHeight="1">
      <c r="B569" s="114"/>
      <c r="C569" s="58" t="s">
        <v>143</v>
      </c>
      <c r="D569" s="72">
        <v>61</v>
      </c>
      <c r="E569" s="71">
        <v>5.0000000000000001E-3</v>
      </c>
    </row>
    <row r="570" spans="2:5" ht="15" customHeight="1">
      <c r="B570" s="114"/>
      <c r="C570" s="58" t="s">
        <v>153</v>
      </c>
      <c r="D570" s="72">
        <v>21</v>
      </c>
      <c r="E570" s="71">
        <v>2E-3</v>
      </c>
    </row>
    <row r="571" spans="2:5" ht="15" customHeight="1">
      <c r="B571" s="114"/>
      <c r="C571" s="58" t="s">
        <v>154</v>
      </c>
      <c r="D571" s="72">
        <v>12</v>
      </c>
      <c r="E571" s="71">
        <v>1E-3</v>
      </c>
    </row>
    <row r="572" spans="2:5" ht="15" customHeight="1">
      <c r="B572" s="114"/>
      <c r="C572" s="58" t="s">
        <v>155</v>
      </c>
      <c r="D572" s="72">
        <v>51</v>
      </c>
      <c r="E572" s="71">
        <v>4.0000000000000001E-3</v>
      </c>
    </row>
    <row r="573" spans="2:5" ht="15" customHeight="1">
      <c r="B573" s="114"/>
      <c r="C573" s="58" t="s">
        <v>144</v>
      </c>
      <c r="D573" s="72">
        <v>384</v>
      </c>
      <c r="E573" s="71">
        <v>3.2000000000000001E-2</v>
      </c>
    </row>
    <row r="574" spans="2:5" ht="15" customHeight="1">
      <c r="B574" s="114"/>
      <c r="C574" s="58" t="s">
        <v>241</v>
      </c>
      <c r="D574" s="72">
        <v>5</v>
      </c>
      <c r="E574" s="71">
        <v>0</v>
      </c>
    </row>
    <row r="575" spans="2:5" ht="15" customHeight="1">
      <c r="B575" s="114"/>
      <c r="C575" s="58" t="s">
        <v>156</v>
      </c>
      <c r="D575" s="72">
        <v>15</v>
      </c>
      <c r="E575" s="71">
        <v>1E-3</v>
      </c>
    </row>
    <row r="576" spans="2:5" ht="15" customHeight="1">
      <c r="B576" s="114"/>
      <c r="C576" s="58" t="s">
        <v>145</v>
      </c>
      <c r="D576" s="72">
        <v>37</v>
      </c>
      <c r="E576" s="71">
        <v>3.0000000000000001E-3</v>
      </c>
    </row>
    <row r="577" spans="2:5" ht="15" customHeight="1">
      <c r="B577" s="114"/>
      <c r="C577" s="58" t="s">
        <v>146</v>
      </c>
      <c r="D577" s="72">
        <v>27</v>
      </c>
      <c r="E577" s="71">
        <v>2E-3</v>
      </c>
    </row>
    <row r="578" spans="2:5" ht="15" customHeight="1">
      <c r="B578" s="114"/>
      <c r="C578" s="58" t="s">
        <v>147</v>
      </c>
      <c r="D578" s="72">
        <v>116</v>
      </c>
      <c r="E578" s="71">
        <v>0.01</v>
      </c>
    </row>
    <row r="579" spans="2:5" ht="15" customHeight="1">
      <c r="B579" s="114"/>
      <c r="C579" s="58" t="s">
        <v>148</v>
      </c>
      <c r="D579" s="72">
        <v>92</v>
      </c>
      <c r="E579" s="71">
        <v>8.0000000000000002E-3</v>
      </c>
    </row>
    <row r="580" spans="2:5" ht="15" customHeight="1">
      <c r="B580" s="114"/>
      <c r="C580" s="58" t="s">
        <v>157</v>
      </c>
      <c r="D580" s="72">
        <v>85</v>
      </c>
      <c r="E580" s="71">
        <v>7.0000000000000001E-3</v>
      </c>
    </row>
    <row r="581" spans="2:5" ht="15" customHeight="1">
      <c r="B581" s="114"/>
      <c r="C581" s="58" t="s">
        <v>149</v>
      </c>
      <c r="D581" s="72">
        <v>32</v>
      </c>
      <c r="E581" s="71">
        <v>3.0000000000000001E-3</v>
      </c>
    </row>
    <row r="582" spans="2:5" ht="15" customHeight="1">
      <c r="B582" s="114"/>
      <c r="C582" s="58" t="s">
        <v>158</v>
      </c>
      <c r="D582" s="72">
        <v>16</v>
      </c>
      <c r="E582" s="71">
        <v>1E-3</v>
      </c>
    </row>
    <row r="583" spans="2:5" ht="15" customHeight="1">
      <c r="B583" s="114"/>
      <c r="C583" s="58" t="s">
        <v>150</v>
      </c>
      <c r="D583" s="72">
        <v>65</v>
      </c>
      <c r="E583" s="71">
        <v>5.0000000000000001E-3</v>
      </c>
    </row>
    <row r="584" spans="2:5" ht="15" customHeight="1">
      <c r="B584" s="114"/>
      <c r="C584" s="58" t="s">
        <v>151</v>
      </c>
      <c r="D584" s="72">
        <v>24</v>
      </c>
      <c r="E584" s="71">
        <v>2E-3</v>
      </c>
    </row>
    <row r="585" spans="2:5" ht="15" customHeight="1">
      <c r="B585" s="114"/>
      <c r="C585" s="58" t="s">
        <v>159</v>
      </c>
      <c r="D585" s="72">
        <v>66</v>
      </c>
      <c r="E585" s="71">
        <v>6.0000000000000001E-3</v>
      </c>
    </row>
    <row r="586" spans="2:5" ht="15" customHeight="1">
      <c r="B586" s="115"/>
      <c r="C586" s="73" t="s">
        <v>267</v>
      </c>
      <c r="D586" s="78">
        <v>1215</v>
      </c>
      <c r="E586" s="75">
        <v>0.10100000000000001</v>
      </c>
    </row>
    <row r="587" spans="2:5" ht="15" customHeight="1">
      <c r="B587" s="113" t="s">
        <v>55</v>
      </c>
      <c r="C587" s="58" t="s">
        <v>142</v>
      </c>
      <c r="D587" s="72">
        <v>61</v>
      </c>
      <c r="E587" s="71">
        <v>5.0000000000000001E-3</v>
      </c>
    </row>
    <row r="588" spans="2:5" ht="15" customHeight="1">
      <c r="B588" s="114"/>
      <c r="C588" s="58" t="s">
        <v>152</v>
      </c>
      <c r="D588" s="72">
        <v>3</v>
      </c>
      <c r="E588" s="71">
        <v>0</v>
      </c>
    </row>
    <row r="589" spans="2:5" ht="15" customHeight="1">
      <c r="B589" s="114"/>
      <c r="C589" s="58" t="s">
        <v>143</v>
      </c>
      <c r="D589" s="72">
        <v>6</v>
      </c>
      <c r="E589" s="71">
        <v>1E-3</v>
      </c>
    </row>
    <row r="590" spans="2:5" ht="15" customHeight="1">
      <c r="B590" s="114"/>
      <c r="C590" s="58" t="s">
        <v>153</v>
      </c>
      <c r="D590" s="72">
        <v>8</v>
      </c>
      <c r="E590" s="71">
        <v>1E-3</v>
      </c>
    </row>
    <row r="591" spans="2:5" ht="15" customHeight="1">
      <c r="B591" s="114"/>
      <c r="C591" s="58" t="s">
        <v>154</v>
      </c>
      <c r="D591" s="72">
        <v>6</v>
      </c>
      <c r="E591" s="71">
        <v>1E-3</v>
      </c>
    </row>
    <row r="592" spans="2:5" ht="15" customHeight="1">
      <c r="B592" s="114"/>
      <c r="C592" s="58" t="s">
        <v>155</v>
      </c>
      <c r="D592" s="72">
        <v>6</v>
      </c>
      <c r="E592" s="71">
        <v>1E-3</v>
      </c>
    </row>
    <row r="593" spans="2:5" ht="15" customHeight="1">
      <c r="B593" s="114"/>
      <c r="C593" s="58" t="s">
        <v>144</v>
      </c>
      <c r="D593" s="72">
        <v>121</v>
      </c>
      <c r="E593" s="71">
        <v>0.01</v>
      </c>
    </row>
    <row r="594" spans="2:5" ht="15" customHeight="1">
      <c r="B594" s="114"/>
      <c r="C594" s="58" t="s">
        <v>156</v>
      </c>
      <c r="D594" s="72">
        <v>6</v>
      </c>
      <c r="E594" s="71">
        <v>1E-3</v>
      </c>
    </row>
    <row r="595" spans="2:5" ht="15" customHeight="1">
      <c r="B595" s="114"/>
      <c r="C595" s="58" t="s">
        <v>145</v>
      </c>
      <c r="D595" s="72">
        <v>9</v>
      </c>
      <c r="E595" s="71">
        <v>1E-3</v>
      </c>
    </row>
    <row r="596" spans="2:5" ht="15" customHeight="1">
      <c r="B596" s="114"/>
      <c r="C596" s="58" t="s">
        <v>146</v>
      </c>
      <c r="D596" s="72">
        <v>14</v>
      </c>
      <c r="E596" s="71">
        <v>1E-3</v>
      </c>
    </row>
    <row r="597" spans="2:5" ht="15" customHeight="1">
      <c r="B597" s="114"/>
      <c r="C597" s="58" t="s">
        <v>147</v>
      </c>
      <c r="D597" s="72">
        <v>38</v>
      </c>
      <c r="E597" s="71">
        <v>3.0000000000000001E-3</v>
      </c>
    </row>
    <row r="598" spans="2:5" ht="15" customHeight="1">
      <c r="B598" s="114"/>
      <c r="C598" s="58" t="s">
        <v>148</v>
      </c>
      <c r="D598" s="72">
        <v>69</v>
      </c>
      <c r="E598" s="71">
        <v>6.0000000000000001E-3</v>
      </c>
    </row>
    <row r="599" spans="2:5" ht="15" customHeight="1">
      <c r="B599" s="114"/>
      <c r="C599" s="58" t="s">
        <v>157</v>
      </c>
      <c r="D599" s="72">
        <v>14</v>
      </c>
      <c r="E599" s="71">
        <v>1E-3</v>
      </c>
    </row>
    <row r="600" spans="2:5" ht="15" customHeight="1">
      <c r="B600" s="114"/>
      <c r="C600" s="58" t="s">
        <v>149</v>
      </c>
      <c r="D600" s="72">
        <v>11</v>
      </c>
      <c r="E600" s="71">
        <v>1E-3</v>
      </c>
    </row>
    <row r="601" spans="2:5" ht="15" customHeight="1">
      <c r="B601" s="114"/>
      <c r="C601" s="58" t="s">
        <v>158</v>
      </c>
      <c r="D601" s="72">
        <v>11</v>
      </c>
      <c r="E601" s="71">
        <v>1E-3</v>
      </c>
    </row>
    <row r="602" spans="2:5" ht="15" customHeight="1">
      <c r="B602" s="114"/>
      <c r="C602" s="58" t="s">
        <v>150</v>
      </c>
      <c r="D602" s="72">
        <v>6</v>
      </c>
      <c r="E602" s="71">
        <v>1E-3</v>
      </c>
    </row>
    <row r="603" spans="2:5" ht="15" customHeight="1">
      <c r="B603" s="114"/>
      <c r="C603" s="58" t="s">
        <v>151</v>
      </c>
      <c r="D603" s="72">
        <v>19</v>
      </c>
      <c r="E603" s="71">
        <v>2E-3</v>
      </c>
    </row>
    <row r="604" spans="2:5" ht="15" customHeight="1">
      <c r="B604" s="114"/>
      <c r="C604" s="58" t="s">
        <v>159</v>
      </c>
      <c r="D604" s="72">
        <v>7</v>
      </c>
      <c r="E604" s="71">
        <v>1E-3</v>
      </c>
    </row>
    <row r="605" spans="2:5" ht="15" customHeight="1">
      <c r="B605" s="115"/>
      <c r="C605" s="73" t="s">
        <v>267</v>
      </c>
      <c r="D605" s="78">
        <v>415</v>
      </c>
      <c r="E605" s="75">
        <v>3.5000000000000003E-2</v>
      </c>
    </row>
    <row r="606" spans="2:5" ht="15" customHeight="1">
      <c r="B606" s="113" t="s">
        <v>57</v>
      </c>
      <c r="C606" s="58" t="s">
        <v>142</v>
      </c>
      <c r="D606" s="72">
        <v>10</v>
      </c>
      <c r="E606" s="71">
        <v>1E-3</v>
      </c>
    </row>
    <row r="607" spans="2:5" ht="15" customHeight="1">
      <c r="B607" s="114"/>
      <c r="C607" s="58" t="s">
        <v>152</v>
      </c>
      <c r="D607" s="72">
        <v>5</v>
      </c>
      <c r="E607" s="71">
        <v>0</v>
      </c>
    </row>
    <row r="608" spans="2:5" ht="15" customHeight="1">
      <c r="B608" s="114"/>
      <c r="C608" s="58" t="s">
        <v>143</v>
      </c>
      <c r="D608" s="72">
        <v>8</v>
      </c>
      <c r="E608" s="71">
        <v>1E-3</v>
      </c>
    </row>
    <row r="609" spans="2:5" ht="15" customHeight="1">
      <c r="B609" s="114"/>
      <c r="C609" s="58" t="s">
        <v>153</v>
      </c>
      <c r="D609" s="72">
        <v>6</v>
      </c>
      <c r="E609" s="71">
        <v>1E-3</v>
      </c>
    </row>
    <row r="610" spans="2:5" ht="15" customHeight="1">
      <c r="B610" s="114"/>
      <c r="C610" s="58" t="s">
        <v>154</v>
      </c>
      <c r="D610" s="72">
        <v>4</v>
      </c>
      <c r="E610" s="71">
        <v>0</v>
      </c>
    </row>
    <row r="611" spans="2:5" ht="15" customHeight="1">
      <c r="B611" s="114"/>
      <c r="C611" s="58" t="s">
        <v>155</v>
      </c>
      <c r="D611" s="72">
        <v>1</v>
      </c>
      <c r="E611" s="71">
        <v>0</v>
      </c>
    </row>
    <row r="612" spans="2:5" ht="15" customHeight="1">
      <c r="B612" s="114"/>
      <c r="C612" s="58" t="s">
        <v>144</v>
      </c>
      <c r="D612" s="72">
        <v>95</v>
      </c>
      <c r="E612" s="71">
        <v>8.0000000000000002E-3</v>
      </c>
    </row>
    <row r="613" spans="2:5" ht="15" customHeight="1">
      <c r="B613" s="114"/>
      <c r="C613" s="58" t="s">
        <v>241</v>
      </c>
      <c r="D613" s="72">
        <v>15</v>
      </c>
      <c r="E613" s="71">
        <v>1E-3</v>
      </c>
    </row>
    <row r="614" spans="2:5" ht="15" customHeight="1">
      <c r="B614" s="114"/>
      <c r="C614" s="58" t="s">
        <v>156</v>
      </c>
      <c r="D614" s="72">
        <v>8</v>
      </c>
      <c r="E614" s="71">
        <v>1E-3</v>
      </c>
    </row>
    <row r="615" spans="2:5" ht="15" customHeight="1">
      <c r="B615" s="114"/>
      <c r="C615" s="58" t="s">
        <v>145</v>
      </c>
      <c r="D615" s="72">
        <v>3</v>
      </c>
      <c r="E615" s="71">
        <v>0</v>
      </c>
    </row>
    <row r="616" spans="2:5" ht="15" customHeight="1">
      <c r="B616" s="114"/>
      <c r="C616" s="58" t="s">
        <v>146</v>
      </c>
      <c r="D616" s="72">
        <v>6</v>
      </c>
      <c r="E616" s="71">
        <v>1E-3</v>
      </c>
    </row>
    <row r="617" spans="2:5" ht="15" customHeight="1">
      <c r="B617" s="114"/>
      <c r="C617" s="58" t="s">
        <v>147</v>
      </c>
      <c r="D617" s="72">
        <v>17</v>
      </c>
      <c r="E617" s="71">
        <v>1E-3</v>
      </c>
    </row>
    <row r="618" spans="2:5" ht="15" customHeight="1">
      <c r="B618" s="114"/>
      <c r="C618" s="58" t="s">
        <v>148</v>
      </c>
      <c r="D618" s="72">
        <v>40</v>
      </c>
      <c r="E618" s="71">
        <v>3.0000000000000001E-3</v>
      </c>
    </row>
    <row r="619" spans="2:5" ht="15" customHeight="1">
      <c r="B619" s="114"/>
      <c r="C619" s="58" t="s">
        <v>157</v>
      </c>
      <c r="D619" s="72">
        <v>14</v>
      </c>
      <c r="E619" s="71">
        <v>1E-3</v>
      </c>
    </row>
    <row r="620" spans="2:5" ht="15" customHeight="1">
      <c r="B620" s="114"/>
      <c r="C620" s="58" t="s">
        <v>149</v>
      </c>
      <c r="D620" s="72">
        <v>6</v>
      </c>
      <c r="E620" s="71">
        <v>1E-3</v>
      </c>
    </row>
    <row r="621" spans="2:5" ht="15" customHeight="1">
      <c r="B621" s="114"/>
      <c r="C621" s="58" t="s">
        <v>158</v>
      </c>
      <c r="D621" s="72">
        <v>5</v>
      </c>
      <c r="E621" s="71">
        <v>0</v>
      </c>
    </row>
    <row r="622" spans="2:5" ht="15" customHeight="1">
      <c r="B622" s="114"/>
      <c r="C622" s="58" t="s">
        <v>150</v>
      </c>
      <c r="D622" s="72">
        <v>12</v>
      </c>
      <c r="E622" s="71">
        <v>1E-3</v>
      </c>
    </row>
    <row r="623" spans="2:5" ht="15" customHeight="1">
      <c r="B623" s="114"/>
      <c r="C623" s="58" t="s">
        <v>151</v>
      </c>
      <c r="D623" s="72">
        <v>33</v>
      </c>
      <c r="E623" s="71">
        <v>3.0000000000000001E-3</v>
      </c>
    </row>
    <row r="624" spans="2:5" ht="15" customHeight="1">
      <c r="B624" s="114"/>
      <c r="C624" s="58" t="s">
        <v>159</v>
      </c>
      <c r="D624" s="72">
        <v>22</v>
      </c>
      <c r="E624" s="71">
        <v>2E-3</v>
      </c>
    </row>
    <row r="625" spans="2:5" ht="15" customHeight="1">
      <c r="B625" s="115"/>
      <c r="C625" s="73" t="s">
        <v>267</v>
      </c>
      <c r="D625" s="78">
        <v>310</v>
      </c>
      <c r="E625" s="75">
        <v>2.5999999999999999E-2</v>
      </c>
    </row>
    <row r="626" spans="2:5" ht="15" customHeight="1">
      <c r="B626" s="113" t="s">
        <v>53</v>
      </c>
      <c r="C626" s="58" t="s">
        <v>142</v>
      </c>
      <c r="D626" s="72">
        <v>33</v>
      </c>
      <c r="E626" s="71">
        <v>3.0000000000000001E-3</v>
      </c>
    </row>
    <row r="627" spans="2:5" ht="15" customHeight="1">
      <c r="B627" s="114"/>
      <c r="C627" s="58" t="s">
        <v>152</v>
      </c>
      <c r="D627" s="72">
        <v>4</v>
      </c>
      <c r="E627" s="71">
        <v>0</v>
      </c>
    </row>
    <row r="628" spans="2:5" ht="15" customHeight="1">
      <c r="B628" s="114"/>
      <c r="C628" s="58" t="s">
        <v>143</v>
      </c>
      <c r="D628" s="72">
        <v>7</v>
      </c>
      <c r="E628" s="71">
        <v>1E-3</v>
      </c>
    </row>
    <row r="629" spans="2:5" ht="15" customHeight="1">
      <c r="B629" s="114"/>
      <c r="C629" s="58" t="s">
        <v>153</v>
      </c>
      <c r="D629" s="72">
        <v>4</v>
      </c>
      <c r="E629" s="71">
        <v>0</v>
      </c>
    </row>
    <row r="630" spans="2:5" ht="15" customHeight="1">
      <c r="B630" s="114"/>
      <c r="C630" s="58" t="s">
        <v>154</v>
      </c>
      <c r="D630" s="72">
        <v>7</v>
      </c>
      <c r="E630" s="71">
        <v>1E-3</v>
      </c>
    </row>
    <row r="631" spans="2:5" ht="15" customHeight="1">
      <c r="B631" s="114"/>
      <c r="C631" s="58" t="s">
        <v>155</v>
      </c>
      <c r="D631" s="72">
        <v>17</v>
      </c>
      <c r="E631" s="71">
        <v>1E-3</v>
      </c>
    </row>
    <row r="632" spans="2:5" ht="15" customHeight="1">
      <c r="B632" s="114"/>
      <c r="C632" s="58" t="s">
        <v>144</v>
      </c>
      <c r="D632" s="72">
        <v>148</v>
      </c>
      <c r="E632" s="71">
        <v>1.2E-2</v>
      </c>
    </row>
    <row r="633" spans="2:5" ht="15" customHeight="1">
      <c r="B633" s="114"/>
      <c r="C633" s="58" t="s">
        <v>241</v>
      </c>
      <c r="D633" s="72">
        <v>3</v>
      </c>
      <c r="E633" s="71">
        <v>0</v>
      </c>
    </row>
    <row r="634" spans="2:5" ht="15" customHeight="1">
      <c r="B634" s="114"/>
      <c r="C634" s="58" t="s">
        <v>156</v>
      </c>
      <c r="D634" s="72">
        <v>12</v>
      </c>
      <c r="E634" s="71">
        <v>1E-3</v>
      </c>
    </row>
    <row r="635" spans="2:5" ht="15" customHeight="1">
      <c r="B635" s="114"/>
      <c r="C635" s="58" t="s">
        <v>145</v>
      </c>
      <c r="D635" s="72">
        <v>5</v>
      </c>
      <c r="E635" s="71">
        <v>0</v>
      </c>
    </row>
    <row r="636" spans="2:5" ht="15" customHeight="1">
      <c r="B636" s="114"/>
      <c r="C636" s="58" t="s">
        <v>146</v>
      </c>
      <c r="D636" s="72">
        <v>9</v>
      </c>
      <c r="E636" s="71">
        <v>1E-3</v>
      </c>
    </row>
    <row r="637" spans="2:5" ht="15" customHeight="1">
      <c r="B637" s="114"/>
      <c r="C637" s="58" t="s">
        <v>147</v>
      </c>
      <c r="D637" s="72">
        <v>51</v>
      </c>
      <c r="E637" s="71">
        <v>4.0000000000000001E-3</v>
      </c>
    </row>
    <row r="638" spans="2:5" ht="15" customHeight="1">
      <c r="B638" s="114"/>
      <c r="C638" s="58" t="s">
        <v>148</v>
      </c>
      <c r="D638" s="72">
        <v>53</v>
      </c>
      <c r="E638" s="71">
        <v>4.0000000000000001E-3</v>
      </c>
    </row>
    <row r="639" spans="2:5" ht="15" customHeight="1">
      <c r="B639" s="114"/>
      <c r="C639" s="58" t="s">
        <v>157</v>
      </c>
      <c r="D639" s="72">
        <v>15</v>
      </c>
      <c r="E639" s="71">
        <v>1E-3</v>
      </c>
    </row>
    <row r="640" spans="2:5" ht="15" customHeight="1">
      <c r="B640" s="114"/>
      <c r="C640" s="58" t="s">
        <v>149</v>
      </c>
      <c r="D640" s="72">
        <v>26</v>
      </c>
      <c r="E640" s="71">
        <v>2E-3</v>
      </c>
    </row>
    <row r="641" spans="2:5" ht="15" customHeight="1">
      <c r="B641" s="114"/>
      <c r="C641" s="58" t="s">
        <v>158</v>
      </c>
      <c r="D641" s="72">
        <v>7</v>
      </c>
      <c r="E641" s="71">
        <v>1E-3</v>
      </c>
    </row>
    <row r="642" spans="2:5" ht="15" customHeight="1">
      <c r="B642" s="114"/>
      <c r="C642" s="58" t="s">
        <v>150</v>
      </c>
      <c r="D642" s="72">
        <v>15</v>
      </c>
      <c r="E642" s="71">
        <v>1E-3</v>
      </c>
    </row>
    <row r="643" spans="2:5" ht="15" customHeight="1">
      <c r="B643" s="114"/>
      <c r="C643" s="58" t="s">
        <v>151</v>
      </c>
      <c r="D643" s="72">
        <v>43</v>
      </c>
      <c r="E643" s="71">
        <v>4.0000000000000001E-3</v>
      </c>
    </row>
    <row r="644" spans="2:5" ht="15" customHeight="1">
      <c r="B644" s="114"/>
      <c r="C644" s="58" t="s">
        <v>159</v>
      </c>
      <c r="D644" s="72">
        <v>29</v>
      </c>
      <c r="E644" s="71">
        <v>2E-3</v>
      </c>
    </row>
    <row r="645" spans="2:5" ht="15" customHeight="1">
      <c r="B645" s="115"/>
      <c r="C645" s="73" t="s">
        <v>267</v>
      </c>
      <c r="D645" s="78">
        <v>488</v>
      </c>
      <c r="E645" s="75">
        <v>4.1000000000000002E-2</v>
      </c>
    </row>
    <row r="646" spans="2:5" ht="15" customHeight="1">
      <c r="B646" s="113" t="s">
        <v>54</v>
      </c>
      <c r="C646" s="58" t="s">
        <v>142</v>
      </c>
      <c r="D646" s="72">
        <v>34</v>
      </c>
      <c r="E646" s="71">
        <v>3.0000000000000001E-3</v>
      </c>
    </row>
    <row r="647" spans="2:5" ht="15" customHeight="1">
      <c r="B647" s="114"/>
      <c r="C647" s="58" t="s">
        <v>152</v>
      </c>
      <c r="D647" s="72">
        <v>6</v>
      </c>
      <c r="E647" s="71">
        <v>1E-3</v>
      </c>
    </row>
    <row r="648" spans="2:5" ht="15" customHeight="1">
      <c r="B648" s="114"/>
      <c r="C648" s="58" t="s">
        <v>143</v>
      </c>
      <c r="D648" s="72">
        <v>15</v>
      </c>
      <c r="E648" s="71">
        <v>1E-3</v>
      </c>
    </row>
    <row r="649" spans="2:5" ht="15" customHeight="1">
      <c r="B649" s="114"/>
      <c r="C649" s="58" t="s">
        <v>153</v>
      </c>
      <c r="D649" s="72">
        <v>3</v>
      </c>
      <c r="E649" s="71">
        <v>0</v>
      </c>
    </row>
    <row r="650" spans="2:5" ht="15" customHeight="1">
      <c r="B650" s="114"/>
      <c r="C650" s="58" t="s">
        <v>154</v>
      </c>
      <c r="D650" s="72">
        <v>5</v>
      </c>
      <c r="E650" s="71">
        <v>0</v>
      </c>
    </row>
    <row r="651" spans="2:5" ht="15" customHeight="1">
      <c r="B651" s="114"/>
      <c r="C651" s="58" t="s">
        <v>155</v>
      </c>
      <c r="D651" s="72">
        <v>18</v>
      </c>
      <c r="E651" s="71">
        <v>2E-3</v>
      </c>
    </row>
    <row r="652" spans="2:5" ht="15" customHeight="1">
      <c r="B652" s="114"/>
      <c r="C652" s="58" t="s">
        <v>144</v>
      </c>
      <c r="D652" s="72">
        <v>149</v>
      </c>
      <c r="E652" s="71">
        <v>1.2E-2</v>
      </c>
    </row>
    <row r="653" spans="2:5" ht="15" customHeight="1">
      <c r="B653" s="114"/>
      <c r="C653" s="58" t="s">
        <v>241</v>
      </c>
      <c r="D653" s="72">
        <v>1</v>
      </c>
      <c r="E653" s="71">
        <v>0</v>
      </c>
    </row>
    <row r="654" spans="2:5" ht="15" customHeight="1">
      <c r="B654" s="114"/>
      <c r="C654" s="58" t="s">
        <v>156</v>
      </c>
      <c r="D654" s="72">
        <v>6</v>
      </c>
      <c r="E654" s="71">
        <v>1E-3</v>
      </c>
    </row>
    <row r="655" spans="2:5" ht="15" customHeight="1">
      <c r="B655" s="114"/>
      <c r="C655" s="58" t="s">
        <v>145</v>
      </c>
      <c r="D655" s="72">
        <v>11</v>
      </c>
      <c r="E655" s="71">
        <v>1E-3</v>
      </c>
    </row>
    <row r="656" spans="2:5" ht="15" customHeight="1">
      <c r="B656" s="114"/>
      <c r="C656" s="58" t="s">
        <v>146</v>
      </c>
      <c r="D656" s="72">
        <v>20</v>
      </c>
      <c r="E656" s="71">
        <v>2E-3</v>
      </c>
    </row>
    <row r="657" spans="2:5" ht="15" customHeight="1">
      <c r="B657" s="114"/>
      <c r="C657" s="58" t="s">
        <v>147</v>
      </c>
      <c r="D657" s="72">
        <v>32</v>
      </c>
      <c r="E657" s="71">
        <v>3.0000000000000001E-3</v>
      </c>
    </row>
    <row r="658" spans="2:5" ht="15" customHeight="1">
      <c r="B658" s="114"/>
      <c r="C658" s="58" t="s">
        <v>148</v>
      </c>
      <c r="D658" s="72">
        <v>48</v>
      </c>
      <c r="E658" s="71">
        <v>4.0000000000000001E-3</v>
      </c>
    </row>
    <row r="659" spans="2:5" ht="15" customHeight="1">
      <c r="B659" s="114"/>
      <c r="C659" s="58" t="s">
        <v>157</v>
      </c>
      <c r="D659" s="72">
        <v>28</v>
      </c>
      <c r="E659" s="71">
        <v>2E-3</v>
      </c>
    </row>
    <row r="660" spans="2:5" ht="15" customHeight="1">
      <c r="B660" s="114"/>
      <c r="C660" s="58" t="s">
        <v>149</v>
      </c>
      <c r="D660" s="72">
        <v>8</v>
      </c>
      <c r="E660" s="71">
        <v>1E-3</v>
      </c>
    </row>
    <row r="661" spans="2:5" ht="15" customHeight="1">
      <c r="B661" s="114"/>
      <c r="C661" s="58" t="s">
        <v>158</v>
      </c>
      <c r="D661" s="72">
        <v>12</v>
      </c>
      <c r="E661" s="71">
        <v>1E-3</v>
      </c>
    </row>
    <row r="662" spans="2:5" ht="15" customHeight="1">
      <c r="B662" s="114"/>
      <c r="C662" s="58" t="s">
        <v>150</v>
      </c>
      <c r="D662" s="72">
        <v>20</v>
      </c>
      <c r="E662" s="71">
        <v>2E-3</v>
      </c>
    </row>
    <row r="663" spans="2:5" ht="15" customHeight="1">
      <c r="B663" s="114"/>
      <c r="C663" s="58" t="s">
        <v>151</v>
      </c>
      <c r="D663" s="72">
        <v>4</v>
      </c>
      <c r="E663" s="71">
        <v>0</v>
      </c>
    </row>
    <row r="664" spans="2:5" ht="15" customHeight="1">
      <c r="B664" s="114"/>
      <c r="C664" s="58" t="s">
        <v>159</v>
      </c>
      <c r="D664" s="72">
        <v>20</v>
      </c>
      <c r="E664" s="71">
        <v>2E-3</v>
      </c>
    </row>
    <row r="665" spans="2:5" ht="15" customHeight="1">
      <c r="B665" s="115"/>
      <c r="C665" s="73" t="s">
        <v>267</v>
      </c>
      <c r="D665" s="78">
        <v>440</v>
      </c>
      <c r="E665" s="75">
        <v>3.6999999999999998E-2</v>
      </c>
    </row>
    <row r="666" spans="2:5" ht="15" customHeight="1">
      <c r="B666" s="113" t="s">
        <v>67</v>
      </c>
      <c r="C666" s="58" t="s">
        <v>142</v>
      </c>
      <c r="D666" s="72">
        <v>3</v>
      </c>
      <c r="E666" s="71">
        <v>0</v>
      </c>
    </row>
    <row r="667" spans="2:5" ht="15" customHeight="1">
      <c r="B667" s="114"/>
      <c r="C667" s="58" t="s">
        <v>152</v>
      </c>
      <c r="D667" s="72">
        <v>1</v>
      </c>
      <c r="E667" s="71">
        <v>0</v>
      </c>
    </row>
    <row r="668" spans="2:5" ht="15" customHeight="1">
      <c r="B668" s="114"/>
      <c r="C668" s="58" t="s">
        <v>143</v>
      </c>
      <c r="D668" s="72">
        <v>2</v>
      </c>
      <c r="E668" s="71">
        <v>0</v>
      </c>
    </row>
    <row r="669" spans="2:5" ht="15" customHeight="1">
      <c r="B669" s="114"/>
      <c r="C669" s="58" t="s">
        <v>153</v>
      </c>
      <c r="D669" s="72">
        <v>2</v>
      </c>
      <c r="E669" s="71">
        <v>0</v>
      </c>
    </row>
    <row r="670" spans="2:5" ht="15" customHeight="1">
      <c r="B670" s="114"/>
      <c r="C670" s="58" t="s">
        <v>154</v>
      </c>
      <c r="D670" s="72">
        <v>1</v>
      </c>
      <c r="E670" s="71">
        <v>0</v>
      </c>
    </row>
    <row r="671" spans="2:5" ht="15" customHeight="1">
      <c r="B671" s="114"/>
      <c r="C671" s="58" t="s">
        <v>155</v>
      </c>
      <c r="D671" s="72">
        <v>1</v>
      </c>
      <c r="E671" s="71">
        <v>0</v>
      </c>
    </row>
    <row r="672" spans="2:5" ht="15" customHeight="1">
      <c r="B672" s="114"/>
      <c r="C672" s="58" t="s">
        <v>144</v>
      </c>
      <c r="D672" s="72">
        <v>14</v>
      </c>
      <c r="E672" s="71">
        <v>1E-3</v>
      </c>
    </row>
    <row r="673" spans="2:5" ht="15" customHeight="1">
      <c r="B673" s="114"/>
      <c r="C673" s="58" t="s">
        <v>156</v>
      </c>
      <c r="D673" s="72">
        <v>2</v>
      </c>
      <c r="E673" s="71">
        <v>0</v>
      </c>
    </row>
    <row r="674" spans="2:5" ht="15" customHeight="1">
      <c r="B674" s="114"/>
      <c r="C674" s="58" t="s">
        <v>145</v>
      </c>
      <c r="D674" s="72">
        <v>3</v>
      </c>
      <c r="E674" s="71">
        <v>0</v>
      </c>
    </row>
    <row r="675" spans="2:5" ht="15" customHeight="1">
      <c r="B675" s="114"/>
      <c r="C675" s="58" t="s">
        <v>146</v>
      </c>
      <c r="D675" s="72">
        <v>10</v>
      </c>
      <c r="E675" s="71">
        <v>1E-3</v>
      </c>
    </row>
    <row r="676" spans="2:5" ht="15" customHeight="1">
      <c r="B676" s="114"/>
      <c r="C676" s="58" t="s">
        <v>147</v>
      </c>
      <c r="D676" s="72">
        <v>7</v>
      </c>
      <c r="E676" s="71">
        <v>1E-3</v>
      </c>
    </row>
    <row r="677" spans="2:5" ht="15" customHeight="1">
      <c r="B677" s="114"/>
      <c r="C677" s="58" t="s">
        <v>148</v>
      </c>
      <c r="D677" s="72">
        <v>5</v>
      </c>
      <c r="E677" s="71">
        <v>0</v>
      </c>
    </row>
    <row r="678" spans="2:5" ht="15" customHeight="1">
      <c r="B678" s="114"/>
      <c r="C678" s="58" t="s">
        <v>157</v>
      </c>
      <c r="D678" s="72">
        <v>2</v>
      </c>
      <c r="E678" s="71">
        <v>0</v>
      </c>
    </row>
    <row r="679" spans="2:5" ht="15" customHeight="1">
      <c r="B679" s="114"/>
      <c r="C679" s="58" t="s">
        <v>149</v>
      </c>
      <c r="D679" s="72">
        <v>5</v>
      </c>
      <c r="E679" s="71">
        <v>0</v>
      </c>
    </row>
    <row r="680" spans="2:5" ht="15" customHeight="1">
      <c r="B680" s="114"/>
      <c r="C680" s="58" t="s">
        <v>158</v>
      </c>
      <c r="D680" s="72">
        <v>2</v>
      </c>
      <c r="E680" s="71">
        <v>0</v>
      </c>
    </row>
    <row r="681" spans="2:5" ht="15" customHeight="1">
      <c r="B681" s="114"/>
      <c r="C681" s="58" t="s">
        <v>150</v>
      </c>
      <c r="D681" s="72">
        <v>3</v>
      </c>
      <c r="E681" s="71">
        <v>0</v>
      </c>
    </row>
    <row r="682" spans="2:5" ht="15" customHeight="1">
      <c r="B682" s="114"/>
      <c r="C682" s="58" t="s">
        <v>151</v>
      </c>
      <c r="D682" s="72">
        <v>1</v>
      </c>
      <c r="E682" s="71">
        <v>0</v>
      </c>
    </row>
    <row r="683" spans="2:5" ht="15" customHeight="1">
      <c r="B683" s="114"/>
      <c r="C683" s="58" t="s">
        <v>159</v>
      </c>
      <c r="D683" s="72">
        <v>4</v>
      </c>
      <c r="E683" s="71">
        <v>0</v>
      </c>
    </row>
    <row r="684" spans="2:5" ht="15" customHeight="1">
      <c r="B684" s="115"/>
      <c r="C684" s="73" t="s">
        <v>267</v>
      </c>
      <c r="D684" s="78">
        <v>68</v>
      </c>
      <c r="E684" s="75">
        <v>6.0000000000000001E-3</v>
      </c>
    </row>
    <row r="685" spans="2:5" ht="15" customHeight="1">
      <c r="B685" s="113" t="s">
        <v>58</v>
      </c>
      <c r="C685" s="58" t="s">
        <v>142</v>
      </c>
      <c r="D685" s="72">
        <v>37</v>
      </c>
      <c r="E685" s="71">
        <v>3.0000000000000001E-3</v>
      </c>
    </row>
    <row r="686" spans="2:5" ht="15" customHeight="1">
      <c r="B686" s="114"/>
      <c r="C686" s="58" t="s">
        <v>152</v>
      </c>
      <c r="D686" s="72">
        <v>1</v>
      </c>
      <c r="E686" s="71">
        <v>0</v>
      </c>
    </row>
    <row r="687" spans="2:5" ht="15" customHeight="1">
      <c r="B687" s="114"/>
      <c r="C687" s="58" t="s">
        <v>143</v>
      </c>
      <c r="D687" s="72">
        <v>6</v>
      </c>
      <c r="E687" s="71">
        <v>1E-3</v>
      </c>
    </row>
    <row r="688" spans="2:5" ht="15" customHeight="1">
      <c r="B688" s="114"/>
      <c r="C688" s="58" t="s">
        <v>153</v>
      </c>
      <c r="D688" s="72">
        <v>5</v>
      </c>
      <c r="E688" s="71">
        <v>0</v>
      </c>
    </row>
    <row r="689" spans="2:5" ht="15" customHeight="1">
      <c r="B689" s="114"/>
      <c r="C689" s="58" t="s">
        <v>144</v>
      </c>
      <c r="D689" s="72">
        <v>45</v>
      </c>
      <c r="E689" s="71">
        <v>4.0000000000000001E-3</v>
      </c>
    </row>
    <row r="690" spans="2:5" ht="15" customHeight="1">
      <c r="B690" s="114"/>
      <c r="C690" s="58" t="s">
        <v>156</v>
      </c>
      <c r="D690" s="72">
        <v>17</v>
      </c>
      <c r="E690" s="71">
        <v>1E-3</v>
      </c>
    </row>
    <row r="691" spans="2:5" ht="15" customHeight="1">
      <c r="B691" s="114"/>
      <c r="C691" s="58" t="s">
        <v>145</v>
      </c>
      <c r="D691" s="72">
        <v>1</v>
      </c>
      <c r="E691" s="71">
        <v>0</v>
      </c>
    </row>
    <row r="692" spans="2:5" ht="15" customHeight="1">
      <c r="B692" s="114"/>
      <c r="C692" s="58" t="s">
        <v>146</v>
      </c>
      <c r="D692" s="72">
        <v>3</v>
      </c>
      <c r="E692" s="71">
        <v>0</v>
      </c>
    </row>
    <row r="693" spans="2:5" ht="15" customHeight="1">
      <c r="B693" s="114"/>
      <c r="C693" s="58" t="s">
        <v>147</v>
      </c>
      <c r="D693" s="72">
        <v>31</v>
      </c>
      <c r="E693" s="71">
        <v>3.0000000000000001E-3</v>
      </c>
    </row>
    <row r="694" spans="2:5" ht="15" customHeight="1">
      <c r="B694" s="114"/>
      <c r="C694" s="58" t="s">
        <v>148</v>
      </c>
      <c r="D694" s="72">
        <v>8</v>
      </c>
      <c r="E694" s="71">
        <v>1E-3</v>
      </c>
    </row>
    <row r="695" spans="2:5" ht="15" customHeight="1">
      <c r="B695" s="114"/>
      <c r="C695" s="58" t="s">
        <v>157</v>
      </c>
      <c r="D695" s="72">
        <v>6</v>
      </c>
      <c r="E695" s="71">
        <v>1E-3</v>
      </c>
    </row>
    <row r="696" spans="2:5" ht="15" customHeight="1">
      <c r="B696" s="114"/>
      <c r="C696" s="58" t="s">
        <v>149</v>
      </c>
      <c r="D696" s="72">
        <v>2</v>
      </c>
      <c r="E696" s="71">
        <v>0</v>
      </c>
    </row>
    <row r="697" spans="2:5" ht="15" customHeight="1">
      <c r="B697" s="114"/>
      <c r="C697" s="58" t="s">
        <v>158</v>
      </c>
      <c r="D697" s="72">
        <v>2</v>
      </c>
      <c r="E697" s="71">
        <v>0</v>
      </c>
    </row>
    <row r="698" spans="2:5" ht="15" customHeight="1">
      <c r="B698" s="114"/>
      <c r="C698" s="58" t="s">
        <v>150</v>
      </c>
      <c r="D698" s="72">
        <v>9</v>
      </c>
      <c r="E698" s="71">
        <v>1E-3</v>
      </c>
    </row>
    <row r="699" spans="2:5" ht="15" customHeight="1">
      <c r="B699" s="114"/>
      <c r="C699" s="58" t="s">
        <v>151</v>
      </c>
      <c r="D699" s="72">
        <v>1</v>
      </c>
      <c r="E699" s="71">
        <v>0</v>
      </c>
    </row>
    <row r="700" spans="2:5" ht="15" customHeight="1">
      <c r="B700" s="114"/>
      <c r="C700" s="58" t="s">
        <v>159</v>
      </c>
      <c r="D700" s="72">
        <v>12</v>
      </c>
      <c r="E700" s="71">
        <v>1E-3</v>
      </c>
    </row>
    <row r="701" spans="2:5" ht="15" customHeight="1">
      <c r="B701" s="115"/>
      <c r="C701" s="73" t="s">
        <v>267</v>
      </c>
      <c r="D701" s="78">
        <v>186</v>
      </c>
      <c r="E701" s="75">
        <v>1.6E-2</v>
      </c>
    </row>
    <row r="702" spans="2:5" ht="15" customHeight="1">
      <c r="B702" s="113" t="s">
        <v>89</v>
      </c>
      <c r="C702" s="58" t="s">
        <v>142</v>
      </c>
      <c r="D702" s="72">
        <v>5</v>
      </c>
      <c r="E702" s="71">
        <v>0</v>
      </c>
    </row>
    <row r="703" spans="2:5" ht="15" customHeight="1">
      <c r="B703" s="114"/>
      <c r="C703" s="58" t="s">
        <v>144</v>
      </c>
      <c r="D703" s="72">
        <v>7</v>
      </c>
      <c r="E703" s="71">
        <v>1E-3</v>
      </c>
    </row>
    <row r="704" spans="2:5" ht="15" customHeight="1">
      <c r="B704" s="114"/>
      <c r="C704" s="58" t="s">
        <v>156</v>
      </c>
      <c r="D704" s="72">
        <v>1</v>
      </c>
      <c r="E704" s="71">
        <v>0</v>
      </c>
    </row>
    <row r="705" spans="2:5" ht="15" customHeight="1">
      <c r="B705" s="114"/>
      <c r="C705" s="58" t="s">
        <v>147</v>
      </c>
      <c r="D705" s="72">
        <v>10</v>
      </c>
      <c r="E705" s="71">
        <v>1E-3</v>
      </c>
    </row>
    <row r="706" spans="2:5" ht="15" customHeight="1">
      <c r="B706" s="114"/>
      <c r="C706" s="58" t="s">
        <v>148</v>
      </c>
      <c r="D706" s="72">
        <v>3</v>
      </c>
      <c r="E706" s="71">
        <v>0</v>
      </c>
    </row>
    <row r="707" spans="2:5" ht="15" customHeight="1">
      <c r="B707" s="114"/>
      <c r="C707" s="58" t="s">
        <v>149</v>
      </c>
      <c r="D707" s="72">
        <v>1</v>
      </c>
      <c r="E707" s="71">
        <v>0</v>
      </c>
    </row>
    <row r="708" spans="2:5" ht="15" customHeight="1">
      <c r="B708" s="114"/>
      <c r="C708" s="58" t="s">
        <v>158</v>
      </c>
      <c r="D708" s="72">
        <v>1</v>
      </c>
      <c r="E708" s="71">
        <v>0</v>
      </c>
    </row>
    <row r="709" spans="2:5" ht="15" customHeight="1">
      <c r="B709" s="114"/>
      <c r="C709" s="58" t="s">
        <v>151</v>
      </c>
      <c r="D709" s="72">
        <v>1</v>
      </c>
      <c r="E709" s="71">
        <v>0</v>
      </c>
    </row>
    <row r="710" spans="2:5" ht="15" customHeight="1">
      <c r="B710" s="114"/>
      <c r="C710" s="58" t="s">
        <v>159</v>
      </c>
      <c r="D710" s="72">
        <v>1</v>
      </c>
      <c r="E710" s="71">
        <v>0</v>
      </c>
    </row>
    <row r="711" spans="2:5" ht="15" customHeight="1">
      <c r="B711" s="115"/>
      <c r="C711" s="73" t="s">
        <v>267</v>
      </c>
      <c r="D711" s="78">
        <v>30</v>
      </c>
      <c r="E711" s="75">
        <v>3.0000000000000001E-3</v>
      </c>
    </row>
    <row r="712" spans="2:5" ht="15" customHeight="1">
      <c r="B712" s="113" t="s">
        <v>76</v>
      </c>
      <c r="C712" s="58" t="s">
        <v>142</v>
      </c>
      <c r="D712" s="72">
        <v>16</v>
      </c>
      <c r="E712" s="71">
        <v>1E-3</v>
      </c>
    </row>
    <row r="713" spans="2:5" ht="15" customHeight="1">
      <c r="B713" s="114"/>
      <c r="C713" s="58" t="s">
        <v>152</v>
      </c>
      <c r="D713" s="72">
        <v>1</v>
      </c>
      <c r="E713" s="71">
        <v>0</v>
      </c>
    </row>
    <row r="714" spans="2:5" ht="15" customHeight="1">
      <c r="B714" s="114"/>
      <c r="C714" s="58" t="s">
        <v>144</v>
      </c>
      <c r="D714" s="72">
        <v>11</v>
      </c>
      <c r="E714" s="71">
        <v>1E-3</v>
      </c>
    </row>
    <row r="715" spans="2:5" ht="15" customHeight="1">
      <c r="B715" s="114"/>
      <c r="C715" s="58" t="s">
        <v>146</v>
      </c>
      <c r="D715" s="72">
        <v>1</v>
      </c>
      <c r="E715" s="71">
        <v>0</v>
      </c>
    </row>
    <row r="716" spans="2:5" ht="15" customHeight="1">
      <c r="B716" s="114"/>
      <c r="C716" s="58" t="s">
        <v>147</v>
      </c>
      <c r="D716" s="72">
        <v>8</v>
      </c>
      <c r="E716" s="71">
        <v>1E-3</v>
      </c>
    </row>
    <row r="717" spans="2:5" ht="15" customHeight="1">
      <c r="B717" s="114"/>
      <c r="C717" s="58" t="s">
        <v>148</v>
      </c>
      <c r="D717" s="72">
        <v>3</v>
      </c>
      <c r="E717" s="71">
        <v>0</v>
      </c>
    </row>
    <row r="718" spans="2:5" ht="15" customHeight="1">
      <c r="B718" s="114"/>
      <c r="C718" s="58" t="s">
        <v>157</v>
      </c>
      <c r="D718" s="72">
        <v>2</v>
      </c>
      <c r="E718" s="71">
        <v>0</v>
      </c>
    </row>
    <row r="719" spans="2:5" ht="15" customHeight="1">
      <c r="B719" s="114"/>
      <c r="C719" s="58" t="s">
        <v>149</v>
      </c>
      <c r="D719" s="72">
        <v>2</v>
      </c>
      <c r="E719" s="71">
        <v>0</v>
      </c>
    </row>
    <row r="720" spans="2:5" ht="15" customHeight="1">
      <c r="B720" s="114"/>
      <c r="C720" s="58" t="s">
        <v>150</v>
      </c>
      <c r="D720" s="72">
        <v>2</v>
      </c>
      <c r="E720" s="71">
        <v>0</v>
      </c>
    </row>
    <row r="721" spans="2:5" ht="15" customHeight="1">
      <c r="B721" s="114"/>
      <c r="C721" s="58" t="s">
        <v>151</v>
      </c>
      <c r="D721" s="72">
        <v>3</v>
      </c>
      <c r="E721" s="71">
        <v>0</v>
      </c>
    </row>
    <row r="722" spans="2:5" ht="15" customHeight="1">
      <c r="B722" s="114"/>
      <c r="C722" s="58" t="s">
        <v>159</v>
      </c>
      <c r="D722" s="72">
        <v>2</v>
      </c>
      <c r="E722" s="71">
        <v>0</v>
      </c>
    </row>
    <row r="723" spans="2:5" ht="15" customHeight="1">
      <c r="B723" s="115"/>
      <c r="C723" s="73" t="s">
        <v>267</v>
      </c>
      <c r="D723" s="78">
        <v>51</v>
      </c>
      <c r="E723" s="75">
        <v>4.0000000000000001E-3</v>
      </c>
    </row>
    <row r="724" spans="2:5" ht="15" customHeight="1">
      <c r="B724" s="116" t="s">
        <v>267</v>
      </c>
      <c r="C724" s="116"/>
      <c r="D724" s="79">
        <v>11981</v>
      </c>
      <c r="E724" s="77">
        <v>1</v>
      </c>
    </row>
    <row r="725" spans="2:5" ht="15" customHeight="1">
      <c r="B725" s="47"/>
      <c r="C725" s="47"/>
      <c r="D725" s="47"/>
      <c r="E725" s="47"/>
    </row>
    <row r="726" spans="2:5" ht="15" customHeight="1">
      <c r="B726" s="35" t="s">
        <v>235</v>
      </c>
      <c r="C726" s="47"/>
      <c r="D726" s="47"/>
      <c r="E726" s="47"/>
    </row>
    <row r="727" spans="2:5" ht="15" customHeight="1">
      <c r="B727" s="33" t="s">
        <v>18</v>
      </c>
      <c r="C727" s="47"/>
      <c r="D727" s="47"/>
      <c r="E727" s="47"/>
    </row>
    <row r="728" spans="2:5" ht="15" customHeight="1">
      <c r="B728" s="36" t="s">
        <v>46</v>
      </c>
      <c r="C728" s="47"/>
      <c r="D728" s="47"/>
      <c r="E728" s="47"/>
    </row>
    <row r="729" spans="2:5" ht="15" customHeight="1">
      <c r="B729" s="35" t="s">
        <v>17</v>
      </c>
      <c r="C729" s="47"/>
      <c r="D729" s="47"/>
      <c r="E729" s="47"/>
    </row>
    <row r="730" spans="2:5" ht="15" customHeight="1">
      <c r="B730" s="35" t="s">
        <v>268</v>
      </c>
      <c r="C730" s="47"/>
      <c r="D730" s="47"/>
      <c r="E730" s="47"/>
    </row>
    <row r="731" spans="2:5" ht="15" customHeight="1">
      <c r="B731" s="47"/>
      <c r="C731" s="47"/>
      <c r="D731" s="47"/>
      <c r="E731" s="47"/>
    </row>
  </sheetData>
  <mergeCells count="52">
    <mergeCell ref="B535:B552"/>
    <mergeCell ref="B553:B566"/>
    <mergeCell ref="B567:B586"/>
    <mergeCell ref="B587:B605"/>
    <mergeCell ref="B460:B471"/>
    <mergeCell ref="B472:B481"/>
    <mergeCell ref="B482:B498"/>
    <mergeCell ref="B499:B518"/>
    <mergeCell ref="B519:B534"/>
    <mergeCell ref="B378:B391"/>
    <mergeCell ref="B392:B407"/>
    <mergeCell ref="B408:B421"/>
    <mergeCell ref="B422:B439"/>
    <mergeCell ref="B440:B459"/>
    <mergeCell ref="B223:B233"/>
    <mergeCell ref="B234:B246"/>
    <mergeCell ref="B247:B252"/>
    <mergeCell ref="B253:B272"/>
    <mergeCell ref="B273:B289"/>
    <mergeCell ref="B290:B309"/>
    <mergeCell ref="B310:B320"/>
    <mergeCell ref="B321:B332"/>
    <mergeCell ref="B333:B343"/>
    <mergeCell ref="B724:C724"/>
    <mergeCell ref="B685:B701"/>
    <mergeCell ref="B702:B711"/>
    <mergeCell ref="B712:B723"/>
    <mergeCell ref="B356:B364"/>
    <mergeCell ref="B365:B377"/>
    <mergeCell ref="B344:B348"/>
    <mergeCell ref="B349:B355"/>
    <mergeCell ref="B606:B625"/>
    <mergeCell ref="B626:B645"/>
    <mergeCell ref="B646:B665"/>
    <mergeCell ref="B666:B684"/>
    <mergeCell ref="B177:B184"/>
    <mergeCell ref="B185:B204"/>
    <mergeCell ref="B205:B222"/>
    <mergeCell ref="B66:B69"/>
    <mergeCell ref="B70:B74"/>
    <mergeCell ref="B75:B87"/>
    <mergeCell ref="B88:B107"/>
    <mergeCell ref="B108:B124"/>
    <mergeCell ref="B125:B142"/>
    <mergeCell ref="B143:B159"/>
    <mergeCell ref="B160:B162"/>
    <mergeCell ref="B163:B176"/>
    <mergeCell ref="B7:E8"/>
    <mergeCell ref="B10:B22"/>
    <mergeCell ref="B23:B37"/>
    <mergeCell ref="B38:B47"/>
    <mergeCell ref="B48:B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0"/>
  <sheetViews>
    <sheetView showGridLines="0" view="pageBreakPreview" topLeftCell="A28" zoomScaleNormal="100" zoomScaleSheetLayoutView="100" workbookViewId="0">
      <selection activeCell="D25" sqref="D25"/>
    </sheetView>
  </sheetViews>
  <sheetFormatPr baseColWidth="10" defaultColWidth="11.42578125" defaultRowHeight="15"/>
  <cols>
    <col min="1" max="1" width="9.28515625" style="13" customWidth="1"/>
    <col min="2" max="2" width="36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2" t="s">
        <v>38</v>
      </c>
      <c r="C7" s="112"/>
      <c r="D7" s="112"/>
      <c r="E7" s="30"/>
      <c r="F7" s="30"/>
    </row>
    <row r="8" spans="1:6" s="15" customFormat="1" ht="15" customHeight="1">
      <c r="A8" s="30"/>
      <c r="B8" s="112"/>
      <c r="C8" s="112"/>
      <c r="D8" s="112"/>
      <c r="E8" s="30"/>
      <c r="F8" s="30"/>
    </row>
    <row r="9" spans="1:6" s="15" customFormat="1" ht="33" customHeight="1">
      <c r="A9" s="30"/>
      <c r="B9" s="112"/>
      <c r="C9" s="112"/>
      <c r="D9" s="112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7" t="s">
        <v>27</v>
      </c>
      <c r="C11" s="38" t="s">
        <v>26</v>
      </c>
      <c r="D11" s="39" t="s">
        <v>19</v>
      </c>
      <c r="E11" s="30"/>
      <c r="F11" s="30"/>
    </row>
    <row r="12" spans="1:6" ht="16.5">
      <c r="A12" s="32"/>
      <c r="B12" s="64" t="s">
        <v>160</v>
      </c>
      <c r="C12" s="59">
        <v>130</v>
      </c>
      <c r="D12" s="60">
        <v>1.0850513312744999E-2</v>
      </c>
      <c r="E12" s="32"/>
      <c r="F12" s="32"/>
    </row>
    <row r="13" spans="1:6" ht="16.5">
      <c r="A13" s="32"/>
      <c r="B13" s="64" t="s">
        <v>161</v>
      </c>
      <c r="C13" s="59">
        <v>55</v>
      </c>
      <c r="D13" s="60">
        <v>4.5906017861609997E-3</v>
      </c>
      <c r="E13" s="32"/>
      <c r="F13" s="32"/>
    </row>
    <row r="14" spans="1:6" ht="16.5">
      <c r="A14" s="32"/>
      <c r="B14" s="64" t="s">
        <v>162</v>
      </c>
      <c r="C14" s="59">
        <v>73</v>
      </c>
      <c r="D14" s="60">
        <v>6.0929805525419996E-3</v>
      </c>
      <c r="E14" s="32"/>
      <c r="F14" s="32"/>
    </row>
    <row r="15" spans="1:6" ht="16.5">
      <c r="A15" s="32"/>
      <c r="B15" s="64" t="s">
        <v>163</v>
      </c>
      <c r="C15" s="59">
        <v>160</v>
      </c>
      <c r="D15" s="60">
        <v>1.3354477923379E-2</v>
      </c>
      <c r="E15" s="32"/>
      <c r="F15" s="32"/>
    </row>
    <row r="16" spans="1:6" ht="16.5">
      <c r="A16" s="32"/>
      <c r="B16" s="64" t="s">
        <v>164</v>
      </c>
      <c r="C16" s="59">
        <v>127</v>
      </c>
      <c r="D16" s="60">
        <v>1.0600116851682001E-2</v>
      </c>
      <c r="E16" s="32"/>
      <c r="F16" s="32"/>
    </row>
    <row r="17" spans="1:6" ht="16.5">
      <c r="A17" s="32"/>
      <c r="B17" s="64" t="s">
        <v>165</v>
      </c>
      <c r="C17" s="59">
        <v>153</v>
      </c>
      <c r="D17" s="60">
        <v>1.2770219514231001E-2</v>
      </c>
      <c r="E17" s="32"/>
      <c r="F17" s="32"/>
    </row>
    <row r="18" spans="1:6" ht="16.5">
      <c r="A18" s="32"/>
      <c r="B18" s="64" t="s">
        <v>166</v>
      </c>
      <c r="C18" s="59">
        <v>741</v>
      </c>
      <c r="D18" s="60">
        <v>6.1847925882648001E-2</v>
      </c>
      <c r="E18" s="32"/>
      <c r="F18" s="32"/>
    </row>
    <row r="19" spans="1:6" ht="16.5">
      <c r="A19" s="32"/>
      <c r="B19" s="64" t="s">
        <v>167</v>
      </c>
      <c r="C19" s="59">
        <v>1218</v>
      </c>
      <c r="D19" s="60">
        <v>0.10166096319171999</v>
      </c>
      <c r="E19" s="32"/>
      <c r="F19" s="32"/>
    </row>
    <row r="20" spans="1:6" ht="16.5">
      <c r="A20" s="32"/>
      <c r="B20" s="64" t="s">
        <v>168</v>
      </c>
      <c r="C20" s="59">
        <v>138</v>
      </c>
      <c r="D20" s="60">
        <v>1.1518237208914E-2</v>
      </c>
      <c r="E20" s="32"/>
      <c r="F20" s="32"/>
    </row>
    <row r="21" spans="1:6" ht="16.5">
      <c r="A21" s="32"/>
      <c r="B21" s="64" t="s">
        <v>169</v>
      </c>
      <c r="C21" s="59">
        <v>286</v>
      </c>
      <c r="D21" s="60">
        <v>2.3871129288039E-2</v>
      </c>
      <c r="E21" s="32"/>
      <c r="F21" s="32"/>
    </row>
    <row r="22" spans="1:6" ht="16.5">
      <c r="A22" s="32"/>
      <c r="B22" s="64" t="s">
        <v>170</v>
      </c>
      <c r="C22" s="59">
        <v>487</v>
      </c>
      <c r="D22" s="60">
        <v>4.0647692179284003E-2</v>
      </c>
      <c r="E22" s="32"/>
      <c r="F22" s="32"/>
    </row>
    <row r="23" spans="1:6" ht="16.5">
      <c r="A23" s="32"/>
      <c r="B23" s="64" t="s">
        <v>171</v>
      </c>
      <c r="C23" s="59">
        <v>2926</v>
      </c>
      <c r="D23" s="60">
        <v>0.24422001502378801</v>
      </c>
      <c r="E23" s="32"/>
      <c r="F23" s="32"/>
    </row>
    <row r="24" spans="1:6" ht="16.5">
      <c r="A24" s="32"/>
      <c r="B24" s="64" t="s">
        <v>172</v>
      </c>
      <c r="C24" s="59">
        <v>257</v>
      </c>
      <c r="D24" s="60">
        <v>2.1450630164427002E-2</v>
      </c>
      <c r="E24" s="32"/>
      <c r="F24" s="32"/>
    </row>
    <row r="25" spans="1:6" ht="16.5">
      <c r="A25" s="32"/>
      <c r="B25" s="64" t="s">
        <v>173</v>
      </c>
      <c r="C25" s="59">
        <v>922</v>
      </c>
      <c r="D25" s="60">
        <v>7.6955179033470003E-2</v>
      </c>
      <c r="E25" s="32"/>
      <c r="F25" s="32"/>
    </row>
    <row r="26" spans="1:6" ht="16.5">
      <c r="A26" s="32"/>
      <c r="B26" s="64" t="s">
        <v>174</v>
      </c>
      <c r="C26" s="59">
        <v>3056</v>
      </c>
      <c r="D26" s="60">
        <v>0.25507052833653299</v>
      </c>
      <c r="E26" s="32"/>
      <c r="F26" s="32"/>
    </row>
    <row r="27" spans="1:6" ht="16.5">
      <c r="A27" s="32"/>
      <c r="B27" s="64" t="s">
        <v>175</v>
      </c>
      <c r="C27" s="59">
        <v>66</v>
      </c>
      <c r="D27" s="60">
        <v>5.5087221433940004E-3</v>
      </c>
      <c r="E27" s="32"/>
      <c r="F27" s="32"/>
    </row>
    <row r="28" spans="1:6" ht="16.5">
      <c r="A28" s="32"/>
      <c r="B28" s="64" t="s">
        <v>176</v>
      </c>
      <c r="C28" s="59">
        <v>65</v>
      </c>
      <c r="D28" s="60">
        <v>5.4252566563730001E-3</v>
      </c>
      <c r="E28" s="32"/>
      <c r="F28" s="32"/>
    </row>
    <row r="29" spans="1:6" ht="16.5">
      <c r="A29" s="32"/>
      <c r="B29" s="64" t="s">
        <v>177</v>
      </c>
      <c r="C29" s="59">
        <v>40</v>
      </c>
      <c r="D29" s="60">
        <v>3.3386194808449998E-3</v>
      </c>
      <c r="E29" s="32"/>
      <c r="F29" s="32"/>
    </row>
    <row r="30" spans="1:6" ht="16.5">
      <c r="A30" s="32"/>
      <c r="B30" s="64" t="s">
        <v>178</v>
      </c>
      <c r="C30" s="59">
        <v>31</v>
      </c>
      <c r="D30" s="60">
        <v>2.5874300976549999E-3</v>
      </c>
      <c r="E30" s="32"/>
      <c r="F30" s="32"/>
    </row>
    <row r="31" spans="1:6" ht="16.5">
      <c r="A31" s="32"/>
      <c r="B31" s="64" t="s">
        <v>179</v>
      </c>
      <c r="C31" s="59">
        <v>202</v>
      </c>
      <c r="D31" s="60">
        <v>1.6860028378266001E-2</v>
      </c>
      <c r="E31" s="32"/>
      <c r="F31" s="32"/>
    </row>
    <row r="32" spans="1:6" ht="16.5">
      <c r="A32" s="32"/>
      <c r="B32" s="64" t="s">
        <v>180</v>
      </c>
      <c r="C32" s="59">
        <v>806</v>
      </c>
      <c r="D32" s="60">
        <v>6.7273182539019996E-2</v>
      </c>
      <c r="E32" s="32"/>
      <c r="F32" s="32"/>
    </row>
    <row r="33" spans="1:6" ht="16.5">
      <c r="A33" s="32"/>
      <c r="B33" s="64" t="s">
        <v>181</v>
      </c>
      <c r="C33" s="59">
        <v>6</v>
      </c>
      <c r="D33" s="60">
        <v>5.0079292212699999E-4</v>
      </c>
      <c r="E33" s="32"/>
      <c r="F33" s="32"/>
    </row>
    <row r="34" spans="1:6" ht="16.5">
      <c r="A34" s="32"/>
      <c r="B34" s="64" t="s">
        <v>182</v>
      </c>
      <c r="C34" s="59">
        <v>29</v>
      </c>
      <c r="D34" s="60">
        <v>2.420499123612E-3</v>
      </c>
      <c r="E34" s="32"/>
      <c r="F34" s="32"/>
    </row>
    <row r="35" spans="1:6" ht="16.5">
      <c r="A35" s="32"/>
      <c r="B35" s="64" t="s">
        <v>183</v>
      </c>
      <c r="C35" s="59">
        <v>7</v>
      </c>
      <c r="D35" s="60">
        <v>5.8425840914800003E-4</v>
      </c>
      <c r="E35" s="32"/>
      <c r="F35" s="32"/>
    </row>
    <row r="36" spans="1:6" ht="16.5">
      <c r="A36" s="32"/>
      <c r="B36" s="80" t="s">
        <v>271</v>
      </c>
      <c r="C36" s="62">
        <v>11981</v>
      </c>
      <c r="D36" s="63">
        <v>1</v>
      </c>
      <c r="E36" s="32"/>
      <c r="F36" s="32"/>
    </row>
    <row r="37" spans="1:6" ht="16.5">
      <c r="A37" s="32"/>
      <c r="B37" s="32"/>
      <c r="C37" s="34"/>
      <c r="D37" s="32"/>
      <c r="E37" s="32"/>
      <c r="F37" s="32"/>
    </row>
    <row r="38" spans="1:6" ht="16.5">
      <c r="A38" s="32"/>
      <c r="B38" s="35" t="s">
        <v>235</v>
      </c>
      <c r="C38" s="34"/>
      <c r="D38" s="32"/>
      <c r="E38" s="32"/>
      <c r="F38" s="32"/>
    </row>
    <row r="39" spans="1:6" ht="16.5">
      <c r="A39" s="32"/>
      <c r="B39" s="33" t="s">
        <v>18</v>
      </c>
      <c r="C39" s="34"/>
      <c r="D39" s="32"/>
      <c r="E39" s="32"/>
      <c r="F39" s="32"/>
    </row>
    <row r="40" spans="1:6" ht="16.5">
      <c r="A40" s="32"/>
      <c r="B40" s="36" t="s">
        <v>46</v>
      </c>
      <c r="C40" s="34"/>
      <c r="D40" s="32"/>
      <c r="E40" s="32"/>
      <c r="F40" s="32"/>
    </row>
    <row r="41" spans="1:6" ht="16.5">
      <c r="A41" s="32"/>
      <c r="B41" s="35" t="s">
        <v>17</v>
      </c>
      <c r="C41" s="34"/>
      <c r="D41" s="32"/>
      <c r="E41" s="32"/>
      <c r="F41" s="32"/>
    </row>
    <row r="42" spans="1:6" ht="16.5">
      <c r="A42" s="32"/>
      <c r="B42" s="35" t="s">
        <v>268</v>
      </c>
      <c r="C42" s="34"/>
      <c r="D42" s="32"/>
      <c r="E42" s="32"/>
      <c r="F42" s="32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524"/>
  <sheetViews>
    <sheetView showGridLines="0" view="pageBreakPreview" topLeftCell="A505" zoomScaleNormal="100" zoomScaleSheetLayoutView="100" workbookViewId="0">
      <selection activeCell="E524" sqref="E524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117"/>
      <c r="C7" s="117"/>
      <c r="D7" s="117"/>
      <c r="E7" s="117"/>
    </row>
    <row r="8" spans="1:5" s="21" customFormat="1" ht="33" customHeight="1">
      <c r="A8" s="22"/>
      <c r="B8" s="117"/>
      <c r="C8" s="117"/>
      <c r="D8" s="117"/>
      <c r="E8" s="117"/>
    </row>
    <row r="9" spans="1:5" s="15" customFormat="1" ht="40.5" customHeight="1">
      <c r="B9" s="44" t="s">
        <v>28</v>
      </c>
      <c r="C9" s="45" t="s">
        <v>25</v>
      </c>
      <c r="D9" s="46" t="s">
        <v>20</v>
      </c>
      <c r="E9" s="44" t="s">
        <v>19</v>
      </c>
    </row>
    <row r="10" spans="1:5" ht="15" customHeight="1">
      <c r="B10" s="113" t="s">
        <v>160</v>
      </c>
      <c r="C10" s="58" t="s">
        <v>98</v>
      </c>
      <c r="D10" s="72">
        <v>5</v>
      </c>
      <c r="E10" s="71">
        <v>0</v>
      </c>
    </row>
    <row r="11" spans="1:5" ht="15" customHeight="1">
      <c r="B11" s="114"/>
      <c r="C11" s="58" t="s">
        <v>100</v>
      </c>
      <c r="D11" s="72">
        <v>95</v>
      </c>
      <c r="E11" s="71">
        <v>8.0000000000000002E-3</v>
      </c>
    </row>
    <row r="12" spans="1:5" ht="15" customHeight="1">
      <c r="B12" s="114"/>
      <c r="C12" s="58" t="s">
        <v>101</v>
      </c>
      <c r="D12" s="72">
        <v>1</v>
      </c>
      <c r="E12" s="71">
        <v>0</v>
      </c>
    </row>
    <row r="13" spans="1:5" ht="15" customHeight="1">
      <c r="B13" s="114"/>
      <c r="C13" s="58" t="s">
        <v>104</v>
      </c>
      <c r="D13" s="72">
        <v>2</v>
      </c>
      <c r="E13" s="71">
        <v>0</v>
      </c>
    </row>
    <row r="14" spans="1:5" ht="15" customHeight="1">
      <c r="B14" s="114"/>
      <c r="C14" s="58" t="s">
        <v>106</v>
      </c>
      <c r="D14" s="72">
        <v>1</v>
      </c>
      <c r="E14" s="71">
        <v>0</v>
      </c>
    </row>
    <row r="15" spans="1:5" ht="15" customHeight="1">
      <c r="B15" s="114"/>
      <c r="C15" s="58" t="s">
        <v>107</v>
      </c>
      <c r="D15" s="72">
        <v>1</v>
      </c>
      <c r="E15" s="71">
        <v>0</v>
      </c>
    </row>
    <row r="16" spans="1:5" ht="15" customHeight="1">
      <c r="B16" s="114"/>
      <c r="C16" s="58" t="s">
        <v>109</v>
      </c>
      <c r="D16" s="72">
        <v>1</v>
      </c>
      <c r="E16" s="71">
        <v>0</v>
      </c>
    </row>
    <row r="17" spans="2:5" ht="15" customHeight="1">
      <c r="B17" s="114"/>
      <c r="C17" s="58" t="s">
        <v>110</v>
      </c>
      <c r="D17" s="72">
        <v>1</v>
      </c>
      <c r="E17" s="71">
        <v>0</v>
      </c>
    </row>
    <row r="18" spans="2:5" ht="15" customHeight="1">
      <c r="B18" s="114"/>
      <c r="C18" s="58" t="s">
        <v>117</v>
      </c>
      <c r="D18" s="72">
        <v>1</v>
      </c>
      <c r="E18" s="71">
        <v>0</v>
      </c>
    </row>
    <row r="19" spans="2:5" ht="15" customHeight="1">
      <c r="B19" s="114"/>
      <c r="C19" s="58" t="s">
        <v>118</v>
      </c>
      <c r="D19" s="72">
        <v>1</v>
      </c>
      <c r="E19" s="71">
        <v>0</v>
      </c>
    </row>
    <row r="20" spans="2:5" ht="15" customHeight="1">
      <c r="B20" s="114"/>
      <c r="C20" s="58" t="s">
        <v>120</v>
      </c>
      <c r="D20" s="72">
        <v>1</v>
      </c>
      <c r="E20" s="71">
        <v>0</v>
      </c>
    </row>
    <row r="21" spans="2:5" ht="15" customHeight="1">
      <c r="B21" s="114"/>
      <c r="C21" s="58" t="s">
        <v>121</v>
      </c>
      <c r="D21" s="72">
        <v>7</v>
      </c>
      <c r="E21" s="71">
        <v>1E-3</v>
      </c>
    </row>
    <row r="22" spans="2:5" ht="15" customHeight="1">
      <c r="B22" s="114"/>
      <c r="C22" s="58" t="s">
        <v>122</v>
      </c>
      <c r="D22" s="72">
        <v>1</v>
      </c>
      <c r="E22" s="71">
        <v>0</v>
      </c>
    </row>
    <row r="23" spans="2:5" ht="15" customHeight="1">
      <c r="B23" s="114"/>
      <c r="C23" s="58" t="s">
        <v>125</v>
      </c>
      <c r="D23" s="72">
        <v>3</v>
      </c>
      <c r="E23" s="71">
        <v>0</v>
      </c>
    </row>
    <row r="24" spans="2:5" ht="15" customHeight="1">
      <c r="B24" s="114"/>
      <c r="C24" s="58" t="s">
        <v>129</v>
      </c>
      <c r="D24" s="72">
        <v>2</v>
      </c>
      <c r="E24" s="71">
        <v>0</v>
      </c>
    </row>
    <row r="25" spans="2:5" ht="15" customHeight="1">
      <c r="B25" s="114"/>
      <c r="C25" s="58" t="s">
        <v>133</v>
      </c>
      <c r="D25" s="72">
        <v>1</v>
      </c>
      <c r="E25" s="71">
        <v>0</v>
      </c>
    </row>
    <row r="26" spans="2:5" ht="15" customHeight="1">
      <c r="B26" s="114"/>
      <c r="C26" s="58" t="s">
        <v>134</v>
      </c>
      <c r="D26" s="72">
        <v>1</v>
      </c>
      <c r="E26" s="71">
        <v>0</v>
      </c>
    </row>
    <row r="27" spans="2:5" ht="15" customHeight="1">
      <c r="B27" s="114"/>
      <c r="C27" s="58" t="s">
        <v>89</v>
      </c>
      <c r="D27" s="72">
        <v>5</v>
      </c>
      <c r="E27" s="71">
        <v>0</v>
      </c>
    </row>
    <row r="28" spans="2:5" ht="15" customHeight="1">
      <c r="B28" s="115"/>
      <c r="C28" s="73" t="s">
        <v>267</v>
      </c>
      <c r="D28" s="78">
        <v>130</v>
      </c>
      <c r="E28" s="75">
        <v>1.0999999999999999E-2</v>
      </c>
    </row>
    <row r="29" spans="2:5" ht="15" customHeight="1">
      <c r="B29" s="113" t="s">
        <v>242</v>
      </c>
      <c r="C29" s="58" t="s">
        <v>98</v>
      </c>
      <c r="D29" s="72">
        <v>12</v>
      </c>
      <c r="E29" s="71">
        <v>1E-3</v>
      </c>
    </row>
    <row r="30" spans="2:5" ht="15" customHeight="1">
      <c r="B30" s="114"/>
      <c r="C30" s="58" t="s">
        <v>100</v>
      </c>
      <c r="D30" s="72">
        <v>37</v>
      </c>
      <c r="E30" s="71">
        <v>3.0000000000000001E-3</v>
      </c>
    </row>
    <row r="31" spans="2:5" ht="15" customHeight="1">
      <c r="B31" s="114"/>
      <c r="C31" s="58" t="s">
        <v>110</v>
      </c>
      <c r="D31" s="72">
        <v>1</v>
      </c>
      <c r="E31" s="71">
        <v>0</v>
      </c>
    </row>
    <row r="32" spans="2:5" ht="15" customHeight="1">
      <c r="B32" s="114"/>
      <c r="C32" s="58" t="s">
        <v>111</v>
      </c>
      <c r="D32" s="72">
        <v>1</v>
      </c>
      <c r="E32" s="71">
        <v>0</v>
      </c>
    </row>
    <row r="33" spans="2:5" ht="15" customHeight="1">
      <c r="B33" s="114"/>
      <c r="C33" s="58" t="s">
        <v>120</v>
      </c>
      <c r="D33" s="72">
        <v>1</v>
      </c>
      <c r="E33" s="71">
        <v>0</v>
      </c>
    </row>
    <row r="34" spans="2:5" ht="15" customHeight="1">
      <c r="B34" s="114"/>
      <c r="C34" s="58" t="s">
        <v>121</v>
      </c>
      <c r="D34" s="72">
        <v>1</v>
      </c>
      <c r="E34" s="71">
        <v>0</v>
      </c>
    </row>
    <row r="35" spans="2:5" ht="15" customHeight="1">
      <c r="B35" s="114"/>
      <c r="C35" s="58" t="s">
        <v>134</v>
      </c>
      <c r="D35" s="72">
        <v>1</v>
      </c>
      <c r="E35" s="71">
        <v>0</v>
      </c>
    </row>
    <row r="36" spans="2:5" ht="15" customHeight="1">
      <c r="B36" s="114"/>
      <c r="C36" s="58" t="s">
        <v>89</v>
      </c>
      <c r="D36" s="72">
        <v>1</v>
      </c>
      <c r="E36" s="71">
        <v>0</v>
      </c>
    </row>
    <row r="37" spans="2:5" ht="15" customHeight="1">
      <c r="B37" s="115"/>
      <c r="C37" s="73" t="s">
        <v>267</v>
      </c>
      <c r="D37" s="78">
        <v>55</v>
      </c>
      <c r="E37" s="75">
        <v>5.0000000000000001E-3</v>
      </c>
    </row>
    <row r="38" spans="2:5" ht="15" customHeight="1">
      <c r="B38" s="113" t="s">
        <v>243</v>
      </c>
      <c r="C38" s="58" t="s">
        <v>98</v>
      </c>
      <c r="D38" s="72">
        <v>6</v>
      </c>
      <c r="E38" s="71">
        <v>1E-3</v>
      </c>
    </row>
    <row r="39" spans="2:5" ht="15" customHeight="1">
      <c r="B39" s="114"/>
      <c r="C39" s="58" t="s">
        <v>100</v>
      </c>
      <c r="D39" s="72">
        <v>52</v>
      </c>
      <c r="E39" s="71">
        <v>4.0000000000000001E-3</v>
      </c>
    </row>
    <row r="40" spans="2:5" ht="15" customHeight="1">
      <c r="B40" s="114"/>
      <c r="C40" s="58" t="s">
        <v>101</v>
      </c>
      <c r="D40" s="72">
        <v>3</v>
      </c>
      <c r="E40" s="71">
        <v>0</v>
      </c>
    </row>
    <row r="41" spans="2:5" ht="15" customHeight="1">
      <c r="B41" s="114"/>
      <c r="C41" s="58" t="s">
        <v>116</v>
      </c>
      <c r="D41" s="72">
        <v>1</v>
      </c>
      <c r="E41" s="71">
        <v>0</v>
      </c>
    </row>
    <row r="42" spans="2:5" ht="15" customHeight="1">
      <c r="B42" s="114"/>
      <c r="C42" s="58" t="s">
        <v>118</v>
      </c>
      <c r="D42" s="72">
        <v>1</v>
      </c>
      <c r="E42" s="71">
        <v>0</v>
      </c>
    </row>
    <row r="43" spans="2:5" ht="15" customHeight="1">
      <c r="B43" s="114"/>
      <c r="C43" s="58" t="s">
        <v>121</v>
      </c>
      <c r="D43" s="72">
        <v>2</v>
      </c>
      <c r="E43" s="71">
        <v>0</v>
      </c>
    </row>
    <row r="44" spans="2:5" ht="15" customHeight="1">
      <c r="B44" s="114"/>
      <c r="C44" s="58" t="s">
        <v>125</v>
      </c>
      <c r="D44" s="72">
        <v>1</v>
      </c>
      <c r="E44" s="71">
        <v>0</v>
      </c>
    </row>
    <row r="45" spans="2:5" ht="15" customHeight="1">
      <c r="B45" s="114"/>
      <c r="C45" s="58" t="s">
        <v>129</v>
      </c>
      <c r="D45" s="72">
        <v>1</v>
      </c>
      <c r="E45" s="71">
        <v>0</v>
      </c>
    </row>
    <row r="46" spans="2:5" ht="15" customHeight="1">
      <c r="B46" s="114"/>
      <c r="C46" s="58" t="s">
        <v>133</v>
      </c>
      <c r="D46" s="72">
        <v>2</v>
      </c>
      <c r="E46" s="71">
        <v>0</v>
      </c>
    </row>
    <row r="47" spans="2:5" ht="15" customHeight="1">
      <c r="B47" s="114"/>
      <c r="C47" s="58" t="s">
        <v>136</v>
      </c>
      <c r="D47" s="72">
        <v>2</v>
      </c>
      <c r="E47" s="71">
        <v>0</v>
      </c>
    </row>
    <row r="48" spans="2:5" ht="15" customHeight="1">
      <c r="B48" s="114"/>
      <c r="C48" s="58" t="s">
        <v>89</v>
      </c>
      <c r="D48" s="72">
        <v>2</v>
      </c>
      <c r="E48" s="71">
        <v>0</v>
      </c>
    </row>
    <row r="49" spans="2:5" ht="15" customHeight="1">
      <c r="B49" s="115"/>
      <c r="C49" s="73" t="s">
        <v>267</v>
      </c>
      <c r="D49" s="78">
        <v>73</v>
      </c>
      <c r="E49" s="75">
        <v>6.0000000000000001E-3</v>
      </c>
    </row>
    <row r="50" spans="2:5" ht="15" customHeight="1">
      <c r="B50" s="113" t="s">
        <v>244</v>
      </c>
      <c r="C50" s="58" t="s">
        <v>98</v>
      </c>
      <c r="D50" s="72">
        <v>20</v>
      </c>
      <c r="E50" s="71">
        <v>2E-3</v>
      </c>
    </row>
    <row r="51" spans="2:5" ht="15" customHeight="1">
      <c r="B51" s="114"/>
      <c r="C51" s="58" t="s">
        <v>100</v>
      </c>
      <c r="D51" s="72">
        <v>102</v>
      </c>
      <c r="E51" s="71">
        <v>8.9999999999999993E-3</v>
      </c>
    </row>
    <row r="52" spans="2:5" ht="15" customHeight="1">
      <c r="B52" s="114"/>
      <c r="C52" s="58" t="s">
        <v>101</v>
      </c>
      <c r="D52" s="72">
        <v>6</v>
      </c>
      <c r="E52" s="71">
        <v>1E-3</v>
      </c>
    </row>
    <row r="53" spans="2:5" ht="15" customHeight="1">
      <c r="B53" s="114"/>
      <c r="C53" s="58" t="s">
        <v>104</v>
      </c>
      <c r="D53" s="72">
        <v>1</v>
      </c>
      <c r="E53" s="71">
        <v>0</v>
      </c>
    </row>
    <row r="54" spans="2:5" ht="15" customHeight="1">
      <c r="B54" s="114"/>
      <c r="C54" s="58" t="s">
        <v>105</v>
      </c>
      <c r="D54" s="72">
        <v>1</v>
      </c>
      <c r="E54" s="71">
        <v>0</v>
      </c>
    </row>
    <row r="55" spans="2:5" ht="15" customHeight="1">
      <c r="B55" s="114"/>
      <c r="C55" s="58" t="s">
        <v>106</v>
      </c>
      <c r="D55" s="72">
        <v>3</v>
      </c>
      <c r="E55" s="71">
        <v>0</v>
      </c>
    </row>
    <row r="56" spans="2:5" ht="15" customHeight="1">
      <c r="B56" s="114"/>
      <c r="C56" s="58" t="s">
        <v>107</v>
      </c>
      <c r="D56" s="72">
        <v>1</v>
      </c>
      <c r="E56" s="71">
        <v>0</v>
      </c>
    </row>
    <row r="57" spans="2:5" ht="15" customHeight="1">
      <c r="B57" s="114"/>
      <c r="C57" s="58" t="s">
        <v>110</v>
      </c>
      <c r="D57" s="72">
        <v>1</v>
      </c>
      <c r="E57" s="71">
        <v>0</v>
      </c>
    </row>
    <row r="58" spans="2:5" ht="15" customHeight="1">
      <c r="B58" s="114"/>
      <c r="C58" s="58" t="s">
        <v>111</v>
      </c>
      <c r="D58" s="72">
        <v>1</v>
      </c>
      <c r="E58" s="71">
        <v>0</v>
      </c>
    </row>
    <row r="59" spans="2:5" ht="15" customHeight="1">
      <c r="B59" s="114"/>
      <c r="C59" s="58" t="s">
        <v>115</v>
      </c>
      <c r="D59" s="72">
        <v>1</v>
      </c>
      <c r="E59" s="71">
        <v>0</v>
      </c>
    </row>
    <row r="60" spans="2:5" ht="15" customHeight="1">
      <c r="B60" s="114"/>
      <c r="C60" s="58" t="s">
        <v>121</v>
      </c>
      <c r="D60" s="72">
        <v>7</v>
      </c>
      <c r="E60" s="71">
        <v>1E-3</v>
      </c>
    </row>
    <row r="61" spans="2:5" ht="15" customHeight="1">
      <c r="B61" s="114"/>
      <c r="C61" s="58" t="s">
        <v>125</v>
      </c>
      <c r="D61" s="72">
        <v>2</v>
      </c>
      <c r="E61" s="71">
        <v>0</v>
      </c>
    </row>
    <row r="62" spans="2:5" ht="15" customHeight="1">
      <c r="B62" s="114"/>
      <c r="C62" s="58" t="s">
        <v>129</v>
      </c>
      <c r="D62" s="72">
        <v>3</v>
      </c>
      <c r="E62" s="71">
        <v>0</v>
      </c>
    </row>
    <row r="63" spans="2:5" ht="15" customHeight="1">
      <c r="B63" s="114"/>
      <c r="C63" s="58" t="s">
        <v>133</v>
      </c>
      <c r="D63" s="72">
        <v>1</v>
      </c>
      <c r="E63" s="71">
        <v>0</v>
      </c>
    </row>
    <row r="64" spans="2:5" ht="15" customHeight="1">
      <c r="B64" s="114"/>
      <c r="C64" s="58" t="s">
        <v>134</v>
      </c>
      <c r="D64" s="72">
        <v>5</v>
      </c>
      <c r="E64" s="71">
        <v>0</v>
      </c>
    </row>
    <row r="65" spans="2:5" ht="15" customHeight="1">
      <c r="B65" s="114"/>
      <c r="C65" s="58" t="s">
        <v>89</v>
      </c>
      <c r="D65" s="72">
        <v>5</v>
      </c>
      <c r="E65" s="71">
        <v>0</v>
      </c>
    </row>
    <row r="66" spans="2:5" ht="15" customHeight="1">
      <c r="B66" s="115"/>
      <c r="C66" s="73" t="s">
        <v>267</v>
      </c>
      <c r="D66" s="78">
        <v>160</v>
      </c>
      <c r="E66" s="75">
        <v>1.2999999999999999E-2</v>
      </c>
    </row>
    <row r="67" spans="2:5" ht="15" customHeight="1">
      <c r="B67" s="113" t="s">
        <v>245</v>
      </c>
      <c r="C67" s="58" t="s">
        <v>96</v>
      </c>
      <c r="D67" s="72">
        <v>1</v>
      </c>
      <c r="E67" s="71">
        <v>0</v>
      </c>
    </row>
    <row r="68" spans="2:5" ht="15" customHeight="1">
      <c r="B68" s="114"/>
      <c r="C68" s="58" t="s">
        <v>98</v>
      </c>
      <c r="D68" s="72">
        <v>14</v>
      </c>
      <c r="E68" s="71">
        <v>1E-3</v>
      </c>
    </row>
    <row r="69" spans="2:5" ht="15" customHeight="1">
      <c r="B69" s="114"/>
      <c r="C69" s="58" t="s">
        <v>100</v>
      </c>
      <c r="D69" s="72">
        <v>87</v>
      </c>
      <c r="E69" s="71">
        <v>7.0000000000000001E-3</v>
      </c>
    </row>
    <row r="70" spans="2:5" ht="15" customHeight="1">
      <c r="B70" s="114"/>
      <c r="C70" s="58" t="s">
        <v>104</v>
      </c>
      <c r="D70" s="72">
        <v>3</v>
      </c>
      <c r="E70" s="71">
        <v>0</v>
      </c>
    </row>
    <row r="71" spans="2:5" ht="15" customHeight="1">
      <c r="B71" s="114"/>
      <c r="C71" s="58" t="s">
        <v>105</v>
      </c>
      <c r="D71" s="72">
        <v>1</v>
      </c>
      <c r="E71" s="71">
        <v>0</v>
      </c>
    </row>
    <row r="72" spans="2:5" ht="15" customHeight="1">
      <c r="B72" s="114"/>
      <c r="C72" s="58" t="s">
        <v>106</v>
      </c>
      <c r="D72" s="72">
        <v>1</v>
      </c>
      <c r="E72" s="71">
        <v>0</v>
      </c>
    </row>
    <row r="73" spans="2:5" ht="15" customHeight="1">
      <c r="B73" s="114"/>
      <c r="C73" s="58" t="s">
        <v>107</v>
      </c>
      <c r="D73" s="72">
        <v>1</v>
      </c>
      <c r="E73" s="71">
        <v>0</v>
      </c>
    </row>
    <row r="74" spans="2:5" ht="15" customHeight="1">
      <c r="B74" s="114"/>
      <c r="C74" s="58" t="s">
        <v>110</v>
      </c>
      <c r="D74" s="72">
        <v>3</v>
      </c>
      <c r="E74" s="71">
        <v>0</v>
      </c>
    </row>
    <row r="75" spans="2:5" ht="15" customHeight="1">
      <c r="B75" s="114"/>
      <c r="C75" s="58" t="s">
        <v>118</v>
      </c>
      <c r="D75" s="72">
        <v>2</v>
      </c>
      <c r="E75" s="71">
        <v>0</v>
      </c>
    </row>
    <row r="76" spans="2:5" ht="15" customHeight="1">
      <c r="B76" s="114"/>
      <c r="C76" s="58" t="s">
        <v>120</v>
      </c>
      <c r="D76" s="72">
        <v>2</v>
      </c>
      <c r="E76" s="71">
        <v>0</v>
      </c>
    </row>
    <row r="77" spans="2:5" ht="15" customHeight="1">
      <c r="B77" s="114"/>
      <c r="C77" s="58" t="s">
        <v>121</v>
      </c>
      <c r="D77" s="72">
        <v>6</v>
      </c>
      <c r="E77" s="71">
        <v>1E-3</v>
      </c>
    </row>
    <row r="78" spans="2:5" ht="15" customHeight="1">
      <c r="B78" s="114"/>
      <c r="C78" s="58" t="s">
        <v>122</v>
      </c>
      <c r="D78" s="72">
        <v>1</v>
      </c>
      <c r="E78" s="71">
        <v>0</v>
      </c>
    </row>
    <row r="79" spans="2:5" ht="15" customHeight="1">
      <c r="B79" s="114"/>
      <c r="C79" s="58" t="s">
        <v>125</v>
      </c>
      <c r="D79" s="72">
        <v>1</v>
      </c>
      <c r="E79" s="71">
        <v>0</v>
      </c>
    </row>
    <row r="80" spans="2:5" ht="15" customHeight="1">
      <c r="B80" s="114"/>
      <c r="C80" s="58" t="s">
        <v>127</v>
      </c>
      <c r="D80" s="72">
        <v>1</v>
      </c>
      <c r="E80" s="71">
        <v>0</v>
      </c>
    </row>
    <row r="81" spans="2:5" ht="15" customHeight="1">
      <c r="B81" s="114"/>
      <c r="C81" s="58" t="s">
        <v>128</v>
      </c>
      <c r="D81" s="72">
        <v>1</v>
      </c>
      <c r="E81" s="71">
        <v>0</v>
      </c>
    </row>
    <row r="82" spans="2:5" ht="15" customHeight="1">
      <c r="B82" s="114"/>
      <c r="C82" s="58" t="s">
        <v>133</v>
      </c>
      <c r="D82" s="72">
        <v>1</v>
      </c>
      <c r="E82" s="71">
        <v>0</v>
      </c>
    </row>
    <row r="83" spans="2:5" ht="15" customHeight="1">
      <c r="B83" s="114"/>
      <c r="C83" s="58" t="s">
        <v>134</v>
      </c>
      <c r="D83" s="72">
        <v>1</v>
      </c>
      <c r="E83" s="71">
        <v>0</v>
      </c>
    </row>
    <row r="84" spans="2:5" ht="15" customHeight="1">
      <c r="B84" s="115"/>
      <c r="C84" s="73" t="s">
        <v>267</v>
      </c>
      <c r="D84" s="78">
        <v>127</v>
      </c>
      <c r="E84" s="75">
        <v>1.0999999999999999E-2</v>
      </c>
    </row>
    <row r="85" spans="2:5" ht="15" customHeight="1">
      <c r="B85" s="113" t="s">
        <v>246</v>
      </c>
      <c r="C85" s="58" t="s">
        <v>98</v>
      </c>
      <c r="D85" s="72">
        <v>27</v>
      </c>
      <c r="E85" s="71">
        <v>2E-3</v>
      </c>
    </row>
    <row r="86" spans="2:5" ht="15" customHeight="1">
      <c r="B86" s="114"/>
      <c r="C86" s="58" t="s">
        <v>100</v>
      </c>
      <c r="D86" s="72">
        <v>100</v>
      </c>
      <c r="E86" s="71">
        <v>8.0000000000000002E-3</v>
      </c>
    </row>
    <row r="87" spans="2:5" ht="15" customHeight="1">
      <c r="B87" s="114"/>
      <c r="C87" s="58" t="s">
        <v>101</v>
      </c>
      <c r="D87" s="72">
        <v>1</v>
      </c>
      <c r="E87" s="71">
        <v>0</v>
      </c>
    </row>
    <row r="88" spans="2:5" ht="15" customHeight="1">
      <c r="B88" s="114"/>
      <c r="C88" s="58" t="s">
        <v>107</v>
      </c>
      <c r="D88" s="72">
        <v>1</v>
      </c>
      <c r="E88" s="71">
        <v>0</v>
      </c>
    </row>
    <row r="89" spans="2:5" ht="15" customHeight="1">
      <c r="B89" s="114"/>
      <c r="C89" s="58" t="s">
        <v>109</v>
      </c>
      <c r="D89" s="72">
        <v>2</v>
      </c>
      <c r="E89" s="71">
        <v>0</v>
      </c>
    </row>
    <row r="90" spans="2:5" ht="15" customHeight="1">
      <c r="B90" s="114"/>
      <c r="C90" s="58" t="s">
        <v>110</v>
      </c>
      <c r="D90" s="72">
        <v>1</v>
      </c>
      <c r="E90" s="71">
        <v>0</v>
      </c>
    </row>
    <row r="91" spans="2:5" ht="15" customHeight="1">
      <c r="B91" s="114"/>
      <c r="C91" s="58" t="s">
        <v>115</v>
      </c>
      <c r="D91" s="72">
        <v>3</v>
      </c>
      <c r="E91" s="71">
        <v>0</v>
      </c>
    </row>
    <row r="92" spans="2:5" ht="15" customHeight="1">
      <c r="B92" s="114"/>
      <c r="C92" s="58" t="s">
        <v>116</v>
      </c>
      <c r="D92" s="72">
        <v>1</v>
      </c>
      <c r="E92" s="71">
        <v>0</v>
      </c>
    </row>
    <row r="93" spans="2:5" ht="15" customHeight="1">
      <c r="B93" s="114"/>
      <c r="C93" s="58" t="s">
        <v>120</v>
      </c>
      <c r="D93" s="72">
        <v>1</v>
      </c>
      <c r="E93" s="71">
        <v>0</v>
      </c>
    </row>
    <row r="94" spans="2:5" ht="15" customHeight="1">
      <c r="B94" s="114"/>
      <c r="C94" s="58" t="s">
        <v>121</v>
      </c>
      <c r="D94" s="72">
        <v>6</v>
      </c>
      <c r="E94" s="71">
        <v>1E-3</v>
      </c>
    </row>
    <row r="95" spans="2:5" ht="15" customHeight="1">
      <c r="B95" s="114"/>
      <c r="C95" s="58" t="s">
        <v>123</v>
      </c>
      <c r="D95" s="72">
        <v>1</v>
      </c>
      <c r="E95" s="71">
        <v>0</v>
      </c>
    </row>
    <row r="96" spans="2:5" ht="15" customHeight="1">
      <c r="B96" s="114"/>
      <c r="C96" s="58" t="s">
        <v>124</v>
      </c>
      <c r="D96" s="72">
        <v>2</v>
      </c>
      <c r="E96" s="71">
        <v>0</v>
      </c>
    </row>
    <row r="97" spans="2:5" ht="15" customHeight="1">
      <c r="B97" s="114"/>
      <c r="C97" s="58" t="s">
        <v>125</v>
      </c>
      <c r="D97" s="72">
        <v>1</v>
      </c>
      <c r="E97" s="71">
        <v>0</v>
      </c>
    </row>
    <row r="98" spans="2:5" ht="15" customHeight="1">
      <c r="B98" s="114"/>
      <c r="C98" s="58" t="s">
        <v>134</v>
      </c>
      <c r="D98" s="72">
        <v>3</v>
      </c>
      <c r="E98" s="71">
        <v>0</v>
      </c>
    </row>
    <row r="99" spans="2:5" ht="15" customHeight="1">
      <c r="B99" s="114"/>
      <c r="C99" s="58" t="s">
        <v>135</v>
      </c>
      <c r="D99" s="72">
        <v>3</v>
      </c>
      <c r="E99" s="71">
        <v>0</v>
      </c>
    </row>
    <row r="100" spans="2:5" ht="15" customHeight="1">
      <c r="B100" s="115"/>
      <c r="C100" s="73" t="s">
        <v>267</v>
      </c>
      <c r="D100" s="78">
        <v>153</v>
      </c>
      <c r="E100" s="75">
        <v>1.2999999999999999E-2</v>
      </c>
    </row>
    <row r="101" spans="2:5" ht="15" customHeight="1">
      <c r="B101" s="113" t="s">
        <v>247</v>
      </c>
      <c r="C101" s="58" t="s">
        <v>98</v>
      </c>
      <c r="D101" s="72">
        <v>82</v>
      </c>
      <c r="E101" s="71">
        <v>7.0000000000000001E-3</v>
      </c>
    </row>
    <row r="102" spans="2:5" ht="15" customHeight="1">
      <c r="B102" s="114"/>
      <c r="C102" s="58" t="s">
        <v>99</v>
      </c>
      <c r="D102" s="72">
        <v>1</v>
      </c>
      <c r="E102" s="71">
        <v>0</v>
      </c>
    </row>
    <row r="103" spans="2:5" ht="15" customHeight="1">
      <c r="B103" s="114"/>
      <c r="C103" s="58" t="s">
        <v>100</v>
      </c>
      <c r="D103" s="72">
        <v>498</v>
      </c>
      <c r="E103" s="71">
        <v>4.2000000000000003E-2</v>
      </c>
    </row>
    <row r="104" spans="2:5" ht="15" customHeight="1">
      <c r="B104" s="114"/>
      <c r="C104" s="58" t="s">
        <v>101</v>
      </c>
      <c r="D104" s="72">
        <v>15</v>
      </c>
      <c r="E104" s="71">
        <v>1E-3</v>
      </c>
    </row>
    <row r="105" spans="2:5" ht="15" customHeight="1">
      <c r="B105" s="114"/>
      <c r="C105" s="58" t="s">
        <v>103</v>
      </c>
      <c r="D105" s="72">
        <v>1</v>
      </c>
      <c r="E105" s="71">
        <v>0</v>
      </c>
    </row>
    <row r="106" spans="2:5" ht="15" customHeight="1">
      <c r="B106" s="114"/>
      <c r="C106" s="58" t="s">
        <v>104</v>
      </c>
      <c r="D106" s="72">
        <v>4</v>
      </c>
      <c r="E106" s="71">
        <v>0</v>
      </c>
    </row>
    <row r="107" spans="2:5" ht="15" customHeight="1">
      <c r="B107" s="114"/>
      <c r="C107" s="58" t="s">
        <v>105</v>
      </c>
      <c r="D107" s="72">
        <v>1</v>
      </c>
      <c r="E107" s="71">
        <v>0</v>
      </c>
    </row>
    <row r="108" spans="2:5" ht="15" customHeight="1">
      <c r="B108" s="114"/>
      <c r="C108" s="58" t="s">
        <v>106</v>
      </c>
      <c r="D108" s="72">
        <v>14</v>
      </c>
      <c r="E108" s="71">
        <v>1E-3</v>
      </c>
    </row>
    <row r="109" spans="2:5" ht="15" customHeight="1">
      <c r="B109" s="114"/>
      <c r="C109" s="58" t="s">
        <v>107</v>
      </c>
      <c r="D109" s="72">
        <v>4</v>
      </c>
      <c r="E109" s="71">
        <v>0</v>
      </c>
    </row>
    <row r="110" spans="2:5" ht="15" customHeight="1">
      <c r="B110" s="114"/>
      <c r="C110" s="58" t="s">
        <v>109</v>
      </c>
      <c r="D110" s="72">
        <v>2</v>
      </c>
      <c r="E110" s="71">
        <v>0</v>
      </c>
    </row>
    <row r="111" spans="2:5" ht="15" customHeight="1">
      <c r="B111" s="114"/>
      <c r="C111" s="58" t="s">
        <v>110</v>
      </c>
      <c r="D111" s="72">
        <v>1</v>
      </c>
      <c r="E111" s="71">
        <v>0</v>
      </c>
    </row>
    <row r="112" spans="2:5" ht="15" customHeight="1">
      <c r="B112" s="114"/>
      <c r="C112" s="58" t="s">
        <v>111</v>
      </c>
      <c r="D112" s="72">
        <v>1</v>
      </c>
      <c r="E112" s="71">
        <v>0</v>
      </c>
    </row>
    <row r="113" spans="2:5" ht="15" customHeight="1">
      <c r="B113" s="114"/>
      <c r="C113" s="58" t="s">
        <v>115</v>
      </c>
      <c r="D113" s="72">
        <v>1</v>
      </c>
      <c r="E113" s="71">
        <v>0</v>
      </c>
    </row>
    <row r="114" spans="2:5" ht="15" customHeight="1">
      <c r="B114" s="114"/>
      <c r="C114" s="58" t="s">
        <v>116</v>
      </c>
      <c r="D114" s="72">
        <v>1</v>
      </c>
      <c r="E114" s="71">
        <v>0</v>
      </c>
    </row>
    <row r="115" spans="2:5" ht="15" customHeight="1">
      <c r="B115" s="114"/>
      <c r="C115" s="58" t="s">
        <v>118</v>
      </c>
      <c r="D115" s="72">
        <v>2</v>
      </c>
      <c r="E115" s="71">
        <v>0</v>
      </c>
    </row>
    <row r="116" spans="2:5" ht="15" customHeight="1">
      <c r="B116" s="114"/>
      <c r="C116" s="58" t="s">
        <v>120</v>
      </c>
      <c r="D116" s="72">
        <v>4</v>
      </c>
      <c r="E116" s="71">
        <v>0</v>
      </c>
    </row>
    <row r="117" spans="2:5" ht="15" customHeight="1">
      <c r="B117" s="114"/>
      <c r="C117" s="58" t="s">
        <v>121</v>
      </c>
      <c r="D117" s="72">
        <v>31</v>
      </c>
      <c r="E117" s="71">
        <v>3.0000000000000001E-3</v>
      </c>
    </row>
    <row r="118" spans="2:5" ht="15" customHeight="1">
      <c r="B118" s="114"/>
      <c r="C118" s="58" t="s">
        <v>122</v>
      </c>
      <c r="D118" s="72">
        <v>4</v>
      </c>
      <c r="E118" s="71">
        <v>0</v>
      </c>
    </row>
    <row r="119" spans="2:5" ht="15" customHeight="1">
      <c r="B119" s="114"/>
      <c r="C119" s="58" t="s">
        <v>124</v>
      </c>
      <c r="D119" s="72">
        <v>1</v>
      </c>
      <c r="E119" s="71">
        <v>0</v>
      </c>
    </row>
    <row r="120" spans="2:5" ht="15" customHeight="1">
      <c r="B120" s="114"/>
      <c r="C120" s="58" t="s">
        <v>125</v>
      </c>
      <c r="D120" s="72">
        <v>6</v>
      </c>
      <c r="E120" s="71">
        <v>1E-3</v>
      </c>
    </row>
    <row r="121" spans="2:5" ht="15" customHeight="1">
      <c r="B121" s="114"/>
      <c r="C121" s="58" t="s">
        <v>127</v>
      </c>
      <c r="D121" s="72">
        <v>2</v>
      </c>
      <c r="E121" s="71">
        <v>0</v>
      </c>
    </row>
    <row r="122" spans="2:5" ht="15" customHeight="1">
      <c r="B122" s="114"/>
      <c r="C122" s="58" t="s">
        <v>129</v>
      </c>
      <c r="D122" s="72">
        <v>4</v>
      </c>
      <c r="E122" s="71">
        <v>0</v>
      </c>
    </row>
    <row r="123" spans="2:5" ht="15" customHeight="1">
      <c r="B123" s="114"/>
      <c r="C123" s="58" t="s">
        <v>130</v>
      </c>
      <c r="D123" s="72">
        <v>1</v>
      </c>
      <c r="E123" s="71">
        <v>0</v>
      </c>
    </row>
    <row r="124" spans="2:5" ht="15" customHeight="1">
      <c r="B124" s="114"/>
      <c r="C124" s="58" t="s">
        <v>131</v>
      </c>
      <c r="D124" s="72">
        <v>1</v>
      </c>
      <c r="E124" s="71">
        <v>0</v>
      </c>
    </row>
    <row r="125" spans="2:5" ht="15" customHeight="1">
      <c r="B125" s="114"/>
      <c r="C125" s="58" t="s">
        <v>133</v>
      </c>
      <c r="D125" s="72">
        <v>3</v>
      </c>
      <c r="E125" s="71">
        <v>0</v>
      </c>
    </row>
    <row r="126" spans="2:5" ht="15" customHeight="1">
      <c r="B126" s="114"/>
      <c r="C126" s="58" t="s">
        <v>134</v>
      </c>
      <c r="D126" s="72">
        <v>32</v>
      </c>
      <c r="E126" s="71">
        <v>3.0000000000000001E-3</v>
      </c>
    </row>
    <row r="127" spans="2:5" ht="15" customHeight="1">
      <c r="B127" s="114"/>
      <c r="C127" s="58" t="s">
        <v>135</v>
      </c>
      <c r="D127" s="72">
        <v>12</v>
      </c>
      <c r="E127" s="71">
        <v>1E-3</v>
      </c>
    </row>
    <row r="128" spans="2:5" ht="15" customHeight="1">
      <c r="B128" s="114"/>
      <c r="C128" s="58" t="s">
        <v>89</v>
      </c>
      <c r="D128" s="72">
        <v>6</v>
      </c>
      <c r="E128" s="71">
        <v>1E-3</v>
      </c>
    </row>
    <row r="129" spans="2:5" ht="15" customHeight="1">
      <c r="B129" s="114"/>
      <c r="C129" s="58" t="s">
        <v>137</v>
      </c>
      <c r="D129" s="72">
        <v>1</v>
      </c>
      <c r="E129" s="71">
        <v>0</v>
      </c>
    </row>
    <row r="130" spans="2:5" ht="15" customHeight="1">
      <c r="B130" s="114"/>
      <c r="C130" s="58" t="s">
        <v>138</v>
      </c>
      <c r="D130" s="72">
        <v>1</v>
      </c>
      <c r="E130" s="71">
        <v>0</v>
      </c>
    </row>
    <row r="131" spans="2:5" ht="15" customHeight="1">
      <c r="B131" s="114"/>
      <c r="C131" s="58" t="s">
        <v>139</v>
      </c>
      <c r="D131" s="72">
        <v>4</v>
      </c>
      <c r="E131" s="71">
        <v>0</v>
      </c>
    </row>
    <row r="132" spans="2:5" ht="15" customHeight="1">
      <c r="B132" s="115"/>
      <c r="C132" s="73" t="s">
        <v>267</v>
      </c>
      <c r="D132" s="78">
        <v>741</v>
      </c>
      <c r="E132" s="75">
        <v>6.2E-2</v>
      </c>
    </row>
    <row r="133" spans="2:5" ht="15" customHeight="1">
      <c r="B133" s="113" t="s">
        <v>167</v>
      </c>
      <c r="C133" s="58" t="s">
        <v>96</v>
      </c>
      <c r="D133" s="72">
        <v>1</v>
      </c>
      <c r="E133" s="71">
        <v>0</v>
      </c>
    </row>
    <row r="134" spans="2:5" ht="15" customHeight="1">
      <c r="B134" s="114"/>
      <c r="C134" s="58" t="s">
        <v>98</v>
      </c>
      <c r="D134" s="72">
        <v>132</v>
      </c>
      <c r="E134" s="71">
        <v>1.0999999999999999E-2</v>
      </c>
    </row>
    <row r="135" spans="2:5" ht="15" customHeight="1">
      <c r="B135" s="114"/>
      <c r="C135" s="58" t="s">
        <v>99</v>
      </c>
      <c r="D135" s="72">
        <v>5</v>
      </c>
      <c r="E135" s="71">
        <v>0</v>
      </c>
    </row>
    <row r="136" spans="2:5" ht="15" customHeight="1">
      <c r="B136" s="114"/>
      <c r="C136" s="58" t="s">
        <v>100</v>
      </c>
      <c r="D136" s="72">
        <v>816</v>
      </c>
      <c r="E136" s="71">
        <v>6.8000000000000005E-2</v>
      </c>
    </row>
    <row r="137" spans="2:5" ht="15" customHeight="1">
      <c r="B137" s="114"/>
      <c r="C137" s="58" t="s">
        <v>101</v>
      </c>
      <c r="D137" s="72">
        <v>18</v>
      </c>
      <c r="E137" s="71">
        <v>2E-3</v>
      </c>
    </row>
    <row r="138" spans="2:5" ht="15" customHeight="1">
      <c r="B138" s="114"/>
      <c r="C138" s="58" t="s">
        <v>104</v>
      </c>
      <c r="D138" s="72">
        <v>7</v>
      </c>
      <c r="E138" s="71">
        <v>1E-3</v>
      </c>
    </row>
    <row r="139" spans="2:5" ht="15" customHeight="1">
      <c r="B139" s="114"/>
      <c r="C139" s="58" t="s">
        <v>105</v>
      </c>
      <c r="D139" s="72">
        <v>6</v>
      </c>
      <c r="E139" s="71">
        <v>1E-3</v>
      </c>
    </row>
    <row r="140" spans="2:5" ht="15" customHeight="1">
      <c r="B140" s="114"/>
      <c r="C140" s="58" t="s">
        <v>106</v>
      </c>
      <c r="D140" s="72">
        <v>14</v>
      </c>
      <c r="E140" s="71">
        <v>1E-3</v>
      </c>
    </row>
    <row r="141" spans="2:5" ht="15" customHeight="1">
      <c r="B141" s="114"/>
      <c r="C141" s="58" t="s">
        <v>107</v>
      </c>
      <c r="D141" s="72">
        <v>24</v>
      </c>
      <c r="E141" s="71">
        <v>2E-3</v>
      </c>
    </row>
    <row r="142" spans="2:5" ht="15" customHeight="1">
      <c r="B142" s="114"/>
      <c r="C142" s="58" t="s">
        <v>108</v>
      </c>
      <c r="D142" s="72">
        <v>6</v>
      </c>
      <c r="E142" s="71">
        <v>1E-3</v>
      </c>
    </row>
    <row r="143" spans="2:5" ht="15" customHeight="1">
      <c r="B143" s="114"/>
      <c r="C143" s="58" t="s">
        <v>109</v>
      </c>
      <c r="D143" s="72">
        <v>2</v>
      </c>
      <c r="E143" s="71">
        <v>0</v>
      </c>
    </row>
    <row r="144" spans="2:5" ht="15" customHeight="1">
      <c r="B144" s="114"/>
      <c r="C144" s="58" t="s">
        <v>110</v>
      </c>
      <c r="D144" s="72">
        <v>6</v>
      </c>
      <c r="E144" s="71">
        <v>1E-3</v>
      </c>
    </row>
    <row r="145" spans="2:5" ht="15" customHeight="1">
      <c r="B145" s="114"/>
      <c r="C145" s="58" t="s">
        <v>111</v>
      </c>
      <c r="D145" s="72">
        <v>1</v>
      </c>
      <c r="E145" s="71">
        <v>0</v>
      </c>
    </row>
    <row r="146" spans="2:5" ht="15" customHeight="1">
      <c r="B146" s="114"/>
      <c r="C146" s="58" t="s">
        <v>112</v>
      </c>
      <c r="D146" s="72">
        <v>2</v>
      </c>
      <c r="E146" s="71">
        <v>0</v>
      </c>
    </row>
    <row r="147" spans="2:5" ht="15" customHeight="1">
      <c r="B147" s="114"/>
      <c r="C147" s="58" t="s">
        <v>113</v>
      </c>
      <c r="D147" s="72">
        <v>1</v>
      </c>
      <c r="E147" s="71">
        <v>0</v>
      </c>
    </row>
    <row r="148" spans="2:5" ht="15" customHeight="1">
      <c r="B148" s="114"/>
      <c r="C148" s="58" t="s">
        <v>116</v>
      </c>
      <c r="D148" s="72">
        <v>6</v>
      </c>
      <c r="E148" s="71">
        <v>1E-3</v>
      </c>
    </row>
    <row r="149" spans="2:5" ht="15" customHeight="1">
      <c r="B149" s="114"/>
      <c r="C149" s="58" t="s">
        <v>117</v>
      </c>
      <c r="D149" s="72">
        <v>1</v>
      </c>
      <c r="E149" s="71">
        <v>0</v>
      </c>
    </row>
    <row r="150" spans="2:5" ht="15" customHeight="1">
      <c r="B150" s="114"/>
      <c r="C150" s="58" t="s">
        <v>118</v>
      </c>
      <c r="D150" s="72">
        <v>4</v>
      </c>
      <c r="E150" s="71">
        <v>0</v>
      </c>
    </row>
    <row r="151" spans="2:5" ht="15" customHeight="1">
      <c r="B151" s="114"/>
      <c r="C151" s="58" t="s">
        <v>120</v>
      </c>
      <c r="D151" s="72">
        <v>8</v>
      </c>
      <c r="E151" s="71">
        <v>1E-3</v>
      </c>
    </row>
    <row r="152" spans="2:5" ht="15" customHeight="1">
      <c r="B152" s="114"/>
      <c r="C152" s="58" t="s">
        <v>121</v>
      </c>
      <c r="D152" s="72">
        <v>32</v>
      </c>
      <c r="E152" s="71">
        <v>3.0000000000000001E-3</v>
      </c>
    </row>
    <row r="153" spans="2:5" ht="15" customHeight="1">
      <c r="B153" s="114"/>
      <c r="C153" s="58" t="s">
        <v>123</v>
      </c>
      <c r="D153" s="72">
        <v>6</v>
      </c>
      <c r="E153" s="71">
        <v>1E-3</v>
      </c>
    </row>
    <row r="154" spans="2:5" ht="15" customHeight="1">
      <c r="B154" s="114"/>
      <c r="C154" s="58" t="s">
        <v>124</v>
      </c>
      <c r="D154" s="72">
        <v>4</v>
      </c>
      <c r="E154" s="71">
        <v>0</v>
      </c>
    </row>
    <row r="155" spans="2:5" ht="15" customHeight="1">
      <c r="B155" s="114"/>
      <c r="C155" s="58" t="s">
        <v>125</v>
      </c>
      <c r="D155" s="72">
        <v>19</v>
      </c>
      <c r="E155" s="71">
        <v>2E-3</v>
      </c>
    </row>
    <row r="156" spans="2:5" ht="15" customHeight="1">
      <c r="B156" s="114"/>
      <c r="C156" s="58" t="s">
        <v>127</v>
      </c>
      <c r="D156" s="72">
        <v>2</v>
      </c>
      <c r="E156" s="71">
        <v>0</v>
      </c>
    </row>
    <row r="157" spans="2:5" ht="15" customHeight="1">
      <c r="B157" s="114"/>
      <c r="C157" s="58" t="s">
        <v>128</v>
      </c>
      <c r="D157" s="72">
        <v>9</v>
      </c>
      <c r="E157" s="71">
        <v>1E-3</v>
      </c>
    </row>
    <row r="158" spans="2:5" ht="15" customHeight="1">
      <c r="B158" s="114"/>
      <c r="C158" s="58" t="s">
        <v>129</v>
      </c>
      <c r="D158" s="72">
        <v>5</v>
      </c>
      <c r="E158" s="71">
        <v>0</v>
      </c>
    </row>
    <row r="159" spans="2:5" ht="15" customHeight="1">
      <c r="B159" s="114"/>
      <c r="C159" s="58" t="s">
        <v>130</v>
      </c>
      <c r="D159" s="72">
        <v>2</v>
      </c>
      <c r="E159" s="71">
        <v>0</v>
      </c>
    </row>
    <row r="160" spans="2:5" ht="15" customHeight="1">
      <c r="B160" s="114"/>
      <c r="C160" s="58" t="s">
        <v>131</v>
      </c>
      <c r="D160" s="72">
        <v>3</v>
      </c>
      <c r="E160" s="71">
        <v>0</v>
      </c>
    </row>
    <row r="161" spans="2:5" ht="15" customHeight="1">
      <c r="B161" s="114"/>
      <c r="C161" s="58" t="s">
        <v>133</v>
      </c>
      <c r="D161" s="72">
        <v>5</v>
      </c>
      <c r="E161" s="71">
        <v>0</v>
      </c>
    </row>
    <row r="162" spans="2:5" ht="15" customHeight="1">
      <c r="B162" s="114"/>
      <c r="C162" s="58" t="s">
        <v>134</v>
      </c>
      <c r="D162" s="72">
        <v>38</v>
      </c>
      <c r="E162" s="71">
        <v>3.0000000000000001E-3</v>
      </c>
    </row>
    <row r="163" spans="2:5" ht="15" customHeight="1">
      <c r="B163" s="114"/>
      <c r="C163" s="58" t="s">
        <v>135</v>
      </c>
      <c r="D163" s="72">
        <v>17</v>
      </c>
      <c r="E163" s="71">
        <v>1E-3</v>
      </c>
    </row>
    <row r="164" spans="2:5" ht="15" customHeight="1">
      <c r="B164" s="114"/>
      <c r="C164" s="58" t="s">
        <v>136</v>
      </c>
      <c r="D164" s="72">
        <v>4</v>
      </c>
      <c r="E164" s="71">
        <v>0</v>
      </c>
    </row>
    <row r="165" spans="2:5" ht="15" customHeight="1">
      <c r="B165" s="114"/>
      <c r="C165" s="58" t="s">
        <v>89</v>
      </c>
      <c r="D165" s="72">
        <v>9</v>
      </c>
      <c r="E165" s="71">
        <v>1E-3</v>
      </c>
    </row>
    <row r="166" spans="2:5" ht="15" customHeight="1">
      <c r="B166" s="114"/>
      <c r="C166" s="58" t="s">
        <v>138</v>
      </c>
      <c r="D166" s="72">
        <v>2</v>
      </c>
      <c r="E166" s="71">
        <v>0</v>
      </c>
    </row>
    <row r="167" spans="2:5" ht="15" customHeight="1">
      <c r="B167" s="114"/>
      <c r="C167" s="58" t="s">
        <v>139</v>
      </c>
      <c r="D167" s="72">
        <v>1</v>
      </c>
      <c r="E167" s="71">
        <v>0</v>
      </c>
    </row>
    <row r="168" spans="2:5" ht="15" customHeight="1">
      <c r="B168" s="115"/>
      <c r="C168" s="73" t="s">
        <v>267</v>
      </c>
      <c r="D168" s="78">
        <v>1218</v>
      </c>
      <c r="E168" s="75">
        <v>0.10199999999999999</v>
      </c>
    </row>
    <row r="169" spans="2:5" ht="15" customHeight="1">
      <c r="B169" s="113" t="s">
        <v>248</v>
      </c>
      <c r="C169" s="58" t="s">
        <v>98</v>
      </c>
      <c r="D169" s="72">
        <v>23</v>
      </c>
      <c r="E169" s="71">
        <v>2E-3</v>
      </c>
    </row>
    <row r="170" spans="2:5" ht="15" customHeight="1">
      <c r="B170" s="114"/>
      <c r="C170" s="58" t="s">
        <v>100</v>
      </c>
      <c r="D170" s="72">
        <v>81</v>
      </c>
      <c r="E170" s="71">
        <v>7.0000000000000001E-3</v>
      </c>
    </row>
    <row r="171" spans="2:5" ht="15" customHeight="1">
      <c r="B171" s="114"/>
      <c r="C171" s="58" t="s">
        <v>101</v>
      </c>
      <c r="D171" s="72">
        <v>1</v>
      </c>
      <c r="E171" s="71">
        <v>0</v>
      </c>
    </row>
    <row r="172" spans="2:5" ht="15" customHeight="1">
      <c r="B172" s="114"/>
      <c r="C172" s="58" t="s">
        <v>104</v>
      </c>
      <c r="D172" s="72">
        <v>2</v>
      </c>
      <c r="E172" s="71">
        <v>0</v>
      </c>
    </row>
    <row r="173" spans="2:5" ht="15" customHeight="1">
      <c r="B173" s="114"/>
      <c r="C173" s="58" t="s">
        <v>109</v>
      </c>
      <c r="D173" s="72">
        <v>1</v>
      </c>
      <c r="E173" s="71">
        <v>0</v>
      </c>
    </row>
    <row r="174" spans="2:5" ht="15" customHeight="1">
      <c r="B174" s="114"/>
      <c r="C174" s="58" t="s">
        <v>115</v>
      </c>
      <c r="D174" s="72">
        <v>2</v>
      </c>
      <c r="E174" s="71">
        <v>0</v>
      </c>
    </row>
    <row r="175" spans="2:5" ht="15" customHeight="1">
      <c r="B175" s="114"/>
      <c r="C175" s="58" t="s">
        <v>116</v>
      </c>
      <c r="D175" s="72">
        <v>2</v>
      </c>
      <c r="E175" s="71">
        <v>0</v>
      </c>
    </row>
    <row r="176" spans="2:5" ht="15" customHeight="1">
      <c r="B176" s="114"/>
      <c r="C176" s="58" t="s">
        <v>121</v>
      </c>
      <c r="D176" s="72">
        <v>10</v>
      </c>
      <c r="E176" s="71">
        <v>1E-3</v>
      </c>
    </row>
    <row r="177" spans="2:5" ht="15" customHeight="1">
      <c r="B177" s="114"/>
      <c r="C177" s="58" t="s">
        <v>122</v>
      </c>
      <c r="D177" s="72">
        <v>1</v>
      </c>
      <c r="E177" s="71">
        <v>0</v>
      </c>
    </row>
    <row r="178" spans="2:5" ht="15" customHeight="1">
      <c r="B178" s="114"/>
      <c r="C178" s="58" t="s">
        <v>123</v>
      </c>
      <c r="D178" s="72">
        <v>1</v>
      </c>
      <c r="E178" s="71">
        <v>0</v>
      </c>
    </row>
    <row r="179" spans="2:5" ht="15" customHeight="1">
      <c r="B179" s="114"/>
      <c r="C179" s="58" t="s">
        <v>125</v>
      </c>
      <c r="D179" s="72">
        <v>1</v>
      </c>
      <c r="E179" s="71">
        <v>0</v>
      </c>
    </row>
    <row r="180" spans="2:5" ht="15" customHeight="1">
      <c r="B180" s="114"/>
      <c r="C180" s="58" t="s">
        <v>129</v>
      </c>
      <c r="D180" s="72">
        <v>2</v>
      </c>
      <c r="E180" s="71">
        <v>0</v>
      </c>
    </row>
    <row r="181" spans="2:5" ht="15" customHeight="1">
      <c r="B181" s="114"/>
      <c r="C181" s="58" t="s">
        <v>130</v>
      </c>
      <c r="D181" s="72">
        <v>1</v>
      </c>
      <c r="E181" s="71">
        <v>0</v>
      </c>
    </row>
    <row r="182" spans="2:5" ht="15" customHeight="1">
      <c r="B182" s="114"/>
      <c r="C182" s="58" t="s">
        <v>133</v>
      </c>
      <c r="D182" s="72">
        <v>1</v>
      </c>
      <c r="E182" s="71">
        <v>0</v>
      </c>
    </row>
    <row r="183" spans="2:5" ht="15" customHeight="1">
      <c r="B183" s="114"/>
      <c r="C183" s="58" t="s">
        <v>134</v>
      </c>
      <c r="D183" s="72">
        <v>7</v>
      </c>
      <c r="E183" s="71">
        <v>1E-3</v>
      </c>
    </row>
    <row r="184" spans="2:5" ht="15" customHeight="1">
      <c r="B184" s="114"/>
      <c r="C184" s="58" t="s">
        <v>135</v>
      </c>
      <c r="D184" s="72">
        <v>1</v>
      </c>
      <c r="E184" s="71">
        <v>0</v>
      </c>
    </row>
    <row r="185" spans="2:5" ht="15" customHeight="1">
      <c r="B185" s="114"/>
      <c r="C185" s="58" t="s">
        <v>89</v>
      </c>
      <c r="D185" s="72">
        <v>1</v>
      </c>
      <c r="E185" s="71">
        <v>0</v>
      </c>
    </row>
    <row r="186" spans="2:5" ht="15" customHeight="1">
      <c r="B186" s="115"/>
      <c r="C186" s="73" t="s">
        <v>267</v>
      </c>
      <c r="D186" s="78">
        <v>138</v>
      </c>
      <c r="E186" s="75">
        <v>1.2E-2</v>
      </c>
    </row>
    <row r="187" spans="2:5" ht="15" customHeight="1">
      <c r="B187" s="113" t="s">
        <v>249</v>
      </c>
      <c r="C187" s="58" t="s">
        <v>98</v>
      </c>
      <c r="D187" s="72">
        <v>48</v>
      </c>
      <c r="E187" s="71">
        <v>4.0000000000000001E-3</v>
      </c>
    </row>
    <row r="188" spans="2:5" ht="15" customHeight="1">
      <c r="B188" s="114"/>
      <c r="C188" s="58" t="s">
        <v>99</v>
      </c>
      <c r="D188" s="72">
        <v>1</v>
      </c>
      <c r="E188" s="71">
        <v>0</v>
      </c>
    </row>
    <row r="189" spans="2:5" ht="15" customHeight="1">
      <c r="B189" s="114"/>
      <c r="C189" s="58" t="s">
        <v>100</v>
      </c>
      <c r="D189" s="72">
        <v>153</v>
      </c>
      <c r="E189" s="71">
        <v>1.2999999999999999E-2</v>
      </c>
    </row>
    <row r="190" spans="2:5" ht="15" customHeight="1">
      <c r="B190" s="114"/>
      <c r="C190" s="58" t="s">
        <v>101</v>
      </c>
      <c r="D190" s="72">
        <v>4</v>
      </c>
      <c r="E190" s="71">
        <v>0</v>
      </c>
    </row>
    <row r="191" spans="2:5" ht="15" customHeight="1">
      <c r="B191" s="114"/>
      <c r="C191" s="58" t="s">
        <v>104</v>
      </c>
      <c r="D191" s="72">
        <v>2</v>
      </c>
      <c r="E191" s="71">
        <v>0</v>
      </c>
    </row>
    <row r="192" spans="2:5" ht="15" customHeight="1">
      <c r="B192" s="114"/>
      <c r="C192" s="58" t="s">
        <v>105</v>
      </c>
      <c r="D192" s="72">
        <v>3</v>
      </c>
      <c r="E192" s="71">
        <v>0</v>
      </c>
    </row>
    <row r="193" spans="2:5" ht="15" customHeight="1">
      <c r="B193" s="114"/>
      <c r="C193" s="58" t="s">
        <v>106</v>
      </c>
      <c r="D193" s="72">
        <v>2</v>
      </c>
      <c r="E193" s="71">
        <v>0</v>
      </c>
    </row>
    <row r="194" spans="2:5" ht="15" customHeight="1">
      <c r="B194" s="114"/>
      <c r="C194" s="58" t="s">
        <v>107</v>
      </c>
      <c r="D194" s="72">
        <v>4</v>
      </c>
      <c r="E194" s="71">
        <v>0</v>
      </c>
    </row>
    <row r="195" spans="2:5" ht="15" customHeight="1">
      <c r="B195" s="114"/>
      <c r="C195" s="58" t="s">
        <v>109</v>
      </c>
      <c r="D195" s="72">
        <v>1</v>
      </c>
      <c r="E195" s="71">
        <v>0</v>
      </c>
    </row>
    <row r="196" spans="2:5" ht="15" customHeight="1">
      <c r="B196" s="114"/>
      <c r="C196" s="58" t="s">
        <v>110</v>
      </c>
      <c r="D196" s="72">
        <v>4</v>
      </c>
      <c r="E196" s="71">
        <v>0</v>
      </c>
    </row>
    <row r="197" spans="2:5" ht="15" customHeight="1">
      <c r="B197" s="114"/>
      <c r="C197" s="58" t="s">
        <v>111</v>
      </c>
      <c r="D197" s="72">
        <v>2</v>
      </c>
      <c r="E197" s="71">
        <v>0</v>
      </c>
    </row>
    <row r="198" spans="2:5" ht="15" customHeight="1">
      <c r="B198" s="114"/>
      <c r="C198" s="58" t="s">
        <v>115</v>
      </c>
      <c r="D198" s="72">
        <v>1</v>
      </c>
      <c r="E198" s="71">
        <v>0</v>
      </c>
    </row>
    <row r="199" spans="2:5" ht="15" customHeight="1">
      <c r="B199" s="114"/>
      <c r="C199" s="58" t="s">
        <v>116</v>
      </c>
      <c r="D199" s="72">
        <v>1</v>
      </c>
      <c r="E199" s="71">
        <v>0</v>
      </c>
    </row>
    <row r="200" spans="2:5" ht="15" customHeight="1">
      <c r="B200" s="114"/>
      <c r="C200" s="58" t="s">
        <v>119</v>
      </c>
      <c r="D200" s="72">
        <v>1</v>
      </c>
      <c r="E200" s="71">
        <v>0</v>
      </c>
    </row>
    <row r="201" spans="2:5" ht="15" customHeight="1">
      <c r="B201" s="114"/>
      <c r="C201" s="58" t="s">
        <v>120</v>
      </c>
      <c r="D201" s="72">
        <v>2</v>
      </c>
      <c r="E201" s="71">
        <v>0</v>
      </c>
    </row>
    <row r="202" spans="2:5" ht="15" customHeight="1">
      <c r="B202" s="114"/>
      <c r="C202" s="58" t="s">
        <v>121</v>
      </c>
      <c r="D202" s="72">
        <v>15</v>
      </c>
      <c r="E202" s="71">
        <v>1E-3</v>
      </c>
    </row>
    <row r="203" spans="2:5" ht="15" customHeight="1">
      <c r="B203" s="114"/>
      <c r="C203" s="58" t="s">
        <v>122</v>
      </c>
      <c r="D203" s="72">
        <v>2</v>
      </c>
      <c r="E203" s="71">
        <v>0</v>
      </c>
    </row>
    <row r="204" spans="2:5" ht="15" customHeight="1">
      <c r="B204" s="114"/>
      <c r="C204" s="58" t="s">
        <v>123</v>
      </c>
      <c r="D204" s="72">
        <v>1</v>
      </c>
      <c r="E204" s="71">
        <v>0</v>
      </c>
    </row>
    <row r="205" spans="2:5" ht="15" customHeight="1">
      <c r="B205" s="114"/>
      <c r="C205" s="58" t="s">
        <v>124</v>
      </c>
      <c r="D205" s="72">
        <v>1</v>
      </c>
      <c r="E205" s="71">
        <v>0</v>
      </c>
    </row>
    <row r="206" spans="2:5" ht="15" customHeight="1">
      <c r="B206" s="114"/>
      <c r="C206" s="58" t="s">
        <v>125</v>
      </c>
      <c r="D206" s="72">
        <v>8</v>
      </c>
      <c r="E206" s="71">
        <v>1E-3</v>
      </c>
    </row>
    <row r="207" spans="2:5" ht="15" customHeight="1">
      <c r="B207" s="114"/>
      <c r="C207" s="58" t="s">
        <v>127</v>
      </c>
      <c r="D207" s="72">
        <v>3</v>
      </c>
      <c r="E207" s="71">
        <v>0</v>
      </c>
    </row>
    <row r="208" spans="2:5" ht="15" customHeight="1">
      <c r="B208" s="114"/>
      <c r="C208" s="58" t="s">
        <v>128</v>
      </c>
      <c r="D208" s="72">
        <v>6</v>
      </c>
      <c r="E208" s="71">
        <v>1E-3</v>
      </c>
    </row>
    <row r="209" spans="2:5" ht="15" customHeight="1">
      <c r="B209" s="114"/>
      <c r="C209" s="58" t="s">
        <v>130</v>
      </c>
      <c r="D209" s="72">
        <v>1</v>
      </c>
      <c r="E209" s="71">
        <v>0</v>
      </c>
    </row>
    <row r="210" spans="2:5" ht="15" customHeight="1">
      <c r="B210" s="114"/>
      <c r="C210" s="58" t="s">
        <v>132</v>
      </c>
      <c r="D210" s="72">
        <v>1</v>
      </c>
      <c r="E210" s="71">
        <v>0</v>
      </c>
    </row>
    <row r="211" spans="2:5" ht="15" customHeight="1">
      <c r="B211" s="114"/>
      <c r="C211" s="58" t="s">
        <v>133</v>
      </c>
      <c r="D211" s="72">
        <v>3</v>
      </c>
      <c r="E211" s="71">
        <v>0</v>
      </c>
    </row>
    <row r="212" spans="2:5" ht="15" customHeight="1">
      <c r="B212" s="114"/>
      <c r="C212" s="58" t="s">
        <v>134</v>
      </c>
      <c r="D212" s="72">
        <v>6</v>
      </c>
      <c r="E212" s="71">
        <v>1E-3</v>
      </c>
    </row>
    <row r="213" spans="2:5" ht="15" customHeight="1">
      <c r="B213" s="114"/>
      <c r="C213" s="58" t="s">
        <v>135</v>
      </c>
      <c r="D213" s="72">
        <v>5</v>
      </c>
      <c r="E213" s="71">
        <v>0</v>
      </c>
    </row>
    <row r="214" spans="2:5" ht="15" customHeight="1">
      <c r="B214" s="114"/>
      <c r="C214" s="58" t="s">
        <v>136</v>
      </c>
      <c r="D214" s="72">
        <v>2</v>
      </c>
      <c r="E214" s="71">
        <v>0</v>
      </c>
    </row>
    <row r="215" spans="2:5" ht="15" customHeight="1">
      <c r="B215" s="114"/>
      <c r="C215" s="58" t="s">
        <v>89</v>
      </c>
      <c r="D215" s="72">
        <v>2</v>
      </c>
      <c r="E215" s="71">
        <v>0</v>
      </c>
    </row>
    <row r="216" spans="2:5" ht="15" customHeight="1">
      <c r="B216" s="114"/>
      <c r="C216" s="58" t="s">
        <v>138</v>
      </c>
      <c r="D216" s="72">
        <v>1</v>
      </c>
      <c r="E216" s="71">
        <v>0</v>
      </c>
    </row>
    <row r="217" spans="2:5" ht="15" customHeight="1">
      <c r="B217" s="115"/>
      <c r="C217" s="73" t="s">
        <v>267</v>
      </c>
      <c r="D217" s="78">
        <v>286</v>
      </c>
      <c r="E217" s="75">
        <v>2.4E-2</v>
      </c>
    </row>
    <row r="218" spans="2:5" ht="15" customHeight="1">
      <c r="B218" s="113" t="s">
        <v>250</v>
      </c>
      <c r="C218" s="58" t="s">
        <v>98</v>
      </c>
      <c r="D218" s="72">
        <v>60</v>
      </c>
      <c r="E218" s="71">
        <v>5.0000000000000001E-3</v>
      </c>
    </row>
    <row r="219" spans="2:5" ht="15" customHeight="1">
      <c r="B219" s="114"/>
      <c r="C219" s="58" t="s">
        <v>99</v>
      </c>
      <c r="D219" s="72">
        <v>1</v>
      </c>
      <c r="E219" s="71">
        <v>0</v>
      </c>
    </row>
    <row r="220" spans="2:5" ht="15" customHeight="1">
      <c r="B220" s="114"/>
      <c r="C220" s="58" t="s">
        <v>100</v>
      </c>
      <c r="D220" s="72">
        <v>301</v>
      </c>
      <c r="E220" s="71">
        <v>2.5000000000000001E-2</v>
      </c>
    </row>
    <row r="221" spans="2:5" ht="15" customHeight="1">
      <c r="B221" s="114"/>
      <c r="C221" s="58" t="s">
        <v>101</v>
      </c>
      <c r="D221" s="72">
        <v>10</v>
      </c>
      <c r="E221" s="71">
        <v>1E-3</v>
      </c>
    </row>
    <row r="222" spans="2:5" ht="15" customHeight="1">
      <c r="B222" s="114"/>
      <c r="C222" s="58" t="s">
        <v>102</v>
      </c>
      <c r="D222" s="72">
        <v>1</v>
      </c>
      <c r="E222" s="71">
        <v>0</v>
      </c>
    </row>
    <row r="223" spans="2:5" ht="15" customHeight="1">
      <c r="B223" s="114"/>
      <c r="C223" s="58" t="s">
        <v>104</v>
      </c>
      <c r="D223" s="72">
        <v>1</v>
      </c>
      <c r="E223" s="71">
        <v>0</v>
      </c>
    </row>
    <row r="224" spans="2:5" ht="15" customHeight="1">
      <c r="B224" s="114"/>
      <c r="C224" s="58" t="s">
        <v>105</v>
      </c>
      <c r="D224" s="72">
        <v>2</v>
      </c>
      <c r="E224" s="71">
        <v>0</v>
      </c>
    </row>
    <row r="225" spans="2:5" ht="15" customHeight="1">
      <c r="B225" s="114"/>
      <c r="C225" s="58" t="s">
        <v>106</v>
      </c>
      <c r="D225" s="72">
        <v>2</v>
      </c>
      <c r="E225" s="71">
        <v>0</v>
      </c>
    </row>
    <row r="226" spans="2:5" ht="15" customHeight="1">
      <c r="B226" s="114"/>
      <c r="C226" s="58" t="s">
        <v>107</v>
      </c>
      <c r="D226" s="72">
        <v>5</v>
      </c>
      <c r="E226" s="71">
        <v>0</v>
      </c>
    </row>
    <row r="227" spans="2:5" ht="15" customHeight="1">
      <c r="B227" s="114"/>
      <c r="C227" s="58" t="s">
        <v>108</v>
      </c>
      <c r="D227" s="72">
        <v>3</v>
      </c>
      <c r="E227" s="71">
        <v>0</v>
      </c>
    </row>
    <row r="228" spans="2:5" ht="15" customHeight="1">
      <c r="B228" s="114"/>
      <c r="C228" s="58" t="s">
        <v>110</v>
      </c>
      <c r="D228" s="72">
        <v>1</v>
      </c>
      <c r="E228" s="71">
        <v>0</v>
      </c>
    </row>
    <row r="229" spans="2:5" ht="15" customHeight="1">
      <c r="B229" s="114"/>
      <c r="C229" s="58" t="s">
        <v>112</v>
      </c>
      <c r="D229" s="72">
        <v>2</v>
      </c>
      <c r="E229" s="71">
        <v>0</v>
      </c>
    </row>
    <row r="230" spans="2:5" ht="15" customHeight="1">
      <c r="B230" s="114"/>
      <c r="C230" s="58" t="s">
        <v>115</v>
      </c>
      <c r="D230" s="72">
        <v>1</v>
      </c>
      <c r="E230" s="71">
        <v>0</v>
      </c>
    </row>
    <row r="231" spans="2:5" ht="15" customHeight="1">
      <c r="B231" s="114"/>
      <c r="C231" s="58" t="s">
        <v>116</v>
      </c>
      <c r="D231" s="72">
        <v>2</v>
      </c>
      <c r="E231" s="71">
        <v>0</v>
      </c>
    </row>
    <row r="232" spans="2:5" ht="15" customHeight="1">
      <c r="B232" s="114"/>
      <c r="C232" s="58" t="s">
        <v>118</v>
      </c>
      <c r="D232" s="72">
        <v>3</v>
      </c>
      <c r="E232" s="71">
        <v>0</v>
      </c>
    </row>
    <row r="233" spans="2:5" ht="15" customHeight="1">
      <c r="B233" s="114"/>
      <c r="C233" s="58" t="s">
        <v>120</v>
      </c>
      <c r="D233" s="72">
        <v>2</v>
      </c>
      <c r="E233" s="71">
        <v>0</v>
      </c>
    </row>
    <row r="234" spans="2:5" ht="15" customHeight="1">
      <c r="B234" s="114"/>
      <c r="C234" s="58" t="s">
        <v>121</v>
      </c>
      <c r="D234" s="72">
        <v>40</v>
      </c>
      <c r="E234" s="71">
        <v>3.0000000000000001E-3</v>
      </c>
    </row>
    <row r="235" spans="2:5" ht="15" customHeight="1">
      <c r="B235" s="114"/>
      <c r="C235" s="58" t="s">
        <v>122</v>
      </c>
      <c r="D235" s="72">
        <v>1</v>
      </c>
      <c r="E235" s="71">
        <v>0</v>
      </c>
    </row>
    <row r="236" spans="2:5" ht="15" customHeight="1">
      <c r="B236" s="114"/>
      <c r="C236" s="58" t="s">
        <v>123</v>
      </c>
      <c r="D236" s="72">
        <v>1</v>
      </c>
      <c r="E236" s="71">
        <v>0</v>
      </c>
    </row>
    <row r="237" spans="2:5" ht="15" customHeight="1">
      <c r="B237" s="114"/>
      <c r="C237" s="58" t="s">
        <v>124</v>
      </c>
      <c r="D237" s="72">
        <v>3</v>
      </c>
      <c r="E237" s="71">
        <v>0</v>
      </c>
    </row>
    <row r="238" spans="2:5" ht="15" customHeight="1">
      <c r="B238" s="114"/>
      <c r="C238" s="58" t="s">
        <v>125</v>
      </c>
      <c r="D238" s="72">
        <v>5</v>
      </c>
      <c r="E238" s="71">
        <v>0</v>
      </c>
    </row>
    <row r="239" spans="2:5" ht="15" customHeight="1">
      <c r="B239" s="114"/>
      <c r="C239" s="58" t="s">
        <v>127</v>
      </c>
      <c r="D239" s="72">
        <v>1</v>
      </c>
      <c r="E239" s="71">
        <v>0</v>
      </c>
    </row>
    <row r="240" spans="2:5" ht="15" customHeight="1">
      <c r="B240" s="114"/>
      <c r="C240" s="58" t="s">
        <v>128</v>
      </c>
      <c r="D240" s="72">
        <v>5</v>
      </c>
      <c r="E240" s="71">
        <v>0</v>
      </c>
    </row>
    <row r="241" spans="2:5" ht="15" customHeight="1">
      <c r="B241" s="114"/>
      <c r="C241" s="58" t="s">
        <v>131</v>
      </c>
      <c r="D241" s="72">
        <v>1</v>
      </c>
      <c r="E241" s="71">
        <v>0</v>
      </c>
    </row>
    <row r="242" spans="2:5" ht="15" customHeight="1">
      <c r="B242" s="114"/>
      <c r="C242" s="58" t="s">
        <v>133</v>
      </c>
      <c r="D242" s="72">
        <v>2</v>
      </c>
      <c r="E242" s="71">
        <v>0</v>
      </c>
    </row>
    <row r="243" spans="2:5" ht="15" customHeight="1">
      <c r="B243" s="114"/>
      <c r="C243" s="58" t="s">
        <v>134</v>
      </c>
      <c r="D243" s="72">
        <v>20</v>
      </c>
      <c r="E243" s="71">
        <v>2E-3</v>
      </c>
    </row>
    <row r="244" spans="2:5" ht="15" customHeight="1">
      <c r="B244" s="114"/>
      <c r="C244" s="58" t="s">
        <v>135</v>
      </c>
      <c r="D244" s="72">
        <v>9</v>
      </c>
      <c r="E244" s="71">
        <v>1E-3</v>
      </c>
    </row>
    <row r="245" spans="2:5" ht="15" customHeight="1">
      <c r="B245" s="114"/>
      <c r="C245" s="58" t="s">
        <v>89</v>
      </c>
      <c r="D245" s="72">
        <v>2</v>
      </c>
      <c r="E245" s="71">
        <v>0</v>
      </c>
    </row>
    <row r="246" spans="2:5" ht="15" customHeight="1">
      <c r="B246" s="115"/>
      <c r="C246" s="73" t="s">
        <v>267</v>
      </c>
      <c r="D246" s="78">
        <v>487</v>
      </c>
      <c r="E246" s="75">
        <v>4.1000000000000002E-2</v>
      </c>
    </row>
    <row r="247" spans="2:5" ht="15" customHeight="1">
      <c r="B247" s="113" t="s">
        <v>171</v>
      </c>
      <c r="C247" s="58" t="s">
        <v>96</v>
      </c>
      <c r="D247" s="72">
        <v>10</v>
      </c>
      <c r="E247" s="71">
        <v>1E-3</v>
      </c>
    </row>
    <row r="248" spans="2:5" ht="15" customHeight="1">
      <c r="B248" s="114"/>
      <c r="C248" s="58" t="s">
        <v>97</v>
      </c>
      <c r="D248" s="72">
        <v>1</v>
      </c>
      <c r="E248" s="71">
        <v>0</v>
      </c>
    </row>
    <row r="249" spans="2:5" ht="15" customHeight="1">
      <c r="B249" s="114"/>
      <c r="C249" s="58" t="s">
        <v>98</v>
      </c>
      <c r="D249" s="72">
        <v>434</v>
      </c>
      <c r="E249" s="71">
        <v>3.5999999999999997E-2</v>
      </c>
    </row>
    <row r="250" spans="2:5" ht="15" customHeight="1">
      <c r="B250" s="114"/>
      <c r="C250" s="58" t="s">
        <v>99</v>
      </c>
      <c r="D250" s="72">
        <v>8</v>
      </c>
      <c r="E250" s="71">
        <v>1E-3</v>
      </c>
    </row>
    <row r="251" spans="2:5" ht="15" customHeight="1">
      <c r="B251" s="114"/>
      <c r="C251" s="58" t="s">
        <v>100</v>
      </c>
      <c r="D251" s="70">
        <v>1673</v>
      </c>
      <c r="E251" s="71">
        <v>0.14000000000000001</v>
      </c>
    </row>
    <row r="252" spans="2:5" ht="15" customHeight="1">
      <c r="B252" s="114"/>
      <c r="C252" s="58" t="s">
        <v>101</v>
      </c>
      <c r="D252" s="72">
        <v>49</v>
      </c>
      <c r="E252" s="71">
        <v>4.0000000000000001E-3</v>
      </c>
    </row>
    <row r="253" spans="2:5" ht="15" customHeight="1">
      <c r="B253" s="114"/>
      <c r="C253" s="58" t="s">
        <v>237</v>
      </c>
      <c r="D253" s="72">
        <v>1</v>
      </c>
      <c r="E253" s="71">
        <v>0</v>
      </c>
    </row>
    <row r="254" spans="2:5" ht="15" customHeight="1">
      <c r="B254" s="114"/>
      <c r="C254" s="58" t="s">
        <v>104</v>
      </c>
      <c r="D254" s="72">
        <v>21</v>
      </c>
      <c r="E254" s="71">
        <v>2E-3</v>
      </c>
    </row>
    <row r="255" spans="2:5" ht="15" customHeight="1">
      <c r="B255" s="114"/>
      <c r="C255" s="58" t="s">
        <v>105</v>
      </c>
      <c r="D255" s="72">
        <v>19</v>
      </c>
      <c r="E255" s="71">
        <v>2E-3</v>
      </c>
    </row>
    <row r="256" spans="2:5" ht="15" customHeight="1">
      <c r="B256" s="114"/>
      <c r="C256" s="58" t="s">
        <v>106</v>
      </c>
      <c r="D256" s="72">
        <v>39</v>
      </c>
      <c r="E256" s="71">
        <v>3.0000000000000001E-3</v>
      </c>
    </row>
    <row r="257" spans="2:5" ht="15" customHeight="1">
      <c r="B257" s="114"/>
      <c r="C257" s="58" t="s">
        <v>107</v>
      </c>
      <c r="D257" s="72">
        <v>56</v>
      </c>
      <c r="E257" s="71">
        <v>5.0000000000000001E-3</v>
      </c>
    </row>
    <row r="258" spans="2:5" ht="15" customHeight="1">
      <c r="B258" s="114"/>
      <c r="C258" s="58" t="s">
        <v>108</v>
      </c>
      <c r="D258" s="72">
        <v>12</v>
      </c>
      <c r="E258" s="71">
        <v>1E-3</v>
      </c>
    </row>
    <row r="259" spans="2:5" ht="15" customHeight="1">
      <c r="B259" s="114"/>
      <c r="C259" s="58" t="s">
        <v>109</v>
      </c>
      <c r="D259" s="72">
        <v>3</v>
      </c>
      <c r="E259" s="71">
        <v>0</v>
      </c>
    </row>
    <row r="260" spans="2:5" ht="15" customHeight="1">
      <c r="B260" s="114"/>
      <c r="C260" s="58" t="s">
        <v>110</v>
      </c>
      <c r="D260" s="72">
        <v>16</v>
      </c>
      <c r="E260" s="71">
        <v>1E-3</v>
      </c>
    </row>
    <row r="261" spans="2:5" ht="15" customHeight="1">
      <c r="B261" s="114"/>
      <c r="C261" s="58" t="s">
        <v>111</v>
      </c>
      <c r="D261" s="72">
        <v>5</v>
      </c>
      <c r="E261" s="71">
        <v>0</v>
      </c>
    </row>
    <row r="262" spans="2:5" ht="15" customHeight="1">
      <c r="B262" s="114"/>
      <c r="C262" s="58" t="s">
        <v>112</v>
      </c>
      <c r="D262" s="72">
        <v>9</v>
      </c>
      <c r="E262" s="71">
        <v>1E-3</v>
      </c>
    </row>
    <row r="263" spans="2:5" ht="15" customHeight="1">
      <c r="B263" s="114"/>
      <c r="C263" s="58" t="s">
        <v>113</v>
      </c>
      <c r="D263" s="72">
        <v>1</v>
      </c>
      <c r="E263" s="71">
        <v>0</v>
      </c>
    </row>
    <row r="264" spans="2:5" ht="15" customHeight="1">
      <c r="B264" s="114"/>
      <c r="C264" s="58" t="s">
        <v>114</v>
      </c>
      <c r="D264" s="72">
        <v>1</v>
      </c>
      <c r="E264" s="71">
        <v>0</v>
      </c>
    </row>
    <row r="265" spans="2:5" ht="15" customHeight="1">
      <c r="B265" s="114"/>
      <c r="C265" s="58" t="s">
        <v>115</v>
      </c>
      <c r="D265" s="72">
        <v>8</v>
      </c>
      <c r="E265" s="71">
        <v>1E-3</v>
      </c>
    </row>
    <row r="266" spans="2:5" ht="15" customHeight="1">
      <c r="B266" s="114"/>
      <c r="C266" s="58" t="s">
        <v>116</v>
      </c>
      <c r="D266" s="72">
        <v>20</v>
      </c>
      <c r="E266" s="71">
        <v>2E-3</v>
      </c>
    </row>
    <row r="267" spans="2:5" ht="15" customHeight="1">
      <c r="B267" s="114"/>
      <c r="C267" s="58" t="s">
        <v>117</v>
      </c>
      <c r="D267" s="72">
        <v>1</v>
      </c>
      <c r="E267" s="71">
        <v>0</v>
      </c>
    </row>
    <row r="268" spans="2:5" ht="15" customHeight="1">
      <c r="B268" s="114"/>
      <c r="C268" s="58" t="s">
        <v>118</v>
      </c>
      <c r="D268" s="72">
        <v>12</v>
      </c>
      <c r="E268" s="71">
        <v>1E-3</v>
      </c>
    </row>
    <row r="269" spans="2:5" ht="15" customHeight="1">
      <c r="B269" s="114"/>
      <c r="C269" s="58" t="s">
        <v>120</v>
      </c>
      <c r="D269" s="72">
        <v>31</v>
      </c>
      <c r="E269" s="71">
        <v>3.0000000000000001E-3</v>
      </c>
    </row>
    <row r="270" spans="2:5" ht="15" customHeight="1">
      <c r="B270" s="114"/>
      <c r="C270" s="58" t="s">
        <v>121</v>
      </c>
      <c r="D270" s="72">
        <v>125</v>
      </c>
      <c r="E270" s="71">
        <v>0.01</v>
      </c>
    </row>
    <row r="271" spans="2:5" ht="15" customHeight="1">
      <c r="B271" s="114"/>
      <c r="C271" s="58" t="s">
        <v>122</v>
      </c>
      <c r="D271" s="72">
        <v>6</v>
      </c>
      <c r="E271" s="71">
        <v>1E-3</v>
      </c>
    </row>
    <row r="272" spans="2:5" ht="15" customHeight="1">
      <c r="B272" s="114"/>
      <c r="C272" s="58" t="s">
        <v>123</v>
      </c>
      <c r="D272" s="72">
        <v>20</v>
      </c>
      <c r="E272" s="71">
        <v>2E-3</v>
      </c>
    </row>
    <row r="273" spans="2:5" ht="15" customHeight="1">
      <c r="B273" s="114"/>
      <c r="C273" s="58" t="s">
        <v>124</v>
      </c>
      <c r="D273" s="72">
        <v>7</v>
      </c>
      <c r="E273" s="71">
        <v>1E-3</v>
      </c>
    </row>
    <row r="274" spans="2:5" ht="15" customHeight="1">
      <c r="B274" s="114"/>
      <c r="C274" s="58" t="s">
        <v>125</v>
      </c>
      <c r="D274" s="72">
        <v>44</v>
      </c>
      <c r="E274" s="71">
        <v>4.0000000000000001E-3</v>
      </c>
    </row>
    <row r="275" spans="2:5" ht="15" customHeight="1">
      <c r="B275" s="114"/>
      <c r="C275" s="58" t="s">
        <v>126</v>
      </c>
      <c r="D275" s="72">
        <v>2</v>
      </c>
      <c r="E275" s="71">
        <v>0</v>
      </c>
    </row>
    <row r="276" spans="2:5" ht="15" customHeight="1">
      <c r="B276" s="114"/>
      <c r="C276" s="58" t="s">
        <v>127</v>
      </c>
      <c r="D276" s="72">
        <v>10</v>
      </c>
      <c r="E276" s="71">
        <v>1E-3</v>
      </c>
    </row>
    <row r="277" spans="2:5" ht="15" customHeight="1">
      <c r="B277" s="114"/>
      <c r="C277" s="58" t="s">
        <v>128</v>
      </c>
      <c r="D277" s="72">
        <v>24</v>
      </c>
      <c r="E277" s="71">
        <v>2E-3</v>
      </c>
    </row>
    <row r="278" spans="2:5" ht="15" customHeight="1">
      <c r="B278" s="114"/>
      <c r="C278" s="58" t="s">
        <v>129</v>
      </c>
      <c r="D278" s="72">
        <v>14</v>
      </c>
      <c r="E278" s="71">
        <v>1E-3</v>
      </c>
    </row>
    <row r="279" spans="2:5" ht="15" customHeight="1">
      <c r="B279" s="114"/>
      <c r="C279" s="58" t="s">
        <v>130</v>
      </c>
      <c r="D279" s="72">
        <v>4</v>
      </c>
      <c r="E279" s="71">
        <v>0</v>
      </c>
    </row>
    <row r="280" spans="2:5" ht="15" customHeight="1">
      <c r="B280" s="114"/>
      <c r="C280" s="58" t="s">
        <v>131</v>
      </c>
      <c r="D280" s="72">
        <v>7</v>
      </c>
      <c r="E280" s="71">
        <v>1E-3</v>
      </c>
    </row>
    <row r="281" spans="2:5" ht="15" customHeight="1">
      <c r="B281" s="114"/>
      <c r="C281" s="58" t="s">
        <v>132</v>
      </c>
      <c r="D281" s="72">
        <v>2</v>
      </c>
      <c r="E281" s="71">
        <v>0</v>
      </c>
    </row>
    <row r="282" spans="2:5" ht="15" customHeight="1">
      <c r="B282" s="114"/>
      <c r="C282" s="58" t="s">
        <v>133</v>
      </c>
      <c r="D282" s="72">
        <v>21</v>
      </c>
      <c r="E282" s="71">
        <v>2E-3</v>
      </c>
    </row>
    <row r="283" spans="2:5" ht="15" customHeight="1">
      <c r="B283" s="114"/>
      <c r="C283" s="58" t="s">
        <v>134</v>
      </c>
      <c r="D283" s="72">
        <v>111</v>
      </c>
      <c r="E283" s="71">
        <v>8.9999999999999993E-3</v>
      </c>
    </row>
    <row r="284" spans="2:5" ht="15" customHeight="1">
      <c r="B284" s="114"/>
      <c r="C284" s="58" t="s">
        <v>135</v>
      </c>
      <c r="D284" s="72">
        <v>52</v>
      </c>
      <c r="E284" s="71">
        <v>4.0000000000000001E-3</v>
      </c>
    </row>
    <row r="285" spans="2:5" ht="15" customHeight="1">
      <c r="B285" s="114"/>
      <c r="C285" s="58" t="s">
        <v>136</v>
      </c>
      <c r="D285" s="72">
        <v>11</v>
      </c>
      <c r="E285" s="71">
        <v>1E-3</v>
      </c>
    </row>
    <row r="286" spans="2:5" ht="15" customHeight="1">
      <c r="B286" s="114"/>
      <c r="C286" s="58" t="s">
        <v>89</v>
      </c>
      <c r="D286" s="72">
        <v>25</v>
      </c>
      <c r="E286" s="71">
        <v>2E-3</v>
      </c>
    </row>
    <row r="287" spans="2:5" ht="15" customHeight="1">
      <c r="B287" s="114"/>
      <c r="C287" s="58" t="s">
        <v>138</v>
      </c>
      <c r="D287" s="72">
        <v>10</v>
      </c>
      <c r="E287" s="71">
        <v>1E-3</v>
      </c>
    </row>
    <row r="288" spans="2:5" ht="15" customHeight="1">
      <c r="B288" s="114"/>
      <c r="C288" s="58" t="s">
        <v>139</v>
      </c>
      <c r="D288" s="72">
        <v>1</v>
      </c>
      <c r="E288" s="71">
        <v>0</v>
      </c>
    </row>
    <row r="289" spans="2:5" ht="15" customHeight="1">
      <c r="B289" s="115"/>
      <c r="C289" s="73" t="s">
        <v>267</v>
      </c>
      <c r="D289" s="78">
        <v>2926</v>
      </c>
      <c r="E289" s="75">
        <v>0.24399999999999999</v>
      </c>
    </row>
    <row r="290" spans="2:5" ht="15" customHeight="1">
      <c r="B290" s="113" t="s">
        <v>172</v>
      </c>
      <c r="C290" s="58" t="s">
        <v>96</v>
      </c>
      <c r="D290" s="72">
        <v>2</v>
      </c>
      <c r="E290" s="71">
        <v>0</v>
      </c>
    </row>
    <row r="291" spans="2:5" ht="15" customHeight="1">
      <c r="B291" s="114"/>
      <c r="C291" s="58" t="s">
        <v>98</v>
      </c>
      <c r="D291" s="72">
        <v>43</v>
      </c>
      <c r="E291" s="71">
        <v>4.0000000000000001E-3</v>
      </c>
    </row>
    <row r="292" spans="2:5" ht="15" customHeight="1">
      <c r="B292" s="114"/>
      <c r="C292" s="58" t="s">
        <v>100</v>
      </c>
      <c r="D292" s="72">
        <v>155</v>
      </c>
      <c r="E292" s="71">
        <v>1.2999999999999999E-2</v>
      </c>
    </row>
    <row r="293" spans="2:5" ht="15" customHeight="1">
      <c r="B293" s="114"/>
      <c r="C293" s="58" t="s">
        <v>101</v>
      </c>
      <c r="D293" s="72">
        <v>1</v>
      </c>
      <c r="E293" s="71">
        <v>0</v>
      </c>
    </row>
    <row r="294" spans="2:5" ht="15" customHeight="1">
      <c r="B294" s="114"/>
      <c r="C294" s="58" t="s">
        <v>104</v>
      </c>
      <c r="D294" s="72">
        <v>5</v>
      </c>
      <c r="E294" s="71">
        <v>0</v>
      </c>
    </row>
    <row r="295" spans="2:5" ht="15" customHeight="1">
      <c r="B295" s="114"/>
      <c r="C295" s="58" t="s">
        <v>105</v>
      </c>
      <c r="D295" s="72">
        <v>1</v>
      </c>
      <c r="E295" s="71">
        <v>0</v>
      </c>
    </row>
    <row r="296" spans="2:5" ht="15" customHeight="1">
      <c r="B296" s="114"/>
      <c r="C296" s="58" t="s">
        <v>106</v>
      </c>
      <c r="D296" s="72">
        <v>1</v>
      </c>
      <c r="E296" s="71">
        <v>0</v>
      </c>
    </row>
    <row r="297" spans="2:5" ht="15" customHeight="1">
      <c r="B297" s="114"/>
      <c r="C297" s="58" t="s">
        <v>107</v>
      </c>
      <c r="D297" s="72">
        <v>2</v>
      </c>
      <c r="E297" s="71">
        <v>0</v>
      </c>
    </row>
    <row r="298" spans="2:5" ht="15" customHeight="1">
      <c r="B298" s="114"/>
      <c r="C298" s="58" t="s">
        <v>108</v>
      </c>
      <c r="D298" s="72">
        <v>1</v>
      </c>
      <c r="E298" s="71">
        <v>0</v>
      </c>
    </row>
    <row r="299" spans="2:5" ht="15" customHeight="1">
      <c r="B299" s="114"/>
      <c r="C299" s="58" t="s">
        <v>110</v>
      </c>
      <c r="D299" s="72">
        <v>1</v>
      </c>
      <c r="E299" s="71">
        <v>0</v>
      </c>
    </row>
    <row r="300" spans="2:5" ht="15" customHeight="1">
      <c r="B300" s="114"/>
      <c r="C300" s="58" t="s">
        <v>115</v>
      </c>
      <c r="D300" s="72">
        <v>1</v>
      </c>
      <c r="E300" s="71">
        <v>0</v>
      </c>
    </row>
    <row r="301" spans="2:5" ht="15" customHeight="1">
      <c r="B301" s="114"/>
      <c r="C301" s="58" t="s">
        <v>116</v>
      </c>
      <c r="D301" s="72">
        <v>1</v>
      </c>
      <c r="E301" s="71">
        <v>0</v>
      </c>
    </row>
    <row r="302" spans="2:5" ht="15" customHeight="1">
      <c r="B302" s="114"/>
      <c r="C302" s="58" t="s">
        <v>121</v>
      </c>
      <c r="D302" s="72">
        <v>15</v>
      </c>
      <c r="E302" s="71">
        <v>1E-3</v>
      </c>
    </row>
    <row r="303" spans="2:5" ht="15" customHeight="1">
      <c r="B303" s="114"/>
      <c r="C303" s="58" t="s">
        <v>123</v>
      </c>
      <c r="D303" s="72">
        <v>1</v>
      </c>
      <c r="E303" s="71">
        <v>0</v>
      </c>
    </row>
    <row r="304" spans="2:5" ht="15" customHeight="1">
      <c r="B304" s="114"/>
      <c r="C304" s="58" t="s">
        <v>125</v>
      </c>
      <c r="D304" s="72">
        <v>1</v>
      </c>
      <c r="E304" s="71">
        <v>0</v>
      </c>
    </row>
    <row r="305" spans="2:5" ht="15" customHeight="1">
      <c r="B305" s="114"/>
      <c r="C305" s="58" t="s">
        <v>128</v>
      </c>
      <c r="D305" s="72">
        <v>3</v>
      </c>
      <c r="E305" s="71">
        <v>0</v>
      </c>
    </row>
    <row r="306" spans="2:5" ht="15" customHeight="1">
      <c r="B306" s="114"/>
      <c r="C306" s="58" t="s">
        <v>129</v>
      </c>
      <c r="D306" s="72">
        <v>3</v>
      </c>
      <c r="E306" s="71">
        <v>0</v>
      </c>
    </row>
    <row r="307" spans="2:5" ht="15" customHeight="1">
      <c r="B307" s="114"/>
      <c r="C307" s="58" t="s">
        <v>130</v>
      </c>
      <c r="D307" s="72">
        <v>1</v>
      </c>
      <c r="E307" s="71">
        <v>0</v>
      </c>
    </row>
    <row r="308" spans="2:5" ht="15" customHeight="1">
      <c r="B308" s="114"/>
      <c r="C308" s="58" t="s">
        <v>133</v>
      </c>
      <c r="D308" s="72">
        <v>1</v>
      </c>
      <c r="E308" s="71">
        <v>0</v>
      </c>
    </row>
    <row r="309" spans="2:5" ht="15" customHeight="1">
      <c r="B309" s="114"/>
      <c r="C309" s="58" t="s">
        <v>134</v>
      </c>
      <c r="D309" s="72">
        <v>15</v>
      </c>
      <c r="E309" s="71">
        <v>1E-3</v>
      </c>
    </row>
    <row r="310" spans="2:5" ht="15" customHeight="1">
      <c r="B310" s="114"/>
      <c r="C310" s="58" t="s">
        <v>135</v>
      </c>
      <c r="D310" s="72">
        <v>1</v>
      </c>
      <c r="E310" s="71">
        <v>0</v>
      </c>
    </row>
    <row r="311" spans="2:5" ht="15" customHeight="1">
      <c r="B311" s="114"/>
      <c r="C311" s="58" t="s">
        <v>89</v>
      </c>
      <c r="D311" s="72">
        <v>2</v>
      </c>
      <c r="E311" s="71">
        <v>0</v>
      </c>
    </row>
    <row r="312" spans="2:5" ht="15" customHeight="1">
      <c r="B312" s="115"/>
      <c r="C312" s="73" t="s">
        <v>267</v>
      </c>
      <c r="D312" s="78">
        <v>257</v>
      </c>
      <c r="E312" s="75">
        <v>2.1000000000000001E-2</v>
      </c>
    </row>
    <row r="313" spans="2:5" ht="15" customHeight="1">
      <c r="B313" s="113" t="s">
        <v>173</v>
      </c>
      <c r="C313" s="58" t="s">
        <v>96</v>
      </c>
      <c r="D313" s="72">
        <v>2</v>
      </c>
      <c r="E313" s="71">
        <v>0</v>
      </c>
    </row>
    <row r="314" spans="2:5" ht="15" customHeight="1">
      <c r="B314" s="114"/>
      <c r="C314" s="58" t="s">
        <v>98</v>
      </c>
      <c r="D314" s="72">
        <v>156</v>
      </c>
      <c r="E314" s="71">
        <v>1.2999999999999999E-2</v>
      </c>
    </row>
    <row r="315" spans="2:5" ht="15" customHeight="1">
      <c r="B315" s="114"/>
      <c r="C315" s="58" t="s">
        <v>99</v>
      </c>
      <c r="D315" s="72">
        <v>2</v>
      </c>
      <c r="E315" s="71">
        <v>0</v>
      </c>
    </row>
    <row r="316" spans="2:5" ht="15" customHeight="1">
      <c r="B316" s="114"/>
      <c r="C316" s="58" t="s">
        <v>100</v>
      </c>
      <c r="D316" s="72">
        <v>522</v>
      </c>
      <c r="E316" s="71">
        <v>4.3999999999999997E-2</v>
      </c>
    </row>
    <row r="317" spans="2:5" ht="15" customHeight="1">
      <c r="B317" s="114"/>
      <c r="C317" s="58" t="s">
        <v>101</v>
      </c>
      <c r="D317" s="72">
        <v>18</v>
      </c>
      <c r="E317" s="71">
        <v>2E-3</v>
      </c>
    </row>
    <row r="318" spans="2:5" ht="15" customHeight="1">
      <c r="B318" s="114"/>
      <c r="C318" s="58" t="s">
        <v>104</v>
      </c>
      <c r="D318" s="72">
        <v>6</v>
      </c>
      <c r="E318" s="71">
        <v>1E-3</v>
      </c>
    </row>
    <row r="319" spans="2:5" ht="15" customHeight="1">
      <c r="B319" s="114"/>
      <c r="C319" s="58" t="s">
        <v>105</v>
      </c>
      <c r="D319" s="72">
        <v>7</v>
      </c>
      <c r="E319" s="71">
        <v>1E-3</v>
      </c>
    </row>
    <row r="320" spans="2:5" ht="15" customHeight="1">
      <c r="B320" s="114"/>
      <c r="C320" s="58" t="s">
        <v>106</v>
      </c>
      <c r="D320" s="72">
        <v>13</v>
      </c>
      <c r="E320" s="71">
        <v>1E-3</v>
      </c>
    </row>
    <row r="321" spans="2:5" ht="15" customHeight="1">
      <c r="B321" s="114"/>
      <c r="C321" s="58" t="s">
        <v>107</v>
      </c>
      <c r="D321" s="72">
        <v>7</v>
      </c>
      <c r="E321" s="71">
        <v>1E-3</v>
      </c>
    </row>
    <row r="322" spans="2:5" ht="15" customHeight="1">
      <c r="B322" s="114"/>
      <c r="C322" s="58" t="s">
        <v>108</v>
      </c>
      <c r="D322" s="72">
        <v>6</v>
      </c>
      <c r="E322" s="71">
        <v>1E-3</v>
      </c>
    </row>
    <row r="323" spans="2:5" ht="15" customHeight="1">
      <c r="B323" s="114"/>
      <c r="C323" s="58" t="s">
        <v>109</v>
      </c>
      <c r="D323" s="72">
        <v>2</v>
      </c>
      <c r="E323" s="71">
        <v>0</v>
      </c>
    </row>
    <row r="324" spans="2:5" ht="15" customHeight="1">
      <c r="B324" s="114"/>
      <c r="C324" s="58" t="s">
        <v>110</v>
      </c>
      <c r="D324" s="72">
        <v>6</v>
      </c>
      <c r="E324" s="71">
        <v>1E-3</v>
      </c>
    </row>
    <row r="325" spans="2:5" ht="15" customHeight="1">
      <c r="B325" s="114"/>
      <c r="C325" s="58" t="s">
        <v>111</v>
      </c>
      <c r="D325" s="72">
        <v>3</v>
      </c>
      <c r="E325" s="71">
        <v>0</v>
      </c>
    </row>
    <row r="326" spans="2:5" ht="15" customHeight="1">
      <c r="B326" s="114"/>
      <c r="C326" s="58" t="s">
        <v>112</v>
      </c>
      <c r="D326" s="72">
        <v>5</v>
      </c>
      <c r="E326" s="71">
        <v>0</v>
      </c>
    </row>
    <row r="327" spans="2:5" ht="15" customHeight="1">
      <c r="B327" s="114"/>
      <c r="C327" s="58" t="s">
        <v>115</v>
      </c>
      <c r="D327" s="72">
        <v>6</v>
      </c>
      <c r="E327" s="71">
        <v>1E-3</v>
      </c>
    </row>
    <row r="328" spans="2:5" ht="15" customHeight="1">
      <c r="B328" s="114"/>
      <c r="C328" s="58" t="s">
        <v>116</v>
      </c>
      <c r="D328" s="72">
        <v>6</v>
      </c>
      <c r="E328" s="71">
        <v>1E-3</v>
      </c>
    </row>
    <row r="329" spans="2:5" ht="15" customHeight="1">
      <c r="B329" s="114"/>
      <c r="C329" s="58" t="s">
        <v>117</v>
      </c>
      <c r="D329" s="72">
        <v>1</v>
      </c>
      <c r="E329" s="71">
        <v>0</v>
      </c>
    </row>
    <row r="330" spans="2:5" ht="15" customHeight="1">
      <c r="B330" s="114"/>
      <c r="C330" s="58" t="s">
        <v>118</v>
      </c>
      <c r="D330" s="72">
        <v>5</v>
      </c>
      <c r="E330" s="71">
        <v>0</v>
      </c>
    </row>
    <row r="331" spans="2:5" ht="15" customHeight="1">
      <c r="B331" s="114"/>
      <c r="C331" s="58" t="s">
        <v>120</v>
      </c>
      <c r="D331" s="72">
        <v>4</v>
      </c>
      <c r="E331" s="71">
        <v>0</v>
      </c>
    </row>
    <row r="332" spans="2:5" ht="15" customHeight="1">
      <c r="B332" s="114"/>
      <c r="C332" s="58" t="s">
        <v>121</v>
      </c>
      <c r="D332" s="72">
        <v>50</v>
      </c>
      <c r="E332" s="71">
        <v>4.0000000000000001E-3</v>
      </c>
    </row>
    <row r="333" spans="2:5" ht="15" customHeight="1">
      <c r="B333" s="114"/>
      <c r="C333" s="58" t="s">
        <v>122</v>
      </c>
      <c r="D333" s="72">
        <v>3</v>
      </c>
      <c r="E333" s="71">
        <v>0</v>
      </c>
    </row>
    <row r="334" spans="2:5" ht="15" customHeight="1">
      <c r="B334" s="114"/>
      <c r="C334" s="58" t="s">
        <v>123</v>
      </c>
      <c r="D334" s="72">
        <v>2</v>
      </c>
      <c r="E334" s="71">
        <v>0</v>
      </c>
    </row>
    <row r="335" spans="2:5" ht="15" customHeight="1">
      <c r="B335" s="114"/>
      <c r="C335" s="58" t="s">
        <v>125</v>
      </c>
      <c r="D335" s="72">
        <v>8</v>
      </c>
      <c r="E335" s="71">
        <v>1E-3</v>
      </c>
    </row>
    <row r="336" spans="2:5" ht="15" customHeight="1">
      <c r="B336" s="114"/>
      <c r="C336" s="58" t="s">
        <v>127</v>
      </c>
      <c r="D336" s="72">
        <v>3</v>
      </c>
      <c r="E336" s="71">
        <v>0</v>
      </c>
    </row>
    <row r="337" spans="2:5" ht="15" customHeight="1">
      <c r="B337" s="114"/>
      <c r="C337" s="58" t="s">
        <v>128</v>
      </c>
      <c r="D337" s="72">
        <v>6</v>
      </c>
      <c r="E337" s="71">
        <v>1E-3</v>
      </c>
    </row>
    <row r="338" spans="2:5" ht="15" customHeight="1">
      <c r="B338" s="114"/>
      <c r="C338" s="58" t="s">
        <v>129</v>
      </c>
      <c r="D338" s="72">
        <v>7</v>
      </c>
      <c r="E338" s="71">
        <v>1E-3</v>
      </c>
    </row>
    <row r="339" spans="2:5" ht="15" customHeight="1">
      <c r="B339" s="114"/>
      <c r="C339" s="58" t="s">
        <v>130</v>
      </c>
      <c r="D339" s="72">
        <v>1</v>
      </c>
      <c r="E339" s="71">
        <v>0</v>
      </c>
    </row>
    <row r="340" spans="2:5" ht="15" customHeight="1">
      <c r="B340" s="114"/>
      <c r="C340" s="58" t="s">
        <v>131</v>
      </c>
      <c r="D340" s="72">
        <v>2</v>
      </c>
      <c r="E340" s="71">
        <v>0</v>
      </c>
    </row>
    <row r="341" spans="2:5" ht="15" customHeight="1">
      <c r="B341" s="114"/>
      <c r="C341" s="58" t="s">
        <v>133</v>
      </c>
      <c r="D341" s="72">
        <v>7</v>
      </c>
      <c r="E341" s="71">
        <v>1E-3</v>
      </c>
    </row>
    <row r="342" spans="2:5" ht="15" customHeight="1">
      <c r="B342" s="114"/>
      <c r="C342" s="58" t="s">
        <v>134</v>
      </c>
      <c r="D342" s="72">
        <v>37</v>
      </c>
      <c r="E342" s="71">
        <v>3.0000000000000001E-3</v>
      </c>
    </row>
    <row r="343" spans="2:5" ht="15" customHeight="1">
      <c r="B343" s="114"/>
      <c r="C343" s="58" t="s">
        <v>135</v>
      </c>
      <c r="D343" s="72">
        <v>5</v>
      </c>
      <c r="E343" s="71">
        <v>0</v>
      </c>
    </row>
    <row r="344" spans="2:5" ht="15" customHeight="1">
      <c r="B344" s="114"/>
      <c r="C344" s="58" t="s">
        <v>136</v>
      </c>
      <c r="D344" s="72">
        <v>3</v>
      </c>
      <c r="E344" s="71">
        <v>0</v>
      </c>
    </row>
    <row r="345" spans="2:5" ht="15" customHeight="1">
      <c r="B345" s="114"/>
      <c r="C345" s="58" t="s">
        <v>89</v>
      </c>
      <c r="D345" s="72">
        <v>8</v>
      </c>
      <c r="E345" s="71">
        <v>1E-3</v>
      </c>
    </row>
    <row r="346" spans="2:5" ht="15" customHeight="1">
      <c r="B346" s="114"/>
      <c r="C346" s="58" t="s">
        <v>138</v>
      </c>
      <c r="D346" s="72">
        <v>2</v>
      </c>
      <c r="E346" s="71">
        <v>0</v>
      </c>
    </row>
    <row r="347" spans="2:5" ht="15" customHeight="1">
      <c r="B347" s="114"/>
      <c r="C347" s="58" t="s">
        <v>139</v>
      </c>
      <c r="D347" s="72">
        <v>1</v>
      </c>
      <c r="E347" s="71">
        <v>0</v>
      </c>
    </row>
    <row r="348" spans="2:5" ht="15" customHeight="1">
      <c r="B348" s="115"/>
      <c r="C348" s="73" t="s">
        <v>267</v>
      </c>
      <c r="D348" s="78">
        <v>922</v>
      </c>
      <c r="E348" s="75">
        <v>7.6999999999999999E-2</v>
      </c>
    </row>
    <row r="349" spans="2:5" ht="15" customHeight="1">
      <c r="B349" s="113" t="s">
        <v>174</v>
      </c>
      <c r="C349" s="58" t="s">
        <v>96</v>
      </c>
      <c r="D349" s="72">
        <v>9</v>
      </c>
      <c r="E349" s="71">
        <v>1E-3</v>
      </c>
    </row>
    <row r="350" spans="2:5" ht="15" customHeight="1">
      <c r="B350" s="114"/>
      <c r="C350" s="58" t="s">
        <v>98</v>
      </c>
      <c r="D350" s="72">
        <v>516</v>
      </c>
      <c r="E350" s="71">
        <v>4.2999999999999997E-2</v>
      </c>
    </row>
    <row r="351" spans="2:5" ht="15" customHeight="1">
      <c r="B351" s="114"/>
      <c r="C351" s="58" t="s">
        <v>99</v>
      </c>
      <c r="D351" s="72">
        <v>9</v>
      </c>
      <c r="E351" s="71">
        <v>1E-3</v>
      </c>
    </row>
    <row r="352" spans="2:5" ht="15" customHeight="1">
      <c r="B352" s="114"/>
      <c r="C352" s="58" t="s">
        <v>100</v>
      </c>
      <c r="D352" s="70">
        <v>1736</v>
      </c>
      <c r="E352" s="71">
        <v>0.14499999999999999</v>
      </c>
    </row>
    <row r="353" spans="2:5" ht="15" customHeight="1">
      <c r="B353" s="114"/>
      <c r="C353" s="58" t="s">
        <v>101</v>
      </c>
      <c r="D353" s="72">
        <v>48</v>
      </c>
      <c r="E353" s="71">
        <v>4.0000000000000001E-3</v>
      </c>
    </row>
    <row r="354" spans="2:5" ht="15" customHeight="1">
      <c r="B354" s="114"/>
      <c r="C354" s="58" t="s">
        <v>103</v>
      </c>
      <c r="D354" s="72">
        <v>1</v>
      </c>
      <c r="E354" s="71">
        <v>0</v>
      </c>
    </row>
    <row r="355" spans="2:5" ht="15" customHeight="1">
      <c r="B355" s="114"/>
      <c r="C355" s="58" t="s">
        <v>104</v>
      </c>
      <c r="D355" s="72">
        <v>15</v>
      </c>
      <c r="E355" s="71">
        <v>1E-3</v>
      </c>
    </row>
    <row r="356" spans="2:5" ht="15" customHeight="1">
      <c r="B356" s="114"/>
      <c r="C356" s="58" t="s">
        <v>105</v>
      </c>
      <c r="D356" s="72">
        <v>6</v>
      </c>
      <c r="E356" s="71">
        <v>1E-3</v>
      </c>
    </row>
    <row r="357" spans="2:5" ht="15" customHeight="1">
      <c r="B357" s="114"/>
      <c r="C357" s="58" t="s">
        <v>106</v>
      </c>
      <c r="D357" s="72">
        <v>38</v>
      </c>
      <c r="E357" s="71">
        <v>3.0000000000000001E-3</v>
      </c>
    </row>
    <row r="358" spans="2:5" ht="15" customHeight="1">
      <c r="B358" s="114"/>
      <c r="C358" s="58" t="s">
        <v>107</v>
      </c>
      <c r="D358" s="72">
        <v>44</v>
      </c>
      <c r="E358" s="71">
        <v>4.0000000000000001E-3</v>
      </c>
    </row>
    <row r="359" spans="2:5" ht="15" customHeight="1">
      <c r="B359" s="114"/>
      <c r="C359" s="58" t="s">
        <v>108</v>
      </c>
      <c r="D359" s="72">
        <v>11</v>
      </c>
      <c r="E359" s="71">
        <v>1E-3</v>
      </c>
    </row>
    <row r="360" spans="2:5" ht="15" customHeight="1">
      <c r="B360" s="114"/>
      <c r="C360" s="58" t="s">
        <v>109</v>
      </c>
      <c r="D360" s="72">
        <v>12</v>
      </c>
      <c r="E360" s="71">
        <v>1E-3</v>
      </c>
    </row>
    <row r="361" spans="2:5" ht="15" customHeight="1">
      <c r="B361" s="114"/>
      <c r="C361" s="58" t="s">
        <v>110</v>
      </c>
      <c r="D361" s="72">
        <v>17</v>
      </c>
      <c r="E361" s="71">
        <v>1E-3</v>
      </c>
    </row>
    <row r="362" spans="2:5" ht="15" customHeight="1">
      <c r="B362" s="114"/>
      <c r="C362" s="58" t="s">
        <v>111</v>
      </c>
      <c r="D362" s="72">
        <v>6</v>
      </c>
      <c r="E362" s="71">
        <v>1E-3</v>
      </c>
    </row>
    <row r="363" spans="2:5" ht="15" customHeight="1">
      <c r="B363" s="114"/>
      <c r="C363" s="58" t="s">
        <v>112</v>
      </c>
      <c r="D363" s="72">
        <v>17</v>
      </c>
      <c r="E363" s="71">
        <v>1E-3</v>
      </c>
    </row>
    <row r="364" spans="2:5" ht="15" customHeight="1">
      <c r="B364" s="114"/>
      <c r="C364" s="58" t="s">
        <v>113</v>
      </c>
      <c r="D364" s="72">
        <v>3</v>
      </c>
      <c r="E364" s="71">
        <v>0</v>
      </c>
    </row>
    <row r="365" spans="2:5" ht="15" customHeight="1">
      <c r="B365" s="114"/>
      <c r="C365" s="58" t="s">
        <v>114</v>
      </c>
      <c r="D365" s="72">
        <v>3</v>
      </c>
      <c r="E365" s="71">
        <v>0</v>
      </c>
    </row>
    <row r="366" spans="2:5" ht="15" customHeight="1">
      <c r="B366" s="114"/>
      <c r="C366" s="58" t="s">
        <v>115</v>
      </c>
      <c r="D366" s="72">
        <v>6</v>
      </c>
      <c r="E366" s="71">
        <v>1E-3</v>
      </c>
    </row>
    <row r="367" spans="2:5" ht="15" customHeight="1">
      <c r="B367" s="114"/>
      <c r="C367" s="58" t="s">
        <v>116</v>
      </c>
      <c r="D367" s="72">
        <v>16</v>
      </c>
      <c r="E367" s="71">
        <v>1E-3</v>
      </c>
    </row>
    <row r="368" spans="2:5" ht="15" customHeight="1">
      <c r="B368" s="114"/>
      <c r="C368" s="58" t="s">
        <v>118</v>
      </c>
      <c r="D368" s="72">
        <v>5</v>
      </c>
      <c r="E368" s="71">
        <v>0</v>
      </c>
    </row>
    <row r="369" spans="2:5" ht="15" customHeight="1">
      <c r="B369" s="114"/>
      <c r="C369" s="58" t="s">
        <v>119</v>
      </c>
      <c r="D369" s="72">
        <v>1</v>
      </c>
      <c r="E369" s="71">
        <v>0</v>
      </c>
    </row>
    <row r="370" spans="2:5" ht="15" customHeight="1">
      <c r="B370" s="114"/>
      <c r="C370" s="58" t="s">
        <v>120</v>
      </c>
      <c r="D370" s="72">
        <v>18</v>
      </c>
      <c r="E370" s="71">
        <v>2E-3</v>
      </c>
    </row>
    <row r="371" spans="2:5" ht="15" customHeight="1">
      <c r="B371" s="114"/>
      <c r="C371" s="58" t="s">
        <v>121</v>
      </c>
      <c r="D371" s="72">
        <v>150</v>
      </c>
      <c r="E371" s="71">
        <v>1.2999999999999999E-2</v>
      </c>
    </row>
    <row r="372" spans="2:5" ht="15" customHeight="1">
      <c r="B372" s="114"/>
      <c r="C372" s="58" t="s">
        <v>122</v>
      </c>
      <c r="D372" s="72">
        <v>4</v>
      </c>
      <c r="E372" s="71">
        <v>0</v>
      </c>
    </row>
    <row r="373" spans="2:5" ht="15" customHeight="1">
      <c r="B373" s="114"/>
      <c r="C373" s="58" t="s">
        <v>123</v>
      </c>
      <c r="D373" s="72">
        <v>19</v>
      </c>
      <c r="E373" s="71">
        <v>2E-3</v>
      </c>
    </row>
    <row r="374" spans="2:5" ht="15" customHeight="1">
      <c r="B374" s="114"/>
      <c r="C374" s="58" t="s">
        <v>124</v>
      </c>
      <c r="D374" s="72">
        <v>6</v>
      </c>
      <c r="E374" s="71">
        <v>1E-3</v>
      </c>
    </row>
    <row r="375" spans="2:5" ht="15" customHeight="1">
      <c r="B375" s="114"/>
      <c r="C375" s="58" t="s">
        <v>125</v>
      </c>
      <c r="D375" s="72">
        <v>30</v>
      </c>
      <c r="E375" s="71">
        <v>3.0000000000000001E-3</v>
      </c>
    </row>
    <row r="376" spans="2:5" ht="15" customHeight="1">
      <c r="B376" s="114"/>
      <c r="C376" s="58" t="s">
        <v>126</v>
      </c>
      <c r="D376" s="72">
        <v>2</v>
      </c>
      <c r="E376" s="71">
        <v>0</v>
      </c>
    </row>
    <row r="377" spans="2:5" ht="15" customHeight="1">
      <c r="B377" s="114"/>
      <c r="C377" s="58" t="s">
        <v>127</v>
      </c>
      <c r="D377" s="72">
        <v>8</v>
      </c>
      <c r="E377" s="71">
        <v>1E-3</v>
      </c>
    </row>
    <row r="378" spans="2:5" ht="15" customHeight="1">
      <c r="B378" s="114"/>
      <c r="C378" s="58" t="s">
        <v>128</v>
      </c>
      <c r="D378" s="72">
        <v>21</v>
      </c>
      <c r="E378" s="71">
        <v>2E-3</v>
      </c>
    </row>
    <row r="379" spans="2:5" ht="15" customHeight="1">
      <c r="B379" s="114"/>
      <c r="C379" s="58" t="s">
        <v>129</v>
      </c>
      <c r="D379" s="72">
        <v>8</v>
      </c>
      <c r="E379" s="71">
        <v>1E-3</v>
      </c>
    </row>
    <row r="380" spans="2:5" ht="15" customHeight="1">
      <c r="B380" s="114"/>
      <c r="C380" s="58" t="s">
        <v>130</v>
      </c>
      <c r="D380" s="72">
        <v>2</v>
      </c>
      <c r="E380" s="71">
        <v>0</v>
      </c>
    </row>
    <row r="381" spans="2:5" ht="15" customHeight="1">
      <c r="B381" s="114"/>
      <c r="C381" s="58" t="s">
        <v>131</v>
      </c>
      <c r="D381" s="72">
        <v>2</v>
      </c>
      <c r="E381" s="71">
        <v>0</v>
      </c>
    </row>
    <row r="382" spans="2:5" ht="15" customHeight="1">
      <c r="B382" s="114"/>
      <c r="C382" s="58" t="s">
        <v>132</v>
      </c>
      <c r="D382" s="72">
        <v>4</v>
      </c>
      <c r="E382" s="71">
        <v>0</v>
      </c>
    </row>
    <row r="383" spans="2:5" ht="15" customHeight="1">
      <c r="B383" s="114"/>
      <c r="C383" s="58" t="s">
        <v>133</v>
      </c>
      <c r="D383" s="72">
        <v>16</v>
      </c>
      <c r="E383" s="71">
        <v>1E-3</v>
      </c>
    </row>
    <row r="384" spans="2:5" ht="15" customHeight="1">
      <c r="B384" s="114"/>
      <c r="C384" s="58" t="s">
        <v>134</v>
      </c>
      <c r="D384" s="72">
        <v>132</v>
      </c>
      <c r="E384" s="71">
        <v>1.0999999999999999E-2</v>
      </c>
    </row>
    <row r="385" spans="2:5" ht="15" customHeight="1">
      <c r="B385" s="114"/>
      <c r="C385" s="58" t="s">
        <v>135</v>
      </c>
      <c r="D385" s="72">
        <v>66</v>
      </c>
      <c r="E385" s="71">
        <v>6.0000000000000001E-3</v>
      </c>
    </row>
    <row r="386" spans="2:5" ht="15" customHeight="1">
      <c r="B386" s="114"/>
      <c r="C386" s="58" t="s">
        <v>239</v>
      </c>
      <c r="D386" s="72">
        <v>1</v>
      </c>
      <c r="E386" s="71">
        <v>0</v>
      </c>
    </row>
    <row r="387" spans="2:5" ht="15" customHeight="1">
      <c r="B387" s="114"/>
      <c r="C387" s="58" t="s">
        <v>136</v>
      </c>
      <c r="D387" s="72">
        <v>11</v>
      </c>
      <c r="E387" s="71">
        <v>1E-3</v>
      </c>
    </row>
    <row r="388" spans="2:5" ht="15" customHeight="1">
      <c r="B388" s="114"/>
      <c r="C388" s="58" t="s">
        <v>89</v>
      </c>
      <c r="D388" s="72">
        <v>22</v>
      </c>
      <c r="E388" s="71">
        <v>2E-3</v>
      </c>
    </row>
    <row r="389" spans="2:5" ht="15" customHeight="1">
      <c r="B389" s="114"/>
      <c r="C389" s="58" t="s">
        <v>137</v>
      </c>
      <c r="D389" s="72">
        <v>1</v>
      </c>
      <c r="E389" s="71">
        <v>0</v>
      </c>
    </row>
    <row r="390" spans="2:5" ht="15" customHeight="1">
      <c r="B390" s="114"/>
      <c r="C390" s="58" t="s">
        <v>138</v>
      </c>
      <c r="D390" s="72">
        <v>9</v>
      </c>
      <c r="E390" s="71">
        <v>1E-3</v>
      </c>
    </row>
    <row r="391" spans="2:5" ht="15" customHeight="1">
      <c r="B391" s="114"/>
      <c r="C391" s="58" t="s">
        <v>139</v>
      </c>
      <c r="D391" s="72">
        <v>5</v>
      </c>
      <c r="E391" s="71">
        <v>0</v>
      </c>
    </row>
    <row r="392" spans="2:5" ht="15" customHeight="1">
      <c r="B392" s="115"/>
      <c r="C392" s="73" t="s">
        <v>267</v>
      </c>
      <c r="D392" s="78">
        <v>3056</v>
      </c>
      <c r="E392" s="75">
        <v>0.255</v>
      </c>
    </row>
    <row r="393" spans="2:5" ht="15" customHeight="1">
      <c r="B393" s="113" t="s">
        <v>251</v>
      </c>
      <c r="C393" s="58" t="s">
        <v>98</v>
      </c>
      <c r="D393" s="72">
        <v>9</v>
      </c>
      <c r="E393" s="71">
        <v>1E-3</v>
      </c>
    </row>
    <row r="394" spans="2:5" ht="15" customHeight="1">
      <c r="B394" s="114"/>
      <c r="C394" s="58" t="s">
        <v>100</v>
      </c>
      <c r="D394" s="72">
        <v>40</v>
      </c>
      <c r="E394" s="71">
        <v>3.0000000000000001E-3</v>
      </c>
    </row>
    <row r="395" spans="2:5" ht="15" customHeight="1">
      <c r="B395" s="114"/>
      <c r="C395" s="58" t="s">
        <v>101</v>
      </c>
      <c r="D395" s="72">
        <v>2</v>
      </c>
      <c r="E395" s="71">
        <v>0</v>
      </c>
    </row>
    <row r="396" spans="2:5" ht="15" customHeight="1">
      <c r="B396" s="114"/>
      <c r="C396" s="58" t="s">
        <v>104</v>
      </c>
      <c r="D396" s="72">
        <v>1</v>
      </c>
      <c r="E396" s="71">
        <v>0</v>
      </c>
    </row>
    <row r="397" spans="2:5" ht="15" customHeight="1">
      <c r="B397" s="114"/>
      <c r="C397" s="58" t="s">
        <v>107</v>
      </c>
      <c r="D397" s="72">
        <v>1</v>
      </c>
      <c r="E397" s="71">
        <v>0</v>
      </c>
    </row>
    <row r="398" spans="2:5" ht="15" customHeight="1">
      <c r="B398" s="114"/>
      <c r="C398" s="58" t="s">
        <v>110</v>
      </c>
      <c r="D398" s="72">
        <v>3</v>
      </c>
      <c r="E398" s="71">
        <v>0</v>
      </c>
    </row>
    <row r="399" spans="2:5" ht="15" customHeight="1">
      <c r="B399" s="114"/>
      <c r="C399" s="58" t="s">
        <v>116</v>
      </c>
      <c r="D399" s="72">
        <v>1</v>
      </c>
      <c r="E399" s="71">
        <v>0</v>
      </c>
    </row>
    <row r="400" spans="2:5" ht="15" customHeight="1">
      <c r="B400" s="114"/>
      <c r="C400" s="58" t="s">
        <v>121</v>
      </c>
      <c r="D400" s="72">
        <v>4</v>
      </c>
      <c r="E400" s="71">
        <v>0</v>
      </c>
    </row>
    <row r="401" spans="2:5" ht="15" customHeight="1">
      <c r="B401" s="114"/>
      <c r="C401" s="58" t="s">
        <v>123</v>
      </c>
      <c r="D401" s="72">
        <v>1</v>
      </c>
      <c r="E401" s="71">
        <v>0</v>
      </c>
    </row>
    <row r="402" spans="2:5" ht="15" customHeight="1">
      <c r="B402" s="114"/>
      <c r="C402" s="58" t="s">
        <v>134</v>
      </c>
      <c r="D402" s="72">
        <v>1</v>
      </c>
      <c r="E402" s="71">
        <v>0</v>
      </c>
    </row>
    <row r="403" spans="2:5" ht="15" customHeight="1">
      <c r="B403" s="114"/>
      <c r="C403" s="58" t="s">
        <v>89</v>
      </c>
      <c r="D403" s="72">
        <v>2</v>
      </c>
      <c r="E403" s="71">
        <v>0</v>
      </c>
    </row>
    <row r="404" spans="2:5" ht="15" customHeight="1">
      <c r="B404" s="114"/>
      <c r="C404" s="58" t="s">
        <v>138</v>
      </c>
      <c r="D404" s="72">
        <v>1</v>
      </c>
      <c r="E404" s="71">
        <v>0</v>
      </c>
    </row>
    <row r="405" spans="2:5" ht="15" customHeight="1">
      <c r="B405" s="115"/>
      <c r="C405" s="73" t="s">
        <v>267</v>
      </c>
      <c r="D405" s="78">
        <v>66</v>
      </c>
      <c r="E405" s="75">
        <v>6.0000000000000001E-3</v>
      </c>
    </row>
    <row r="406" spans="2:5" ht="15" customHeight="1">
      <c r="B406" s="113" t="s">
        <v>252</v>
      </c>
      <c r="C406" s="58" t="s">
        <v>98</v>
      </c>
      <c r="D406" s="72">
        <v>14</v>
      </c>
      <c r="E406" s="71">
        <v>1E-3</v>
      </c>
    </row>
    <row r="407" spans="2:5" ht="15" customHeight="1">
      <c r="B407" s="114"/>
      <c r="C407" s="58" t="s">
        <v>100</v>
      </c>
      <c r="D407" s="72">
        <v>36</v>
      </c>
      <c r="E407" s="71">
        <v>3.0000000000000001E-3</v>
      </c>
    </row>
    <row r="408" spans="2:5" ht="15" customHeight="1">
      <c r="B408" s="114"/>
      <c r="C408" s="58" t="s">
        <v>101</v>
      </c>
      <c r="D408" s="72">
        <v>2</v>
      </c>
      <c r="E408" s="71">
        <v>0</v>
      </c>
    </row>
    <row r="409" spans="2:5" ht="15" customHeight="1">
      <c r="B409" s="114"/>
      <c r="C409" s="58" t="s">
        <v>102</v>
      </c>
      <c r="D409" s="72">
        <v>1</v>
      </c>
      <c r="E409" s="71">
        <v>0</v>
      </c>
    </row>
    <row r="410" spans="2:5" ht="15" customHeight="1">
      <c r="B410" s="114"/>
      <c r="C410" s="58" t="s">
        <v>105</v>
      </c>
      <c r="D410" s="72">
        <v>1</v>
      </c>
      <c r="E410" s="71">
        <v>0</v>
      </c>
    </row>
    <row r="411" spans="2:5" ht="15" customHeight="1">
      <c r="B411" s="114"/>
      <c r="C411" s="58" t="s">
        <v>106</v>
      </c>
      <c r="D411" s="72">
        <v>1</v>
      </c>
      <c r="E411" s="71">
        <v>0</v>
      </c>
    </row>
    <row r="412" spans="2:5" ht="15" customHeight="1">
      <c r="B412" s="114"/>
      <c r="C412" s="58" t="s">
        <v>118</v>
      </c>
      <c r="D412" s="72">
        <v>1</v>
      </c>
      <c r="E412" s="71">
        <v>0</v>
      </c>
    </row>
    <row r="413" spans="2:5" ht="15" customHeight="1">
      <c r="B413" s="114"/>
      <c r="C413" s="58" t="s">
        <v>121</v>
      </c>
      <c r="D413" s="72">
        <v>2</v>
      </c>
      <c r="E413" s="71">
        <v>0</v>
      </c>
    </row>
    <row r="414" spans="2:5" ht="15" customHeight="1">
      <c r="B414" s="114"/>
      <c r="C414" s="58" t="s">
        <v>123</v>
      </c>
      <c r="D414" s="72">
        <v>1</v>
      </c>
      <c r="E414" s="71">
        <v>0</v>
      </c>
    </row>
    <row r="415" spans="2:5" ht="15" customHeight="1">
      <c r="B415" s="114"/>
      <c r="C415" s="58" t="s">
        <v>134</v>
      </c>
      <c r="D415" s="72">
        <v>1</v>
      </c>
      <c r="E415" s="71">
        <v>0</v>
      </c>
    </row>
    <row r="416" spans="2:5" ht="15" customHeight="1">
      <c r="B416" s="114"/>
      <c r="C416" s="58" t="s">
        <v>135</v>
      </c>
      <c r="D416" s="72">
        <v>2</v>
      </c>
      <c r="E416" s="71">
        <v>0</v>
      </c>
    </row>
    <row r="417" spans="2:5" ht="15" customHeight="1">
      <c r="B417" s="114"/>
      <c r="C417" s="58" t="s">
        <v>136</v>
      </c>
      <c r="D417" s="72">
        <v>1</v>
      </c>
      <c r="E417" s="71">
        <v>0</v>
      </c>
    </row>
    <row r="418" spans="2:5" ht="15" customHeight="1">
      <c r="B418" s="114"/>
      <c r="C418" s="58" t="s">
        <v>89</v>
      </c>
      <c r="D418" s="72">
        <v>1</v>
      </c>
      <c r="E418" s="71">
        <v>0</v>
      </c>
    </row>
    <row r="419" spans="2:5" ht="15" customHeight="1">
      <c r="B419" s="114"/>
      <c r="C419" s="58" t="s">
        <v>138</v>
      </c>
      <c r="D419" s="72">
        <v>1</v>
      </c>
      <c r="E419" s="71">
        <v>0</v>
      </c>
    </row>
    <row r="420" spans="2:5" ht="15" customHeight="1">
      <c r="B420" s="115"/>
      <c r="C420" s="73" t="s">
        <v>267</v>
      </c>
      <c r="D420" s="78">
        <v>65</v>
      </c>
      <c r="E420" s="75">
        <v>5.0000000000000001E-3</v>
      </c>
    </row>
    <row r="421" spans="2:5" ht="15" customHeight="1">
      <c r="B421" s="113" t="s">
        <v>253</v>
      </c>
      <c r="C421" s="58" t="s">
        <v>98</v>
      </c>
      <c r="D421" s="72">
        <v>15</v>
      </c>
      <c r="E421" s="71">
        <v>1E-3</v>
      </c>
    </row>
    <row r="422" spans="2:5" ht="15" customHeight="1">
      <c r="B422" s="114"/>
      <c r="C422" s="58" t="s">
        <v>100</v>
      </c>
      <c r="D422" s="72">
        <v>23</v>
      </c>
      <c r="E422" s="71">
        <v>2E-3</v>
      </c>
    </row>
    <row r="423" spans="2:5" ht="15" customHeight="1">
      <c r="B423" s="114"/>
      <c r="C423" s="58" t="s">
        <v>112</v>
      </c>
      <c r="D423" s="72">
        <v>1</v>
      </c>
      <c r="E423" s="71">
        <v>0</v>
      </c>
    </row>
    <row r="424" spans="2:5" ht="15" customHeight="1">
      <c r="B424" s="114"/>
      <c r="C424" s="58" t="s">
        <v>135</v>
      </c>
      <c r="D424" s="72">
        <v>1</v>
      </c>
      <c r="E424" s="71">
        <v>0</v>
      </c>
    </row>
    <row r="425" spans="2:5" ht="15" customHeight="1">
      <c r="B425" s="115"/>
      <c r="C425" s="73" t="s">
        <v>267</v>
      </c>
      <c r="D425" s="78">
        <v>40</v>
      </c>
      <c r="E425" s="75">
        <v>3.0000000000000001E-3</v>
      </c>
    </row>
    <row r="426" spans="2:5" ht="15" customHeight="1">
      <c r="B426" s="113" t="s">
        <v>254</v>
      </c>
      <c r="C426" s="58" t="s">
        <v>98</v>
      </c>
      <c r="D426" s="72">
        <v>9</v>
      </c>
      <c r="E426" s="71">
        <v>1E-3</v>
      </c>
    </row>
    <row r="427" spans="2:5" ht="15" customHeight="1">
      <c r="B427" s="114"/>
      <c r="C427" s="58" t="s">
        <v>100</v>
      </c>
      <c r="D427" s="72">
        <v>16</v>
      </c>
      <c r="E427" s="71">
        <v>1E-3</v>
      </c>
    </row>
    <row r="428" spans="2:5" ht="15" customHeight="1">
      <c r="B428" s="114"/>
      <c r="C428" s="58" t="s">
        <v>104</v>
      </c>
      <c r="D428" s="72">
        <v>1</v>
      </c>
      <c r="E428" s="71">
        <v>0</v>
      </c>
    </row>
    <row r="429" spans="2:5" ht="15" customHeight="1">
      <c r="B429" s="114"/>
      <c r="C429" s="58" t="s">
        <v>116</v>
      </c>
      <c r="D429" s="72">
        <v>1</v>
      </c>
      <c r="E429" s="71">
        <v>0</v>
      </c>
    </row>
    <row r="430" spans="2:5" ht="15" customHeight="1">
      <c r="B430" s="114"/>
      <c r="C430" s="58" t="s">
        <v>121</v>
      </c>
      <c r="D430" s="72">
        <v>2</v>
      </c>
      <c r="E430" s="71">
        <v>0</v>
      </c>
    </row>
    <row r="431" spans="2:5" ht="15" customHeight="1">
      <c r="B431" s="114"/>
      <c r="C431" s="58" t="s">
        <v>122</v>
      </c>
      <c r="D431" s="72">
        <v>1</v>
      </c>
      <c r="E431" s="71">
        <v>0</v>
      </c>
    </row>
    <row r="432" spans="2:5" ht="15" customHeight="1">
      <c r="B432" s="114"/>
      <c r="C432" s="58" t="s">
        <v>134</v>
      </c>
      <c r="D432" s="72">
        <v>1</v>
      </c>
      <c r="E432" s="71">
        <v>0</v>
      </c>
    </row>
    <row r="433" spans="2:5" ht="15" customHeight="1">
      <c r="B433" s="115"/>
      <c r="C433" s="73" t="s">
        <v>267</v>
      </c>
      <c r="D433" s="78">
        <v>31</v>
      </c>
      <c r="E433" s="75">
        <v>3.0000000000000001E-3</v>
      </c>
    </row>
    <row r="434" spans="2:5" ht="15" customHeight="1">
      <c r="B434" s="113" t="s">
        <v>179</v>
      </c>
      <c r="C434" s="58" t="s">
        <v>96</v>
      </c>
      <c r="D434" s="72">
        <v>2</v>
      </c>
      <c r="E434" s="71">
        <v>0</v>
      </c>
    </row>
    <row r="435" spans="2:5" ht="15" customHeight="1">
      <c r="B435" s="114"/>
      <c r="C435" s="58" t="s">
        <v>98</v>
      </c>
      <c r="D435" s="72">
        <v>37</v>
      </c>
      <c r="E435" s="71">
        <v>3.0000000000000001E-3</v>
      </c>
    </row>
    <row r="436" spans="2:5" ht="15" customHeight="1">
      <c r="B436" s="114"/>
      <c r="C436" s="58" t="s">
        <v>99</v>
      </c>
      <c r="D436" s="72">
        <v>1</v>
      </c>
      <c r="E436" s="71">
        <v>0</v>
      </c>
    </row>
    <row r="437" spans="2:5" ht="15" customHeight="1">
      <c r="B437" s="114"/>
      <c r="C437" s="58" t="s">
        <v>100</v>
      </c>
      <c r="D437" s="72">
        <v>106</v>
      </c>
      <c r="E437" s="71">
        <v>8.9999999999999993E-3</v>
      </c>
    </row>
    <row r="438" spans="2:5" ht="15" customHeight="1">
      <c r="B438" s="114"/>
      <c r="C438" s="58" t="s">
        <v>101</v>
      </c>
      <c r="D438" s="72">
        <v>2</v>
      </c>
      <c r="E438" s="71">
        <v>0</v>
      </c>
    </row>
    <row r="439" spans="2:5" ht="15" customHeight="1">
      <c r="B439" s="114"/>
      <c r="C439" s="58" t="s">
        <v>104</v>
      </c>
      <c r="D439" s="72">
        <v>2</v>
      </c>
      <c r="E439" s="71">
        <v>0</v>
      </c>
    </row>
    <row r="440" spans="2:5" ht="15" customHeight="1">
      <c r="B440" s="114"/>
      <c r="C440" s="58" t="s">
        <v>106</v>
      </c>
      <c r="D440" s="72">
        <v>2</v>
      </c>
      <c r="E440" s="71">
        <v>0</v>
      </c>
    </row>
    <row r="441" spans="2:5" ht="15" customHeight="1">
      <c r="B441" s="114"/>
      <c r="C441" s="58" t="s">
        <v>107</v>
      </c>
      <c r="D441" s="72">
        <v>2</v>
      </c>
      <c r="E441" s="71">
        <v>0</v>
      </c>
    </row>
    <row r="442" spans="2:5" ht="15" customHeight="1">
      <c r="B442" s="114"/>
      <c r="C442" s="58" t="s">
        <v>108</v>
      </c>
      <c r="D442" s="72">
        <v>2</v>
      </c>
      <c r="E442" s="71">
        <v>0</v>
      </c>
    </row>
    <row r="443" spans="2:5" ht="15" customHeight="1">
      <c r="B443" s="114"/>
      <c r="C443" s="58" t="s">
        <v>109</v>
      </c>
      <c r="D443" s="72">
        <v>1</v>
      </c>
      <c r="E443" s="71">
        <v>0</v>
      </c>
    </row>
    <row r="444" spans="2:5" ht="15" customHeight="1">
      <c r="B444" s="114"/>
      <c r="C444" s="58" t="s">
        <v>110</v>
      </c>
      <c r="D444" s="72">
        <v>3</v>
      </c>
      <c r="E444" s="71">
        <v>0</v>
      </c>
    </row>
    <row r="445" spans="2:5" ht="15" customHeight="1">
      <c r="B445" s="114"/>
      <c r="C445" s="58" t="s">
        <v>111</v>
      </c>
      <c r="D445" s="72">
        <v>1</v>
      </c>
      <c r="E445" s="71">
        <v>0</v>
      </c>
    </row>
    <row r="446" spans="2:5" ht="15" customHeight="1">
      <c r="B446" s="114"/>
      <c r="C446" s="58" t="s">
        <v>112</v>
      </c>
      <c r="D446" s="72">
        <v>1</v>
      </c>
      <c r="E446" s="71">
        <v>0</v>
      </c>
    </row>
    <row r="447" spans="2:5" ht="15" customHeight="1">
      <c r="B447" s="114"/>
      <c r="C447" s="58" t="s">
        <v>116</v>
      </c>
      <c r="D447" s="72">
        <v>1</v>
      </c>
      <c r="E447" s="71">
        <v>0</v>
      </c>
    </row>
    <row r="448" spans="2:5" ht="15" customHeight="1">
      <c r="B448" s="114"/>
      <c r="C448" s="58" t="s">
        <v>117</v>
      </c>
      <c r="D448" s="72">
        <v>1</v>
      </c>
      <c r="E448" s="71">
        <v>0</v>
      </c>
    </row>
    <row r="449" spans="2:5" ht="15" customHeight="1">
      <c r="B449" s="114"/>
      <c r="C449" s="58" t="s">
        <v>120</v>
      </c>
      <c r="D449" s="72">
        <v>2</v>
      </c>
      <c r="E449" s="71">
        <v>0</v>
      </c>
    </row>
    <row r="450" spans="2:5" ht="15" customHeight="1">
      <c r="B450" s="114"/>
      <c r="C450" s="58" t="s">
        <v>121</v>
      </c>
      <c r="D450" s="72">
        <v>9</v>
      </c>
      <c r="E450" s="71">
        <v>1E-3</v>
      </c>
    </row>
    <row r="451" spans="2:5" ht="15" customHeight="1">
      <c r="B451" s="114"/>
      <c r="C451" s="58" t="s">
        <v>123</v>
      </c>
      <c r="D451" s="72">
        <v>1</v>
      </c>
      <c r="E451" s="71">
        <v>0</v>
      </c>
    </row>
    <row r="452" spans="2:5" ht="15" customHeight="1">
      <c r="B452" s="114"/>
      <c r="C452" s="58" t="s">
        <v>125</v>
      </c>
      <c r="D452" s="72">
        <v>1</v>
      </c>
      <c r="E452" s="71">
        <v>0</v>
      </c>
    </row>
    <row r="453" spans="2:5" ht="15" customHeight="1">
      <c r="B453" s="114"/>
      <c r="C453" s="58" t="s">
        <v>128</v>
      </c>
      <c r="D453" s="72">
        <v>2</v>
      </c>
      <c r="E453" s="71">
        <v>0</v>
      </c>
    </row>
    <row r="454" spans="2:5" ht="15" customHeight="1">
      <c r="B454" s="114"/>
      <c r="C454" s="58" t="s">
        <v>129</v>
      </c>
      <c r="D454" s="72">
        <v>2</v>
      </c>
      <c r="E454" s="71">
        <v>0</v>
      </c>
    </row>
    <row r="455" spans="2:5" ht="15" customHeight="1">
      <c r="B455" s="114"/>
      <c r="C455" s="58" t="s">
        <v>130</v>
      </c>
      <c r="D455" s="72">
        <v>1</v>
      </c>
      <c r="E455" s="71">
        <v>0</v>
      </c>
    </row>
    <row r="456" spans="2:5" ht="15" customHeight="1">
      <c r="B456" s="114"/>
      <c r="C456" s="58" t="s">
        <v>133</v>
      </c>
      <c r="D456" s="72">
        <v>1</v>
      </c>
      <c r="E456" s="71">
        <v>0</v>
      </c>
    </row>
    <row r="457" spans="2:5" ht="15" customHeight="1">
      <c r="B457" s="114"/>
      <c r="C457" s="58" t="s">
        <v>134</v>
      </c>
      <c r="D457" s="72">
        <v>8</v>
      </c>
      <c r="E457" s="71">
        <v>1E-3</v>
      </c>
    </row>
    <row r="458" spans="2:5" ht="15" customHeight="1">
      <c r="B458" s="114"/>
      <c r="C458" s="58" t="s">
        <v>135</v>
      </c>
      <c r="D458" s="72">
        <v>7</v>
      </c>
      <c r="E458" s="71">
        <v>1E-3</v>
      </c>
    </row>
    <row r="459" spans="2:5" ht="15" customHeight="1">
      <c r="B459" s="114"/>
      <c r="C459" s="58" t="s">
        <v>136</v>
      </c>
      <c r="D459" s="72">
        <v>2</v>
      </c>
      <c r="E459" s="71">
        <v>0</v>
      </c>
    </row>
    <row r="460" spans="2:5" ht="15" customHeight="1">
      <c r="B460" s="114"/>
      <c r="C460" s="58" t="s">
        <v>89</v>
      </c>
      <c r="D460" s="72">
        <v>2</v>
      </c>
      <c r="E460" s="71">
        <v>0</v>
      </c>
    </row>
    <row r="461" spans="2:5" ht="15" customHeight="1">
      <c r="B461" s="115"/>
      <c r="C461" s="73" t="s">
        <v>267</v>
      </c>
      <c r="D461" s="78">
        <v>202</v>
      </c>
      <c r="E461" s="75">
        <v>1.7000000000000001E-2</v>
      </c>
    </row>
    <row r="462" spans="2:5" ht="15" customHeight="1">
      <c r="B462" s="113" t="s">
        <v>180</v>
      </c>
      <c r="C462" s="58" t="s">
        <v>96</v>
      </c>
      <c r="D462" s="72">
        <v>1</v>
      </c>
      <c r="E462" s="71">
        <v>0</v>
      </c>
    </row>
    <row r="463" spans="2:5" ht="15" customHeight="1">
      <c r="B463" s="114"/>
      <c r="C463" s="58" t="s">
        <v>98</v>
      </c>
      <c r="D463" s="72">
        <v>131</v>
      </c>
      <c r="E463" s="71">
        <v>1.0999999999999999E-2</v>
      </c>
    </row>
    <row r="464" spans="2:5" ht="15" customHeight="1">
      <c r="B464" s="114"/>
      <c r="C464" s="58" t="s">
        <v>99</v>
      </c>
      <c r="D464" s="72">
        <v>5</v>
      </c>
      <c r="E464" s="71">
        <v>0</v>
      </c>
    </row>
    <row r="465" spans="2:5" ht="15" customHeight="1">
      <c r="B465" s="114"/>
      <c r="C465" s="58" t="s">
        <v>100</v>
      </c>
      <c r="D465" s="72">
        <v>406</v>
      </c>
      <c r="E465" s="71">
        <v>3.4000000000000002E-2</v>
      </c>
    </row>
    <row r="466" spans="2:5" ht="15" customHeight="1">
      <c r="B466" s="114"/>
      <c r="C466" s="58" t="s">
        <v>101</v>
      </c>
      <c r="D466" s="72">
        <v>16</v>
      </c>
      <c r="E466" s="71">
        <v>1E-3</v>
      </c>
    </row>
    <row r="467" spans="2:5" ht="15" customHeight="1">
      <c r="B467" s="114"/>
      <c r="C467" s="58" t="s">
        <v>102</v>
      </c>
      <c r="D467" s="72">
        <v>1</v>
      </c>
      <c r="E467" s="71">
        <v>0</v>
      </c>
    </row>
    <row r="468" spans="2:5" ht="15" customHeight="1">
      <c r="B468" s="114"/>
      <c r="C468" s="58" t="s">
        <v>104</v>
      </c>
      <c r="D468" s="72">
        <v>7</v>
      </c>
      <c r="E468" s="71">
        <v>1E-3</v>
      </c>
    </row>
    <row r="469" spans="2:5" ht="15" customHeight="1">
      <c r="B469" s="114"/>
      <c r="C469" s="58" t="s">
        <v>106</v>
      </c>
      <c r="D469" s="72">
        <v>9</v>
      </c>
      <c r="E469" s="71">
        <v>1E-3</v>
      </c>
    </row>
    <row r="470" spans="2:5" ht="15" customHeight="1">
      <c r="B470" s="114"/>
      <c r="C470" s="58" t="s">
        <v>107</v>
      </c>
      <c r="D470" s="72">
        <v>18</v>
      </c>
      <c r="E470" s="71">
        <v>2E-3</v>
      </c>
    </row>
    <row r="471" spans="2:5" ht="15" customHeight="1">
      <c r="B471" s="114"/>
      <c r="C471" s="58" t="s">
        <v>108</v>
      </c>
      <c r="D471" s="72">
        <v>5</v>
      </c>
      <c r="E471" s="71">
        <v>0</v>
      </c>
    </row>
    <row r="472" spans="2:5" ht="15" customHeight="1">
      <c r="B472" s="114"/>
      <c r="C472" s="58" t="s">
        <v>109</v>
      </c>
      <c r="D472" s="72">
        <v>1</v>
      </c>
      <c r="E472" s="71">
        <v>0</v>
      </c>
    </row>
    <row r="473" spans="2:5" ht="15" customHeight="1">
      <c r="B473" s="114"/>
      <c r="C473" s="58" t="s">
        <v>110</v>
      </c>
      <c r="D473" s="72">
        <v>3</v>
      </c>
      <c r="E473" s="71">
        <v>0</v>
      </c>
    </row>
    <row r="474" spans="2:5" ht="15" customHeight="1">
      <c r="B474" s="114"/>
      <c r="C474" s="58" t="s">
        <v>111</v>
      </c>
      <c r="D474" s="72">
        <v>2</v>
      </c>
      <c r="E474" s="71">
        <v>0</v>
      </c>
    </row>
    <row r="475" spans="2:5" ht="15" customHeight="1">
      <c r="B475" s="114"/>
      <c r="C475" s="58" t="s">
        <v>113</v>
      </c>
      <c r="D475" s="72">
        <v>1</v>
      </c>
      <c r="E475" s="71">
        <v>0</v>
      </c>
    </row>
    <row r="476" spans="2:5" ht="15" customHeight="1">
      <c r="B476" s="114"/>
      <c r="C476" s="58" t="s">
        <v>114</v>
      </c>
      <c r="D476" s="72">
        <v>1</v>
      </c>
      <c r="E476" s="71">
        <v>0</v>
      </c>
    </row>
    <row r="477" spans="2:5" ht="15" customHeight="1">
      <c r="B477" s="114"/>
      <c r="C477" s="58" t="s">
        <v>115</v>
      </c>
      <c r="D477" s="72">
        <v>3</v>
      </c>
      <c r="E477" s="71">
        <v>0</v>
      </c>
    </row>
    <row r="478" spans="2:5" ht="15" customHeight="1">
      <c r="B478" s="114"/>
      <c r="C478" s="58" t="s">
        <v>116</v>
      </c>
      <c r="D478" s="72">
        <v>11</v>
      </c>
      <c r="E478" s="71">
        <v>1E-3</v>
      </c>
    </row>
    <row r="479" spans="2:5" ht="15" customHeight="1">
      <c r="B479" s="114"/>
      <c r="C479" s="58" t="s">
        <v>118</v>
      </c>
      <c r="D479" s="72">
        <v>5</v>
      </c>
      <c r="E479" s="71">
        <v>0</v>
      </c>
    </row>
    <row r="480" spans="2:5" ht="15" customHeight="1">
      <c r="B480" s="114"/>
      <c r="C480" s="58" t="s">
        <v>120</v>
      </c>
      <c r="D480" s="72">
        <v>2</v>
      </c>
      <c r="E480" s="71">
        <v>0</v>
      </c>
    </row>
    <row r="481" spans="2:5" ht="15" customHeight="1">
      <c r="B481" s="114"/>
      <c r="C481" s="58" t="s">
        <v>121</v>
      </c>
      <c r="D481" s="72">
        <v>51</v>
      </c>
      <c r="E481" s="71">
        <v>4.0000000000000001E-3</v>
      </c>
    </row>
    <row r="482" spans="2:5" ht="15" customHeight="1">
      <c r="B482" s="114"/>
      <c r="C482" s="58" t="s">
        <v>122</v>
      </c>
      <c r="D482" s="72">
        <v>2</v>
      </c>
      <c r="E482" s="71">
        <v>0</v>
      </c>
    </row>
    <row r="483" spans="2:5" ht="15" customHeight="1">
      <c r="B483" s="114"/>
      <c r="C483" s="58" t="s">
        <v>123</v>
      </c>
      <c r="D483" s="72">
        <v>5</v>
      </c>
      <c r="E483" s="71">
        <v>0</v>
      </c>
    </row>
    <row r="484" spans="2:5" ht="15" customHeight="1">
      <c r="B484" s="114"/>
      <c r="C484" s="58" t="s">
        <v>124</v>
      </c>
      <c r="D484" s="72">
        <v>6</v>
      </c>
      <c r="E484" s="71">
        <v>1E-3</v>
      </c>
    </row>
    <row r="485" spans="2:5" ht="15" customHeight="1">
      <c r="B485" s="114"/>
      <c r="C485" s="58" t="s">
        <v>125</v>
      </c>
      <c r="D485" s="72">
        <v>8</v>
      </c>
      <c r="E485" s="71">
        <v>1E-3</v>
      </c>
    </row>
    <row r="486" spans="2:5" ht="15" customHeight="1">
      <c r="B486" s="114"/>
      <c r="C486" s="58" t="s">
        <v>127</v>
      </c>
      <c r="D486" s="72">
        <v>1</v>
      </c>
      <c r="E486" s="71">
        <v>0</v>
      </c>
    </row>
    <row r="487" spans="2:5" ht="15" customHeight="1">
      <c r="B487" s="114"/>
      <c r="C487" s="58" t="s">
        <v>128</v>
      </c>
      <c r="D487" s="72">
        <v>8</v>
      </c>
      <c r="E487" s="71">
        <v>1E-3</v>
      </c>
    </row>
    <row r="488" spans="2:5" ht="15" customHeight="1">
      <c r="B488" s="114"/>
      <c r="C488" s="58" t="s">
        <v>129</v>
      </c>
      <c r="D488" s="72">
        <v>4</v>
      </c>
      <c r="E488" s="71">
        <v>0</v>
      </c>
    </row>
    <row r="489" spans="2:5" ht="15" customHeight="1">
      <c r="B489" s="114"/>
      <c r="C489" s="58" t="s">
        <v>131</v>
      </c>
      <c r="D489" s="72">
        <v>2</v>
      </c>
      <c r="E489" s="71">
        <v>0</v>
      </c>
    </row>
    <row r="490" spans="2:5" ht="15" customHeight="1">
      <c r="B490" s="114"/>
      <c r="C490" s="58" t="s">
        <v>133</v>
      </c>
      <c r="D490" s="72">
        <v>3</v>
      </c>
      <c r="E490" s="71">
        <v>0</v>
      </c>
    </row>
    <row r="491" spans="2:5" ht="15" customHeight="1">
      <c r="B491" s="114"/>
      <c r="C491" s="58" t="s">
        <v>134</v>
      </c>
      <c r="D491" s="72">
        <v>51</v>
      </c>
      <c r="E491" s="71">
        <v>4.0000000000000001E-3</v>
      </c>
    </row>
    <row r="492" spans="2:5" ht="15" customHeight="1">
      <c r="B492" s="114"/>
      <c r="C492" s="58" t="s">
        <v>135</v>
      </c>
      <c r="D492" s="72">
        <v>18</v>
      </c>
      <c r="E492" s="71">
        <v>2E-3</v>
      </c>
    </row>
    <row r="493" spans="2:5" ht="15" customHeight="1">
      <c r="B493" s="114"/>
      <c r="C493" s="58" t="s">
        <v>136</v>
      </c>
      <c r="D493" s="72">
        <v>4</v>
      </c>
      <c r="E493" s="71">
        <v>0</v>
      </c>
    </row>
    <row r="494" spans="2:5" ht="15" customHeight="1">
      <c r="B494" s="114"/>
      <c r="C494" s="58" t="s">
        <v>89</v>
      </c>
      <c r="D494" s="72">
        <v>9</v>
      </c>
      <c r="E494" s="71">
        <v>1E-3</v>
      </c>
    </row>
    <row r="495" spans="2:5" ht="15" customHeight="1">
      <c r="B495" s="114"/>
      <c r="C495" s="58" t="s">
        <v>138</v>
      </c>
      <c r="D495" s="72">
        <v>4</v>
      </c>
      <c r="E495" s="71">
        <v>0</v>
      </c>
    </row>
    <row r="496" spans="2:5" ht="15" customHeight="1">
      <c r="B496" s="114"/>
      <c r="C496" s="58" t="s">
        <v>139</v>
      </c>
      <c r="D496" s="72">
        <v>2</v>
      </c>
      <c r="E496" s="71">
        <v>0</v>
      </c>
    </row>
    <row r="497" spans="2:5" ht="15" customHeight="1">
      <c r="B497" s="115"/>
      <c r="C497" s="73" t="s">
        <v>267</v>
      </c>
      <c r="D497" s="78">
        <v>806</v>
      </c>
      <c r="E497" s="75">
        <v>6.7000000000000004E-2</v>
      </c>
    </row>
    <row r="498" spans="2:5" ht="15" customHeight="1">
      <c r="B498" s="113" t="s">
        <v>181</v>
      </c>
      <c r="C498" s="58" t="s">
        <v>98</v>
      </c>
      <c r="D498" s="72">
        <v>2</v>
      </c>
      <c r="E498" s="71">
        <v>0</v>
      </c>
    </row>
    <row r="499" spans="2:5" ht="15" customHeight="1">
      <c r="B499" s="114"/>
      <c r="C499" s="58" t="s">
        <v>110</v>
      </c>
      <c r="D499" s="72">
        <v>2</v>
      </c>
      <c r="E499" s="71">
        <v>0</v>
      </c>
    </row>
    <row r="500" spans="2:5" ht="15" customHeight="1">
      <c r="B500" s="114"/>
      <c r="C500" s="58" t="s">
        <v>121</v>
      </c>
      <c r="D500" s="72">
        <v>1</v>
      </c>
      <c r="E500" s="71">
        <v>0</v>
      </c>
    </row>
    <row r="501" spans="2:5" ht="15" customHeight="1">
      <c r="B501" s="114"/>
      <c r="C501" s="58" t="s">
        <v>134</v>
      </c>
      <c r="D501" s="72">
        <v>1</v>
      </c>
      <c r="E501" s="71">
        <v>0</v>
      </c>
    </row>
    <row r="502" spans="2:5" ht="15" customHeight="1">
      <c r="B502" s="115"/>
      <c r="C502" s="73" t="s">
        <v>267</v>
      </c>
      <c r="D502" s="78">
        <v>6</v>
      </c>
      <c r="E502" s="75">
        <v>1E-3</v>
      </c>
    </row>
    <row r="503" spans="2:5" ht="15" customHeight="1">
      <c r="B503" s="113" t="s">
        <v>182</v>
      </c>
      <c r="C503" s="58" t="s">
        <v>98</v>
      </c>
      <c r="D503" s="72">
        <v>4</v>
      </c>
      <c r="E503" s="71">
        <v>0</v>
      </c>
    </row>
    <row r="504" spans="2:5" ht="15" customHeight="1">
      <c r="B504" s="114"/>
      <c r="C504" s="58" t="s">
        <v>100</v>
      </c>
      <c r="D504" s="72">
        <v>11</v>
      </c>
      <c r="E504" s="71">
        <v>1E-3</v>
      </c>
    </row>
    <row r="505" spans="2:5" ht="15" customHeight="1">
      <c r="B505" s="114"/>
      <c r="C505" s="58" t="s">
        <v>116</v>
      </c>
      <c r="D505" s="72">
        <v>1</v>
      </c>
      <c r="E505" s="71">
        <v>0</v>
      </c>
    </row>
    <row r="506" spans="2:5" ht="15" customHeight="1">
      <c r="B506" s="114"/>
      <c r="C506" s="58" t="s">
        <v>121</v>
      </c>
      <c r="D506" s="72">
        <v>3</v>
      </c>
      <c r="E506" s="71">
        <v>0</v>
      </c>
    </row>
    <row r="507" spans="2:5" ht="15" customHeight="1">
      <c r="B507" s="114"/>
      <c r="C507" s="58" t="s">
        <v>129</v>
      </c>
      <c r="D507" s="72">
        <v>1</v>
      </c>
      <c r="E507" s="71">
        <v>0</v>
      </c>
    </row>
    <row r="508" spans="2:5" ht="15" customHeight="1">
      <c r="B508" s="114"/>
      <c r="C508" s="58" t="s">
        <v>133</v>
      </c>
      <c r="D508" s="72">
        <v>1</v>
      </c>
      <c r="E508" s="71">
        <v>0</v>
      </c>
    </row>
    <row r="509" spans="2:5" ht="15" customHeight="1">
      <c r="B509" s="114"/>
      <c r="C509" s="58" t="s">
        <v>134</v>
      </c>
      <c r="D509" s="72">
        <v>8</v>
      </c>
      <c r="E509" s="71">
        <v>1E-3</v>
      </c>
    </row>
    <row r="510" spans="2:5" ht="15" customHeight="1">
      <c r="B510" s="115"/>
      <c r="C510" s="73" t="s">
        <v>267</v>
      </c>
      <c r="D510" s="78">
        <v>29</v>
      </c>
      <c r="E510" s="75">
        <v>2E-3</v>
      </c>
    </row>
    <row r="511" spans="2:5" ht="15" customHeight="1">
      <c r="B511" s="113" t="s">
        <v>183</v>
      </c>
      <c r="C511" s="58" t="s">
        <v>98</v>
      </c>
      <c r="D511" s="72">
        <v>1</v>
      </c>
      <c r="E511" s="71">
        <v>0</v>
      </c>
    </row>
    <row r="512" spans="2:5" ht="15" customHeight="1">
      <c r="B512" s="114"/>
      <c r="C512" s="58" t="s">
        <v>100</v>
      </c>
      <c r="D512" s="72">
        <v>2</v>
      </c>
      <c r="E512" s="71">
        <v>0</v>
      </c>
    </row>
    <row r="513" spans="2:5" ht="15" customHeight="1">
      <c r="B513" s="114"/>
      <c r="C513" s="58" t="s">
        <v>101</v>
      </c>
      <c r="D513" s="72">
        <v>1</v>
      </c>
      <c r="E513" s="71">
        <v>0</v>
      </c>
    </row>
    <row r="514" spans="2:5" ht="15" customHeight="1">
      <c r="B514" s="114"/>
      <c r="C514" s="58" t="s">
        <v>104</v>
      </c>
      <c r="D514" s="72">
        <v>1</v>
      </c>
      <c r="E514" s="71">
        <v>0</v>
      </c>
    </row>
    <row r="515" spans="2:5" ht="15" customHeight="1">
      <c r="B515" s="114"/>
      <c r="C515" s="58" t="s">
        <v>124</v>
      </c>
      <c r="D515" s="72">
        <v>1</v>
      </c>
      <c r="E515" s="71">
        <v>0</v>
      </c>
    </row>
    <row r="516" spans="2:5" ht="15" customHeight="1">
      <c r="B516" s="114"/>
      <c r="C516" s="58" t="s">
        <v>139</v>
      </c>
      <c r="D516" s="72">
        <v>1</v>
      </c>
      <c r="E516" s="71">
        <v>0</v>
      </c>
    </row>
    <row r="517" spans="2:5" ht="15" customHeight="1">
      <c r="B517" s="115"/>
      <c r="C517" s="73" t="s">
        <v>267</v>
      </c>
      <c r="D517" s="78">
        <v>7</v>
      </c>
      <c r="E517" s="75">
        <v>1E-3</v>
      </c>
    </row>
    <row r="518" spans="2:5" ht="15" customHeight="1">
      <c r="B518" s="116" t="s">
        <v>240</v>
      </c>
      <c r="C518" s="116"/>
      <c r="D518" s="79">
        <v>11981</v>
      </c>
      <c r="E518" s="77">
        <v>1</v>
      </c>
    </row>
    <row r="519" spans="2:5" ht="15" customHeight="1">
      <c r="B519" s="47"/>
      <c r="C519" s="47"/>
      <c r="D519" s="47"/>
      <c r="E519" s="47"/>
    </row>
    <row r="520" spans="2:5" ht="15" customHeight="1">
      <c r="B520" s="35" t="s">
        <v>235</v>
      </c>
      <c r="C520" s="47"/>
      <c r="D520" s="47"/>
      <c r="E520" s="47"/>
    </row>
    <row r="521" spans="2:5" ht="15" customHeight="1">
      <c r="B521" s="33" t="s">
        <v>18</v>
      </c>
      <c r="C521" s="47"/>
      <c r="D521" s="47"/>
      <c r="E521" s="47"/>
    </row>
    <row r="522" spans="2:5" ht="15" customHeight="1">
      <c r="B522" s="36" t="s">
        <v>46</v>
      </c>
      <c r="C522" s="47"/>
      <c r="D522" s="47"/>
      <c r="E522" s="47"/>
    </row>
    <row r="523" spans="2:5" ht="15" customHeight="1">
      <c r="B523" s="35" t="s">
        <v>17</v>
      </c>
      <c r="C523" s="47"/>
      <c r="D523" s="47"/>
      <c r="E523" s="47"/>
    </row>
    <row r="524" spans="2:5" ht="15" customHeight="1">
      <c r="B524" s="35" t="s">
        <v>268</v>
      </c>
      <c r="C524" s="47"/>
      <c r="D524" s="47"/>
      <c r="E524" s="47"/>
    </row>
  </sheetData>
  <mergeCells count="26">
    <mergeCell ref="B518:C518"/>
    <mergeCell ref="B462:B497"/>
    <mergeCell ref="B498:B502"/>
    <mergeCell ref="B503:B510"/>
    <mergeCell ref="B511:B517"/>
    <mergeCell ref="B421:B425"/>
    <mergeCell ref="B426:B433"/>
    <mergeCell ref="B434:B461"/>
    <mergeCell ref="B393:B405"/>
    <mergeCell ref="B406:B420"/>
    <mergeCell ref="B218:B246"/>
    <mergeCell ref="B247:B289"/>
    <mergeCell ref="B290:B312"/>
    <mergeCell ref="B313:B348"/>
    <mergeCell ref="B349:B392"/>
    <mergeCell ref="B7:E8"/>
    <mergeCell ref="B133:B168"/>
    <mergeCell ref="B169:B186"/>
    <mergeCell ref="B187:B217"/>
    <mergeCell ref="B85:B100"/>
    <mergeCell ref="B101:B132"/>
    <mergeCell ref="B10:B28"/>
    <mergeCell ref="B29:B37"/>
    <mergeCell ref="B38:B49"/>
    <mergeCell ref="B50:B66"/>
    <mergeCell ref="B67:B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49"/>
  <sheetViews>
    <sheetView showGridLines="0" view="pageBreakPreview" topLeftCell="A729" zoomScaleNormal="100" zoomScaleSheetLayoutView="100" workbookViewId="0">
      <selection activeCell="E749" sqref="E74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8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1" customFormat="1" ht="12" customHeight="1">
      <c r="B1" s="23"/>
      <c r="C1" s="20"/>
      <c r="D1" s="20"/>
      <c r="E1" s="20"/>
    </row>
    <row r="2" spans="1:5" s="21" customFormat="1" ht="15" customHeight="1">
      <c r="C2" s="25"/>
    </row>
    <row r="3" spans="1:5" s="21" customFormat="1" ht="15" customHeight="1">
      <c r="C3" s="25"/>
    </row>
    <row r="4" spans="1:5" s="21" customFormat="1" ht="30" customHeight="1">
      <c r="C4" s="25"/>
      <c r="D4" s="24"/>
    </row>
    <row r="5" spans="1:5" s="21" customFormat="1" ht="15" customHeight="1">
      <c r="C5" s="25"/>
      <c r="D5" s="24"/>
    </row>
    <row r="6" spans="1:5" s="21" customFormat="1" ht="24" customHeight="1">
      <c r="B6" s="42"/>
      <c r="C6" s="43"/>
      <c r="D6" s="43"/>
      <c r="E6" s="43"/>
    </row>
    <row r="7" spans="1:5" s="21" customFormat="1" ht="26.25" customHeight="1">
      <c r="A7" s="22"/>
      <c r="B7" s="117"/>
      <c r="C7" s="117"/>
      <c r="D7" s="117"/>
      <c r="E7" s="117"/>
    </row>
    <row r="8" spans="1:5" s="21" customFormat="1" ht="33" customHeight="1">
      <c r="A8" s="22"/>
      <c r="B8" s="117"/>
      <c r="C8" s="117"/>
      <c r="D8" s="117"/>
      <c r="E8" s="117"/>
    </row>
    <row r="9" spans="1:5" s="15" customFormat="1" ht="40.5" customHeight="1">
      <c r="B9" s="44" t="s">
        <v>22</v>
      </c>
      <c r="C9" s="45" t="s">
        <v>27</v>
      </c>
      <c r="D9" s="46" t="s">
        <v>20</v>
      </c>
      <c r="E9" s="44" t="s">
        <v>19</v>
      </c>
    </row>
    <row r="10" spans="1:5">
      <c r="B10" s="113" t="s">
        <v>74</v>
      </c>
      <c r="C10" s="58" t="s">
        <v>160</v>
      </c>
      <c r="D10" s="72">
        <v>1</v>
      </c>
      <c r="E10" s="71">
        <v>0</v>
      </c>
    </row>
    <row r="11" spans="1:5">
      <c r="B11" s="114"/>
      <c r="C11" s="58" t="s">
        <v>167</v>
      </c>
      <c r="D11" s="72">
        <v>7</v>
      </c>
      <c r="E11" s="71">
        <v>1E-3</v>
      </c>
    </row>
    <row r="12" spans="1:5">
      <c r="B12" s="114"/>
      <c r="C12" s="58" t="s">
        <v>248</v>
      </c>
      <c r="D12" s="72">
        <v>1</v>
      </c>
      <c r="E12" s="71">
        <v>0</v>
      </c>
    </row>
    <row r="13" spans="1:5">
      <c r="B13" s="114"/>
      <c r="C13" s="58" t="s">
        <v>249</v>
      </c>
      <c r="D13" s="72">
        <v>1</v>
      </c>
      <c r="E13" s="71">
        <v>0</v>
      </c>
    </row>
    <row r="14" spans="1:5">
      <c r="B14" s="114"/>
      <c r="C14" s="58" t="s">
        <v>171</v>
      </c>
      <c r="D14" s="72">
        <v>16</v>
      </c>
      <c r="E14" s="71">
        <v>1E-3</v>
      </c>
    </row>
    <row r="15" spans="1:5">
      <c r="B15" s="114"/>
      <c r="C15" s="58" t="s">
        <v>172</v>
      </c>
      <c r="D15" s="72">
        <v>1</v>
      </c>
      <c r="E15" s="71">
        <v>0</v>
      </c>
    </row>
    <row r="16" spans="1:5">
      <c r="B16" s="114"/>
      <c r="C16" s="58" t="s">
        <v>173</v>
      </c>
      <c r="D16" s="72">
        <v>2</v>
      </c>
      <c r="E16" s="71">
        <v>0</v>
      </c>
    </row>
    <row r="17" spans="2:5">
      <c r="B17" s="114"/>
      <c r="C17" s="58" t="s">
        <v>174</v>
      </c>
      <c r="D17" s="72">
        <v>23</v>
      </c>
      <c r="E17" s="71">
        <v>2E-3</v>
      </c>
    </row>
    <row r="18" spans="2:5">
      <c r="B18" s="114"/>
      <c r="C18" s="58" t="s">
        <v>251</v>
      </c>
      <c r="D18" s="72">
        <v>1</v>
      </c>
      <c r="E18" s="71">
        <v>0</v>
      </c>
    </row>
    <row r="19" spans="2:5">
      <c r="B19" s="114"/>
      <c r="C19" s="58" t="s">
        <v>252</v>
      </c>
      <c r="D19" s="72">
        <v>2</v>
      </c>
      <c r="E19" s="71">
        <v>0</v>
      </c>
    </row>
    <row r="20" spans="2:5">
      <c r="B20" s="114"/>
      <c r="C20" s="58" t="s">
        <v>179</v>
      </c>
      <c r="D20" s="72">
        <v>1</v>
      </c>
      <c r="E20" s="71">
        <v>0</v>
      </c>
    </row>
    <row r="21" spans="2:5">
      <c r="B21" s="114"/>
      <c r="C21" s="58" t="s">
        <v>180</v>
      </c>
      <c r="D21" s="72">
        <v>3</v>
      </c>
      <c r="E21" s="71">
        <v>0</v>
      </c>
    </row>
    <row r="22" spans="2:5">
      <c r="B22" s="115"/>
      <c r="C22" s="73" t="s">
        <v>267</v>
      </c>
      <c r="D22" s="78">
        <v>59</v>
      </c>
      <c r="E22" s="75">
        <v>5.0000000000000001E-3</v>
      </c>
    </row>
    <row r="23" spans="2:5">
      <c r="B23" s="113" t="s">
        <v>72</v>
      </c>
      <c r="C23" s="58" t="s">
        <v>243</v>
      </c>
      <c r="D23" s="72">
        <v>1</v>
      </c>
      <c r="E23" s="71">
        <v>0</v>
      </c>
    </row>
    <row r="24" spans="2:5">
      <c r="B24" s="114"/>
      <c r="C24" s="58" t="s">
        <v>244</v>
      </c>
      <c r="D24" s="72">
        <v>2</v>
      </c>
      <c r="E24" s="71">
        <v>0</v>
      </c>
    </row>
    <row r="25" spans="2:5">
      <c r="B25" s="114"/>
      <c r="C25" s="58" t="s">
        <v>245</v>
      </c>
      <c r="D25" s="72">
        <v>2</v>
      </c>
      <c r="E25" s="71">
        <v>0</v>
      </c>
    </row>
    <row r="26" spans="2:5">
      <c r="B26" s="114"/>
      <c r="C26" s="58" t="s">
        <v>247</v>
      </c>
      <c r="D26" s="72">
        <v>1</v>
      </c>
      <c r="E26" s="71">
        <v>0</v>
      </c>
    </row>
    <row r="27" spans="2:5">
      <c r="B27" s="114"/>
      <c r="C27" s="58" t="s">
        <v>167</v>
      </c>
      <c r="D27" s="72">
        <v>8</v>
      </c>
      <c r="E27" s="71">
        <v>1E-3</v>
      </c>
    </row>
    <row r="28" spans="2:5">
      <c r="B28" s="114"/>
      <c r="C28" s="58" t="s">
        <v>248</v>
      </c>
      <c r="D28" s="72">
        <v>1</v>
      </c>
      <c r="E28" s="71">
        <v>0</v>
      </c>
    </row>
    <row r="29" spans="2:5">
      <c r="B29" s="114"/>
      <c r="C29" s="58" t="s">
        <v>249</v>
      </c>
      <c r="D29" s="72">
        <v>5</v>
      </c>
      <c r="E29" s="71">
        <v>0</v>
      </c>
    </row>
    <row r="30" spans="2:5">
      <c r="B30" s="114"/>
      <c r="C30" s="58" t="s">
        <v>250</v>
      </c>
      <c r="D30" s="72">
        <v>2</v>
      </c>
      <c r="E30" s="71">
        <v>0</v>
      </c>
    </row>
    <row r="31" spans="2:5">
      <c r="B31" s="114"/>
      <c r="C31" s="58" t="s">
        <v>171</v>
      </c>
      <c r="D31" s="72">
        <v>29</v>
      </c>
      <c r="E31" s="71">
        <v>2E-3</v>
      </c>
    </row>
    <row r="32" spans="2:5">
      <c r="B32" s="114"/>
      <c r="C32" s="58" t="s">
        <v>172</v>
      </c>
      <c r="D32" s="72">
        <v>3</v>
      </c>
      <c r="E32" s="71">
        <v>0</v>
      </c>
    </row>
    <row r="33" spans="2:5">
      <c r="B33" s="114"/>
      <c r="C33" s="58" t="s">
        <v>173</v>
      </c>
      <c r="D33" s="72">
        <v>11</v>
      </c>
      <c r="E33" s="71">
        <v>1E-3</v>
      </c>
    </row>
    <row r="34" spans="2:5">
      <c r="B34" s="114"/>
      <c r="C34" s="58" t="s">
        <v>174</v>
      </c>
      <c r="D34" s="72">
        <v>17</v>
      </c>
      <c r="E34" s="71">
        <v>1E-3</v>
      </c>
    </row>
    <row r="35" spans="2:5">
      <c r="B35" s="114"/>
      <c r="C35" s="58" t="s">
        <v>252</v>
      </c>
      <c r="D35" s="72">
        <v>1</v>
      </c>
      <c r="E35" s="71">
        <v>0</v>
      </c>
    </row>
    <row r="36" spans="2:5">
      <c r="B36" s="114"/>
      <c r="C36" s="58" t="s">
        <v>179</v>
      </c>
      <c r="D36" s="72">
        <v>1</v>
      </c>
      <c r="E36" s="71">
        <v>0</v>
      </c>
    </row>
    <row r="37" spans="2:5">
      <c r="B37" s="114"/>
      <c r="C37" s="58" t="s">
        <v>180</v>
      </c>
      <c r="D37" s="72">
        <v>1</v>
      </c>
      <c r="E37" s="71">
        <v>0</v>
      </c>
    </row>
    <row r="38" spans="2:5">
      <c r="B38" s="114"/>
      <c r="C38" s="58" t="s">
        <v>182</v>
      </c>
      <c r="D38" s="72">
        <v>1</v>
      </c>
      <c r="E38" s="71">
        <v>0</v>
      </c>
    </row>
    <row r="39" spans="2:5">
      <c r="B39" s="115"/>
      <c r="C39" s="73" t="s">
        <v>267</v>
      </c>
      <c r="D39" s="78">
        <v>86</v>
      </c>
      <c r="E39" s="75">
        <v>7.0000000000000001E-3</v>
      </c>
    </row>
    <row r="40" spans="2:5">
      <c r="B40" s="113" t="s">
        <v>85</v>
      </c>
      <c r="C40" s="58" t="s">
        <v>167</v>
      </c>
      <c r="D40" s="72">
        <v>2</v>
      </c>
      <c r="E40" s="71">
        <v>0</v>
      </c>
    </row>
    <row r="41" spans="2:5">
      <c r="B41" s="114"/>
      <c r="C41" s="58" t="s">
        <v>249</v>
      </c>
      <c r="D41" s="72">
        <v>1</v>
      </c>
      <c r="E41" s="71">
        <v>0</v>
      </c>
    </row>
    <row r="42" spans="2:5">
      <c r="B42" s="114"/>
      <c r="C42" s="58" t="s">
        <v>250</v>
      </c>
      <c r="D42" s="72">
        <v>1</v>
      </c>
      <c r="E42" s="71">
        <v>0</v>
      </c>
    </row>
    <row r="43" spans="2:5">
      <c r="B43" s="114"/>
      <c r="C43" s="58" t="s">
        <v>171</v>
      </c>
      <c r="D43" s="72">
        <v>4</v>
      </c>
      <c r="E43" s="71">
        <v>0</v>
      </c>
    </row>
    <row r="44" spans="2:5">
      <c r="B44" s="114"/>
      <c r="C44" s="58" t="s">
        <v>173</v>
      </c>
      <c r="D44" s="72">
        <v>3</v>
      </c>
      <c r="E44" s="71">
        <v>0</v>
      </c>
    </row>
    <row r="45" spans="2:5">
      <c r="B45" s="114"/>
      <c r="C45" s="58" t="s">
        <v>174</v>
      </c>
      <c r="D45" s="72">
        <v>5</v>
      </c>
      <c r="E45" s="71">
        <v>0</v>
      </c>
    </row>
    <row r="46" spans="2:5">
      <c r="B46" s="114"/>
      <c r="C46" s="58" t="s">
        <v>180</v>
      </c>
      <c r="D46" s="72">
        <v>4</v>
      </c>
      <c r="E46" s="71">
        <v>0</v>
      </c>
    </row>
    <row r="47" spans="2:5">
      <c r="B47" s="114"/>
      <c r="C47" s="58" t="s">
        <v>181</v>
      </c>
      <c r="D47" s="72">
        <v>1</v>
      </c>
      <c r="E47" s="71">
        <v>0</v>
      </c>
    </row>
    <row r="48" spans="2:5">
      <c r="B48" s="115"/>
      <c r="C48" s="73" t="s">
        <v>267</v>
      </c>
      <c r="D48" s="78">
        <v>21</v>
      </c>
      <c r="E48" s="75">
        <v>2E-3</v>
      </c>
    </row>
    <row r="49" spans="2:5">
      <c r="B49" s="113" t="s">
        <v>62</v>
      </c>
      <c r="C49" s="58" t="s">
        <v>160</v>
      </c>
      <c r="D49" s="72">
        <v>2</v>
      </c>
      <c r="E49" s="71">
        <v>0</v>
      </c>
    </row>
    <row r="50" spans="2:5">
      <c r="B50" s="114"/>
      <c r="C50" s="58" t="s">
        <v>243</v>
      </c>
      <c r="D50" s="72">
        <v>2</v>
      </c>
      <c r="E50" s="71">
        <v>0</v>
      </c>
    </row>
    <row r="51" spans="2:5">
      <c r="B51" s="114"/>
      <c r="C51" s="58" t="s">
        <v>244</v>
      </c>
      <c r="D51" s="72">
        <v>4</v>
      </c>
      <c r="E51" s="71">
        <v>0</v>
      </c>
    </row>
    <row r="52" spans="2:5">
      <c r="B52" s="114"/>
      <c r="C52" s="58" t="s">
        <v>245</v>
      </c>
      <c r="D52" s="72">
        <v>1</v>
      </c>
      <c r="E52" s="71">
        <v>0</v>
      </c>
    </row>
    <row r="53" spans="2:5">
      <c r="B53" s="114"/>
      <c r="C53" s="58" t="s">
        <v>247</v>
      </c>
      <c r="D53" s="72">
        <v>20</v>
      </c>
      <c r="E53" s="71">
        <v>2E-3</v>
      </c>
    </row>
    <row r="54" spans="2:5">
      <c r="B54" s="114"/>
      <c r="C54" s="58" t="s">
        <v>167</v>
      </c>
      <c r="D54" s="72">
        <v>21</v>
      </c>
      <c r="E54" s="71">
        <v>2E-3</v>
      </c>
    </row>
    <row r="55" spans="2:5">
      <c r="B55" s="114"/>
      <c r="C55" s="58" t="s">
        <v>248</v>
      </c>
      <c r="D55" s="72">
        <v>1</v>
      </c>
      <c r="E55" s="71">
        <v>0</v>
      </c>
    </row>
    <row r="56" spans="2:5">
      <c r="B56" s="114"/>
      <c r="C56" s="58" t="s">
        <v>249</v>
      </c>
      <c r="D56" s="72">
        <v>3</v>
      </c>
      <c r="E56" s="71">
        <v>0</v>
      </c>
    </row>
    <row r="57" spans="2:5">
      <c r="B57" s="114"/>
      <c r="C57" s="58" t="s">
        <v>250</v>
      </c>
      <c r="D57" s="72">
        <v>4</v>
      </c>
      <c r="E57" s="71">
        <v>0</v>
      </c>
    </row>
    <row r="58" spans="2:5">
      <c r="B58" s="114"/>
      <c r="C58" s="58" t="s">
        <v>171</v>
      </c>
      <c r="D58" s="72">
        <v>48</v>
      </c>
      <c r="E58" s="71">
        <v>4.0000000000000001E-3</v>
      </c>
    </row>
    <row r="59" spans="2:5">
      <c r="B59" s="114"/>
      <c r="C59" s="58" t="s">
        <v>172</v>
      </c>
      <c r="D59" s="72">
        <v>1</v>
      </c>
      <c r="E59" s="71">
        <v>0</v>
      </c>
    </row>
    <row r="60" spans="2:5">
      <c r="B60" s="114"/>
      <c r="C60" s="58" t="s">
        <v>173</v>
      </c>
      <c r="D60" s="72">
        <v>14</v>
      </c>
      <c r="E60" s="71">
        <v>1E-3</v>
      </c>
    </row>
    <row r="61" spans="2:5">
      <c r="B61" s="114"/>
      <c r="C61" s="58" t="s">
        <v>174</v>
      </c>
      <c r="D61" s="72">
        <v>44</v>
      </c>
      <c r="E61" s="71">
        <v>4.0000000000000001E-3</v>
      </c>
    </row>
    <row r="62" spans="2:5">
      <c r="B62" s="114"/>
      <c r="C62" s="58" t="s">
        <v>252</v>
      </c>
      <c r="D62" s="72">
        <v>3</v>
      </c>
      <c r="E62" s="71">
        <v>0</v>
      </c>
    </row>
    <row r="63" spans="2:5">
      <c r="B63" s="114"/>
      <c r="C63" s="58" t="s">
        <v>179</v>
      </c>
      <c r="D63" s="72">
        <v>4</v>
      </c>
      <c r="E63" s="71">
        <v>0</v>
      </c>
    </row>
    <row r="64" spans="2:5">
      <c r="B64" s="114"/>
      <c r="C64" s="58" t="s">
        <v>180</v>
      </c>
      <c r="D64" s="72">
        <v>12</v>
      </c>
      <c r="E64" s="71">
        <v>1E-3</v>
      </c>
    </row>
    <row r="65" spans="2:5">
      <c r="B65" s="114"/>
      <c r="C65" s="58" t="s">
        <v>182</v>
      </c>
      <c r="D65" s="72">
        <v>1</v>
      </c>
      <c r="E65" s="71">
        <v>0</v>
      </c>
    </row>
    <row r="66" spans="2:5">
      <c r="B66" s="115"/>
      <c r="C66" s="73" t="s">
        <v>267</v>
      </c>
      <c r="D66" s="78">
        <v>185</v>
      </c>
      <c r="E66" s="75">
        <v>1.4999999999999999E-2</v>
      </c>
    </row>
    <row r="67" spans="2:5">
      <c r="B67" s="113" t="s">
        <v>94</v>
      </c>
      <c r="C67" s="58" t="s">
        <v>250</v>
      </c>
      <c r="D67" s="72">
        <v>1</v>
      </c>
      <c r="E67" s="71">
        <v>0</v>
      </c>
    </row>
    <row r="68" spans="2:5">
      <c r="B68" s="114"/>
      <c r="C68" s="58" t="s">
        <v>171</v>
      </c>
      <c r="D68" s="72">
        <v>1</v>
      </c>
      <c r="E68" s="71">
        <v>0</v>
      </c>
    </row>
    <row r="69" spans="2:5">
      <c r="B69" s="114"/>
      <c r="C69" s="58" t="s">
        <v>174</v>
      </c>
      <c r="D69" s="72">
        <v>4</v>
      </c>
      <c r="E69" s="71">
        <v>0</v>
      </c>
    </row>
    <row r="70" spans="2:5">
      <c r="B70" s="114"/>
      <c r="C70" s="58" t="s">
        <v>180</v>
      </c>
      <c r="D70" s="72">
        <v>2</v>
      </c>
      <c r="E70" s="71">
        <v>0</v>
      </c>
    </row>
    <row r="71" spans="2:5">
      <c r="B71" s="115"/>
      <c r="C71" s="73" t="s">
        <v>267</v>
      </c>
      <c r="D71" s="78">
        <v>8</v>
      </c>
      <c r="E71" s="75">
        <v>1E-3</v>
      </c>
    </row>
    <row r="72" spans="2:5">
      <c r="B72" s="113" t="s">
        <v>91</v>
      </c>
      <c r="C72" s="58" t="s">
        <v>250</v>
      </c>
      <c r="D72" s="72">
        <v>1</v>
      </c>
      <c r="E72" s="71">
        <v>0</v>
      </c>
    </row>
    <row r="73" spans="2:5">
      <c r="B73" s="114"/>
      <c r="C73" s="58" t="s">
        <v>171</v>
      </c>
      <c r="D73" s="72">
        <v>2</v>
      </c>
      <c r="E73" s="71">
        <v>0</v>
      </c>
    </row>
    <row r="74" spans="2:5">
      <c r="B74" s="114"/>
      <c r="C74" s="58" t="s">
        <v>173</v>
      </c>
      <c r="D74" s="72">
        <v>1</v>
      </c>
      <c r="E74" s="71">
        <v>0</v>
      </c>
    </row>
    <row r="75" spans="2:5">
      <c r="B75" s="114"/>
      <c r="C75" s="58" t="s">
        <v>174</v>
      </c>
      <c r="D75" s="72">
        <v>3</v>
      </c>
      <c r="E75" s="71">
        <v>0</v>
      </c>
    </row>
    <row r="76" spans="2:5">
      <c r="B76" s="114"/>
      <c r="C76" s="58" t="s">
        <v>180</v>
      </c>
      <c r="D76" s="72">
        <v>1</v>
      </c>
      <c r="E76" s="71">
        <v>0</v>
      </c>
    </row>
    <row r="77" spans="2:5">
      <c r="B77" s="115"/>
      <c r="C77" s="73" t="s">
        <v>267</v>
      </c>
      <c r="D77" s="78">
        <v>8</v>
      </c>
      <c r="E77" s="75">
        <v>1E-3</v>
      </c>
    </row>
    <row r="78" spans="2:5">
      <c r="B78" s="113" t="s">
        <v>88</v>
      </c>
      <c r="C78" s="58" t="s">
        <v>160</v>
      </c>
      <c r="D78" s="72">
        <v>1</v>
      </c>
      <c r="E78" s="71">
        <v>0</v>
      </c>
    </row>
    <row r="79" spans="2:5">
      <c r="B79" s="114"/>
      <c r="C79" s="58" t="s">
        <v>243</v>
      </c>
      <c r="D79" s="72">
        <v>2</v>
      </c>
      <c r="E79" s="71">
        <v>0</v>
      </c>
    </row>
    <row r="80" spans="2:5">
      <c r="B80" s="114"/>
      <c r="C80" s="58" t="s">
        <v>246</v>
      </c>
      <c r="D80" s="72">
        <v>2</v>
      </c>
      <c r="E80" s="71">
        <v>0</v>
      </c>
    </row>
    <row r="81" spans="2:5">
      <c r="B81" s="114"/>
      <c r="C81" s="58" t="s">
        <v>247</v>
      </c>
      <c r="D81" s="72">
        <v>2</v>
      </c>
      <c r="E81" s="71">
        <v>0</v>
      </c>
    </row>
    <row r="82" spans="2:5">
      <c r="B82" s="114"/>
      <c r="C82" s="58" t="s">
        <v>167</v>
      </c>
      <c r="D82" s="72">
        <v>2</v>
      </c>
      <c r="E82" s="71">
        <v>0</v>
      </c>
    </row>
    <row r="83" spans="2:5">
      <c r="B83" s="114"/>
      <c r="C83" s="58" t="s">
        <v>171</v>
      </c>
      <c r="D83" s="72">
        <v>9</v>
      </c>
      <c r="E83" s="71">
        <v>1E-3</v>
      </c>
    </row>
    <row r="84" spans="2:5">
      <c r="B84" s="114"/>
      <c r="C84" s="58" t="s">
        <v>172</v>
      </c>
      <c r="D84" s="72">
        <v>3</v>
      </c>
      <c r="E84" s="71">
        <v>0</v>
      </c>
    </row>
    <row r="85" spans="2:5">
      <c r="B85" s="114"/>
      <c r="C85" s="58" t="s">
        <v>173</v>
      </c>
      <c r="D85" s="72">
        <v>3</v>
      </c>
      <c r="E85" s="71">
        <v>0</v>
      </c>
    </row>
    <row r="86" spans="2:5">
      <c r="B86" s="114"/>
      <c r="C86" s="58" t="s">
        <v>174</v>
      </c>
      <c r="D86" s="72">
        <v>12</v>
      </c>
      <c r="E86" s="71">
        <v>1E-3</v>
      </c>
    </row>
    <row r="87" spans="2:5">
      <c r="B87" s="114"/>
      <c r="C87" s="58" t="s">
        <v>251</v>
      </c>
      <c r="D87" s="72">
        <v>1</v>
      </c>
      <c r="E87" s="71">
        <v>0</v>
      </c>
    </row>
    <row r="88" spans="2:5">
      <c r="B88" s="114"/>
      <c r="C88" s="58" t="s">
        <v>180</v>
      </c>
      <c r="D88" s="72">
        <v>3</v>
      </c>
      <c r="E88" s="71">
        <v>0</v>
      </c>
    </row>
    <row r="89" spans="2:5">
      <c r="B89" s="115"/>
      <c r="C89" s="73" t="s">
        <v>267</v>
      </c>
      <c r="D89" s="78">
        <v>40</v>
      </c>
      <c r="E89" s="75">
        <v>3.0000000000000001E-3</v>
      </c>
    </row>
    <row r="90" spans="2:5">
      <c r="B90" s="113" t="s">
        <v>56</v>
      </c>
      <c r="C90" s="58" t="s">
        <v>160</v>
      </c>
      <c r="D90" s="72">
        <v>2</v>
      </c>
      <c r="E90" s="71">
        <v>0</v>
      </c>
    </row>
    <row r="91" spans="2:5">
      <c r="B91" s="114"/>
      <c r="C91" s="58" t="s">
        <v>244</v>
      </c>
      <c r="D91" s="72">
        <v>1</v>
      </c>
      <c r="E91" s="71">
        <v>0</v>
      </c>
    </row>
    <row r="92" spans="2:5">
      <c r="B92" s="114"/>
      <c r="C92" s="58" t="s">
        <v>245</v>
      </c>
      <c r="D92" s="72">
        <v>1</v>
      </c>
      <c r="E92" s="71">
        <v>0</v>
      </c>
    </row>
    <row r="93" spans="2:5">
      <c r="B93" s="114"/>
      <c r="C93" s="58" t="s">
        <v>246</v>
      </c>
      <c r="D93" s="72">
        <v>1</v>
      </c>
      <c r="E93" s="71">
        <v>0</v>
      </c>
    </row>
    <row r="94" spans="2:5">
      <c r="B94" s="114"/>
      <c r="C94" s="58" t="s">
        <v>247</v>
      </c>
      <c r="D94" s="72">
        <v>7</v>
      </c>
      <c r="E94" s="71">
        <v>1E-3</v>
      </c>
    </row>
    <row r="95" spans="2:5">
      <c r="B95" s="114"/>
      <c r="C95" s="58" t="s">
        <v>167</v>
      </c>
      <c r="D95" s="72">
        <v>29</v>
      </c>
      <c r="E95" s="71">
        <v>2E-3</v>
      </c>
    </row>
    <row r="96" spans="2:5">
      <c r="B96" s="114"/>
      <c r="C96" s="58" t="s">
        <v>249</v>
      </c>
      <c r="D96" s="72">
        <v>5</v>
      </c>
      <c r="E96" s="71">
        <v>0</v>
      </c>
    </row>
    <row r="97" spans="2:5">
      <c r="B97" s="114"/>
      <c r="C97" s="58" t="s">
        <v>250</v>
      </c>
      <c r="D97" s="72">
        <v>8</v>
      </c>
      <c r="E97" s="71">
        <v>1E-3</v>
      </c>
    </row>
    <row r="98" spans="2:5">
      <c r="B98" s="114"/>
      <c r="C98" s="58" t="s">
        <v>171</v>
      </c>
      <c r="D98" s="72">
        <v>74</v>
      </c>
      <c r="E98" s="71">
        <v>6.0000000000000001E-3</v>
      </c>
    </row>
    <row r="99" spans="2:5">
      <c r="B99" s="114"/>
      <c r="C99" s="58" t="s">
        <v>172</v>
      </c>
      <c r="D99" s="72">
        <v>2</v>
      </c>
      <c r="E99" s="71">
        <v>0</v>
      </c>
    </row>
    <row r="100" spans="2:5">
      <c r="B100" s="114"/>
      <c r="C100" s="58" t="s">
        <v>173</v>
      </c>
      <c r="D100" s="72">
        <v>14</v>
      </c>
      <c r="E100" s="71">
        <v>1E-3</v>
      </c>
    </row>
    <row r="101" spans="2:5">
      <c r="B101" s="114"/>
      <c r="C101" s="58" t="s">
        <v>174</v>
      </c>
      <c r="D101" s="72">
        <v>59</v>
      </c>
      <c r="E101" s="71">
        <v>5.0000000000000001E-3</v>
      </c>
    </row>
    <row r="102" spans="2:5">
      <c r="B102" s="114"/>
      <c r="C102" s="58" t="s">
        <v>251</v>
      </c>
      <c r="D102" s="72">
        <v>1</v>
      </c>
      <c r="E102" s="71">
        <v>0</v>
      </c>
    </row>
    <row r="103" spans="2:5">
      <c r="B103" s="114"/>
      <c r="C103" s="58" t="s">
        <v>179</v>
      </c>
      <c r="D103" s="72">
        <v>5</v>
      </c>
      <c r="E103" s="71">
        <v>0</v>
      </c>
    </row>
    <row r="104" spans="2:5">
      <c r="B104" s="114"/>
      <c r="C104" s="58" t="s">
        <v>180</v>
      </c>
      <c r="D104" s="72">
        <v>24</v>
      </c>
      <c r="E104" s="71">
        <v>2E-3</v>
      </c>
    </row>
    <row r="105" spans="2:5">
      <c r="B105" s="115"/>
      <c r="C105" s="73" t="s">
        <v>267</v>
      </c>
      <c r="D105" s="78">
        <v>233</v>
      </c>
      <c r="E105" s="75">
        <v>1.9E-2</v>
      </c>
    </row>
    <row r="106" spans="2:5">
      <c r="B106" s="113" t="s">
        <v>64</v>
      </c>
      <c r="C106" s="58" t="s">
        <v>244</v>
      </c>
      <c r="D106" s="72">
        <v>2</v>
      </c>
      <c r="E106" s="71">
        <v>0</v>
      </c>
    </row>
    <row r="107" spans="2:5">
      <c r="B107" s="114"/>
      <c r="C107" s="58" t="s">
        <v>245</v>
      </c>
      <c r="D107" s="72">
        <v>2</v>
      </c>
      <c r="E107" s="71">
        <v>0</v>
      </c>
    </row>
    <row r="108" spans="2:5">
      <c r="B108" s="114"/>
      <c r="C108" s="58" t="s">
        <v>246</v>
      </c>
      <c r="D108" s="72">
        <v>1</v>
      </c>
      <c r="E108" s="71">
        <v>0</v>
      </c>
    </row>
    <row r="109" spans="2:5">
      <c r="B109" s="114"/>
      <c r="C109" s="58" t="s">
        <v>247</v>
      </c>
      <c r="D109" s="72">
        <v>9</v>
      </c>
      <c r="E109" s="71">
        <v>1E-3</v>
      </c>
    </row>
    <row r="110" spans="2:5">
      <c r="B110" s="114"/>
      <c r="C110" s="58" t="s">
        <v>167</v>
      </c>
      <c r="D110" s="72">
        <v>15</v>
      </c>
      <c r="E110" s="71">
        <v>1E-3</v>
      </c>
    </row>
    <row r="111" spans="2:5">
      <c r="B111" s="114"/>
      <c r="C111" s="58" t="s">
        <v>248</v>
      </c>
      <c r="D111" s="72">
        <v>2</v>
      </c>
      <c r="E111" s="71">
        <v>0</v>
      </c>
    </row>
    <row r="112" spans="2:5">
      <c r="B112" s="114"/>
      <c r="C112" s="58" t="s">
        <v>249</v>
      </c>
      <c r="D112" s="72">
        <v>1</v>
      </c>
      <c r="E112" s="71">
        <v>0</v>
      </c>
    </row>
    <row r="113" spans="2:5">
      <c r="B113" s="114"/>
      <c r="C113" s="58" t="s">
        <v>250</v>
      </c>
      <c r="D113" s="72">
        <v>10</v>
      </c>
      <c r="E113" s="71">
        <v>1E-3</v>
      </c>
    </row>
    <row r="114" spans="2:5">
      <c r="B114" s="114"/>
      <c r="C114" s="58" t="s">
        <v>171</v>
      </c>
      <c r="D114" s="72">
        <v>34</v>
      </c>
      <c r="E114" s="71">
        <v>3.0000000000000001E-3</v>
      </c>
    </row>
    <row r="115" spans="2:5">
      <c r="B115" s="114"/>
      <c r="C115" s="58" t="s">
        <v>172</v>
      </c>
      <c r="D115" s="72">
        <v>5</v>
      </c>
      <c r="E115" s="71">
        <v>0</v>
      </c>
    </row>
    <row r="116" spans="2:5">
      <c r="B116" s="114"/>
      <c r="C116" s="58" t="s">
        <v>173</v>
      </c>
      <c r="D116" s="72">
        <v>16</v>
      </c>
      <c r="E116" s="71">
        <v>1E-3</v>
      </c>
    </row>
    <row r="117" spans="2:5">
      <c r="B117" s="114"/>
      <c r="C117" s="58" t="s">
        <v>174</v>
      </c>
      <c r="D117" s="72">
        <v>47</v>
      </c>
      <c r="E117" s="71">
        <v>4.0000000000000001E-3</v>
      </c>
    </row>
    <row r="118" spans="2:5">
      <c r="B118" s="114"/>
      <c r="C118" s="58" t="s">
        <v>252</v>
      </c>
      <c r="D118" s="72">
        <v>1</v>
      </c>
      <c r="E118" s="71">
        <v>0</v>
      </c>
    </row>
    <row r="119" spans="2:5">
      <c r="B119" s="114"/>
      <c r="C119" s="58" t="s">
        <v>254</v>
      </c>
      <c r="D119" s="72">
        <v>1</v>
      </c>
      <c r="E119" s="71">
        <v>0</v>
      </c>
    </row>
    <row r="120" spans="2:5">
      <c r="B120" s="114"/>
      <c r="C120" s="58" t="s">
        <v>179</v>
      </c>
      <c r="D120" s="72">
        <v>2</v>
      </c>
      <c r="E120" s="71">
        <v>0</v>
      </c>
    </row>
    <row r="121" spans="2:5">
      <c r="B121" s="114"/>
      <c r="C121" s="58" t="s">
        <v>180</v>
      </c>
      <c r="D121" s="72">
        <v>14</v>
      </c>
      <c r="E121" s="71">
        <v>1E-3</v>
      </c>
    </row>
    <row r="122" spans="2:5">
      <c r="B122" s="114"/>
      <c r="C122" s="58" t="s">
        <v>182</v>
      </c>
      <c r="D122" s="72">
        <v>2</v>
      </c>
      <c r="E122" s="71">
        <v>0</v>
      </c>
    </row>
    <row r="123" spans="2:5">
      <c r="B123" s="115"/>
      <c r="C123" s="73" t="s">
        <v>267</v>
      </c>
      <c r="D123" s="78">
        <v>164</v>
      </c>
      <c r="E123" s="75">
        <v>1.4E-2</v>
      </c>
    </row>
    <row r="124" spans="2:5">
      <c r="B124" s="113" t="s">
        <v>60</v>
      </c>
      <c r="C124" s="58" t="s">
        <v>160</v>
      </c>
      <c r="D124" s="72">
        <v>1</v>
      </c>
      <c r="E124" s="71">
        <v>0</v>
      </c>
    </row>
    <row r="125" spans="2:5">
      <c r="B125" s="114"/>
      <c r="C125" s="58" t="s">
        <v>243</v>
      </c>
      <c r="D125" s="72">
        <v>2</v>
      </c>
      <c r="E125" s="71">
        <v>0</v>
      </c>
    </row>
    <row r="126" spans="2:5">
      <c r="B126" s="114"/>
      <c r="C126" s="58" t="s">
        <v>244</v>
      </c>
      <c r="D126" s="72">
        <v>7</v>
      </c>
      <c r="E126" s="71">
        <v>1E-3</v>
      </c>
    </row>
    <row r="127" spans="2:5">
      <c r="B127" s="114"/>
      <c r="C127" s="58" t="s">
        <v>246</v>
      </c>
      <c r="D127" s="72">
        <v>1</v>
      </c>
      <c r="E127" s="71">
        <v>0</v>
      </c>
    </row>
    <row r="128" spans="2:5">
      <c r="B128" s="114"/>
      <c r="C128" s="58" t="s">
        <v>247</v>
      </c>
      <c r="D128" s="72">
        <v>16</v>
      </c>
      <c r="E128" s="71">
        <v>1E-3</v>
      </c>
    </row>
    <row r="129" spans="2:5">
      <c r="B129" s="114"/>
      <c r="C129" s="58" t="s">
        <v>167</v>
      </c>
      <c r="D129" s="72">
        <v>19</v>
      </c>
      <c r="E129" s="71">
        <v>2E-3</v>
      </c>
    </row>
    <row r="130" spans="2:5">
      <c r="B130" s="114"/>
      <c r="C130" s="58" t="s">
        <v>248</v>
      </c>
      <c r="D130" s="72">
        <v>1</v>
      </c>
      <c r="E130" s="71">
        <v>0</v>
      </c>
    </row>
    <row r="131" spans="2:5">
      <c r="B131" s="114"/>
      <c r="C131" s="58" t="s">
        <v>249</v>
      </c>
      <c r="D131" s="72">
        <v>4</v>
      </c>
      <c r="E131" s="71">
        <v>0</v>
      </c>
    </row>
    <row r="132" spans="2:5">
      <c r="B132" s="114"/>
      <c r="C132" s="58" t="s">
        <v>250</v>
      </c>
      <c r="D132" s="72">
        <v>10</v>
      </c>
      <c r="E132" s="71">
        <v>1E-3</v>
      </c>
    </row>
    <row r="133" spans="2:5">
      <c r="B133" s="114"/>
      <c r="C133" s="58" t="s">
        <v>171</v>
      </c>
      <c r="D133" s="72">
        <v>43</v>
      </c>
      <c r="E133" s="71">
        <v>4.0000000000000001E-3</v>
      </c>
    </row>
    <row r="134" spans="2:5">
      <c r="B134" s="114"/>
      <c r="C134" s="58" t="s">
        <v>172</v>
      </c>
      <c r="D134" s="72">
        <v>1</v>
      </c>
      <c r="E134" s="71">
        <v>0</v>
      </c>
    </row>
    <row r="135" spans="2:5">
      <c r="B135" s="114"/>
      <c r="C135" s="58" t="s">
        <v>173</v>
      </c>
      <c r="D135" s="72">
        <v>17</v>
      </c>
      <c r="E135" s="71">
        <v>1E-3</v>
      </c>
    </row>
    <row r="136" spans="2:5">
      <c r="B136" s="114"/>
      <c r="C136" s="58" t="s">
        <v>174</v>
      </c>
      <c r="D136" s="72">
        <v>42</v>
      </c>
      <c r="E136" s="71">
        <v>4.0000000000000001E-3</v>
      </c>
    </row>
    <row r="137" spans="2:5">
      <c r="B137" s="114"/>
      <c r="C137" s="58" t="s">
        <v>251</v>
      </c>
      <c r="D137" s="72">
        <v>2</v>
      </c>
      <c r="E137" s="71">
        <v>0</v>
      </c>
    </row>
    <row r="138" spans="2:5">
      <c r="B138" s="114"/>
      <c r="C138" s="58" t="s">
        <v>252</v>
      </c>
      <c r="D138" s="72">
        <v>1</v>
      </c>
      <c r="E138" s="71">
        <v>0</v>
      </c>
    </row>
    <row r="139" spans="2:5">
      <c r="B139" s="114"/>
      <c r="C139" s="58" t="s">
        <v>254</v>
      </c>
      <c r="D139" s="72">
        <v>1</v>
      </c>
      <c r="E139" s="71">
        <v>0</v>
      </c>
    </row>
    <row r="140" spans="2:5">
      <c r="B140" s="114"/>
      <c r="C140" s="58" t="s">
        <v>179</v>
      </c>
      <c r="D140" s="72">
        <v>2</v>
      </c>
      <c r="E140" s="71">
        <v>0</v>
      </c>
    </row>
    <row r="141" spans="2:5">
      <c r="B141" s="114"/>
      <c r="C141" s="58" t="s">
        <v>180</v>
      </c>
      <c r="D141" s="72">
        <v>16</v>
      </c>
      <c r="E141" s="71">
        <v>1E-3</v>
      </c>
    </row>
    <row r="142" spans="2:5">
      <c r="B142" s="114"/>
      <c r="C142" s="58" t="s">
        <v>183</v>
      </c>
      <c r="D142" s="72">
        <v>1</v>
      </c>
      <c r="E142" s="71">
        <v>0</v>
      </c>
    </row>
    <row r="143" spans="2:5">
      <c r="B143" s="115"/>
      <c r="C143" s="73" t="s">
        <v>267</v>
      </c>
      <c r="D143" s="78">
        <v>187</v>
      </c>
      <c r="E143" s="75">
        <v>1.6E-2</v>
      </c>
    </row>
    <row r="144" spans="2:5">
      <c r="B144" s="113" t="s">
        <v>79</v>
      </c>
      <c r="C144" s="58" t="s">
        <v>244</v>
      </c>
      <c r="D144" s="72">
        <v>2</v>
      </c>
      <c r="E144" s="71">
        <v>0</v>
      </c>
    </row>
    <row r="145" spans="2:5">
      <c r="B145" s="114"/>
      <c r="C145" s="58" t="s">
        <v>245</v>
      </c>
      <c r="D145" s="72">
        <v>1</v>
      </c>
      <c r="E145" s="71">
        <v>0</v>
      </c>
    </row>
    <row r="146" spans="2:5">
      <c r="B146" s="114"/>
      <c r="C146" s="58" t="s">
        <v>246</v>
      </c>
      <c r="D146" s="72">
        <v>3</v>
      </c>
      <c r="E146" s="71">
        <v>0</v>
      </c>
    </row>
    <row r="147" spans="2:5">
      <c r="B147" s="114"/>
      <c r="C147" s="58" t="s">
        <v>247</v>
      </c>
      <c r="D147" s="72">
        <v>2</v>
      </c>
      <c r="E147" s="71">
        <v>0</v>
      </c>
    </row>
    <row r="148" spans="2:5">
      <c r="B148" s="114"/>
      <c r="C148" s="58" t="s">
        <v>248</v>
      </c>
      <c r="D148" s="72">
        <v>2</v>
      </c>
      <c r="E148" s="71">
        <v>0</v>
      </c>
    </row>
    <row r="149" spans="2:5">
      <c r="B149" s="114"/>
      <c r="C149" s="58" t="s">
        <v>249</v>
      </c>
      <c r="D149" s="72">
        <v>4</v>
      </c>
      <c r="E149" s="71">
        <v>0</v>
      </c>
    </row>
    <row r="150" spans="2:5">
      <c r="B150" s="114"/>
      <c r="C150" s="58" t="s">
        <v>250</v>
      </c>
      <c r="D150" s="72">
        <v>2</v>
      </c>
      <c r="E150" s="71">
        <v>0</v>
      </c>
    </row>
    <row r="151" spans="2:5">
      <c r="B151" s="114"/>
      <c r="C151" s="58" t="s">
        <v>171</v>
      </c>
      <c r="D151" s="72">
        <v>20</v>
      </c>
      <c r="E151" s="71">
        <v>2E-3</v>
      </c>
    </row>
    <row r="152" spans="2:5">
      <c r="B152" s="114"/>
      <c r="C152" s="58" t="s">
        <v>172</v>
      </c>
      <c r="D152" s="72">
        <v>1</v>
      </c>
      <c r="E152" s="71">
        <v>0</v>
      </c>
    </row>
    <row r="153" spans="2:5">
      <c r="B153" s="114"/>
      <c r="C153" s="58" t="s">
        <v>173</v>
      </c>
      <c r="D153" s="72">
        <v>11</v>
      </c>
      <c r="E153" s="71">
        <v>1E-3</v>
      </c>
    </row>
    <row r="154" spans="2:5">
      <c r="B154" s="114"/>
      <c r="C154" s="58" t="s">
        <v>174</v>
      </c>
      <c r="D154" s="72">
        <v>18</v>
      </c>
      <c r="E154" s="71">
        <v>2E-3</v>
      </c>
    </row>
    <row r="155" spans="2:5">
      <c r="B155" s="114"/>
      <c r="C155" s="58" t="s">
        <v>179</v>
      </c>
      <c r="D155" s="72">
        <v>2</v>
      </c>
      <c r="E155" s="71">
        <v>0</v>
      </c>
    </row>
    <row r="156" spans="2:5">
      <c r="B156" s="114"/>
      <c r="C156" s="58" t="s">
        <v>180</v>
      </c>
      <c r="D156" s="72">
        <v>6</v>
      </c>
      <c r="E156" s="71">
        <v>1E-3</v>
      </c>
    </row>
    <row r="157" spans="2:5">
      <c r="B157" s="115"/>
      <c r="C157" s="73" t="s">
        <v>267</v>
      </c>
      <c r="D157" s="78">
        <v>74</v>
      </c>
      <c r="E157" s="75">
        <v>6.0000000000000001E-3</v>
      </c>
    </row>
    <row r="158" spans="2:5">
      <c r="B158" s="113" t="s">
        <v>236</v>
      </c>
      <c r="C158" s="58" t="s">
        <v>171</v>
      </c>
      <c r="D158" s="72">
        <v>2</v>
      </c>
      <c r="E158" s="71">
        <v>0</v>
      </c>
    </row>
    <row r="159" spans="2:5">
      <c r="B159" s="115"/>
      <c r="C159" s="73" t="s">
        <v>267</v>
      </c>
      <c r="D159" s="78">
        <v>2</v>
      </c>
      <c r="E159" s="75">
        <v>0</v>
      </c>
    </row>
    <row r="160" spans="2:5">
      <c r="B160" s="113" t="s">
        <v>83</v>
      </c>
      <c r="C160" s="58" t="s">
        <v>246</v>
      </c>
      <c r="D160" s="72">
        <v>1</v>
      </c>
      <c r="E160" s="71">
        <v>0</v>
      </c>
    </row>
    <row r="161" spans="2:5">
      <c r="B161" s="114"/>
      <c r="C161" s="58" t="s">
        <v>247</v>
      </c>
      <c r="D161" s="72">
        <v>4</v>
      </c>
      <c r="E161" s="71">
        <v>0</v>
      </c>
    </row>
    <row r="162" spans="2:5">
      <c r="B162" s="114"/>
      <c r="C162" s="58" t="s">
        <v>167</v>
      </c>
      <c r="D162" s="72">
        <v>5</v>
      </c>
      <c r="E162" s="71">
        <v>0</v>
      </c>
    </row>
    <row r="163" spans="2:5">
      <c r="B163" s="114"/>
      <c r="C163" s="58" t="s">
        <v>248</v>
      </c>
      <c r="D163" s="72">
        <v>2</v>
      </c>
      <c r="E163" s="71">
        <v>0</v>
      </c>
    </row>
    <row r="164" spans="2:5">
      <c r="B164" s="114"/>
      <c r="C164" s="58" t="s">
        <v>249</v>
      </c>
      <c r="D164" s="72">
        <v>1</v>
      </c>
      <c r="E164" s="71">
        <v>0</v>
      </c>
    </row>
    <row r="165" spans="2:5">
      <c r="B165" s="114"/>
      <c r="C165" s="58" t="s">
        <v>250</v>
      </c>
      <c r="D165" s="72">
        <v>1</v>
      </c>
      <c r="E165" s="71">
        <v>0</v>
      </c>
    </row>
    <row r="166" spans="2:5">
      <c r="B166" s="114"/>
      <c r="C166" s="58" t="s">
        <v>171</v>
      </c>
      <c r="D166" s="72">
        <v>18</v>
      </c>
      <c r="E166" s="71">
        <v>2E-3</v>
      </c>
    </row>
    <row r="167" spans="2:5">
      <c r="B167" s="114"/>
      <c r="C167" s="58" t="s">
        <v>172</v>
      </c>
      <c r="D167" s="72">
        <v>1</v>
      </c>
      <c r="E167" s="71">
        <v>0</v>
      </c>
    </row>
    <row r="168" spans="2:5">
      <c r="B168" s="114"/>
      <c r="C168" s="58" t="s">
        <v>173</v>
      </c>
      <c r="D168" s="72">
        <v>1</v>
      </c>
      <c r="E168" s="71">
        <v>0</v>
      </c>
    </row>
    <row r="169" spans="2:5">
      <c r="B169" s="114"/>
      <c r="C169" s="58" t="s">
        <v>174</v>
      </c>
      <c r="D169" s="72">
        <v>8</v>
      </c>
      <c r="E169" s="71">
        <v>1E-3</v>
      </c>
    </row>
    <row r="170" spans="2:5">
      <c r="B170" s="114"/>
      <c r="C170" s="58" t="s">
        <v>179</v>
      </c>
      <c r="D170" s="72">
        <v>1</v>
      </c>
      <c r="E170" s="71">
        <v>0</v>
      </c>
    </row>
    <row r="171" spans="2:5">
      <c r="B171" s="114"/>
      <c r="C171" s="58" t="s">
        <v>180</v>
      </c>
      <c r="D171" s="72">
        <v>7</v>
      </c>
      <c r="E171" s="71">
        <v>1E-3</v>
      </c>
    </row>
    <row r="172" spans="2:5">
      <c r="B172" s="114"/>
      <c r="C172" s="58" t="s">
        <v>182</v>
      </c>
      <c r="D172" s="72">
        <v>1</v>
      </c>
      <c r="E172" s="71">
        <v>0</v>
      </c>
    </row>
    <row r="173" spans="2:5">
      <c r="B173" s="115"/>
      <c r="C173" s="73" t="s">
        <v>267</v>
      </c>
      <c r="D173" s="78">
        <v>51</v>
      </c>
      <c r="E173" s="75">
        <v>4.0000000000000001E-3</v>
      </c>
    </row>
    <row r="174" spans="2:5">
      <c r="B174" s="113" t="s">
        <v>86</v>
      </c>
      <c r="C174" s="58" t="s">
        <v>247</v>
      </c>
      <c r="D174" s="72">
        <v>4</v>
      </c>
      <c r="E174" s="71">
        <v>0</v>
      </c>
    </row>
    <row r="175" spans="2:5">
      <c r="B175" s="114"/>
      <c r="C175" s="58" t="s">
        <v>167</v>
      </c>
      <c r="D175" s="72">
        <v>2</v>
      </c>
      <c r="E175" s="71">
        <v>0</v>
      </c>
    </row>
    <row r="176" spans="2:5">
      <c r="B176" s="114"/>
      <c r="C176" s="58" t="s">
        <v>248</v>
      </c>
      <c r="D176" s="72">
        <v>1</v>
      </c>
      <c r="E176" s="71">
        <v>0</v>
      </c>
    </row>
    <row r="177" spans="2:5">
      <c r="B177" s="114"/>
      <c r="C177" s="58" t="s">
        <v>249</v>
      </c>
      <c r="D177" s="72">
        <v>1</v>
      </c>
      <c r="E177" s="71">
        <v>0</v>
      </c>
    </row>
    <row r="178" spans="2:5">
      <c r="B178" s="114"/>
      <c r="C178" s="58" t="s">
        <v>171</v>
      </c>
      <c r="D178" s="72">
        <v>5</v>
      </c>
      <c r="E178" s="71">
        <v>0</v>
      </c>
    </row>
    <row r="179" spans="2:5">
      <c r="B179" s="114"/>
      <c r="C179" s="58" t="s">
        <v>172</v>
      </c>
      <c r="D179" s="72">
        <v>1</v>
      </c>
      <c r="E179" s="71">
        <v>0</v>
      </c>
    </row>
    <row r="180" spans="2:5">
      <c r="B180" s="114"/>
      <c r="C180" s="58" t="s">
        <v>173</v>
      </c>
      <c r="D180" s="72">
        <v>3</v>
      </c>
      <c r="E180" s="71">
        <v>0</v>
      </c>
    </row>
    <row r="181" spans="2:5">
      <c r="B181" s="114"/>
      <c r="C181" s="58" t="s">
        <v>174</v>
      </c>
      <c r="D181" s="72">
        <v>5</v>
      </c>
      <c r="E181" s="71">
        <v>0</v>
      </c>
    </row>
    <row r="182" spans="2:5">
      <c r="B182" s="114"/>
      <c r="C182" s="58" t="s">
        <v>179</v>
      </c>
      <c r="D182" s="72">
        <v>1</v>
      </c>
      <c r="E182" s="71">
        <v>0</v>
      </c>
    </row>
    <row r="183" spans="2:5">
      <c r="B183" s="115"/>
      <c r="C183" s="73" t="s">
        <v>267</v>
      </c>
      <c r="D183" s="78">
        <v>23</v>
      </c>
      <c r="E183" s="75">
        <v>2E-3</v>
      </c>
    </row>
    <row r="184" spans="2:5">
      <c r="B184" s="113" t="s">
        <v>49</v>
      </c>
      <c r="C184" s="58" t="s">
        <v>160</v>
      </c>
      <c r="D184" s="72">
        <v>20</v>
      </c>
      <c r="E184" s="71">
        <v>2E-3</v>
      </c>
    </row>
    <row r="185" spans="2:5">
      <c r="B185" s="114"/>
      <c r="C185" s="58" t="s">
        <v>242</v>
      </c>
      <c r="D185" s="72">
        <v>11</v>
      </c>
      <c r="E185" s="71">
        <v>1E-3</v>
      </c>
    </row>
    <row r="186" spans="2:5">
      <c r="B186" s="114"/>
      <c r="C186" s="58" t="s">
        <v>243</v>
      </c>
      <c r="D186" s="72">
        <v>6</v>
      </c>
      <c r="E186" s="71">
        <v>1E-3</v>
      </c>
    </row>
    <row r="187" spans="2:5">
      <c r="B187" s="114"/>
      <c r="C187" s="58" t="s">
        <v>244</v>
      </c>
      <c r="D187" s="72">
        <v>23</v>
      </c>
      <c r="E187" s="71">
        <v>2E-3</v>
      </c>
    </row>
    <row r="188" spans="2:5">
      <c r="B188" s="114"/>
      <c r="C188" s="58" t="s">
        <v>245</v>
      </c>
      <c r="D188" s="72">
        <v>24</v>
      </c>
      <c r="E188" s="71">
        <v>2E-3</v>
      </c>
    </row>
    <row r="189" spans="2:5">
      <c r="B189" s="114"/>
      <c r="C189" s="58" t="s">
        <v>246</v>
      </c>
      <c r="D189" s="72">
        <v>22</v>
      </c>
      <c r="E189" s="71">
        <v>2E-3</v>
      </c>
    </row>
    <row r="190" spans="2:5">
      <c r="B190" s="114"/>
      <c r="C190" s="58" t="s">
        <v>247</v>
      </c>
      <c r="D190" s="72">
        <v>85</v>
      </c>
      <c r="E190" s="71">
        <v>7.0000000000000001E-3</v>
      </c>
    </row>
    <row r="191" spans="2:5">
      <c r="B191" s="114"/>
      <c r="C191" s="58" t="s">
        <v>167</v>
      </c>
      <c r="D191" s="72">
        <v>109</v>
      </c>
      <c r="E191" s="71">
        <v>8.9999999999999993E-3</v>
      </c>
    </row>
    <row r="192" spans="2:5">
      <c r="B192" s="114"/>
      <c r="C192" s="58" t="s">
        <v>248</v>
      </c>
      <c r="D192" s="72">
        <v>14</v>
      </c>
      <c r="E192" s="71">
        <v>1E-3</v>
      </c>
    </row>
    <row r="193" spans="2:5">
      <c r="B193" s="114"/>
      <c r="C193" s="58" t="s">
        <v>249</v>
      </c>
      <c r="D193" s="72">
        <v>30</v>
      </c>
      <c r="E193" s="71">
        <v>3.0000000000000001E-3</v>
      </c>
    </row>
    <row r="194" spans="2:5">
      <c r="B194" s="114"/>
      <c r="C194" s="58" t="s">
        <v>250</v>
      </c>
      <c r="D194" s="72">
        <v>50</v>
      </c>
      <c r="E194" s="71">
        <v>4.0000000000000001E-3</v>
      </c>
    </row>
    <row r="195" spans="2:5">
      <c r="B195" s="114"/>
      <c r="C195" s="58" t="s">
        <v>171</v>
      </c>
      <c r="D195" s="72">
        <v>247</v>
      </c>
      <c r="E195" s="71">
        <v>2.1000000000000001E-2</v>
      </c>
    </row>
    <row r="196" spans="2:5">
      <c r="B196" s="114"/>
      <c r="C196" s="58" t="s">
        <v>172</v>
      </c>
      <c r="D196" s="72">
        <v>22</v>
      </c>
      <c r="E196" s="71">
        <v>2E-3</v>
      </c>
    </row>
    <row r="197" spans="2:5">
      <c r="B197" s="114"/>
      <c r="C197" s="58" t="s">
        <v>173</v>
      </c>
      <c r="D197" s="72">
        <v>92</v>
      </c>
      <c r="E197" s="71">
        <v>8.0000000000000002E-3</v>
      </c>
    </row>
    <row r="198" spans="2:5">
      <c r="B198" s="114"/>
      <c r="C198" s="58" t="s">
        <v>174</v>
      </c>
      <c r="D198" s="72">
        <v>234</v>
      </c>
      <c r="E198" s="71">
        <v>0.02</v>
      </c>
    </row>
    <row r="199" spans="2:5">
      <c r="B199" s="114"/>
      <c r="C199" s="58" t="s">
        <v>251</v>
      </c>
      <c r="D199" s="72">
        <v>3</v>
      </c>
      <c r="E199" s="71">
        <v>0</v>
      </c>
    </row>
    <row r="200" spans="2:5">
      <c r="B200" s="114"/>
      <c r="C200" s="58" t="s">
        <v>252</v>
      </c>
      <c r="D200" s="72">
        <v>3</v>
      </c>
      <c r="E200" s="71">
        <v>0</v>
      </c>
    </row>
    <row r="201" spans="2:5">
      <c r="B201" s="114"/>
      <c r="C201" s="58" t="s">
        <v>253</v>
      </c>
      <c r="D201" s="72">
        <v>2</v>
      </c>
      <c r="E201" s="71">
        <v>0</v>
      </c>
    </row>
    <row r="202" spans="2:5">
      <c r="B202" s="114"/>
      <c r="C202" s="58" t="s">
        <v>254</v>
      </c>
      <c r="D202" s="72">
        <v>4</v>
      </c>
      <c r="E202" s="71">
        <v>0</v>
      </c>
    </row>
    <row r="203" spans="2:5">
      <c r="B203" s="114"/>
      <c r="C203" s="58" t="s">
        <v>179</v>
      </c>
      <c r="D203" s="72">
        <v>16</v>
      </c>
      <c r="E203" s="71">
        <v>1E-3</v>
      </c>
    </row>
    <row r="204" spans="2:5">
      <c r="B204" s="114"/>
      <c r="C204" s="58" t="s">
        <v>180</v>
      </c>
      <c r="D204" s="72">
        <v>50</v>
      </c>
      <c r="E204" s="71">
        <v>4.0000000000000001E-3</v>
      </c>
    </row>
    <row r="205" spans="2:5">
      <c r="B205" s="114"/>
      <c r="C205" s="58" t="s">
        <v>182</v>
      </c>
      <c r="D205" s="72">
        <v>2</v>
      </c>
      <c r="E205" s="71">
        <v>0</v>
      </c>
    </row>
    <row r="206" spans="2:5">
      <c r="B206" s="115"/>
      <c r="C206" s="73" t="s">
        <v>267</v>
      </c>
      <c r="D206" s="78">
        <v>1069</v>
      </c>
      <c r="E206" s="75">
        <v>8.8999999999999996E-2</v>
      </c>
    </row>
    <row r="207" spans="2:5">
      <c r="B207" s="113" t="s">
        <v>65</v>
      </c>
      <c r="C207" s="58" t="s">
        <v>242</v>
      </c>
      <c r="D207" s="72">
        <v>1</v>
      </c>
      <c r="E207" s="71">
        <v>0</v>
      </c>
    </row>
    <row r="208" spans="2:5">
      <c r="B208" s="114"/>
      <c r="C208" s="58" t="s">
        <v>244</v>
      </c>
      <c r="D208" s="72">
        <v>1</v>
      </c>
      <c r="E208" s="71">
        <v>0</v>
      </c>
    </row>
    <row r="209" spans="2:5">
      <c r="B209" s="114"/>
      <c r="C209" s="58" t="s">
        <v>246</v>
      </c>
      <c r="D209" s="72">
        <v>2</v>
      </c>
      <c r="E209" s="71">
        <v>0</v>
      </c>
    </row>
    <row r="210" spans="2:5">
      <c r="B210" s="114"/>
      <c r="C210" s="58" t="s">
        <v>247</v>
      </c>
      <c r="D210" s="72">
        <v>10</v>
      </c>
      <c r="E210" s="71">
        <v>1E-3</v>
      </c>
    </row>
    <row r="211" spans="2:5">
      <c r="B211" s="114"/>
      <c r="C211" s="58" t="s">
        <v>167</v>
      </c>
      <c r="D211" s="72">
        <v>9</v>
      </c>
      <c r="E211" s="71">
        <v>1E-3</v>
      </c>
    </row>
    <row r="212" spans="2:5">
      <c r="B212" s="114"/>
      <c r="C212" s="58" t="s">
        <v>248</v>
      </c>
      <c r="D212" s="72">
        <v>1</v>
      </c>
      <c r="E212" s="71">
        <v>0</v>
      </c>
    </row>
    <row r="213" spans="2:5">
      <c r="B213" s="114"/>
      <c r="C213" s="58" t="s">
        <v>249</v>
      </c>
      <c r="D213" s="72">
        <v>1</v>
      </c>
      <c r="E213" s="71">
        <v>0</v>
      </c>
    </row>
    <row r="214" spans="2:5">
      <c r="B214" s="114"/>
      <c r="C214" s="58" t="s">
        <v>250</v>
      </c>
      <c r="D214" s="72">
        <v>4</v>
      </c>
      <c r="E214" s="71">
        <v>0</v>
      </c>
    </row>
    <row r="215" spans="2:5">
      <c r="B215" s="114"/>
      <c r="C215" s="58" t="s">
        <v>171</v>
      </c>
      <c r="D215" s="72">
        <v>33</v>
      </c>
      <c r="E215" s="71">
        <v>3.0000000000000001E-3</v>
      </c>
    </row>
    <row r="216" spans="2:5">
      <c r="B216" s="114"/>
      <c r="C216" s="58" t="s">
        <v>172</v>
      </c>
      <c r="D216" s="72">
        <v>2</v>
      </c>
      <c r="E216" s="71">
        <v>0</v>
      </c>
    </row>
    <row r="217" spans="2:5">
      <c r="B217" s="114"/>
      <c r="C217" s="58" t="s">
        <v>173</v>
      </c>
      <c r="D217" s="72">
        <v>9</v>
      </c>
      <c r="E217" s="71">
        <v>1E-3</v>
      </c>
    </row>
    <row r="218" spans="2:5">
      <c r="B218" s="114"/>
      <c r="C218" s="58" t="s">
        <v>174</v>
      </c>
      <c r="D218" s="72">
        <v>29</v>
      </c>
      <c r="E218" s="71">
        <v>2E-3</v>
      </c>
    </row>
    <row r="219" spans="2:5">
      <c r="B219" s="114"/>
      <c r="C219" s="58" t="s">
        <v>251</v>
      </c>
      <c r="D219" s="72">
        <v>1</v>
      </c>
      <c r="E219" s="71">
        <v>0</v>
      </c>
    </row>
    <row r="220" spans="2:5">
      <c r="B220" s="114"/>
      <c r="C220" s="58" t="s">
        <v>179</v>
      </c>
      <c r="D220" s="72">
        <v>3</v>
      </c>
      <c r="E220" s="71">
        <v>0</v>
      </c>
    </row>
    <row r="221" spans="2:5">
      <c r="B221" s="114"/>
      <c r="C221" s="58" t="s">
        <v>180</v>
      </c>
      <c r="D221" s="72">
        <v>16</v>
      </c>
      <c r="E221" s="71">
        <v>1E-3</v>
      </c>
    </row>
    <row r="222" spans="2:5">
      <c r="B222" s="115"/>
      <c r="C222" s="73" t="s">
        <v>267</v>
      </c>
      <c r="D222" s="78">
        <v>122</v>
      </c>
      <c r="E222" s="75">
        <v>0.01</v>
      </c>
    </row>
    <row r="223" spans="2:5">
      <c r="B223" s="113" t="s">
        <v>84</v>
      </c>
      <c r="C223" s="58" t="s">
        <v>242</v>
      </c>
      <c r="D223" s="72">
        <v>1</v>
      </c>
      <c r="E223" s="71">
        <v>0</v>
      </c>
    </row>
    <row r="224" spans="2:5">
      <c r="B224" s="114"/>
      <c r="C224" s="58" t="s">
        <v>167</v>
      </c>
      <c r="D224" s="72">
        <v>4</v>
      </c>
      <c r="E224" s="71">
        <v>0</v>
      </c>
    </row>
    <row r="225" spans="2:5">
      <c r="B225" s="114"/>
      <c r="C225" s="58" t="s">
        <v>249</v>
      </c>
      <c r="D225" s="72">
        <v>1</v>
      </c>
      <c r="E225" s="71">
        <v>0</v>
      </c>
    </row>
    <row r="226" spans="2:5">
      <c r="B226" s="114"/>
      <c r="C226" s="58" t="s">
        <v>250</v>
      </c>
      <c r="D226" s="72">
        <v>1</v>
      </c>
      <c r="E226" s="71">
        <v>0</v>
      </c>
    </row>
    <row r="227" spans="2:5">
      <c r="B227" s="114"/>
      <c r="C227" s="58" t="s">
        <v>171</v>
      </c>
      <c r="D227" s="72">
        <v>7</v>
      </c>
      <c r="E227" s="71">
        <v>1E-3</v>
      </c>
    </row>
    <row r="228" spans="2:5">
      <c r="B228" s="114"/>
      <c r="C228" s="58" t="s">
        <v>172</v>
      </c>
      <c r="D228" s="72">
        <v>1</v>
      </c>
      <c r="E228" s="71">
        <v>0</v>
      </c>
    </row>
    <row r="229" spans="2:5">
      <c r="B229" s="114"/>
      <c r="C229" s="58" t="s">
        <v>173</v>
      </c>
      <c r="D229" s="72">
        <v>1</v>
      </c>
      <c r="E229" s="71">
        <v>0</v>
      </c>
    </row>
    <row r="230" spans="2:5">
      <c r="B230" s="114"/>
      <c r="C230" s="58" t="s">
        <v>174</v>
      </c>
      <c r="D230" s="72">
        <v>5</v>
      </c>
      <c r="E230" s="71">
        <v>0</v>
      </c>
    </row>
    <row r="231" spans="2:5">
      <c r="B231" s="114"/>
      <c r="C231" s="58" t="s">
        <v>180</v>
      </c>
      <c r="D231" s="72">
        <v>2</v>
      </c>
      <c r="E231" s="71">
        <v>0</v>
      </c>
    </row>
    <row r="232" spans="2:5">
      <c r="B232" s="115"/>
      <c r="C232" s="73" t="s">
        <v>267</v>
      </c>
      <c r="D232" s="78">
        <v>23</v>
      </c>
      <c r="E232" s="75">
        <v>2E-3</v>
      </c>
    </row>
    <row r="233" spans="2:5">
      <c r="B233" s="113" t="s">
        <v>66</v>
      </c>
      <c r="C233" s="58" t="s">
        <v>160</v>
      </c>
      <c r="D233" s="72">
        <v>2</v>
      </c>
      <c r="E233" s="71">
        <v>0</v>
      </c>
    </row>
    <row r="234" spans="2:5">
      <c r="B234" s="114"/>
      <c r="C234" s="58" t="s">
        <v>242</v>
      </c>
      <c r="D234" s="72">
        <v>1</v>
      </c>
      <c r="E234" s="71">
        <v>0</v>
      </c>
    </row>
    <row r="235" spans="2:5">
      <c r="B235" s="114"/>
      <c r="C235" s="58" t="s">
        <v>243</v>
      </c>
      <c r="D235" s="72">
        <v>1</v>
      </c>
      <c r="E235" s="71">
        <v>0</v>
      </c>
    </row>
    <row r="236" spans="2:5">
      <c r="B236" s="114"/>
      <c r="C236" s="58" t="s">
        <v>245</v>
      </c>
      <c r="D236" s="72">
        <v>5</v>
      </c>
      <c r="E236" s="71">
        <v>0</v>
      </c>
    </row>
    <row r="237" spans="2:5">
      <c r="B237" s="114"/>
      <c r="C237" s="58" t="s">
        <v>246</v>
      </c>
      <c r="D237" s="72">
        <v>1</v>
      </c>
      <c r="E237" s="71">
        <v>0</v>
      </c>
    </row>
    <row r="238" spans="2:5">
      <c r="B238" s="114"/>
      <c r="C238" s="58" t="s">
        <v>247</v>
      </c>
      <c r="D238" s="72">
        <v>3</v>
      </c>
      <c r="E238" s="71">
        <v>0</v>
      </c>
    </row>
    <row r="239" spans="2:5">
      <c r="B239" s="114"/>
      <c r="C239" s="58" t="s">
        <v>167</v>
      </c>
      <c r="D239" s="72">
        <v>9</v>
      </c>
      <c r="E239" s="71">
        <v>1E-3</v>
      </c>
    </row>
    <row r="240" spans="2:5">
      <c r="B240" s="114"/>
      <c r="C240" s="58" t="s">
        <v>249</v>
      </c>
      <c r="D240" s="72">
        <v>4</v>
      </c>
      <c r="E240" s="71">
        <v>0</v>
      </c>
    </row>
    <row r="241" spans="2:5">
      <c r="B241" s="114"/>
      <c r="C241" s="58" t="s">
        <v>250</v>
      </c>
      <c r="D241" s="72">
        <v>3</v>
      </c>
      <c r="E241" s="71">
        <v>0</v>
      </c>
    </row>
    <row r="242" spans="2:5">
      <c r="B242" s="114"/>
      <c r="C242" s="58" t="s">
        <v>171</v>
      </c>
      <c r="D242" s="72">
        <v>24</v>
      </c>
      <c r="E242" s="71">
        <v>2E-3</v>
      </c>
    </row>
    <row r="243" spans="2:5">
      <c r="B243" s="114"/>
      <c r="C243" s="58" t="s">
        <v>172</v>
      </c>
      <c r="D243" s="72">
        <v>1</v>
      </c>
      <c r="E243" s="71">
        <v>0</v>
      </c>
    </row>
    <row r="244" spans="2:5">
      <c r="B244" s="114"/>
      <c r="C244" s="58" t="s">
        <v>173</v>
      </c>
      <c r="D244" s="72">
        <v>11</v>
      </c>
      <c r="E244" s="71">
        <v>1E-3</v>
      </c>
    </row>
    <row r="245" spans="2:5">
      <c r="B245" s="114"/>
      <c r="C245" s="58" t="s">
        <v>174</v>
      </c>
      <c r="D245" s="72">
        <v>22</v>
      </c>
      <c r="E245" s="71">
        <v>2E-3</v>
      </c>
    </row>
    <row r="246" spans="2:5">
      <c r="B246" s="114"/>
      <c r="C246" s="58" t="s">
        <v>251</v>
      </c>
      <c r="D246" s="72">
        <v>3</v>
      </c>
      <c r="E246" s="71">
        <v>0</v>
      </c>
    </row>
    <row r="247" spans="2:5">
      <c r="B247" s="114"/>
      <c r="C247" s="58" t="s">
        <v>252</v>
      </c>
      <c r="D247" s="72">
        <v>1</v>
      </c>
      <c r="E247" s="71">
        <v>0</v>
      </c>
    </row>
    <row r="248" spans="2:5">
      <c r="B248" s="114"/>
      <c r="C248" s="58" t="s">
        <v>179</v>
      </c>
      <c r="D248" s="72">
        <v>3</v>
      </c>
      <c r="E248" s="71">
        <v>0</v>
      </c>
    </row>
    <row r="249" spans="2:5">
      <c r="B249" s="114"/>
      <c r="C249" s="58" t="s">
        <v>180</v>
      </c>
      <c r="D249" s="72">
        <v>8</v>
      </c>
      <c r="E249" s="71">
        <v>1E-3</v>
      </c>
    </row>
    <row r="250" spans="2:5">
      <c r="B250" s="114"/>
      <c r="C250" s="58" t="s">
        <v>181</v>
      </c>
      <c r="D250" s="72">
        <v>2</v>
      </c>
      <c r="E250" s="71">
        <v>0</v>
      </c>
    </row>
    <row r="251" spans="2:5">
      <c r="B251" s="115"/>
      <c r="C251" s="73" t="s">
        <v>267</v>
      </c>
      <c r="D251" s="78">
        <v>104</v>
      </c>
      <c r="E251" s="75">
        <v>8.9999999999999993E-3</v>
      </c>
    </row>
    <row r="252" spans="2:5">
      <c r="B252" s="113" t="s">
        <v>93</v>
      </c>
      <c r="C252" s="58" t="s">
        <v>171</v>
      </c>
      <c r="D252" s="72">
        <v>2</v>
      </c>
      <c r="E252" s="71">
        <v>0</v>
      </c>
    </row>
    <row r="253" spans="2:5">
      <c r="B253" s="114"/>
      <c r="C253" s="58" t="s">
        <v>172</v>
      </c>
      <c r="D253" s="72">
        <v>3</v>
      </c>
      <c r="E253" s="71">
        <v>0</v>
      </c>
    </row>
    <row r="254" spans="2:5">
      <c r="B254" s="114"/>
      <c r="C254" s="58" t="s">
        <v>174</v>
      </c>
      <c r="D254" s="72">
        <v>5</v>
      </c>
      <c r="E254" s="71">
        <v>0</v>
      </c>
    </row>
    <row r="255" spans="2:5">
      <c r="B255" s="114"/>
      <c r="C255" s="58" t="s">
        <v>179</v>
      </c>
      <c r="D255" s="72">
        <v>2</v>
      </c>
      <c r="E255" s="71">
        <v>0</v>
      </c>
    </row>
    <row r="256" spans="2:5">
      <c r="B256" s="114"/>
      <c r="C256" s="58" t="s">
        <v>180</v>
      </c>
      <c r="D256" s="72">
        <v>1</v>
      </c>
      <c r="E256" s="71">
        <v>0</v>
      </c>
    </row>
    <row r="257" spans="2:5">
      <c r="B257" s="114"/>
      <c r="C257" s="58" t="s">
        <v>182</v>
      </c>
      <c r="D257" s="72">
        <v>1</v>
      </c>
      <c r="E257" s="71">
        <v>0</v>
      </c>
    </row>
    <row r="258" spans="2:5">
      <c r="B258" s="115"/>
      <c r="C258" s="73" t="s">
        <v>267</v>
      </c>
      <c r="D258" s="78">
        <v>14</v>
      </c>
      <c r="E258" s="75">
        <v>1E-3</v>
      </c>
    </row>
    <row r="259" spans="2:5">
      <c r="B259" s="113" t="s">
        <v>52</v>
      </c>
      <c r="C259" s="58" t="s">
        <v>160</v>
      </c>
      <c r="D259" s="72">
        <v>8</v>
      </c>
      <c r="E259" s="71">
        <v>1E-3</v>
      </c>
    </row>
    <row r="260" spans="2:5">
      <c r="B260" s="114"/>
      <c r="C260" s="58" t="s">
        <v>242</v>
      </c>
      <c r="D260" s="72">
        <v>1</v>
      </c>
      <c r="E260" s="71">
        <v>0</v>
      </c>
    </row>
    <row r="261" spans="2:5">
      <c r="B261" s="114"/>
      <c r="C261" s="58" t="s">
        <v>243</v>
      </c>
      <c r="D261" s="72">
        <v>2</v>
      </c>
      <c r="E261" s="71">
        <v>0</v>
      </c>
    </row>
    <row r="262" spans="2:5">
      <c r="B262" s="114"/>
      <c r="C262" s="58" t="s">
        <v>244</v>
      </c>
      <c r="D262" s="72">
        <v>6</v>
      </c>
      <c r="E262" s="71">
        <v>1E-3</v>
      </c>
    </row>
    <row r="263" spans="2:5">
      <c r="B263" s="114"/>
      <c r="C263" s="58" t="s">
        <v>245</v>
      </c>
      <c r="D263" s="72">
        <v>5</v>
      </c>
      <c r="E263" s="71">
        <v>0</v>
      </c>
    </row>
    <row r="264" spans="2:5">
      <c r="B264" s="114"/>
      <c r="C264" s="58" t="s">
        <v>246</v>
      </c>
      <c r="D264" s="72">
        <v>5</v>
      </c>
      <c r="E264" s="71">
        <v>0</v>
      </c>
    </row>
    <row r="265" spans="2:5">
      <c r="B265" s="114"/>
      <c r="C265" s="58" t="s">
        <v>247</v>
      </c>
      <c r="D265" s="72">
        <v>30</v>
      </c>
      <c r="E265" s="71">
        <v>3.0000000000000001E-3</v>
      </c>
    </row>
    <row r="266" spans="2:5">
      <c r="B266" s="114"/>
      <c r="C266" s="58" t="s">
        <v>167</v>
      </c>
      <c r="D266" s="72">
        <v>27</v>
      </c>
      <c r="E266" s="71">
        <v>2E-3</v>
      </c>
    </row>
    <row r="267" spans="2:5">
      <c r="B267" s="114"/>
      <c r="C267" s="58" t="s">
        <v>248</v>
      </c>
      <c r="D267" s="72">
        <v>9</v>
      </c>
      <c r="E267" s="71">
        <v>1E-3</v>
      </c>
    </row>
    <row r="268" spans="2:5">
      <c r="B268" s="114"/>
      <c r="C268" s="58" t="s">
        <v>249</v>
      </c>
      <c r="D268" s="72">
        <v>15</v>
      </c>
      <c r="E268" s="71">
        <v>1E-3</v>
      </c>
    </row>
    <row r="269" spans="2:5">
      <c r="B269" s="114"/>
      <c r="C269" s="58" t="s">
        <v>250</v>
      </c>
      <c r="D269" s="72">
        <v>36</v>
      </c>
      <c r="E269" s="71">
        <v>3.0000000000000001E-3</v>
      </c>
    </row>
    <row r="270" spans="2:5">
      <c r="B270" s="114"/>
      <c r="C270" s="58" t="s">
        <v>171</v>
      </c>
      <c r="D270" s="72">
        <v>109</v>
      </c>
      <c r="E270" s="71">
        <v>8.9999999999999993E-3</v>
      </c>
    </row>
    <row r="271" spans="2:5">
      <c r="B271" s="114"/>
      <c r="C271" s="58" t="s">
        <v>172</v>
      </c>
      <c r="D271" s="72">
        <v>10</v>
      </c>
      <c r="E271" s="71">
        <v>1E-3</v>
      </c>
    </row>
    <row r="272" spans="2:5">
      <c r="B272" s="114"/>
      <c r="C272" s="58" t="s">
        <v>173</v>
      </c>
      <c r="D272" s="72">
        <v>45</v>
      </c>
      <c r="E272" s="71">
        <v>4.0000000000000001E-3</v>
      </c>
    </row>
    <row r="273" spans="2:5">
      <c r="B273" s="114"/>
      <c r="C273" s="58" t="s">
        <v>174</v>
      </c>
      <c r="D273" s="72">
        <v>121</v>
      </c>
      <c r="E273" s="71">
        <v>0.01</v>
      </c>
    </row>
    <row r="274" spans="2:5">
      <c r="B274" s="114"/>
      <c r="C274" s="58" t="s">
        <v>251</v>
      </c>
      <c r="D274" s="72">
        <v>4</v>
      </c>
      <c r="E274" s="71">
        <v>0</v>
      </c>
    </row>
    <row r="275" spans="2:5">
      <c r="B275" s="114"/>
      <c r="C275" s="58" t="s">
        <v>254</v>
      </c>
      <c r="D275" s="72">
        <v>2</v>
      </c>
      <c r="E275" s="71">
        <v>0</v>
      </c>
    </row>
    <row r="276" spans="2:5">
      <c r="B276" s="114"/>
      <c r="C276" s="58" t="s">
        <v>179</v>
      </c>
      <c r="D276" s="72">
        <v>8</v>
      </c>
      <c r="E276" s="71">
        <v>1E-3</v>
      </c>
    </row>
    <row r="277" spans="2:5">
      <c r="B277" s="114"/>
      <c r="C277" s="58" t="s">
        <v>180</v>
      </c>
      <c r="D277" s="72">
        <v>44</v>
      </c>
      <c r="E277" s="71">
        <v>4.0000000000000001E-3</v>
      </c>
    </row>
    <row r="278" spans="2:5">
      <c r="B278" s="114"/>
      <c r="C278" s="58" t="s">
        <v>181</v>
      </c>
      <c r="D278" s="72">
        <v>1</v>
      </c>
      <c r="E278" s="71">
        <v>0</v>
      </c>
    </row>
    <row r="279" spans="2:5">
      <c r="B279" s="114"/>
      <c r="C279" s="58" t="s">
        <v>182</v>
      </c>
      <c r="D279" s="72">
        <v>2</v>
      </c>
      <c r="E279" s="71">
        <v>0</v>
      </c>
    </row>
    <row r="280" spans="2:5">
      <c r="B280" s="115"/>
      <c r="C280" s="73" t="s">
        <v>267</v>
      </c>
      <c r="D280" s="78">
        <v>490</v>
      </c>
      <c r="E280" s="75">
        <v>4.1000000000000002E-2</v>
      </c>
    </row>
    <row r="281" spans="2:5">
      <c r="B281" s="113" t="s">
        <v>69</v>
      </c>
      <c r="C281" s="58" t="s">
        <v>160</v>
      </c>
      <c r="D281" s="72">
        <v>1</v>
      </c>
      <c r="E281" s="71">
        <v>0</v>
      </c>
    </row>
    <row r="282" spans="2:5">
      <c r="B282" s="114"/>
      <c r="C282" s="58" t="s">
        <v>247</v>
      </c>
      <c r="D282" s="72">
        <v>3</v>
      </c>
      <c r="E282" s="71">
        <v>0</v>
      </c>
    </row>
    <row r="283" spans="2:5">
      <c r="B283" s="114"/>
      <c r="C283" s="58" t="s">
        <v>167</v>
      </c>
      <c r="D283" s="72">
        <v>9</v>
      </c>
      <c r="E283" s="71">
        <v>1E-3</v>
      </c>
    </row>
    <row r="284" spans="2:5">
      <c r="B284" s="114"/>
      <c r="C284" s="58" t="s">
        <v>249</v>
      </c>
      <c r="D284" s="72">
        <v>2</v>
      </c>
      <c r="E284" s="71">
        <v>0</v>
      </c>
    </row>
    <row r="285" spans="2:5">
      <c r="B285" s="114"/>
      <c r="C285" s="58" t="s">
        <v>250</v>
      </c>
      <c r="D285" s="72">
        <v>2</v>
      </c>
      <c r="E285" s="71">
        <v>0</v>
      </c>
    </row>
    <row r="286" spans="2:5">
      <c r="B286" s="114"/>
      <c r="C286" s="58" t="s">
        <v>171</v>
      </c>
      <c r="D286" s="72">
        <v>18</v>
      </c>
      <c r="E286" s="71">
        <v>2E-3</v>
      </c>
    </row>
    <row r="287" spans="2:5">
      <c r="B287" s="114"/>
      <c r="C287" s="58" t="s">
        <v>172</v>
      </c>
      <c r="D287" s="72">
        <v>1</v>
      </c>
      <c r="E287" s="71">
        <v>0</v>
      </c>
    </row>
    <row r="288" spans="2:5">
      <c r="B288" s="114"/>
      <c r="C288" s="58" t="s">
        <v>173</v>
      </c>
      <c r="D288" s="72">
        <v>8</v>
      </c>
      <c r="E288" s="71">
        <v>1E-3</v>
      </c>
    </row>
    <row r="289" spans="2:5">
      <c r="B289" s="114"/>
      <c r="C289" s="58" t="s">
        <v>174</v>
      </c>
      <c r="D289" s="72">
        <v>20</v>
      </c>
      <c r="E289" s="71">
        <v>2E-3</v>
      </c>
    </row>
    <row r="290" spans="2:5">
      <c r="B290" s="114"/>
      <c r="C290" s="58" t="s">
        <v>179</v>
      </c>
      <c r="D290" s="72">
        <v>2</v>
      </c>
      <c r="E290" s="71">
        <v>0</v>
      </c>
    </row>
    <row r="291" spans="2:5">
      <c r="B291" s="114"/>
      <c r="C291" s="58" t="s">
        <v>180</v>
      </c>
      <c r="D291" s="72">
        <v>8</v>
      </c>
      <c r="E291" s="71">
        <v>1E-3</v>
      </c>
    </row>
    <row r="292" spans="2:5">
      <c r="B292" s="115"/>
      <c r="C292" s="73" t="s">
        <v>267</v>
      </c>
      <c r="D292" s="78">
        <v>74</v>
      </c>
      <c r="E292" s="75">
        <v>6.0000000000000001E-3</v>
      </c>
    </row>
    <row r="293" spans="2:5">
      <c r="B293" s="113" t="s">
        <v>47</v>
      </c>
      <c r="C293" s="58" t="s">
        <v>160</v>
      </c>
      <c r="D293" s="72">
        <v>29</v>
      </c>
      <c r="E293" s="71">
        <v>2E-3</v>
      </c>
    </row>
    <row r="294" spans="2:5">
      <c r="B294" s="114"/>
      <c r="C294" s="58" t="s">
        <v>242</v>
      </c>
      <c r="D294" s="72">
        <v>5</v>
      </c>
      <c r="E294" s="71">
        <v>0</v>
      </c>
    </row>
    <row r="295" spans="2:5">
      <c r="B295" s="114"/>
      <c r="C295" s="58" t="s">
        <v>243</v>
      </c>
      <c r="D295" s="72">
        <v>15</v>
      </c>
      <c r="E295" s="71">
        <v>1E-3</v>
      </c>
    </row>
    <row r="296" spans="2:5">
      <c r="B296" s="114"/>
      <c r="C296" s="58" t="s">
        <v>244</v>
      </c>
      <c r="D296" s="72">
        <v>25</v>
      </c>
      <c r="E296" s="71">
        <v>2E-3</v>
      </c>
    </row>
    <row r="297" spans="2:5">
      <c r="B297" s="114"/>
      <c r="C297" s="58" t="s">
        <v>245</v>
      </c>
      <c r="D297" s="72">
        <v>20</v>
      </c>
      <c r="E297" s="71">
        <v>2E-3</v>
      </c>
    </row>
    <row r="298" spans="2:5">
      <c r="B298" s="114"/>
      <c r="C298" s="58" t="s">
        <v>246</v>
      </c>
      <c r="D298" s="72">
        <v>24</v>
      </c>
      <c r="E298" s="71">
        <v>2E-3</v>
      </c>
    </row>
    <row r="299" spans="2:5">
      <c r="B299" s="114"/>
      <c r="C299" s="58" t="s">
        <v>247</v>
      </c>
      <c r="D299" s="72">
        <v>170</v>
      </c>
      <c r="E299" s="71">
        <v>1.4E-2</v>
      </c>
    </row>
    <row r="300" spans="2:5">
      <c r="B300" s="114"/>
      <c r="C300" s="58" t="s">
        <v>167</v>
      </c>
      <c r="D300" s="72">
        <v>286</v>
      </c>
      <c r="E300" s="71">
        <v>2.4E-2</v>
      </c>
    </row>
    <row r="301" spans="2:5">
      <c r="B301" s="114"/>
      <c r="C301" s="58" t="s">
        <v>248</v>
      </c>
      <c r="D301" s="72">
        <v>18</v>
      </c>
      <c r="E301" s="71">
        <v>2E-3</v>
      </c>
    </row>
    <row r="302" spans="2:5">
      <c r="B302" s="114"/>
      <c r="C302" s="58" t="s">
        <v>249</v>
      </c>
      <c r="D302" s="72">
        <v>31</v>
      </c>
      <c r="E302" s="71">
        <v>3.0000000000000001E-3</v>
      </c>
    </row>
    <row r="303" spans="2:5">
      <c r="B303" s="114"/>
      <c r="C303" s="58" t="s">
        <v>250</v>
      </c>
      <c r="D303" s="72">
        <v>103</v>
      </c>
      <c r="E303" s="71">
        <v>8.9999999999999993E-3</v>
      </c>
    </row>
    <row r="304" spans="2:5">
      <c r="B304" s="114"/>
      <c r="C304" s="58" t="s">
        <v>171</v>
      </c>
      <c r="D304" s="72">
        <v>549</v>
      </c>
      <c r="E304" s="71">
        <v>4.5999999999999999E-2</v>
      </c>
    </row>
    <row r="305" spans="2:5">
      <c r="B305" s="114"/>
      <c r="C305" s="58" t="s">
        <v>172</v>
      </c>
      <c r="D305" s="72">
        <v>29</v>
      </c>
      <c r="E305" s="71">
        <v>2E-3</v>
      </c>
    </row>
    <row r="306" spans="2:5">
      <c r="B306" s="114"/>
      <c r="C306" s="58" t="s">
        <v>173</v>
      </c>
      <c r="D306" s="72">
        <v>160</v>
      </c>
      <c r="E306" s="71">
        <v>1.2999999999999999E-2</v>
      </c>
    </row>
    <row r="307" spans="2:5">
      <c r="B307" s="114"/>
      <c r="C307" s="58" t="s">
        <v>174</v>
      </c>
      <c r="D307" s="72">
        <v>608</v>
      </c>
      <c r="E307" s="71">
        <v>5.0999999999999997E-2</v>
      </c>
    </row>
    <row r="308" spans="2:5">
      <c r="B308" s="114"/>
      <c r="C308" s="58" t="s">
        <v>251</v>
      </c>
      <c r="D308" s="72">
        <v>13</v>
      </c>
      <c r="E308" s="71">
        <v>1E-3</v>
      </c>
    </row>
    <row r="309" spans="2:5">
      <c r="B309" s="114"/>
      <c r="C309" s="58" t="s">
        <v>252</v>
      </c>
      <c r="D309" s="72">
        <v>12</v>
      </c>
      <c r="E309" s="71">
        <v>1E-3</v>
      </c>
    </row>
    <row r="310" spans="2:5">
      <c r="B310" s="114"/>
      <c r="C310" s="58" t="s">
        <v>253</v>
      </c>
      <c r="D310" s="72">
        <v>10</v>
      </c>
      <c r="E310" s="71">
        <v>1E-3</v>
      </c>
    </row>
    <row r="311" spans="2:5">
      <c r="B311" s="114"/>
      <c r="C311" s="58" t="s">
        <v>254</v>
      </c>
      <c r="D311" s="72">
        <v>1</v>
      </c>
      <c r="E311" s="71">
        <v>0</v>
      </c>
    </row>
    <row r="312" spans="2:5">
      <c r="B312" s="114"/>
      <c r="C312" s="58" t="s">
        <v>179</v>
      </c>
      <c r="D312" s="72">
        <v>36</v>
      </c>
      <c r="E312" s="71">
        <v>3.0000000000000001E-3</v>
      </c>
    </row>
    <row r="313" spans="2:5">
      <c r="B313" s="114"/>
      <c r="C313" s="58" t="s">
        <v>180</v>
      </c>
      <c r="D313" s="72">
        <v>164</v>
      </c>
      <c r="E313" s="71">
        <v>1.4E-2</v>
      </c>
    </row>
    <row r="314" spans="2:5">
      <c r="B314" s="114"/>
      <c r="C314" s="58" t="s">
        <v>182</v>
      </c>
      <c r="D314" s="72">
        <v>3</v>
      </c>
      <c r="E314" s="71">
        <v>0</v>
      </c>
    </row>
    <row r="315" spans="2:5">
      <c r="B315" s="114"/>
      <c r="C315" s="58" t="s">
        <v>183</v>
      </c>
      <c r="D315" s="72">
        <v>1</v>
      </c>
      <c r="E315" s="71">
        <v>0</v>
      </c>
    </row>
    <row r="316" spans="2:5">
      <c r="B316" s="115"/>
      <c r="C316" s="73" t="s">
        <v>267</v>
      </c>
      <c r="D316" s="78">
        <v>2312</v>
      </c>
      <c r="E316" s="75">
        <v>0.193</v>
      </c>
    </row>
    <row r="317" spans="2:5">
      <c r="B317" s="113" t="s">
        <v>81</v>
      </c>
      <c r="C317" s="58" t="s">
        <v>247</v>
      </c>
      <c r="D317" s="72">
        <v>3</v>
      </c>
      <c r="E317" s="71">
        <v>0</v>
      </c>
    </row>
    <row r="318" spans="2:5">
      <c r="B318" s="114"/>
      <c r="C318" s="58" t="s">
        <v>248</v>
      </c>
      <c r="D318" s="72">
        <v>1</v>
      </c>
      <c r="E318" s="71">
        <v>0</v>
      </c>
    </row>
    <row r="319" spans="2:5">
      <c r="B319" s="114"/>
      <c r="C319" s="58" t="s">
        <v>249</v>
      </c>
      <c r="D319" s="72">
        <v>2</v>
      </c>
      <c r="E319" s="71">
        <v>0</v>
      </c>
    </row>
    <row r="320" spans="2:5">
      <c r="B320" s="114"/>
      <c r="C320" s="58" t="s">
        <v>250</v>
      </c>
      <c r="D320" s="72">
        <v>3</v>
      </c>
      <c r="E320" s="71">
        <v>0</v>
      </c>
    </row>
    <row r="321" spans="2:5">
      <c r="B321" s="114"/>
      <c r="C321" s="58" t="s">
        <v>171</v>
      </c>
      <c r="D321" s="72">
        <v>10</v>
      </c>
      <c r="E321" s="71">
        <v>1E-3</v>
      </c>
    </row>
    <row r="322" spans="2:5">
      <c r="B322" s="114"/>
      <c r="C322" s="58" t="s">
        <v>172</v>
      </c>
      <c r="D322" s="72">
        <v>2</v>
      </c>
      <c r="E322" s="71">
        <v>0</v>
      </c>
    </row>
    <row r="323" spans="2:5">
      <c r="B323" s="114"/>
      <c r="C323" s="58" t="s">
        <v>173</v>
      </c>
      <c r="D323" s="72">
        <v>2</v>
      </c>
      <c r="E323" s="71">
        <v>0</v>
      </c>
    </row>
    <row r="324" spans="2:5">
      <c r="B324" s="114"/>
      <c r="C324" s="58" t="s">
        <v>174</v>
      </c>
      <c r="D324" s="72">
        <v>10</v>
      </c>
      <c r="E324" s="71">
        <v>1E-3</v>
      </c>
    </row>
    <row r="325" spans="2:5">
      <c r="B325" s="114"/>
      <c r="C325" s="58" t="s">
        <v>180</v>
      </c>
      <c r="D325" s="72">
        <v>4</v>
      </c>
      <c r="E325" s="71">
        <v>0</v>
      </c>
    </row>
    <row r="326" spans="2:5">
      <c r="B326" s="115"/>
      <c r="C326" s="73" t="s">
        <v>267</v>
      </c>
      <c r="D326" s="78">
        <v>37</v>
      </c>
      <c r="E326" s="75">
        <v>3.0000000000000001E-3</v>
      </c>
    </row>
    <row r="327" spans="2:5">
      <c r="B327" s="113" t="s">
        <v>82</v>
      </c>
      <c r="C327" s="58" t="s">
        <v>160</v>
      </c>
      <c r="D327" s="72">
        <v>1</v>
      </c>
      <c r="E327" s="71">
        <v>0</v>
      </c>
    </row>
    <row r="328" spans="2:5">
      <c r="B328" s="114"/>
      <c r="C328" s="58" t="s">
        <v>244</v>
      </c>
      <c r="D328" s="72">
        <v>1</v>
      </c>
      <c r="E328" s="71">
        <v>0</v>
      </c>
    </row>
    <row r="329" spans="2:5">
      <c r="B329" s="114"/>
      <c r="C329" s="58" t="s">
        <v>247</v>
      </c>
      <c r="D329" s="72">
        <v>1</v>
      </c>
      <c r="E329" s="71">
        <v>0</v>
      </c>
    </row>
    <row r="330" spans="2:5">
      <c r="B330" s="114"/>
      <c r="C330" s="58" t="s">
        <v>167</v>
      </c>
      <c r="D330" s="72">
        <v>1</v>
      </c>
      <c r="E330" s="71">
        <v>0</v>
      </c>
    </row>
    <row r="331" spans="2:5">
      <c r="B331" s="114"/>
      <c r="C331" s="58" t="s">
        <v>248</v>
      </c>
      <c r="D331" s="72">
        <v>1</v>
      </c>
      <c r="E331" s="71">
        <v>0</v>
      </c>
    </row>
    <row r="332" spans="2:5">
      <c r="B332" s="114"/>
      <c r="C332" s="58" t="s">
        <v>249</v>
      </c>
      <c r="D332" s="72">
        <v>1</v>
      </c>
      <c r="E332" s="71">
        <v>0</v>
      </c>
    </row>
    <row r="333" spans="2:5">
      <c r="B333" s="114"/>
      <c r="C333" s="58" t="s">
        <v>171</v>
      </c>
      <c r="D333" s="72">
        <v>13</v>
      </c>
      <c r="E333" s="71">
        <v>1E-3</v>
      </c>
    </row>
    <row r="334" spans="2:5">
      <c r="B334" s="114"/>
      <c r="C334" s="58" t="s">
        <v>172</v>
      </c>
      <c r="D334" s="72">
        <v>3</v>
      </c>
      <c r="E334" s="71">
        <v>0</v>
      </c>
    </row>
    <row r="335" spans="2:5">
      <c r="B335" s="114"/>
      <c r="C335" s="58" t="s">
        <v>173</v>
      </c>
      <c r="D335" s="72">
        <v>4</v>
      </c>
      <c r="E335" s="71">
        <v>0</v>
      </c>
    </row>
    <row r="336" spans="2:5">
      <c r="B336" s="114"/>
      <c r="C336" s="58" t="s">
        <v>174</v>
      </c>
      <c r="D336" s="72">
        <v>5</v>
      </c>
      <c r="E336" s="71">
        <v>0</v>
      </c>
    </row>
    <row r="337" spans="2:5">
      <c r="B337" s="114"/>
      <c r="C337" s="58" t="s">
        <v>183</v>
      </c>
      <c r="D337" s="72">
        <v>1</v>
      </c>
      <c r="E337" s="71">
        <v>0</v>
      </c>
    </row>
    <row r="338" spans="2:5">
      <c r="B338" s="115"/>
      <c r="C338" s="73" t="s">
        <v>267</v>
      </c>
      <c r="D338" s="78">
        <v>32</v>
      </c>
      <c r="E338" s="75">
        <v>3.0000000000000001E-3</v>
      </c>
    </row>
    <row r="339" spans="2:5">
      <c r="B339" s="113" t="s">
        <v>87</v>
      </c>
      <c r="C339" s="58" t="s">
        <v>167</v>
      </c>
      <c r="D339" s="72">
        <v>2</v>
      </c>
      <c r="E339" s="71">
        <v>0</v>
      </c>
    </row>
    <row r="340" spans="2:5">
      <c r="B340" s="114"/>
      <c r="C340" s="58" t="s">
        <v>249</v>
      </c>
      <c r="D340" s="72">
        <v>1</v>
      </c>
      <c r="E340" s="71">
        <v>0</v>
      </c>
    </row>
    <row r="341" spans="2:5">
      <c r="B341" s="114"/>
      <c r="C341" s="58" t="s">
        <v>171</v>
      </c>
      <c r="D341" s="72">
        <v>6</v>
      </c>
      <c r="E341" s="71">
        <v>1E-3</v>
      </c>
    </row>
    <row r="342" spans="2:5">
      <c r="B342" s="114"/>
      <c r="C342" s="58" t="s">
        <v>173</v>
      </c>
      <c r="D342" s="72">
        <v>2</v>
      </c>
      <c r="E342" s="71">
        <v>0</v>
      </c>
    </row>
    <row r="343" spans="2:5">
      <c r="B343" s="114"/>
      <c r="C343" s="58" t="s">
        <v>174</v>
      </c>
      <c r="D343" s="72">
        <v>8</v>
      </c>
      <c r="E343" s="71">
        <v>1E-3</v>
      </c>
    </row>
    <row r="344" spans="2:5">
      <c r="B344" s="114"/>
      <c r="C344" s="58" t="s">
        <v>251</v>
      </c>
      <c r="D344" s="72">
        <v>1</v>
      </c>
      <c r="E344" s="71">
        <v>0</v>
      </c>
    </row>
    <row r="345" spans="2:5">
      <c r="B345" s="114"/>
      <c r="C345" s="58" t="s">
        <v>252</v>
      </c>
      <c r="D345" s="72">
        <v>1</v>
      </c>
      <c r="E345" s="71">
        <v>0</v>
      </c>
    </row>
    <row r="346" spans="2:5">
      <c r="B346" s="114"/>
      <c r="C346" s="58" t="s">
        <v>180</v>
      </c>
      <c r="D346" s="72">
        <v>3</v>
      </c>
      <c r="E346" s="71">
        <v>0</v>
      </c>
    </row>
    <row r="347" spans="2:5">
      <c r="B347" s="115"/>
      <c r="C347" s="73" t="s">
        <v>267</v>
      </c>
      <c r="D347" s="78">
        <v>24</v>
      </c>
      <c r="E347" s="75">
        <v>2E-3</v>
      </c>
    </row>
    <row r="348" spans="2:5">
      <c r="B348" s="113" t="s">
        <v>95</v>
      </c>
      <c r="C348" s="58" t="s">
        <v>245</v>
      </c>
      <c r="D348" s="72">
        <v>1</v>
      </c>
      <c r="E348" s="71">
        <v>0</v>
      </c>
    </row>
    <row r="349" spans="2:5">
      <c r="B349" s="114"/>
      <c r="C349" s="58" t="s">
        <v>247</v>
      </c>
      <c r="D349" s="72">
        <v>2</v>
      </c>
      <c r="E349" s="71">
        <v>0</v>
      </c>
    </row>
    <row r="350" spans="2:5">
      <c r="B350" s="114"/>
      <c r="C350" s="58" t="s">
        <v>248</v>
      </c>
      <c r="D350" s="72">
        <v>1</v>
      </c>
      <c r="E350" s="71">
        <v>0</v>
      </c>
    </row>
    <row r="351" spans="2:5">
      <c r="B351" s="114"/>
      <c r="C351" s="58" t="s">
        <v>249</v>
      </c>
      <c r="D351" s="72">
        <v>2</v>
      </c>
      <c r="E351" s="71">
        <v>0</v>
      </c>
    </row>
    <row r="352" spans="2:5">
      <c r="B352" s="114"/>
      <c r="C352" s="58" t="s">
        <v>250</v>
      </c>
      <c r="D352" s="72">
        <v>1</v>
      </c>
      <c r="E352" s="71">
        <v>0</v>
      </c>
    </row>
    <row r="353" spans="2:5">
      <c r="B353" s="114"/>
      <c r="C353" s="58" t="s">
        <v>171</v>
      </c>
      <c r="D353" s="72">
        <v>5</v>
      </c>
      <c r="E353" s="71">
        <v>0</v>
      </c>
    </row>
    <row r="354" spans="2:5">
      <c r="B354" s="114"/>
      <c r="C354" s="58" t="s">
        <v>173</v>
      </c>
      <c r="D354" s="72">
        <v>1</v>
      </c>
      <c r="E354" s="71">
        <v>0</v>
      </c>
    </row>
    <row r="355" spans="2:5">
      <c r="B355" s="114"/>
      <c r="C355" s="58" t="s">
        <v>174</v>
      </c>
      <c r="D355" s="72">
        <v>1</v>
      </c>
      <c r="E355" s="71">
        <v>0</v>
      </c>
    </row>
    <row r="356" spans="2:5">
      <c r="B356" s="114"/>
      <c r="C356" s="58" t="s">
        <v>254</v>
      </c>
      <c r="D356" s="72">
        <v>1</v>
      </c>
      <c r="E356" s="71">
        <v>0</v>
      </c>
    </row>
    <row r="357" spans="2:5">
      <c r="B357" s="114"/>
      <c r="C357" s="58" t="s">
        <v>180</v>
      </c>
      <c r="D357" s="72">
        <v>2</v>
      </c>
      <c r="E357" s="71">
        <v>0</v>
      </c>
    </row>
    <row r="358" spans="2:5">
      <c r="B358" s="115"/>
      <c r="C358" s="73" t="s">
        <v>267</v>
      </c>
      <c r="D358" s="78">
        <v>17</v>
      </c>
      <c r="E358" s="75">
        <v>1E-3</v>
      </c>
    </row>
    <row r="359" spans="2:5">
      <c r="B359" s="113" t="s">
        <v>90</v>
      </c>
      <c r="C359" s="58" t="s">
        <v>167</v>
      </c>
      <c r="D359" s="72">
        <v>1</v>
      </c>
      <c r="E359" s="71">
        <v>0</v>
      </c>
    </row>
    <row r="360" spans="2:5">
      <c r="B360" s="114"/>
      <c r="C360" s="58" t="s">
        <v>171</v>
      </c>
      <c r="D360" s="72">
        <v>3</v>
      </c>
      <c r="E360" s="71">
        <v>0</v>
      </c>
    </row>
    <row r="361" spans="2:5">
      <c r="B361" s="114"/>
      <c r="C361" s="58" t="s">
        <v>172</v>
      </c>
      <c r="D361" s="72">
        <v>1</v>
      </c>
      <c r="E361" s="71">
        <v>0</v>
      </c>
    </row>
    <row r="362" spans="2:5">
      <c r="B362" s="114"/>
      <c r="C362" s="58" t="s">
        <v>174</v>
      </c>
      <c r="D362" s="72">
        <v>3</v>
      </c>
      <c r="E362" s="71">
        <v>0</v>
      </c>
    </row>
    <row r="363" spans="2:5">
      <c r="B363" s="114"/>
      <c r="C363" s="58" t="s">
        <v>180</v>
      </c>
      <c r="D363" s="72">
        <v>9</v>
      </c>
      <c r="E363" s="71">
        <v>1E-3</v>
      </c>
    </row>
    <row r="364" spans="2:5">
      <c r="B364" s="115"/>
      <c r="C364" s="73" t="s">
        <v>267</v>
      </c>
      <c r="D364" s="78">
        <v>17</v>
      </c>
      <c r="E364" s="75">
        <v>1E-3</v>
      </c>
    </row>
    <row r="365" spans="2:5">
      <c r="B365" s="113" t="s">
        <v>77</v>
      </c>
      <c r="C365" s="58" t="s">
        <v>160</v>
      </c>
      <c r="D365" s="72">
        <v>1</v>
      </c>
      <c r="E365" s="71">
        <v>0</v>
      </c>
    </row>
    <row r="366" spans="2:5">
      <c r="B366" s="114"/>
      <c r="C366" s="58" t="s">
        <v>167</v>
      </c>
      <c r="D366" s="72">
        <v>4</v>
      </c>
      <c r="E366" s="71">
        <v>0</v>
      </c>
    </row>
    <row r="367" spans="2:5">
      <c r="B367" s="114"/>
      <c r="C367" s="58" t="s">
        <v>250</v>
      </c>
      <c r="D367" s="72">
        <v>1</v>
      </c>
      <c r="E367" s="71">
        <v>0</v>
      </c>
    </row>
    <row r="368" spans="2:5">
      <c r="B368" s="114"/>
      <c r="C368" s="58" t="s">
        <v>171</v>
      </c>
      <c r="D368" s="72">
        <v>11</v>
      </c>
      <c r="E368" s="71">
        <v>1E-3</v>
      </c>
    </row>
    <row r="369" spans="2:5">
      <c r="B369" s="114"/>
      <c r="C369" s="58" t="s">
        <v>173</v>
      </c>
      <c r="D369" s="72">
        <v>6</v>
      </c>
      <c r="E369" s="71">
        <v>1E-3</v>
      </c>
    </row>
    <row r="370" spans="2:5">
      <c r="B370" s="114"/>
      <c r="C370" s="58" t="s">
        <v>174</v>
      </c>
      <c r="D370" s="72">
        <v>20</v>
      </c>
      <c r="E370" s="71">
        <v>2E-3</v>
      </c>
    </row>
    <row r="371" spans="2:5">
      <c r="B371" s="114"/>
      <c r="C371" s="58" t="s">
        <v>253</v>
      </c>
      <c r="D371" s="72">
        <v>1</v>
      </c>
      <c r="E371" s="71">
        <v>0</v>
      </c>
    </row>
    <row r="372" spans="2:5">
      <c r="B372" s="114"/>
      <c r="C372" s="58" t="s">
        <v>179</v>
      </c>
      <c r="D372" s="72">
        <v>3</v>
      </c>
      <c r="E372" s="71">
        <v>0</v>
      </c>
    </row>
    <row r="373" spans="2:5">
      <c r="B373" s="115"/>
      <c r="C373" s="73" t="s">
        <v>267</v>
      </c>
      <c r="D373" s="78">
        <v>47</v>
      </c>
      <c r="E373" s="75">
        <v>4.0000000000000001E-3</v>
      </c>
    </row>
    <row r="374" spans="2:5">
      <c r="B374" s="113" t="s">
        <v>80</v>
      </c>
      <c r="C374" s="58" t="s">
        <v>160</v>
      </c>
      <c r="D374" s="72">
        <v>1</v>
      </c>
      <c r="E374" s="71">
        <v>0</v>
      </c>
    </row>
    <row r="375" spans="2:5">
      <c r="B375" s="114"/>
      <c r="C375" s="58" t="s">
        <v>246</v>
      </c>
      <c r="D375" s="72">
        <v>2</v>
      </c>
      <c r="E375" s="71">
        <v>0</v>
      </c>
    </row>
    <row r="376" spans="2:5">
      <c r="B376" s="114"/>
      <c r="C376" s="58" t="s">
        <v>247</v>
      </c>
      <c r="D376" s="72">
        <v>1</v>
      </c>
      <c r="E376" s="71">
        <v>0</v>
      </c>
    </row>
    <row r="377" spans="2:5">
      <c r="B377" s="114"/>
      <c r="C377" s="58" t="s">
        <v>167</v>
      </c>
      <c r="D377" s="72">
        <v>4</v>
      </c>
      <c r="E377" s="71">
        <v>0</v>
      </c>
    </row>
    <row r="378" spans="2:5">
      <c r="B378" s="114"/>
      <c r="C378" s="58" t="s">
        <v>249</v>
      </c>
      <c r="D378" s="72">
        <v>1</v>
      </c>
      <c r="E378" s="71">
        <v>0</v>
      </c>
    </row>
    <row r="379" spans="2:5">
      <c r="B379" s="114"/>
      <c r="C379" s="58" t="s">
        <v>250</v>
      </c>
      <c r="D379" s="72">
        <v>3</v>
      </c>
      <c r="E379" s="71">
        <v>0</v>
      </c>
    </row>
    <row r="380" spans="2:5">
      <c r="B380" s="114"/>
      <c r="C380" s="58" t="s">
        <v>171</v>
      </c>
      <c r="D380" s="72">
        <v>7</v>
      </c>
      <c r="E380" s="71">
        <v>1E-3</v>
      </c>
    </row>
    <row r="381" spans="2:5">
      <c r="B381" s="114"/>
      <c r="C381" s="58" t="s">
        <v>174</v>
      </c>
      <c r="D381" s="72">
        <v>7</v>
      </c>
      <c r="E381" s="71">
        <v>1E-3</v>
      </c>
    </row>
    <row r="382" spans="2:5">
      <c r="B382" s="114"/>
      <c r="C382" s="58" t="s">
        <v>252</v>
      </c>
      <c r="D382" s="72">
        <v>1</v>
      </c>
      <c r="E382" s="71">
        <v>0</v>
      </c>
    </row>
    <row r="383" spans="2:5">
      <c r="B383" s="114"/>
      <c r="C383" s="58" t="s">
        <v>180</v>
      </c>
      <c r="D383" s="72">
        <v>6</v>
      </c>
      <c r="E383" s="71">
        <v>1E-3</v>
      </c>
    </row>
    <row r="384" spans="2:5">
      <c r="B384" s="114"/>
      <c r="C384" s="58" t="s">
        <v>183</v>
      </c>
      <c r="D384" s="72">
        <v>1</v>
      </c>
      <c r="E384" s="71">
        <v>0</v>
      </c>
    </row>
    <row r="385" spans="2:5">
      <c r="B385" s="115"/>
      <c r="C385" s="73" t="s">
        <v>267</v>
      </c>
      <c r="D385" s="78">
        <v>34</v>
      </c>
      <c r="E385" s="75">
        <v>3.0000000000000001E-3</v>
      </c>
    </row>
    <row r="386" spans="2:5">
      <c r="B386" s="113" t="s">
        <v>68</v>
      </c>
      <c r="C386" s="58" t="s">
        <v>244</v>
      </c>
      <c r="D386" s="72">
        <v>1</v>
      </c>
      <c r="E386" s="71">
        <v>0</v>
      </c>
    </row>
    <row r="387" spans="2:5">
      <c r="B387" s="114"/>
      <c r="C387" s="58" t="s">
        <v>245</v>
      </c>
      <c r="D387" s="72">
        <v>1</v>
      </c>
      <c r="E387" s="71">
        <v>0</v>
      </c>
    </row>
    <row r="388" spans="2:5">
      <c r="B388" s="114"/>
      <c r="C388" s="58" t="s">
        <v>247</v>
      </c>
      <c r="D388" s="72">
        <v>1</v>
      </c>
      <c r="E388" s="71">
        <v>0</v>
      </c>
    </row>
    <row r="389" spans="2:5">
      <c r="B389" s="114"/>
      <c r="C389" s="58" t="s">
        <v>167</v>
      </c>
      <c r="D389" s="72">
        <v>9</v>
      </c>
      <c r="E389" s="71">
        <v>1E-3</v>
      </c>
    </row>
    <row r="390" spans="2:5">
      <c r="B390" s="114"/>
      <c r="C390" s="58" t="s">
        <v>249</v>
      </c>
      <c r="D390" s="72">
        <v>6</v>
      </c>
      <c r="E390" s="71">
        <v>1E-3</v>
      </c>
    </row>
    <row r="391" spans="2:5">
      <c r="B391" s="114"/>
      <c r="C391" s="58" t="s">
        <v>250</v>
      </c>
      <c r="D391" s="72">
        <v>5</v>
      </c>
      <c r="E391" s="71">
        <v>0</v>
      </c>
    </row>
    <row r="392" spans="2:5">
      <c r="B392" s="114"/>
      <c r="C392" s="58" t="s">
        <v>171</v>
      </c>
      <c r="D392" s="72">
        <v>26</v>
      </c>
      <c r="E392" s="71">
        <v>2E-3</v>
      </c>
    </row>
    <row r="393" spans="2:5">
      <c r="B393" s="114"/>
      <c r="C393" s="58" t="s">
        <v>172</v>
      </c>
      <c r="D393" s="72">
        <v>3</v>
      </c>
      <c r="E393" s="71">
        <v>0</v>
      </c>
    </row>
    <row r="394" spans="2:5">
      <c r="B394" s="114"/>
      <c r="C394" s="58" t="s">
        <v>173</v>
      </c>
      <c r="D394" s="72">
        <v>7</v>
      </c>
      <c r="E394" s="71">
        <v>1E-3</v>
      </c>
    </row>
    <row r="395" spans="2:5">
      <c r="B395" s="114"/>
      <c r="C395" s="58" t="s">
        <v>174</v>
      </c>
      <c r="D395" s="72">
        <v>21</v>
      </c>
      <c r="E395" s="71">
        <v>2E-3</v>
      </c>
    </row>
    <row r="396" spans="2:5">
      <c r="B396" s="114"/>
      <c r="C396" s="58" t="s">
        <v>179</v>
      </c>
      <c r="D396" s="72">
        <v>2</v>
      </c>
      <c r="E396" s="71">
        <v>0</v>
      </c>
    </row>
    <row r="397" spans="2:5">
      <c r="B397" s="114"/>
      <c r="C397" s="58" t="s">
        <v>180</v>
      </c>
      <c r="D397" s="72">
        <v>9</v>
      </c>
      <c r="E397" s="71">
        <v>1E-3</v>
      </c>
    </row>
    <row r="398" spans="2:5">
      <c r="B398" s="115"/>
      <c r="C398" s="73" t="s">
        <v>267</v>
      </c>
      <c r="D398" s="78">
        <v>91</v>
      </c>
      <c r="E398" s="75">
        <v>8.0000000000000002E-3</v>
      </c>
    </row>
    <row r="399" spans="2:5">
      <c r="B399" s="113" t="s">
        <v>71</v>
      </c>
      <c r="C399" s="58" t="s">
        <v>160</v>
      </c>
      <c r="D399" s="72">
        <v>1</v>
      </c>
      <c r="E399" s="71">
        <v>0</v>
      </c>
    </row>
    <row r="400" spans="2:5">
      <c r="B400" s="114"/>
      <c r="C400" s="58" t="s">
        <v>242</v>
      </c>
      <c r="D400" s="72">
        <v>1</v>
      </c>
      <c r="E400" s="71">
        <v>0</v>
      </c>
    </row>
    <row r="401" spans="2:5">
      <c r="B401" s="114"/>
      <c r="C401" s="58" t="s">
        <v>245</v>
      </c>
      <c r="D401" s="72">
        <v>2</v>
      </c>
      <c r="E401" s="71">
        <v>0</v>
      </c>
    </row>
    <row r="402" spans="2:5">
      <c r="B402" s="114"/>
      <c r="C402" s="58" t="s">
        <v>246</v>
      </c>
      <c r="D402" s="72">
        <v>3</v>
      </c>
      <c r="E402" s="71">
        <v>0</v>
      </c>
    </row>
    <row r="403" spans="2:5">
      <c r="B403" s="114"/>
      <c r="C403" s="58" t="s">
        <v>247</v>
      </c>
      <c r="D403" s="72">
        <v>6</v>
      </c>
      <c r="E403" s="71">
        <v>1E-3</v>
      </c>
    </row>
    <row r="404" spans="2:5">
      <c r="B404" s="114"/>
      <c r="C404" s="58" t="s">
        <v>167</v>
      </c>
      <c r="D404" s="72">
        <v>9</v>
      </c>
      <c r="E404" s="71">
        <v>1E-3</v>
      </c>
    </row>
    <row r="405" spans="2:5">
      <c r="B405" s="114"/>
      <c r="C405" s="58" t="s">
        <v>248</v>
      </c>
      <c r="D405" s="72">
        <v>1</v>
      </c>
      <c r="E405" s="71">
        <v>0</v>
      </c>
    </row>
    <row r="406" spans="2:5">
      <c r="B406" s="114"/>
      <c r="C406" s="58" t="s">
        <v>249</v>
      </c>
      <c r="D406" s="72">
        <v>3</v>
      </c>
      <c r="E406" s="71">
        <v>0</v>
      </c>
    </row>
    <row r="407" spans="2:5">
      <c r="B407" s="114"/>
      <c r="C407" s="58" t="s">
        <v>250</v>
      </c>
      <c r="D407" s="72">
        <v>2</v>
      </c>
      <c r="E407" s="71">
        <v>0</v>
      </c>
    </row>
    <row r="408" spans="2:5">
      <c r="B408" s="114"/>
      <c r="C408" s="58" t="s">
        <v>171</v>
      </c>
      <c r="D408" s="72">
        <v>32</v>
      </c>
      <c r="E408" s="71">
        <v>3.0000000000000001E-3</v>
      </c>
    </row>
    <row r="409" spans="2:5">
      <c r="B409" s="114"/>
      <c r="C409" s="58" t="s">
        <v>173</v>
      </c>
      <c r="D409" s="72">
        <v>4</v>
      </c>
      <c r="E409" s="71">
        <v>0</v>
      </c>
    </row>
    <row r="410" spans="2:5">
      <c r="B410" s="114"/>
      <c r="C410" s="58" t="s">
        <v>174</v>
      </c>
      <c r="D410" s="72">
        <v>28</v>
      </c>
      <c r="E410" s="71">
        <v>2E-3</v>
      </c>
    </row>
    <row r="411" spans="2:5">
      <c r="B411" s="114"/>
      <c r="C411" s="58" t="s">
        <v>179</v>
      </c>
      <c r="D411" s="72">
        <v>3</v>
      </c>
      <c r="E411" s="71">
        <v>0</v>
      </c>
    </row>
    <row r="412" spans="2:5">
      <c r="B412" s="114"/>
      <c r="C412" s="58" t="s">
        <v>180</v>
      </c>
      <c r="D412" s="72">
        <v>2</v>
      </c>
      <c r="E412" s="71">
        <v>0</v>
      </c>
    </row>
    <row r="413" spans="2:5">
      <c r="B413" s="115"/>
      <c r="C413" s="73" t="s">
        <v>267</v>
      </c>
      <c r="D413" s="78">
        <v>97</v>
      </c>
      <c r="E413" s="75">
        <v>8.0000000000000002E-3</v>
      </c>
    </row>
    <row r="414" spans="2:5">
      <c r="B414" s="113" t="s">
        <v>73</v>
      </c>
      <c r="C414" s="58" t="s">
        <v>160</v>
      </c>
      <c r="D414" s="72">
        <v>1</v>
      </c>
      <c r="E414" s="71">
        <v>0</v>
      </c>
    </row>
    <row r="415" spans="2:5">
      <c r="B415" s="114"/>
      <c r="C415" s="58" t="s">
        <v>245</v>
      </c>
      <c r="D415" s="72">
        <v>3</v>
      </c>
      <c r="E415" s="71">
        <v>0</v>
      </c>
    </row>
    <row r="416" spans="2:5">
      <c r="B416" s="114"/>
      <c r="C416" s="58" t="s">
        <v>247</v>
      </c>
      <c r="D416" s="72">
        <v>4</v>
      </c>
      <c r="E416" s="71">
        <v>0</v>
      </c>
    </row>
    <row r="417" spans="2:5">
      <c r="B417" s="114"/>
      <c r="C417" s="58" t="s">
        <v>167</v>
      </c>
      <c r="D417" s="72">
        <v>5</v>
      </c>
      <c r="E417" s="71">
        <v>0</v>
      </c>
    </row>
    <row r="418" spans="2:5">
      <c r="B418" s="114"/>
      <c r="C418" s="58" t="s">
        <v>248</v>
      </c>
      <c r="D418" s="72">
        <v>1</v>
      </c>
      <c r="E418" s="71">
        <v>0</v>
      </c>
    </row>
    <row r="419" spans="2:5">
      <c r="B419" s="114"/>
      <c r="C419" s="58" t="s">
        <v>249</v>
      </c>
      <c r="D419" s="72">
        <v>1</v>
      </c>
      <c r="E419" s="71">
        <v>0</v>
      </c>
    </row>
    <row r="420" spans="2:5">
      <c r="B420" s="114"/>
      <c r="C420" s="58" t="s">
        <v>250</v>
      </c>
      <c r="D420" s="72">
        <v>1</v>
      </c>
      <c r="E420" s="71">
        <v>0</v>
      </c>
    </row>
    <row r="421" spans="2:5">
      <c r="B421" s="114"/>
      <c r="C421" s="58" t="s">
        <v>171</v>
      </c>
      <c r="D421" s="72">
        <v>10</v>
      </c>
      <c r="E421" s="71">
        <v>1E-3</v>
      </c>
    </row>
    <row r="422" spans="2:5">
      <c r="B422" s="114"/>
      <c r="C422" s="58" t="s">
        <v>172</v>
      </c>
      <c r="D422" s="72">
        <v>2</v>
      </c>
      <c r="E422" s="71">
        <v>0</v>
      </c>
    </row>
    <row r="423" spans="2:5">
      <c r="B423" s="114"/>
      <c r="C423" s="58" t="s">
        <v>173</v>
      </c>
      <c r="D423" s="72">
        <v>3</v>
      </c>
      <c r="E423" s="71">
        <v>0</v>
      </c>
    </row>
    <row r="424" spans="2:5">
      <c r="B424" s="114"/>
      <c r="C424" s="58" t="s">
        <v>174</v>
      </c>
      <c r="D424" s="72">
        <v>9</v>
      </c>
      <c r="E424" s="71">
        <v>1E-3</v>
      </c>
    </row>
    <row r="425" spans="2:5">
      <c r="B425" s="114"/>
      <c r="C425" s="58" t="s">
        <v>251</v>
      </c>
      <c r="D425" s="72">
        <v>1</v>
      </c>
      <c r="E425" s="71">
        <v>0</v>
      </c>
    </row>
    <row r="426" spans="2:5">
      <c r="B426" s="114"/>
      <c r="C426" s="58" t="s">
        <v>254</v>
      </c>
      <c r="D426" s="72">
        <v>1</v>
      </c>
      <c r="E426" s="71">
        <v>0</v>
      </c>
    </row>
    <row r="427" spans="2:5">
      <c r="B427" s="114"/>
      <c r="C427" s="58" t="s">
        <v>179</v>
      </c>
      <c r="D427" s="72">
        <v>2</v>
      </c>
      <c r="E427" s="71">
        <v>0</v>
      </c>
    </row>
    <row r="428" spans="2:5">
      <c r="B428" s="114"/>
      <c r="C428" s="58" t="s">
        <v>180</v>
      </c>
      <c r="D428" s="72">
        <v>7</v>
      </c>
      <c r="E428" s="71">
        <v>1E-3</v>
      </c>
    </row>
    <row r="429" spans="2:5">
      <c r="B429" s="115"/>
      <c r="C429" s="73" t="s">
        <v>267</v>
      </c>
      <c r="D429" s="78">
        <v>51</v>
      </c>
      <c r="E429" s="75">
        <v>4.0000000000000001E-3</v>
      </c>
    </row>
    <row r="430" spans="2:5">
      <c r="B430" s="113" t="s">
        <v>59</v>
      </c>
      <c r="C430" s="58" t="s">
        <v>160</v>
      </c>
      <c r="D430" s="72">
        <v>10</v>
      </c>
      <c r="E430" s="71">
        <v>1E-3</v>
      </c>
    </row>
    <row r="431" spans="2:5">
      <c r="B431" s="114"/>
      <c r="C431" s="58" t="s">
        <v>242</v>
      </c>
      <c r="D431" s="72">
        <v>3</v>
      </c>
      <c r="E431" s="71">
        <v>0</v>
      </c>
    </row>
    <row r="432" spans="2:5">
      <c r="B432" s="114"/>
      <c r="C432" s="58" t="s">
        <v>243</v>
      </c>
      <c r="D432" s="72">
        <v>4</v>
      </c>
      <c r="E432" s="71">
        <v>0</v>
      </c>
    </row>
    <row r="433" spans="2:5">
      <c r="B433" s="114"/>
      <c r="C433" s="58" t="s">
        <v>244</v>
      </c>
      <c r="D433" s="72">
        <v>10</v>
      </c>
      <c r="E433" s="71">
        <v>1E-3</v>
      </c>
    </row>
    <row r="434" spans="2:5">
      <c r="B434" s="114"/>
      <c r="C434" s="58" t="s">
        <v>245</v>
      </c>
      <c r="D434" s="72">
        <v>4</v>
      </c>
      <c r="E434" s="71">
        <v>0</v>
      </c>
    </row>
    <row r="435" spans="2:5">
      <c r="B435" s="114"/>
      <c r="C435" s="58" t="s">
        <v>246</v>
      </c>
      <c r="D435" s="72">
        <v>7</v>
      </c>
      <c r="E435" s="71">
        <v>1E-3</v>
      </c>
    </row>
    <row r="436" spans="2:5">
      <c r="B436" s="114"/>
      <c r="C436" s="58" t="s">
        <v>247</v>
      </c>
      <c r="D436" s="72">
        <v>22</v>
      </c>
      <c r="E436" s="71">
        <v>2E-3</v>
      </c>
    </row>
    <row r="437" spans="2:5">
      <c r="B437" s="114"/>
      <c r="C437" s="58" t="s">
        <v>167</v>
      </c>
      <c r="D437" s="72">
        <v>38</v>
      </c>
      <c r="E437" s="71">
        <v>3.0000000000000001E-3</v>
      </c>
    </row>
    <row r="438" spans="2:5">
      <c r="B438" s="114"/>
      <c r="C438" s="58" t="s">
        <v>248</v>
      </c>
      <c r="D438" s="72">
        <v>1</v>
      </c>
      <c r="E438" s="71">
        <v>0</v>
      </c>
    </row>
    <row r="439" spans="2:5">
      <c r="B439" s="114"/>
      <c r="C439" s="58" t="s">
        <v>249</v>
      </c>
      <c r="D439" s="72">
        <v>6</v>
      </c>
      <c r="E439" s="71">
        <v>1E-3</v>
      </c>
    </row>
    <row r="440" spans="2:5">
      <c r="B440" s="114"/>
      <c r="C440" s="58" t="s">
        <v>250</v>
      </c>
      <c r="D440" s="72">
        <v>3</v>
      </c>
      <c r="E440" s="71">
        <v>0</v>
      </c>
    </row>
    <row r="441" spans="2:5">
      <c r="B441" s="114"/>
      <c r="C441" s="58" t="s">
        <v>171</v>
      </c>
      <c r="D441" s="72">
        <v>59</v>
      </c>
      <c r="E441" s="71">
        <v>5.0000000000000001E-3</v>
      </c>
    </row>
    <row r="442" spans="2:5">
      <c r="B442" s="114"/>
      <c r="C442" s="58" t="s">
        <v>172</v>
      </c>
      <c r="D442" s="72">
        <v>6</v>
      </c>
      <c r="E442" s="71">
        <v>1E-3</v>
      </c>
    </row>
    <row r="443" spans="2:5">
      <c r="B443" s="114"/>
      <c r="C443" s="58" t="s">
        <v>173</v>
      </c>
      <c r="D443" s="72">
        <v>14</v>
      </c>
      <c r="E443" s="71">
        <v>1E-3</v>
      </c>
    </row>
    <row r="444" spans="2:5">
      <c r="B444" s="114"/>
      <c r="C444" s="58" t="s">
        <v>174</v>
      </c>
      <c r="D444" s="72">
        <v>44</v>
      </c>
      <c r="E444" s="71">
        <v>4.0000000000000001E-3</v>
      </c>
    </row>
    <row r="445" spans="2:5">
      <c r="B445" s="114"/>
      <c r="C445" s="58" t="s">
        <v>251</v>
      </c>
      <c r="D445" s="72">
        <v>1</v>
      </c>
      <c r="E445" s="71">
        <v>0</v>
      </c>
    </row>
    <row r="446" spans="2:5">
      <c r="B446" s="114"/>
      <c r="C446" s="58" t="s">
        <v>179</v>
      </c>
      <c r="D446" s="72">
        <v>3</v>
      </c>
      <c r="E446" s="71">
        <v>0</v>
      </c>
    </row>
    <row r="447" spans="2:5">
      <c r="B447" s="114"/>
      <c r="C447" s="58" t="s">
        <v>180</v>
      </c>
      <c r="D447" s="72">
        <v>9</v>
      </c>
      <c r="E447" s="71">
        <v>1E-3</v>
      </c>
    </row>
    <row r="448" spans="2:5">
      <c r="B448" s="115"/>
      <c r="C448" s="73" t="s">
        <v>267</v>
      </c>
      <c r="D448" s="78">
        <v>244</v>
      </c>
      <c r="E448" s="75">
        <v>0.02</v>
      </c>
    </row>
    <row r="449" spans="2:5">
      <c r="B449" s="113" t="s">
        <v>48</v>
      </c>
      <c r="C449" s="58" t="s">
        <v>160</v>
      </c>
      <c r="D449" s="72">
        <v>4</v>
      </c>
      <c r="E449" s="71">
        <v>0</v>
      </c>
    </row>
    <row r="450" spans="2:5">
      <c r="B450" s="114"/>
      <c r="C450" s="58" t="s">
        <v>242</v>
      </c>
      <c r="D450" s="72">
        <v>11</v>
      </c>
      <c r="E450" s="71">
        <v>1E-3</v>
      </c>
    </row>
    <row r="451" spans="2:5">
      <c r="B451" s="114"/>
      <c r="C451" s="58" t="s">
        <v>243</v>
      </c>
      <c r="D451" s="72">
        <v>4</v>
      </c>
      <c r="E451" s="71">
        <v>0</v>
      </c>
    </row>
    <row r="452" spans="2:5">
      <c r="B452" s="114"/>
      <c r="C452" s="58" t="s">
        <v>244</v>
      </c>
      <c r="D452" s="72">
        <v>17</v>
      </c>
      <c r="E452" s="71">
        <v>1E-3</v>
      </c>
    </row>
    <row r="453" spans="2:5">
      <c r="B453" s="114"/>
      <c r="C453" s="58" t="s">
        <v>245</v>
      </c>
      <c r="D453" s="72">
        <v>13</v>
      </c>
      <c r="E453" s="71">
        <v>1E-3</v>
      </c>
    </row>
    <row r="454" spans="2:5">
      <c r="B454" s="114"/>
      <c r="C454" s="58" t="s">
        <v>246</v>
      </c>
      <c r="D454" s="72">
        <v>24</v>
      </c>
      <c r="E454" s="71">
        <v>2E-3</v>
      </c>
    </row>
    <row r="455" spans="2:5">
      <c r="B455" s="114"/>
      <c r="C455" s="58" t="s">
        <v>247</v>
      </c>
      <c r="D455" s="72">
        <v>72</v>
      </c>
      <c r="E455" s="71">
        <v>6.0000000000000001E-3</v>
      </c>
    </row>
    <row r="456" spans="2:5">
      <c r="B456" s="114"/>
      <c r="C456" s="58" t="s">
        <v>167</v>
      </c>
      <c r="D456" s="72">
        <v>121</v>
      </c>
      <c r="E456" s="71">
        <v>0.01</v>
      </c>
    </row>
    <row r="457" spans="2:5">
      <c r="B457" s="114"/>
      <c r="C457" s="58" t="s">
        <v>248</v>
      </c>
      <c r="D457" s="72">
        <v>20</v>
      </c>
      <c r="E457" s="71">
        <v>2E-3</v>
      </c>
    </row>
    <row r="458" spans="2:5">
      <c r="B458" s="114"/>
      <c r="C458" s="58" t="s">
        <v>249</v>
      </c>
      <c r="D458" s="72">
        <v>43</v>
      </c>
      <c r="E458" s="71">
        <v>4.0000000000000001E-3</v>
      </c>
    </row>
    <row r="459" spans="2:5">
      <c r="B459" s="114"/>
      <c r="C459" s="58" t="s">
        <v>250</v>
      </c>
      <c r="D459" s="72">
        <v>60</v>
      </c>
      <c r="E459" s="71">
        <v>5.0000000000000001E-3</v>
      </c>
    </row>
    <row r="460" spans="2:5">
      <c r="B460" s="114"/>
      <c r="C460" s="58" t="s">
        <v>171</v>
      </c>
      <c r="D460" s="72">
        <v>385</v>
      </c>
      <c r="E460" s="71">
        <v>3.2000000000000001E-2</v>
      </c>
    </row>
    <row r="461" spans="2:5">
      <c r="B461" s="114"/>
      <c r="C461" s="58" t="s">
        <v>172</v>
      </c>
      <c r="D461" s="72">
        <v>30</v>
      </c>
      <c r="E461" s="71">
        <v>3.0000000000000001E-3</v>
      </c>
    </row>
    <row r="462" spans="2:5">
      <c r="B462" s="114"/>
      <c r="C462" s="58" t="s">
        <v>173</v>
      </c>
      <c r="D462" s="72">
        <v>145</v>
      </c>
      <c r="E462" s="71">
        <v>1.2E-2</v>
      </c>
    </row>
    <row r="463" spans="2:5">
      <c r="B463" s="114"/>
      <c r="C463" s="58" t="s">
        <v>174</v>
      </c>
      <c r="D463" s="72">
        <v>450</v>
      </c>
      <c r="E463" s="71">
        <v>3.7999999999999999E-2</v>
      </c>
    </row>
    <row r="464" spans="2:5">
      <c r="B464" s="114"/>
      <c r="C464" s="58" t="s">
        <v>251</v>
      </c>
      <c r="D464" s="72">
        <v>6</v>
      </c>
      <c r="E464" s="71">
        <v>1E-3</v>
      </c>
    </row>
    <row r="465" spans="2:5">
      <c r="B465" s="114"/>
      <c r="C465" s="58" t="s">
        <v>252</v>
      </c>
      <c r="D465" s="72">
        <v>13</v>
      </c>
      <c r="E465" s="71">
        <v>1E-3</v>
      </c>
    </row>
    <row r="466" spans="2:5">
      <c r="B466" s="114"/>
      <c r="C466" s="58" t="s">
        <v>253</v>
      </c>
      <c r="D466" s="72">
        <v>14</v>
      </c>
      <c r="E466" s="71">
        <v>1E-3</v>
      </c>
    </row>
    <row r="467" spans="2:5">
      <c r="B467" s="114"/>
      <c r="C467" s="58" t="s">
        <v>254</v>
      </c>
      <c r="D467" s="72">
        <v>9</v>
      </c>
      <c r="E467" s="71">
        <v>1E-3</v>
      </c>
    </row>
    <row r="468" spans="2:5">
      <c r="B468" s="114"/>
      <c r="C468" s="58" t="s">
        <v>179</v>
      </c>
      <c r="D468" s="72">
        <v>34</v>
      </c>
      <c r="E468" s="71">
        <v>3.0000000000000001E-3</v>
      </c>
    </row>
    <row r="469" spans="2:5">
      <c r="B469" s="114"/>
      <c r="C469" s="58" t="s">
        <v>180</v>
      </c>
      <c r="D469" s="72">
        <v>105</v>
      </c>
      <c r="E469" s="71">
        <v>8.9999999999999993E-3</v>
      </c>
    </row>
    <row r="470" spans="2:5">
      <c r="B470" s="114"/>
      <c r="C470" s="58" t="s">
        <v>181</v>
      </c>
      <c r="D470" s="72">
        <v>2</v>
      </c>
      <c r="E470" s="71">
        <v>0</v>
      </c>
    </row>
    <row r="471" spans="2:5">
      <c r="B471" s="114"/>
      <c r="C471" s="58" t="s">
        <v>182</v>
      </c>
      <c r="D471" s="72">
        <v>4</v>
      </c>
      <c r="E471" s="71">
        <v>0</v>
      </c>
    </row>
    <row r="472" spans="2:5">
      <c r="B472" s="114"/>
      <c r="C472" s="58" t="s">
        <v>183</v>
      </c>
      <c r="D472" s="72">
        <v>1</v>
      </c>
      <c r="E472" s="71">
        <v>0</v>
      </c>
    </row>
    <row r="473" spans="2:5">
      <c r="B473" s="115"/>
      <c r="C473" s="73" t="s">
        <v>267</v>
      </c>
      <c r="D473" s="78">
        <v>1587</v>
      </c>
      <c r="E473" s="75">
        <v>0.13200000000000001</v>
      </c>
    </row>
    <row r="474" spans="2:5">
      <c r="B474" s="113" t="s">
        <v>75</v>
      </c>
      <c r="C474" s="58" t="s">
        <v>160</v>
      </c>
      <c r="D474" s="72">
        <v>1</v>
      </c>
      <c r="E474" s="71">
        <v>0</v>
      </c>
    </row>
    <row r="475" spans="2:5">
      <c r="B475" s="114"/>
      <c r="C475" s="58" t="s">
        <v>243</v>
      </c>
      <c r="D475" s="72">
        <v>1</v>
      </c>
      <c r="E475" s="71">
        <v>0</v>
      </c>
    </row>
    <row r="476" spans="2:5">
      <c r="B476" s="114"/>
      <c r="C476" s="58" t="s">
        <v>244</v>
      </c>
      <c r="D476" s="72">
        <v>3</v>
      </c>
      <c r="E476" s="71">
        <v>0</v>
      </c>
    </row>
    <row r="477" spans="2:5">
      <c r="B477" s="114"/>
      <c r="C477" s="58" t="s">
        <v>247</v>
      </c>
      <c r="D477" s="72">
        <v>4</v>
      </c>
      <c r="E477" s="71">
        <v>0</v>
      </c>
    </row>
    <row r="478" spans="2:5">
      <c r="B478" s="114"/>
      <c r="C478" s="58" t="s">
        <v>167</v>
      </c>
      <c r="D478" s="72">
        <v>5</v>
      </c>
      <c r="E478" s="71">
        <v>0</v>
      </c>
    </row>
    <row r="479" spans="2:5">
      <c r="B479" s="114"/>
      <c r="C479" s="58" t="s">
        <v>248</v>
      </c>
      <c r="D479" s="72">
        <v>3</v>
      </c>
      <c r="E479" s="71">
        <v>0</v>
      </c>
    </row>
    <row r="480" spans="2:5">
      <c r="B480" s="114"/>
      <c r="C480" s="58" t="s">
        <v>171</v>
      </c>
      <c r="D480" s="72">
        <v>15</v>
      </c>
      <c r="E480" s="71">
        <v>1E-3</v>
      </c>
    </row>
    <row r="481" spans="2:5">
      <c r="B481" s="114"/>
      <c r="C481" s="58" t="s">
        <v>172</v>
      </c>
      <c r="D481" s="72">
        <v>3</v>
      </c>
      <c r="E481" s="71">
        <v>0</v>
      </c>
    </row>
    <row r="482" spans="2:5">
      <c r="B482" s="114"/>
      <c r="C482" s="58" t="s">
        <v>173</v>
      </c>
      <c r="D482" s="72">
        <v>7</v>
      </c>
      <c r="E482" s="71">
        <v>1E-3</v>
      </c>
    </row>
    <row r="483" spans="2:5">
      <c r="B483" s="114"/>
      <c r="C483" s="58" t="s">
        <v>174</v>
      </c>
      <c r="D483" s="72">
        <v>14</v>
      </c>
      <c r="E483" s="71">
        <v>1E-3</v>
      </c>
    </row>
    <row r="484" spans="2:5">
      <c r="B484" s="114"/>
      <c r="C484" s="58" t="s">
        <v>179</v>
      </c>
      <c r="D484" s="72">
        <v>2</v>
      </c>
      <c r="E484" s="71">
        <v>0</v>
      </c>
    </row>
    <row r="485" spans="2:5">
      <c r="B485" s="114"/>
      <c r="C485" s="58" t="s">
        <v>180</v>
      </c>
      <c r="D485" s="72">
        <v>10</v>
      </c>
      <c r="E485" s="71">
        <v>1E-3</v>
      </c>
    </row>
    <row r="486" spans="2:5">
      <c r="B486" s="115"/>
      <c r="C486" s="73" t="s">
        <v>267</v>
      </c>
      <c r="D486" s="78">
        <v>68</v>
      </c>
      <c r="E486" s="75">
        <v>6.0000000000000001E-3</v>
      </c>
    </row>
    <row r="487" spans="2:5">
      <c r="B487" s="113" t="s">
        <v>92</v>
      </c>
      <c r="C487" s="58" t="s">
        <v>167</v>
      </c>
      <c r="D487" s="72">
        <v>4</v>
      </c>
      <c r="E487" s="71">
        <v>0</v>
      </c>
    </row>
    <row r="488" spans="2:5">
      <c r="B488" s="114"/>
      <c r="C488" s="58" t="s">
        <v>250</v>
      </c>
      <c r="D488" s="72">
        <v>1</v>
      </c>
      <c r="E488" s="71">
        <v>0</v>
      </c>
    </row>
    <row r="489" spans="2:5">
      <c r="B489" s="114"/>
      <c r="C489" s="58" t="s">
        <v>171</v>
      </c>
      <c r="D489" s="72">
        <v>5</v>
      </c>
      <c r="E489" s="71">
        <v>0</v>
      </c>
    </row>
    <row r="490" spans="2:5">
      <c r="B490" s="114"/>
      <c r="C490" s="58" t="s">
        <v>173</v>
      </c>
      <c r="D490" s="72">
        <v>2</v>
      </c>
      <c r="E490" s="71">
        <v>0</v>
      </c>
    </row>
    <row r="491" spans="2:5">
      <c r="B491" s="114"/>
      <c r="C491" s="58" t="s">
        <v>174</v>
      </c>
      <c r="D491" s="72">
        <v>6</v>
      </c>
      <c r="E491" s="71">
        <v>1E-3</v>
      </c>
    </row>
    <row r="492" spans="2:5">
      <c r="B492" s="114"/>
      <c r="C492" s="58" t="s">
        <v>180</v>
      </c>
      <c r="D492" s="72">
        <v>1</v>
      </c>
      <c r="E492" s="71">
        <v>0</v>
      </c>
    </row>
    <row r="493" spans="2:5">
      <c r="B493" s="115"/>
      <c r="C493" s="73" t="s">
        <v>267</v>
      </c>
      <c r="D493" s="78">
        <v>19</v>
      </c>
      <c r="E493" s="75">
        <v>2E-3</v>
      </c>
    </row>
    <row r="494" spans="2:5">
      <c r="B494" s="113" t="s">
        <v>61</v>
      </c>
      <c r="C494" s="58" t="s">
        <v>160</v>
      </c>
      <c r="D494" s="72">
        <v>3</v>
      </c>
      <c r="E494" s="71">
        <v>0</v>
      </c>
    </row>
    <row r="495" spans="2:5">
      <c r="B495" s="114"/>
      <c r="C495" s="58" t="s">
        <v>243</v>
      </c>
      <c r="D495" s="72">
        <v>2</v>
      </c>
      <c r="E495" s="71">
        <v>0</v>
      </c>
    </row>
    <row r="496" spans="2:5">
      <c r="B496" s="114"/>
      <c r="C496" s="58" t="s">
        <v>244</v>
      </c>
      <c r="D496" s="72">
        <v>2</v>
      </c>
      <c r="E496" s="71">
        <v>0</v>
      </c>
    </row>
    <row r="497" spans="2:5">
      <c r="B497" s="114"/>
      <c r="C497" s="58" t="s">
        <v>245</v>
      </c>
      <c r="D497" s="72">
        <v>1</v>
      </c>
      <c r="E497" s="71">
        <v>0</v>
      </c>
    </row>
    <row r="498" spans="2:5">
      <c r="B498" s="114"/>
      <c r="C498" s="58" t="s">
        <v>246</v>
      </c>
      <c r="D498" s="72">
        <v>1</v>
      </c>
      <c r="E498" s="71">
        <v>0</v>
      </c>
    </row>
    <row r="499" spans="2:5">
      <c r="B499" s="114"/>
      <c r="C499" s="58" t="s">
        <v>247</v>
      </c>
      <c r="D499" s="72">
        <v>7</v>
      </c>
      <c r="E499" s="71">
        <v>1E-3</v>
      </c>
    </row>
    <row r="500" spans="2:5">
      <c r="B500" s="114"/>
      <c r="C500" s="58" t="s">
        <v>167</v>
      </c>
      <c r="D500" s="72">
        <v>25</v>
      </c>
      <c r="E500" s="71">
        <v>2E-3</v>
      </c>
    </row>
    <row r="501" spans="2:5">
      <c r="B501" s="114"/>
      <c r="C501" s="58" t="s">
        <v>248</v>
      </c>
      <c r="D501" s="72">
        <v>1</v>
      </c>
      <c r="E501" s="71">
        <v>0</v>
      </c>
    </row>
    <row r="502" spans="2:5">
      <c r="B502" s="114"/>
      <c r="C502" s="58" t="s">
        <v>249</v>
      </c>
      <c r="D502" s="72">
        <v>8</v>
      </c>
      <c r="E502" s="71">
        <v>1E-3</v>
      </c>
    </row>
    <row r="503" spans="2:5">
      <c r="B503" s="114"/>
      <c r="C503" s="58" t="s">
        <v>250</v>
      </c>
      <c r="D503" s="72">
        <v>7</v>
      </c>
      <c r="E503" s="71">
        <v>1E-3</v>
      </c>
    </row>
    <row r="504" spans="2:5">
      <c r="B504" s="114"/>
      <c r="C504" s="58" t="s">
        <v>171</v>
      </c>
      <c r="D504" s="72">
        <v>59</v>
      </c>
      <c r="E504" s="71">
        <v>5.0000000000000001E-3</v>
      </c>
    </row>
    <row r="505" spans="2:5">
      <c r="B505" s="114"/>
      <c r="C505" s="58" t="s">
        <v>172</v>
      </c>
      <c r="D505" s="72">
        <v>1</v>
      </c>
      <c r="E505" s="71">
        <v>0</v>
      </c>
    </row>
    <row r="506" spans="2:5">
      <c r="B506" s="114"/>
      <c r="C506" s="58" t="s">
        <v>173</v>
      </c>
      <c r="D506" s="72">
        <v>11</v>
      </c>
      <c r="E506" s="71">
        <v>1E-3</v>
      </c>
    </row>
    <row r="507" spans="2:5">
      <c r="B507" s="114"/>
      <c r="C507" s="58" t="s">
        <v>174</v>
      </c>
      <c r="D507" s="72">
        <v>36</v>
      </c>
      <c r="E507" s="71">
        <v>3.0000000000000001E-3</v>
      </c>
    </row>
    <row r="508" spans="2:5">
      <c r="B508" s="114"/>
      <c r="C508" s="58" t="s">
        <v>179</v>
      </c>
      <c r="D508" s="72">
        <v>1</v>
      </c>
      <c r="E508" s="71">
        <v>0</v>
      </c>
    </row>
    <row r="509" spans="2:5">
      <c r="B509" s="114"/>
      <c r="C509" s="58" t="s">
        <v>180</v>
      </c>
      <c r="D509" s="72">
        <v>11</v>
      </c>
      <c r="E509" s="71">
        <v>1E-3</v>
      </c>
    </row>
    <row r="510" spans="2:5">
      <c r="B510" s="115"/>
      <c r="C510" s="73" t="s">
        <v>267</v>
      </c>
      <c r="D510" s="78">
        <v>176</v>
      </c>
      <c r="E510" s="75">
        <v>1.4999999999999999E-2</v>
      </c>
    </row>
    <row r="511" spans="2:5">
      <c r="B511" s="113" t="s">
        <v>51</v>
      </c>
      <c r="C511" s="58" t="s">
        <v>160</v>
      </c>
      <c r="D511" s="72">
        <v>3</v>
      </c>
      <c r="E511" s="71">
        <v>0</v>
      </c>
    </row>
    <row r="512" spans="2:5">
      <c r="B512" s="114"/>
      <c r="C512" s="58" t="s">
        <v>242</v>
      </c>
      <c r="D512" s="72">
        <v>4</v>
      </c>
      <c r="E512" s="71">
        <v>0</v>
      </c>
    </row>
    <row r="513" spans="2:5">
      <c r="B513" s="114"/>
      <c r="C513" s="58" t="s">
        <v>243</v>
      </c>
      <c r="D513" s="72">
        <v>3</v>
      </c>
      <c r="E513" s="71">
        <v>0</v>
      </c>
    </row>
    <row r="514" spans="2:5">
      <c r="B514" s="114"/>
      <c r="C514" s="58" t="s">
        <v>244</v>
      </c>
      <c r="D514" s="72">
        <v>6</v>
      </c>
      <c r="E514" s="71">
        <v>1E-3</v>
      </c>
    </row>
    <row r="515" spans="2:5">
      <c r="B515" s="114"/>
      <c r="C515" s="58" t="s">
        <v>245</v>
      </c>
      <c r="D515" s="72">
        <v>7</v>
      </c>
      <c r="E515" s="71">
        <v>1E-3</v>
      </c>
    </row>
    <row r="516" spans="2:5">
      <c r="B516" s="114"/>
      <c r="C516" s="58" t="s">
        <v>246</v>
      </c>
      <c r="D516" s="72">
        <v>6</v>
      </c>
      <c r="E516" s="71">
        <v>1E-3</v>
      </c>
    </row>
    <row r="517" spans="2:5">
      <c r="B517" s="114"/>
      <c r="C517" s="58" t="s">
        <v>247</v>
      </c>
      <c r="D517" s="72">
        <v>25</v>
      </c>
      <c r="E517" s="71">
        <v>2E-3</v>
      </c>
    </row>
    <row r="518" spans="2:5">
      <c r="B518" s="114"/>
      <c r="C518" s="58" t="s">
        <v>167</v>
      </c>
      <c r="D518" s="72">
        <v>91</v>
      </c>
      <c r="E518" s="71">
        <v>8.0000000000000002E-3</v>
      </c>
    </row>
    <row r="519" spans="2:5">
      <c r="B519" s="114"/>
      <c r="C519" s="58" t="s">
        <v>248</v>
      </c>
      <c r="D519" s="72">
        <v>10</v>
      </c>
      <c r="E519" s="71">
        <v>1E-3</v>
      </c>
    </row>
    <row r="520" spans="2:5">
      <c r="B520" s="114"/>
      <c r="C520" s="58" t="s">
        <v>249</v>
      </c>
      <c r="D520" s="72">
        <v>12</v>
      </c>
      <c r="E520" s="71">
        <v>1E-3</v>
      </c>
    </row>
    <row r="521" spans="2:5">
      <c r="B521" s="114"/>
      <c r="C521" s="58" t="s">
        <v>250</v>
      </c>
      <c r="D521" s="72">
        <v>32</v>
      </c>
      <c r="E521" s="71">
        <v>3.0000000000000001E-3</v>
      </c>
    </row>
    <row r="522" spans="2:5">
      <c r="B522" s="114"/>
      <c r="C522" s="58" t="s">
        <v>171</v>
      </c>
      <c r="D522" s="72">
        <v>125</v>
      </c>
      <c r="E522" s="71">
        <v>0.01</v>
      </c>
    </row>
    <row r="523" spans="2:5">
      <c r="B523" s="114"/>
      <c r="C523" s="58" t="s">
        <v>172</v>
      </c>
      <c r="D523" s="72">
        <v>16</v>
      </c>
      <c r="E523" s="71">
        <v>1E-3</v>
      </c>
    </row>
    <row r="524" spans="2:5">
      <c r="B524" s="114"/>
      <c r="C524" s="58" t="s">
        <v>173</v>
      </c>
      <c r="D524" s="72">
        <v>33</v>
      </c>
      <c r="E524" s="71">
        <v>3.0000000000000001E-3</v>
      </c>
    </row>
    <row r="525" spans="2:5">
      <c r="B525" s="114"/>
      <c r="C525" s="58" t="s">
        <v>174</v>
      </c>
      <c r="D525" s="72">
        <v>146</v>
      </c>
      <c r="E525" s="71">
        <v>1.2E-2</v>
      </c>
    </row>
    <row r="526" spans="2:5">
      <c r="B526" s="114"/>
      <c r="C526" s="58" t="s">
        <v>251</v>
      </c>
      <c r="D526" s="72">
        <v>2</v>
      </c>
      <c r="E526" s="71">
        <v>0</v>
      </c>
    </row>
    <row r="527" spans="2:5">
      <c r="B527" s="114"/>
      <c r="C527" s="58" t="s">
        <v>252</v>
      </c>
      <c r="D527" s="72">
        <v>4</v>
      </c>
      <c r="E527" s="71">
        <v>0</v>
      </c>
    </row>
    <row r="528" spans="2:5">
      <c r="B528" s="114"/>
      <c r="C528" s="58" t="s">
        <v>179</v>
      </c>
      <c r="D528" s="72">
        <v>10</v>
      </c>
      <c r="E528" s="71">
        <v>1E-3</v>
      </c>
    </row>
    <row r="529" spans="2:5">
      <c r="B529" s="114"/>
      <c r="C529" s="58" t="s">
        <v>180</v>
      </c>
      <c r="D529" s="72">
        <v>27</v>
      </c>
      <c r="E529" s="71">
        <v>2E-3</v>
      </c>
    </row>
    <row r="530" spans="2:5">
      <c r="B530" s="114"/>
      <c r="C530" s="58" t="s">
        <v>182</v>
      </c>
      <c r="D530" s="72">
        <v>2</v>
      </c>
      <c r="E530" s="71">
        <v>0</v>
      </c>
    </row>
    <row r="531" spans="2:5">
      <c r="B531" s="115"/>
      <c r="C531" s="73" t="s">
        <v>267</v>
      </c>
      <c r="D531" s="78">
        <v>564</v>
      </c>
      <c r="E531" s="75">
        <v>4.7E-2</v>
      </c>
    </row>
    <row r="532" spans="2:5">
      <c r="B532" s="113" t="s">
        <v>70</v>
      </c>
      <c r="C532" s="58" t="s">
        <v>243</v>
      </c>
      <c r="D532" s="72">
        <v>1</v>
      </c>
      <c r="E532" s="71">
        <v>0</v>
      </c>
    </row>
    <row r="533" spans="2:5">
      <c r="B533" s="114"/>
      <c r="C533" s="58" t="s">
        <v>246</v>
      </c>
      <c r="D533" s="72">
        <v>1</v>
      </c>
      <c r="E533" s="71">
        <v>0</v>
      </c>
    </row>
    <row r="534" spans="2:5">
      <c r="B534" s="114"/>
      <c r="C534" s="58" t="s">
        <v>247</v>
      </c>
      <c r="D534" s="72">
        <v>1</v>
      </c>
      <c r="E534" s="71">
        <v>0</v>
      </c>
    </row>
    <row r="535" spans="2:5">
      <c r="B535" s="114"/>
      <c r="C535" s="58" t="s">
        <v>167</v>
      </c>
      <c r="D535" s="72">
        <v>6</v>
      </c>
      <c r="E535" s="71">
        <v>1E-3</v>
      </c>
    </row>
    <row r="536" spans="2:5">
      <c r="B536" s="114"/>
      <c r="C536" s="58" t="s">
        <v>248</v>
      </c>
      <c r="D536" s="72">
        <v>2</v>
      </c>
      <c r="E536" s="71">
        <v>0</v>
      </c>
    </row>
    <row r="537" spans="2:5">
      <c r="B537" s="114"/>
      <c r="C537" s="58" t="s">
        <v>249</v>
      </c>
      <c r="D537" s="72">
        <v>2</v>
      </c>
      <c r="E537" s="71">
        <v>0</v>
      </c>
    </row>
    <row r="538" spans="2:5">
      <c r="B538" s="114"/>
      <c r="C538" s="58" t="s">
        <v>250</v>
      </c>
      <c r="D538" s="72">
        <v>2</v>
      </c>
      <c r="E538" s="71">
        <v>0</v>
      </c>
    </row>
    <row r="539" spans="2:5">
      <c r="B539" s="114"/>
      <c r="C539" s="58" t="s">
        <v>171</v>
      </c>
      <c r="D539" s="72">
        <v>24</v>
      </c>
      <c r="E539" s="71">
        <v>2E-3</v>
      </c>
    </row>
    <row r="540" spans="2:5">
      <c r="B540" s="114"/>
      <c r="C540" s="58" t="s">
        <v>172</v>
      </c>
      <c r="D540" s="72">
        <v>1</v>
      </c>
      <c r="E540" s="71">
        <v>0</v>
      </c>
    </row>
    <row r="541" spans="2:5">
      <c r="B541" s="114"/>
      <c r="C541" s="58" t="s">
        <v>173</v>
      </c>
      <c r="D541" s="72">
        <v>6</v>
      </c>
      <c r="E541" s="71">
        <v>1E-3</v>
      </c>
    </row>
    <row r="542" spans="2:5">
      <c r="B542" s="114"/>
      <c r="C542" s="58" t="s">
        <v>174</v>
      </c>
      <c r="D542" s="72">
        <v>23</v>
      </c>
      <c r="E542" s="71">
        <v>2E-3</v>
      </c>
    </row>
    <row r="543" spans="2:5">
      <c r="B543" s="114"/>
      <c r="C543" s="58" t="s">
        <v>251</v>
      </c>
      <c r="D543" s="72">
        <v>1</v>
      </c>
      <c r="E543" s="71">
        <v>0</v>
      </c>
    </row>
    <row r="544" spans="2:5">
      <c r="B544" s="114"/>
      <c r="C544" s="58" t="s">
        <v>254</v>
      </c>
      <c r="D544" s="72">
        <v>1</v>
      </c>
      <c r="E544" s="71">
        <v>0</v>
      </c>
    </row>
    <row r="545" spans="2:5">
      <c r="B545" s="114"/>
      <c r="C545" s="58" t="s">
        <v>179</v>
      </c>
      <c r="D545" s="72">
        <v>1</v>
      </c>
      <c r="E545" s="71">
        <v>0</v>
      </c>
    </row>
    <row r="546" spans="2:5">
      <c r="B546" s="114"/>
      <c r="C546" s="58" t="s">
        <v>180</v>
      </c>
      <c r="D546" s="72">
        <v>12</v>
      </c>
      <c r="E546" s="71">
        <v>1E-3</v>
      </c>
    </row>
    <row r="547" spans="2:5">
      <c r="B547" s="114"/>
      <c r="C547" s="58" t="s">
        <v>182</v>
      </c>
      <c r="D547" s="72">
        <v>1</v>
      </c>
      <c r="E547" s="71">
        <v>0</v>
      </c>
    </row>
    <row r="548" spans="2:5">
      <c r="B548" s="115"/>
      <c r="C548" s="73" t="s">
        <v>267</v>
      </c>
      <c r="D548" s="78">
        <v>85</v>
      </c>
      <c r="E548" s="75">
        <v>7.0000000000000001E-3</v>
      </c>
    </row>
    <row r="549" spans="2:5">
      <c r="B549" s="113" t="s">
        <v>63</v>
      </c>
      <c r="C549" s="58" t="s">
        <v>246</v>
      </c>
      <c r="D549" s="72">
        <v>2</v>
      </c>
      <c r="E549" s="71">
        <v>0</v>
      </c>
    </row>
    <row r="550" spans="2:5">
      <c r="B550" s="114"/>
      <c r="C550" s="58" t="s">
        <v>247</v>
      </c>
      <c r="D550" s="72">
        <v>12</v>
      </c>
      <c r="E550" s="71">
        <v>1E-3</v>
      </c>
    </row>
    <row r="551" spans="2:5">
      <c r="B551" s="114"/>
      <c r="C551" s="58" t="s">
        <v>167</v>
      </c>
      <c r="D551" s="72">
        <v>13</v>
      </c>
      <c r="E551" s="71">
        <v>1E-3</v>
      </c>
    </row>
    <row r="552" spans="2:5">
      <c r="B552" s="114"/>
      <c r="C552" s="58" t="s">
        <v>249</v>
      </c>
      <c r="D552" s="72">
        <v>5</v>
      </c>
      <c r="E552" s="71">
        <v>0</v>
      </c>
    </row>
    <row r="553" spans="2:5">
      <c r="B553" s="114"/>
      <c r="C553" s="58" t="s">
        <v>250</v>
      </c>
      <c r="D553" s="72">
        <v>8</v>
      </c>
      <c r="E553" s="71">
        <v>1E-3</v>
      </c>
    </row>
    <row r="554" spans="2:5">
      <c r="B554" s="114"/>
      <c r="C554" s="58" t="s">
        <v>171</v>
      </c>
      <c r="D554" s="72">
        <v>49</v>
      </c>
      <c r="E554" s="71">
        <v>4.0000000000000001E-3</v>
      </c>
    </row>
    <row r="555" spans="2:5">
      <c r="B555" s="114"/>
      <c r="C555" s="58" t="s">
        <v>172</v>
      </c>
      <c r="D555" s="72">
        <v>1</v>
      </c>
      <c r="E555" s="71">
        <v>0</v>
      </c>
    </row>
    <row r="556" spans="2:5">
      <c r="B556" s="114"/>
      <c r="C556" s="58" t="s">
        <v>173</v>
      </c>
      <c r="D556" s="72">
        <v>5</v>
      </c>
      <c r="E556" s="71">
        <v>0</v>
      </c>
    </row>
    <row r="557" spans="2:5">
      <c r="B557" s="114"/>
      <c r="C557" s="58" t="s">
        <v>174</v>
      </c>
      <c r="D557" s="72">
        <v>67</v>
      </c>
      <c r="E557" s="71">
        <v>6.0000000000000001E-3</v>
      </c>
    </row>
    <row r="558" spans="2:5">
      <c r="B558" s="114"/>
      <c r="C558" s="58" t="s">
        <v>252</v>
      </c>
      <c r="D558" s="72">
        <v>1</v>
      </c>
      <c r="E558" s="71">
        <v>0</v>
      </c>
    </row>
    <row r="559" spans="2:5">
      <c r="B559" s="114"/>
      <c r="C559" s="58" t="s">
        <v>253</v>
      </c>
      <c r="D559" s="72">
        <v>1</v>
      </c>
      <c r="E559" s="71">
        <v>0</v>
      </c>
    </row>
    <row r="560" spans="2:5">
      <c r="B560" s="114"/>
      <c r="C560" s="58" t="s">
        <v>179</v>
      </c>
      <c r="D560" s="72">
        <v>5</v>
      </c>
      <c r="E560" s="71">
        <v>0</v>
      </c>
    </row>
    <row r="561" spans="2:5">
      <c r="B561" s="114"/>
      <c r="C561" s="58" t="s">
        <v>180</v>
      </c>
      <c r="D561" s="72">
        <v>18</v>
      </c>
      <c r="E561" s="71">
        <v>2E-3</v>
      </c>
    </row>
    <row r="562" spans="2:5">
      <c r="B562" s="114"/>
      <c r="C562" s="58" t="s">
        <v>183</v>
      </c>
      <c r="D562" s="72">
        <v>1</v>
      </c>
      <c r="E562" s="71">
        <v>0</v>
      </c>
    </row>
    <row r="563" spans="2:5">
      <c r="B563" s="115"/>
      <c r="C563" s="73" t="s">
        <v>267</v>
      </c>
      <c r="D563" s="78">
        <v>188</v>
      </c>
      <c r="E563" s="75">
        <v>1.6E-2</v>
      </c>
    </row>
    <row r="564" spans="2:5">
      <c r="B564" s="113" t="s">
        <v>78</v>
      </c>
      <c r="C564" s="58" t="s">
        <v>244</v>
      </c>
      <c r="D564" s="72">
        <v>1</v>
      </c>
      <c r="E564" s="71">
        <v>0</v>
      </c>
    </row>
    <row r="565" spans="2:5">
      <c r="B565" s="114"/>
      <c r="C565" s="58" t="s">
        <v>247</v>
      </c>
      <c r="D565" s="72">
        <v>5</v>
      </c>
      <c r="E565" s="71">
        <v>0</v>
      </c>
    </row>
    <row r="566" spans="2:5">
      <c r="B566" s="114"/>
      <c r="C566" s="58" t="s">
        <v>167</v>
      </c>
      <c r="D566" s="72">
        <v>3</v>
      </c>
      <c r="E566" s="71">
        <v>0</v>
      </c>
    </row>
    <row r="567" spans="2:5">
      <c r="B567" s="114"/>
      <c r="C567" s="58" t="s">
        <v>248</v>
      </c>
      <c r="D567" s="72">
        <v>1</v>
      </c>
      <c r="E567" s="71">
        <v>0</v>
      </c>
    </row>
    <row r="568" spans="2:5">
      <c r="B568" s="114"/>
      <c r="C568" s="58" t="s">
        <v>250</v>
      </c>
      <c r="D568" s="72">
        <v>1</v>
      </c>
      <c r="E568" s="71">
        <v>0</v>
      </c>
    </row>
    <row r="569" spans="2:5">
      <c r="B569" s="114"/>
      <c r="C569" s="58" t="s">
        <v>171</v>
      </c>
      <c r="D569" s="72">
        <v>11</v>
      </c>
      <c r="E569" s="71">
        <v>1E-3</v>
      </c>
    </row>
    <row r="570" spans="2:5">
      <c r="B570" s="114"/>
      <c r="C570" s="58" t="s">
        <v>172</v>
      </c>
      <c r="D570" s="72">
        <v>2</v>
      </c>
      <c r="E570" s="71">
        <v>0</v>
      </c>
    </row>
    <row r="571" spans="2:5">
      <c r="B571" s="114"/>
      <c r="C571" s="58" t="s">
        <v>173</v>
      </c>
      <c r="D571" s="72">
        <v>2</v>
      </c>
      <c r="E571" s="71">
        <v>0</v>
      </c>
    </row>
    <row r="572" spans="2:5">
      <c r="B572" s="114"/>
      <c r="C572" s="58" t="s">
        <v>174</v>
      </c>
      <c r="D572" s="72">
        <v>17</v>
      </c>
      <c r="E572" s="71">
        <v>1E-3</v>
      </c>
    </row>
    <row r="573" spans="2:5">
      <c r="B573" s="114"/>
      <c r="C573" s="58" t="s">
        <v>180</v>
      </c>
      <c r="D573" s="72">
        <v>4</v>
      </c>
      <c r="E573" s="71">
        <v>0</v>
      </c>
    </row>
    <row r="574" spans="2:5">
      <c r="B574" s="114"/>
      <c r="C574" s="58" t="s">
        <v>182</v>
      </c>
      <c r="D574" s="72">
        <v>4</v>
      </c>
      <c r="E574" s="71">
        <v>0</v>
      </c>
    </row>
    <row r="575" spans="2:5">
      <c r="B575" s="115"/>
      <c r="C575" s="73" t="s">
        <v>267</v>
      </c>
      <c r="D575" s="78">
        <v>51</v>
      </c>
      <c r="E575" s="75">
        <v>4.0000000000000001E-3</v>
      </c>
    </row>
    <row r="576" spans="2:5">
      <c r="B576" s="113" t="s">
        <v>50</v>
      </c>
      <c r="C576" s="58" t="s">
        <v>160</v>
      </c>
      <c r="D576" s="72">
        <v>18</v>
      </c>
      <c r="E576" s="71">
        <v>2E-3</v>
      </c>
    </row>
    <row r="577" spans="2:5">
      <c r="B577" s="114"/>
      <c r="C577" s="58" t="s">
        <v>242</v>
      </c>
      <c r="D577" s="72">
        <v>4</v>
      </c>
      <c r="E577" s="71">
        <v>0</v>
      </c>
    </row>
    <row r="578" spans="2:5">
      <c r="B578" s="114"/>
      <c r="C578" s="58" t="s">
        <v>243</v>
      </c>
      <c r="D578" s="72">
        <v>12</v>
      </c>
      <c r="E578" s="71">
        <v>1E-3</v>
      </c>
    </row>
    <row r="579" spans="2:5">
      <c r="B579" s="114"/>
      <c r="C579" s="58" t="s">
        <v>244</v>
      </c>
      <c r="D579" s="72">
        <v>17</v>
      </c>
      <c r="E579" s="71">
        <v>1E-3</v>
      </c>
    </row>
    <row r="580" spans="2:5">
      <c r="B580" s="114"/>
      <c r="C580" s="58" t="s">
        <v>245</v>
      </c>
      <c r="D580" s="72">
        <v>14</v>
      </c>
      <c r="E580" s="71">
        <v>1E-3</v>
      </c>
    </row>
    <row r="581" spans="2:5">
      <c r="B581" s="114"/>
      <c r="C581" s="58" t="s">
        <v>246</v>
      </c>
      <c r="D581" s="72">
        <v>17</v>
      </c>
      <c r="E581" s="71">
        <v>1E-3</v>
      </c>
    </row>
    <row r="582" spans="2:5">
      <c r="B582" s="114"/>
      <c r="C582" s="58" t="s">
        <v>247</v>
      </c>
      <c r="D582" s="72">
        <v>93</v>
      </c>
      <c r="E582" s="71">
        <v>8.0000000000000002E-3</v>
      </c>
    </row>
    <row r="583" spans="2:5">
      <c r="B583" s="114"/>
      <c r="C583" s="58" t="s">
        <v>167</v>
      </c>
      <c r="D583" s="72">
        <v>108</v>
      </c>
      <c r="E583" s="71">
        <v>8.9999999999999993E-3</v>
      </c>
    </row>
    <row r="584" spans="2:5">
      <c r="B584" s="114"/>
      <c r="C584" s="58" t="s">
        <v>248</v>
      </c>
      <c r="D584" s="72">
        <v>12</v>
      </c>
      <c r="E584" s="71">
        <v>1E-3</v>
      </c>
    </row>
    <row r="585" spans="2:5">
      <c r="B585" s="114"/>
      <c r="C585" s="58" t="s">
        <v>249</v>
      </c>
      <c r="D585" s="72">
        <v>22</v>
      </c>
      <c r="E585" s="71">
        <v>2E-3</v>
      </c>
    </row>
    <row r="586" spans="2:5">
      <c r="B586" s="114"/>
      <c r="C586" s="58" t="s">
        <v>250</v>
      </c>
      <c r="D586" s="72">
        <v>60</v>
      </c>
      <c r="E586" s="71">
        <v>5.0000000000000001E-3</v>
      </c>
    </row>
    <row r="587" spans="2:5">
      <c r="B587" s="114"/>
      <c r="C587" s="58" t="s">
        <v>171</v>
      </c>
      <c r="D587" s="72">
        <v>254</v>
      </c>
      <c r="E587" s="71">
        <v>2.1000000000000001E-2</v>
      </c>
    </row>
    <row r="588" spans="2:5">
      <c r="B588" s="114"/>
      <c r="C588" s="58" t="s">
        <v>172</v>
      </c>
      <c r="D588" s="72">
        <v>48</v>
      </c>
      <c r="E588" s="71">
        <v>4.0000000000000001E-3</v>
      </c>
    </row>
    <row r="589" spans="2:5">
      <c r="B589" s="114"/>
      <c r="C589" s="58" t="s">
        <v>173</v>
      </c>
      <c r="D589" s="72">
        <v>104</v>
      </c>
      <c r="E589" s="71">
        <v>8.9999999999999993E-3</v>
      </c>
    </row>
    <row r="590" spans="2:5">
      <c r="B590" s="114"/>
      <c r="C590" s="58" t="s">
        <v>174</v>
      </c>
      <c r="D590" s="72">
        <v>347</v>
      </c>
      <c r="E590" s="71">
        <v>2.9000000000000001E-2</v>
      </c>
    </row>
    <row r="591" spans="2:5">
      <c r="B591" s="114"/>
      <c r="C591" s="58" t="s">
        <v>251</v>
      </c>
      <c r="D591" s="72">
        <v>3</v>
      </c>
      <c r="E591" s="71">
        <v>0</v>
      </c>
    </row>
    <row r="592" spans="2:5">
      <c r="B592" s="114"/>
      <c r="C592" s="58" t="s">
        <v>252</v>
      </c>
      <c r="D592" s="72">
        <v>6</v>
      </c>
      <c r="E592" s="71">
        <v>1E-3</v>
      </c>
    </row>
    <row r="593" spans="2:5">
      <c r="B593" s="114"/>
      <c r="C593" s="58" t="s">
        <v>253</v>
      </c>
      <c r="D593" s="72">
        <v>5</v>
      </c>
      <c r="E593" s="71">
        <v>0</v>
      </c>
    </row>
    <row r="594" spans="2:5">
      <c r="B594" s="114"/>
      <c r="C594" s="58" t="s">
        <v>254</v>
      </c>
      <c r="D594" s="72">
        <v>6</v>
      </c>
      <c r="E594" s="71">
        <v>1E-3</v>
      </c>
    </row>
    <row r="595" spans="2:5">
      <c r="B595" s="114"/>
      <c r="C595" s="58" t="s">
        <v>179</v>
      </c>
      <c r="D595" s="72">
        <v>14</v>
      </c>
      <c r="E595" s="71">
        <v>1E-3</v>
      </c>
    </row>
    <row r="596" spans="2:5">
      <c r="B596" s="114"/>
      <c r="C596" s="58" t="s">
        <v>180</v>
      </c>
      <c r="D596" s="72">
        <v>50</v>
      </c>
      <c r="E596" s="71">
        <v>4.0000000000000001E-3</v>
      </c>
    </row>
    <row r="597" spans="2:5">
      <c r="B597" s="114"/>
      <c r="C597" s="58" t="s">
        <v>182</v>
      </c>
      <c r="D597" s="72">
        <v>1</v>
      </c>
      <c r="E597" s="71">
        <v>0</v>
      </c>
    </row>
    <row r="598" spans="2:5">
      <c r="B598" s="115"/>
      <c r="C598" s="73" t="s">
        <v>267</v>
      </c>
      <c r="D598" s="78">
        <v>1215</v>
      </c>
      <c r="E598" s="75">
        <v>0.10100000000000001</v>
      </c>
    </row>
    <row r="599" spans="2:5">
      <c r="B599" s="113" t="s">
        <v>55</v>
      </c>
      <c r="C599" s="58" t="s">
        <v>160</v>
      </c>
      <c r="D599" s="72">
        <v>2</v>
      </c>
      <c r="E599" s="71">
        <v>0</v>
      </c>
    </row>
    <row r="600" spans="2:5">
      <c r="B600" s="114"/>
      <c r="C600" s="58" t="s">
        <v>242</v>
      </c>
      <c r="D600" s="72">
        <v>2</v>
      </c>
      <c r="E600" s="71">
        <v>0</v>
      </c>
    </row>
    <row r="601" spans="2:5">
      <c r="B601" s="114"/>
      <c r="C601" s="58" t="s">
        <v>243</v>
      </c>
      <c r="D601" s="72">
        <v>3</v>
      </c>
      <c r="E601" s="71">
        <v>0</v>
      </c>
    </row>
    <row r="602" spans="2:5">
      <c r="B602" s="114"/>
      <c r="C602" s="58" t="s">
        <v>244</v>
      </c>
      <c r="D602" s="72">
        <v>5</v>
      </c>
      <c r="E602" s="71">
        <v>0</v>
      </c>
    </row>
    <row r="603" spans="2:5">
      <c r="B603" s="114"/>
      <c r="C603" s="58" t="s">
        <v>245</v>
      </c>
      <c r="D603" s="72">
        <v>4</v>
      </c>
      <c r="E603" s="71">
        <v>0</v>
      </c>
    </row>
    <row r="604" spans="2:5">
      <c r="B604" s="114"/>
      <c r="C604" s="58" t="s">
        <v>246</v>
      </c>
      <c r="D604" s="72">
        <v>5</v>
      </c>
      <c r="E604" s="71">
        <v>0</v>
      </c>
    </row>
    <row r="605" spans="2:5">
      <c r="B605" s="114"/>
      <c r="C605" s="58" t="s">
        <v>247</v>
      </c>
      <c r="D605" s="72">
        <v>18</v>
      </c>
      <c r="E605" s="71">
        <v>2E-3</v>
      </c>
    </row>
    <row r="606" spans="2:5">
      <c r="B606" s="114"/>
      <c r="C606" s="58" t="s">
        <v>167</v>
      </c>
      <c r="D606" s="72">
        <v>48</v>
      </c>
      <c r="E606" s="71">
        <v>4.0000000000000001E-3</v>
      </c>
    </row>
    <row r="607" spans="2:5">
      <c r="B607" s="114"/>
      <c r="C607" s="58" t="s">
        <v>248</v>
      </c>
      <c r="D607" s="72">
        <v>4</v>
      </c>
      <c r="E607" s="71">
        <v>0</v>
      </c>
    </row>
    <row r="608" spans="2:5">
      <c r="B608" s="114"/>
      <c r="C608" s="58" t="s">
        <v>249</v>
      </c>
      <c r="D608" s="72">
        <v>10</v>
      </c>
      <c r="E608" s="71">
        <v>1E-3</v>
      </c>
    </row>
    <row r="609" spans="2:5">
      <c r="B609" s="114"/>
      <c r="C609" s="58" t="s">
        <v>250</v>
      </c>
      <c r="D609" s="72">
        <v>9</v>
      </c>
      <c r="E609" s="71">
        <v>1E-3</v>
      </c>
    </row>
    <row r="610" spans="2:5">
      <c r="B610" s="114"/>
      <c r="C610" s="58" t="s">
        <v>171</v>
      </c>
      <c r="D610" s="72">
        <v>122</v>
      </c>
      <c r="E610" s="71">
        <v>0.01</v>
      </c>
    </row>
    <row r="611" spans="2:5">
      <c r="B611" s="114"/>
      <c r="C611" s="58" t="s">
        <v>172</v>
      </c>
      <c r="D611" s="72">
        <v>11</v>
      </c>
      <c r="E611" s="71">
        <v>1E-3</v>
      </c>
    </row>
    <row r="612" spans="2:5">
      <c r="B612" s="114"/>
      <c r="C612" s="58" t="s">
        <v>173</v>
      </c>
      <c r="D612" s="72">
        <v>25</v>
      </c>
      <c r="E612" s="71">
        <v>2E-3</v>
      </c>
    </row>
    <row r="613" spans="2:5">
      <c r="B613" s="114"/>
      <c r="C613" s="58" t="s">
        <v>174</v>
      </c>
      <c r="D613" s="72">
        <v>101</v>
      </c>
      <c r="E613" s="71">
        <v>8.0000000000000002E-3</v>
      </c>
    </row>
    <row r="614" spans="2:5">
      <c r="B614" s="114"/>
      <c r="C614" s="58" t="s">
        <v>251</v>
      </c>
      <c r="D614" s="72">
        <v>3</v>
      </c>
      <c r="E614" s="71">
        <v>0</v>
      </c>
    </row>
    <row r="615" spans="2:5">
      <c r="B615" s="114"/>
      <c r="C615" s="58" t="s">
        <v>252</v>
      </c>
      <c r="D615" s="72">
        <v>5</v>
      </c>
      <c r="E615" s="71">
        <v>0</v>
      </c>
    </row>
    <row r="616" spans="2:5">
      <c r="B616" s="114"/>
      <c r="C616" s="58" t="s">
        <v>253</v>
      </c>
      <c r="D616" s="72">
        <v>1</v>
      </c>
      <c r="E616" s="71">
        <v>0</v>
      </c>
    </row>
    <row r="617" spans="2:5">
      <c r="B617" s="114"/>
      <c r="C617" s="58" t="s">
        <v>254</v>
      </c>
      <c r="D617" s="72">
        <v>1</v>
      </c>
      <c r="E617" s="71">
        <v>0</v>
      </c>
    </row>
    <row r="618" spans="2:5">
      <c r="B618" s="114"/>
      <c r="C618" s="58" t="s">
        <v>179</v>
      </c>
      <c r="D618" s="72">
        <v>6</v>
      </c>
      <c r="E618" s="71">
        <v>1E-3</v>
      </c>
    </row>
    <row r="619" spans="2:5">
      <c r="B619" s="114"/>
      <c r="C619" s="58" t="s">
        <v>180</v>
      </c>
      <c r="D619" s="72">
        <v>28</v>
      </c>
      <c r="E619" s="71">
        <v>2E-3</v>
      </c>
    </row>
    <row r="620" spans="2:5">
      <c r="B620" s="114"/>
      <c r="C620" s="58" t="s">
        <v>182</v>
      </c>
      <c r="D620" s="72">
        <v>1</v>
      </c>
      <c r="E620" s="71">
        <v>0</v>
      </c>
    </row>
    <row r="621" spans="2:5">
      <c r="B621" s="114"/>
      <c r="C621" s="58" t="s">
        <v>183</v>
      </c>
      <c r="D621" s="72">
        <v>1</v>
      </c>
      <c r="E621" s="71">
        <v>0</v>
      </c>
    </row>
    <row r="622" spans="2:5">
      <c r="B622" s="115"/>
      <c r="C622" s="73" t="s">
        <v>267</v>
      </c>
      <c r="D622" s="78">
        <v>415</v>
      </c>
      <c r="E622" s="75">
        <v>3.5000000000000003E-2</v>
      </c>
    </row>
    <row r="623" spans="2:5">
      <c r="B623" s="113" t="s">
        <v>57</v>
      </c>
      <c r="C623" s="58" t="s">
        <v>160</v>
      </c>
      <c r="D623" s="72">
        <v>3</v>
      </c>
      <c r="E623" s="71">
        <v>0</v>
      </c>
    </row>
    <row r="624" spans="2:5">
      <c r="B624" s="114"/>
      <c r="C624" s="58" t="s">
        <v>242</v>
      </c>
      <c r="D624" s="72">
        <v>1</v>
      </c>
      <c r="E624" s="71">
        <v>0</v>
      </c>
    </row>
    <row r="625" spans="2:5">
      <c r="B625" s="114"/>
      <c r="C625" s="58" t="s">
        <v>244</v>
      </c>
      <c r="D625" s="72">
        <v>6</v>
      </c>
      <c r="E625" s="71">
        <v>1E-3</v>
      </c>
    </row>
    <row r="626" spans="2:5">
      <c r="B626" s="114"/>
      <c r="C626" s="58" t="s">
        <v>245</v>
      </c>
      <c r="D626" s="72">
        <v>4</v>
      </c>
      <c r="E626" s="71">
        <v>0</v>
      </c>
    </row>
    <row r="627" spans="2:5">
      <c r="B627" s="114"/>
      <c r="C627" s="58" t="s">
        <v>246</v>
      </c>
      <c r="D627" s="72">
        <v>8</v>
      </c>
      <c r="E627" s="71">
        <v>1E-3</v>
      </c>
    </row>
    <row r="628" spans="2:5">
      <c r="B628" s="114"/>
      <c r="C628" s="58" t="s">
        <v>247</v>
      </c>
      <c r="D628" s="72">
        <v>27</v>
      </c>
      <c r="E628" s="71">
        <v>2E-3</v>
      </c>
    </row>
    <row r="629" spans="2:5">
      <c r="B629" s="114"/>
      <c r="C629" s="58" t="s">
        <v>167</v>
      </c>
      <c r="D629" s="72">
        <v>35</v>
      </c>
      <c r="E629" s="71">
        <v>3.0000000000000001E-3</v>
      </c>
    </row>
    <row r="630" spans="2:5">
      <c r="B630" s="114"/>
      <c r="C630" s="58" t="s">
        <v>248</v>
      </c>
      <c r="D630" s="72">
        <v>5</v>
      </c>
      <c r="E630" s="71">
        <v>0</v>
      </c>
    </row>
    <row r="631" spans="2:5">
      <c r="B631" s="114"/>
      <c r="C631" s="58" t="s">
        <v>249</v>
      </c>
      <c r="D631" s="72">
        <v>6</v>
      </c>
      <c r="E631" s="71">
        <v>1E-3</v>
      </c>
    </row>
    <row r="632" spans="2:5">
      <c r="B632" s="114"/>
      <c r="C632" s="58" t="s">
        <v>250</v>
      </c>
      <c r="D632" s="72">
        <v>19</v>
      </c>
      <c r="E632" s="71">
        <v>2E-3</v>
      </c>
    </row>
    <row r="633" spans="2:5">
      <c r="B633" s="114"/>
      <c r="C633" s="58" t="s">
        <v>171</v>
      </c>
      <c r="D633" s="72">
        <v>84</v>
      </c>
      <c r="E633" s="71">
        <v>7.0000000000000001E-3</v>
      </c>
    </row>
    <row r="634" spans="2:5">
      <c r="B634" s="114"/>
      <c r="C634" s="58" t="s">
        <v>172</v>
      </c>
      <c r="D634" s="72">
        <v>6</v>
      </c>
      <c r="E634" s="71">
        <v>1E-3</v>
      </c>
    </row>
    <row r="635" spans="2:5">
      <c r="B635" s="114"/>
      <c r="C635" s="58" t="s">
        <v>173</v>
      </c>
      <c r="D635" s="72">
        <v>15</v>
      </c>
      <c r="E635" s="71">
        <v>1E-3</v>
      </c>
    </row>
    <row r="636" spans="2:5">
      <c r="B636" s="114"/>
      <c r="C636" s="58" t="s">
        <v>174</v>
      </c>
      <c r="D636" s="72">
        <v>64</v>
      </c>
      <c r="E636" s="71">
        <v>5.0000000000000001E-3</v>
      </c>
    </row>
    <row r="637" spans="2:5">
      <c r="B637" s="114"/>
      <c r="C637" s="58" t="s">
        <v>251</v>
      </c>
      <c r="D637" s="72">
        <v>2</v>
      </c>
      <c r="E637" s="71">
        <v>0</v>
      </c>
    </row>
    <row r="638" spans="2:5">
      <c r="B638" s="114"/>
      <c r="C638" s="58" t="s">
        <v>179</v>
      </c>
      <c r="D638" s="72">
        <v>9</v>
      </c>
      <c r="E638" s="71">
        <v>1E-3</v>
      </c>
    </row>
    <row r="639" spans="2:5">
      <c r="B639" s="114"/>
      <c r="C639" s="58" t="s">
        <v>180</v>
      </c>
      <c r="D639" s="72">
        <v>16</v>
      </c>
      <c r="E639" s="71">
        <v>1E-3</v>
      </c>
    </row>
    <row r="640" spans="2:5">
      <c r="B640" s="115"/>
      <c r="C640" s="73" t="s">
        <v>267</v>
      </c>
      <c r="D640" s="78">
        <v>310</v>
      </c>
      <c r="E640" s="75">
        <v>2.5999999999999999E-2</v>
      </c>
    </row>
    <row r="641" spans="2:5">
      <c r="B641" s="113" t="s">
        <v>53</v>
      </c>
      <c r="C641" s="58" t="s">
        <v>160</v>
      </c>
      <c r="D641" s="72">
        <v>5</v>
      </c>
      <c r="E641" s="71">
        <v>0</v>
      </c>
    </row>
    <row r="642" spans="2:5">
      <c r="B642" s="114"/>
      <c r="C642" s="58" t="s">
        <v>242</v>
      </c>
      <c r="D642" s="72">
        <v>5</v>
      </c>
      <c r="E642" s="71">
        <v>0</v>
      </c>
    </row>
    <row r="643" spans="2:5">
      <c r="B643" s="114"/>
      <c r="C643" s="58" t="s">
        <v>243</v>
      </c>
      <c r="D643" s="72">
        <v>6</v>
      </c>
      <c r="E643" s="71">
        <v>1E-3</v>
      </c>
    </row>
    <row r="644" spans="2:5">
      <c r="B644" s="114"/>
      <c r="C644" s="58" t="s">
        <v>244</v>
      </c>
      <c r="D644" s="72">
        <v>5</v>
      </c>
      <c r="E644" s="71">
        <v>0</v>
      </c>
    </row>
    <row r="645" spans="2:5">
      <c r="B645" s="114"/>
      <c r="C645" s="58" t="s">
        <v>245</v>
      </c>
      <c r="D645" s="72">
        <v>6</v>
      </c>
      <c r="E645" s="71">
        <v>1E-3</v>
      </c>
    </row>
    <row r="646" spans="2:5">
      <c r="B646" s="114"/>
      <c r="C646" s="58" t="s">
        <v>246</v>
      </c>
      <c r="D646" s="72">
        <v>6</v>
      </c>
      <c r="E646" s="71">
        <v>1E-3</v>
      </c>
    </row>
    <row r="647" spans="2:5">
      <c r="B647" s="114"/>
      <c r="C647" s="58" t="s">
        <v>247</v>
      </c>
      <c r="D647" s="72">
        <v>33</v>
      </c>
      <c r="E647" s="71">
        <v>3.0000000000000001E-3</v>
      </c>
    </row>
    <row r="648" spans="2:5">
      <c r="B648" s="114"/>
      <c r="C648" s="58" t="s">
        <v>167</v>
      </c>
      <c r="D648" s="72">
        <v>53</v>
      </c>
      <c r="E648" s="71">
        <v>4.0000000000000001E-3</v>
      </c>
    </row>
    <row r="649" spans="2:5">
      <c r="B649" s="114"/>
      <c r="C649" s="58" t="s">
        <v>248</v>
      </c>
      <c r="D649" s="72">
        <v>7</v>
      </c>
      <c r="E649" s="71">
        <v>1E-3</v>
      </c>
    </row>
    <row r="650" spans="2:5">
      <c r="B650" s="114"/>
      <c r="C650" s="58" t="s">
        <v>249</v>
      </c>
      <c r="D650" s="72">
        <v>21</v>
      </c>
      <c r="E650" s="71">
        <v>2E-3</v>
      </c>
    </row>
    <row r="651" spans="2:5">
      <c r="B651" s="114"/>
      <c r="C651" s="58" t="s">
        <v>250</v>
      </c>
      <c r="D651" s="72">
        <v>12</v>
      </c>
      <c r="E651" s="71">
        <v>1E-3</v>
      </c>
    </row>
    <row r="652" spans="2:5">
      <c r="B652" s="114"/>
      <c r="C652" s="58" t="s">
        <v>171</v>
      </c>
      <c r="D652" s="72">
        <v>124</v>
      </c>
      <c r="E652" s="71">
        <v>0.01</v>
      </c>
    </row>
    <row r="653" spans="2:5">
      <c r="B653" s="114"/>
      <c r="C653" s="58" t="s">
        <v>172</v>
      </c>
      <c r="D653" s="72">
        <v>6</v>
      </c>
      <c r="E653" s="71">
        <v>1E-3</v>
      </c>
    </row>
    <row r="654" spans="2:5">
      <c r="B654" s="114"/>
      <c r="C654" s="58" t="s">
        <v>173</v>
      </c>
      <c r="D654" s="72">
        <v>40</v>
      </c>
      <c r="E654" s="71">
        <v>3.0000000000000001E-3</v>
      </c>
    </row>
    <row r="655" spans="2:5">
      <c r="B655" s="114"/>
      <c r="C655" s="58" t="s">
        <v>174</v>
      </c>
      <c r="D655" s="72">
        <v>110</v>
      </c>
      <c r="E655" s="71">
        <v>8.9999999999999993E-3</v>
      </c>
    </row>
    <row r="656" spans="2:5">
      <c r="B656" s="114"/>
      <c r="C656" s="58" t="s">
        <v>251</v>
      </c>
      <c r="D656" s="72">
        <v>7</v>
      </c>
      <c r="E656" s="71">
        <v>1E-3</v>
      </c>
    </row>
    <row r="657" spans="2:5">
      <c r="B657" s="114"/>
      <c r="C657" s="58" t="s">
        <v>252</v>
      </c>
      <c r="D657" s="72">
        <v>5</v>
      </c>
      <c r="E657" s="71">
        <v>0</v>
      </c>
    </row>
    <row r="658" spans="2:5">
      <c r="B658" s="114"/>
      <c r="C658" s="58" t="s">
        <v>253</v>
      </c>
      <c r="D658" s="72">
        <v>3</v>
      </c>
      <c r="E658" s="71">
        <v>0</v>
      </c>
    </row>
    <row r="659" spans="2:5">
      <c r="B659" s="114"/>
      <c r="C659" s="58" t="s">
        <v>254</v>
      </c>
      <c r="D659" s="72">
        <v>2</v>
      </c>
      <c r="E659" s="71">
        <v>0</v>
      </c>
    </row>
    <row r="660" spans="2:5">
      <c r="B660" s="114"/>
      <c r="C660" s="58" t="s">
        <v>179</v>
      </c>
      <c r="D660" s="72">
        <v>5</v>
      </c>
      <c r="E660" s="71">
        <v>0</v>
      </c>
    </row>
    <row r="661" spans="2:5">
      <c r="B661" s="114"/>
      <c r="C661" s="58" t="s">
        <v>180</v>
      </c>
      <c r="D661" s="72">
        <v>26</v>
      </c>
      <c r="E661" s="71">
        <v>2E-3</v>
      </c>
    </row>
    <row r="662" spans="2:5">
      <c r="B662" s="114"/>
      <c r="C662" s="58" t="s">
        <v>182</v>
      </c>
      <c r="D662" s="72">
        <v>1</v>
      </c>
      <c r="E662" s="71">
        <v>0</v>
      </c>
    </row>
    <row r="663" spans="2:5">
      <c r="B663" s="115"/>
      <c r="C663" s="73" t="s">
        <v>267</v>
      </c>
      <c r="D663" s="78">
        <v>488</v>
      </c>
      <c r="E663" s="75">
        <v>4.1000000000000002E-2</v>
      </c>
    </row>
    <row r="664" spans="2:5">
      <c r="B664" s="113" t="s">
        <v>54</v>
      </c>
      <c r="C664" s="58" t="s">
        <v>160</v>
      </c>
      <c r="D664" s="72">
        <v>3</v>
      </c>
      <c r="E664" s="71">
        <v>0</v>
      </c>
    </row>
    <row r="665" spans="2:5">
      <c r="B665" s="114"/>
      <c r="C665" s="58" t="s">
        <v>242</v>
      </c>
      <c r="D665" s="72">
        <v>2</v>
      </c>
      <c r="E665" s="71">
        <v>0</v>
      </c>
    </row>
    <row r="666" spans="2:5">
      <c r="B666" s="114"/>
      <c r="C666" s="58" t="s">
        <v>243</v>
      </c>
      <c r="D666" s="72">
        <v>1</v>
      </c>
      <c r="E666" s="71">
        <v>0</v>
      </c>
    </row>
    <row r="667" spans="2:5">
      <c r="B667" s="114"/>
      <c r="C667" s="58" t="s">
        <v>244</v>
      </c>
      <c r="D667" s="72">
        <v>5</v>
      </c>
      <c r="E667" s="71">
        <v>0</v>
      </c>
    </row>
    <row r="668" spans="2:5">
      <c r="B668" s="114"/>
      <c r="C668" s="58" t="s">
        <v>245</v>
      </c>
      <c r="D668" s="72">
        <v>5</v>
      </c>
      <c r="E668" s="71">
        <v>0</v>
      </c>
    </row>
    <row r="669" spans="2:5">
      <c r="B669" s="114"/>
      <c r="C669" s="58" t="s">
        <v>246</v>
      </c>
      <c r="D669" s="72">
        <v>5</v>
      </c>
      <c r="E669" s="71">
        <v>0</v>
      </c>
    </row>
    <row r="670" spans="2:5">
      <c r="B670" s="114"/>
      <c r="C670" s="58" t="s">
        <v>247</v>
      </c>
      <c r="D670" s="72">
        <v>22</v>
      </c>
      <c r="E670" s="71">
        <v>2E-3</v>
      </c>
    </row>
    <row r="671" spans="2:5">
      <c r="B671" s="114"/>
      <c r="C671" s="58" t="s">
        <v>167</v>
      </c>
      <c r="D671" s="72">
        <v>50</v>
      </c>
      <c r="E671" s="71">
        <v>4.0000000000000001E-3</v>
      </c>
    </row>
    <row r="672" spans="2:5">
      <c r="B672" s="114"/>
      <c r="C672" s="58" t="s">
        <v>248</v>
      </c>
      <c r="D672" s="72">
        <v>11</v>
      </c>
      <c r="E672" s="71">
        <v>1E-3</v>
      </c>
    </row>
    <row r="673" spans="2:5">
      <c r="B673" s="114"/>
      <c r="C673" s="58" t="s">
        <v>249</v>
      </c>
      <c r="D673" s="72">
        <v>15</v>
      </c>
      <c r="E673" s="71">
        <v>1E-3</v>
      </c>
    </row>
    <row r="674" spans="2:5">
      <c r="B674" s="114"/>
      <c r="C674" s="58" t="s">
        <v>250</v>
      </c>
      <c r="D674" s="72">
        <v>14</v>
      </c>
      <c r="E674" s="71">
        <v>1E-3</v>
      </c>
    </row>
    <row r="675" spans="2:5">
      <c r="B675" s="114"/>
      <c r="C675" s="58" t="s">
        <v>171</v>
      </c>
      <c r="D675" s="72">
        <v>108</v>
      </c>
      <c r="E675" s="71">
        <v>8.9999999999999993E-3</v>
      </c>
    </row>
    <row r="676" spans="2:5">
      <c r="B676" s="114"/>
      <c r="C676" s="58" t="s">
        <v>172</v>
      </c>
      <c r="D676" s="72">
        <v>12</v>
      </c>
      <c r="E676" s="71">
        <v>1E-3</v>
      </c>
    </row>
    <row r="677" spans="2:5">
      <c r="B677" s="114"/>
      <c r="C677" s="58" t="s">
        <v>173</v>
      </c>
      <c r="D677" s="72">
        <v>40</v>
      </c>
      <c r="E677" s="71">
        <v>3.0000000000000001E-3</v>
      </c>
    </row>
    <row r="678" spans="2:5">
      <c r="B678" s="114"/>
      <c r="C678" s="58" t="s">
        <v>174</v>
      </c>
      <c r="D678" s="72">
        <v>95</v>
      </c>
      <c r="E678" s="71">
        <v>8.0000000000000002E-3</v>
      </c>
    </row>
    <row r="679" spans="2:5">
      <c r="B679" s="114"/>
      <c r="C679" s="58" t="s">
        <v>251</v>
      </c>
      <c r="D679" s="72">
        <v>5</v>
      </c>
      <c r="E679" s="71">
        <v>0</v>
      </c>
    </row>
    <row r="680" spans="2:5">
      <c r="B680" s="114"/>
      <c r="C680" s="58" t="s">
        <v>252</v>
      </c>
      <c r="D680" s="72">
        <v>3</v>
      </c>
      <c r="E680" s="71">
        <v>0</v>
      </c>
    </row>
    <row r="681" spans="2:5">
      <c r="B681" s="114"/>
      <c r="C681" s="58" t="s">
        <v>253</v>
      </c>
      <c r="D681" s="72">
        <v>2</v>
      </c>
      <c r="E681" s="71">
        <v>0</v>
      </c>
    </row>
    <row r="682" spans="2:5">
      <c r="B682" s="114"/>
      <c r="C682" s="58" t="s">
        <v>254</v>
      </c>
      <c r="D682" s="72">
        <v>1</v>
      </c>
      <c r="E682" s="71">
        <v>0</v>
      </c>
    </row>
    <row r="683" spans="2:5">
      <c r="B683" s="114"/>
      <c r="C683" s="58" t="s">
        <v>179</v>
      </c>
      <c r="D683" s="72">
        <v>8</v>
      </c>
      <c r="E683" s="71">
        <v>1E-3</v>
      </c>
    </row>
    <row r="684" spans="2:5">
      <c r="B684" s="114"/>
      <c r="C684" s="58" t="s">
        <v>180</v>
      </c>
      <c r="D684" s="72">
        <v>32</v>
      </c>
      <c r="E684" s="71">
        <v>3.0000000000000001E-3</v>
      </c>
    </row>
    <row r="685" spans="2:5">
      <c r="B685" s="114"/>
      <c r="C685" s="58" t="s">
        <v>182</v>
      </c>
      <c r="D685" s="72">
        <v>1</v>
      </c>
      <c r="E685" s="71">
        <v>0</v>
      </c>
    </row>
    <row r="686" spans="2:5">
      <c r="B686" s="115"/>
      <c r="C686" s="73" t="s">
        <v>267</v>
      </c>
      <c r="D686" s="78">
        <v>440</v>
      </c>
      <c r="E686" s="75">
        <v>3.6999999999999998E-2</v>
      </c>
    </row>
    <row r="687" spans="2:5">
      <c r="B687" s="113" t="s">
        <v>67</v>
      </c>
      <c r="C687" s="58" t="s">
        <v>160</v>
      </c>
      <c r="D687" s="72">
        <v>5</v>
      </c>
      <c r="E687" s="71">
        <v>0</v>
      </c>
    </row>
    <row r="688" spans="2:5">
      <c r="B688" s="114"/>
      <c r="C688" s="58" t="s">
        <v>242</v>
      </c>
      <c r="D688" s="72">
        <v>1</v>
      </c>
      <c r="E688" s="71">
        <v>0</v>
      </c>
    </row>
    <row r="689" spans="2:5">
      <c r="B689" s="114"/>
      <c r="C689" s="58" t="s">
        <v>243</v>
      </c>
      <c r="D689" s="72">
        <v>1</v>
      </c>
      <c r="E689" s="71">
        <v>0</v>
      </c>
    </row>
    <row r="690" spans="2:5">
      <c r="B690" s="114"/>
      <c r="C690" s="58" t="s">
        <v>244</v>
      </c>
      <c r="D690" s="72">
        <v>4</v>
      </c>
      <c r="E690" s="71">
        <v>0</v>
      </c>
    </row>
    <row r="691" spans="2:5">
      <c r="B691" s="114"/>
      <c r="C691" s="58" t="s">
        <v>247</v>
      </c>
      <c r="D691" s="72">
        <v>3</v>
      </c>
      <c r="E691" s="71">
        <v>0</v>
      </c>
    </row>
    <row r="692" spans="2:5">
      <c r="B692" s="114"/>
      <c r="C692" s="58" t="s">
        <v>167</v>
      </c>
      <c r="D692" s="72">
        <v>6</v>
      </c>
      <c r="E692" s="71">
        <v>1E-3</v>
      </c>
    </row>
    <row r="693" spans="2:5">
      <c r="B693" s="114"/>
      <c r="C693" s="58" t="s">
        <v>249</v>
      </c>
      <c r="D693" s="72">
        <v>2</v>
      </c>
      <c r="E693" s="71">
        <v>0</v>
      </c>
    </row>
    <row r="694" spans="2:5">
      <c r="B694" s="114"/>
      <c r="C694" s="58" t="s">
        <v>250</v>
      </c>
      <c r="D694" s="72">
        <v>1</v>
      </c>
      <c r="E694" s="71">
        <v>0</v>
      </c>
    </row>
    <row r="695" spans="2:5">
      <c r="B695" s="114"/>
      <c r="C695" s="58" t="s">
        <v>171</v>
      </c>
      <c r="D695" s="72">
        <v>17</v>
      </c>
      <c r="E695" s="71">
        <v>1E-3</v>
      </c>
    </row>
    <row r="696" spans="2:5">
      <c r="B696" s="114"/>
      <c r="C696" s="58" t="s">
        <v>172</v>
      </c>
      <c r="D696" s="72">
        <v>2</v>
      </c>
      <c r="E696" s="71">
        <v>0</v>
      </c>
    </row>
    <row r="697" spans="2:5">
      <c r="B697" s="114"/>
      <c r="C697" s="58" t="s">
        <v>173</v>
      </c>
      <c r="D697" s="72">
        <v>7</v>
      </c>
      <c r="E697" s="71">
        <v>1E-3</v>
      </c>
    </row>
    <row r="698" spans="2:5">
      <c r="B698" s="114"/>
      <c r="C698" s="58" t="s">
        <v>174</v>
      </c>
      <c r="D698" s="72">
        <v>12</v>
      </c>
      <c r="E698" s="71">
        <v>1E-3</v>
      </c>
    </row>
    <row r="699" spans="2:5">
      <c r="B699" s="114"/>
      <c r="C699" s="58" t="s">
        <v>251</v>
      </c>
      <c r="D699" s="72">
        <v>2</v>
      </c>
      <c r="E699" s="71">
        <v>0</v>
      </c>
    </row>
    <row r="700" spans="2:5">
      <c r="B700" s="114"/>
      <c r="C700" s="58" t="s">
        <v>179</v>
      </c>
      <c r="D700" s="72">
        <v>2</v>
      </c>
      <c r="E700" s="71">
        <v>0</v>
      </c>
    </row>
    <row r="701" spans="2:5">
      <c r="B701" s="114"/>
      <c r="C701" s="58" t="s">
        <v>180</v>
      </c>
      <c r="D701" s="72">
        <v>3</v>
      </c>
      <c r="E701" s="71">
        <v>0</v>
      </c>
    </row>
    <row r="702" spans="2:5">
      <c r="B702" s="115"/>
      <c r="C702" s="73" t="s">
        <v>267</v>
      </c>
      <c r="D702" s="78">
        <v>68</v>
      </c>
      <c r="E702" s="75">
        <v>6.0000000000000001E-3</v>
      </c>
    </row>
    <row r="703" spans="2:5">
      <c r="B703" s="113" t="s">
        <v>58</v>
      </c>
      <c r="C703" s="58" t="s">
        <v>160</v>
      </c>
      <c r="D703" s="72">
        <v>1</v>
      </c>
      <c r="E703" s="71">
        <v>0</v>
      </c>
    </row>
    <row r="704" spans="2:5">
      <c r="B704" s="114"/>
      <c r="C704" s="58" t="s">
        <v>242</v>
      </c>
      <c r="D704" s="72">
        <v>1</v>
      </c>
      <c r="E704" s="71">
        <v>0</v>
      </c>
    </row>
    <row r="705" spans="2:5">
      <c r="B705" s="114"/>
      <c r="C705" s="58" t="s">
        <v>243</v>
      </c>
      <c r="D705" s="72">
        <v>2</v>
      </c>
      <c r="E705" s="71">
        <v>0</v>
      </c>
    </row>
    <row r="706" spans="2:5">
      <c r="B706" s="114"/>
      <c r="C706" s="58" t="s">
        <v>244</v>
      </c>
      <c r="D706" s="72">
        <v>4</v>
      </c>
      <c r="E706" s="71">
        <v>0</v>
      </c>
    </row>
    <row r="707" spans="2:5">
      <c r="B707" s="114"/>
      <c r="C707" s="58" t="s">
        <v>246</v>
      </c>
      <c r="D707" s="72">
        <v>3</v>
      </c>
      <c r="E707" s="71">
        <v>0</v>
      </c>
    </row>
    <row r="708" spans="2:5">
      <c r="B708" s="114"/>
      <c r="C708" s="58" t="s">
        <v>247</v>
      </c>
      <c r="D708" s="72">
        <v>7</v>
      </c>
      <c r="E708" s="71">
        <v>1E-3</v>
      </c>
    </row>
    <row r="709" spans="2:5">
      <c r="B709" s="114"/>
      <c r="C709" s="58" t="s">
        <v>167</v>
      </c>
      <c r="D709" s="72">
        <v>11</v>
      </c>
      <c r="E709" s="71">
        <v>1E-3</v>
      </c>
    </row>
    <row r="710" spans="2:5">
      <c r="B710" s="114"/>
      <c r="C710" s="58" t="s">
        <v>248</v>
      </c>
      <c r="D710" s="72">
        <v>1</v>
      </c>
      <c r="E710" s="71">
        <v>0</v>
      </c>
    </row>
    <row r="711" spans="2:5">
      <c r="B711" s="114"/>
      <c r="C711" s="58" t="s">
        <v>249</v>
      </c>
      <c r="D711" s="72">
        <v>5</v>
      </c>
      <c r="E711" s="71">
        <v>0</v>
      </c>
    </row>
    <row r="712" spans="2:5">
      <c r="B712" s="114"/>
      <c r="C712" s="58" t="s">
        <v>250</v>
      </c>
      <c r="D712" s="72">
        <v>3</v>
      </c>
      <c r="E712" s="71">
        <v>0</v>
      </c>
    </row>
    <row r="713" spans="2:5">
      <c r="B713" s="114"/>
      <c r="C713" s="58" t="s">
        <v>171</v>
      </c>
      <c r="D713" s="72">
        <v>48</v>
      </c>
      <c r="E713" s="71">
        <v>4.0000000000000001E-3</v>
      </c>
    </row>
    <row r="714" spans="2:5">
      <c r="B714" s="114"/>
      <c r="C714" s="58" t="s">
        <v>172</v>
      </c>
      <c r="D714" s="72">
        <v>11</v>
      </c>
      <c r="E714" s="71">
        <v>1E-3</v>
      </c>
    </row>
    <row r="715" spans="2:5">
      <c r="B715" s="114"/>
      <c r="C715" s="58" t="s">
        <v>173</v>
      </c>
      <c r="D715" s="72">
        <v>12</v>
      </c>
      <c r="E715" s="71">
        <v>1E-3</v>
      </c>
    </row>
    <row r="716" spans="2:5">
      <c r="B716" s="114"/>
      <c r="C716" s="58" t="s">
        <v>174</v>
      </c>
      <c r="D716" s="72">
        <v>54</v>
      </c>
      <c r="E716" s="71">
        <v>5.0000000000000001E-3</v>
      </c>
    </row>
    <row r="717" spans="2:5">
      <c r="B717" s="114"/>
      <c r="C717" s="58" t="s">
        <v>251</v>
      </c>
      <c r="D717" s="72">
        <v>3</v>
      </c>
      <c r="E717" s="71">
        <v>0</v>
      </c>
    </row>
    <row r="718" spans="2:5">
      <c r="B718" s="114"/>
      <c r="C718" s="58" t="s">
        <v>253</v>
      </c>
      <c r="D718" s="72">
        <v>1</v>
      </c>
      <c r="E718" s="71">
        <v>0</v>
      </c>
    </row>
    <row r="719" spans="2:5">
      <c r="B719" s="114"/>
      <c r="C719" s="58" t="s">
        <v>179</v>
      </c>
      <c r="D719" s="72">
        <v>3</v>
      </c>
      <c r="E719" s="71">
        <v>0</v>
      </c>
    </row>
    <row r="720" spans="2:5">
      <c r="B720" s="114"/>
      <c r="C720" s="58" t="s">
        <v>180</v>
      </c>
      <c r="D720" s="72">
        <v>15</v>
      </c>
      <c r="E720" s="71">
        <v>1E-3</v>
      </c>
    </row>
    <row r="721" spans="2:5">
      <c r="B721" s="114"/>
      <c r="C721" s="58" t="s">
        <v>182</v>
      </c>
      <c r="D721" s="72">
        <v>1</v>
      </c>
      <c r="E721" s="71">
        <v>0</v>
      </c>
    </row>
    <row r="722" spans="2:5">
      <c r="B722" s="115"/>
      <c r="C722" s="73" t="s">
        <v>267</v>
      </c>
      <c r="D722" s="78">
        <v>186</v>
      </c>
      <c r="E722" s="75">
        <v>1.6E-2</v>
      </c>
    </row>
    <row r="723" spans="2:5">
      <c r="B723" s="113" t="s">
        <v>89</v>
      </c>
      <c r="C723" s="58" t="s">
        <v>243</v>
      </c>
      <c r="D723" s="72">
        <v>2</v>
      </c>
      <c r="E723" s="71">
        <v>0</v>
      </c>
    </row>
    <row r="724" spans="2:5">
      <c r="B724" s="114"/>
      <c r="C724" s="58" t="s">
        <v>247</v>
      </c>
      <c r="D724" s="72">
        <v>1</v>
      </c>
      <c r="E724" s="71">
        <v>0</v>
      </c>
    </row>
    <row r="725" spans="2:5">
      <c r="B725" s="114"/>
      <c r="C725" s="58" t="s">
        <v>167</v>
      </c>
      <c r="D725" s="72">
        <v>3</v>
      </c>
      <c r="E725" s="71">
        <v>0</v>
      </c>
    </row>
    <row r="726" spans="2:5">
      <c r="B726" s="114"/>
      <c r="C726" s="58" t="s">
        <v>249</v>
      </c>
      <c r="D726" s="72">
        <v>2</v>
      </c>
      <c r="E726" s="71">
        <v>0</v>
      </c>
    </row>
    <row r="727" spans="2:5">
      <c r="B727" s="114"/>
      <c r="C727" s="58" t="s">
        <v>171</v>
      </c>
      <c r="D727" s="72">
        <v>9</v>
      </c>
      <c r="E727" s="71">
        <v>1E-3</v>
      </c>
    </row>
    <row r="728" spans="2:5">
      <c r="B728" s="114"/>
      <c r="C728" s="58" t="s">
        <v>173</v>
      </c>
      <c r="D728" s="72">
        <v>1</v>
      </c>
      <c r="E728" s="71">
        <v>0</v>
      </c>
    </row>
    <row r="729" spans="2:5">
      <c r="B729" s="114"/>
      <c r="C729" s="58" t="s">
        <v>174</v>
      </c>
      <c r="D729" s="72">
        <v>9</v>
      </c>
      <c r="E729" s="71">
        <v>1E-3</v>
      </c>
    </row>
    <row r="730" spans="2:5">
      <c r="B730" s="114"/>
      <c r="C730" s="58" t="s">
        <v>252</v>
      </c>
      <c r="D730" s="72">
        <v>1</v>
      </c>
      <c r="E730" s="71">
        <v>0</v>
      </c>
    </row>
    <row r="731" spans="2:5">
      <c r="B731" s="114"/>
      <c r="C731" s="58" t="s">
        <v>180</v>
      </c>
      <c r="D731" s="72">
        <v>2</v>
      </c>
      <c r="E731" s="71">
        <v>0</v>
      </c>
    </row>
    <row r="732" spans="2:5">
      <c r="B732" s="115"/>
      <c r="C732" s="73" t="s">
        <v>267</v>
      </c>
      <c r="D732" s="78">
        <v>30</v>
      </c>
      <c r="E732" s="75">
        <v>3.0000000000000001E-3</v>
      </c>
    </row>
    <row r="733" spans="2:5">
      <c r="B733" s="113" t="s">
        <v>76</v>
      </c>
      <c r="C733" s="58" t="s">
        <v>245</v>
      </c>
      <c r="D733" s="72">
        <v>1</v>
      </c>
      <c r="E733" s="71">
        <v>0</v>
      </c>
    </row>
    <row r="734" spans="2:5">
      <c r="B734" s="114"/>
      <c r="C734" s="58" t="s">
        <v>247</v>
      </c>
      <c r="D734" s="72">
        <v>5</v>
      </c>
      <c r="E734" s="71">
        <v>0</v>
      </c>
    </row>
    <row r="735" spans="2:5">
      <c r="B735" s="114"/>
      <c r="C735" s="58" t="s">
        <v>248</v>
      </c>
      <c r="D735" s="72">
        <v>2</v>
      </c>
      <c r="E735" s="71">
        <v>0</v>
      </c>
    </row>
    <row r="736" spans="2:5">
      <c r="B736" s="114"/>
      <c r="C736" s="58" t="s">
        <v>171</v>
      </c>
      <c r="D736" s="72">
        <v>11</v>
      </c>
      <c r="E736" s="71">
        <v>1E-3</v>
      </c>
    </row>
    <row r="737" spans="2:5">
      <c r="B737" s="114"/>
      <c r="C737" s="58" t="s">
        <v>172</v>
      </c>
      <c r="D737" s="72">
        <v>2</v>
      </c>
      <c r="E737" s="71">
        <v>0</v>
      </c>
    </row>
    <row r="738" spans="2:5">
      <c r="B738" s="114"/>
      <c r="C738" s="58" t="s">
        <v>173</v>
      </c>
      <c r="D738" s="72">
        <v>2</v>
      </c>
      <c r="E738" s="71">
        <v>0</v>
      </c>
    </row>
    <row r="739" spans="2:5">
      <c r="B739" s="114"/>
      <c r="C739" s="58" t="s">
        <v>174</v>
      </c>
      <c r="D739" s="72">
        <v>18</v>
      </c>
      <c r="E739" s="71">
        <v>2E-3</v>
      </c>
    </row>
    <row r="740" spans="2:5">
      <c r="B740" s="114"/>
      <c r="C740" s="58" t="s">
        <v>252</v>
      </c>
      <c r="D740" s="72">
        <v>1</v>
      </c>
      <c r="E740" s="71">
        <v>0</v>
      </c>
    </row>
    <row r="741" spans="2:5">
      <c r="B741" s="114"/>
      <c r="C741" s="58" t="s">
        <v>180</v>
      </c>
      <c r="D741" s="72">
        <v>9</v>
      </c>
      <c r="E741" s="71">
        <v>1E-3</v>
      </c>
    </row>
    <row r="742" spans="2:5">
      <c r="B742" s="115"/>
      <c r="C742" s="73" t="s">
        <v>267</v>
      </c>
      <c r="D742" s="78">
        <v>51</v>
      </c>
      <c r="E742" s="75">
        <v>4.0000000000000001E-3</v>
      </c>
    </row>
    <row r="743" spans="2:5">
      <c r="B743" s="118" t="s">
        <v>270</v>
      </c>
      <c r="C743" s="119"/>
      <c r="D743" s="79">
        <v>11981</v>
      </c>
      <c r="E743" s="77">
        <v>1</v>
      </c>
    </row>
    <row r="744" spans="2:5" ht="15" customHeight="1">
      <c r="B744" s="47"/>
      <c r="C744" s="47"/>
      <c r="D744" s="47"/>
      <c r="E744" s="47"/>
    </row>
    <row r="745" spans="2:5" ht="15" customHeight="1">
      <c r="B745" s="35" t="s">
        <v>235</v>
      </c>
      <c r="C745" s="47"/>
      <c r="D745" s="47"/>
      <c r="E745" s="47"/>
    </row>
    <row r="746" spans="2:5" ht="15" customHeight="1">
      <c r="B746" s="33" t="s">
        <v>18</v>
      </c>
      <c r="C746" s="47"/>
      <c r="D746" s="47"/>
      <c r="E746" s="47"/>
    </row>
    <row r="747" spans="2:5" ht="15" customHeight="1">
      <c r="B747" s="36" t="s">
        <v>46</v>
      </c>
      <c r="C747" s="47"/>
      <c r="D747" s="47"/>
      <c r="E747" s="47"/>
    </row>
    <row r="748" spans="2:5" ht="15" customHeight="1">
      <c r="B748" s="35" t="s">
        <v>17</v>
      </c>
      <c r="C748" s="47"/>
      <c r="D748" s="47"/>
      <c r="E748" s="47"/>
    </row>
    <row r="749" spans="2:5" ht="15" customHeight="1">
      <c r="B749" s="35" t="s">
        <v>268</v>
      </c>
      <c r="C749" s="47"/>
      <c r="D749" s="47"/>
      <c r="E749" s="47"/>
    </row>
  </sheetData>
  <mergeCells count="52">
    <mergeCell ref="B723:B732"/>
    <mergeCell ref="B733:B742"/>
    <mergeCell ref="B549:B563"/>
    <mergeCell ref="B564:B575"/>
    <mergeCell ref="B576:B598"/>
    <mergeCell ref="B599:B622"/>
    <mergeCell ref="B623:B640"/>
    <mergeCell ref="B641:B663"/>
    <mergeCell ref="B664:B686"/>
    <mergeCell ref="B687:B702"/>
    <mergeCell ref="B703:B722"/>
    <mergeCell ref="B184:B206"/>
    <mergeCell ref="B207:B222"/>
    <mergeCell ref="B252:B258"/>
    <mergeCell ref="B259:B280"/>
    <mergeCell ref="B281:B292"/>
    <mergeCell ref="B233:B251"/>
    <mergeCell ref="B223:B232"/>
    <mergeCell ref="B124:B143"/>
    <mergeCell ref="B144:B157"/>
    <mergeCell ref="B158:B159"/>
    <mergeCell ref="B160:B173"/>
    <mergeCell ref="B174:B183"/>
    <mergeCell ref="B67:B71"/>
    <mergeCell ref="B72:B77"/>
    <mergeCell ref="B78:B89"/>
    <mergeCell ref="B90:B105"/>
    <mergeCell ref="B106:B123"/>
    <mergeCell ref="B474:B486"/>
    <mergeCell ref="B487:B493"/>
    <mergeCell ref="B494:B510"/>
    <mergeCell ref="B327:B338"/>
    <mergeCell ref="B339:B347"/>
    <mergeCell ref="B348:B358"/>
    <mergeCell ref="B359:B364"/>
    <mergeCell ref="B449:B473"/>
    <mergeCell ref="B293:B316"/>
    <mergeCell ref="B317:B326"/>
    <mergeCell ref="B743:C743"/>
    <mergeCell ref="B7:E8"/>
    <mergeCell ref="B10:B22"/>
    <mergeCell ref="B23:B39"/>
    <mergeCell ref="B40:B48"/>
    <mergeCell ref="B49:B66"/>
    <mergeCell ref="B511:B531"/>
    <mergeCell ref="B532:B548"/>
    <mergeCell ref="B365:B373"/>
    <mergeCell ref="B374:B385"/>
    <mergeCell ref="B386:B398"/>
    <mergeCell ref="B399:B413"/>
    <mergeCell ref="B414:B429"/>
    <mergeCell ref="B430:B44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2"/>
  <sheetViews>
    <sheetView showGridLines="0" view="pageBreakPreview" topLeftCell="A8" zoomScaleNormal="100" zoomScaleSheetLayoutView="100" workbookViewId="0">
      <selection activeCell="B17" sqref="B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48"/>
      <c r="B7" s="120" t="s">
        <v>37</v>
      </c>
      <c r="C7" s="121"/>
      <c r="D7" s="121"/>
      <c r="E7" s="48"/>
      <c r="F7" s="48"/>
    </row>
    <row r="8" spans="1:6" s="15" customFormat="1" ht="15" customHeight="1">
      <c r="A8" s="48"/>
      <c r="B8" s="121"/>
      <c r="C8" s="121"/>
      <c r="D8" s="121"/>
      <c r="E8" s="48"/>
      <c r="F8" s="48"/>
    </row>
    <row r="9" spans="1:6" s="15" customFormat="1" ht="33" customHeight="1">
      <c r="A9" s="48"/>
      <c r="B9" s="121"/>
      <c r="C9" s="121"/>
      <c r="D9" s="121"/>
      <c r="E9" s="48"/>
      <c r="F9" s="48"/>
    </row>
    <row r="10" spans="1:6" s="15" customFormat="1" ht="4.5" customHeight="1">
      <c r="A10" s="48"/>
      <c r="B10" s="49"/>
      <c r="C10" s="49"/>
      <c r="D10" s="49"/>
      <c r="E10" s="48"/>
      <c r="F10" s="48"/>
    </row>
    <row r="11" spans="1:6" s="15" customFormat="1" ht="33" customHeight="1" thickBot="1">
      <c r="A11" s="48"/>
      <c r="B11" s="83" t="s">
        <v>29</v>
      </c>
      <c r="C11" s="84" t="s">
        <v>20</v>
      </c>
      <c r="D11" s="85" t="s">
        <v>19</v>
      </c>
      <c r="E11" s="48"/>
      <c r="F11" s="48"/>
    </row>
    <row r="12" spans="1:6" ht="15.75" thickBot="1">
      <c r="A12" s="50"/>
      <c r="B12" s="86" t="s">
        <v>140</v>
      </c>
      <c r="C12" s="87">
        <v>5390</v>
      </c>
      <c r="D12" s="88">
        <v>0.44987897504381902</v>
      </c>
      <c r="E12" s="50"/>
      <c r="F12" s="50"/>
    </row>
    <row r="13" spans="1:6" ht="15.75" thickBot="1">
      <c r="A13" s="50"/>
      <c r="B13" s="86" t="s">
        <v>141</v>
      </c>
      <c r="C13" s="87">
        <v>6590</v>
      </c>
      <c r="D13" s="88">
        <v>0.55003755946916</v>
      </c>
      <c r="E13" s="50"/>
      <c r="F13" s="50"/>
    </row>
    <row r="14" spans="1:6">
      <c r="A14" s="50"/>
      <c r="B14" s="89" t="s">
        <v>259</v>
      </c>
      <c r="C14" s="87">
        <v>1</v>
      </c>
      <c r="D14" s="88">
        <v>8.3465487021E-5</v>
      </c>
      <c r="E14" s="50"/>
      <c r="F14" s="50"/>
    </row>
    <row r="15" spans="1:6">
      <c r="A15" s="50"/>
      <c r="B15" s="90" t="s">
        <v>271</v>
      </c>
      <c r="C15" s="91">
        <v>11981</v>
      </c>
      <c r="D15" s="92">
        <v>1</v>
      </c>
      <c r="E15" s="50"/>
      <c r="F15" s="50"/>
    </row>
    <row r="16" spans="1:6">
      <c r="A16" s="50"/>
      <c r="B16" s="51"/>
      <c r="C16" s="52"/>
      <c r="D16" s="52"/>
      <c r="E16" s="50"/>
      <c r="F16" s="50"/>
    </row>
    <row r="17" spans="1:6">
      <c r="B17" s="35" t="s">
        <v>235</v>
      </c>
      <c r="C17" s="53"/>
      <c r="D17" s="53"/>
      <c r="E17" s="50"/>
      <c r="F17" s="50"/>
    </row>
    <row r="18" spans="1:6">
      <c r="B18" s="33" t="s">
        <v>18</v>
      </c>
      <c r="C18" s="54"/>
      <c r="D18" s="54"/>
      <c r="E18" s="50"/>
      <c r="F18" s="50"/>
    </row>
    <row r="19" spans="1:6">
      <c r="B19" s="36" t="s">
        <v>46</v>
      </c>
      <c r="C19" s="52"/>
      <c r="D19" s="50"/>
      <c r="E19" s="50"/>
      <c r="F19" s="50"/>
    </row>
    <row r="20" spans="1:6">
      <c r="B20" s="35" t="s">
        <v>17</v>
      </c>
      <c r="C20" s="52"/>
      <c r="D20" s="50"/>
      <c r="E20" s="50"/>
      <c r="F20" s="50"/>
    </row>
    <row r="21" spans="1:6">
      <c r="B21" s="35" t="s">
        <v>268</v>
      </c>
      <c r="C21" s="52"/>
      <c r="D21" s="50"/>
      <c r="E21" s="50"/>
      <c r="F21" s="50"/>
    </row>
    <row r="22" spans="1:6">
      <c r="A22" s="50"/>
      <c r="B22" s="50"/>
      <c r="C22" s="52"/>
      <c r="D22" s="50"/>
      <c r="E22" s="50"/>
      <c r="F22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0"/>
  <sheetViews>
    <sheetView showGridLines="0" view="pageBreakPreview" topLeftCell="A157" zoomScaleNormal="100" zoomScaleSheetLayoutView="100" workbookViewId="0">
      <selection activeCell="B161" sqref="B161:B163"/>
    </sheetView>
  </sheetViews>
  <sheetFormatPr baseColWidth="10" defaultColWidth="11.42578125" defaultRowHeight="11.25"/>
  <cols>
    <col min="1" max="1" width="5.7109375" style="15" customWidth="1"/>
    <col min="2" max="3" width="23.7109375" style="21" customWidth="1"/>
    <col min="4" max="4" width="15.7109375" style="24" customWidth="1"/>
    <col min="5" max="5" width="15.7109375" style="21" customWidth="1"/>
    <col min="6" max="6" width="4.2851562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6"/>
    </row>
    <row r="3" spans="1:6" ht="15" customHeight="1">
      <c r="B3" s="27"/>
      <c r="C3" s="17"/>
      <c r="D3" s="15"/>
      <c r="F3" s="21"/>
    </row>
    <row r="4" spans="1:6" ht="30" customHeight="1">
      <c r="B4" s="27"/>
      <c r="C4" s="17"/>
      <c r="D4" s="15"/>
      <c r="F4" s="21"/>
    </row>
    <row r="5" spans="1:6" ht="15" customHeight="1">
      <c r="B5" s="27"/>
      <c r="C5" s="17"/>
      <c r="D5" s="15"/>
      <c r="F5" s="21"/>
    </row>
    <row r="6" spans="1:6" s="21" customFormat="1">
      <c r="B6" s="23"/>
      <c r="C6" s="20"/>
    </row>
    <row r="7" spans="1:6" s="21" customFormat="1">
      <c r="B7" s="26"/>
    </row>
    <row r="8" spans="1:6" s="13" customFormat="1" ht="15" customHeight="1">
      <c r="A8" s="32"/>
      <c r="B8" s="112" t="s">
        <v>39</v>
      </c>
      <c r="C8" s="112"/>
      <c r="D8" s="112"/>
      <c r="E8" s="112"/>
      <c r="F8" s="32"/>
    </row>
    <row r="9" spans="1:6" s="13" customFormat="1" ht="15" customHeight="1">
      <c r="A9" s="32"/>
      <c r="B9" s="112"/>
      <c r="C9" s="112"/>
      <c r="D9" s="112"/>
      <c r="E9" s="112"/>
      <c r="F9" s="55"/>
    </row>
    <row r="10" spans="1:6" s="13" customFormat="1" ht="15" customHeight="1">
      <c r="A10" s="32"/>
      <c r="B10" s="112"/>
      <c r="C10" s="112"/>
      <c r="D10" s="112"/>
      <c r="E10" s="112"/>
      <c r="F10" s="32"/>
    </row>
    <row r="11" spans="1:6" s="13" customFormat="1" ht="15" customHeight="1">
      <c r="A11" s="32"/>
      <c r="B11" s="56"/>
      <c r="C11" s="56"/>
      <c r="D11" s="56"/>
      <c r="E11" s="56"/>
      <c r="F11" s="32"/>
    </row>
    <row r="12" spans="1:6" s="13" customFormat="1" ht="36.950000000000003" customHeight="1">
      <c r="A12" s="32"/>
      <c r="B12" s="93" t="s">
        <v>22</v>
      </c>
      <c r="C12" s="93" t="s">
        <v>29</v>
      </c>
      <c r="D12" s="93" t="s">
        <v>20</v>
      </c>
      <c r="E12" s="93" t="s">
        <v>19</v>
      </c>
      <c r="F12" s="32"/>
    </row>
    <row r="13" spans="1:6" s="29" customFormat="1" ht="14.45" customHeight="1">
      <c r="A13" s="30"/>
      <c r="B13" s="113" t="s">
        <v>74</v>
      </c>
      <c r="C13" s="58" t="s">
        <v>140</v>
      </c>
      <c r="D13" s="72">
        <v>24</v>
      </c>
      <c r="E13" s="71">
        <v>2E-3</v>
      </c>
      <c r="F13" s="30"/>
    </row>
    <row r="14" spans="1:6" s="29" customFormat="1" ht="14.45" customHeight="1">
      <c r="A14" s="30"/>
      <c r="B14" s="114"/>
      <c r="C14" s="58" t="s">
        <v>141</v>
      </c>
      <c r="D14" s="72">
        <v>35</v>
      </c>
      <c r="E14" s="71">
        <v>3.0000000000000001E-3</v>
      </c>
      <c r="F14" s="30"/>
    </row>
    <row r="15" spans="1:6" s="29" customFormat="1" ht="14.45" customHeight="1">
      <c r="A15" s="30"/>
      <c r="B15" s="115"/>
      <c r="C15" s="100" t="s">
        <v>267</v>
      </c>
      <c r="D15" s="78">
        <v>59</v>
      </c>
      <c r="E15" s="75">
        <v>5.0000000000000001E-3</v>
      </c>
      <c r="F15" s="30"/>
    </row>
    <row r="16" spans="1:6" s="29" customFormat="1" ht="14.45" customHeight="1">
      <c r="A16" s="30"/>
      <c r="B16" s="113" t="s">
        <v>72</v>
      </c>
      <c r="C16" s="58" t="s">
        <v>140</v>
      </c>
      <c r="D16" s="72">
        <v>39</v>
      </c>
      <c r="E16" s="71">
        <v>3.0000000000000001E-3</v>
      </c>
      <c r="F16" s="30"/>
    </row>
    <row r="17" spans="1:6" s="29" customFormat="1" ht="14.45" customHeight="1">
      <c r="A17" s="30"/>
      <c r="B17" s="114"/>
      <c r="C17" s="58" t="s">
        <v>141</v>
      </c>
      <c r="D17" s="72">
        <v>47</v>
      </c>
      <c r="E17" s="71">
        <v>4.0000000000000001E-3</v>
      </c>
      <c r="F17" s="30"/>
    </row>
    <row r="18" spans="1:6" s="29" customFormat="1" ht="14.45" customHeight="1">
      <c r="A18" s="30"/>
      <c r="B18" s="115"/>
      <c r="C18" s="100" t="s">
        <v>267</v>
      </c>
      <c r="D18" s="78">
        <v>86</v>
      </c>
      <c r="E18" s="75">
        <v>7.0000000000000001E-3</v>
      </c>
      <c r="F18" s="30"/>
    </row>
    <row r="19" spans="1:6" s="29" customFormat="1" ht="14.45" customHeight="1">
      <c r="A19" s="30"/>
      <c r="B19" s="113" t="s">
        <v>85</v>
      </c>
      <c r="C19" s="58" t="s">
        <v>140</v>
      </c>
      <c r="D19" s="72">
        <v>14</v>
      </c>
      <c r="E19" s="71">
        <v>1E-3</v>
      </c>
      <c r="F19" s="30"/>
    </row>
    <row r="20" spans="1:6" s="29" customFormat="1" ht="14.45" customHeight="1">
      <c r="A20" s="30"/>
      <c r="B20" s="114"/>
      <c r="C20" s="58" t="s">
        <v>141</v>
      </c>
      <c r="D20" s="72">
        <v>7</v>
      </c>
      <c r="E20" s="71">
        <v>1E-3</v>
      </c>
      <c r="F20" s="30"/>
    </row>
    <row r="21" spans="1:6" s="29" customFormat="1" ht="14.45" customHeight="1">
      <c r="A21" s="30"/>
      <c r="B21" s="115"/>
      <c r="C21" s="100" t="s">
        <v>267</v>
      </c>
      <c r="D21" s="78">
        <v>21</v>
      </c>
      <c r="E21" s="75">
        <v>2E-3</v>
      </c>
      <c r="F21" s="30"/>
    </row>
    <row r="22" spans="1:6" s="29" customFormat="1" ht="14.45" customHeight="1">
      <c r="A22" s="30"/>
      <c r="B22" s="113" t="s">
        <v>62</v>
      </c>
      <c r="C22" s="58" t="s">
        <v>140</v>
      </c>
      <c r="D22" s="72">
        <v>56</v>
      </c>
      <c r="E22" s="71">
        <v>5.0000000000000001E-3</v>
      </c>
      <c r="F22" s="30"/>
    </row>
    <row r="23" spans="1:6" s="29" customFormat="1" ht="14.45" customHeight="1">
      <c r="A23" s="30"/>
      <c r="B23" s="114"/>
      <c r="C23" s="58" t="s">
        <v>141</v>
      </c>
      <c r="D23" s="72">
        <v>129</v>
      </c>
      <c r="E23" s="71">
        <v>1.0999999999999999E-2</v>
      </c>
      <c r="F23" s="30"/>
    </row>
    <row r="24" spans="1:6" s="29" customFormat="1" ht="14.45" customHeight="1">
      <c r="A24" s="30"/>
      <c r="B24" s="115"/>
      <c r="C24" s="100" t="s">
        <v>267</v>
      </c>
      <c r="D24" s="78">
        <v>185</v>
      </c>
      <c r="E24" s="75">
        <v>1.4999999999999999E-2</v>
      </c>
      <c r="F24" s="30"/>
    </row>
    <row r="25" spans="1:6" s="29" customFormat="1" ht="14.45" customHeight="1">
      <c r="A25" s="30"/>
      <c r="B25" s="113" t="s">
        <v>94</v>
      </c>
      <c r="C25" s="58" t="s">
        <v>140</v>
      </c>
      <c r="D25" s="72">
        <v>3</v>
      </c>
      <c r="E25" s="71">
        <v>0</v>
      </c>
      <c r="F25" s="30"/>
    </row>
    <row r="26" spans="1:6" s="29" customFormat="1" ht="14.45" customHeight="1">
      <c r="A26" s="30"/>
      <c r="B26" s="114"/>
      <c r="C26" s="58" t="s">
        <v>141</v>
      </c>
      <c r="D26" s="72">
        <v>5</v>
      </c>
      <c r="E26" s="71">
        <v>0</v>
      </c>
      <c r="F26" s="30"/>
    </row>
    <row r="27" spans="1:6" s="29" customFormat="1" ht="14.45" customHeight="1">
      <c r="A27" s="30"/>
      <c r="B27" s="115"/>
      <c r="C27" s="100" t="s">
        <v>267</v>
      </c>
      <c r="D27" s="78">
        <v>8</v>
      </c>
      <c r="E27" s="75">
        <v>1E-3</v>
      </c>
      <c r="F27" s="30"/>
    </row>
    <row r="28" spans="1:6" s="29" customFormat="1" ht="14.45" customHeight="1">
      <c r="A28" s="30"/>
      <c r="B28" s="113" t="s">
        <v>91</v>
      </c>
      <c r="C28" s="58" t="s">
        <v>140</v>
      </c>
      <c r="D28" s="72">
        <v>3</v>
      </c>
      <c r="E28" s="71">
        <v>0</v>
      </c>
      <c r="F28" s="30"/>
    </row>
    <row r="29" spans="1:6" s="29" customFormat="1" ht="14.45" customHeight="1">
      <c r="A29" s="30"/>
      <c r="B29" s="114"/>
      <c r="C29" s="58" t="s">
        <v>141</v>
      </c>
      <c r="D29" s="72">
        <v>5</v>
      </c>
      <c r="E29" s="71">
        <v>0</v>
      </c>
      <c r="F29" s="30"/>
    </row>
    <row r="30" spans="1:6" s="29" customFormat="1" ht="14.45" customHeight="1">
      <c r="A30" s="30"/>
      <c r="B30" s="115"/>
      <c r="C30" s="100" t="s">
        <v>267</v>
      </c>
      <c r="D30" s="78">
        <v>8</v>
      </c>
      <c r="E30" s="75">
        <v>1E-3</v>
      </c>
      <c r="F30" s="30"/>
    </row>
    <row r="31" spans="1:6" s="29" customFormat="1" ht="14.45" customHeight="1">
      <c r="A31" s="30"/>
      <c r="B31" s="113" t="s">
        <v>88</v>
      </c>
      <c r="C31" s="58" t="s">
        <v>140</v>
      </c>
      <c r="D31" s="72">
        <v>18</v>
      </c>
      <c r="E31" s="71">
        <v>2E-3</v>
      </c>
      <c r="F31" s="30"/>
    </row>
    <row r="32" spans="1:6" s="29" customFormat="1" ht="14.45" customHeight="1">
      <c r="A32" s="30"/>
      <c r="B32" s="114"/>
      <c r="C32" s="58" t="s">
        <v>141</v>
      </c>
      <c r="D32" s="72">
        <v>22</v>
      </c>
      <c r="E32" s="71">
        <v>2E-3</v>
      </c>
      <c r="F32" s="30"/>
    </row>
    <row r="33" spans="1:6" s="29" customFormat="1" ht="14.45" customHeight="1">
      <c r="A33" s="30"/>
      <c r="B33" s="115"/>
      <c r="C33" s="100" t="s">
        <v>267</v>
      </c>
      <c r="D33" s="78">
        <v>40</v>
      </c>
      <c r="E33" s="75">
        <v>3.0000000000000001E-3</v>
      </c>
      <c r="F33" s="30"/>
    </row>
    <row r="34" spans="1:6" s="29" customFormat="1" ht="14.45" customHeight="1">
      <c r="A34" s="30"/>
      <c r="B34" s="113" t="s">
        <v>56</v>
      </c>
      <c r="C34" s="58" t="s">
        <v>140</v>
      </c>
      <c r="D34" s="72">
        <v>111</v>
      </c>
      <c r="E34" s="71">
        <v>8.9999999999999993E-3</v>
      </c>
      <c r="F34" s="30"/>
    </row>
    <row r="35" spans="1:6" s="29" customFormat="1" ht="14.45" customHeight="1">
      <c r="A35" s="30"/>
      <c r="B35" s="114"/>
      <c r="C35" s="58" t="s">
        <v>141</v>
      </c>
      <c r="D35" s="72">
        <v>122</v>
      </c>
      <c r="E35" s="71">
        <v>0.01</v>
      </c>
      <c r="F35" s="30"/>
    </row>
    <row r="36" spans="1:6" s="29" customFormat="1" ht="14.45" customHeight="1">
      <c r="A36" s="30"/>
      <c r="B36" s="115"/>
      <c r="C36" s="100" t="s">
        <v>267</v>
      </c>
      <c r="D36" s="78">
        <v>233</v>
      </c>
      <c r="E36" s="75">
        <v>1.9E-2</v>
      </c>
      <c r="F36" s="30"/>
    </row>
    <row r="37" spans="1:6" s="29" customFormat="1" ht="14.45" customHeight="1">
      <c r="A37" s="30"/>
      <c r="B37" s="113" t="s">
        <v>64</v>
      </c>
      <c r="C37" s="58" t="s">
        <v>140</v>
      </c>
      <c r="D37" s="72">
        <v>67</v>
      </c>
      <c r="E37" s="71">
        <v>6.0000000000000001E-3</v>
      </c>
      <c r="F37" s="30"/>
    </row>
    <row r="38" spans="1:6" s="29" customFormat="1" ht="14.45" customHeight="1">
      <c r="A38" s="30"/>
      <c r="B38" s="114"/>
      <c r="C38" s="58" t="s">
        <v>141</v>
      </c>
      <c r="D38" s="72">
        <v>96</v>
      </c>
      <c r="E38" s="71">
        <v>8.0000000000000002E-3</v>
      </c>
      <c r="F38" s="30"/>
    </row>
    <row r="39" spans="1:6" s="29" customFormat="1" ht="14.45" customHeight="1">
      <c r="A39" s="30"/>
      <c r="B39" s="114"/>
      <c r="C39" s="58" t="s">
        <v>238</v>
      </c>
      <c r="D39" s="72">
        <v>1</v>
      </c>
      <c r="E39" s="71">
        <v>0</v>
      </c>
      <c r="F39" s="30"/>
    </row>
    <row r="40" spans="1:6" s="29" customFormat="1" ht="14.45" customHeight="1">
      <c r="A40" s="30"/>
      <c r="B40" s="115"/>
      <c r="C40" s="100" t="s">
        <v>267</v>
      </c>
      <c r="D40" s="78">
        <v>164</v>
      </c>
      <c r="E40" s="75">
        <v>1.4E-2</v>
      </c>
      <c r="F40" s="30"/>
    </row>
    <row r="41" spans="1:6" s="29" customFormat="1" ht="14.45" customHeight="1">
      <c r="A41" s="30"/>
      <c r="B41" s="113" t="s">
        <v>60</v>
      </c>
      <c r="C41" s="58" t="s">
        <v>140</v>
      </c>
      <c r="D41" s="72">
        <v>65</v>
      </c>
      <c r="E41" s="71">
        <v>5.0000000000000001E-3</v>
      </c>
      <c r="F41" s="30"/>
    </row>
    <row r="42" spans="1:6" s="29" customFormat="1" ht="14.45" customHeight="1">
      <c r="A42" s="30"/>
      <c r="B42" s="114"/>
      <c r="C42" s="58" t="s">
        <v>141</v>
      </c>
      <c r="D42" s="72">
        <v>122</v>
      </c>
      <c r="E42" s="71">
        <v>0.01</v>
      </c>
      <c r="F42" s="30"/>
    </row>
    <row r="43" spans="1:6" s="29" customFormat="1" ht="14.45" customHeight="1">
      <c r="A43" s="30"/>
      <c r="B43" s="115"/>
      <c r="C43" s="100" t="s">
        <v>267</v>
      </c>
      <c r="D43" s="78">
        <v>187</v>
      </c>
      <c r="E43" s="75">
        <v>1.6E-2</v>
      </c>
      <c r="F43" s="30"/>
    </row>
    <row r="44" spans="1:6" s="29" customFormat="1" ht="14.45" customHeight="1">
      <c r="A44" s="30"/>
      <c r="B44" s="113" t="s">
        <v>79</v>
      </c>
      <c r="C44" s="58" t="s">
        <v>140</v>
      </c>
      <c r="D44" s="72">
        <v>27</v>
      </c>
      <c r="E44" s="71">
        <v>2E-3</v>
      </c>
      <c r="F44" s="30"/>
    </row>
    <row r="45" spans="1:6" s="29" customFormat="1" ht="14.45" customHeight="1">
      <c r="A45" s="30"/>
      <c r="B45" s="114"/>
      <c r="C45" s="58" t="s">
        <v>141</v>
      </c>
      <c r="D45" s="72">
        <v>47</v>
      </c>
      <c r="E45" s="71">
        <v>4.0000000000000001E-3</v>
      </c>
      <c r="F45" s="30"/>
    </row>
    <row r="46" spans="1:6" s="29" customFormat="1" ht="14.45" customHeight="1">
      <c r="A46" s="30"/>
      <c r="B46" s="115"/>
      <c r="C46" s="100" t="s">
        <v>267</v>
      </c>
      <c r="D46" s="78">
        <v>74</v>
      </c>
      <c r="E46" s="75">
        <v>6.0000000000000001E-3</v>
      </c>
      <c r="F46" s="30"/>
    </row>
    <row r="47" spans="1:6" s="29" customFormat="1" ht="14.45" customHeight="1">
      <c r="A47" s="30"/>
      <c r="B47" s="113" t="s">
        <v>236</v>
      </c>
      <c r="C47" s="58" t="s">
        <v>140</v>
      </c>
      <c r="D47" s="72">
        <v>1</v>
      </c>
      <c r="E47" s="71">
        <v>0</v>
      </c>
      <c r="F47" s="30"/>
    </row>
    <row r="48" spans="1:6" s="29" customFormat="1" ht="14.45" customHeight="1">
      <c r="A48" s="30"/>
      <c r="B48" s="114"/>
      <c r="C48" s="58" t="s">
        <v>141</v>
      </c>
      <c r="D48" s="72">
        <v>1</v>
      </c>
      <c r="E48" s="71">
        <v>0</v>
      </c>
      <c r="F48" s="30"/>
    </row>
    <row r="49" spans="1:6" s="29" customFormat="1" ht="14.45" customHeight="1">
      <c r="A49" s="30"/>
      <c r="B49" s="115"/>
      <c r="C49" s="100" t="s">
        <v>267</v>
      </c>
      <c r="D49" s="78">
        <v>2</v>
      </c>
      <c r="E49" s="75">
        <v>0</v>
      </c>
      <c r="F49" s="30"/>
    </row>
    <row r="50" spans="1:6" s="29" customFormat="1" ht="14.45" customHeight="1">
      <c r="A50" s="30"/>
      <c r="B50" s="113" t="s">
        <v>83</v>
      </c>
      <c r="C50" s="58" t="s">
        <v>140</v>
      </c>
      <c r="D50" s="72">
        <v>23</v>
      </c>
      <c r="E50" s="71">
        <v>2E-3</v>
      </c>
      <c r="F50" s="30"/>
    </row>
    <row r="51" spans="1:6" s="29" customFormat="1" ht="14.45" customHeight="1">
      <c r="A51" s="30"/>
      <c r="B51" s="114"/>
      <c r="C51" s="58" t="s">
        <v>141</v>
      </c>
      <c r="D51" s="72">
        <v>28</v>
      </c>
      <c r="E51" s="71">
        <v>2E-3</v>
      </c>
      <c r="F51" s="30"/>
    </row>
    <row r="52" spans="1:6" s="29" customFormat="1" ht="14.45" customHeight="1">
      <c r="A52" s="30"/>
      <c r="B52" s="115"/>
      <c r="C52" s="100" t="s">
        <v>267</v>
      </c>
      <c r="D52" s="78">
        <v>51</v>
      </c>
      <c r="E52" s="75">
        <v>4.0000000000000001E-3</v>
      </c>
      <c r="F52" s="30"/>
    </row>
    <row r="53" spans="1:6" s="29" customFormat="1" ht="14.45" customHeight="1">
      <c r="A53" s="30"/>
      <c r="B53" s="113" t="s">
        <v>86</v>
      </c>
      <c r="C53" s="58" t="s">
        <v>140</v>
      </c>
      <c r="D53" s="72">
        <v>6</v>
      </c>
      <c r="E53" s="71">
        <v>1E-3</v>
      </c>
      <c r="F53" s="30"/>
    </row>
    <row r="54" spans="1:6" s="29" customFormat="1" ht="14.45" customHeight="1">
      <c r="A54" s="30"/>
      <c r="B54" s="114"/>
      <c r="C54" s="58" t="s">
        <v>141</v>
      </c>
      <c r="D54" s="72">
        <v>17</v>
      </c>
      <c r="E54" s="71">
        <v>1E-3</v>
      </c>
      <c r="F54" s="30"/>
    </row>
    <row r="55" spans="1:6" s="29" customFormat="1" ht="14.45" customHeight="1">
      <c r="A55" s="30"/>
      <c r="B55" s="115"/>
      <c r="C55" s="100" t="s">
        <v>267</v>
      </c>
      <c r="D55" s="78">
        <v>23</v>
      </c>
      <c r="E55" s="75">
        <v>2E-3</v>
      </c>
      <c r="F55" s="30"/>
    </row>
    <row r="56" spans="1:6" s="29" customFormat="1" ht="14.45" customHeight="1">
      <c r="A56" s="30"/>
      <c r="B56" s="113" t="s">
        <v>49</v>
      </c>
      <c r="C56" s="58" t="s">
        <v>140</v>
      </c>
      <c r="D56" s="72">
        <v>487</v>
      </c>
      <c r="E56" s="71">
        <v>4.1000000000000002E-2</v>
      </c>
      <c r="F56" s="30"/>
    </row>
    <row r="57" spans="1:6" s="29" customFormat="1" ht="14.45" customHeight="1">
      <c r="A57" s="30"/>
      <c r="B57" s="114"/>
      <c r="C57" s="58" t="s">
        <v>141</v>
      </c>
      <c r="D57" s="72">
        <v>582</v>
      </c>
      <c r="E57" s="71">
        <v>4.9000000000000002E-2</v>
      </c>
      <c r="F57" s="30"/>
    </row>
    <row r="58" spans="1:6" s="29" customFormat="1" ht="14.45" customHeight="1">
      <c r="A58" s="30"/>
      <c r="B58" s="115"/>
      <c r="C58" s="100" t="s">
        <v>267</v>
      </c>
      <c r="D58" s="78">
        <v>1069</v>
      </c>
      <c r="E58" s="75">
        <v>8.8999999999999996E-2</v>
      </c>
      <c r="F58" s="30"/>
    </row>
    <row r="59" spans="1:6" s="29" customFormat="1" ht="14.45" customHeight="1">
      <c r="A59" s="30"/>
      <c r="B59" s="113" t="s">
        <v>65</v>
      </c>
      <c r="C59" s="58" t="s">
        <v>140</v>
      </c>
      <c r="D59" s="72">
        <v>52</v>
      </c>
      <c r="E59" s="71">
        <v>4.0000000000000001E-3</v>
      </c>
      <c r="F59" s="30"/>
    </row>
    <row r="60" spans="1:6" s="29" customFormat="1" ht="14.45" customHeight="1">
      <c r="A60" s="30"/>
      <c r="B60" s="114"/>
      <c r="C60" s="58" t="s">
        <v>141</v>
      </c>
      <c r="D60" s="72">
        <v>70</v>
      </c>
      <c r="E60" s="71">
        <v>6.0000000000000001E-3</v>
      </c>
      <c r="F60" s="30"/>
    </row>
    <row r="61" spans="1:6" s="29" customFormat="1" ht="14.45" customHeight="1">
      <c r="A61" s="30"/>
      <c r="B61" s="115"/>
      <c r="C61" s="100" t="s">
        <v>267</v>
      </c>
      <c r="D61" s="78">
        <v>122</v>
      </c>
      <c r="E61" s="75">
        <v>0.01</v>
      </c>
      <c r="F61" s="30"/>
    </row>
    <row r="62" spans="1:6" s="29" customFormat="1" ht="14.45" customHeight="1">
      <c r="A62" s="30"/>
      <c r="B62" s="113" t="s">
        <v>84</v>
      </c>
      <c r="C62" s="58" t="s">
        <v>140</v>
      </c>
      <c r="D62" s="72">
        <v>13</v>
      </c>
      <c r="E62" s="71">
        <v>1E-3</v>
      </c>
      <c r="F62" s="30"/>
    </row>
    <row r="63" spans="1:6" s="29" customFormat="1" ht="14.45" customHeight="1">
      <c r="A63" s="30"/>
      <c r="B63" s="114"/>
      <c r="C63" s="58" t="s">
        <v>141</v>
      </c>
      <c r="D63" s="72">
        <v>10</v>
      </c>
      <c r="E63" s="71">
        <v>1E-3</v>
      </c>
      <c r="F63" s="30"/>
    </row>
    <row r="64" spans="1:6" s="29" customFormat="1" ht="14.45" customHeight="1">
      <c r="A64" s="30"/>
      <c r="B64" s="115"/>
      <c r="C64" s="100" t="s">
        <v>267</v>
      </c>
      <c r="D64" s="78">
        <v>23</v>
      </c>
      <c r="E64" s="75">
        <v>2E-3</v>
      </c>
      <c r="F64" s="30"/>
    </row>
    <row r="65" spans="1:6" s="29" customFormat="1" ht="14.45" customHeight="1">
      <c r="A65" s="30"/>
      <c r="B65" s="113" t="s">
        <v>66</v>
      </c>
      <c r="C65" s="58" t="s">
        <v>140</v>
      </c>
      <c r="D65" s="72">
        <v>40</v>
      </c>
      <c r="E65" s="71">
        <v>3.0000000000000001E-3</v>
      </c>
      <c r="F65" s="30"/>
    </row>
    <row r="66" spans="1:6" s="29" customFormat="1" ht="14.45" customHeight="1">
      <c r="A66" s="30"/>
      <c r="B66" s="114"/>
      <c r="C66" s="58" t="s">
        <v>141</v>
      </c>
      <c r="D66" s="72">
        <v>64</v>
      </c>
      <c r="E66" s="71">
        <v>5.0000000000000001E-3</v>
      </c>
      <c r="F66" s="30"/>
    </row>
    <row r="67" spans="1:6" s="29" customFormat="1" ht="14.45" customHeight="1">
      <c r="A67" s="30"/>
      <c r="B67" s="115"/>
      <c r="C67" s="100" t="s">
        <v>267</v>
      </c>
      <c r="D67" s="78">
        <v>104</v>
      </c>
      <c r="E67" s="75">
        <v>8.9999999999999993E-3</v>
      </c>
      <c r="F67" s="30"/>
    </row>
    <row r="68" spans="1:6" s="29" customFormat="1" ht="14.45" customHeight="1">
      <c r="A68" s="30"/>
      <c r="B68" s="113" t="s">
        <v>93</v>
      </c>
      <c r="C68" s="58" t="s">
        <v>140</v>
      </c>
      <c r="D68" s="72">
        <v>8</v>
      </c>
      <c r="E68" s="71">
        <v>1E-3</v>
      </c>
      <c r="F68" s="30"/>
    </row>
    <row r="69" spans="1:6" s="29" customFormat="1" ht="14.45" customHeight="1">
      <c r="A69" s="30"/>
      <c r="B69" s="114"/>
      <c r="C69" s="58" t="s">
        <v>141</v>
      </c>
      <c r="D69" s="72">
        <v>6</v>
      </c>
      <c r="E69" s="71">
        <v>1E-3</v>
      </c>
      <c r="F69" s="30"/>
    </row>
    <row r="70" spans="1:6" s="29" customFormat="1" ht="14.45" customHeight="1">
      <c r="A70" s="30"/>
      <c r="B70" s="115"/>
      <c r="C70" s="100" t="s">
        <v>267</v>
      </c>
      <c r="D70" s="78">
        <v>14</v>
      </c>
      <c r="E70" s="75">
        <v>1E-3</v>
      </c>
      <c r="F70" s="30"/>
    </row>
    <row r="71" spans="1:6" s="29" customFormat="1" ht="14.45" customHeight="1">
      <c r="A71" s="30"/>
      <c r="B71" s="113" t="s">
        <v>52</v>
      </c>
      <c r="C71" s="58" t="s">
        <v>140</v>
      </c>
      <c r="D71" s="72">
        <v>212</v>
      </c>
      <c r="E71" s="71">
        <v>1.7999999999999999E-2</v>
      </c>
      <c r="F71" s="30"/>
    </row>
    <row r="72" spans="1:6" s="29" customFormat="1" ht="14.45" customHeight="1">
      <c r="A72" s="30"/>
      <c r="B72" s="114"/>
      <c r="C72" s="58" t="s">
        <v>141</v>
      </c>
      <c r="D72" s="72">
        <v>278</v>
      </c>
      <c r="E72" s="71">
        <v>2.3E-2</v>
      </c>
      <c r="F72" s="30"/>
    </row>
    <row r="73" spans="1:6" s="29" customFormat="1" ht="14.45" customHeight="1">
      <c r="A73" s="30"/>
      <c r="B73" s="115"/>
      <c r="C73" s="100" t="s">
        <v>267</v>
      </c>
      <c r="D73" s="78">
        <v>490</v>
      </c>
      <c r="E73" s="75">
        <v>4.1000000000000002E-2</v>
      </c>
      <c r="F73" s="30"/>
    </row>
    <row r="74" spans="1:6" s="29" customFormat="1" ht="14.45" customHeight="1">
      <c r="A74" s="30"/>
      <c r="B74" s="113" t="s">
        <v>69</v>
      </c>
      <c r="C74" s="58" t="s">
        <v>140</v>
      </c>
      <c r="D74" s="72">
        <v>30</v>
      </c>
      <c r="E74" s="71">
        <v>3.0000000000000001E-3</v>
      </c>
      <c r="F74" s="30"/>
    </row>
    <row r="75" spans="1:6" s="29" customFormat="1" ht="14.45" customHeight="1">
      <c r="A75" s="30"/>
      <c r="B75" s="114"/>
      <c r="C75" s="58" t="s">
        <v>141</v>
      </c>
      <c r="D75" s="72">
        <v>44</v>
      </c>
      <c r="E75" s="71">
        <v>4.0000000000000001E-3</v>
      </c>
      <c r="F75" s="30"/>
    </row>
    <row r="76" spans="1:6" s="29" customFormat="1" ht="14.45" customHeight="1">
      <c r="A76" s="30"/>
      <c r="B76" s="115"/>
      <c r="C76" s="100" t="s">
        <v>267</v>
      </c>
      <c r="D76" s="78">
        <v>74</v>
      </c>
      <c r="E76" s="75">
        <v>6.0000000000000001E-3</v>
      </c>
      <c r="F76" s="30"/>
    </row>
    <row r="77" spans="1:6" s="29" customFormat="1" ht="14.45" customHeight="1">
      <c r="A77" s="30"/>
      <c r="B77" s="113" t="s">
        <v>47</v>
      </c>
      <c r="C77" s="58" t="s">
        <v>140</v>
      </c>
      <c r="D77" s="70">
        <v>1152</v>
      </c>
      <c r="E77" s="71">
        <v>9.6000000000000002E-2</v>
      </c>
      <c r="F77" s="30"/>
    </row>
    <row r="78" spans="1:6" s="29" customFormat="1" ht="14.45" customHeight="1">
      <c r="A78" s="30"/>
      <c r="B78" s="114"/>
      <c r="C78" s="58" t="s">
        <v>141</v>
      </c>
      <c r="D78" s="70">
        <v>1160</v>
      </c>
      <c r="E78" s="71">
        <v>9.7000000000000003E-2</v>
      </c>
      <c r="F78" s="30"/>
    </row>
    <row r="79" spans="1:6" s="29" customFormat="1" ht="14.45" customHeight="1">
      <c r="A79" s="30"/>
      <c r="B79" s="115"/>
      <c r="C79" s="100" t="s">
        <v>267</v>
      </c>
      <c r="D79" s="78">
        <v>2312</v>
      </c>
      <c r="E79" s="75">
        <v>0.193</v>
      </c>
      <c r="F79" s="30"/>
    </row>
    <row r="80" spans="1:6" s="29" customFormat="1" ht="14.45" customHeight="1">
      <c r="A80" s="30"/>
      <c r="B80" s="113" t="s">
        <v>81</v>
      </c>
      <c r="C80" s="58" t="s">
        <v>140</v>
      </c>
      <c r="D80" s="72">
        <v>22</v>
      </c>
      <c r="E80" s="71">
        <v>2E-3</v>
      </c>
      <c r="F80" s="30"/>
    </row>
    <row r="81" spans="1:6" s="29" customFormat="1" ht="14.45" customHeight="1">
      <c r="A81" s="30"/>
      <c r="B81" s="114"/>
      <c r="C81" s="58" t="s">
        <v>141</v>
      </c>
      <c r="D81" s="72">
        <v>15</v>
      </c>
      <c r="E81" s="71">
        <v>1E-3</v>
      </c>
      <c r="F81" s="30"/>
    </row>
    <row r="82" spans="1:6" s="29" customFormat="1" ht="14.45" customHeight="1">
      <c r="A82" s="30"/>
      <c r="B82" s="115"/>
      <c r="C82" s="100" t="s">
        <v>267</v>
      </c>
      <c r="D82" s="78">
        <v>37</v>
      </c>
      <c r="E82" s="75">
        <v>3.0000000000000001E-3</v>
      </c>
      <c r="F82" s="30"/>
    </row>
    <row r="83" spans="1:6" s="29" customFormat="1" ht="14.45" customHeight="1">
      <c r="A83" s="30"/>
      <c r="B83" s="113" t="s">
        <v>82</v>
      </c>
      <c r="C83" s="58" t="s">
        <v>140</v>
      </c>
      <c r="D83" s="72">
        <v>15</v>
      </c>
      <c r="E83" s="71">
        <v>1E-3</v>
      </c>
      <c r="F83" s="30"/>
    </row>
    <row r="84" spans="1:6" s="29" customFormat="1" ht="14.45" customHeight="1">
      <c r="A84" s="30"/>
      <c r="B84" s="114"/>
      <c r="C84" s="58" t="s">
        <v>141</v>
      </c>
      <c r="D84" s="72">
        <v>17</v>
      </c>
      <c r="E84" s="71">
        <v>1E-3</v>
      </c>
      <c r="F84" s="30"/>
    </row>
    <row r="85" spans="1:6" s="29" customFormat="1" ht="14.45" customHeight="1">
      <c r="A85" s="30"/>
      <c r="B85" s="115"/>
      <c r="C85" s="100" t="s">
        <v>267</v>
      </c>
      <c r="D85" s="78">
        <v>32</v>
      </c>
      <c r="E85" s="75">
        <v>3.0000000000000001E-3</v>
      </c>
      <c r="F85" s="30"/>
    </row>
    <row r="86" spans="1:6" s="29" customFormat="1" ht="14.45" customHeight="1">
      <c r="A86" s="30"/>
      <c r="B86" s="113" t="s">
        <v>87</v>
      </c>
      <c r="C86" s="58" t="s">
        <v>140</v>
      </c>
      <c r="D86" s="72">
        <v>8</v>
      </c>
      <c r="E86" s="71">
        <v>1E-3</v>
      </c>
      <c r="F86" s="30"/>
    </row>
    <row r="87" spans="1:6" s="29" customFormat="1" ht="14.45" customHeight="1">
      <c r="A87" s="30"/>
      <c r="B87" s="114"/>
      <c r="C87" s="58" t="s">
        <v>141</v>
      </c>
      <c r="D87" s="72">
        <v>16</v>
      </c>
      <c r="E87" s="71">
        <v>1E-3</v>
      </c>
      <c r="F87" s="30"/>
    </row>
    <row r="88" spans="1:6" s="29" customFormat="1" ht="14.45" customHeight="1">
      <c r="A88" s="30"/>
      <c r="B88" s="115"/>
      <c r="C88" s="100" t="s">
        <v>267</v>
      </c>
      <c r="D88" s="78">
        <v>24</v>
      </c>
      <c r="E88" s="75">
        <v>2E-3</v>
      </c>
      <c r="F88" s="30"/>
    </row>
    <row r="89" spans="1:6" s="29" customFormat="1" ht="14.45" customHeight="1">
      <c r="A89" s="30"/>
      <c r="B89" s="113" t="s">
        <v>95</v>
      </c>
      <c r="C89" s="58" t="s">
        <v>140</v>
      </c>
      <c r="D89" s="72">
        <v>7</v>
      </c>
      <c r="E89" s="71">
        <v>1E-3</v>
      </c>
      <c r="F89" s="30"/>
    </row>
    <row r="90" spans="1:6" s="29" customFormat="1" ht="14.45" customHeight="1">
      <c r="A90" s="30"/>
      <c r="B90" s="114"/>
      <c r="C90" s="58" t="s">
        <v>141</v>
      </c>
      <c r="D90" s="72">
        <v>10</v>
      </c>
      <c r="E90" s="71">
        <v>1E-3</v>
      </c>
      <c r="F90" s="30"/>
    </row>
    <row r="91" spans="1:6" s="29" customFormat="1" ht="14.45" customHeight="1">
      <c r="A91" s="30"/>
      <c r="B91" s="115"/>
      <c r="C91" s="100" t="s">
        <v>267</v>
      </c>
      <c r="D91" s="78">
        <v>17</v>
      </c>
      <c r="E91" s="75">
        <v>1E-3</v>
      </c>
      <c r="F91" s="30"/>
    </row>
    <row r="92" spans="1:6" s="29" customFormat="1" ht="14.45" customHeight="1">
      <c r="A92" s="30"/>
      <c r="B92" s="113" t="s">
        <v>90</v>
      </c>
      <c r="C92" s="58" t="s">
        <v>140</v>
      </c>
      <c r="D92" s="72">
        <v>8</v>
      </c>
      <c r="E92" s="71">
        <v>1E-3</v>
      </c>
      <c r="F92" s="30"/>
    </row>
    <row r="93" spans="1:6" s="29" customFormat="1" ht="14.45" customHeight="1">
      <c r="A93" s="30"/>
      <c r="B93" s="114"/>
      <c r="C93" s="58" t="s">
        <v>141</v>
      </c>
      <c r="D93" s="72">
        <v>9</v>
      </c>
      <c r="E93" s="71">
        <v>1E-3</v>
      </c>
      <c r="F93" s="30"/>
    </row>
    <row r="94" spans="1:6" s="29" customFormat="1" ht="14.45" customHeight="1">
      <c r="A94" s="30"/>
      <c r="B94" s="115"/>
      <c r="C94" s="100" t="s">
        <v>267</v>
      </c>
      <c r="D94" s="78">
        <v>17</v>
      </c>
      <c r="E94" s="75">
        <v>1E-3</v>
      </c>
      <c r="F94" s="30"/>
    </row>
    <row r="95" spans="1:6" s="29" customFormat="1" ht="14.45" customHeight="1">
      <c r="A95" s="30"/>
      <c r="B95" s="113" t="s">
        <v>77</v>
      </c>
      <c r="C95" s="58" t="s">
        <v>140</v>
      </c>
      <c r="D95" s="72">
        <v>32</v>
      </c>
      <c r="E95" s="71">
        <v>3.0000000000000001E-3</v>
      </c>
      <c r="F95" s="30"/>
    </row>
    <row r="96" spans="1:6" s="29" customFormat="1" ht="14.45" customHeight="1">
      <c r="A96" s="30"/>
      <c r="B96" s="114"/>
      <c r="C96" s="58" t="s">
        <v>141</v>
      </c>
      <c r="D96" s="72">
        <v>15</v>
      </c>
      <c r="E96" s="71">
        <v>1E-3</v>
      </c>
      <c r="F96" s="30"/>
    </row>
    <row r="97" spans="1:6" s="29" customFormat="1" ht="14.45" customHeight="1">
      <c r="A97" s="30"/>
      <c r="B97" s="115"/>
      <c r="C97" s="100" t="s">
        <v>267</v>
      </c>
      <c r="D97" s="78">
        <v>47</v>
      </c>
      <c r="E97" s="75">
        <v>4.0000000000000001E-3</v>
      </c>
      <c r="F97" s="30"/>
    </row>
    <row r="98" spans="1:6" s="29" customFormat="1" ht="14.45" customHeight="1">
      <c r="A98" s="30"/>
      <c r="B98" s="113" t="s">
        <v>80</v>
      </c>
      <c r="C98" s="58" t="s">
        <v>140</v>
      </c>
      <c r="D98" s="72">
        <v>13</v>
      </c>
      <c r="E98" s="71">
        <v>1E-3</v>
      </c>
      <c r="F98" s="30"/>
    </row>
    <row r="99" spans="1:6" s="29" customFormat="1" ht="14.45" customHeight="1">
      <c r="A99" s="30"/>
      <c r="B99" s="114"/>
      <c r="C99" s="58" t="s">
        <v>141</v>
      </c>
      <c r="D99" s="72">
        <v>21</v>
      </c>
      <c r="E99" s="71">
        <v>2E-3</v>
      </c>
      <c r="F99" s="30"/>
    </row>
    <row r="100" spans="1:6" s="29" customFormat="1" ht="14.45" customHeight="1">
      <c r="A100" s="30"/>
      <c r="B100" s="115"/>
      <c r="C100" s="100" t="s">
        <v>267</v>
      </c>
      <c r="D100" s="78">
        <v>34</v>
      </c>
      <c r="E100" s="75">
        <v>3.0000000000000001E-3</v>
      </c>
      <c r="F100" s="30"/>
    </row>
    <row r="101" spans="1:6" s="29" customFormat="1" ht="14.45" customHeight="1">
      <c r="A101" s="30"/>
      <c r="B101" s="113" t="s">
        <v>68</v>
      </c>
      <c r="C101" s="58" t="s">
        <v>140</v>
      </c>
      <c r="D101" s="72">
        <v>43</v>
      </c>
      <c r="E101" s="71">
        <v>4.0000000000000001E-3</v>
      </c>
      <c r="F101" s="30"/>
    </row>
    <row r="102" spans="1:6" s="29" customFormat="1" ht="14.45" customHeight="1">
      <c r="A102" s="30"/>
      <c r="B102" s="114"/>
      <c r="C102" s="58" t="s">
        <v>141</v>
      </c>
      <c r="D102" s="72">
        <v>48</v>
      </c>
      <c r="E102" s="71">
        <v>4.0000000000000001E-3</v>
      </c>
      <c r="F102" s="30"/>
    </row>
    <row r="103" spans="1:6" s="29" customFormat="1" ht="14.45" customHeight="1">
      <c r="A103" s="30"/>
      <c r="B103" s="115"/>
      <c r="C103" s="100" t="s">
        <v>267</v>
      </c>
      <c r="D103" s="78">
        <v>91</v>
      </c>
      <c r="E103" s="75">
        <v>8.0000000000000002E-3</v>
      </c>
      <c r="F103" s="30"/>
    </row>
    <row r="104" spans="1:6" s="29" customFormat="1" ht="14.45" customHeight="1">
      <c r="A104" s="30"/>
      <c r="B104" s="113" t="s">
        <v>71</v>
      </c>
      <c r="C104" s="58" t="s">
        <v>140</v>
      </c>
      <c r="D104" s="72">
        <v>46</v>
      </c>
      <c r="E104" s="71">
        <v>4.0000000000000001E-3</v>
      </c>
      <c r="F104" s="30"/>
    </row>
    <row r="105" spans="1:6" s="29" customFormat="1" ht="14.45" customHeight="1">
      <c r="A105" s="30"/>
      <c r="B105" s="114"/>
      <c r="C105" s="58" t="s">
        <v>141</v>
      </c>
      <c r="D105" s="72">
        <v>51</v>
      </c>
      <c r="E105" s="71">
        <v>4.0000000000000001E-3</v>
      </c>
      <c r="F105" s="30"/>
    </row>
    <row r="106" spans="1:6" s="29" customFormat="1" ht="14.45" customHeight="1">
      <c r="A106" s="30"/>
      <c r="B106" s="115"/>
      <c r="C106" s="100" t="s">
        <v>267</v>
      </c>
      <c r="D106" s="78">
        <v>97</v>
      </c>
      <c r="E106" s="75">
        <v>8.0000000000000002E-3</v>
      </c>
      <c r="F106" s="30"/>
    </row>
    <row r="107" spans="1:6" s="29" customFormat="1" ht="14.45" customHeight="1">
      <c r="A107" s="30"/>
      <c r="B107" s="113" t="s">
        <v>73</v>
      </c>
      <c r="C107" s="58" t="s">
        <v>140</v>
      </c>
      <c r="D107" s="72">
        <v>23</v>
      </c>
      <c r="E107" s="71">
        <v>2E-3</v>
      </c>
      <c r="F107" s="30"/>
    </row>
    <row r="108" spans="1:6" s="29" customFormat="1" ht="14.45" customHeight="1">
      <c r="A108" s="30"/>
      <c r="B108" s="114"/>
      <c r="C108" s="58" t="s">
        <v>141</v>
      </c>
      <c r="D108" s="72">
        <v>28</v>
      </c>
      <c r="E108" s="71">
        <v>2E-3</v>
      </c>
      <c r="F108" s="30"/>
    </row>
    <row r="109" spans="1:6" s="29" customFormat="1" ht="14.45" customHeight="1">
      <c r="A109" s="30"/>
      <c r="B109" s="115"/>
      <c r="C109" s="100" t="s">
        <v>267</v>
      </c>
      <c r="D109" s="78">
        <v>51</v>
      </c>
      <c r="E109" s="75">
        <v>4.0000000000000001E-3</v>
      </c>
      <c r="F109" s="30"/>
    </row>
    <row r="110" spans="1:6" s="29" customFormat="1" ht="14.45" customHeight="1">
      <c r="A110" s="30"/>
      <c r="B110" s="113" t="s">
        <v>59</v>
      </c>
      <c r="C110" s="58" t="s">
        <v>140</v>
      </c>
      <c r="D110" s="72">
        <v>121</v>
      </c>
      <c r="E110" s="71">
        <v>0.01</v>
      </c>
      <c r="F110" s="30"/>
    </row>
    <row r="111" spans="1:6" s="29" customFormat="1" ht="14.45" customHeight="1">
      <c r="A111" s="30"/>
      <c r="B111" s="114"/>
      <c r="C111" s="58" t="s">
        <v>141</v>
      </c>
      <c r="D111" s="72">
        <v>123</v>
      </c>
      <c r="E111" s="71">
        <v>0.01</v>
      </c>
      <c r="F111" s="30"/>
    </row>
    <row r="112" spans="1:6" s="29" customFormat="1" ht="14.45" customHeight="1">
      <c r="A112" s="30"/>
      <c r="B112" s="115"/>
      <c r="C112" s="100" t="s">
        <v>267</v>
      </c>
      <c r="D112" s="78">
        <v>244</v>
      </c>
      <c r="E112" s="75">
        <v>0.02</v>
      </c>
      <c r="F112" s="30"/>
    </row>
    <row r="113" spans="1:6" s="29" customFormat="1" ht="14.45" customHeight="1">
      <c r="A113" s="30"/>
      <c r="B113" s="113" t="s">
        <v>48</v>
      </c>
      <c r="C113" s="58" t="s">
        <v>140</v>
      </c>
      <c r="D113" s="72">
        <v>635</v>
      </c>
      <c r="E113" s="71">
        <v>5.2999999999999999E-2</v>
      </c>
      <c r="F113" s="30"/>
    </row>
    <row r="114" spans="1:6" s="29" customFormat="1" ht="14.45" customHeight="1">
      <c r="A114" s="30"/>
      <c r="B114" s="114"/>
      <c r="C114" s="58" t="s">
        <v>141</v>
      </c>
      <c r="D114" s="72">
        <v>952</v>
      </c>
      <c r="E114" s="71">
        <v>7.9000000000000001E-2</v>
      </c>
      <c r="F114" s="30"/>
    </row>
    <row r="115" spans="1:6" s="29" customFormat="1" ht="14.45" customHeight="1">
      <c r="A115" s="30"/>
      <c r="B115" s="115"/>
      <c r="C115" s="100" t="s">
        <v>267</v>
      </c>
      <c r="D115" s="78">
        <v>1587</v>
      </c>
      <c r="E115" s="75">
        <v>0.13200000000000001</v>
      </c>
      <c r="F115" s="30"/>
    </row>
    <row r="116" spans="1:6" s="29" customFormat="1" ht="14.45" customHeight="1">
      <c r="A116" s="30"/>
      <c r="B116" s="113" t="s">
        <v>75</v>
      </c>
      <c r="C116" s="58" t="s">
        <v>140</v>
      </c>
      <c r="D116" s="72">
        <v>29</v>
      </c>
      <c r="E116" s="71">
        <v>2E-3</v>
      </c>
      <c r="F116" s="30"/>
    </row>
    <row r="117" spans="1:6" s="29" customFormat="1" ht="14.45" customHeight="1">
      <c r="A117" s="30"/>
      <c r="B117" s="114"/>
      <c r="C117" s="58" t="s">
        <v>141</v>
      </c>
      <c r="D117" s="72">
        <v>39</v>
      </c>
      <c r="E117" s="71">
        <v>3.0000000000000001E-3</v>
      </c>
      <c r="F117" s="30"/>
    </row>
    <row r="118" spans="1:6" s="29" customFormat="1" ht="14.45" customHeight="1">
      <c r="A118" s="30"/>
      <c r="B118" s="115"/>
      <c r="C118" s="100" t="s">
        <v>267</v>
      </c>
      <c r="D118" s="78">
        <v>68</v>
      </c>
      <c r="E118" s="75">
        <v>6.0000000000000001E-3</v>
      </c>
      <c r="F118" s="30"/>
    </row>
    <row r="119" spans="1:6" s="29" customFormat="1" ht="14.45" customHeight="1">
      <c r="A119" s="30"/>
      <c r="B119" s="113" t="s">
        <v>92</v>
      </c>
      <c r="C119" s="58" t="s">
        <v>140</v>
      </c>
      <c r="D119" s="72">
        <v>6</v>
      </c>
      <c r="E119" s="71">
        <v>1E-3</v>
      </c>
      <c r="F119" s="30"/>
    </row>
    <row r="120" spans="1:6" s="29" customFormat="1" ht="14.45" customHeight="1">
      <c r="A120" s="30"/>
      <c r="B120" s="114"/>
      <c r="C120" s="58" t="s">
        <v>141</v>
      </c>
      <c r="D120" s="72">
        <v>13</v>
      </c>
      <c r="E120" s="71">
        <v>1E-3</v>
      </c>
      <c r="F120" s="30"/>
    </row>
    <row r="121" spans="1:6" s="29" customFormat="1" ht="14.45" customHeight="1">
      <c r="A121" s="30"/>
      <c r="B121" s="115"/>
      <c r="C121" s="100" t="s">
        <v>267</v>
      </c>
      <c r="D121" s="78">
        <v>19</v>
      </c>
      <c r="E121" s="75">
        <v>2E-3</v>
      </c>
      <c r="F121" s="30"/>
    </row>
    <row r="122" spans="1:6" s="29" customFormat="1" ht="14.45" customHeight="1">
      <c r="A122" s="30"/>
      <c r="B122" s="113" t="s">
        <v>61</v>
      </c>
      <c r="C122" s="58" t="s">
        <v>140</v>
      </c>
      <c r="D122" s="72">
        <v>96</v>
      </c>
      <c r="E122" s="71">
        <v>8.0000000000000002E-3</v>
      </c>
      <c r="F122" s="30"/>
    </row>
    <row r="123" spans="1:6" s="29" customFormat="1" ht="14.45" customHeight="1">
      <c r="A123" s="30"/>
      <c r="B123" s="114"/>
      <c r="C123" s="58" t="s">
        <v>141</v>
      </c>
      <c r="D123" s="72">
        <v>80</v>
      </c>
      <c r="E123" s="71">
        <v>7.0000000000000001E-3</v>
      </c>
      <c r="F123" s="30"/>
    </row>
    <row r="124" spans="1:6" s="29" customFormat="1" ht="14.45" customHeight="1">
      <c r="A124" s="30"/>
      <c r="B124" s="115"/>
      <c r="C124" s="100" t="s">
        <v>267</v>
      </c>
      <c r="D124" s="78">
        <v>176</v>
      </c>
      <c r="E124" s="75">
        <v>1.4999999999999999E-2</v>
      </c>
      <c r="F124" s="30"/>
    </row>
    <row r="125" spans="1:6" s="29" customFormat="1" ht="14.45" customHeight="1">
      <c r="A125" s="30"/>
      <c r="B125" s="113" t="s">
        <v>51</v>
      </c>
      <c r="C125" s="58" t="s">
        <v>140</v>
      </c>
      <c r="D125" s="72">
        <v>239</v>
      </c>
      <c r="E125" s="71">
        <v>0.02</v>
      </c>
      <c r="F125" s="30"/>
    </row>
    <row r="126" spans="1:6" s="29" customFormat="1" ht="14.45" customHeight="1">
      <c r="A126" s="30"/>
      <c r="B126" s="114"/>
      <c r="C126" s="58" t="s">
        <v>141</v>
      </c>
      <c r="D126" s="72">
        <v>325</v>
      </c>
      <c r="E126" s="71">
        <v>2.7E-2</v>
      </c>
      <c r="F126" s="30"/>
    </row>
    <row r="127" spans="1:6" s="29" customFormat="1" ht="14.45" customHeight="1">
      <c r="A127" s="30"/>
      <c r="B127" s="115"/>
      <c r="C127" s="100" t="s">
        <v>267</v>
      </c>
      <c r="D127" s="78">
        <v>564</v>
      </c>
      <c r="E127" s="75">
        <v>4.7E-2</v>
      </c>
      <c r="F127" s="30"/>
    </row>
    <row r="128" spans="1:6" s="29" customFormat="1" ht="14.45" customHeight="1">
      <c r="A128" s="30"/>
      <c r="B128" s="113" t="s">
        <v>70</v>
      </c>
      <c r="C128" s="58" t="s">
        <v>140</v>
      </c>
      <c r="D128" s="72">
        <v>31</v>
      </c>
      <c r="E128" s="71">
        <v>3.0000000000000001E-3</v>
      </c>
      <c r="F128" s="30"/>
    </row>
    <row r="129" spans="1:6" s="29" customFormat="1" ht="14.45" customHeight="1">
      <c r="A129" s="30"/>
      <c r="B129" s="114"/>
      <c r="C129" s="58" t="s">
        <v>141</v>
      </c>
      <c r="D129" s="72">
        <v>54</v>
      </c>
      <c r="E129" s="71">
        <v>5.0000000000000001E-3</v>
      </c>
      <c r="F129" s="30"/>
    </row>
    <row r="130" spans="1:6" s="29" customFormat="1" ht="14.45" customHeight="1">
      <c r="A130" s="30"/>
      <c r="B130" s="115"/>
      <c r="C130" s="100" t="s">
        <v>267</v>
      </c>
      <c r="D130" s="78">
        <v>85</v>
      </c>
      <c r="E130" s="75">
        <v>7.0000000000000001E-3</v>
      </c>
      <c r="F130" s="30"/>
    </row>
    <row r="131" spans="1:6" s="29" customFormat="1" ht="14.45" customHeight="1">
      <c r="A131" s="30"/>
      <c r="B131" s="113" t="s">
        <v>63</v>
      </c>
      <c r="C131" s="58" t="s">
        <v>140</v>
      </c>
      <c r="D131" s="72">
        <v>68</v>
      </c>
      <c r="E131" s="71">
        <v>6.0000000000000001E-3</v>
      </c>
      <c r="F131" s="30"/>
    </row>
    <row r="132" spans="1:6" s="29" customFormat="1" ht="14.45" customHeight="1">
      <c r="A132" s="30"/>
      <c r="B132" s="114"/>
      <c r="C132" s="58" t="s">
        <v>141</v>
      </c>
      <c r="D132" s="72">
        <v>120</v>
      </c>
      <c r="E132" s="71">
        <v>0.01</v>
      </c>
      <c r="F132" s="30"/>
    </row>
    <row r="133" spans="1:6" s="29" customFormat="1" ht="14.45" customHeight="1">
      <c r="A133" s="30"/>
      <c r="B133" s="115"/>
      <c r="C133" s="100" t="s">
        <v>267</v>
      </c>
      <c r="D133" s="78">
        <v>188</v>
      </c>
      <c r="E133" s="75">
        <v>1.6E-2</v>
      </c>
      <c r="F133" s="30"/>
    </row>
    <row r="134" spans="1:6" s="29" customFormat="1" ht="14.45" customHeight="1">
      <c r="A134" s="30"/>
      <c r="B134" s="113" t="s">
        <v>78</v>
      </c>
      <c r="C134" s="58" t="s">
        <v>140</v>
      </c>
      <c r="D134" s="72">
        <v>23</v>
      </c>
      <c r="E134" s="71">
        <v>2E-3</v>
      </c>
      <c r="F134" s="30"/>
    </row>
    <row r="135" spans="1:6" s="29" customFormat="1" ht="14.45" customHeight="1">
      <c r="A135" s="30"/>
      <c r="B135" s="114"/>
      <c r="C135" s="58" t="s">
        <v>141</v>
      </c>
      <c r="D135" s="72">
        <v>28</v>
      </c>
      <c r="E135" s="71">
        <v>2E-3</v>
      </c>
      <c r="F135" s="30"/>
    </row>
    <row r="136" spans="1:6" s="29" customFormat="1" ht="14.45" customHeight="1">
      <c r="A136" s="30"/>
      <c r="B136" s="115"/>
      <c r="C136" s="100" t="s">
        <v>267</v>
      </c>
      <c r="D136" s="78">
        <v>51</v>
      </c>
      <c r="E136" s="75">
        <v>4.0000000000000001E-3</v>
      </c>
      <c r="F136" s="30"/>
    </row>
    <row r="137" spans="1:6" s="29" customFormat="1" ht="14.45" customHeight="1">
      <c r="A137" s="30"/>
      <c r="B137" s="113" t="s">
        <v>50</v>
      </c>
      <c r="C137" s="58" t="s">
        <v>140</v>
      </c>
      <c r="D137" s="72">
        <v>569</v>
      </c>
      <c r="E137" s="71">
        <v>4.7E-2</v>
      </c>
      <c r="F137" s="30"/>
    </row>
    <row r="138" spans="1:6" s="29" customFormat="1" ht="14.45" customHeight="1">
      <c r="A138" s="30"/>
      <c r="B138" s="114"/>
      <c r="C138" s="58" t="s">
        <v>141</v>
      </c>
      <c r="D138" s="72">
        <v>646</v>
      </c>
      <c r="E138" s="71">
        <v>5.3999999999999999E-2</v>
      </c>
      <c r="F138" s="30"/>
    </row>
    <row r="139" spans="1:6" s="29" customFormat="1" ht="14.45" customHeight="1">
      <c r="A139" s="30"/>
      <c r="B139" s="115"/>
      <c r="C139" s="100" t="s">
        <v>267</v>
      </c>
      <c r="D139" s="78">
        <v>1215</v>
      </c>
      <c r="E139" s="75">
        <v>0.10100000000000001</v>
      </c>
      <c r="F139" s="30"/>
    </row>
    <row r="140" spans="1:6" s="29" customFormat="1" ht="14.45" customHeight="1">
      <c r="A140" s="30"/>
      <c r="B140" s="113" t="s">
        <v>55</v>
      </c>
      <c r="C140" s="58" t="s">
        <v>140</v>
      </c>
      <c r="D140" s="72">
        <v>210</v>
      </c>
      <c r="E140" s="71">
        <v>1.7999999999999999E-2</v>
      </c>
      <c r="F140" s="30"/>
    </row>
    <row r="141" spans="1:6" s="29" customFormat="1" ht="14.45" customHeight="1">
      <c r="A141" s="30"/>
      <c r="B141" s="114"/>
      <c r="C141" s="58" t="s">
        <v>141</v>
      </c>
      <c r="D141" s="72">
        <v>205</v>
      </c>
      <c r="E141" s="71">
        <v>1.7000000000000001E-2</v>
      </c>
      <c r="F141" s="30"/>
    </row>
    <row r="142" spans="1:6" s="29" customFormat="1" ht="14.45" customHeight="1">
      <c r="A142" s="30"/>
      <c r="B142" s="115"/>
      <c r="C142" s="100" t="s">
        <v>267</v>
      </c>
      <c r="D142" s="78">
        <v>415</v>
      </c>
      <c r="E142" s="75">
        <v>3.5000000000000003E-2</v>
      </c>
      <c r="F142" s="30"/>
    </row>
    <row r="143" spans="1:6" s="29" customFormat="1" ht="14.45" customHeight="1">
      <c r="A143" s="30"/>
      <c r="B143" s="113" t="s">
        <v>57</v>
      </c>
      <c r="C143" s="58" t="s">
        <v>140</v>
      </c>
      <c r="D143" s="72">
        <v>128</v>
      </c>
      <c r="E143" s="71">
        <v>1.0999999999999999E-2</v>
      </c>
      <c r="F143" s="30"/>
    </row>
    <row r="144" spans="1:6" s="29" customFormat="1" ht="14.45" customHeight="1">
      <c r="A144" s="30"/>
      <c r="B144" s="114"/>
      <c r="C144" s="58" t="s">
        <v>141</v>
      </c>
      <c r="D144" s="72">
        <v>182</v>
      </c>
      <c r="E144" s="71">
        <v>1.4999999999999999E-2</v>
      </c>
      <c r="F144" s="30"/>
    </row>
    <row r="145" spans="1:6" s="29" customFormat="1" ht="14.45" customHeight="1">
      <c r="A145" s="30"/>
      <c r="B145" s="115"/>
      <c r="C145" s="100" t="s">
        <v>267</v>
      </c>
      <c r="D145" s="78">
        <v>310</v>
      </c>
      <c r="E145" s="75">
        <v>2.5999999999999999E-2</v>
      </c>
      <c r="F145" s="30"/>
    </row>
    <row r="146" spans="1:6" s="29" customFormat="1" ht="14.45" customHeight="1">
      <c r="A146" s="30"/>
      <c r="B146" s="113" t="s">
        <v>53</v>
      </c>
      <c r="C146" s="58" t="s">
        <v>140</v>
      </c>
      <c r="D146" s="72">
        <v>217</v>
      </c>
      <c r="E146" s="71">
        <v>1.7999999999999999E-2</v>
      </c>
      <c r="F146" s="30"/>
    </row>
    <row r="147" spans="1:6" s="29" customFormat="1" ht="14.45" customHeight="1">
      <c r="A147" s="30"/>
      <c r="B147" s="114"/>
      <c r="C147" s="58" t="s">
        <v>141</v>
      </c>
      <c r="D147" s="72">
        <v>271</v>
      </c>
      <c r="E147" s="71">
        <v>2.3E-2</v>
      </c>
      <c r="F147" s="30"/>
    </row>
    <row r="148" spans="1:6" s="29" customFormat="1" ht="14.45" customHeight="1">
      <c r="A148" s="30"/>
      <c r="B148" s="115"/>
      <c r="C148" s="100" t="s">
        <v>267</v>
      </c>
      <c r="D148" s="78">
        <v>488</v>
      </c>
      <c r="E148" s="75">
        <v>4.1000000000000002E-2</v>
      </c>
      <c r="F148" s="30"/>
    </row>
    <row r="149" spans="1:6" s="29" customFormat="1" ht="14.45" customHeight="1">
      <c r="A149" s="30"/>
      <c r="B149" s="113" t="s">
        <v>54</v>
      </c>
      <c r="C149" s="58" t="s">
        <v>140</v>
      </c>
      <c r="D149" s="72">
        <v>207</v>
      </c>
      <c r="E149" s="71">
        <v>1.7000000000000001E-2</v>
      </c>
      <c r="F149" s="30"/>
    </row>
    <row r="150" spans="1:6" s="29" customFormat="1" ht="14.45" customHeight="1">
      <c r="A150" s="30"/>
      <c r="B150" s="114"/>
      <c r="C150" s="58" t="s">
        <v>141</v>
      </c>
      <c r="D150" s="72">
        <v>233</v>
      </c>
      <c r="E150" s="71">
        <v>1.9E-2</v>
      </c>
      <c r="F150" s="30"/>
    </row>
    <row r="151" spans="1:6" s="29" customFormat="1" ht="14.45" customHeight="1">
      <c r="A151" s="30"/>
      <c r="B151" s="115"/>
      <c r="C151" s="100" t="s">
        <v>267</v>
      </c>
      <c r="D151" s="78">
        <v>440</v>
      </c>
      <c r="E151" s="75">
        <v>3.6999999999999998E-2</v>
      </c>
      <c r="F151" s="30"/>
    </row>
    <row r="152" spans="1:6" s="29" customFormat="1" ht="14.45" customHeight="1">
      <c r="A152" s="30"/>
      <c r="B152" s="113" t="s">
        <v>67</v>
      </c>
      <c r="C152" s="58" t="s">
        <v>140</v>
      </c>
      <c r="D152" s="72">
        <v>20</v>
      </c>
      <c r="E152" s="71">
        <v>2E-3</v>
      </c>
      <c r="F152" s="30"/>
    </row>
    <row r="153" spans="1:6" s="29" customFormat="1" ht="14.45" customHeight="1">
      <c r="A153" s="30"/>
      <c r="B153" s="114"/>
      <c r="C153" s="58" t="s">
        <v>141</v>
      </c>
      <c r="D153" s="72">
        <v>48</v>
      </c>
      <c r="E153" s="71">
        <v>4.0000000000000001E-3</v>
      </c>
      <c r="F153" s="30"/>
    </row>
    <row r="154" spans="1:6" s="29" customFormat="1" ht="14.45" customHeight="1">
      <c r="A154" s="30"/>
      <c r="B154" s="115"/>
      <c r="C154" s="100" t="s">
        <v>267</v>
      </c>
      <c r="D154" s="78">
        <v>68</v>
      </c>
      <c r="E154" s="75">
        <v>6.0000000000000001E-3</v>
      </c>
      <c r="F154" s="30"/>
    </row>
    <row r="155" spans="1:6" s="29" customFormat="1" ht="14.45" customHeight="1">
      <c r="A155" s="30"/>
      <c r="B155" s="113" t="s">
        <v>58</v>
      </c>
      <c r="C155" s="58" t="s">
        <v>140</v>
      </c>
      <c r="D155" s="72">
        <v>85</v>
      </c>
      <c r="E155" s="71">
        <v>7.0000000000000001E-3</v>
      </c>
      <c r="F155" s="30"/>
    </row>
    <row r="156" spans="1:6" s="29" customFormat="1" ht="14.45" customHeight="1">
      <c r="A156" s="30"/>
      <c r="B156" s="114"/>
      <c r="C156" s="58" t="s">
        <v>141</v>
      </c>
      <c r="D156" s="72">
        <v>101</v>
      </c>
      <c r="E156" s="71">
        <v>8.0000000000000002E-3</v>
      </c>
      <c r="F156" s="30"/>
    </row>
    <row r="157" spans="1:6" s="29" customFormat="1" ht="14.45" customHeight="1">
      <c r="A157" s="30"/>
      <c r="B157" s="115"/>
      <c r="C157" s="100" t="s">
        <v>267</v>
      </c>
      <c r="D157" s="78">
        <v>186</v>
      </c>
      <c r="E157" s="75">
        <v>1.6E-2</v>
      </c>
      <c r="F157" s="30"/>
    </row>
    <row r="158" spans="1:6" s="29" customFormat="1" ht="14.45" customHeight="1">
      <c r="A158" s="30"/>
      <c r="B158" s="113" t="s">
        <v>89</v>
      </c>
      <c r="C158" s="58" t="s">
        <v>140</v>
      </c>
      <c r="D158" s="72">
        <v>16</v>
      </c>
      <c r="E158" s="71">
        <v>1E-3</v>
      </c>
      <c r="F158" s="30"/>
    </row>
    <row r="159" spans="1:6" s="29" customFormat="1" ht="14.45" customHeight="1">
      <c r="A159" s="30"/>
      <c r="B159" s="114"/>
      <c r="C159" s="58" t="s">
        <v>141</v>
      </c>
      <c r="D159" s="72">
        <v>14</v>
      </c>
      <c r="E159" s="71">
        <v>1E-3</v>
      </c>
      <c r="F159" s="30"/>
    </row>
    <row r="160" spans="1:6" s="29" customFormat="1" ht="14.45" customHeight="1">
      <c r="A160" s="30"/>
      <c r="B160" s="115"/>
      <c r="C160" s="100" t="s">
        <v>267</v>
      </c>
      <c r="D160" s="78">
        <v>30</v>
      </c>
      <c r="E160" s="75">
        <v>3.0000000000000001E-3</v>
      </c>
      <c r="F160" s="30"/>
    </row>
    <row r="161" spans="1:6" s="29" customFormat="1" ht="14.45" customHeight="1">
      <c r="A161" s="30"/>
      <c r="B161" s="113" t="s">
        <v>76</v>
      </c>
      <c r="C161" s="58" t="s">
        <v>140</v>
      </c>
      <c r="D161" s="72">
        <v>22</v>
      </c>
      <c r="E161" s="71">
        <v>2E-3</v>
      </c>
      <c r="F161" s="30"/>
    </row>
    <row r="162" spans="1:6" s="29" customFormat="1" ht="14.45" customHeight="1">
      <c r="A162" s="30"/>
      <c r="B162" s="114"/>
      <c r="C162" s="58" t="s">
        <v>141</v>
      </c>
      <c r="D162" s="72">
        <v>29</v>
      </c>
      <c r="E162" s="71">
        <v>2E-3</v>
      </c>
      <c r="F162" s="30"/>
    </row>
    <row r="163" spans="1:6" s="29" customFormat="1" ht="14.45" customHeight="1">
      <c r="A163" s="30"/>
      <c r="B163" s="114"/>
      <c r="C163" s="100" t="s">
        <v>267</v>
      </c>
      <c r="D163" s="78">
        <v>51</v>
      </c>
      <c r="E163" s="75">
        <v>4.0000000000000001E-3</v>
      </c>
      <c r="F163" s="30"/>
    </row>
    <row r="164" spans="1:6" s="29" customFormat="1" ht="14.45" customHeight="1">
      <c r="A164" s="30"/>
      <c r="B164" s="122" t="s">
        <v>267</v>
      </c>
      <c r="C164" s="123"/>
      <c r="D164" s="41">
        <v>11981</v>
      </c>
      <c r="E164" s="101">
        <v>1</v>
      </c>
      <c r="F164" s="30"/>
    </row>
    <row r="165" spans="1:6" s="29" customFormat="1" ht="14.45" customHeight="1">
      <c r="A165" s="30"/>
      <c r="B165" s="36"/>
      <c r="C165" s="43"/>
      <c r="D165" s="57"/>
      <c r="E165" s="43"/>
      <c r="F165" s="30"/>
    </row>
    <row r="166" spans="1:6" s="29" customFormat="1" ht="14.45" customHeight="1">
      <c r="A166" s="30"/>
      <c r="B166" s="35" t="s">
        <v>235</v>
      </c>
      <c r="C166" s="33"/>
      <c r="D166" s="57"/>
      <c r="E166" s="43"/>
      <c r="F166" s="30"/>
    </row>
    <row r="167" spans="1:6" s="29" customFormat="1" ht="14.45" customHeight="1">
      <c r="A167" s="30"/>
      <c r="B167" s="33" t="s">
        <v>18</v>
      </c>
      <c r="C167" s="36"/>
      <c r="D167" s="57"/>
      <c r="E167" s="43"/>
      <c r="F167" s="30"/>
    </row>
    <row r="168" spans="1:6" s="29" customFormat="1" ht="14.45" customHeight="1">
      <c r="A168" s="30"/>
      <c r="B168" s="36" t="s">
        <v>46</v>
      </c>
      <c r="C168" s="35"/>
      <c r="D168" s="57"/>
      <c r="E168" s="43"/>
      <c r="F168" s="30"/>
    </row>
    <row r="169" spans="1:6" s="29" customFormat="1" ht="14.45" customHeight="1">
      <c r="A169" s="30"/>
      <c r="B169" s="35" t="s">
        <v>17</v>
      </c>
      <c r="C169" s="35"/>
      <c r="D169" s="57"/>
      <c r="E169" s="43"/>
      <c r="F169" s="30"/>
    </row>
    <row r="170" spans="1:6" ht="16.5">
      <c r="B170" s="35" t="s">
        <v>268</v>
      </c>
      <c r="C170" s="32"/>
      <c r="D170" s="57"/>
      <c r="E170" s="43"/>
    </row>
  </sheetData>
  <mergeCells count="52">
    <mergeCell ref="B164:C16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37:B139"/>
    <mergeCell ref="B140:B142"/>
    <mergeCell ref="B143:B145"/>
    <mergeCell ref="B146:B148"/>
    <mergeCell ref="B149:B151"/>
    <mergeCell ref="B152:B154"/>
    <mergeCell ref="B92:B94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2:B24"/>
    <mergeCell ref="B25:B27"/>
    <mergeCell ref="B83:B85"/>
    <mergeCell ref="B86:B88"/>
    <mergeCell ref="B89:B91"/>
    <mergeCell ref="B8:E10"/>
    <mergeCell ref="B155:B157"/>
    <mergeCell ref="B158:B160"/>
    <mergeCell ref="B161:B163"/>
    <mergeCell ref="B122:B124"/>
    <mergeCell ref="B125:B127"/>
    <mergeCell ref="B128:B130"/>
    <mergeCell ref="B131:B133"/>
    <mergeCell ref="B28:B30"/>
    <mergeCell ref="B31:B33"/>
    <mergeCell ref="B34:B36"/>
    <mergeCell ref="B37:B40"/>
    <mergeCell ref="B134:B136"/>
    <mergeCell ref="B13:B15"/>
    <mergeCell ref="B16:B18"/>
    <mergeCell ref="B19:B2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7"/>
  <sheetViews>
    <sheetView showGridLines="0" view="pageBreakPreview" topLeftCell="A140" zoomScale="120" zoomScaleNormal="100" zoomScaleSheetLayoutView="120" workbookViewId="0">
      <selection activeCell="F157" sqref="F157"/>
    </sheetView>
  </sheetViews>
  <sheetFormatPr baseColWidth="10" defaultColWidth="11.42578125" defaultRowHeight="11.25"/>
  <cols>
    <col min="1" max="1" width="5.7109375" style="15" customWidth="1"/>
    <col min="2" max="3" width="23.7109375" style="21" customWidth="1"/>
    <col min="4" max="4" width="15.7109375" style="24" customWidth="1"/>
    <col min="5" max="5" width="15.7109375" style="21" customWidth="1"/>
    <col min="6" max="6" width="5.7109375" style="15" customWidth="1"/>
    <col min="7" max="16384" width="11.42578125" style="15"/>
  </cols>
  <sheetData>
    <row r="1" spans="1:6" s="13" customFormat="1" ht="15">
      <c r="B1" s="21"/>
      <c r="C1" s="21"/>
    </row>
    <row r="2" spans="1:6" s="21" customFormat="1">
      <c r="B2" s="26"/>
    </row>
    <row r="3" spans="1:6" ht="15" customHeight="1">
      <c r="B3" s="27"/>
      <c r="C3" s="17"/>
      <c r="D3" s="15"/>
      <c r="F3" s="21"/>
    </row>
    <row r="4" spans="1:6" ht="30" customHeight="1">
      <c r="B4" s="27"/>
      <c r="C4" s="17"/>
      <c r="D4" s="15"/>
      <c r="F4" s="21"/>
    </row>
    <row r="5" spans="1:6" ht="15" customHeight="1">
      <c r="B5" s="27"/>
      <c r="C5" s="17"/>
      <c r="D5" s="15"/>
      <c r="F5" s="21"/>
    </row>
    <row r="6" spans="1:6" s="21" customFormat="1">
      <c r="B6" s="23"/>
      <c r="C6" s="20"/>
    </row>
    <row r="7" spans="1:6" s="21" customFormat="1" ht="12.75">
      <c r="A7" s="43"/>
      <c r="B7" s="42"/>
      <c r="C7" s="43"/>
      <c r="D7" s="43"/>
      <c r="E7" s="43"/>
      <c r="F7" s="43"/>
    </row>
    <row r="8" spans="1:6" s="13" customFormat="1" ht="15" customHeight="1">
      <c r="A8" s="32"/>
      <c r="B8" s="112" t="s">
        <v>40</v>
      </c>
      <c r="C8" s="112"/>
      <c r="D8" s="112"/>
      <c r="E8" s="112"/>
      <c r="F8" s="32"/>
    </row>
    <row r="9" spans="1:6" s="13" customFormat="1" ht="15" customHeight="1">
      <c r="A9" s="32"/>
      <c r="B9" s="112"/>
      <c r="C9" s="112"/>
      <c r="D9" s="112"/>
      <c r="E9" s="112"/>
      <c r="F9" s="55"/>
    </row>
    <row r="10" spans="1:6" s="13" customFormat="1" ht="15" customHeight="1">
      <c r="A10" s="32"/>
      <c r="B10" s="112"/>
      <c r="C10" s="112"/>
      <c r="D10" s="112"/>
      <c r="E10" s="112"/>
      <c r="F10" s="32"/>
    </row>
    <row r="11" spans="1:6" s="13" customFormat="1" ht="15" customHeight="1">
      <c r="A11" s="32"/>
      <c r="B11" s="56"/>
      <c r="C11" s="56"/>
      <c r="D11" s="56"/>
      <c r="E11" s="56"/>
      <c r="F11" s="32"/>
    </row>
    <row r="12" spans="1:6" s="13" customFormat="1" ht="36.950000000000003" customHeight="1">
      <c r="A12" s="32"/>
      <c r="B12" s="93" t="s">
        <v>25</v>
      </c>
      <c r="C12" s="93" t="s">
        <v>29</v>
      </c>
      <c r="D12" s="93" t="s">
        <v>20</v>
      </c>
      <c r="E12" s="93" t="s">
        <v>19</v>
      </c>
      <c r="F12" s="32"/>
    </row>
    <row r="13" spans="1:6" ht="14.45" customHeight="1">
      <c r="A13" s="30"/>
      <c r="B13" s="113" t="s">
        <v>96</v>
      </c>
      <c r="C13" s="58" t="s">
        <v>140</v>
      </c>
      <c r="D13" s="72">
        <v>18</v>
      </c>
      <c r="E13" s="71">
        <v>2E-3</v>
      </c>
      <c r="F13" s="30"/>
    </row>
    <row r="14" spans="1:6" ht="14.45" customHeight="1">
      <c r="A14" s="30"/>
      <c r="B14" s="114"/>
      <c r="C14" s="58" t="s">
        <v>141</v>
      </c>
      <c r="D14" s="72">
        <v>10</v>
      </c>
      <c r="E14" s="71">
        <v>1E-3</v>
      </c>
      <c r="F14" s="30"/>
    </row>
    <row r="15" spans="1:6" ht="14.45" customHeight="1">
      <c r="A15" s="30"/>
      <c r="B15" s="115"/>
      <c r="C15" s="73" t="s">
        <v>267</v>
      </c>
      <c r="D15" s="78">
        <v>28</v>
      </c>
      <c r="E15" s="75">
        <v>2E-3</v>
      </c>
      <c r="F15" s="30"/>
    </row>
    <row r="16" spans="1:6" ht="14.45" customHeight="1">
      <c r="A16" s="30"/>
      <c r="B16" s="113" t="s">
        <v>97</v>
      </c>
      <c r="C16" s="58" t="s">
        <v>140</v>
      </c>
      <c r="D16" s="72">
        <v>1</v>
      </c>
      <c r="E16" s="71">
        <v>0</v>
      </c>
      <c r="F16" s="30"/>
    </row>
    <row r="17" spans="1:6" ht="14.45" customHeight="1">
      <c r="A17" s="30"/>
      <c r="B17" s="115"/>
      <c r="C17" s="73" t="s">
        <v>267</v>
      </c>
      <c r="D17" s="78">
        <v>1</v>
      </c>
      <c r="E17" s="75">
        <v>0</v>
      </c>
      <c r="F17" s="30"/>
    </row>
    <row r="18" spans="1:6" ht="14.45" customHeight="1">
      <c r="A18" s="30"/>
      <c r="B18" s="113" t="s">
        <v>98</v>
      </c>
      <c r="C18" s="58" t="s">
        <v>140</v>
      </c>
      <c r="D18" s="72">
        <v>734</v>
      </c>
      <c r="E18" s="71">
        <v>6.0999999999999999E-2</v>
      </c>
      <c r="F18" s="30"/>
    </row>
    <row r="19" spans="1:6" ht="14.45" customHeight="1">
      <c r="A19" s="30"/>
      <c r="B19" s="114"/>
      <c r="C19" s="58" t="s">
        <v>141</v>
      </c>
      <c r="D19" s="70">
        <v>1066</v>
      </c>
      <c r="E19" s="71">
        <v>8.8999999999999996E-2</v>
      </c>
      <c r="F19" s="30"/>
    </row>
    <row r="20" spans="1:6" ht="14.45" customHeight="1">
      <c r="A20" s="30"/>
      <c r="B20" s="115"/>
      <c r="C20" s="73" t="s">
        <v>267</v>
      </c>
      <c r="D20" s="78">
        <v>1800</v>
      </c>
      <c r="E20" s="75">
        <v>0.15</v>
      </c>
      <c r="F20" s="30"/>
    </row>
    <row r="21" spans="1:6" ht="14.45" customHeight="1">
      <c r="A21" s="30"/>
      <c r="B21" s="113" t="s">
        <v>99</v>
      </c>
      <c r="C21" s="58" t="s">
        <v>140</v>
      </c>
      <c r="D21" s="72">
        <v>18</v>
      </c>
      <c r="E21" s="71">
        <v>2E-3</v>
      </c>
      <c r="F21" s="30"/>
    </row>
    <row r="22" spans="1:6" ht="14.45" customHeight="1">
      <c r="A22" s="30"/>
      <c r="B22" s="114"/>
      <c r="C22" s="58" t="s">
        <v>141</v>
      </c>
      <c r="D22" s="72">
        <v>15</v>
      </c>
      <c r="E22" s="71">
        <v>1E-3</v>
      </c>
      <c r="F22" s="30"/>
    </row>
    <row r="23" spans="1:6" ht="14.45" customHeight="1">
      <c r="A23" s="30"/>
      <c r="B23" s="115"/>
      <c r="C23" s="73" t="s">
        <v>267</v>
      </c>
      <c r="D23" s="78">
        <v>33</v>
      </c>
      <c r="E23" s="75">
        <v>3.0000000000000001E-3</v>
      </c>
      <c r="F23" s="30"/>
    </row>
    <row r="24" spans="1:6" ht="14.45" customHeight="1">
      <c r="A24" s="30"/>
      <c r="B24" s="113" t="s">
        <v>100</v>
      </c>
      <c r="C24" s="58" t="s">
        <v>140</v>
      </c>
      <c r="D24" s="70">
        <v>3333</v>
      </c>
      <c r="E24" s="71">
        <v>0.27800000000000002</v>
      </c>
      <c r="F24" s="30"/>
    </row>
    <row r="25" spans="1:6" ht="14.45" customHeight="1">
      <c r="A25" s="30"/>
      <c r="B25" s="114"/>
      <c r="C25" s="58" t="s">
        <v>141</v>
      </c>
      <c r="D25" s="70">
        <v>3715</v>
      </c>
      <c r="E25" s="71">
        <v>0.31</v>
      </c>
      <c r="F25" s="30"/>
    </row>
    <row r="26" spans="1:6" ht="14.45" customHeight="1">
      <c r="A26" s="30"/>
      <c r="B26" s="115"/>
      <c r="C26" s="73" t="s">
        <v>267</v>
      </c>
      <c r="D26" s="78">
        <v>7048</v>
      </c>
      <c r="E26" s="75">
        <v>0.58799999999999997</v>
      </c>
      <c r="F26" s="30"/>
    </row>
    <row r="27" spans="1:6" ht="14.45" customHeight="1">
      <c r="A27" s="30"/>
      <c r="B27" s="113" t="s">
        <v>101</v>
      </c>
      <c r="C27" s="58" t="s">
        <v>140</v>
      </c>
      <c r="D27" s="72">
        <v>69</v>
      </c>
      <c r="E27" s="71">
        <v>6.0000000000000001E-3</v>
      </c>
      <c r="F27" s="30"/>
    </row>
    <row r="28" spans="1:6" ht="14.45" customHeight="1">
      <c r="A28" s="30"/>
      <c r="B28" s="114"/>
      <c r="C28" s="58" t="s">
        <v>141</v>
      </c>
      <c r="D28" s="72">
        <v>129</v>
      </c>
      <c r="E28" s="71">
        <v>1.0999999999999999E-2</v>
      </c>
      <c r="F28" s="30"/>
    </row>
    <row r="29" spans="1:6" ht="14.45" customHeight="1">
      <c r="A29" s="30"/>
      <c r="B29" s="115"/>
      <c r="C29" s="73" t="s">
        <v>267</v>
      </c>
      <c r="D29" s="78">
        <v>198</v>
      </c>
      <c r="E29" s="75">
        <v>1.7000000000000001E-2</v>
      </c>
      <c r="F29" s="30"/>
    </row>
    <row r="30" spans="1:6" ht="14.45" customHeight="1">
      <c r="A30" s="30"/>
      <c r="B30" s="113" t="s">
        <v>102</v>
      </c>
      <c r="C30" s="58" t="s">
        <v>140</v>
      </c>
      <c r="D30" s="72">
        <v>2</v>
      </c>
      <c r="E30" s="71">
        <v>0</v>
      </c>
      <c r="F30" s="30"/>
    </row>
    <row r="31" spans="1:6" ht="14.45" customHeight="1">
      <c r="A31" s="30"/>
      <c r="B31" s="114"/>
      <c r="C31" s="58" t="s">
        <v>141</v>
      </c>
      <c r="D31" s="72">
        <v>1</v>
      </c>
      <c r="E31" s="71">
        <v>0</v>
      </c>
      <c r="F31" s="30"/>
    </row>
    <row r="32" spans="1:6" ht="14.45" customHeight="1">
      <c r="A32" s="30"/>
      <c r="B32" s="115"/>
      <c r="C32" s="73" t="s">
        <v>267</v>
      </c>
      <c r="D32" s="78">
        <v>3</v>
      </c>
      <c r="E32" s="75">
        <v>0</v>
      </c>
      <c r="F32" s="30"/>
    </row>
    <row r="33" spans="1:6" ht="14.45" customHeight="1">
      <c r="A33" s="30"/>
      <c r="B33" s="113" t="s">
        <v>103</v>
      </c>
      <c r="C33" s="58" t="s">
        <v>141</v>
      </c>
      <c r="D33" s="72">
        <v>2</v>
      </c>
      <c r="E33" s="71">
        <v>0</v>
      </c>
      <c r="F33" s="30"/>
    </row>
    <row r="34" spans="1:6" ht="14.45" customHeight="1">
      <c r="A34" s="30"/>
      <c r="B34" s="115"/>
      <c r="C34" s="73" t="s">
        <v>267</v>
      </c>
      <c r="D34" s="78">
        <v>2</v>
      </c>
      <c r="E34" s="75">
        <v>0</v>
      </c>
      <c r="F34" s="30"/>
    </row>
    <row r="35" spans="1:6" ht="14.45" customHeight="1">
      <c r="A35" s="30"/>
      <c r="B35" s="81" t="s">
        <v>237</v>
      </c>
      <c r="C35" s="58" t="s">
        <v>141</v>
      </c>
      <c r="D35" s="72">
        <v>1</v>
      </c>
      <c r="E35" s="71">
        <v>0</v>
      </c>
      <c r="F35" s="30"/>
    </row>
    <row r="36" spans="1:6" ht="14.45" customHeight="1">
      <c r="A36" s="30"/>
      <c r="B36" s="82"/>
      <c r="C36" s="73" t="s">
        <v>267</v>
      </c>
      <c r="D36" s="78">
        <v>1</v>
      </c>
      <c r="E36" s="75">
        <v>0</v>
      </c>
      <c r="F36" s="30"/>
    </row>
    <row r="37" spans="1:6" ht="14.45" customHeight="1">
      <c r="A37" s="30"/>
      <c r="B37" s="113" t="s">
        <v>104</v>
      </c>
      <c r="C37" s="58" t="s">
        <v>140</v>
      </c>
      <c r="D37" s="72">
        <v>38</v>
      </c>
      <c r="E37" s="71">
        <v>3.0000000000000001E-3</v>
      </c>
      <c r="F37" s="30"/>
    </row>
    <row r="38" spans="1:6" ht="14.45" customHeight="1">
      <c r="A38" s="30"/>
      <c r="B38" s="114"/>
      <c r="C38" s="58" t="s">
        <v>141</v>
      </c>
      <c r="D38" s="72">
        <v>43</v>
      </c>
      <c r="E38" s="71">
        <v>4.0000000000000001E-3</v>
      </c>
      <c r="F38" s="30"/>
    </row>
    <row r="39" spans="1:6" ht="14.45" customHeight="1">
      <c r="A39" s="30"/>
      <c r="B39" s="115"/>
      <c r="C39" s="73" t="s">
        <v>267</v>
      </c>
      <c r="D39" s="78">
        <v>81</v>
      </c>
      <c r="E39" s="75">
        <v>7.0000000000000001E-3</v>
      </c>
      <c r="F39" s="30"/>
    </row>
    <row r="40" spans="1:6" ht="14.45" customHeight="1">
      <c r="A40" s="30"/>
      <c r="B40" s="113" t="s">
        <v>105</v>
      </c>
      <c r="C40" s="58" t="s">
        <v>140</v>
      </c>
      <c r="D40" s="72">
        <v>17</v>
      </c>
      <c r="E40" s="71">
        <v>1E-3</v>
      </c>
      <c r="F40" s="30"/>
    </row>
    <row r="41" spans="1:6" ht="14.45" customHeight="1">
      <c r="A41" s="30"/>
      <c r="B41" s="114"/>
      <c r="C41" s="58" t="s">
        <v>141</v>
      </c>
      <c r="D41" s="72">
        <v>31</v>
      </c>
      <c r="E41" s="71">
        <v>3.0000000000000001E-3</v>
      </c>
      <c r="F41" s="30"/>
    </row>
    <row r="42" spans="1:6" ht="14.45" customHeight="1">
      <c r="A42" s="30"/>
      <c r="B42" s="115"/>
      <c r="C42" s="73" t="s">
        <v>267</v>
      </c>
      <c r="D42" s="78">
        <v>48</v>
      </c>
      <c r="E42" s="75">
        <v>4.0000000000000001E-3</v>
      </c>
      <c r="F42" s="30"/>
    </row>
    <row r="43" spans="1:6" ht="14.45" customHeight="1">
      <c r="A43" s="30"/>
      <c r="B43" s="113" t="s">
        <v>106</v>
      </c>
      <c r="C43" s="58" t="s">
        <v>140</v>
      </c>
      <c r="D43" s="72">
        <v>44</v>
      </c>
      <c r="E43" s="71">
        <v>4.0000000000000001E-3</v>
      </c>
      <c r="F43" s="30"/>
    </row>
    <row r="44" spans="1:6" ht="14.45" customHeight="1">
      <c r="A44" s="30"/>
      <c r="B44" s="114"/>
      <c r="C44" s="58" t="s">
        <v>141</v>
      </c>
      <c r="D44" s="72">
        <v>96</v>
      </c>
      <c r="E44" s="71">
        <v>8.0000000000000002E-3</v>
      </c>
      <c r="F44" s="30"/>
    </row>
    <row r="45" spans="1:6" ht="14.45" customHeight="1">
      <c r="A45" s="30"/>
      <c r="B45" s="115"/>
      <c r="C45" s="73" t="s">
        <v>267</v>
      </c>
      <c r="D45" s="78">
        <v>140</v>
      </c>
      <c r="E45" s="75">
        <v>1.2E-2</v>
      </c>
      <c r="F45" s="30"/>
    </row>
    <row r="46" spans="1:6" ht="14.45" customHeight="1">
      <c r="A46" s="30"/>
      <c r="B46" s="113" t="s">
        <v>107</v>
      </c>
      <c r="C46" s="58" t="s">
        <v>140</v>
      </c>
      <c r="D46" s="72">
        <v>80</v>
      </c>
      <c r="E46" s="71">
        <v>7.0000000000000001E-3</v>
      </c>
      <c r="F46" s="30"/>
    </row>
    <row r="47" spans="1:6" ht="14.45" customHeight="1">
      <c r="A47" s="30"/>
      <c r="B47" s="114"/>
      <c r="C47" s="58" t="s">
        <v>141</v>
      </c>
      <c r="D47" s="72">
        <v>91</v>
      </c>
      <c r="E47" s="71">
        <v>8.0000000000000002E-3</v>
      </c>
      <c r="F47" s="30"/>
    </row>
    <row r="48" spans="1:6" ht="14.45" customHeight="1">
      <c r="A48" s="30"/>
      <c r="B48" s="115"/>
      <c r="C48" s="73" t="s">
        <v>267</v>
      </c>
      <c r="D48" s="78">
        <v>171</v>
      </c>
      <c r="E48" s="75">
        <v>1.4E-2</v>
      </c>
      <c r="F48" s="30"/>
    </row>
    <row r="49" spans="1:6" ht="14.45" customHeight="1">
      <c r="A49" s="30"/>
      <c r="B49" s="113" t="s">
        <v>108</v>
      </c>
      <c r="C49" s="58" t="s">
        <v>140</v>
      </c>
      <c r="D49" s="72">
        <v>23</v>
      </c>
      <c r="E49" s="71">
        <v>2E-3</v>
      </c>
      <c r="F49" s="30"/>
    </row>
    <row r="50" spans="1:6" ht="14.45" customHeight="1">
      <c r="A50" s="30"/>
      <c r="B50" s="114"/>
      <c r="C50" s="58" t="s">
        <v>141</v>
      </c>
      <c r="D50" s="72">
        <v>23</v>
      </c>
      <c r="E50" s="71">
        <v>2E-3</v>
      </c>
      <c r="F50" s="30"/>
    </row>
    <row r="51" spans="1:6" ht="14.45" customHeight="1">
      <c r="A51" s="30"/>
      <c r="B51" s="115"/>
      <c r="C51" s="73" t="s">
        <v>267</v>
      </c>
      <c r="D51" s="78">
        <v>46</v>
      </c>
      <c r="E51" s="75">
        <v>4.0000000000000001E-3</v>
      </c>
      <c r="F51" s="30"/>
    </row>
    <row r="52" spans="1:6" ht="14.45" customHeight="1">
      <c r="A52" s="30"/>
      <c r="B52" s="113" t="s">
        <v>109</v>
      </c>
      <c r="C52" s="58" t="s">
        <v>140</v>
      </c>
      <c r="D52" s="72">
        <v>17</v>
      </c>
      <c r="E52" s="71">
        <v>1E-3</v>
      </c>
      <c r="F52" s="30"/>
    </row>
    <row r="53" spans="1:6" ht="14.45" customHeight="1">
      <c r="A53" s="30"/>
      <c r="B53" s="114"/>
      <c r="C53" s="58" t="s">
        <v>141</v>
      </c>
      <c r="D53" s="72">
        <v>11</v>
      </c>
      <c r="E53" s="71">
        <v>1E-3</v>
      </c>
      <c r="F53" s="30"/>
    </row>
    <row r="54" spans="1:6" ht="14.45" customHeight="1">
      <c r="A54" s="30"/>
      <c r="B54" s="115"/>
      <c r="C54" s="73" t="s">
        <v>267</v>
      </c>
      <c r="D54" s="78">
        <v>28</v>
      </c>
      <c r="E54" s="75">
        <v>2E-3</v>
      </c>
      <c r="F54" s="30"/>
    </row>
    <row r="55" spans="1:6" ht="14.45" customHeight="1">
      <c r="A55" s="30"/>
      <c r="B55" s="113" t="s">
        <v>110</v>
      </c>
      <c r="C55" s="58" t="s">
        <v>140</v>
      </c>
      <c r="D55" s="72">
        <v>31</v>
      </c>
      <c r="E55" s="71">
        <v>3.0000000000000001E-3</v>
      </c>
      <c r="F55" s="30"/>
    </row>
    <row r="56" spans="1:6" ht="14.45" customHeight="1">
      <c r="A56" s="30"/>
      <c r="B56" s="114"/>
      <c r="C56" s="58" t="s">
        <v>141</v>
      </c>
      <c r="D56" s="72">
        <v>39</v>
      </c>
      <c r="E56" s="71">
        <v>3.0000000000000001E-3</v>
      </c>
      <c r="F56" s="30"/>
    </row>
    <row r="57" spans="1:6" ht="14.45" customHeight="1">
      <c r="A57" s="30"/>
      <c r="B57" s="115"/>
      <c r="C57" s="73" t="s">
        <v>267</v>
      </c>
      <c r="D57" s="78">
        <v>70</v>
      </c>
      <c r="E57" s="75">
        <v>6.0000000000000001E-3</v>
      </c>
      <c r="F57" s="30"/>
    </row>
    <row r="58" spans="1:6" ht="14.45" customHeight="1">
      <c r="A58" s="30"/>
      <c r="B58" s="113" t="s">
        <v>111</v>
      </c>
      <c r="C58" s="58" t="s">
        <v>140</v>
      </c>
      <c r="D58" s="72">
        <v>12</v>
      </c>
      <c r="E58" s="71">
        <v>1E-3</v>
      </c>
      <c r="F58" s="30"/>
    </row>
    <row r="59" spans="1:6" ht="14.45" customHeight="1">
      <c r="A59" s="30"/>
      <c r="B59" s="114"/>
      <c r="C59" s="58" t="s">
        <v>141</v>
      </c>
      <c r="D59" s="72">
        <v>11</v>
      </c>
      <c r="E59" s="71">
        <v>1E-3</v>
      </c>
      <c r="F59" s="30"/>
    </row>
    <row r="60" spans="1:6" ht="14.45" customHeight="1">
      <c r="A60" s="30"/>
      <c r="B60" s="115"/>
      <c r="C60" s="73" t="s">
        <v>267</v>
      </c>
      <c r="D60" s="78">
        <v>23</v>
      </c>
      <c r="E60" s="75">
        <v>2E-3</v>
      </c>
      <c r="F60" s="30"/>
    </row>
    <row r="61" spans="1:6" ht="14.45" customHeight="1">
      <c r="A61" s="30"/>
      <c r="B61" s="113" t="s">
        <v>112</v>
      </c>
      <c r="C61" s="58" t="s">
        <v>140</v>
      </c>
      <c r="D61" s="72">
        <v>27</v>
      </c>
      <c r="E61" s="71">
        <v>2E-3</v>
      </c>
      <c r="F61" s="30"/>
    </row>
    <row r="62" spans="1:6" ht="14.45" customHeight="1">
      <c r="A62" s="30"/>
      <c r="B62" s="114"/>
      <c r="C62" s="58" t="s">
        <v>141</v>
      </c>
      <c r="D62" s="72">
        <v>10</v>
      </c>
      <c r="E62" s="71">
        <v>1E-3</v>
      </c>
      <c r="F62" s="30"/>
    </row>
    <row r="63" spans="1:6" ht="14.45" customHeight="1">
      <c r="A63" s="30"/>
      <c r="B63" s="115"/>
      <c r="C63" s="73" t="s">
        <v>267</v>
      </c>
      <c r="D63" s="78">
        <v>37</v>
      </c>
      <c r="E63" s="75">
        <v>3.0000000000000001E-3</v>
      </c>
      <c r="F63" s="30"/>
    </row>
    <row r="64" spans="1:6" ht="14.45" customHeight="1">
      <c r="A64" s="30"/>
      <c r="B64" s="113" t="s">
        <v>113</v>
      </c>
      <c r="C64" s="58" t="s">
        <v>140</v>
      </c>
      <c r="D64" s="72">
        <v>4</v>
      </c>
      <c r="E64" s="71">
        <v>0</v>
      </c>
      <c r="F64" s="30"/>
    </row>
    <row r="65" spans="1:6" ht="14.45" customHeight="1">
      <c r="A65" s="30"/>
      <c r="B65" s="114"/>
      <c r="C65" s="58" t="s">
        <v>141</v>
      </c>
      <c r="D65" s="72">
        <v>2</v>
      </c>
      <c r="E65" s="71">
        <v>0</v>
      </c>
      <c r="F65" s="30"/>
    </row>
    <row r="66" spans="1:6" ht="14.45" customHeight="1">
      <c r="A66" s="30"/>
      <c r="B66" s="115"/>
      <c r="C66" s="73" t="s">
        <v>267</v>
      </c>
      <c r="D66" s="78">
        <v>6</v>
      </c>
      <c r="E66" s="75">
        <v>1E-3</v>
      </c>
      <c r="F66" s="30"/>
    </row>
    <row r="67" spans="1:6" ht="14.45" customHeight="1">
      <c r="A67" s="30"/>
      <c r="B67" s="113" t="s">
        <v>114</v>
      </c>
      <c r="C67" s="58" t="s">
        <v>140</v>
      </c>
      <c r="D67" s="72">
        <v>2</v>
      </c>
      <c r="E67" s="71">
        <v>0</v>
      </c>
      <c r="F67" s="30"/>
    </row>
    <row r="68" spans="1:6" ht="14.45" customHeight="1">
      <c r="A68" s="30"/>
      <c r="B68" s="114"/>
      <c r="C68" s="58" t="s">
        <v>141</v>
      </c>
      <c r="D68" s="72">
        <v>3</v>
      </c>
      <c r="E68" s="71">
        <v>0</v>
      </c>
      <c r="F68" s="30"/>
    </row>
    <row r="69" spans="1:6" ht="14.45" customHeight="1">
      <c r="A69" s="30"/>
      <c r="B69" s="115"/>
      <c r="C69" s="73" t="s">
        <v>267</v>
      </c>
      <c r="D69" s="78">
        <v>5</v>
      </c>
      <c r="E69" s="75">
        <v>0</v>
      </c>
      <c r="F69" s="30"/>
    </row>
    <row r="70" spans="1:6" ht="14.45" customHeight="1">
      <c r="A70" s="30"/>
      <c r="B70" s="113" t="s">
        <v>115</v>
      </c>
      <c r="C70" s="58" t="s">
        <v>140</v>
      </c>
      <c r="D70" s="72">
        <v>18</v>
      </c>
      <c r="E70" s="71">
        <v>2E-3</v>
      </c>
      <c r="F70" s="30"/>
    </row>
    <row r="71" spans="1:6" ht="14.45" customHeight="1">
      <c r="A71" s="30"/>
      <c r="B71" s="114"/>
      <c r="C71" s="58" t="s">
        <v>141</v>
      </c>
      <c r="D71" s="72">
        <v>15</v>
      </c>
      <c r="E71" s="71">
        <v>1E-3</v>
      </c>
      <c r="F71" s="30"/>
    </row>
    <row r="72" spans="1:6" ht="14.45" customHeight="1">
      <c r="A72" s="30"/>
      <c r="B72" s="115"/>
      <c r="C72" s="73" t="s">
        <v>267</v>
      </c>
      <c r="D72" s="78">
        <v>33</v>
      </c>
      <c r="E72" s="75">
        <v>3.0000000000000001E-3</v>
      </c>
      <c r="F72" s="30"/>
    </row>
    <row r="73" spans="1:6" ht="14.45" customHeight="1">
      <c r="A73" s="30"/>
      <c r="B73" s="113" t="s">
        <v>116</v>
      </c>
      <c r="C73" s="58" t="s">
        <v>140</v>
      </c>
      <c r="D73" s="72">
        <v>27</v>
      </c>
      <c r="E73" s="71">
        <v>2E-3</v>
      </c>
      <c r="F73" s="30"/>
    </row>
    <row r="74" spans="1:6" ht="14.45" customHeight="1">
      <c r="A74" s="30"/>
      <c r="B74" s="114"/>
      <c r="C74" s="58" t="s">
        <v>141</v>
      </c>
      <c r="D74" s="72">
        <v>45</v>
      </c>
      <c r="E74" s="71">
        <v>4.0000000000000001E-3</v>
      </c>
      <c r="F74" s="30"/>
    </row>
    <row r="75" spans="1:6" ht="14.45" customHeight="1">
      <c r="A75" s="30"/>
      <c r="B75" s="115"/>
      <c r="C75" s="73" t="s">
        <v>267</v>
      </c>
      <c r="D75" s="78">
        <v>72</v>
      </c>
      <c r="E75" s="75">
        <v>6.0000000000000001E-3</v>
      </c>
      <c r="F75" s="30"/>
    </row>
    <row r="76" spans="1:6" ht="14.45" customHeight="1">
      <c r="A76" s="30"/>
      <c r="B76" s="113" t="s">
        <v>117</v>
      </c>
      <c r="C76" s="58" t="s">
        <v>140</v>
      </c>
      <c r="D76" s="72">
        <v>3</v>
      </c>
      <c r="E76" s="71">
        <v>0</v>
      </c>
      <c r="F76" s="30"/>
    </row>
    <row r="77" spans="1:6" ht="14.45" customHeight="1">
      <c r="A77" s="30"/>
      <c r="B77" s="114"/>
      <c r="C77" s="58" t="s">
        <v>141</v>
      </c>
      <c r="D77" s="72">
        <v>2</v>
      </c>
      <c r="E77" s="71">
        <v>0</v>
      </c>
      <c r="F77" s="30"/>
    </row>
    <row r="78" spans="1:6" ht="14.45" customHeight="1">
      <c r="A78" s="30"/>
      <c r="B78" s="115"/>
      <c r="C78" s="73" t="s">
        <v>267</v>
      </c>
      <c r="D78" s="78">
        <v>5</v>
      </c>
      <c r="E78" s="75">
        <v>0</v>
      </c>
      <c r="F78" s="30"/>
    </row>
    <row r="79" spans="1:6" ht="14.45" customHeight="1">
      <c r="A79" s="30"/>
      <c r="B79" s="113" t="s">
        <v>118</v>
      </c>
      <c r="C79" s="58" t="s">
        <v>140</v>
      </c>
      <c r="D79" s="72">
        <v>14</v>
      </c>
      <c r="E79" s="71">
        <v>1E-3</v>
      </c>
      <c r="F79" s="30"/>
    </row>
    <row r="80" spans="1:6" ht="14.45" customHeight="1">
      <c r="A80" s="30"/>
      <c r="B80" s="114"/>
      <c r="C80" s="58" t="s">
        <v>141</v>
      </c>
      <c r="D80" s="72">
        <v>27</v>
      </c>
      <c r="E80" s="71">
        <v>2E-3</v>
      </c>
      <c r="F80" s="30"/>
    </row>
    <row r="81" spans="1:6" ht="14.45" customHeight="1">
      <c r="A81" s="30"/>
      <c r="B81" s="115"/>
      <c r="C81" s="73" t="s">
        <v>267</v>
      </c>
      <c r="D81" s="78">
        <v>41</v>
      </c>
      <c r="E81" s="75">
        <v>3.0000000000000001E-3</v>
      </c>
      <c r="F81" s="30"/>
    </row>
    <row r="82" spans="1:6" ht="14.45" customHeight="1">
      <c r="A82" s="30"/>
      <c r="B82" s="113" t="s">
        <v>119</v>
      </c>
      <c r="C82" s="58" t="s">
        <v>141</v>
      </c>
      <c r="D82" s="72">
        <v>2</v>
      </c>
      <c r="E82" s="71">
        <v>0</v>
      </c>
      <c r="F82" s="30"/>
    </row>
    <row r="83" spans="1:6" ht="14.45" customHeight="1">
      <c r="A83" s="30"/>
      <c r="B83" s="115"/>
      <c r="C83" s="73" t="s">
        <v>267</v>
      </c>
      <c r="D83" s="78">
        <v>2</v>
      </c>
      <c r="E83" s="75">
        <v>0</v>
      </c>
      <c r="F83" s="30"/>
    </row>
    <row r="84" spans="1:6" ht="14.45" customHeight="1">
      <c r="A84" s="30"/>
      <c r="B84" s="113" t="s">
        <v>120</v>
      </c>
      <c r="C84" s="58" t="s">
        <v>140</v>
      </c>
      <c r="D84" s="72">
        <v>33</v>
      </c>
      <c r="E84" s="71">
        <v>3.0000000000000001E-3</v>
      </c>
      <c r="F84" s="30"/>
    </row>
    <row r="85" spans="1:6" ht="14.45" customHeight="1">
      <c r="A85" s="30"/>
      <c r="B85" s="114"/>
      <c r="C85" s="58" t="s">
        <v>141</v>
      </c>
      <c r="D85" s="72">
        <v>45</v>
      </c>
      <c r="E85" s="71">
        <v>4.0000000000000001E-3</v>
      </c>
      <c r="F85" s="30"/>
    </row>
    <row r="86" spans="1:6" ht="14.45" customHeight="1">
      <c r="A86" s="30"/>
      <c r="B86" s="115"/>
      <c r="C86" s="73" t="s">
        <v>267</v>
      </c>
      <c r="D86" s="78">
        <v>78</v>
      </c>
      <c r="E86" s="75">
        <v>7.0000000000000001E-3</v>
      </c>
      <c r="F86" s="30"/>
    </row>
    <row r="87" spans="1:6" ht="14.45" customHeight="1">
      <c r="A87" s="30"/>
      <c r="B87" s="113" t="s">
        <v>121</v>
      </c>
      <c r="C87" s="58" t="s">
        <v>140</v>
      </c>
      <c r="D87" s="72">
        <v>235</v>
      </c>
      <c r="E87" s="71">
        <v>0.02</v>
      </c>
      <c r="F87" s="30"/>
    </row>
    <row r="88" spans="1:6" ht="14.45" customHeight="1">
      <c r="A88" s="30"/>
      <c r="B88" s="114"/>
      <c r="C88" s="58" t="s">
        <v>141</v>
      </c>
      <c r="D88" s="72">
        <v>334</v>
      </c>
      <c r="E88" s="71">
        <v>2.8000000000000001E-2</v>
      </c>
      <c r="F88" s="30"/>
    </row>
    <row r="89" spans="1:6" ht="14.45" customHeight="1">
      <c r="A89" s="30"/>
      <c r="B89" s="115"/>
      <c r="C89" s="73" t="s">
        <v>267</v>
      </c>
      <c r="D89" s="78">
        <v>569</v>
      </c>
      <c r="E89" s="75">
        <v>4.7E-2</v>
      </c>
      <c r="F89" s="30"/>
    </row>
    <row r="90" spans="1:6" ht="14.45" customHeight="1">
      <c r="A90" s="30"/>
      <c r="B90" s="113" t="s">
        <v>122</v>
      </c>
      <c r="C90" s="58" t="s">
        <v>140</v>
      </c>
      <c r="D90" s="72">
        <v>9</v>
      </c>
      <c r="E90" s="71">
        <v>1E-3</v>
      </c>
      <c r="F90" s="30"/>
    </row>
    <row r="91" spans="1:6" ht="14.45" customHeight="1">
      <c r="A91" s="30"/>
      <c r="B91" s="114"/>
      <c r="C91" s="58" t="s">
        <v>141</v>
      </c>
      <c r="D91" s="72">
        <v>17</v>
      </c>
      <c r="E91" s="71">
        <v>1E-3</v>
      </c>
      <c r="F91" s="30"/>
    </row>
    <row r="92" spans="1:6" ht="14.45" customHeight="1">
      <c r="A92" s="30"/>
      <c r="B92" s="115"/>
      <c r="C92" s="73" t="s">
        <v>267</v>
      </c>
      <c r="D92" s="78">
        <v>26</v>
      </c>
      <c r="E92" s="75">
        <v>2E-3</v>
      </c>
      <c r="F92" s="30"/>
    </row>
    <row r="93" spans="1:6" ht="14.45" customHeight="1">
      <c r="A93" s="30"/>
      <c r="B93" s="113" t="s">
        <v>123</v>
      </c>
      <c r="C93" s="58" t="s">
        <v>140</v>
      </c>
      <c r="D93" s="72">
        <v>21</v>
      </c>
      <c r="E93" s="71">
        <v>2E-3</v>
      </c>
      <c r="F93" s="30"/>
    </row>
    <row r="94" spans="1:6" ht="14.45" customHeight="1">
      <c r="A94" s="30"/>
      <c r="B94" s="114"/>
      <c r="C94" s="58" t="s">
        <v>141</v>
      </c>
      <c r="D94" s="72">
        <v>39</v>
      </c>
      <c r="E94" s="71">
        <v>3.0000000000000001E-3</v>
      </c>
      <c r="F94" s="30"/>
    </row>
    <row r="95" spans="1:6" ht="14.45" customHeight="1">
      <c r="A95" s="30"/>
      <c r="B95" s="115"/>
      <c r="C95" s="73" t="s">
        <v>267</v>
      </c>
      <c r="D95" s="78">
        <v>60</v>
      </c>
      <c r="E95" s="75">
        <v>5.0000000000000001E-3</v>
      </c>
      <c r="F95" s="30"/>
    </row>
    <row r="96" spans="1:6" ht="14.45" customHeight="1">
      <c r="A96" s="30"/>
      <c r="B96" s="113" t="s">
        <v>124</v>
      </c>
      <c r="C96" s="58" t="s">
        <v>140</v>
      </c>
      <c r="D96" s="72">
        <v>12</v>
      </c>
      <c r="E96" s="71">
        <v>1E-3</v>
      </c>
      <c r="F96" s="30"/>
    </row>
    <row r="97" spans="1:6" ht="14.45" customHeight="1">
      <c r="A97" s="30"/>
      <c r="B97" s="114"/>
      <c r="C97" s="58" t="s">
        <v>141</v>
      </c>
      <c r="D97" s="72">
        <v>19</v>
      </c>
      <c r="E97" s="71">
        <v>2E-3</v>
      </c>
      <c r="F97" s="30"/>
    </row>
    <row r="98" spans="1:6" ht="14.45" customHeight="1">
      <c r="A98" s="30"/>
      <c r="B98" s="115"/>
      <c r="C98" s="73" t="s">
        <v>267</v>
      </c>
      <c r="D98" s="78">
        <v>31</v>
      </c>
      <c r="E98" s="75">
        <v>3.0000000000000001E-3</v>
      </c>
      <c r="F98" s="30"/>
    </row>
    <row r="99" spans="1:6" ht="14.45" customHeight="1">
      <c r="A99" s="30"/>
      <c r="B99" s="113" t="s">
        <v>125</v>
      </c>
      <c r="C99" s="58" t="s">
        <v>140</v>
      </c>
      <c r="D99" s="72">
        <v>80</v>
      </c>
      <c r="E99" s="71">
        <v>7.0000000000000001E-3</v>
      </c>
      <c r="F99" s="30"/>
    </row>
    <row r="100" spans="1:6" ht="14.45" customHeight="1">
      <c r="A100" s="30"/>
      <c r="B100" s="114"/>
      <c r="C100" s="58" t="s">
        <v>141</v>
      </c>
      <c r="D100" s="72">
        <v>59</v>
      </c>
      <c r="E100" s="71">
        <v>5.0000000000000001E-3</v>
      </c>
      <c r="F100" s="30"/>
    </row>
    <row r="101" spans="1:6" ht="14.45" customHeight="1">
      <c r="A101" s="30"/>
      <c r="B101" s="115"/>
      <c r="C101" s="73" t="s">
        <v>267</v>
      </c>
      <c r="D101" s="78">
        <v>139</v>
      </c>
      <c r="E101" s="75">
        <v>1.2E-2</v>
      </c>
      <c r="F101" s="30"/>
    </row>
    <row r="102" spans="1:6" ht="14.45" customHeight="1">
      <c r="A102" s="30"/>
      <c r="B102" s="113" t="s">
        <v>126</v>
      </c>
      <c r="C102" s="58" t="s">
        <v>140</v>
      </c>
      <c r="D102" s="72">
        <v>1</v>
      </c>
      <c r="E102" s="71">
        <v>0</v>
      </c>
      <c r="F102" s="30"/>
    </row>
    <row r="103" spans="1:6" ht="14.45" customHeight="1">
      <c r="A103" s="30"/>
      <c r="B103" s="114"/>
      <c r="C103" s="58" t="s">
        <v>141</v>
      </c>
      <c r="D103" s="72">
        <v>3</v>
      </c>
      <c r="E103" s="71">
        <v>0</v>
      </c>
      <c r="F103" s="30"/>
    </row>
    <row r="104" spans="1:6" ht="14.45" customHeight="1">
      <c r="A104" s="30"/>
      <c r="B104" s="115"/>
      <c r="C104" s="73" t="s">
        <v>267</v>
      </c>
      <c r="D104" s="78">
        <v>4</v>
      </c>
      <c r="E104" s="75">
        <v>0</v>
      </c>
      <c r="F104" s="30"/>
    </row>
    <row r="105" spans="1:6" ht="14.45" customHeight="1">
      <c r="A105" s="30"/>
      <c r="B105" s="113" t="s">
        <v>127</v>
      </c>
      <c r="C105" s="58" t="s">
        <v>140</v>
      </c>
      <c r="D105" s="72">
        <v>12</v>
      </c>
      <c r="E105" s="71">
        <v>1E-3</v>
      </c>
      <c r="F105" s="30"/>
    </row>
    <row r="106" spans="1:6" ht="14.45" customHeight="1">
      <c r="A106" s="30"/>
      <c r="B106" s="114"/>
      <c r="C106" s="58" t="s">
        <v>141</v>
      </c>
      <c r="D106" s="72">
        <v>19</v>
      </c>
      <c r="E106" s="71">
        <v>2E-3</v>
      </c>
      <c r="F106" s="30"/>
    </row>
    <row r="107" spans="1:6" ht="14.45" customHeight="1">
      <c r="A107" s="30"/>
      <c r="B107" s="115"/>
      <c r="C107" s="73" t="s">
        <v>267</v>
      </c>
      <c r="D107" s="78">
        <v>31</v>
      </c>
      <c r="E107" s="75">
        <v>3.0000000000000001E-3</v>
      </c>
      <c r="F107" s="30"/>
    </row>
    <row r="108" spans="1:6" ht="14.45" customHeight="1">
      <c r="A108" s="30"/>
      <c r="B108" s="113" t="s">
        <v>128</v>
      </c>
      <c r="C108" s="58" t="s">
        <v>140</v>
      </c>
      <c r="D108" s="72">
        <v>38</v>
      </c>
      <c r="E108" s="71">
        <v>3.0000000000000001E-3</v>
      </c>
      <c r="F108" s="30"/>
    </row>
    <row r="109" spans="1:6" ht="14.45" customHeight="1">
      <c r="A109" s="30"/>
      <c r="B109" s="114"/>
      <c r="C109" s="58" t="s">
        <v>141</v>
      </c>
      <c r="D109" s="72">
        <v>47</v>
      </c>
      <c r="E109" s="71">
        <v>4.0000000000000001E-3</v>
      </c>
      <c r="F109" s="30"/>
    </row>
    <row r="110" spans="1:6" ht="14.45" customHeight="1">
      <c r="A110" s="30"/>
      <c r="B110" s="115"/>
      <c r="C110" s="73" t="s">
        <v>267</v>
      </c>
      <c r="D110" s="78">
        <v>85</v>
      </c>
      <c r="E110" s="75">
        <v>7.0000000000000001E-3</v>
      </c>
      <c r="F110" s="30"/>
    </row>
    <row r="111" spans="1:6" ht="14.45" customHeight="1">
      <c r="A111" s="30"/>
      <c r="B111" s="113" t="s">
        <v>129</v>
      </c>
      <c r="C111" s="58" t="s">
        <v>140</v>
      </c>
      <c r="D111" s="72">
        <v>24</v>
      </c>
      <c r="E111" s="71">
        <v>2E-3</v>
      </c>
      <c r="F111" s="30"/>
    </row>
    <row r="112" spans="1:6" ht="14.45" customHeight="1">
      <c r="A112" s="30"/>
      <c r="B112" s="114"/>
      <c r="C112" s="58" t="s">
        <v>141</v>
      </c>
      <c r="D112" s="72">
        <v>32</v>
      </c>
      <c r="E112" s="71">
        <v>3.0000000000000001E-3</v>
      </c>
      <c r="F112" s="30"/>
    </row>
    <row r="113" spans="1:6" ht="14.45" customHeight="1">
      <c r="A113" s="30"/>
      <c r="B113" s="115"/>
      <c r="C113" s="73" t="s">
        <v>267</v>
      </c>
      <c r="D113" s="78">
        <v>56</v>
      </c>
      <c r="E113" s="75">
        <v>5.0000000000000001E-3</v>
      </c>
      <c r="F113" s="30"/>
    </row>
    <row r="114" spans="1:6" ht="14.45" customHeight="1">
      <c r="A114" s="30"/>
      <c r="B114" s="113" t="s">
        <v>130</v>
      </c>
      <c r="C114" s="58" t="s">
        <v>140</v>
      </c>
      <c r="D114" s="72">
        <v>5</v>
      </c>
      <c r="E114" s="71">
        <v>0</v>
      </c>
      <c r="F114" s="30"/>
    </row>
    <row r="115" spans="1:6" ht="14.45" customHeight="1">
      <c r="A115" s="30"/>
      <c r="B115" s="114"/>
      <c r="C115" s="58" t="s">
        <v>141</v>
      </c>
      <c r="D115" s="72">
        <v>9</v>
      </c>
      <c r="E115" s="71">
        <v>1E-3</v>
      </c>
      <c r="F115" s="30"/>
    </row>
    <row r="116" spans="1:6" ht="14.45" customHeight="1">
      <c r="A116" s="30"/>
      <c r="B116" s="115"/>
      <c r="C116" s="73" t="s">
        <v>267</v>
      </c>
      <c r="D116" s="78">
        <v>14</v>
      </c>
      <c r="E116" s="75">
        <v>1E-3</v>
      </c>
      <c r="F116" s="30"/>
    </row>
    <row r="117" spans="1:6" ht="14.45" customHeight="1">
      <c r="A117" s="30"/>
      <c r="B117" s="113" t="s">
        <v>131</v>
      </c>
      <c r="C117" s="58" t="s">
        <v>140</v>
      </c>
      <c r="D117" s="72">
        <v>8</v>
      </c>
      <c r="E117" s="71">
        <v>1E-3</v>
      </c>
      <c r="F117" s="30"/>
    </row>
    <row r="118" spans="1:6" ht="14.45" customHeight="1">
      <c r="A118" s="30"/>
      <c r="B118" s="114"/>
      <c r="C118" s="58" t="s">
        <v>141</v>
      </c>
      <c r="D118" s="72">
        <v>10</v>
      </c>
      <c r="E118" s="71">
        <v>1E-3</v>
      </c>
      <c r="F118" s="30"/>
    </row>
    <row r="119" spans="1:6" ht="14.45" customHeight="1">
      <c r="A119" s="30"/>
      <c r="B119" s="115"/>
      <c r="C119" s="73" t="s">
        <v>267</v>
      </c>
      <c r="D119" s="78">
        <v>18</v>
      </c>
      <c r="E119" s="75">
        <v>2E-3</v>
      </c>
      <c r="F119" s="30"/>
    </row>
    <row r="120" spans="1:6" ht="14.45" customHeight="1">
      <c r="A120" s="30"/>
      <c r="B120" s="113" t="s">
        <v>132</v>
      </c>
      <c r="C120" s="58" t="s">
        <v>140</v>
      </c>
      <c r="D120" s="72">
        <v>2</v>
      </c>
      <c r="E120" s="71">
        <v>0</v>
      </c>
      <c r="F120" s="30"/>
    </row>
    <row r="121" spans="1:6" ht="14.45" customHeight="1">
      <c r="A121" s="30"/>
      <c r="B121" s="114"/>
      <c r="C121" s="58" t="s">
        <v>141</v>
      </c>
      <c r="D121" s="72">
        <v>5</v>
      </c>
      <c r="E121" s="71">
        <v>0</v>
      </c>
      <c r="F121" s="30"/>
    </row>
    <row r="122" spans="1:6" ht="14.45" customHeight="1">
      <c r="A122" s="30"/>
      <c r="B122" s="115"/>
      <c r="C122" s="73" t="s">
        <v>267</v>
      </c>
      <c r="D122" s="78">
        <v>7</v>
      </c>
      <c r="E122" s="75">
        <v>1E-3</v>
      </c>
      <c r="F122" s="30"/>
    </row>
    <row r="123" spans="1:6" ht="14.45" customHeight="1">
      <c r="A123" s="30"/>
      <c r="B123" s="113" t="s">
        <v>133</v>
      </c>
      <c r="C123" s="58" t="s">
        <v>140</v>
      </c>
      <c r="D123" s="72">
        <v>24</v>
      </c>
      <c r="E123" s="71">
        <v>2E-3</v>
      </c>
      <c r="F123" s="30"/>
    </row>
    <row r="124" spans="1:6" ht="14.45" customHeight="1">
      <c r="A124" s="30"/>
      <c r="B124" s="114"/>
      <c r="C124" s="58" t="s">
        <v>141</v>
      </c>
      <c r="D124" s="72">
        <v>45</v>
      </c>
      <c r="E124" s="71">
        <v>4.0000000000000001E-3</v>
      </c>
      <c r="F124" s="30"/>
    </row>
    <row r="125" spans="1:6" ht="14.45" customHeight="1">
      <c r="A125" s="30"/>
      <c r="B125" s="115"/>
      <c r="C125" s="73" t="s">
        <v>267</v>
      </c>
      <c r="D125" s="78">
        <v>69</v>
      </c>
      <c r="E125" s="75">
        <v>6.0000000000000001E-3</v>
      </c>
      <c r="F125" s="30"/>
    </row>
    <row r="126" spans="1:6" ht="14.45" customHeight="1">
      <c r="A126" s="30"/>
      <c r="B126" s="113" t="s">
        <v>134</v>
      </c>
      <c r="C126" s="58" t="s">
        <v>140</v>
      </c>
      <c r="D126" s="72">
        <v>219</v>
      </c>
      <c r="E126" s="71">
        <v>1.7999999999999999E-2</v>
      </c>
      <c r="F126" s="30"/>
    </row>
    <row r="127" spans="1:6" ht="14.45" customHeight="1">
      <c r="A127" s="30"/>
      <c r="B127" s="114"/>
      <c r="C127" s="58" t="s">
        <v>141</v>
      </c>
      <c r="D127" s="72">
        <v>260</v>
      </c>
      <c r="E127" s="71">
        <v>2.1999999999999999E-2</v>
      </c>
      <c r="F127" s="30"/>
    </row>
    <row r="128" spans="1:6" ht="14.45" customHeight="1">
      <c r="A128" s="30"/>
      <c r="B128" s="114"/>
      <c r="C128" s="58" t="s">
        <v>238</v>
      </c>
      <c r="D128" s="72">
        <v>1</v>
      </c>
      <c r="E128" s="71">
        <v>0</v>
      </c>
      <c r="F128" s="30"/>
    </row>
    <row r="129" spans="1:6" ht="14.45" customHeight="1">
      <c r="A129" s="30"/>
      <c r="B129" s="115"/>
      <c r="C129" s="73" t="s">
        <v>267</v>
      </c>
      <c r="D129" s="78">
        <v>480</v>
      </c>
      <c r="E129" s="75">
        <v>0.04</v>
      </c>
      <c r="F129" s="30"/>
    </row>
    <row r="130" spans="1:6" ht="14.45" customHeight="1">
      <c r="A130" s="30"/>
      <c r="B130" s="113" t="s">
        <v>135</v>
      </c>
      <c r="C130" s="58" t="s">
        <v>140</v>
      </c>
      <c r="D130" s="72">
        <v>70</v>
      </c>
      <c r="E130" s="71">
        <v>6.0000000000000001E-3</v>
      </c>
      <c r="F130" s="30"/>
    </row>
    <row r="131" spans="1:6" ht="14.45" customHeight="1">
      <c r="A131" s="30"/>
      <c r="B131" s="114"/>
      <c r="C131" s="58" t="s">
        <v>141</v>
      </c>
      <c r="D131" s="72">
        <v>129</v>
      </c>
      <c r="E131" s="71">
        <v>1.0999999999999999E-2</v>
      </c>
      <c r="F131" s="30"/>
    </row>
    <row r="132" spans="1:6" ht="14.45" customHeight="1">
      <c r="A132" s="30"/>
      <c r="B132" s="115"/>
      <c r="C132" s="73" t="s">
        <v>267</v>
      </c>
      <c r="D132" s="78">
        <v>199</v>
      </c>
      <c r="E132" s="75">
        <v>1.7000000000000001E-2</v>
      </c>
      <c r="F132" s="30"/>
    </row>
    <row r="133" spans="1:6" ht="14.45" customHeight="1">
      <c r="A133" s="30"/>
      <c r="B133" s="113" t="s">
        <v>239</v>
      </c>
      <c r="C133" s="58" t="s">
        <v>141</v>
      </c>
      <c r="D133" s="72">
        <v>1</v>
      </c>
      <c r="E133" s="71">
        <v>0</v>
      </c>
      <c r="F133" s="30"/>
    </row>
    <row r="134" spans="1:6" ht="14.45" customHeight="1">
      <c r="A134" s="30"/>
      <c r="B134" s="115"/>
      <c r="C134" s="73" t="s">
        <v>267</v>
      </c>
      <c r="D134" s="78">
        <v>1</v>
      </c>
      <c r="E134" s="75">
        <v>0</v>
      </c>
      <c r="F134" s="30"/>
    </row>
    <row r="135" spans="1:6" ht="14.45" customHeight="1">
      <c r="A135" s="30"/>
      <c r="B135" s="113" t="s">
        <v>136</v>
      </c>
      <c r="C135" s="58" t="s">
        <v>140</v>
      </c>
      <c r="D135" s="72">
        <v>12</v>
      </c>
      <c r="E135" s="71">
        <v>1E-3</v>
      </c>
      <c r="F135" s="30"/>
    </row>
    <row r="136" spans="1:6" ht="14.45" customHeight="1">
      <c r="A136" s="30"/>
      <c r="B136" s="114"/>
      <c r="C136" s="58" t="s">
        <v>141</v>
      </c>
      <c r="D136" s="72">
        <v>28</v>
      </c>
      <c r="E136" s="71">
        <v>2E-3</v>
      </c>
      <c r="F136" s="30"/>
    </row>
    <row r="137" spans="1:6" ht="14.45" customHeight="1">
      <c r="A137" s="30"/>
      <c r="B137" s="115"/>
      <c r="C137" s="73" t="s">
        <v>267</v>
      </c>
      <c r="D137" s="78">
        <v>40</v>
      </c>
      <c r="E137" s="75">
        <v>3.0000000000000001E-3</v>
      </c>
      <c r="F137" s="30"/>
    </row>
    <row r="138" spans="1:6" ht="14.45" customHeight="1">
      <c r="A138" s="30"/>
      <c r="B138" s="113" t="s">
        <v>89</v>
      </c>
      <c r="C138" s="58" t="s">
        <v>140</v>
      </c>
      <c r="D138" s="72">
        <v>33</v>
      </c>
      <c r="E138" s="71">
        <v>3.0000000000000001E-3</v>
      </c>
      <c r="F138" s="30"/>
    </row>
    <row r="139" spans="1:6" ht="14.45" customHeight="1">
      <c r="A139" s="30"/>
      <c r="B139" s="114"/>
      <c r="C139" s="58" t="s">
        <v>141</v>
      </c>
      <c r="D139" s="72">
        <v>71</v>
      </c>
      <c r="E139" s="71">
        <v>6.0000000000000001E-3</v>
      </c>
      <c r="F139" s="30"/>
    </row>
    <row r="140" spans="1:6" ht="14.45" customHeight="1">
      <c r="A140" s="30"/>
      <c r="B140" s="115"/>
      <c r="C140" s="73" t="s">
        <v>267</v>
      </c>
      <c r="D140" s="78">
        <v>104</v>
      </c>
      <c r="E140" s="75">
        <v>8.9999999999999993E-3</v>
      </c>
      <c r="F140" s="30"/>
    </row>
    <row r="141" spans="1:6" ht="14.45" customHeight="1">
      <c r="A141" s="30"/>
      <c r="B141" s="113" t="s">
        <v>137</v>
      </c>
      <c r="C141" s="58" t="s">
        <v>140</v>
      </c>
      <c r="D141" s="72">
        <v>2</v>
      </c>
      <c r="E141" s="71">
        <v>0</v>
      </c>
      <c r="F141" s="30"/>
    </row>
    <row r="142" spans="1:6" ht="14.45" customHeight="1">
      <c r="A142" s="30"/>
      <c r="B142" s="115"/>
      <c r="C142" s="73" t="s">
        <v>267</v>
      </c>
      <c r="D142" s="78">
        <v>2</v>
      </c>
      <c r="E142" s="75">
        <v>0</v>
      </c>
      <c r="F142" s="30"/>
    </row>
    <row r="143" spans="1:6" s="21" customFormat="1" ht="14.45" customHeight="1">
      <c r="A143" s="30"/>
      <c r="B143" s="113" t="s">
        <v>138</v>
      </c>
      <c r="C143" s="58" t="s">
        <v>140</v>
      </c>
      <c r="D143" s="72">
        <v>12</v>
      </c>
      <c r="E143" s="71">
        <v>1E-3</v>
      </c>
      <c r="F143" s="30"/>
    </row>
    <row r="144" spans="1:6" s="21" customFormat="1" ht="14.45" customHeight="1">
      <c r="A144" s="30"/>
      <c r="B144" s="114"/>
      <c r="C144" s="58" t="s">
        <v>141</v>
      </c>
      <c r="D144" s="72">
        <v>19</v>
      </c>
      <c r="E144" s="71">
        <v>2E-3</v>
      </c>
      <c r="F144" s="30"/>
    </row>
    <row r="145" spans="1:6" s="21" customFormat="1" ht="14.45" customHeight="1">
      <c r="A145" s="30"/>
      <c r="B145" s="115"/>
      <c r="C145" s="73" t="s">
        <v>267</v>
      </c>
      <c r="D145" s="78">
        <v>31</v>
      </c>
      <c r="E145" s="75">
        <v>3.0000000000000001E-3</v>
      </c>
      <c r="F145" s="30"/>
    </row>
    <row r="146" spans="1:6" ht="14.45" customHeight="1">
      <c r="A146" s="30"/>
      <c r="B146" s="113" t="s">
        <v>139</v>
      </c>
      <c r="C146" s="58" t="s">
        <v>140</v>
      </c>
      <c r="D146" s="72">
        <v>6</v>
      </c>
      <c r="E146" s="71">
        <v>1E-3</v>
      </c>
      <c r="F146" s="30"/>
    </row>
    <row r="147" spans="1:6" ht="14.45" customHeight="1">
      <c r="A147" s="30"/>
      <c r="B147" s="114"/>
      <c r="C147" s="58" t="s">
        <v>141</v>
      </c>
      <c r="D147" s="72">
        <v>9</v>
      </c>
      <c r="E147" s="71">
        <v>1E-3</v>
      </c>
      <c r="F147" s="30"/>
    </row>
    <row r="148" spans="1:6" ht="14.45" customHeight="1">
      <c r="A148" s="30"/>
      <c r="B148" s="115"/>
      <c r="C148" s="73" t="s">
        <v>267</v>
      </c>
      <c r="D148" s="78">
        <v>15</v>
      </c>
      <c r="E148" s="75">
        <v>1E-3</v>
      </c>
      <c r="F148" s="30"/>
    </row>
    <row r="149" spans="1:6" ht="14.45" customHeight="1">
      <c r="A149" s="30"/>
      <c r="B149" s="116" t="s">
        <v>270</v>
      </c>
      <c r="C149" s="116"/>
      <c r="D149" s="79">
        <v>11981</v>
      </c>
      <c r="E149" s="77">
        <v>1</v>
      </c>
      <c r="F149" s="30"/>
    </row>
    <row r="150" spans="1:6" ht="14.45" customHeight="1">
      <c r="A150" s="30"/>
      <c r="B150" s="35"/>
      <c r="C150" s="43"/>
      <c r="D150" s="57"/>
      <c r="E150" s="43"/>
      <c r="F150" s="30"/>
    </row>
    <row r="151" spans="1:6" ht="14.45" customHeight="1">
      <c r="A151" s="30"/>
      <c r="B151" s="35" t="s">
        <v>235</v>
      </c>
      <c r="C151" s="43"/>
      <c r="D151" s="57"/>
      <c r="E151" s="43"/>
      <c r="F151" s="30"/>
    </row>
    <row r="152" spans="1:6" ht="12.75">
      <c r="A152" s="30"/>
      <c r="B152" s="33" t="s">
        <v>18</v>
      </c>
      <c r="C152" s="43"/>
      <c r="D152" s="57"/>
      <c r="E152" s="43"/>
      <c r="F152" s="30"/>
    </row>
    <row r="153" spans="1:6" ht="12.75">
      <c r="A153" s="30"/>
      <c r="B153" s="36" t="s">
        <v>46</v>
      </c>
      <c r="C153" s="43"/>
      <c r="D153" s="57"/>
      <c r="E153" s="43"/>
      <c r="F153" s="30"/>
    </row>
    <row r="154" spans="1:6" ht="12.75">
      <c r="A154" s="30"/>
      <c r="B154" s="35" t="s">
        <v>17</v>
      </c>
      <c r="C154" s="43"/>
      <c r="D154" s="57"/>
      <c r="E154" s="43"/>
      <c r="F154" s="30"/>
    </row>
    <row r="155" spans="1:6" ht="12.75">
      <c r="A155" s="30"/>
      <c r="B155" s="35" t="s">
        <v>272</v>
      </c>
      <c r="C155" s="43"/>
      <c r="D155" s="57"/>
      <c r="E155" s="43"/>
      <c r="F155" s="30"/>
    </row>
    <row r="156" spans="1:6" ht="12.75">
      <c r="A156" s="30"/>
      <c r="B156" s="43"/>
      <c r="C156" s="43"/>
      <c r="D156" s="57"/>
      <c r="E156" s="43"/>
      <c r="F156" s="30"/>
    </row>
    <row r="157" spans="1:6" ht="12.75">
      <c r="A157" s="30"/>
      <c r="B157" s="43"/>
      <c r="C157" s="43"/>
      <c r="D157" s="57"/>
      <c r="E157" s="43"/>
      <c r="F157" s="30"/>
    </row>
  </sheetData>
  <mergeCells count="48">
    <mergeCell ref="B133:B134"/>
    <mergeCell ref="B135:B137"/>
    <mergeCell ref="B117:B119"/>
    <mergeCell ref="B120:B122"/>
    <mergeCell ref="B123:B125"/>
    <mergeCell ref="B126:B129"/>
    <mergeCell ref="B130:B132"/>
    <mergeCell ref="B102:B104"/>
    <mergeCell ref="B105:B107"/>
    <mergeCell ref="B108:B110"/>
    <mergeCell ref="B111:B113"/>
    <mergeCell ref="B114:B116"/>
    <mergeCell ref="B87:B89"/>
    <mergeCell ref="B90:B92"/>
    <mergeCell ref="B93:B95"/>
    <mergeCell ref="B96:B98"/>
    <mergeCell ref="B99:B101"/>
    <mergeCell ref="B73:B75"/>
    <mergeCell ref="B76:B78"/>
    <mergeCell ref="B79:B81"/>
    <mergeCell ref="B82:B83"/>
    <mergeCell ref="B84:B86"/>
    <mergeCell ref="B64:B66"/>
    <mergeCell ref="B67:B69"/>
    <mergeCell ref="B70:B72"/>
    <mergeCell ref="B43:B45"/>
    <mergeCell ref="B55:B57"/>
    <mergeCell ref="B58:B60"/>
    <mergeCell ref="B61:B63"/>
    <mergeCell ref="B8:E10"/>
    <mergeCell ref="B46:B48"/>
    <mergeCell ref="B49:B51"/>
    <mergeCell ref="B52:B54"/>
    <mergeCell ref="B27:B29"/>
    <mergeCell ref="B30:B32"/>
    <mergeCell ref="B33:B34"/>
    <mergeCell ref="B37:B39"/>
    <mergeCell ref="B40:B42"/>
    <mergeCell ref="B13:B15"/>
    <mergeCell ref="B16:B17"/>
    <mergeCell ref="B18:B20"/>
    <mergeCell ref="B21:B23"/>
    <mergeCell ref="B24:B26"/>
    <mergeCell ref="B149:C149"/>
    <mergeCell ref="B138:B140"/>
    <mergeCell ref="B141:B142"/>
    <mergeCell ref="B143:B145"/>
    <mergeCell ref="B146:B14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9"/>
  <sheetViews>
    <sheetView showGridLines="0" view="pageBreakPreview" topLeftCell="A5" zoomScaleNormal="100" zoomScaleSheetLayoutView="100" workbookViewId="0">
      <selection activeCell="F33" sqref="F33"/>
    </sheetView>
  </sheetViews>
  <sheetFormatPr baseColWidth="10" defaultColWidth="11.42578125" defaultRowHeight="11.25"/>
  <cols>
    <col min="1" max="1" width="5.7109375" style="15" customWidth="1"/>
    <col min="2" max="2" width="19" style="21" customWidth="1"/>
    <col min="3" max="3" width="26.42578125" style="21" customWidth="1"/>
    <col min="4" max="4" width="17.140625" style="24" customWidth="1"/>
    <col min="5" max="5" width="16.5703125" style="24" customWidth="1"/>
    <col min="6" max="6" width="16.5703125" style="21" customWidth="1"/>
    <col min="7" max="7" width="5.7109375" style="15" customWidth="1"/>
    <col min="8" max="16384" width="11.42578125" style="15"/>
  </cols>
  <sheetData>
    <row r="1" spans="1:7" s="13" customFormat="1" ht="15">
      <c r="B1" s="21"/>
      <c r="C1" s="21"/>
    </row>
    <row r="2" spans="1:7" s="21" customFormat="1">
      <c r="B2" s="26"/>
    </row>
    <row r="3" spans="1:7" ht="15" customHeight="1">
      <c r="B3" s="27"/>
      <c r="C3" s="17"/>
      <c r="D3" s="15"/>
      <c r="E3" s="15"/>
      <c r="G3" s="21"/>
    </row>
    <row r="4" spans="1:7" ht="30" customHeight="1">
      <c r="B4" s="27"/>
      <c r="C4" s="17"/>
      <c r="D4" s="15"/>
      <c r="E4" s="15"/>
      <c r="G4" s="21"/>
    </row>
    <row r="5" spans="1:7" ht="15" customHeight="1">
      <c r="B5" s="27"/>
      <c r="C5" s="17"/>
      <c r="D5" s="15"/>
      <c r="E5" s="15"/>
      <c r="G5" s="21"/>
    </row>
    <row r="6" spans="1:7" s="21" customFormat="1">
      <c r="B6" s="23"/>
      <c r="C6" s="20"/>
    </row>
    <row r="7" spans="1:7" s="21" customFormat="1">
      <c r="B7" s="26"/>
    </row>
    <row r="8" spans="1:7" s="13" customFormat="1" ht="15" customHeight="1">
      <c r="A8" s="32"/>
      <c r="B8" s="112" t="s">
        <v>33</v>
      </c>
      <c r="C8" s="112"/>
      <c r="D8" s="112"/>
      <c r="E8" s="112"/>
      <c r="F8" s="112"/>
      <c r="G8" s="32"/>
    </row>
    <row r="9" spans="1:7" s="13" customFormat="1" ht="15" customHeight="1">
      <c r="A9" s="32"/>
      <c r="B9" s="112"/>
      <c r="C9" s="112"/>
      <c r="D9" s="112"/>
      <c r="E9" s="112"/>
      <c r="F9" s="112"/>
      <c r="G9" s="55"/>
    </row>
    <row r="10" spans="1:7" s="13" customFormat="1" ht="15" customHeight="1">
      <c r="A10" s="32"/>
      <c r="B10" s="112"/>
      <c r="C10" s="112"/>
      <c r="D10" s="112"/>
      <c r="E10" s="112"/>
      <c r="F10" s="112"/>
      <c r="G10" s="32"/>
    </row>
    <row r="11" spans="1:7" s="13" customFormat="1" ht="15" customHeight="1">
      <c r="A11" s="32"/>
      <c r="B11" s="56"/>
      <c r="C11" s="56"/>
      <c r="D11" s="56"/>
      <c r="E11" s="56"/>
      <c r="F11" s="56"/>
      <c r="G11" s="32"/>
    </row>
    <row r="12" spans="1:7" s="13" customFormat="1" ht="42.75">
      <c r="A12" s="32"/>
      <c r="B12" s="93" t="s">
        <v>29</v>
      </c>
      <c r="C12" s="93" t="s">
        <v>32</v>
      </c>
      <c r="D12" s="93" t="s">
        <v>20</v>
      </c>
      <c r="E12" s="93" t="s">
        <v>31</v>
      </c>
      <c r="F12" s="93" t="s">
        <v>30</v>
      </c>
      <c r="G12" s="32"/>
    </row>
    <row r="13" spans="1:7" ht="14.45" customHeight="1">
      <c r="A13" s="30"/>
      <c r="B13" s="124" t="s">
        <v>258</v>
      </c>
      <c r="C13" s="64" t="s">
        <v>255</v>
      </c>
      <c r="D13" s="59">
        <v>2</v>
      </c>
      <c r="E13" s="60">
        <f>D13/$D$21</f>
        <v>3.7105751391465676E-4</v>
      </c>
      <c r="F13" s="60">
        <f>D13/$D$33</f>
        <v>1.6693097404223354E-4</v>
      </c>
      <c r="G13" s="30"/>
    </row>
    <row r="14" spans="1:7" ht="14.45" customHeight="1">
      <c r="A14" s="30"/>
      <c r="B14" s="125"/>
      <c r="C14" s="64" t="s">
        <v>184</v>
      </c>
      <c r="D14" s="59">
        <v>13</v>
      </c>
      <c r="E14" s="60">
        <f t="shared" ref="E14:E20" si="0">D14/$D$21</f>
        <v>2.4118738404452691E-3</v>
      </c>
      <c r="F14" s="60">
        <f t="shared" ref="F14:F20" si="1">D14/$D$33</f>
        <v>1.0850513312745181E-3</v>
      </c>
      <c r="G14" s="30"/>
    </row>
    <row r="15" spans="1:7" ht="14.45" customHeight="1">
      <c r="A15" s="30"/>
      <c r="B15" s="125"/>
      <c r="C15" s="64" t="s">
        <v>185</v>
      </c>
      <c r="D15" s="59">
        <v>582</v>
      </c>
      <c r="E15" s="60">
        <f t="shared" si="0"/>
        <v>0.10797773654916512</v>
      </c>
      <c r="F15" s="60">
        <f t="shared" si="1"/>
        <v>4.8576913446289956E-2</v>
      </c>
      <c r="G15" s="30"/>
    </row>
    <row r="16" spans="1:7" ht="14.45" customHeight="1">
      <c r="A16" s="30"/>
      <c r="B16" s="125"/>
      <c r="C16" s="64" t="s">
        <v>186</v>
      </c>
      <c r="D16" s="59">
        <v>1117</v>
      </c>
      <c r="E16" s="60">
        <f t="shared" si="0"/>
        <v>0.20723562152133582</v>
      </c>
      <c r="F16" s="60">
        <f t="shared" si="1"/>
        <v>9.3230949002587424E-2</v>
      </c>
      <c r="G16" s="30"/>
    </row>
    <row r="17" spans="1:7" ht="14.45" customHeight="1">
      <c r="A17" s="30"/>
      <c r="B17" s="125"/>
      <c r="C17" s="64" t="s">
        <v>187</v>
      </c>
      <c r="D17" s="59">
        <v>1809</v>
      </c>
      <c r="E17" s="60">
        <f t="shared" si="0"/>
        <v>0.33562152133580703</v>
      </c>
      <c r="F17" s="60">
        <f t="shared" si="1"/>
        <v>0.15098906602120024</v>
      </c>
      <c r="G17" s="30"/>
    </row>
    <row r="18" spans="1:7" ht="14.45" customHeight="1">
      <c r="A18" s="30"/>
      <c r="B18" s="125"/>
      <c r="C18" s="64" t="s">
        <v>188</v>
      </c>
      <c r="D18" s="59">
        <v>1681</v>
      </c>
      <c r="E18" s="60">
        <f t="shared" si="0"/>
        <v>0.311873840445269</v>
      </c>
      <c r="F18" s="60">
        <f t="shared" si="1"/>
        <v>0.14030548368249729</v>
      </c>
      <c r="G18" s="30"/>
    </row>
    <row r="19" spans="1:7" ht="14.45" customHeight="1">
      <c r="A19" s="30"/>
      <c r="B19" s="125"/>
      <c r="C19" s="64" t="s">
        <v>189</v>
      </c>
      <c r="D19" s="59">
        <v>144</v>
      </c>
      <c r="E19" s="60">
        <f t="shared" si="0"/>
        <v>2.6716141001855289E-2</v>
      </c>
      <c r="F19" s="60">
        <f t="shared" si="1"/>
        <v>1.2019030131040815E-2</v>
      </c>
      <c r="G19" s="30"/>
    </row>
    <row r="20" spans="1:7" ht="14.45" customHeight="1">
      <c r="A20" s="30"/>
      <c r="B20" s="125"/>
      <c r="C20" s="64" t="s">
        <v>190</v>
      </c>
      <c r="D20" s="59">
        <v>42</v>
      </c>
      <c r="E20" s="60">
        <f t="shared" si="0"/>
        <v>7.7922077922077922E-3</v>
      </c>
      <c r="F20" s="60">
        <f t="shared" si="1"/>
        <v>3.5055504548869043E-3</v>
      </c>
      <c r="G20" s="30"/>
    </row>
    <row r="21" spans="1:7" ht="14.45" customHeight="1">
      <c r="A21" s="30"/>
      <c r="B21" s="126"/>
      <c r="C21" s="94" t="s">
        <v>267</v>
      </c>
      <c r="D21" s="95">
        <v>5390</v>
      </c>
      <c r="E21" s="96"/>
      <c r="F21" s="102">
        <f>D21/D33</f>
        <v>0.44987897504381941</v>
      </c>
      <c r="G21" s="30"/>
    </row>
    <row r="22" spans="1:7" ht="14.45" customHeight="1">
      <c r="A22" s="30"/>
      <c r="B22" s="124" t="s">
        <v>257</v>
      </c>
      <c r="C22" s="64" t="s">
        <v>255</v>
      </c>
      <c r="D22" s="59">
        <v>3</v>
      </c>
      <c r="E22" s="60">
        <f>D22/$D$30</f>
        <v>4.5523520485584221E-4</v>
      </c>
      <c r="F22" s="60">
        <f>D22/$D$33</f>
        <v>2.5039646106335032E-4</v>
      </c>
      <c r="G22" s="30"/>
    </row>
    <row r="23" spans="1:7" ht="14.45" customHeight="1">
      <c r="A23" s="30"/>
      <c r="B23" s="125"/>
      <c r="C23" s="64" t="s">
        <v>184</v>
      </c>
      <c r="D23" s="59">
        <v>14</v>
      </c>
      <c r="E23" s="60">
        <f t="shared" ref="E23:E29" si="2">D23/$D$30</f>
        <v>2.1244309559939304E-3</v>
      </c>
      <c r="F23" s="60">
        <f t="shared" ref="F23:F29" si="3">D23/$D$33</f>
        <v>1.1685168182956347E-3</v>
      </c>
      <c r="G23" s="30"/>
    </row>
    <row r="24" spans="1:7" ht="14.45" customHeight="1">
      <c r="A24" s="30"/>
      <c r="B24" s="125"/>
      <c r="C24" s="64" t="s">
        <v>185</v>
      </c>
      <c r="D24" s="59">
        <v>1313</v>
      </c>
      <c r="E24" s="60">
        <f t="shared" si="2"/>
        <v>0.19924127465857361</v>
      </c>
      <c r="F24" s="60">
        <f t="shared" si="3"/>
        <v>0.10959018445872631</v>
      </c>
      <c r="G24" s="30"/>
    </row>
    <row r="25" spans="1:7" ht="14.45" customHeight="1">
      <c r="A25" s="30"/>
      <c r="B25" s="125"/>
      <c r="C25" s="64" t="s">
        <v>186</v>
      </c>
      <c r="D25" s="59">
        <v>1708</v>
      </c>
      <c r="E25" s="60">
        <f t="shared" si="2"/>
        <v>0.25918057663125948</v>
      </c>
      <c r="F25" s="60">
        <f t="shared" si="3"/>
        <v>0.14255905183206743</v>
      </c>
      <c r="G25" s="30"/>
    </row>
    <row r="26" spans="1:7" ht="14.45" customHeight="1">
      <c r="A26" s="30"/>
      <c r="B26" s="125"/>
      <c r="C26" s="64" t="s">
        <v>187</v>
      </c>
      <c r="D26" s="59">
        <v>1890</v>
      </c>
      <c r="E26" s="60">
        <f t="shared" si="2"/>
        <v>0.28679817905918059</v>
      </c>
      <c r="F26" s="60">
        <f t="shared" si="3"/>
        <v>0.15774977046991071</v>
      </c>
      <c r="G26" s="30"/>
    </row>
    <row r="27" spans="1:7" ht="14.45" customHeight="1">
      <c r="A27" s="30"/>
      <c r="B27" s="125"/>
      <c r="C27" s="64" t="s">
        <v>188</v>
      </c>
      <c r="D27" s="59">
        <v>1485</v>
      </c>
      <c r="E27" s="60">
        <f t="shared" si="2"/>
        <v>0.22534142640364188</v>
      </c>
      <c r="F27" s="60">
        <f t="shared" si="3"/>
        <v>0.1239462482263584</v>
      </c>
      <c r="G27" s="30"/>
    </row>
    <row r="28" spans="1:7" ht="14.45" customHeight="1">
      <c r="A28" s="30"/>
      <c r="B28" s="125"/>
      <c r="C28" s="64" t="s">
        <v>189</v>
      </c>
      <c r="D28" s="59">
        <v>153</v>
      </c>
      <c r="E28" s="60">
        <f t="shared" si="2"/>
        <v>2.3216995447647951E-2</v>
      </c>
      <c r="F28" s="60">
        <f t="shared" si="3"/>
        <v>1.2770219514230866E-2</v>
      </c>
      <c r="G28" s="30"/>
    </row>
    <row r="29" spans="1:7" ht="14.45" customHeight="1">
      <c r="A29" s="30"/>
      <c r="B29" s="125"/>
      <c r="C29" s="64" t="s">
        <v>190</v>
      </c>
      <c r="D29" s="59">
        <v>24</v>
      </c>
      <c r="E29" s="60">
        <f t="shared" si="2"/>
        <v>3.6418816388467377E-3</v>
      </c>
      <c r="F29" s="60">
        <f t="shared" si="3"/>
        <v>2.0031716885068026E-3</v>
      </c>
      <c r="G29" s="30"/>
    </row>
    <row r="30" spans="1:7" ht="14.45" customHeight="1">
      <c r="A30" s="30"/>
      <c r="B30" s="126"/>
      <c r="C30" s="94" t="s">
        <v>267</v>
      </c>
      <c r="D30" s="95">
        <v>6590</v>
      </c>
      <c r="E30" s="96"/>
      <c r="F30" s="102">
        <f>D30/D33</f>
        <v>0.55003755946915955</v>
      </c>
      <c r="G30" s="30"/>
    </row>
    <row r="31" spans="1:7" ht="14.45" customHeight="1">
      <c r="A31" s="30"/>
      <c r="B31" s="124" t="s">
        <v>256</v>
      </c>
      <c r="C31" s="64" t="s">
        <v>185</v>
      </c>
      <c r="D31" s="59">
        <v>1</v>
      </c>
      <c r="E31" s="60">
        <v>8.3465487021E-5</v>
      </c>
      <c r="F31" s="60">
        <f>D31/D33</f>
        <v>8.3465487021116769E-5</v>
      </c>
      <c r="G31" s="30"/>
    </row>
    <row r="32" spans="1:7" ht="14.45" customHeight="1">
      <c r="A32" s="30"/>
      <c r="B32" s="126"/>
      <c r="C32" s="94" t="s">
        <v>267</v>
      </c>
      <c r="D32" s="95">
        <v>1</v>
      </c>
      <c r="E32" s="96">
        <v>8.3465487021E-5</v>
      </c>
      <c r="F32" s="102">
        <f>D32/D33</f>
        <v>8.3465487021116769E-5</v>
      </c>
      <c r="G32" s="30"/>
    </row>
    <row r="33" spans="1:7" ht="14.45" customHeight="1">
      <c r="A33" s="30"/>
      <c r="B33" s="97" t="s">
        <v>267</v>
      </c>
      <c r="C33" s="97"/>
      <c r="D33" s="98">
        <v>11981</v>
      </c>
      <c r="E33" s="99">
        <v>1</v>
      </c>
      <c r="F33" s="63">
        <f>E33/E33</f>
        <v>1</v>
      </c>
      <c r="G33" s="30"/>
    </row>
    <row r="34" spans="1:7" ht="14.45" customHeight="1">
      <c r="A34" s="30"/>
      <c r="B34" s="35"/>
      <c r="C34" s="43"/>
      <c r="D34" s="57"/>
      <c r="E34" s="57"/>
      <c r="F34" s="43"/>
      <c r="G34" s="30"/>
    </row>
    <row r="35" spans="1:7" ht="14.45" customHeight="1">
      <c r="A35" s="30"/>
      <c r="B35" s="35" t="s">
        <v>235</v>
      </c>
      <c r="C35" s="43"/>
      <c r="D35" s="57"/>
      <c r="E35" s="57"/>
      <c r="F35" s="43"/>
      <c r="G35" s="30"/>
    </row>
    <row r="36" spans="1:7" ht="12.75">
      <c r="A36" s="30"/>
      <c r="B36" s="33" t="s">
        <v>18</v>
      </c>
      <c r="C36" s="43"/>
      <c r="D36" s="57"/>
      <c r="E36" s="57"/>
      <c r="F36" s="43"/>
      <c r="G36" s="30"/>
    </row>
    <row r="37" spans="1:7" ht="12.75">
      <c r="A37" s="30"/>
      <c r="B37" s="36" t="s">
        <v>46</v>
      </c>
      <c r="C37" s="43"/>
      <c r="D37" s="57"/>
      <c r="E37" s="57"/>
      <c r="F37" s="43"/>
      <c r="G37" s="30"/>
    </row>
    <row r="38" spans="1:7" ht="12.75">
      <c r="A38" s="30"/>
      <c r="B38" s="35" t="s">
        <v>17</v>
      </c>
      <c r="C38" s="43"/>
      <c r="D38" s="57"/>
      <c r="E38" s="57"/>
      <c r="F38" s="43"/>
      <c r="G38" s="30"/>
    </row>
    <row r="39" spans="1:7" ht="12.75">
      <c r="A39" s="30"/>
      <c r="B39" s="35" t="s">
        <v>268</v>
      </c>
      <c r="C39" s="43"/>
      <c r="D39" s="57"/>
      <c r="E39" s="57"/>
      <c r="F39" s="43"/>
      <c r="G39" s="30"/>
    </row>
  </sheetData>
  <mergeCells count="4">
    <mergeCell ref="B8:F10"/>
    <mergeCell ref="B13:B21"/>
    <mergeCell ref="B22:B30"/>
    <mergeCell ref="B31:B32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ignoredErrors>
    <ignoredError sqref="F21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9"/>
  <sheetViews>
    <sheetView showGridLines="0" tabSelected="1" view="pageBreakPreview" zoomScaleNormal="100" zoomScaleSheetLayoutView="100" workbookViewId="0">
      <selection activeCell="I14" sqref="I14"/>
    </sheetView>
  </sheetViews>
  <sheetFormatPr baseColWidth="10" defaultColWidth="11.42578125" defaultRowHeight="15"/>
  <cols>
    <col min="1" max="1" width="9.28515625" style="13" customWidth="1"/>
    <col min="2" max="2" width="41.5703125" style="13" customWidth="1"/>
    <col min="3" max="3" width="17.7109375" style="14" customWidth="1"/>
    <col min="4" max="4" width="17.7109375" style="13" customWidth="1"/>
    <col min="5" max="5" width="9.140625" style="13" customWidth="1"/>
    <col min="6" max="6" width="5.7109375" style="13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30"/>
      <c r="B7" s="112" t="s">
        <v>234</v>
      </c>
      <c r="C7" s="112"/>
      <c r="D7" s="112"/>
      <c r="E7" s="30"/>
    </row>
    <row r="8" spans="1:5" s="15" customFormat="1" ht="15" customHeight="1">
      <c r="A8" s="30"/>
      <c r="B8" s="112"/>
      <c r="C8" s="112"/>
      <c r="D8" s="112"/>
      <c r="E8" s="30"/>
    </row>
    <row r="9" spans="1:5" s="15" customFormat="1" ht="33" customHeight="1">
      <c r="A9" s="30"/>
      <c r="B9" s="112"/>
      <c r="C9" s="112"/>
      <c r="D9" s="112"/>
      <c r="E9" s="30"/>
    </row>
    <row r="10" spans="1:5" s="15" customFormat="1" ht="4.5" customHeight="1">
      <c r="A10" s="30"/>
      <c r="B10" s="31"/>
      <c r="C10" s="31"/>
      <c r="D10" s="31"/>
      <c r="E10" s="30"/>
    </row>
    <row r="11" spans="1:5" s="15" customFormat="1" ht="33" customHeight="1">
      <c r="A11" s="30"/>
      <c r="B11" s="37" t="s">
        <v>34</v>
      </c>
      <c r="C11" s="38" t="s">
        <v>20</v>
      </c>
      <c r="D11" s="39" t="s">
        <v>19</v>
      </c>
      <c r="E11" s="30"/>
    </row>
    <row r="12" spans="1:5" ht="16.5">
      <c r="A12" s="32"/>
      <c r="B12" s="58" t="s">
        <v>191</v>
      </c>
      <c r="C12" s="59">
        <v>6707</v>
      </c>
      <c r="D12" s="60">
        <v>0.55980302145062999</v>
      </c>
      <c r="E12" s="32"/>
    </row>
    <row r="13" spans="1:5" ht="16.5">
      <c r="A13" s="32"/>
      <c r="B13" s="58" t="s">
        <v>192</v>
      </c>
      <c r="C13" s="59">
        <v>3078</v>
      </c>
      <c r="D13" s="60">
        <v>0.25690676905099702</v>
      </c>
      <c r="E13" s="32"/>
    </row>
    <row r="14" spans="1:5" ht="16.5">
      <c r="A14" s="32"/>
      <c r="B14" s="58" t="s">
        <v>193</v>
      </c>
      <c r="C14" s="59">
        <v>387</v>
      </c>
      <c r="D14" s="60">
        <v>3.2301143477172001E-2</v>
      </c>
      <c r="E14" s="32"/>
    </row>
    <row r="15" spans="1:5" ht="16.5">
      <c r="A15" s="32"/>
      <c r="B15" s="58" t="s">
        <v>194</v>
      </c>
      <c r="C15" s="59">
        <v>364</v>
      </c>
      <c r="D15" s="60">
        <v>3.0381437275687002E-2</v>
      </c>
      <c r="E15" s="32"/>
    </row>
    <row r="16" spans="1:5" ht="16.5">
      <c r="A16" s="32"/>
      <c r="B16" s="58" t="s">
        <v>195</v>
      </c>
      <c r="C16" s="59">
        <v>255</v>
      </c>
      <c r="D16" s="60">
        <v>2.1283699190384999E-2</v>
      </c>
      <c r="E16" s="32"/>
    </row>
    <row r="17" spans="1:5" ht="16.5">
      <c r="A17" s="32"/>
      <c r="B17" s="58" t="s">
        <v>196</v>
      </c>
      <c r="C17" s="59">
        <v>195</v>
      </c>
      <c r="D17" s="60">
        <v>1.6275769969118E-2</v>
      </c>
      <c r="E17" s="32"/>
    </row>
    <row r="18" spans="1:5" ht="28.5">
      <c r="A18" s="32"/>
      <c r="B18" s="58" t="s">
        <v>197</v>
      </c>
      <c r="C18" s="59">
        <v>167</v>
      </c>
      <c r="D18" s="60">
        <v>1.3938736332526999E-2</v>
      </c>
      <c r="E18" s="32"/>
    </row>
    <row r="19" spans="1:5" ht="16.5">
      <c r="A19" s="32"/>
      <c r="B19" s="58" t="s">
        <v>198</v>
      </c>
      <c r="C19" s="59">
        <v>140</v>
      </c>
      <c r="D19" s="60">
        <v>1.1685168182956E-2</v>
      </c>
      <c r="E19" s="32"/>
    </row>
    <row r="20" spans="1:5" ht="16.5">
      <c r="A20" s="32"/>
      <c r="B20" s="58" t="s">
        <v>199</v>
      </c>
      <c r="C20" s="59">
        <v>80</v>
      </c>
      <c r="D20" s="60">
        <v>6.6772389616890004E-3</v>
      </c>
      <c r="E20" s="32"/>
    </row>
    <row r="21" spans="1:5" ht="16.5">
      <c r="A21" s="32"/>
      <c r="B21" s="58" t="s">
        <v>204</v>
      </c>
      <c r="C21" s="59">
        <v>62</v>
      </c>
      <c r="D21" s="60">
        <v>5.1748601953089998E-3</v>
      </c>
      <c r="E21" s="32"/>
    </row>
    <row r="22" spans="1:5" ht="16.5">
      <c r="A22" s="32"/>
      <c r="B22" s="58" t="s">
        <v>201</v>
      </c>
      <c r="C22" s="59">
        <v>56</v>
      </c>
      <c r="D22" s="60">
        <v>4.6740672731830002E-3</v>
      </c>
      <c r="E22" s="32"/>
    </row>
    <row r="23" spans="1:5" ht="16.5">
      <c r="A23" s="32"/>
      <c r="B23" s="58" t="s">
        <v>202</v>
      </c>
      <c r="C23" s="59">
        <v>44</v>
      </c>
      <c r="D23" s="60">
        <v>3.672481428929E-3</v>
      </c>
      <c r="E23" s="32"/>
    </row>
    <row r="24" spans="1:5" ht="16.5">
      <c r="A24" s="32"/>
      <c r="B24" s="58" t="s">
        <v>207</v>
      </c>
      <c r="C24" s="59">
        <v>40</v>
      </c>
      <c r="D24" s="60">
        <v>3.3386194808449998E-3</v>
      </c>
      <c r="E24" s="32"/>
    </row>
    <row r="25" spans="1:5" ht="16.5">
      <c r="A25" s="32"/>
      <c r="B25" s="58" t="s">
        <v>203</v>
      </c>
      <c r="C25" s="59">
        <v>39</v>
      </c>
      <c r="D25" s="60">
        <v>3.2551539938239999E-3</v>
      </c>
      <c r="E25" s="32"/>
    </row>
    <row r="26" spans="1:5" ht="16.5">
      <c r="A26" s="32"/>
      <c r="B26" s="58" t="s">
        <v>206</v>
      </c>
      <c r="C26" s="59">
        <v>37</v>
      </c>
      <c r="D26" s="60">
        <v>3.0882230197809999E-3</v>
      </c>
      <c r="E26" s="32"/>
    </row>
    <row r="27" spans="1:5" ht="16.5">
      <c r="A27" s="32"/>
      <c r="B27" s="58" t="s">
        <v>208</v>
      </c>
      <c r="C27" s="59">
        <v>37</v>
      </c>
      <c r="D27" s="60">
        <v>3.0882230197809999E-3</v>
      </c>
      <c r="E27" s="32"/>
    </row>
    <row r="28" spans="1:5" ht="16.5">
      <c r="A28" s="32"/>
      <c r="B28" s="58" t="s">
        <v>200</v>
      </c>
      <c r="C28" s="59">
        <v>34</v>
      </c>
      <c r="D28" s="60">
        <v>2.8378265587180001E-3</v>
      </c>
      <c r="E28" s="32"/>
    </row>
    <row r="29" spans="1:5" ht="16.5">
      <c r="A29" s="32"/>
      <c r="B29" s="58" t="s">
        <v>209</v>
      </c>
      <c r="C29" s="59">
        <v>24</v>
      </c>
      <c r="D29" s="60">
        <v>2.0031716885069999E-3</v>
      </c>
      <c r="E29" s="32"/>
    </row>
    <row r="30" spans="1:5" ht="16.5">
      <c r="A30" s="32"/>
      <c r="B30" s="58" t="s">
        <v>205</v>
      </c>
      <c r="C30" s="59">
        <v>22</v>
      </c>
      <c r="D30" s="60">
        <v>1.836240714465E-3</v>
      </c>
      <c r="E30" s="32"/>
    </row>
    <row r="31" spans="1:5" ht="16.5">
      <c r="A31" s="32"/>
      <c r="B31" s="58" t="s">
        <v>228</v>
      </c>
      <c r="C31" s="59">
        <v>20</v>
      </c>
      <c r="D31" s="60">
        <v>1.6693097404220001E-3</v>
      </c>
      <c r="E31" s="32"/>
    </row>
    <row r="32" spans="1:5" ht="16.5">
      <c r="A32" s="32"/>
      <c r="B32" s="58" t="s">
        <v>211</v>
      </c>
      <c r="C32" s="59">
        <v>19</v>
      </c>
      <c r="D32" s="60">
        <v>1.5858442534009999E-3</v>
      </c>
      <c r="E32" s="32"/>
    </row>
    <row r="33" spans="1:5" ht="16.5">
      <c r="A33" s="32"/>
      <c r="B33" s="58" t="s">
        <v>210</v>
      </c>
      <c r="C33" s="59">
        <v>18</v>
      </c>
      <c r="D33" s="60">
        <v>1.50237876638E-3</v>
      </c>
      <c r="E33" s="32"/>
    </row>
    <row r="34" spans="1:5" ht="16.5">
      <c r="A34" s="32"/>
      <c r="B34" s="58" t="s">
        <v>215</v>
      </c>
      <c r="C34" s="59">
        <v>18</v>
      </c>
      <c r="D34" s="60">
        <v>1.50237876638E-3</v>
      </c>
      <c r="E34" s="32"/>
    </row>
    <row r="35" spans="1:5" ht="16.5">
      <c r="A35" s="32"/>
      <c r="B35" s="58" t="s">
        <v>213</v>
      </c>
      <c r="C35" s="59">
        <v>14</v>
      </c>
      <c r="D35" s="60">
        <v>1.1685168182960001E-3</v>
      </c>
      <c r="E35" s="32"/>
    </row>
    <row r="36" spans="1:5" ht="16.5">
      <c r="A36" s="32"/>
      <c r="B36" s="58" t="s">
        <v>212</v>
      </c>
      <c r="C36" s="59">
        <v>13</v>
      </c>
      <c r="D36" s="60">
        <v>1.0850513312749999E-3</v>
      </c>
      <c r="E36" s="32"/>
    </row>
    <row r="37" spans="1:5" ht="16.5">
      <c r="A37" s="32"/>
      <c r="B37" s="58" t="s">
        <v>216</v>
      </c>
      <c r="C37" s="59">
        <v>13</v>
      </c>
      <c r="D37" s="60">
        <v>1.0850513312749999E-3</v>
      </c>
      <c r="E37" s="32"/>
    </row>
    <row r="38" spans="1:5" ht="16.5">
      <c r="A38" s="32"/>
      <c r="B38" s="58" t="s">
        <v>232</v>
      </c>
      <c r="C38" s="59">
        <v>12</v>
      </c>
      <c r="D38" s="60">
        <v>1.0015858442529999E-3</v>
      </c>
      <c r="E38" s="32"/>
    </row>
    <row r="39" spans="1:5" ht="16.5">
      <c r="A39" s="32"/>
      <c r="B39" s="58" t="s">
        <v>226</v>
      </c>
      <c r="C39" s="59">
        <v>10</v>
      </c>
      <c r="D39" s="60">
        <v>8.3465487021100004E-4</v>
      </c>
      <c r="E39" s="32"/>
    </row>
    <row r="40" spans="1:5" ht="16.5">
      <c r="A40" s="32"/>
      <c r="B40" s="58" t="s">
        <v>220</v>
      </c>
      <c r="C40" s="59">
        <v>9</v>
      </c>
      <c r="D40" s="60">
        <v>7.5118938319E-4</v>
      </c>
      <c r="E40" s="32"/>
    </row>
    <row r="41" spans="1:5" ht="16.5">
      <c r="A41" s="32"/>
      <c r="B41" s="58" t="s">
        <v>214</v>
      </c>
      <c r="C41" s="59">
        <v>8</v>
      </c>
      <c r="D41" s="60">
        <v>6.6772389616899996E-4</v>
      </c>
      <c r="E41" s="32"/>
    </row>
    <row r="42" spans="1:5" ht="16.5">
      <c r="A42" s="32"/>
      <c r="B42" s="58" t="s">
        <v>218</v>
      </c>
      <c r="C42" s="59">
        <v>8</v>
      </c>
      <c r="D42" s="60">
        <v>6.6772389616899996E-4</v>
      </c>
      <c r="E42" s="32"/>
    </row>
    <row r="43" spans="1:5" ht="16.5">
      <c r="A43" s="32"/>
      <c r="B43" s="58" t="s">
        <v>217</v>
      </c>
      <c r="C43" s="59">
        <v>6</v>
      </c>
      <c r="D43" s="60">
        <v>5.0079292212699999E-4</v>
      </c>
      <c r="E43" s="32"/>
    </row>
    <row r="44" spans="1:5" ht="16.5">
      <c r="A44" s="32"/>
      <c r="B44" s="58" t="s">
        <v>223</v>
      </c>
      <c r="C44" s="59">
        <v>5</v>
      </c>
      <c r="D44" s="60">
        <v>4.17327435106E-4</v>
      </c>
      <c r="E44" s="32"/>
    </row>
    <row r="45" spans="1:5" ht="16.5">
      <c r="A45" s="32"/>
      <c r="B45" s="58" t="s">
        <v>221</v>
      </c>
      <c r="C45" s="59">
        <v>5</v>
      </c>
      <c r="D45" s="60">
        <v>4.17327435106E-4</v>
      </c>
      <c r="E45" s="32"/>
    </row>
    <row r="46" spans="1:5" ht="16.5">
      <c r="A46" s="32"/>
      <c r="B46" s="58" t="s">
        <v>224</v>
      </c>
      <c r="C46" s="59">
        <v>5</v>
      </c>
      <c r="D46" s="60">
        <v>4.17327435106E-4</v>
      </c>
      <c r="E46" s="32"/>
    </row>
    <row r="47" spans="1:5" ht="16.5">
      <c r="A47" s="32"/>
      <c r="B47" s="58" t="s">
        <v>225</v>
      </c>
      <c r="C47" s="59">
        <v>4</v>
      </c>
      <c r="D47" s="60">
        <v>3.33861948084E-4</v>
      </c>
      <c r="E47" s="32"/>
    </row>
    <row r="48" spans="1:5" ht="16.5">
      <c r="A48" s="32"/>
      <c r="B48" s="58" t="s">
        <v>219</v>
      </c>
      <c r="C48" s="59">
        <v>4</v>
      </c>
      <c r="D48" s="60">
        <v>3.33861948084E-4</v>
      </c>
      <c r="E48" s="32"/>
    </row>
    <row r="49" spans="1:5" ht="16.5">
      <c r="A49" s="32"/>
      <c r="B49" s="58" t="s">
        <v>260</v>
      </c>
      <c r="C49" s="59">
        <v>3</v>
      </c>
      <c r="D49" s="60">
        <v>2.5039646106300001E-4</v>
      </c>
      <c r="E49" s="32"/>
    </row>
    <row r="50" spans="1:5" ht="16.5">
      <c r="A50" s="32"/>
      <c r="B50" s="58" t="s">
        <v>181</v>
      </c>
      <c r="C50" s="59">
        <v>3</v>
      </c>
      <c r="D50" s="60">
        <v>2.5039646106300001E-4</v>
      </c>
      <c r="E50" s="32"/>
    </row>
    <row r="51" spans="1:5" ht="16.5">
      <c r="A51" s="32"/>
      <c r="B51" s="58" t="s">
        <v>222</v>
      </c>
      <c r="C51" s="59">
        <v>2</v>
      </c>
      <c r="D51" s="60">
        <v>1.66930974042E-4</v>
      </c>
      <c r="E51" s="32"/>
    </row>
    <row r="52" spans="1:5" ht="16.5">
      <c r="A52" s="32"/>
      <c r="B52" s="58" t="s">
        <v>261</v>
      </c>
      <c r="C52" s="59">
        <v>2</v>
      </c>
      <c r="D52" s="60">
        <v>1.66930974042E-4</v>
      </c>
      <c r="E52" s="32"/>
    </row>
    <row r="53" spans="1:5" ht="16.5">
      <c r="A53" s="32"/>
      <c r="B53" s="58" t="s">
        <v>262</v>
      </c>
      <c r="C53" s="59">
        <v>2</v>
      </c>
      <c r="D53" s="60">
        <v>1.66930974042E-4</v>
      </c>
      <c r="E53" s="32"/>
    </row>
    <row r="54" spans="1:5" ht="16.5">
      <c r="A54" s="32"/>
      <c r="B54" s="58" t="s">
        <v>227</v>
      </c>
      <c r="C54" s="59">
        <v>2</v>
      </c>
      <c r="D54" s="60">
        <v>1.66930974042E-4</v>
      </c>
      <c r="E54" s="32"/>
    </row>
    <row r="55" spans="1:5" ht="16.5">
      <c r="A55" s="32"/>
      <c r="B55" s="58" t="s">
        <v>263</v>
      </c>
      <c r="C55" s="59">
        <v>1</v>
      </c>
      <c r="D55" s="60">
        <v>8.3465487021E-5</v>
      </c>
      <c r="E55" s="32"/>
    </row>
    <row r="56" spans="1:5" ht="16.5">
      <c r="A56" s="32"/>
      <c r="B56" s="58" t="s">
        <v>229</v>
      </c>
      <c r="C56" s="59">
        <v>1</v>
      </c>
      <c r="D56" s="60">
        <v>8.3465487021E-5</v>
      </c>
      <c r="E56" s="32"/>
    </row>
    <row r="57" spans="1:5" ht="16.5">
      <c r="A57" s="32"/>
      <c r="B57" s="58" t="s">
        <v>230</v>
      </c>
      <c r="C57" s="59">
        <v>1</v>
      </c>
      <c r="D57" s="60">
        <v>8.3465487021E-5</v>
      </c>
      <c r="E57" s="32"/>
    </row>
    <row r="58" spans="1:5" ht="16.5">
      <c r="A58" s="32"/>
      <c r="B58" s="58" t="s">
        <v>264</v>
      </c>
      <c r="C58" s="59">
        <v>1</v>
      </c>
      <c r="D58" s="60">
        <v>8.3465487021E-5</v>
      </c>
      <c r="E58" s="32"/>
    </row>
    <row r="59" spans="1:5" ht="16.5">
      <c r="A59" s="32"/>
      <c r="B59" s="58" t="s">
        <v>265</v>
      </c>
      <c r="C59" s="59">
        <v>1</v>
      </c>
      <c r="D59" s="60">
        <v>8.3465487021E-5</v>
      </c>
      <c r="E59" s="32"/>
    </row>
    <row r="60" spans="1:5" ht="16.5">
      <c r="A60" s="32"/>
      <c r="B60" s="58" t="s">
        <v>231</v>
      </c>
      <c r="C60" s="59">
        <v>1</v>
      </c>
      <c r="D60" s="60">
        <v>8.3465487021E-5</v>
      </c>
      <c r="E60" s="32"/>
    </row>
    <row r="61" spans="1:5" ht="16.5">
      <c r="A61" s="32"/>
      <c r="B61" s="58" t="s">
        <v>233</v>
      </c>
      <c r="C61" s="59">
        <v>1</v>
      </c>
      <c r="D61" s="60">
        <v>8.3465487021E-5</v>
      </c>
      <c r="E61" s="32"/>
    </row>
    <row r="62" spans="1:5" ht="16.5">
      <c r="A62" s="32"/>
      <c r="B62" s="58" t="s">
        <v>266</v>
      </c>
      <c r="C62" s="59">
        <v>1</v>
      </c>
      <c r="D62" s="60">
        <v>8.3465487021E-5</v>
      </c>
      <c r="E62" s="32"/>
    </row>
    <row r="63" spans="1:5" ht="16.5">
      <c r="A63" s="32"/>
      <c r="B63" s="61" t="s">
        <v>270</v>
      </c>
      <c r="C63" s="62">
        <v>11981</v>
      </c>
      <c r="D63" s="63">
        <v>1</v>
      </c>
      <c r="E63" s="32"/>
    </row>
    <row r="64" spans="1:5" ht="16.5">
      <c r="A64" s="32"/>
      <c r="B64" s="32"/>
      <c r="C64" s="34"/>
      <c r="D64" s="32"/>
      <c r="E64" s="32"/>
    </row>
    <row r="65" spans="1:5" ht="16.5">
      <c r="A65" s="32"/>
      <c r="B65" s="35" t="s">
        <v>235</v>
      </c>
      <c r="C65" s="35"/>
      <c r="D65" s="32"/>
      <c r="E65" s="32"/>
    </row>
    <row r="66" spans="1:5" ht="16.5">
      <c r="A66" s="32"/>
      <c r="B66" s="33" t="s">
        <v>18</v>
      </c>
      <c r="C66" s="33"/>
      <c r="D66" s="32"/>
      <c r="E66" s="32"/>
    </row>
    <row r="67" spans="1:5" ht="16.5">
      <c r="A67" s="32"/>
      <c r="B67" s="36" t="s">
        <v>46</v>
      </c>
      <c r="C67" s="36"/>
      <c r="D67" s="32"/>
      <c r="E67" s="32"/>
    </row>
    <row r="68" spans="1:5" ht="16.5">
      <c r="A68" s="32"/>
      <c r="B68" s="35" t="s">
        <v>17</v>
      </c>
      <c r="C68" s="35"/>
      <c r="D68" s="32"/>
      <c r="E68" s="32"/>
    </row>
    <row r="69" spans="1:5" ht="16.5">
      <c r="A69" s="32"/>
      <c r="B69" s="35" t="s">
        <v>273</v>
      </c>
      <c r="C69" s="35"/>
      <c r="D69" s="32"/>
      <c r="E69" s="3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23</vt:i4>
      </vt:variant>
    </vt:vector>
  </HeadingPairs>
  <TitlesOfParts>
    <vt:vector size="38" baseType="lpstr">
      <vt:lpstr>Índice</vt:lpstr>
      <vt:lpstr>Sinaloa_EdoUsa</vt:lpstr>
      <vt:lpstr>Sinaloa_Cons</vt:lpstr>
      <vt:lpstr>SinaloaXCons</vt:lpstr>
      <vt:lpstr>Sinaloa_EdoMun</vt:lpstr>
      <vt:lpstr>Sinaloa_USAMuni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Sinaloa_GENERO_EUA</vt:lpstr>
      <vt:lpstr>Sinaloa_Gen_Edad</vt:lpstr>
      <vt:lpstr>Sinaloa_ocup_gral</vt:lpstr>
      <vt:lpstr>Sinaloa_educ_gral!Área_de_impresión</vt:lpstr>
      <vt:lpstr>Sinaloa_EducCons!Área_de_impresión</vt:lpstr>
      <vt:lpstr>Sinaloa_Gen_Edad!Área_de_impresión</vt:lpstr>
      <vt:lpstr>Sinaloa_GENERO!Área_de_impresión</vt:lpstr>
      <vt:lpstr>Sinaloa_GENERO_EUA!Área_de_impresión</vt:lpstr>
      <vt:lpstr>Sinaloa_GenGral!Área_de_impresión</vt:lpstr>
      <vt:lpstr>Sinaloa_MUNICIPIO!Área_de_impresión</vt:lpstr>
      <vt:lpstr>Sinaloa_NivelE_Cons!Área_de_impresión</vt:lpstr>
      <vt:lpstr>Sinaloa_USAMuni!Área_de_impresión</vt:lpstr>
      <vt:lpstr>Sinaloa_Cons!Títulos_a_imprimir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Sinaloa_GENERO_EUA!Títulos_a_imprimir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Sinaloa_USAMuni!Títulos_a_imprimir</vt:lpstr>
      <vt:lpstr>SinaloaXCons!Títulos_a_imprimir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2025-02-18T16:35:25Z</cp:lastPrinted>
  <dcterms:created xsi:type="dcterms:W3CDTF">2020-06-03T23:39:32Z</dcterms:created>
  <dcterms:modified xsi:type="dcterms:W3CDTF">2025-08-22T22:37:11Z</dcterms:modified>
</cp:coreProperties>
</file>